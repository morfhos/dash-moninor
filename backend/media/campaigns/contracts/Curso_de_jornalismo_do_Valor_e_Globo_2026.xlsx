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Z:\ASIA\Clientes\SABESP\MIDIA\Curso de Jornalismo Valor\"/>
    </mc:Choice>
  </mc:AlternateContent>
  <xr:revisionPtr revIDLastSave="0" documentId="8_{F54AAECB-71BC-48FE-A0BA-6BBEB077087B}" xr6:coauthVersionLast="47" xr6:coauthVersionMax="47" xr10:uidLastSave="{00000000-0000-0000-0000-000000000000}"/>
  <bookViews>
    <workbookView xWindow="-110" yWindow="-110" windowWidth="19420" windowHeight="10300" xr2:uid="{00000000-000D-0000-FFFF-FFFF00000000}"/>
  </bookViews>
  <sheets>
    <sheet name="RESUMO_CONDIÇÃO ESPECIAL" sheetId="5" r:id="rId1"/>
    <sheet name="Curso de Jornalismo_Globo" sheetId="1" r:id="rId2"/>
    <sheet name="Curso de Jornalismo_Valor" sheetId="2" r:id="rId3"/>
    <sheet name="Curso Jornada IA" sheetId="6" r:id="rId4"/>
    <sheet name="Curso Jornada Infraestrutura" sheetId="7" r:id="rId5"/>
    <sheet name="Planilha1"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5" l="1"/>
  <c r="G8" i="5"/>
  <c r="G7" i="5"/>
  <c r="E8" i="5"/>
  <c r="E7" i="5"/>
  <c r="P17" i="7"/>
  <c r="P16" i="7"/>
  <c r="P14" i="7"/>
  <c r="P13" i="7"/>
  <c r="P12" i="7"/>
  <c r="P11" i="7"/>
  <c r="P9" i="7"/>
  <c r="P7" i="7"/>
  <c r="M17" i="7"/>
  <c r="N17" i="7" s="1"/>
  <c r="M16" i="7"/>
  <c r="N16" i="7" s="1"/>
  <c r="N14" i="7"/>
  <c r="M14" i="7"/>
  <c r="M13" i="7"/>
  <c r="N13" i="7" s="1"/>
  <c r="N12" i="7"/>
  <c r="M12" i="7"/>
  <c r="M11" i="7"/>
  <c r="N11" i="7" s="1"/>
  <c r="N9" i="7"/>
  <c r="M9" i="7"/>
  <c r="M7" i="7"/>
  <c r="N7" i="7" s="1"/>
  <c r="P18" i="6"/>
  <c r="P14" i="6"/>
  <c r="P13" i="6"/>
  <c r="P12" i="6"/>
  <c r="P11" i="6"/>
  <c r="P9" i="6"/>
  <c r="P7" i="6"/>
  <c r="Q9" i="2"/>
  <c r="P17" i="6"/>
  <c r="P16" i="6"/>
  <c r="L7" i="7"/>
  <c r="P24" i="6"/>
  <c r="M17" i="6"/>
  <c r="M16" i="6"/>
  <c r="M14" i="6"/>
  <c r="M13" i="6"/>
  <c r="M12" i="6"/>
  <c r="M11" i="6"/>
  <c r="M9" i="6"/>
  <c r="M7" i="6"/>
  <c r="L7" i="6"/>
  <c r="L10" i="2"/>
  <c r="L9" i="2"/>
  <c r="P22" i="7"/>
  <c r="L14" i="7"/>
  <c r="L13" i="7"/>
  <c r="L12" i="7"/>
  <c r="L11" i="7"/>
  <c r="L9" i="7"/>
  <c r="P24" i="7"/>
  <c r="P24" i="2"/>
  <c r="M19" i="2"/>
  <c r="M18" i="2"/>
  <c r="M17" i="2"/>
  <c r="M16" i="2"/>
  <c r="M14" i="2"/>
  <c r="M13" i="2"/>
  <c r="M10" i="2"/>
  <c r="M9" i="2"/>
  <c r="P21" i="2"/>
  <c r="Q21" i="2" s="1"/>
  <c r="N21" i="2"/>
  <c r="O21" i="2" s="1"/>
  <c r="M21" i="2"/>
  <c r="M23" i="2"/>
  <c r="M22" i="2"/>
  <c r="P20" i="7" l="1"/>
  <c r="P21" i="7" s="1"/>
  <c r="P18" i="7"/>
  <c r="P20" i="6"/>
  <c r="P21" i="6" s="1"/>
  <c r="N17" i="6" l="1"/>
  <c r="N16" i="6"/>
  <c r="N14" i="6"/>
  <c r="L14" i="6"/>
  <c r="N13" i="6"/>
  <c r="L13" i="6"/>
  <c r="N12" i="6"/>
  <c r="L12" i="6"/>
  <c r="N11" i="6"/>
  <c r="L11" i="6"/>
  <c r="N9" i="6"/>
  <c r="L9" i="6"/>
  <c r="N7" i="6"/>
  <c r="P22" i="6" l="1"/>
  <c r="N23" i="2" l="1"/>
  <c r="N22" i="2"/>
  <c r="Q22" i="2" s="1"/>
  <c r="P22" i="2" s="1"/>
  <c r="N19" i="2"/>
  <c r="P19" i="2" s="1"/>
  <c r="Q19" i="2" s="1"/>
  <c r="L19" i="2"/>
  <c r="N18" i="2"/>
  <c r="P18" i="2" s="1"/>
  <c r="Q18" i="2" s="1"/>
  <c r="L18" i="2"/>
  <c r="N17" i="2"/>
  <c r="P17" i="2" s="1"/>
  <c r="Q17" i="2" s="1"/>
  <c r="L17" i="2"/>
  <c r="N16" i="2"/>
  <c r="P16" i="2" s="1"/>
  <c r="Q16" i="2" s="1"/>
  <c r="L16" i="2"/>
  <c r="N14" i="2"/>
  <c r="P14" i="2" s="1"/>
  <c r="Q14" i="2" s="1"/>
  <c r="L14" i="2"/>
  <c r="N13" i="2"/>
  <c r="L13" i="2"/>
  <c r="N10" i="2"/>
  <c r="P10" i="2" s="1"/>
  <c r="Q10" i="2" s="1"/>
  <c r="N9" i="2"/>
  <c r="M7" i="2"/>
  <c r="N7" i="2" s="1"/>
  <c r="E6" i="5" l="1"/>
  <c r="P9" i="2"/>
  <c r="P26" i="2" s="1"/>
  <c r="P30" i="2"/>
  <c r="P25" i="2" l="1"/>
  <c r="P24" i="1"/>
  <c r="S24" i="1" s="1"/>
  <c r="O24" i="1"/>
  <c r="P22" i="1"/>
  <c r="S22" i="1" s="1"/>
  <c r="O22" i="1"/>
  <c r="T20" i="1"/>
  <c r="S18" i="1"/>
  <c r="O18" i="1"/>
  <c r="Q18" i="1" s="1"/>
  <c r="T18" i="1" s="1"/>
  <c r="S16" i="1"/>
  <c r="O16" i="1"/>
  <c r="Q16" i="1" s="1"/>
  <c r="T16" i="1" s="1"/>
  <c r="P14" i="1"/>
  <c r="S14" i="1" s="1"/>
  <c r="O14" i="1"/>
  <c r="P12" i="1"/>
  <c r="O12" i="1"/>
  <c r="P10" i="1"/>
  <c r="S10" i="1" s="1"/>
  <c r="O10" i="1"/>
  <c r="P8" i="1"/>
  <c r="S8" i="1" s="1"/>
  <c r="O8" i="1"/>
  <c r="P6" i="1"/>
  <c r="S6" i="1" s="1"/>
  <c r="O6" i="1"/>
  <c r="Q8" i="1" l="1"/>
  <c r="T8" i="1" s="1"/>
  <c r="Q14" i="1"/>
  <c r="T14" i="1" s="1"/>
  <c r="Q12" i="1"/>
  <c r="T12" i="1" s="1"/>
  <c r="P28" i="2"/>
  <c r="G6" i="5" s="1" a="1"/>
  <c r="G6" i="5" s="1"/>
  <c r="Q24" i="1"/>
  <c r="T24" i="1" s="1"/>
  <c r="Q6" i="1"/>
  <c r="S12" i="1"/>
  <c r="Q10" i="1"/>
  <c r="T10" i="1" s="1"/>
  <c r="Q22" i="1"/>
  <c r="T22" i="1" s="1"/>
  <c r="T26" i="1" l="1"/>
  <c r="E5" i="5" s="1"/>
  <c r="T6" i="1"/>
  <c r="T28" i="1" s="1"/>
  <c r="T27" i="1" l="1"/>
  <c r="T30" i="1"/>
  <c r="G5" i="5" s="1"/>
  <c r="G10"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<sst xmlns="http://schemas.openxmlformats.org/spreadsheetml/2006/main" count="213" uniqueCount="109">
  <si>
    <t>PROJETO | ENTREGA</t>
  </si>
  <si>
    <t>MARCA</t>
  </si>
  <si>
    <t>PLATAFORMA</t>
  </si>
  <si>
    <t>CADERNO / EDITORIA</t>
  </si>
  <si>
    <t>FORMATO</t>
  </si>
  <si>
    <t>FEV</t>
  </si>
  <si>
    <t>MAR</t>
  </si>
  <si>
    <t>ABR</t>
  </si>
  <si>
    <t>MAI</t>
  </si>
  <si>
    <t>TOTAL INSERÇÕES</t>
  </si>
  <si>
    <t>VALOR UNITÁRO / CPM</t>
  </si>
  <si>
    <t>VALOR TOTAL TABELA</t>
  </si>
  <si>
    <t>NEGOCIAÇÃO</t>
  </si>
  <si>
    <t>VALOR UNITÁRIO / CPM NEGOCIADO</t>
  </si>
  <si>
    <t>VALOR TOTAL NEGOCIADO</t>
  </si>
  <si>
    <t>DIVULGAÇÃO</t>
  </si>
  <si>
    <t>O GLOBO</t>
  </si>
  <si>
    <t>PRINT + VERSÃO DIGITAL DO JORNAL</t>
  </si>
  <si>
    <t>NACIONAL</t>
  </si>
  <si>
    <t>LOGO NO RODAPÉ DA MATÉRIA EDITORIAL</t>
  </si>
  <si>
    <t>LOGO NO MATERIAL DE DIVULGAÇÃO DO CURSO</t>
  </si>
  <si>
    <t>REDES SOCIAIS</t>
  </si>
  <si>
    <t>FACEBOOK</t>
  </si>
  <si>
    <t>LOGO NO CARD POST</t>
  </si>
  <si>
    <t>LINKEDIN</t>
  </si>
  <si>
    <t>INSTAGRAM</t>
  </si>
  <si>
    <t>SITE</t>
  </si>
  <si>
    <t>DIÁRIA HOME
DESK+ MOBILE</t>
  </si>
  <si>
    <t>BILLBOARD + FULLBANNER OU RETÂNGULO</t>
  </si>
  <si>
    <t>ED GLOBO</t>
  </si>
  <si>
    <t>CLUSTER ROS
DESK+ MOBILE</t>
  </si>
  <si>
    <t>SUPER BANNER E RETÂNGULO</t>
  </si>
  <si>
    <t>X</t>
  </si>
  <si>
    <t>CURSO</t>
  </si>
  <si>
    <t>CURSO PRESENCIAL</t>
  </si>
  <si>
    <t>-</t>
  </si>
  <si>
    <t>- LOGO NOS MATERIAIS (CAMISAS, MOCHILAS, ETC), SITE DO CURSO E NA CENOGRAFIA DA SALA DE AULA
- 1 AÇÃO COM OS PARTICIPANTES
(VISITA À EMPRESA OU EMPRESA DIALOGA)¹</t>
  </si>
  <si>
    <r>
      <t>BRANDED CONTENT</t>
    </r>
    <r>
      <rPr>
        <b/>
        <sz val="16"/>
        <color theme="0"/>
        <rFont val="Calibri"/>
        <family val="2"/>
        <scheme val="minor"/>
      </rPr>
      <t>²</t>
    </r>
  </si>
  <si>
    <t>IMPRESSO</t>
  </si>
  <si>
    <t>PÁGINA DE BRANDED CONTENT (6COLX52CM)  PARA REVERBERAR AS AÇÕES DA MARCA JUNTO AO CURSO</t>
  </si>
  <si>
    <t>DIGITAL</t>
  </si>
  <si>
    <t>ADAPTAÇÃO DO CONTEÚDO DO BRANDED IMPRESSO PARA O AMBIENTE DIGITAL+ PACOTE STANDARD (ENVELOPAMENTO  + 01 POST NO FACEBOOK +  1 CHAMADA ROS + MÍDIA NATIVE)</t>
  </si>
  <si>
    <t>TOTAL TABELA</t>
  </si>
  <si>
    <t>% DESC.</t>
  </si>
  <si>
    <t>Condições comerciais exclusivas do projeto.</t>
  </si>
  <si>
    <r>
      <rPr>
        <sz val="18"/>
        <color theme="1"/>
        <rFont val="Calibri"/>
        <family val="2"/>
        <scheme val="minor"/>
      </rPr>
      <t>¹</t>
    </r>
    <r>
      <rPr>
        <sz val="9"/>
        <color theme="1"/>
        <rFont val="Calibri"/>
        <family val="2"/>
        <scheme val="minor"/>
      </rPr>
      <t xml:space="preserve"> EMPRESAS LOCALIZADAS FORA DA CIDADE DO RIO DE JANEIRO OU OUTROS MODELOS DE AÇÕES PODEM GERAR CUSTO EXTRA.</t>
    </r>
  </si>
  <si>
    <r>
      <rPr>
        <sz val="16"/>
        <color theme="1"/>
        <rFont val="Calibri"/>
        <family val="2"/>
        <scheme val="minor"/>
      </rPr>
      <t>²</t>
    </r>
    <r>
      <rPr>
        <sz val="9"/>
        <color theme="1"/>
        <rFont val="Calibri"/>
        <family val="2"/>
        <scheme val="minor"/>
      </rPr>
      <t xml:space="preserve"> O SALDO DE BRANDED CONTENT DEVERÁ SER UTILIZADO DURANTE O PERÍODO DO PROJETO.</t>
    </r>
  </si>
  <si>
    <t>TOTAL NEGOCIADO BRUTO</t>
  </si>
  <si>
    <t>Tabela 2025</t>
  </si>
  <si>
    <t>AÇÃO</t>
  </si>
  <si>
    <t>TÍTULO</t>
  </si>
  <si>
    <t>PERÍODO</t>
  </si>
  <si>
    <t>INSERÇÕES</t>
  </si>
  <si>
    <t>MÉDIA DE IMPACTOS</t>
  </si>
  <si>
    <t>VALOR UNITÁRO</t>
  </si>
  <si>
    <t>VALOR TOTAL NEGOCIADO BRUTO</t>
  </si>
  <si>
    <t>VALOR TOTAL NEGOCIADO LÍQUIDO</t>
  </si>
  <si>
    <t xml:space="preserve">MÊS </t>
  </si>
  <si>
    <t>PATROCÍNIO APOIO                  (Limite de 5 patrocinadores)</t>
  </si>
  <si>
    <t>VALOR ECONÔMICO  ::                                                                                                                :: VALOR INVESTE ::       :: PIPELINE ::</t>
  </si>
  <si>
    <t>IMPRESSO E DIGITAL</t>
  </si>
  <si>
    <t>PATROCÍNIO DE UM CONTEÚDO DO PROJETO A SER DESENVOLVIDO EM PARCERIA COM A EDITORA GLOBO. AO FINAL DO CURSO, OS ALUNOS QUE ESTARÃO DIVIDIDOS EM GRUPOS, TRABALHARÃO EM ENTREGÁVEIS QUE SERÃO DEFINIDOS PELA REDAÇÃO. PODE SER UM CONTEÚDO, UM ESPECIAL, UMA FERRAMENTA DIGITAL E\OU PROTÓTIPO QUE JÁ NASCE COM                                                                 PATROCÍNIO DE UM DOS COTISTAS</t>
  </si>
  <si>
    <t>BONIFICADO</t>
  </si>
  <si>
    <t>JORNAL</t>
  </si>
  <si>
    <t>LOGOMARCA NOS ANÚNCIOS DE MEIA PÁGINA COM A DIVULGAÇÃO DO CURSO</t>
  </si>
  <si>
    <r>
      <rPr>
        <b/>
        <sz val="10"/>
        <color rgb="FFFF0000"/>
        <rFont val="Calibri"/>
        <family val="2"/>
        <scheme val="minor"/>
      </rPr>
      <t>1 CONTEÚDO EM BRANDED CONTENT NO AMBIENTE DIGITAL</t>
    </r>
    <r>
      <rPr>
        <b/>
        <sz val="10"/>
        <rFont val="Calibri"/>
        <family val="2"/>
        <scheme val="minor"/>
      </rPr>
      <t xml:space="preserve"> (adaptação do conteúdo impresso) :: </t>
    </r>
    <r>
      <rPr>
        <b/>
        <sz val="10"/>
        <color rgb="FFFF0000"/>
        <rFont val="Calibri"/>
        <family val="2"/>
        <scheme val="minor"/>
      </rPr>
      <t xml:space="preserve">PACOTE STANDARD </t>
    </r>
    <r>
      <rPr>
        <b/>
        <sz val="10"/>
        <rFont val="Calibri"/>
        <family val="2"/>
        <scheme val="minor"/>
      </rPr>
      <t xml:space="preserve">ENVELOPAMENTO (BANNERS)  + 01 POST NO FACEBOOK +  1 CHAMADA ROS + MÍDIA NATIVE  (P/ O BRANDED CONTENT) </t>
    </r>
    <r>
      <rPr>
        <b/>
        <sz val="10"/>
        <color rgb="FFFF0000"/>
        <rFont val="Calibri"/>
        <family val="2"/>
        <scheme val="minor"/>
      </rPr>
      <t>ESTIMATIVA DE 6 MIL PAGEVIEWS POR CONTEÚDO</t>
    </r>
  </si>
  <si>
    <t>LOGOMARCA NOS BANNERS DE DIVULGAÇÃO DO CURSO (SUPER BANNER E RETÂNGULO)</t>
  </si>
  <si>
    <t>LOGOMARCA NOS POSTS DE DIVULGAÇÃO DO CURSO  NO INSTAGRAM</t>
  </si>
  <si>
    <t>LOGOMARCA NOS POSTS DE DIVULGAÇÃO DO CURSO  NO FACEBOOK</t>
  </si>
  <si>
    <t>LOGOMARCA NOS POSTS DE DIVULGAÇÃO DO CURSO  NO LINKEDIN</t>
  </si>
  <si>
    <t>LOGOMARCA NOS POSTS DE DIVULGAÇÃO DO CURSO  NO  X</t>
  </si>
  <si>
    <t>EXPERIÊNCIA NO         CURSO</t>
  </si>
  <si>
    <r>
      <rPr>
        <b/>
        <sz val="10"/>
        <color rgb="FFFF0000"/>
        <rFont val="Calibri"/>
        <family val="2"/>
        <scheme val="minor"/>
      </rPr>
      <t xml:space="preserve">25 ASSINATURAS DIGITAIS DO VALOR ECONÔMICO </t>
    </r>
    <r>
      <rPr>
        <b/>
        <sz val="10"/>
        <rFont val="Calibri"/>
        <family val="2"/>
        <scheme val="minor"/>
      </rPr>
      <t>- O  PATROCINADOR PODE OFERECER AS ASSINATURAS AOS 25 ESTUDANTES, OU ATÉ MESMO PRESENTEAR SEUS CLIENTES, PARCEIROS E COLABORADORES, EM CELEBRAÇÃO AOS 25 ANOS DO VALOR ECONÔMICO.</t>
    </r>
  </si>
  <si>
    <r>
      <rPr>
        <b/>
        <sz val="10"/>
        <color rgb="FFFF0000"/>
        <rFont val="Calibri"/>
        <family val="2"/>
        <scheme val="minor"/>
      </rPr>
      <t xml:space="preserve">1 AÇÃO COM OS ALUNOS           </t>
    </r>
    <r>
      <rPr>
        <b/>
        <sz val="10"/>
        <rFont val="Calibri"/>
        <family val="2"/>
        <scheme val="minor"/>
      </rPr>
      <t xml:space="preserve">                                                                                                                                                                    ( EMPRESA DIALOGA COM ALUNOS OU ALUNOS VISITAM SUA EMPRESA)</t>
    </r>
  </si>
  <si>
    <t>TOTAL NEGOCIADO LÍQUIDO</t>
  </si>
  <si>
    <t>Projetos</t>
  </si>
  <si>
    <t>Cota</t>
  </si>
  <si>
    <t>Apoio</t>
  </si>
  <si>
    <t>PATROCÍNIO</t>
  </si>
  <si>
    <t>Curso Valor de Jornalismo Econômico</t>
  </si>
  <si>
    <t>Outubro e Novembro</t>
  </si>
  <si>
    <t>Mês de realização</t>
  </si>
  <si>
    <t>Valor Tabela</t>
  </si>
  <si>
    <t xml:space="preserve">VALOR TOTAL NEGOCIADO </t>
  </si>
  <si>
    <t xml:space="preserve">PATROCÍNIO APOIO                  </t>
  </si>
  <si>
    <t>VALOR ECONÔMICO  ::                                                                                                                :: GLOBO RURAL</t>
  </si>
  <si>
    <t>EXPERIÊNCIA</t>
  </si>
  <si>
    <t>Curso de Jornalismo do Globo</t>
  </si>
  <si>
    <t>Semana temática | Infraestrutura e Cidades</t>
  </si>
  <si>
    <t xml:space="preserve">Agosto </t>
  </si>
  <si>
    <t>Agosto**</t>
  </si>
  <si>
    <t>Abril**</t>
  </si>
  <si>
    <t>Proposta Sabesp</t>
  </si>
  <si>
    <t>PROJETO CURSO DE JORNALISMO DO GLOBO 2026  - COTA APOIO</t>
  </si>
  <si>
    <t>CURSO VALOR DE JORNALISMO ECONÔMICO :: 2026</t>
  </si>
  <si>
    <r>
      <rPr>
        <b/>
        <sz val="10"/>
        <color rgb="FFFF0000"/>
        <rFont val="Calibri"/>
        <family val="2"/>
        <scheme val="minor"/>
      </rPr>
      <t>1  PÁGINA DE BRANDED CONTENT</t>
    </r>
    <r>
      <rPr>
        <b/>
        <sz val="10"/>
        <rFont val="Calibri"/>
        <family val="2"/>
        <scheme val="minor"/>
      </rPr>
      <t xml:space="preserve">  ( 6 COL X 52 ALT)  PARA REVERBERAR AS AÇÕES  JUNTO AO CURSO</t>
    </r>
  </si>
  <si>
    <r>
      <rPr>
        <b/>
        <sz val="10"/>
        <color rgb="FF0070C0"/>
        <rFont val="Calibri"/>
        <family val="2"/>
        <scheme val="minor"/>
      </rPr>
      <t>LOGO DA MARCA APLICADA NOS MATERIAIS  E SITE DO CURSO</t>
    </r>
    <r>
      <rPr>
        <b/>
        <sz val="10"/>
        <rFont val="Calibri"/>
        <family val="2"/>
        <scheme val="minor"/>
      </rPr>
      <t xml:space="preserve"> (TELA DO NOTEBOOK E MATERIAL PROMOCIONAL - CAMISETAS E MOCHILAS)</t>
    </r>
    <r>
      <rPr>
        <b/>
        <sz val="10"/>
        <color rgb="FF0070C0"/>
        <rFont val="Calibri"/>
        <family val="2"/>
        <scheme val="minor"/>
      </rPr>
      <t xml:space="preserve"> E</t>
    </r>
    <r>
      <rPr>
        <b/>
        <sz val="10"/>
        <rFont val="Calibri"/>
        <family val="2"/>
        <scheme val="minor"/>
      </rPr>
      <t xml:space="preserve"> </t>
    </r>
    <r>
      <rPr>
        <b/>
        <sz val="10"/>
        <color rgb="FF0070C0"/>
        <rFont val="Calibri"/>
        <family val="2"/>
        <scheme val="minor"/>
      </rPr>
      <t>LOGO NA COMUNICAÇÃO E CENOGRAFIA DA SALA DE AULA</t>
    </r>
  </si>
  <si>
    <t>TABELA 2026</t>
  </si>
  <si>
    <t>CURSO TEMÁTICO | VALOR ECONÔMICO 2026 | JORNADA IA</t>
  </si>
  <si>
    <t>CURSO TEMÁTICO | VALOR ECONÔMICO 2026 | JORNADA INFRAESTRUTURA E CIDADES</t>
  </si>
  <si>
    <r>
      <rPr>
        <b/>
        <sz val="10"/>
        <color rgb="FF00B050"/>
        <rFont val="Calibri"/>
        <family val="2"/>
        <scheme val="minor"/>
      </rPr>
      <t xml:space="preserve">LOGO DA MARCA APLICADA NOS MATERIAIS  E SITE DO CURSO </t>
    </r>
    <r>
      <rPr>
        <b/>
        <sz val="10"/>
        <rFont val="Calibri"/>
        <family val="2"/>
        <scheme val="minor"/>
      </rPr>
      <t>(CANECA, BLOQUINHO E CANETA)</t>
    </r>
    <r>
      <rPr>
        <b/>
        <sz val="10"/>
        <color rgb="FF00B050"/>
        <rFont val="Calibri"/>
        <family val="2"/>
        <scheme val="minor"/>
      </rPr>
      <t xml:space="preserve"> E LOGO NA COMUNICAÇÃO E CENOGRAFIA DA SALA DE AULA</t>
    </r>
  </si>
  <si>
    <t>TOTAL NEGOCIADO  BRUTO</t>
  </si>
  <si>
    <t>Semana temática | Inteligência Artificial</t>
  </si>
  <si>
    <t>Valor negociado líquido</t>
  </si>
  <si>
    <t>TOTAL LÍQUIDO  (negociação especial para o pacote dos 2 cursos + participação na Jornada IA e Infraestrutura e Cidades)</t>
  </si>
  <si>
    <t>TOTAL LÍQUIDO</t>
  </si>
  <si>
    <t>TOTAL BRUTO</t>
  </si>
  <si>
    <t>TOTAL BRUTO  (negociação especial para o pacote dos 2 cursos + participação na Jornada IA e Infraestrutura e Cidades)</t>
  </si>
  <si>
    <t>Valor negociado Bruto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</si>
</sst>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R$&quot;\ * #,##0.00_-;\-&quot;R$&quot;\ * #,##0.00_-;_-&quot;R$&quot;\ * &quot;-&quot;??_-;_-@_-"/>
    <numFmt numFmtId="43" formatCode="_-* #,##0.00_-;\-* #,##0.00_-;_-* &quot;-&quot;??_-;_-@_-"/>
    <numFmt numFmtId="164" formatCode="&quot;R$&quot;\ #,##0;[Red]&quot;R$&quot;\ #,##0"/>
    <numFmt numFmtId="165" formatCode="&quot;R$&quot;\ #,##0"/>
    <numFmt numFmtId="166" formatCode="&quot;R$&quot;\ #,##0.00"/>
    <numFmt numFmtId="167" formatCode="&quot;R$&quot;\ #,##0.00;[Red]&quot;R$&quot;\ #,##0.00"/>
    <numFmt numFmtId="168" formatCode="_-&quot;R$&quot;\ * #,##0_-;\-&quot;R$&quot;\ * #,##0_-;_-&quot;R$&quot;\ * &quot;-&quot;??_-;_-@_-"/>
  </numFmts>
  <fonts count="3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name val="Arial"/>
      <family val="2"/>
    </font>
    <font>
      <b/>
      <sz val="28"/>
      <color theme="0"/>
      <name val="Calibri"/>
      <family val="2"/>
      <scheme val="minor"/>
    </font>
    <font>
      <b/>
      <sz val="10"/>
      <color theme="0"/>
      <name val="Calibri"/>
      <family val="2"/>
      <scheme val="minor"/>
    </font>
    <font>
      <b/>
      <sz val="10"/>
      <color theme="1"/>
      <name val="Calibri"/>
      <family val="2"/>
      <scheme val="minor"/>
    </font>
    <font>
      <b/>
      <sz val="10"/>
      <color rgb="FF000000"/>
      <name val="Calibri"/>
      <family val="2"/>
      <scheme val="minor"/>
    </font>
    <font>
      <b/>
      <sz val="10"/>
      <color theme="2" tint="-0.249977111117893"/>
      <name val="Calibri"/>
      <family val="2"/>
      <scheme val="minor"/>
    </font>
    <font>
      <b/>
      <sz val="10"/>
      <name val="Calibri"/>
      <family val="2"/>
      <scheme val="minor"/>
    </font>
    <font>
      <b/>
      <sz val="11"/>
      <color rgb="FF000000"/>
      <name val="Calibri"/>
      <family val="2"/>
      <scheme val="minor"/>
    </font>
    <font>
      <b/>
      <sz val="11"/>
      <color rgb="FFDA1C08"/>
      <name val="Calibri"/>
      <family val="2"/>
      <scheme val="minor"/>
    </font>
    <font>
      <b/>
      <sz val="16"/>
      <color theme="0"/>
      <name val="Calibri"/>
      <family val="2"/>
      <scheme val="minor"/>
    </font>
    <font>
      <b/>
      <i/>
      <sz val="10"/>
      <color theme="1"/>
      <name val="Calibri"/>
      <family val="2"/>
      <scheme val="minor"/>
    </font>
    <font>
      <sz val="10"/>
      <color theme="1"/>
      <name val="Calibri"/>
      <family val="2"/>
      <scheme val="minor"/>
    </font>
    <font>
      <sz val="9"/>
      <color theme="1"/>
      <name val="Calibri"/>
      <family val="2"/>
      <scheme val="minor"/>
    </font>
    <font>
      <sz val="18"/>
      <color theme="1"/>
      <name val="Calibri"/>
      <family val="2"/>
      <scheme val="minor"/>
    </font>
    <font>
      <sz val="16"/>
      <color theme="1"/>
      <name val="Calibri"/>
      <family val="2"/>
      <scheme val="minor"/>
    </font>
    <font>
      <b/>
      <sz val="24"/>
      <color theme="0"/>
      <name val="Calibri"/>
      <family val="2"/>
      <scheme val="minor"/>
    </font>
    <font>
      <b/>
      <sz val="11"/>
      <name val="Calibri"/>
      <family val="2"/>
      <scheme val="minor"/>
    </font>
    <font>
      <b/>
      <sz val="10"/>
      <color rgb="FFFF0000"/>
      <name val="Calibri"/>
      <family val="2"/>
      <scheme val="minor"/>
    </font>
    <font>
      <b/>
      <sz val="10"/>
      <color rgb="FF0070C0"/>
      <name val="Calibri"/>
      <family val="2"/>
      <scheme val="minor"/>
    </font>
    <font>
      <b/>
      <sz val="11"/>
      <color rgb="FFFF0000"/>
      <name val="Arial"/>
      <family val="2"/>
    </font>
    <font>
      <sz val="11"/>
      <color rgb="FFFFB3B3"/>
      <name val="Arial"/>
      <family val="2"/>
    </font>
    <font>
      <sz val="11"/>
      <color theme="1" tint="0.14999847407452621"/>
      <name val="Arial"/>
      <family val="2"/>
    </font>
    <font>
      <b/>
      <sz val="11"/>
      <color rgb="FFFF0000"/>
      <name val="Calibri"/>
      <family val="2"/>
      <scheme val="minor"/>
    </font>
    <font>
      <b/>
      <sz val="12"/>
      <color theme="0"/>
      <name val="Open Sans"/>
      <family val="2"/>
    </font>
    <font>
      <b/>
      <sz val="11"/>
      <color theme="0"/>
      <name val="Open Sans"/>
      <family val="2"/>
    </font>
    <font>
      <b/>
      <sz val="12"/>
      <color theme="0"/>
      <name val="Calibri"/>
      <family val="2"/>
      <scheme val="minor"/>
    </font>
    <font>
      <sz val="11"/>
      <name val="Open Sans"/>
      <family val="2"/>
    </font>
    <font>
      <b/>
      <sz val="11"/>
      <color theme="1"/>
      <name val="Open Sans"/>
      <family val="2"/>
    </font>
    <font>
      <b/>
      <sz val="11"/>
      <color theme="1"/>
      <name val="Arial"/>
      <family val="2"/>
    </font>
    <font>
      <b/>
      <sz val="10"/>
      <color rgb="FF00B050"/>
      <name val="Calibri"/>
      <family val="2"/>
      <scheme val="minor"/>
    </font>
    <font>
      <sz val="11"/>
      <color theme="1"/>
      <name val="Open Sans"/>
      <family val="2"/>
    </font>
    <font>
      <b/>
      <sz val="11"/>
      <color rgb="FF00B0F0"/>
      <name val="Open Sans"/>
      <family val="2"/>
    </font>
    <font>
      <sz val="12"/>
      <color theme="1"/>
      <name val="Calibri"/>
      <family val="2"/>
      <scheme val="minor"/>
    </font>
  </fonts>
  <fills count="25">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rgb="FF002E2D"/>
        <bgColor indexed="64"/>
      </patternFill>
    </fill>
    <fill>
      <patternFill patternType="solid">
        <fgColor theme="0" tint="-0.14999847407452621"/>
        <bgColor indexed="64"/>
      </patternFill>
    </fill>
    <fill>
      <patternFill patternType="solid">
        <fgColor rgb="FF004442"/>
        <bgColor indexed="64"/>
      </patternFill>
    </fill>
    <fill>
      <patternFill patternType="solid">
        <fgColor rgb="FF007A77"/>
        <bgColor indexed="64"/>
      </patternFill>
    </fill>
    <fill>
      <patternFill patternType="solid">
        <fgColor rgb="FF00B0F0"/>
        <bgColor indexed="64"/>
      </patternFill>
    </fill>
    <fill>
      <patternFill patternType="solid">
        <fgColor rgb="FF0070C0"/>
        <bgColor indexed="64"/>
      </patternFill>
    </fill>
    <fill>
      <patternFill patternType="solid">
        <fgColor theme="1" tint="0.14999847407452621"/>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9" tint="-0.49998474074526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002060"/>
        <bgColor indexed="64"/>
      </patternFill>
    </fill>
    <fill>
      <patternFill patternType="solid">
        <fgColor rgb="FF7030A0"/>
        <bgColor indexed="64"/>
      </patternFill>
    </fill>
    <fill>
      <patternFill patternType="solid">
        <fgColor rgb="FFCCCCFF"/>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0"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indexed="64"/>
      </left>
      <right/>
      <top/>
      <bottom style="thin">
        <color indexed="64"/>
      </bottom>
      <diagonal/>
    </border>
    <border>
      <left style="medium">
        <color indexed="64"/>
      </left>
      <right style="thin">
        <color auto="1"/>
      </right>
      <top style="medium">
        <color indexed="64"/>
      </top>
      <bottom/>
      <diagonal/>
    </border>
    <border>
      <left style="medium">
        <color indexed="64"/>
      </left>
      <right style="thin">
        <color auto="1"/>
      </right>
      <top/>
      <bottom style="thin">
        <color auto="1"/>
      </bottom>
      <diagonal/>
    </border>
    <border>
      <left style="medium">
        <color indexed="64"/>
      </left>
      <right/>
      <top style="medium">
        <color indexed="64"/>
      </top>
      <bottom style="medium">
        <color indexed="64"/>
      </bottom>
      <diagonal/>
    </border>
    <border>
      <left style="medium">
        <color indexed="64"/>
      </left>
      <right style="thin">
        <color indexed="64"/>
      </right>
      <top style="thin">
        <color auto="1"/>
      </top>
      <bottom/>
      <diagonal/>
    </border>
    <border>
      <left style="medium">
        <color indexed="64"/>
      </left>
      <right style="thin">
        <color indexed="64"/>
      </right>
      <top/>
      <bottom style="medium">
        <color indexed="64"/>
      </bottom>
      <diagonal/>
    </border>
    <border>
      <left/>
      <right style="thin">
        <color auto="1"/>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auto="1"/>
      </left>
      <right/>
      <top style="thin">
        <color auto="1"/>
      </top>
      <bottom/>
      <diagonal/>
    </border>
    <border>
      <left/>
      <right style="thin">
        <color auto="1"/>
      </right>
      <top style="thin">
        <color auto="1"/>
      </top>
      <bottom/>
      <diagonal/>
    </border>
  </borders>
  <cellStyleXfs count="8">
    <xf numFmtId="0" fontId="0" fillId="0" borderId="0"/>
    <xf numFmtId="9" fontId="1" fillId="0" borderId="0" applyFont="0" applyFill="0" applyBorder="0" applyAlignment="0" applyProtection="0"/>
    <xf numFmtId="0" fontId="1"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247">
    <xf numFmtId="0" fontId="0" fillId="0" borderId="0" xfId="0"/>
    <xf numFmtId="0" fontId="1" fillId="2" borderId="0" xfId="2" applyFill="1" applyAlignment="1">
      <alignment wrapText="1"/>
    </xf>
    <xf numFmtId="0" fontId="2" fillId="2" borderId="0" xfId="3" applyFont="1" applyFill="1" applyAlignment="1">
      <alignment horizontal="center" vertical="center" wrapText="1"/>
    </xf>
    <xf numFmtId="0" fontId="1" fillId="0" borderId="0" xfId="2" applyAlignment="1">
      <alignment wrapText="1"/>
    </xf>
    <xf numFmtId="0" fontId="2" fillId="3" borderId="1" xfId="3" applyFont="1" applyFill="1" applyBorder="1" applyAlignment="1">
      <alignment horizontal="center" vertical="center" wrapText="1"/>
    </xf>
    <xf numFmtId="9" fontId="2" fillId="2" borderId="0" xfId="3" applyNumberFormat="1" applyFont="1" applyFill="1" applyAlignment="1">
      <alignment horizontal="center" vertical="center" wrapText="1"/>
    </xf>
    <xf numFmtId="0" fontId="2" fillId="0" borderId="0" xfId="3" applyFont="1" applyAlignment="1">
      <alignment horizontal="center" vertical="center" wrapText="1"/>
    </xf>
    <xf numFmtId="0" fontId="6" fillId="2" borderId="0" xfId="3" applyFont="1" applyFill="1" applyAlignment="1">
      <alignment horizontal="center" vertical="center" wrapText="1"/>
    </xf>
    <xf numFmtId="0" fontId="7" fillId="0" borderId="0" xfId="3" applyFont="1" applyAlignment="1">
      <alignment horizontal="center" vertical="center" wrapText="1"/>
    </xf>
    <xf numFmtId="0" fontId="8" fillId="0" borderId="1" xfId="3" applyFont="1" applyBorder="1" applyAlignment="1">
      <alignment horizontal="center" vertical="center" wrapText="1"/>
    </xf>
    <xf numFmtId="0" fontId="8" fillId="0" borderId="4" xfId="3" applyFont="1" applyBorder="1" applyAlignment="1">
      <alignment horizontal="center" vertical="center" wrapText="1"/>
    </xf>
    <xf numFmtId="0" fontId="9" fillId="0" borderId="4" xfId="3" applyFont="1" applyBorder="1" applyAlignment="1">
      <alignment horizontal="center" vertical="center" wrapText="1"/>
    </xf>
    <xf numFmtId="0" fontId="10" fillId="0" borderId="1" xfId="3" applyFont="1" applyBorder="1" applyAlignment="1">
      <alignment horizontal="center" vertical="center" wrapText="1"/>
    </xf>
    <xf numFmtId="164" fontId="10" fillId="0" borderId="1" xfId="4" applyNumberFormat="1" applyFont="1" applyBorder="1" applyAlignment="1">
      <alignment horizontal="center" vertical="center" wrapText="1"/>
    </xf>
    <xf numFmtId="9" fontId="10" fillId="0" borderId="1" xfId="5" applyFont="1" applyBorder="1" applyAlignment="1">
      <alignment horizontal="center" vertical="center" wrapText="1"/>
    </xf>
    <xf numFmtId="164" fontId="10" fillId="5" borderId="1" xfId="4" applyNumberFormat="1" applyFont="1" applyFill="1" applyBorder="1" applyAlignment="1">
      <alignment horizontal="center" vertical="center"/>
    </xf>
    <xf numFmtId="0" fontId="8" fillId="0" borderId="0" xfId="3" applyFont="1" applyAlignment="1">
      <alignment horizontal="center" vertical="center" wrapText="1"/>
    </xf>
    <xf numFmtId="0" fontId="9" fillId="0" borderId="0" xfId="3" applyFont="1" applyAlignment="1">
      <alignment horizontal="center" vertical="center" wrapText="1"/>
    </xf>
    <xf numFmtId="0" fontId="10" fillId="0" borderId="0" xfId="3" applyFont="1" applyAlignment="1">
      <alignment horizontal="center" vertical="center" wrapText="1"/>
    </xf>
    <xf numFmtId="164" fontId="10" fillId="0" borderId="0" xfId="4" applyNumberFormat="1" applyFont="1" applyBorder="1" applyAlignment="1">
      <alignment horizontal="center" vertical="center" wrapText="1"/>
    </xf>
    <xf numFmtId="9" fontId="10" fillId="0" borderId="0" xfId="5" applyFont="1" applyBorder="1" applyAlignment="1">
      <alignment horizontal="center" vertical="center" wrapText="1"/>
    </xf>
    <xf numFmtId="164" fontId="10" fillId="5" borderId="0" xfId="4" applyNumberFormat="1" applyFont="1" applyFill="1" applyBorder="1" applyAlignment="1">
      <alignment horizontal="center" vertical="center"/>
    </xf>
    <xf numFmtId="0" fontId="7" fillId="0" borderId="7" xfId="3" applyFont="1" applyBorder="1" applyAlignment="1">
      <alignment horizontal="center" vertical="center" wrapText="1"/>
    </xf>
    <xf numFmtId="0" fontId="2" fillId="2" borderId="7" xfId="3" applyFont="1" applyFill="1" applyBorder="1" applyAlignment="1">
      <alignment horizontal="center" vertical="center" wrapText="1"/>
    </xf>
    <xf numFmtId="0" fontId="8" fillId="0" borderId="7" xfId="3" applyFont="1" applyBorder="1" applyAlignment="1">
      <alignment horizontal="center" vertical="center" wrapText="1"/>
    </xf>
    <xf numFmtId="0" fontId="9" fillId="0" borderId="7" xfId="3" applyFont="1" applyBorder="1" applyAlignment="1">
      <alignment horizontal="center" vertical="center" wrapText="1"/>
    </xf>
    <xf numFmtId="164" fontId="10" fillId="0" borderId="7" xfId="4" applyNumberFormat="1" applyFont="1" applyBorder="1" applyAlignment="1">
      <alignment horizontal="center" vertical="center" wrapText="1"/>
    </xf>
    <xf numFmtId="0" fontId="7" fillId="2" borderId="0" xfId="3" applyFont="1" applyFill="1" applyAlignment="1">
      <alignment horizontal="center" vertical="center" wrapText="1"/>
    </xf>
    <xf numFmtId="0" fontId="8" fillId="2" borderId="0" xfId="3" applyFont="1" applyFill="1" applyAlignment="1">
      <alignment horizontal="center" vertical="center" wrapText="1"/>
    </xf>
    <xf numFmtId="0" fontId="9" fillId="2" borderId="0" xfId="3" applyFont="1" applyFill="1" applyAlignment="1">
      <alignment horizontal="center" vertical="center" wrapText="1"/>
    </xf>
    <xf numFmtId="0" fontId="10" fillId="2" borderId="0" xfId="3" applyFont="1" applyFill="1" applyAlignment="1">
      <alignment horizontal="center" vertical="center" wrapText="1"/>
    </xf>
    <xf numFmtId="164" fontId="10" fillId="2" borderId="0" xfId="4" applyNumberFormat="1" applyFont="1" applyFill="1" applyBorder="1" applyAlignment="1">
      <alignment horizontal="center" vertical="center" wrapText="1"/>
    </xf>
    <xf numFmtId="9" fontId="10" fillId="2" borderId="0" xfId="5" applyFont="1" applyFill="1" applyBorder="1" applyAlignment="1">
      <alignment horizontal="center" vertical="center" wrapText="1"/>
    </xf>
    <xf numFmtId="164" fontId="10" fillId="2" borderId="0" xfId="4" applyNumberFormat="1" applyFont="1" applyFill="1" applyBorder="1" applyAlignment="1">
      <alignment horizontal="center" vertical="center"/>
    </xf>
    <xf numFmtId="0" fontId="7" fillId="0" borderId="1" xfId="3" applyFont="1" applyBorder="1" applyAlignment="1">
      <alignment horizontal="center" vertical="center" wrapText="1"/>
    </xf>
    <xf numFmtId="3" fontId="8" fillId="0" borderId="1" xfId="3" applyNumberFormat="1" applyFont="1" applyBorder="1" applyAlignment="1">
      <alignment horizontal="center" vertical="center" wrapText="1"/>
    </xf>
    <xf numFmtId="0" fontId="9" fillId="0" borderId="1" xfId="3" applyFont="1" applyBorder="1" applyAlignment="1">
      <alignment horizontal="center" vertical="center" wrapText="1"/>
    </xf>
    <xf numFmtId="3" fontId="10" fillId="0" borderId="1" xfId="3" applyNumberFormat="1" applyFont="1" applyBorder="1" applyAlignment="1">
      <alignment horizontal="center" vertical="center" wrapText="1"/>
    </xf>
    <xf numFmtId="0" fontId="6" fillId="0" borderId="0" xfId="3" applyFont="1" applyAlignment="1">
      <alignment horizontal="center" vertical="center" wrapText="1"/>
    </xf>
    <xf numFmtId="0" fontId="3" fillId="0" borderId="0" xfId="3" applyFont="1" applyAlignment="1">
      <alignment horizontal="center" vertical="center" wrapText="1"/>
    </xf>
    <xf numFmtId="0" fontId="11" fillId="2" borderId="0" xfId="3" applyFont="1" applyFill="1" applyAlignment="1">
      <alignment horizontal="center" vertical="center" wrapText="1"/>
    </xf>
    <xf numFmtId="164" fontId="2" fillId="2" borderId="0" xfId="3" applyNumberFormat="1" applyFont="1" applyFill="1" applyAlignment="1">
      <alignment horizontal="center" vertical="center" wrapText="1"/>
    </xf>
    <xf numFmtId="164" fontId="2" fillId="0" borderId="0" xfId="3" applyNumberFormat="1" applyFont="1" applyAlignment="1">
      <alignment horizontal="center" vertical="center" wrapText="1"/>
    </xf>
    <xf numFmtId="0" fontId="6" fillId="6" borderId="1" xfId="3" applyFont="1" applyFill="1" applyBorder="1" applyAlignment="1">
      <alignment horizontal="center" vertical="center" wrapText="1"/>
    </xf>
    <xf numFmtId="0" fontId="8" fillId="0" borderId="1" xfId="3" quotePrefix="1" applyFont="1" applyBorder="1" applyAlignment="1">
      <alignment horizontal="left" vertical="center" wrapText="1"/>
    </xf>
    <xf numFmtId="0" fontId="8" fillId="0" borderId="4" xfId="3" quotePrefix="1" applyFont="1" applyBorder="1" applyAlignment="1">
      <alignment horizontal="center" vertical="center" wrapText="1"/>
    </xf>
    <xf numFmtId="164" fontId="10" fillId="0" borderId="1" xfId="4" quotePrefix="1" applyNumberFormat="1" applyFont="1" applyBorder="1" applyAlignment="1">
      <alignment horizontal="center" vertical="center" wrapText="1"/>
    </xf>
    <xf numFmtId="9" fontId="7" fillId="0" borderId="1" xfId="5" quotePrefix="1" applyFont="1" applyBorder="1" applyAlignment="1">
      <alignment horizontal="center" vertical="center" wrapText="1"/>
    </xf>
    <xf numFmtId="164" fontId="1" fillId="2" borderId="0" xfId="2" applyNumberFormat="1" applyFill="1" applyAlignment="1">
      <alignment wrapText="1"/>
    </xf>
    <xf numFmtId="0" fontId="12" fillId="2" borderId="0" xfId="3" applyFont="1" applyFill="1" applyAlignment="1">
      <alignment horizontal="center" vertical="center" wrapText="1"/>
    </xf>
    <xf numFmtId="0" fontId="7" fillId="0" borderId="1" xfId="3" quotePrefix="1" applyFont="1" applyBorder="1" applyAlignment="1">
      <alignment horizontal="center" vertical="center" wrapText="1"/>
    </xf>
    <xf numFmtId="0" fontId="8" fillId="0" borderId="1" xfId="3" applyFont="1" applyBorder="1" applyAlignment="1">
      <alignment horizontal="left" vertical="center" wrapText="1"/>
    </xf>
    <xf numFmtId="164" fontId="7" fillId="0" borderId="1" xfId="4" applyNumberFormat="1" applyFont="1" applyBorder="1" applyAlignment="1">
      <alignment horizontal="center" vertical="center" wrapText="1"/>
    </xf>
    <xf numFmtId="0" fontId="1" fillId="2" borderId="0" xfId="2" applyFill="1" applyAlignment="1">
      <alignment horizontal="center" wrapText="1"/>
    </xf>
    <xf numFmtId="0" fontId="6" fillId="0" borderId="0" xfId="3" applyFont="1" applyAlignment="1">
      <alignment vertical="center" wrapText="1"/>
    </xf>
    <xf numFmtId="0" fontId="1" fillId="0" borderId="0" xfId="2" applyAlignment="1">
      <alignment horizontal="center" wrapText="1"/>
    </xf>
    <xf numFmtId="165" fontId="6" fillId="3" borderId="1" xfId="3" applyNumberFormat="1" applyFont="1" applyFill="1" applyBorder="1" applyAlignment="1">
      <alignment horizontal="center" vertical="center" wrapText="1"/>
    </xf>
    <xf numFmtId="0" fontId="15" fillId="2" borderId="0" xfId="2" applyFont="1" applyFill="1" applyAlignment="1">
      <alignment horizontal="left" vertical="center" wrapText="1"/>
    </xf>
    <xf numFmtId="0" fontId="15" fillId="2" borderId="0" xfId="2" applyFont="1" applyFill="1" applyAlignment="1">
      <alignment horizontal="center" vertical="center" wrapText="1"/>
    </xf>
    <xf numFmtId="9" fontId="6" fillId="3" borderId="1" xfId="5" applyFont="1" applyFill="1" applyBorder="1" applyAlignment="1">
      <alignment horizontal="center" vertical="center"/>
    </xf>
    <xf numFmtId="0" fontId="15" fillId="0" borderId="0" xfId="2" applyFont="1" applyAlignment="1">
      <alignment horizontal="center" wrapText="1"/>
    </xf>
    <xf numFmtId="166" fontId="6" fillId="3" borderId="1" xfId="3" applyNumberFormat="1" applyFont="1" applyFill="1" applyBorder="1" applyAlignment="1">
      <alignment horizontal="center" vertical="center" wrapText="1"/>
    </xf>
    <xf numFmtId="164" fontId="1" fillId="0" borderId="0" xfId="2" applyNumberFormat="1" applyAlignment="1">
      <alignment wrapText="1"/>
    </xf>
    <xf numFmtId="0" fontId="14" fillId="2" borderId="0" xfId="2" applyFont="1" applyFill="1" applyAlignment="1">
      <alignment horizontal="center" vertical="center" wrapText="1"/>
    </xf>
    <xf numFmtId="0" fontId="15" fillId="2" borderId="0" xfId="2" applyFont="1" applyFill="1" applyAlignment="1">
      <alignment wrapText="1"/>
    </xf>
    <xf numFmtId="0" fontId="15" fillId="2" borderId="0" xfId="2" applyFont="1" applyFill="1" applyAlignment="1">
      <alignment horizontal="center" wrapText="1"/>
    </xf>
    <xf numFmtId="165" fontId="15" fillId="2" borderId="0" xfId="2" applyNumberFormat="1" applyFont="1" applyFill="1" applyAlignment="1">
      <alignment horizontal="center" wrapText="1"/>
    </xf>
    <xf numFmtId="165" fontId="1" fillId="2" borderId="0" xfId="2" applyNumberFormat="1" applyFill="1" applyAlignment="1">
      <alignment wrapText="1"/>
    </xf>
    <xf numFmtId="166" fontId="1" fillId="2" borderId="0" xfId="2" applyNumberFormat="1" applyFill="1" applyAlignment="1">
      <alignment wrapText="1"/>
    </xf>
    <xf numFmtId="0" fontId="15" fillId="0" borderId="0" xfId="2" applyFont="1" applyAlignment="1">
      <alignment wrapText="1"/>
    </xf>
    <xf numFmtId="166" fontId="6" fillId="9" borderId="1" xfId="3" applyNumberFormat="1" applyFont="1" applyFill="1" applyBorder="1" applyAlignment="1">
      <alignment horizontal="center" vertical="center" wrapText="1"/>
    </xf>
    <xf numFmtId="0" fontId="0" fillId="2" borderId="0" xfId="0" applyFill="1" applyAlignment="1">
      <alignment wrapText="1"/>
    </xf>
    <xf numFmtId="0" fontId="0" fillId="0" borderId="0" xfId="0" applyAlignment="1">
      <alignment wrapText="1"/>
    </xf>
    <xf numFmtId="0" fontId="2" fillId="8" borderId="8" xfId="3" applyFont="1" applyFill="1" applyBorder="1" applyAlignment="1">
      <alignment horizontal="center" vertical="center" wrapText="1"/>
    </xf>
    <xf numFmtId="17" fontId="2" fillId="8" borderId="1" xfId="3" quotePrefix="1" applyNumberFormat="1" applyFont="1" applyFill="1" applyBorder="1" applyAlignment="1">
      <alignment horizontal="center" vertical="center" wrapText="1"/>
    </xf>
    <xf numFmtId="0" fontId="6" fillId="10" borderId="2" xfId="3" applyFont="1" applyFill="1" applyBorder="1" applyAlignment="1">
      <alignment horizontal="center" vertical="center" wrapText="1"/>
    </xf>
    <xf numFmtId="3" fontId="20" fillId="0" borderId="1" xfId="3" applyNumberFormat="1" applyFont="1" applyBorder="1" applyAlignment="1">
      <alignment horizontal="center" vertical="center" wrapText="1"/>
    </xf>
    <xf numFmtId="3" fontId="20" fillId="11" borderId="1" xfId="3" applyNumberFormat="1" applyFont="1" applyFill="1" applyBorder="1" applyAlignment="1">
      <alignment horizontal="center" vertical="center" wrapText="1"/>
    </xf>
    <xf numFmtId="167" fontId="10" fillId="0" borderId="1" xfId="4" applyNumberFormat="1" applyFont="1" applyFill="1" applyBorder="1" applyAlignment="1">
      <alignment horizontal="center" vertical="center" wrapText="1"/>
    </xf>
    <xf numFmtId="9" fontId="10" fillId="0" borderId="1" xfId="5" applyFont="1" applyFill="1" applyBorder="1" applyAlignment="1">
      <alignment horizontal="center" vertical="center" wrapText="1"/>
    </xf>
    <xf numFmtId="167" fontId="21" fillId="11" borderId="1" xfId="4" applyNumberFormat="1" applyFont="1" applyFill="1" applyBorder="1" applyAlignment="1">
      <alignment horizontal="center" vertical="center"/>
    </xf>
    <xf numFmtId="0" fontId="3" fillId="2" borderId="0" xfId="3" applyFont="1" applyFill="1" applyAlignment="1">
      <alignment horizontal="center" vertical="center" wrapText="1"/>
    </xf>
    <xf numFmtId="0" fontId="6" fillId="2" borderId="0" xfId="3" applyFont="1" applyFill="1" applyAlignment="1">
      <alignment vertical="center" wrapText="1"/>
    </xf>
    <xf numFmtId="167" fontId="10" fillId="11" borderId="1" xfId="4" applyNumberFormat="1" applyFont="1" applyFill="1" applyBorder="1" applyAlignment="1">
      <alignment horizontal="center" vertical="center"/>
    </xf>
    <xf numFmtId="4" fontId="0" fillId="2" borderId="0" xfId="0" applyNumberFormat="1" applyFill="1" applyAlignment="1">
      <alignment wrapText="1"/>
    </xf>
    <xf numFmtId="0" fontId="10" fillId="12" borderId="1" xfId="3" applyFont="1" applyFill="1" applyBorder="1" applyAlignment="1">
      <alignment horizontal="center" vertical="center" wrapText="1"/>
    </xf>
    <xf numFmtId="3" fontId="10" fillId="12" borderId="1" xfId="3" applyNumberFormat="1" applyFont="1" applyFill="1" applyBorder="1" applyAlignment="1">
      <alignment horizontal="center" vertical="center" wrapText="1"/>
    </xf>
    <xf numFmtId="167" fontId="10" fillId="12" borderId="1" xfId="4" applyNumberFormat="1" applyFont="1" applyFill="1" applyBorder="1" applyAlignment="1">
      <alignment horizontal="center" vertical="center" wrapText="1"/>
    </xf>
    <xf numFmtId="3" fontId="20" fillId="2" borderId="0" xfId="3" applyNumberFormat="1" applyFont="1" applyFill="1" applyAlignment="1">
      <alignment horizontal="center" vertical="center" wrapText="1"/>
    </xf>
    <xf numFmtId="167" fontId="10" fillId="2" borderId="0" xfId="4" applyNumberFormat="1" applyFont="1" applyFill="1" applyBorder="1" applyAlignment="1">
      <alignment horizontal="center" vertical="center" wrapText="1"/>
    </xf>
    <xf numFmtId="167" fontId="10" fillId="2" borderId="0" xfId="4" applyNumberFormat="1" applyFont="1" applyFill="1" applyBorder="1" applyAlignment="1">
      <alignment horizontal="center" vertical="center"/>
    </xf>
    <xf numFmtId="9" fontId="10" fillId="12" borderId="1" xfId="5" applyFont="1" applyFill="1" applyBorder="1" applyAlignment="1">
      <alignment horizontal="center" vertical="center" wrapText="1"/>
    </xf>
    <xf numFmtId="167" fontId="10" fillId="2" borderId="10" xfId="4" applyNumberFormat="1" applyFont="1" applyFill="1" applyBorder="1" applyAlignment="1">
      <alignment horizontal="center" vertical="center"/>
    </xf>
    <xf numFmtId="0" fontId="10" fillId="2" borderId="1" xfId="3" applyFont="1" applyFill="1" applyBorder="1" applyAlignment="1">
      <alignment horizontal="center" vertical="center" wrapText="1"/>
    </xf>
    <xf numFmtId="3" fontId="10" fillId="2" borderId="1" xfId="3" applyNumberFormat="1" applyFont="1" applyFill="1" applyBorder="1" applyAlignment="1">
      <alignment horizontal="center" vertical="center" wrapText="1"/>
    </xf>
    <xf numFmtId="167" fontId="10" fillId="2" borderId="1" xfId="4" applyNumberFormat="1" applyFont="1" applyFill="1" applyBorder="1" applyAlignment="1">
      <alignment horizontal="center" vertical="center" wrapText="1"/>
    </xf>
    <xf numFmtId="9" fontId="10" fillId="2" borderId="1" xfId="5" applyFont="1" applyFill="1" applyBorder="1" applyAlignment="1">
      <alignment horizontal="center" vertical="center" wrapText="1"/>
    </xf>
    <xf numFmtId="167" fontId="10" fillId="2" borderId="1" xfId="4" applyNumberFormat="1" applyFont="1" applyFill="1" applyBorder="1" applyAlignment="1">
      <alignment horizontal="center" vertical="center"/>
    </xf>
    <xf numFmtId="3" fontId="0" fillId="2" borderId="0" xfId="0" applyNumberFormat="1" applyFill="1" applyAlignment="1">
      <alignment wrapText="1"/>
    </xf>
    <xf numFmtId="0" fontId="10" fillId="5" borderId="1" xfId="3" applyFont="1" applyFill="1" applyBorder="1" applyAlignment="1">
      <alignment horizontal="center" vertical="center" wrapText="1"/>
    </xf>
    <xf numFmtId="0" fontId="15" fillId="2" borderId="0" xfId="0" applyFont="1" applyFill="1" applyAlignment="1">
      <alignment wrapText="1"/>
    </xf>
    <xf numFmtId="0" fontId="15" fillId="0" borderId="0" xfId="0" applyFont="1" applyAlignment="1">
      <alignment wrapText="1"/>
    </xf>
    <xf numFmtId="0" fontId="24" fillId="0" borderId="0" xfId="0" applyFont="1"/>
    <xf numFmtId="0" fontId="25" fillId="0" borderId="0" xfId="0" applyFont="1" applyAlignment="1">
      <alignment horizontal="right"/>
    </xf>
    <xf numFmtId="165" fontId="23" fillId="0" borderId="0" xfId="0" applyNumberFormat="1" applyFont="1"/>
    <xf numFmtId="0" fontId="26" fillId="0" borderId="0" xfId="0" applyFont="1" applyAlignment="1">
      <alignment horizontal="right"/>
    </xf>
    <xf numFmtId="165" fontId="26" fillId="0" borderId="0" xfId="0" applyNumberFormat="1" applyFont="1"/>
    <xf numFmtId="9" fontId="0" fillId="0" borderId="0" xfId="1" applyFont="1"/>
    <xf numFmtId="168" fontId="30" fillId="0" borderId="0" xfId="0" applyNumberFormat="1" applyFont="1" applyAlignment="1">
      <alignment horizontal="center"/>
    </xf>
    <xf numFmtId="0" fontId="3" fillId="0" borderId="0" xfId="0" applyFont="1" applyAlignment="1">
      <alignment horizontal="right"/>
    </xf>
    <xf numFmtId="168" fontId="32" fillId="0" borderId="0" xfId="0" applyNumberFormat="1" applyFont="1" applyAlignment="1">
      <alignment horizontal="right"/>
    </xf>
    <xf numFmtId="0" fontId="16" fillId="0" borderId="0" xfId="0" applyFont="1"/>
    <xf numFmtId="166" fontId="0" fillId="0" borderId="0" xfId="0" applyNumberFormat="1"/>
    <xf numFmtId="168" fontId="0" fillId="0" borderId="0" xfId="0" applyNumberFormat="1"/>
    <xf numFmtId="0" fontId="10" fillId="17" borderId="1" xfId="3" applyFont="1" applyFill="1" applyBorder="1" applyAlignment="1">
      <alignment horizontal="center" vertical="center" wrapText="1"/>
    </xf>
    <xf numFmtId="0" fontId="2" fillId="16" borderId="8" xfId="3" applyFont="1" applyFill="1" applyBorder="1" applyAlignment="1">
      <alignment horizontal="center" vertical="center" wrapText="1"/>
    </xf>
    <xf numFmtId="17" fontId="2" fillId="16" borderId="1" xfId="3" quotePrefix="1" applyNumberFormat="1" applyFont="1" applyFill="1" applyBorder="1" applyAlignment="1">
      <alignment horizontal="center" vertical="center" wrapText="1"/>
    </xf>
    <xf numFmtId="165" fontId="10" fillId="15" borderId="8" xfId="3" applyNumberFormat="1" applyFont="1" applyFill="1" applyBorder="1" applyAlignment="1">
      <alignment horizontal="center" vertical="center" wrapText="1"/>
    </xf>
    <xf numFmtId="3" fontId="6" fillId="16" borderId="1" xfId="3" applyNumberFormat="1" applyFont="1" applyFill="1" applyBorder="1" applyAlignment="1">
      <alignment horizontal="center" vertical="center" wrapText="1"/>
    </xf>
    <xf numFmtId="165" fontId="6" fillId="16" borderId="1" xfId="3" applyNumberFormat="1" applyFont="1" applyFill="1" applyBorder="1" applyAlignment="1">
      <alignment horizontal="center" vertical="center" wrapText="1"/>
    </xf>
    <xf numFmtId="165" fontId="10" fillId="18" borderId="1" xfId="3" applyNumberFormat="1" applyFont="1" applyFill="1" applyBorder="1" applyAlignment="1">
      <alignment horizontal="center" vertical="center" wrapText="1"/>
    </xf>
    <xf numFmtId="9" fontId="10" fillId="18" borderId="1" xfId="5" applyFont="1" applyFill="1" applyBorder="1" applyAlignment="1">
      <alignment horizontal="center" vertical="center"/>
    </xf>
    <xf numFmtId="168" fontId="28" fillId="19" borderId="6" xfId="0" applyNumberFormat="1" applyFont="1" applyFill="1" applyBorder="1" applyAlignment="1">
      <alignment horizontal="center"/>
    </xf>
    <xf numFmtId="0" fontId="28" fillId="19" borderId="12" xfId="0" applyFont="1" applyFill="1" applyBorder="1" applyAlignment="1">
      <alignment horizontal="center"/>
    </xf>
    <xf numFmtId="165" fontId="0" fillId="2" borderId="0" xfId="0" applyNumberFormat="1" applyFill="1" applyAlignment="1">
      <alignment wrapText="1"/>
    </xf>
    <xf numFmtId="167" fontId="10" fillId="12" borderId="1" xfId="4" applyNumberFormat="1" applyFont="1" applyFill="1" applyBorder="1" applyAlignment="1">
      <alignment horizontal="center" vertical="center"/>
    </xf>
    <xf numFmtId="167" fontId="21" fillId="12" borderId="1" xfId="4" applyNumberFormat="1" applyFont="1" applyFill="1" applyBorder="1" applyAlignment="1">
      <alignment horizontal="center" vertical="center"/>
    </xf>
    <xf numFmtId="0" fontId="2" fillId="20" borderId="8" xfId="3" applyFont="1" applyFill="1" applyBorder="1" applyAlignment="1">
      <alignment horizontal="center" vertical="center" wrapText="1"/>
    </xf>
    <xf numFmtId="17" fontId="2" fillId="20" borderId="1" xfId="3" quotePrefix="1" applyNumberFormat="1" applyFont="1" applyFill="1" applyBorder="1" applyAlignment="1">
      <alignment horizontal="center" vertical="center" wrapText="1"/>
    </xf>
    <xf numFmtId="0" fontId="10" fillId="21" borderId="1" xfId="3" applyFont="1" applyFill="1" applyBorder="1" applyAlignment="1">
      <alignment horizontal="center" vertical="center" wrapText="1"/>
    </xf>
    <xf numFmtId="165" fontId="10" fillId="21" borderId="1" xfId="3" applyNumberFormat="1" applyFont="1" applyFill="1" applyBorder="1" applyAlignment="1">
      <alignment horizontal="center" vertical="center" wrapText="1"/>
    </xf>
    <xf numFmtId="9" fontId="10" fillId="21" borderId="1" xfId="5" applyFont="1" applyFill="1" applyBorder="1" applyAlignment="1">
      <alignment horizontal="center" vertical="center"/>
    </xf>
    <xf numFmtId="165" fontId="6" fillId="20" borderId="1" xfId="3" applyNumberFormat="1" applyFont="1" applyFill="1" applyBorder="1" applyAlignment="1">
      <alignment horizontal="center" vertical="center" wrapText="1"/>
    </xf>
    <xf numFmtId="3" fontId="6" fillId="20" borderId="1" xfId="3" applyNumberFormat="1" applyFont="1" applyFill="1" applyBorder="1" applyAlignment="1">
      <alignment horizontal="center" vertical="center" wrapText="1"/>
    </xf>
    <xf numFmtId="166" fontId="1" fillId="0" borderId="0" xfId="2" applyNumberFormat="1" applyAlignment="1">
      <alignment wrapText="1"/>
    </xf>
    <xf numFmtId="165" fontId="6" fillId="22" borderId="0" xfId="3" applyNumberFormat="1" applyFont="1" applyFill="1" applyAlignment="1">
      <alignment horizontal="center" vertical="center" wrapText="1"/>
    </xf>
    <xf numFmtId="165" fontId="7" fillId="23" borderId="0" xfId="3" applyNumberFormat="1" applyFont="1" applyFill="1" applyAlignment="1">
      <alignment horizontal="center" vertical="center" wrapText="1"/>
    </xf>
    <xf numFmtId="0" fontId="31" fillId="14" borderId="1" xfId="0" applyFont="1" applyFill="1" applyBorder="1"/>
    <xf numFmtId="49" fontId="34" fillId="14" borderId="1" xfId="6" applyNumberFormat="1" applyFont="1" applyFill="1" applyBorder="1" applyAlignment="1">
      <alignment horizontal="center"/>
    </xf>
    <xf numFmtId="3" fontId="34" fillId="0" borderId="1" xfId="6" applyNumberFormat="1" applyFont="1" applyBorder="1" applyAlignment="1">
      <alignment horizontal="center"/>
    </xf>
    <xf numFmtId="165" fontId="34" fillId="0" borderId="1" xfId="6" applyNumberFormat="1" applyFont="1" applyBorder="1" applyAlignment="1">
      <alignment horizontal="center"/>
    </xf>
    <xf numFmtId="49" fontId="34" fillId="0" borderId="1" xfId="6" applyNumberFormat="1" applyFont="1" applyFill="1" applyBorder="1" applyAlignment="1">
      <alignment horizontal="center" vertical="center"/>
    </xf>
    <xf numFmtId="165" fontId="34" fillId="2" borderId="1" xfId="6" applyNumberFormat="1" applyFont="1" applyFill="1" applyBorder="1" applyAlignment="1">
      <alignment horizontal="center" vertical="center"/>
    </xf>
    <xf numFmtId="3" fontId="34" fillId="0" borderId="1" xfId="7" applyNumberFormat="1" applyFont="1" applyFill="1" applyBorder="1" applyAlignment="1">
      <alignment horizontal="center" vertical="center"/>
    </xf>
    <xf numFmtId="0" fontId="28" fillId="19" borderId="20" xfId="0" applyFont="1" applyFill="1" applyBorder="1" applyAlignment="1">
      <alignment horizontal="center"/>
    </xf>
    <xf numFmtId="0" fontId="28" fillId="19" borderId="21" xfId="0" applyFont="1" applyFill="1" applyBorder="1" applyAlignment="1">
      <alignment horizontal="center"/>
    </xf>
    <xf numFmtId="0" fontId="28" fillId="19" borderId="22" xfId="0" applyFont="1" applyFill="1" applyBorder="1" applyAlignment="1">
      <alignment horizontal="center"/>
    </xf>
    <xf numFmtId="0" fontId="31" fillId="0" borderId="1" xfId="0" applyFont="1" applyBorder="1"/>
    <xf numFmtId="49" fontId="34" fillId="0" borderId="1" xfId="6" applyNumberFormat="1" applyFont="1" applyBorder="1" applyAlignment="1">
      <alignment horizontal="center"/>
    </xf>
    <xf numFmtId="0" fontId="35" fillId="2" borderId="1" xfId="0" applyFont="1" applyFill="1" applyBorder="1" applyAlignment="1">
      <alignment vertical="center"/>
    </xf>
    <xf numFmtId="44" fontId="0" fillId="2" borderId="0" xfId="6" applyFont="1" applyFill="1" applyAlignment="1">
      <alignment wrapText="1"/>
    </xf>
    <xf numFmtId="168" fontId="31" fillId="5" borderId="1" xfId="6" applyNumberFormat="1" applyFont="1" applyFill="1" applyBorder="1" applyAlignment="1">
      <alignment horizontal="center"/>
    </xf>
    <xf numFmtId="44" fontId="3" fillId="5" borderId="3" xfId="6" applyFont="1" applyFill="1" applyBorder="1"/>
    <xf numFmtId="0" fontId="28" fillId="24" borderId="22" xfId="0" applyFont="1" applyFill="1" applyBorder="1" applyAlignment="1">
      <alignment horizontal="center"/>
    </xf>
    <xf numFmtId="0" fontId="28" fillId="19" borderId="13" xfId="0" applyFont="1" applyFill="1" applyBorder="1" applyAlignment="1">
      <alignment horizontal="center"/>
    </xf>
    <xf numFmtId="0" fontId="28" fillId="19" borderId="11" xfId="0" applyFont="1" applyFill="1" applyBorder="1" applyAlignment="1">
      <alignment horizontal="center"/>
    </xf>
    <xf numFmtId="0" fontId="28" fillId="19" borderId="12" xfId="0" applyFont="1" applyFill="1" applyBorder="1" applyAlignment="1">
      <alignment horizontal="center"/>
    </xf>
    <xf numFmtId="0" fontId="27" fillId="8" borderId="3" xfId="0" applyFont="1" applyFill="1" applyBorder="1" applyAlignment="1">
      <alignment horizontal="center"/>
    </xf>
    <xf numFmtId="0" fontId="28" fillId="19" borderId="16" xfId="0" applyFont="1" applyFill="1" applyBorder="1" applyAlignment="1">
      <alignment horizontal="center"/>
    </xf>
    <xf numFmtId="0" fontId="28" fillId="19" borderId="19" xfId="0" applyFont="1" applyFill="1" applyBorder="1" applyAlignment="1">
      <alignment horizontal="center"/>
    </xf>
    <xf numFmtId="0" fontId="29" fillId="8" borderId="14" xfId="0" applyFont="1" applyFill="1" applyBorder="1" applyAlignment="1">
      <alignment horizontal="center" vertical="center"/>
    </xf>
    <xf numFmtId="0" fontId="29" fillId="8" borderId="15" xfId="0" applyFont="1" applyFill="1" applyBorder="1" applyAlignment="1">
      <alignment horizontal="center" vertical="center"/>
    </xf>
    <xf numFmtId="0" fontId="29" fillId="19" borderId="17" xfId="0" applyFont="1" applyFill="1" applyBorder="1" applyAlignment="1">
      <alignment horizontal="center" vertical="center" wrapText="1"/>
    </xf>
    <xf numFmtId="0" fontId="29" fillId="19" borderId="18" xfId="0" applyFont="1" applyFill="1" applyBorder="1" applyAlignment="1">
      <alignment horizontal="center" vertical="center" wrapText="1"/>
    </xf>
    <xf numFmtId="0" fontId="28" fillId="5" borderId="13" xfId="0" applyFont="1" applyFill="1" applyBorder="1" applyAlignment="1">
      <alignment horizontal="center"/>
    </xf>
    <xf numFmtId="0" fontId="28" fillId="5" borderId="11" xfId="0" applyFont="1" applyFill="1" applyBorder="1" applyAlignment="1">
      <alignment horizontal="center"/>
    </xf>
    <xf numFmtId="0" fontId="28" fillId="5" borderId="12" xfId="0" applyFont="1" applyFill="1" applyBorder="1" applyAlignment="1">
      <alignment horizontal="center"/>
    </xf>
    <xf numFmtId="0" fontId="28" fillId="5" borderId="23" xfId="0" applyFont="1" applyFill="1" applyBorder="1" applyAlignment="1">
      <alignment horizontal="left"/>
    </xf>
    <xf numFmtId="0" fontId="28" fillId="5" borderId="2" xfId="0" applyFont="1" applyFill="1" applyBorder="1" applyAlignment="1">
      <alignment horizontal="left"/>
    </xf>
    <xf numFmtId="0" fontId="28" fillId="5" borderId="24" xfId="0" applyFont="1" applyFill="1" applyBorder="1" applyAlignment="1">
      <alignment horizontal="left"/>
    </xf>
    <xf numFmtId="0" fontId="14" fillId="2" borderId="0" xfId="2" applyFont="1" applyFill="1" applyAlignment="1">
      <alignment horizontal="left" vertical="center" wrapText="1"/>
    </xf>
    <xf numFmtId="0" fontId="16" fillId="2" borderId="0" xfId="2" applyFont="1" applyFill="1" applyAlignment="1">
      <alignment horizontal="left" vertical="center" wrapText="1"/>
    </xf>
    <xf numFmtId="165" fontId="6" fillId="9" borderId="8" xfId="3" applyNumberFormat="1" applyFont="1" applyFill="1" applyBorder="1" applyAlignment="1">
      <alignment horizontal="center" vertical="center" wrapText="1"/>
    </xf>
    <xf numFmtId="165" fontId="6" fillId="9" borderId="4" xfId="3" applyNumberFormat="1" applyFont="1" applyFill="1" applyBorder="1" applyAlignment="1">
      <alignment horizontal="center" vertical="center" wrapText="1"/>
    </xf>
    <xf numFmtId="165" fontId="6" fillId="3" borderId="8" xfId="3" applyNumberFormat="1" applyFont="1" applyFill="1" applyBorder="1" applyAlignment="1">
      <alignment horizontal="center" vertical="center" wrapText="1"/>
    </xf>
    <xf numFmtId="165" fontId="6" fillId="3" borderId="4" xfId="3" applyNumberFormat="1" applyFont="1" applyFill="1" applyBorder="1" applyAlignment="1">
      <alignment horizontal="center" vertical="center" wrapText="1"/>
    </xf>
    <xf numFmtId="0" fontId="5" fillId="3" borderId="1" xfId="2" applyFont="1" applyFill="1" applyBorder="1" applyAlignment="1">
      <alignment horizontal="left" vertical="center" wrapText="1"/>
    </xf>
    <xf numFmtId="0" fontId="6" fillId="4" borderId="2" xfId="3" applyFont="1" applyFill="1" applyBorder="1" applyAlignment="1">
      <alignment horizontal="center" vertical="center" wrapText="1"/>
    </xf>
    <xf numFmtId="0" fontId="6" fillId="4" borderId="0" xfId="3" applyFont="1" applyFill="1" applyAlignment="1">
      <alignment horizontal="center" vertical="center" wrapText="1"/>
    </xf>
    <xf numFmtId="0" fontId="7" fillId="0" borderId="3" xfId="3" applyFont="1" applyBorder="1" applyAlignment="1">
      <alignment horizontal="center" vertical="center" wrapText="1"/>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wrapText="1"/>
    </xf>
    <xf numFmtId="0" fontId="6" fillId="7" borderId="1" xfId="3" applyFont="1" applyFill="1" applyBorder="1" applyAlignment="1">
      <alignment horizontal="center" vertical="center" wrapText="1"/>
    </xf>
    <xf numFmtId="0" fontId="7" fillId="2" borderId="1" xfId="3" applyFont="1" applyFill="1" applyBorder="1" applyAlignment="1">
      <alignment horizontal="center" vertical="center" wrapText="1"/>
    </xf>
    <xf numFmtId="0" fontId="6" fillId="2" borderId="0" xfId="3" applyFont="1" applyFill="1" applyAlignment="1">
      <alignment horizontal="center" vertical="center" wrapText="1"/>
    </xf>
    <xf numFmtId="0" fontId="6" fillId="2" borderId="10" xfId="3" applyFont="1" applyFill="1" applyBorder="1" applyAlignment="1">
      <alignment horizontal="center" vertical="center" wrapText="1"/>
    </xf>
    <xf numFmtId="165" fontId="6" fillId="13" borderId="1" xfId="3" applyNumberFormat="1" applyFont="1" applyFill="1" applyBorder="1" applyAlignment="1">
      <alignment horizontal="center" vertical="center" wrapText="1"/>
    </xf>
    <xf numFmtId="165" fontId="6" fillId="13" borderId="8" xfId="3" applyNumberFormat="1" applyFont="1" applyFill="1" applyBorder="1" applyAlignment="1">
      <alignment horizontal="center" vertical="center" wrapText="1"/>
    </xf>
    <xf numFmtId="165" fontId="6" fillId="13" borderId="4" xfId="3" applyNumberFormat="1" applyFont="1" applyFill="1" applyBorder="1" applyAlignment="1">
      <alignment horizontal="center" vertical="center" wrapText="1"/>
    </xf>
    <xf numFmtId="165" fontId="6" fillId="8" borderId="1" xfId="3" applyNumberFormat="1" applyFont="1" applyFill="1" applyBorder="1" applyAlignment="1">
      <alignment horizontal="center" vertical="center" wrapText="1"/>
    </xf>
    <xf numFmtId="3" fontId="6" fillId="8" borderId="8" xfId="3" applyNumberFormat="1" applyFont="1" applyFill="1" applyBorder="1" applyAlignment="1">
      <alignment horizontal="center" vertical="center" wrapText="1"/>
    </xf>
    <xf numFmtId="3" fontId="6" fillId="8" borderId="4" xfId="3" applyNumberFormat="1" applyFont="1" applyFill="1" applyBorder="1" applyAlignment="1">
      <alignment horizontal="center" vertical="center" wrapText="1"/>
    </xf>
    <xf numFmtId="165" fontId="6" fillId="10" borderId="1" xfId="3" applyNumberFormat="1" applyFont="1" applyFill="1" applyBorder="1" applyAlignment="1">
      <alignment horizontal="center" vertical="center" wrapText="1"/>
    </xf>
    <xf numFmtId="165" fontId="6" fillId="10" borderId="8" xfId="3" applyNumberFormat="1" applyFont="1" applyFill="1" applyBorder="1" applyAlignment="1">
      <alignment horizontal="center" vertical="center" wrapText="1"/>
    </xf>
    <xf numFmtId="165" fontId="6" fillId="10" borderId="4" xfId="3" applyNumberFormat="1" applyFont="1" applyFill="1" applyBorder="1" applyAlignment="1">
      <alignment horizontal="center" vertical="center" wrapText="1"/>
    </xf>
    <xf numFmtId="9" fontId="6" fillId="10" borderId="8" xfId="5" applyFont="1" applyFill="1" applyBorder="1" applyAlignment="1">
      <alignment horizontal="center" vertical="center"/>
    </xf>
    <xf numFmtId="9" fontId="6" fillId="10" borderId="4" xfId="5" applyFont="1" applyFill="1" applyBorder="1" applyAlignment="1">
      <alignment horizontal="center" vertical="center"/>
    </xf>
    <xf numFmtId="165" fontId="10" fillId="8" borderId="1" xfId="3" applyNumberFormat="1" applyFont="1" applyFill="1" applyBorder="1" applyAlignment="1">
      <alignment horizontal="center" vertical="center" wrapText="1"/>
    </xf>
    <xf numFmtId="165" fontId="10" fillId="8" borderId="8" xfId="3" applyNumberFormat="1" applyFont="1" applyFill="1" applyBorder="1" applyAlignment="1">
      <alignment horizontal="center" vertical="center" wrapText="1"/>
    </xf>
    <xf numFmtId="165" fontId="10" fillId="8" borderId="4" xfId="3" applyNumberFormat="1" applyFont="1" applyFill="1" applyBorder="1" applyAlignment="1">
      <alignment horizontal="center" vertical="center" wrapText="1"/>
    </xf>
    <xf numFmtId="0" fontId="6" fillId="8" borderId="0" xfId="3" applyFont="1" applyFill="1" applyAlignment="1">
      <alignment horizontal="center" vertical="center" wrapText="1"/>
    </xf>
    <xf numFmtId="0" fontId="6" fillId="10" borderId="0" xfId="3" applyFont="1" applyFill="1" applyAlignment="1">
      <alignment horizontal="center" vertical="center" wrapText="1"/>
    </xf>
    <xf numFmtId="0" fontId="6" fillId="10" borderId="2" xfId="3" applyFont="1" applyFill="1" applyBorder="1" applyAlignment="1">
      <alignment horizontal="center" vertical="center" wrapText="1"/>
    </xf>
    <xf numFmtId="0" fontId="6" fillId="10" borderId="11" xfId="3" applyFont="1" applyFill="1" applyBorder="1" applyAlignment="1">
      <alignment horizontal="center" vertical="center" wrapText="1"/>
    </xf>
    <xf numFmtId="0" fontId="19" fillId="8" borderId="8" xfId="0" applyFont="1" applyFill="1" applyBorder="1" applyAlignment="1">
      <alignment horizontal="left" vertical="center" wrapText="1"/>
    </xf>
    <xf numFmtId="0" fontId="19" fillId="8" borderId="9" xfId="0" applyFont="1" applyFill="1" applyBorder="1" applyAlignment="1">
      <alignment horizontal="left" vertical="center" wrapText="1"/>
    </xf>
    <xf numFmtId="0" fontId="19" fillId="8" borderId="4" xfId="0" applyFont="1" applyFill="1" applyBorder="1" applyAlignment="1">
      <alignment horizontal="left" vertical="center" wrapText="1"/>
    </xf>
    <xf numFmtId="0" fontId="2" fillId="8" borderId="3" xfId="3" applyFont="1" applyFill="1" applyBorder="1" applyAlignment="1">
      <alignment horizontal="center" vertical="center" wrapText="1"/>
    </xf>
    <xf numFmtId="0" fontId="2" fillId="8" borderId="6" xfId="3" applyFont="1" applyFill="1" applyBorder="1" applyAlignment="1">
      <alignment horizontal="center" vertical="center" wrapText="1"/>
    </xf>
    <xf numFmtId="0" fontId="2" fillId="8" borderId="1" xfId="3" applyFont="1" applyFill="1" applyBorder="1" applyAlignment="1">
      <alignment horizontal="center" vertical="center" wrapText="1"/>
    </xf>
    <xf numFmtId="165" fontId="10" fillId="15" borderId="1" xfId="3" applyNumberFormat="1" applyFont="1" applyFill="1" applyBorder="1" applyAlignment="1">
      <alignment horizontal="center" vertical="center" wrapText="1"/>
    </xf>
    <xf numFmtId="165" fontId="6" fillId="20" borderId="1" xfId="3" applyNumberFormat="1" applyFont="1" applyFill="1" applyBorder="1" applyAlignment="1">
      <alignment horizontal="center" vertical="center" wrapText="1"/>
    </xf>
    <xf numFmtId="0" fontId="10" fillId="21" borderId="3" xfId="3" applyFont="1" applyFill="1" applyBorder="1" applyAlignment="1">
      <alignment horizontal="center" vertical="center" wrapText="1"/>
    </xf>
    <xf numFmtId="0" fontId="10" fillId="21" borderId="5" xfId="3" applyFont="1" applyFill="1" applyBorder="1" applyAlignment="1">
      <alignment horizontal="center" vertical="center" wrapText="1"/>
    </xf>
    <xf numFmtId="0" fontId="10" fillId="21" borderId="6" xfId="3" applyFont="1" applyFill="1" applyBorder="1" applyAlignment="1">
      <alignment horizontal="center" vertical="center" wrapText="1"/>
    </xf>
    <xf numFmtId="0" fontId="6" fillId="20" borderId="3" xfId="3" applyFont="1" applyFill="1" applyBorder="1" applyAlignment="1">
      <alignment horizontal="center" vertical="center" wrapText="1"/>
    </xf>
    <xf numFmtId="0" fontId="6" fillId="20" borderId="5" xfId="3" applyFont="1" applyFill="1" applyBorder="1" applyAlignment="1">
      <alignment horizontal="center" vertical="center" wrapText="1"/>
    </xf>
    <xf numFmtId="0" fontId="6" fillId="20" borderId="6" xfId="3" applyFont="1" applyFill="1" applyBorder="1" applyAlignment="1">
      <alignment horizontal="center" vertical="center" wrapText="1"/>
    </xf>
    <xf numFmtId="165" fontId="10" fillId="21" borderId="1" xfId="3" applyNumberFormat="1" applyFont="1" applyFill="1" applyBorder="1" applyAlignment="1">
      <alignment horizontal="center" vertical="center" wrapText="1"/>
    </xf>
    <xf numFmtId="0" fontId="6" fillId="22" borderId="9" xfId="3" applyFont="1" applyFill="1" applyBorder="1" applyAlignment="1">
      <alignment horizontal="center" vertical="center" wrapText="1"/>
    </xf>
    <xf numFmtId="0" fontId="2" fillId="20" borderId="1" xfId="3" applyFont="1" applyFill="1" applyBorder="1" applyAlignment="1">
      <alignment horizontal="center" vertical="center" wrapText="1"/>
    </xf>
    <xf numFmtId="0" fontId="10" fillId="21" borderId="1" xfId="3" applyFont="1" applyFill="1" applyBorder="1" applyAlignment="1">
      <alignment horizontal="center" vertical="center" wrapText="1"/>
    </xf>
    <xf numFmtId="0" fontId="19" fillId="20" borderId="8" xfId="0" applyFont="1" applyFill="1" applyBorder="1" applyAlignment="1">
      <alignment horizontal="left" vertical="center" wrapText="1"/>
    </xf>
    <xf numFmtId="0" fontId="19" fillId="20" borderId="9" xfId="0" applyFont="1" applyFill="1" applyBorder="1" applyAlignment="1">
      <alignment horizontal="left" vertical="center" wrapText="1"/>
    </xf>
    <xf numFmtId="0" fontId="2" fillId="20" borderId="3" xfId="3" applyFont="1" applyFill="1" applyBorder="1" applyAlignment="1">
      <alignment horizontal="center" vertical="center" wrapText="1"/>
    </xf>
    <xf numFmtId="0" fontId="2" fillId="20" borderId="6" xfId="3" applyFont="1" applyFill="1" applyBorder="1" applyAlignment="1">
      <alignment horizontal="center" vertical="center" wrapText="1"/>
    </xf>
    <xf numFmtId="165" fontId="10" fillId="18" borderId="1" xfId="3" applyNumberFormat="1" applyFont="1" applyFill="1" applyBorder="1" applyAlignment="1">
      <alignment horizontal="center" vertical="center" wrapText="1"/>
    </xf>
    <xf numFmtId="165" fontId="6" fillId="16" borderId="1" xfId="3" applyNumberFormat="1" applyFont="1" applyFill="1" applyBorder="1" applyAlignment="1">
      <alignment horizontal="center" vertical="center" wrapText="1"/>
    </xf>
    <xf numFmtId="0" fontId="7" fillId="23" borderId="9" xfId="3" applyFont="1" applyFill="1" applyBorder="1" applyAlignment="1">
      <alignment horizontal="center" vertical="center" wrapText="1"/>
    </xf>
    <xf numFmtId="0" fontId="19" fillId="16" borderId="8" xfId="0" applyFont="1" applyFill="1" applyBorder="1" applyAlignment="1">
      <alignment horizontal="left" vertical="center" wrapText="1"/>
    </xf>
    <xf numFmtId="0" fontId="19" fillId="16" borderId="9" xfId="0" applyFont="1" applyFill="1" applyBorder="1" applyAlignment="1">
      <alignment horizontal="left" vertical="center" wrapText="1"/>
    </xf>
    <xf numFmtId="0" fontId="2" fillId="16" borderId="3" xfId="3" applyFont="1" applyFill="1" applyBorder="1" applyAlignment="1">
      <alignment horizontal="center" vertical="center" wrapText="1"/>
    </xf>
    <xf numFmtId="0" fontId="2" fillId="16" borderId="6" xfId="3" applyFont="1" applyFill="1" applyBorder="1" applyAlignment="1">
      <alignment horizontal="center" vertical="center" wrapText="1"/>
    </xf>
    <xf numFmtId="0" fontId="2" fillId="16" borderId="1" xfId="3" applyFont="1" applyFill="1" applyBorder="1" applyAlignment="1">
      <alignment horizontal="center" vertical="center" wrapText="1"/>
    </xf>
    <xf numFmtId="0" fontId="6" fillId="16" borderId="3" xfId="3" applyFont="1" applyFill="1" applyBorder="1" applyAlignment="1">
      <alignment horizontal="center" vertical="center" wrapText="1"/>
    </xf>
    <xf numFmtId="0" fontId="6" fillId="16" borderId="5" xfId="3" applyFont="1" applyFill="1" applyBorder="1" applyAlignment="1">
      <alignment horizontal="center" vertical="center" wrapText="1"/>
    </xf>
    <xf numFmtId="0" fontId="6" fillId="16" borderId="6" xfId="3" applyFont="1" applyFill="1" applyBorder="1" applyAlignment="1">
      <alignment horizontal="center" vertical="center" wrapText="1"/>
    </xf>
    <xf numFmtId="0" fontId="10" fillId="17" borderId="3" xfId="3" applyFont="1" applyFill="1" applyBorder="1" applyAlignment="1">
      <alignment horizontal="center" vertical="center" wrapText="1"/>
    </xf>
    <xf numFmtId="0" fontId="10" fillId="17" borderId="5" xfId="3" applyFont="1" applyFill="1" applyBorder="1" applyAlignment="1">
      <alignment horizontal="center" vertical="center" wrapText="1"/>
    </xf>
    <xf numFmtId="0" fontId="10" fillId="17" borderId="6" xfId="3" applyFont="1" applyFill="1" applyBorder="1" applyAlignment="1">
      <alignment horizontal="center" vertical="center" wrapText="1"/>
    </xf>
    <xf numFmtId="0" fontId="10" fillId="17" borderId="1" xfId="3" applyFont="1" applyFill="1" applyBorder="1" applyAlignment="1">
      <alignment horizontal="center" vertical="center" wrapText="1"/>
    </xf>
    <xf numFmtId="0" fontId="36" fillId="0" borderId="0" xfId="0" applyFont="1"/>
    <xf numFmtId="0" fontId="27" fillId="8" borderId="1" xfId="0" applyFont="1" applyFill="1" applyBorder="1" applyAlignment="1">
      <alignment horizontal="center"/>
    </xf>
    <xf numFmtId="0" fontId="27" fillId="8" borderId="8" xfId="0" applyFont="1" applyFill="1" applyBorder="1" applyAlignment="1">
      <alignment horizontal="center"/>
    </xf>
    <xf numFmtId="168" fontId="27" fillId="8" borderId="8" xfId="0" applyNumberFormat="1" applyFont="1" applyFill="1" applyBorder="1"/>
    <xf numFmtId="168" fontId="27" fillId="8" borderId="4" xfId="0" applyNumberFormat="1" applyFont="1" applyFill="1" applyBorder="1"/>
  </cellXfs>
  <cellStyles count="8">
    <cellStyle name="Moeda" xfId="6" builtinId="4"/>
    <cellStyle name="Moeda 2 3" xfId="4" xr:uid="{00000000-0005-0000-0000-000001000000}"/>
    <cellStyle name="Normal" xfId="0" builtinId="0"/>
    <cellStyle name="Normal 2 3" xfId="3" xr:uid="{00000000-0005-0000-0000-000003000000}"/>
    <cellStyle name="Normal 4" xfId="2" xr:uid="{00000000-0005-0000-0000-000004000000}"/>
    <cellStyle name="Porcentagem" xfId="1" builtinId="5"/>
    <cellStyle name="Porcentagem 2 3" xfId="5" xr:uid="{00000000-0005-0000-0000-000006000000}"/>
    <cellStyle name="Vírgula" xfId="7" builtinId="3"/>
  </cellStyles>
  <dxfs count="0"/>
  <tableStyles count="0" defaultTableStyle="TableStyleMedium2" defaultPivotStyle="PivotStyleLight16"/>
  <colors>
    <mruColors>
      <color rgb="FFCCCCFF"/>
      <color rgb="FFFF99FF"/>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1797050</xdr:colOff>
      <xdr:row>1</xdr:row>
      <xdr:rowOff>47625</xdr:rowOff>
    </xdr:from>
    <xdr:to>
      <xdr:col>1</xdr:col>
      <xdr:colOff>3257549</xdr:colOff>
      <xdr:row>2</xdr:row>
      <xdr:rowOff>177800</xdr:rowOff>
    </xdr:to>
    <xdr:sp macro="" textlink="">
      <xdr:nvSpPr>
        <xdr:cNvPr id="3" name="Freeform 21">
          <a:extLst>
            <a:ext uri="{FF2B5EF4-FFF2-40B4-BE49-F238E27FC236}">
              <a16:creationId xmlns:a16="http://schemas.microsoft.com/office/drawing/2014/main" id="{00000000-0008-0000-0000-000003000000}"/>
            </a:ext>
          </a:extLst>
        </xdr:cNvPr>
        <xdr:cNvSpPr/>
      </xdr:nvSpPr>
      <xdr:spPr>
        <a:xfrm>
          <a:off x="2895600" y="231775"/>
          <a:ext cx="1460499" cy="314325"/>
        </a:xfrm>
        <a:custGeom>
          <a:avLst/>
          <a:gdLst/>
          <a:ahLst/>
          <a:cxnLst/>
          <a:rect l="l" t="t" r="r" b="b"/>
          <a:pathLst>
            <a:path w="2853737" h="503832">
              <a:moveTo>
                <a:pt x="0" y="0"/>
              </a:moveTo>
              <a:lnTo>
                <a:pt x="2853736" y="0"/>
              </a:lnTo>
              <a:lnTo>
                <a:pt x="2853736" y="503832"/>
              </a:lnTo>
              <a:lnTo>
                <a:pt x="0" y="503832"/>
              </a:lnTo>
              <a:lnTo>
                <a:pt x="0" y="0"/>
              </a:lnTo>
              <a:close/>
            </a:path>
          </a:pathLst>
        </a:custGeom>
        <a:blipFill>
          <a:blip xmlns:r="http://schemas.openxmlformats.org/officeDocument/2006/relationships" r:embed="rId1"/>
          <a:srcRect/>
          <a:stretch>
            <a:fillRect l="1" t="-1" r="-33457" b="-5439"/>
          </a:stretch>
        </a:blipFill>
      </xdr:spPr>
      <xdr:txBody>
        <a:bodyPr wrap="square"/>
        <a:lstStyle/>
        <a:p>
          <a:endParaRPr lang="pt-BR"/>
        </a:p>
      </xdr:txBody>
    </xdr:sp>
    <xdr:clientData/>
  </xdr:twoCellAnchor>
  <xdr:twoCellAnchor editAs="oneCell">
    <xdr:from>
      <xdr:col>1</xdr:col>
      <xdr:colOff>0</xdr:colOff>
      <xdr:row>14</xdr:row>
      <xdr:rowOff>0</xdr:rowOff>
    </xdr:from>
    <xdr:to>
      <xdr:col>1</xdr:col>
      <xdr:colOff>304800</xdr:colOff>
      <xdr:row>15</xdr:row>
      <xdr:rowOff>114300</xdr:rowOff>
    </xdr:to>
    <xdr:sp macro="" textlink="">
      <xdr:nvSpPr>
        <xdr:cNvPr id="1025" name="AutoShape 1" descr="Home">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1047750" y="286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xdr:row>
      <xdr:rowOff>0</xdr:rowOff>
    </xdr:from>
    <xdr:to>
      <xdr:col>0</xdr:col>
      <xdr:colOff>304800</xdr:colOff>
      <xdr:row>15</xdr:row>
      <xdr:rowOff>120650</xdr:rowOff>
    </xdr:to>
    <xdr:sp macro="" textlink="">
      <xdr:nvSpPr>
        <xdr:cNvPr id="2" name="AutoShape 1" descr="Sabesp Logo PNG Vectors Free Download">
          <a:extLst>
            <a:ext uri="{FF2B5EF4-FFF2-40B4-BE49-F238E27FC236}">
              <a16:creationId xmlns:a16="http://schemas.microsoft.com/office/drawing/2014/main" id="{AE9BD181-5822-F65B-CDCE-4A84702B3513}"/>
            </a:ext>
          </a:extLst>
        </xdr:cNvPr>
        <xdr:cNvSpPr>
          <a:spLocks noChangeAspect="1" noChangeArrowheads="1"/>
        </xdr:cNvSpPr>
      </xdr:nvSpPr>
      <xdr:spPr bwMode="auto">
        <a:xfrm>
          <a:off x="0" y="295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1206500</xdr:colOff>
      <xdr:row>0</xdr:row>
      <xdr:rowOff>12700</xdr:rowOff>
    </xdr:from>
    <xdr:to>
      <xdr:col>6</xdr:col>
      <xdr:colOff>1578711</xdr:colOff>
      <xdr:row>2</xdr:row>
      <xdr:rowOff>171450</xdr:rowOff>
    </xdr:to>
    <xdr:pic>
      <xdr:nvPicPr>
        <xdr:cNvPr id="4" name="Imagem 3">
          <a:extLst>
            <a:ext uri="{FF2B5EF4-FFF2-40B4-BE49-F238E27FC236}">
              <a16:creationId xmlns:a16="http://schemas.microsoft.com/office/drawing/2014/main" id="{89ED7439-A903-3DD8-087E-53B2FA737C7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928350" y="12700"/>
          <a:ext cx="372211" cy="52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3932198</xdr:colOff>
      <xdr:row>0</xdr:row>
      <xdr:rowOff>0</xdr:rowOff>
    </xdr:from>
    <xdr:to>
      <xdr:col>1</xdr:col>
      <xdr:colOff>4756149</xdr:colOff>
      <xdr:row>4</xdr:row>
      <xdr:rowOff>25400</xdr:rowOff>
    </xdr:to>
    <xdr:pic>
      <xdr:nvPicPr>
        <xdr:cNvPr id="7" name="Imagem 6">
          <a:extLst>
            <a:ext uri="{FF2B5EF4-FFF2-40B4-BE49-F238E27FC236}">
              <a16:creationId xmlns:a16="http://schemas.microsoft.com/office/drawing/2014/main" id="{AB0CFB07-97F6-0490-047A-2EA8FE50B18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30748" y="0"/>
          <a:ext cx="823951" cy="844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3286634</xdr:colOff>
      <xdr:row>1</xdr:row>
      <xdr:rowOff>109399</xdr:rowOff>
    </xdr:from>
    <xdr:to>
      <xdr:col>1</xdr:col>
      <xdr:colOff>3866005</xdr:colOff>
      <xdr:row>2</xdr:row>
      <xdr:rowOff>120472</xdr:rowOff>
    </xdr:to>
    <xdr:sp macro="" textlink="">
      <xdr:nvSpPr>
        <xdr:cNvPr id="8" name="object 38">
          <a:extLst>
            <a:ext uri="{FF2B5EF4-FFF2-40B4-BE49-F238E27FC236}">
              <a16:creationId xmlns:a16="http://schemas.microsoft.com/office/drawing/2014/main" id="{62B478AF-C12E-47E7-BC50-2AA91684C624}"/>
            </a:ext>
          </a:extLst>
        </xdr:cNvPr>
        <xdr:cNvSpPr/>
      </xdr:nvSpPr>
      <xdr:spPr>
        <a:xfrm>
          <a:off x="4385184" y="293549"/>
          <a:ext cx="579371" cy="195223"/>
        </a:xfrm>
        <a:prstGeom prst="rect">
          <a:avLst/>
        </a:prstGeom>
        <a:blipFill>
          <a:blip xmlns:r="http://schemas.openxmlformats.org/officeDocument/2006/relationships" r:embed="rId4" cstate="print">
            <a:extLst>
              <a:ext uri="{28A0092B-C50C-407E-A947-70E740481C1C}">
                <a14:useLocalDpi xmlns:a14="http://schemas.microsoft.com/office/drawing/2010/main" val="0"/>
              </a:ext>
            </a:extLst>
          </a:blip>
          <a:stretch>
            <a:fillRect/>
          </a:stretch>
        </a:blipFill>
      </xdr:spPr>
      <xdr:txBody>
        <a:bodyPr wrap="square" lIns="0" tIns="0" rIns="0" bIns="0" rtlCol="0"/>
        <a:lstStyle>
          <a:defPPr>
            <a:defRPr lang="pt-B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a:p>
      </xdr:txBody>
    </xdr:sp>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17"/>
  <sheetViews>
    <sheetView showGridLines="0" tabSelected="1" topLeftCell="B1" zoomScale="90" zoomScaleNormal="90" workbookViewId="0">
      <selection activeCell="B15" sqref="B15"/>
    </sheetView>
  </sheetViews>
  <sheetFormatPr defaultRowHeight="14.5" x14ac:dyDescent="0.35"/>
  <cols>
    <col min="1" max="1" width="15.81640625" customWidth="1"/>
    <col min="2" max="2" width="69.54296875" bestFit="1" customWidth="1"/>
    <col min="3" max="3" width="23" customWidth="1"/>
    <col min="4" max="4" width="14.453125" customWidth="1"/>
    <col min="5" max="5" width="19.90625" customWidth="1"/>
    <col min="6" max="6" width="27.54296875" customWidth="1"/>
    <col min="7" max="7" width="24.81640625" bestFit="1" customWidth="1"/>
    <col min="8" max="8" width="0" hidden="1" customWidth="1"/>
  </cols>
  <sheetData>
    <row r="3" spans="1:8" ht="18.5" thickBot="1" x14ac:dyDescent="0.55000000000000004">
      <c r="C3" s="157" t="s">
        <v>92</v>
      </c>
      <c r="D3" s="157"/>
      <c r="E3" s="157"/>
      <c r="F3" s="157"/>
      <c r="G3" s="157"/>
    </row>
    <row r="4" spans="1:8" ht="17" thickBot="1" x14ac:dyDescent="0.5">
      <c r="A4" s="158" t="s">
        <v>75</v>
      </c>
      <c r="B4" s="159"/>
      <c r="C4" s="144" t="s">
        <v>81</v>
      </c>
      <c r="D4" s="144" t="s">
        <v>76</v>
      </c>
      <c r="E4" s="145" t="s">
        <v>82</v>
      </c>
      <c r="F4" s="153" t="s">
        <v>108</v>
      </c>
      <c r="G4" s="146" t="s">
        <v>103</v>
      </c>
    </row>
    <row r="5" spans="1:8" ht="18.75" customHeight="1" x14ac:dyDescent="0.45">
      <c r="A5" s="160" t="s">
        <v>78</v>
      </c>
      <c r="B5" s="147" t="s">
        <v>87</v>
      </c>
      <c r="C5" s="148" t="s">
        <v>89</v>
      </c>
      <c r="D5" s="148" t="s">
        <v>77</v>
      </c>
      <c r="E5" s="139">
        <f>'Curso de Jornalismo_Globo'!T26</f>
        <v>3654664.0011999998</v>
      </c>
      <c r="F5" s="139">
        <v>330000</v>
      </c>
      <c r="G5" s="140">
        <f>'Curso de Jornalismo_Globo'!T30</f>
        <v>264000.00000000006</v>
      </c>
    </row>
    <row r="6" spans="1:8" ht="20.25" customHeight="1" x14ac:dyDescent="0.45">
      <c r="A6" s="161"/>
      <c r="B6" s="137" t="s">
        <v>79</v>
      </c>
      <c r="C6" s="138" t="s">
        <v>80</v>
      </c>
      <c r="D6" s="138" t="s">
        <v>77</v>
      </c>
      <c r="E6" s="139">
        <f>SUM('Curso de Jornalismo_Valor'!N9:N23)</f>
        <v>2269730.4080000003</v>
      </c>
      <c r="F6" s="139">
        <v>330000</v>
      </c>
      <c r="G6" s="140" cm="1">
        <f t="array" ref="G6:H6">'Curso de Jornalismo_Valor'!P28:Q28</f>
        <v>264000.19291008002</v>
      </c>
      <c r="H6">
        <v>0</v>
      </c>
    </row>
    <row r="7" spans="1:8" ht="20.25" customHeight="1" x14ac:dyDescent="0.45">
      <c r="A7" s="162" t="s">
        <v>78</v>
      </c>
      <c r="B7" s="149" t="s">
        <v>102</v>
      </c>
      <c r="C7" s="141" t="s">
        <v>91</v>
      </c>
      <c r="D7" s="138" t="s">
        <v>77</v>
      </c>
      <c r="E7" s="139">
        <f>'Curso Jornada IA'!P18</f>
        <v>933461.80302240013</v>
      </c>
      <c r="F7" s="139">
        <v>187501</v>
      </c>
      <c r="G7" s="142">
        <f>'Curso Jornada IA'!P21</f>
        <v>150000.48169598434</v>
      </c>
    </row>
    <row r="8" spans="1:8" ht="17" thickBot="1" x14ac:dyDescent="0.4">
      <c r="A8" s="163"/>
      <c r="B8" s="149" t="s">
        <v>88</v>
      </c>
      <c r="C8" s="141" t="s">
        <v>90</v>
      </c>
      <c r="D8" s="141" t="s">
        <v>77</v>
      </c>
      <c r="E8" s="143">
        <f>'Curso Jornada Infraestrutura'!P18</f>
        <v>933461.80302240013</v>
      </c>
      <c r="F8" s="143">
        <v>187501</v>
      </c>
      <c r="G8" s="142">
        <f>'Curso Jornada Infraestrutura'!P21</f>
        <v>150000.48169598434</v>
      </c>
    </row>
    <row r="9" spans="1:8" ht="16.5" x14ac:dyDescent="0.45">
      <c r="B9" s="164" t="s">
        <v>106</v>
      </c>
      <c r="C9" s="165"/>
      <c r="D9" s="165"/>
      <c r="E9" s="166"/>
      <c r="F9" s="151">
        <f>SUM(F5:F8)</f>
        <v>1035002</v>
      </c>
      <c r="G9" s="108"/>
    </row>
    <row r="10" spans="1:8" ht="16.5" x14ac:dyDescent="0.45">
      <c r="B10" s="154" t="s">
        <v>105</v>
      </c>
      <c r="C10" s="155"/>
      <c r="D10" s="155"/>
      <c r="E10" s="156"/>
      <c r="F10" s="123"/>
      <c r="G10" s="122">
        <f>SUM(G5:G8)</f>
        <v>828001.15630204882</v>
      </c>
    </row>
    <row r="11" spans="1:8" ht="20.399999999999999" customHeight="1" x14ac:dyDescent="0.45">
      <c r="B11" s="167" t="s">
        <v>107</v>
      </c>
      <c r="C11" s="168"/>
      <c r="D11" s="168"/>
      <c r="E11" s="169"/>
      <c r="F11" s="152">
        <v>562611.25</v>
      </c>
    </row>
    <row r="12" spans="1:8" s="242" customFormat="1" ht="18" x14ac:dyDescent="0.5">
      <c r="B12" s="243" t="s">
        <v>104</v>
      </c>
      <c r="C12" s="243"/>
      <c r="D12" s="243"/>
      <c r="E12" s="244"/>
      <c r="F12" s="245"/>
      <c r="G12" s="246">
        <v>450089</v>
      </c>
    </row>
    <row r="13" spans="1:8" x14ac:dyDescent="0.35">
      <c r="B13" s="103"/>
      <c r="C13" s="102"/>
      <c r="D13" s="109"/>
      <c r="E13" s="109"/>
      <c r="F13" s="109"/>
      <c r="G13" s="110"/>
      <c r="H13" s="104"/>
    </row>
    <row r="14" spans="1:8" x14ac:dyDescent="0.35">
      <c r="D14" s="105"/>
      <c r="E14" s="105"/>
      <c r="F14" s="105"/>
      <c r="G14" s="105"/>
      <c r="H14" s="106"/>
    </row>
    <row r="16" spans="1:8" x14ac:dyDescent="0.35">
      <c r="A16" s="111"/>
      <c r="E16" s="112"/>
      <c r="F16" s="112"/>
      <c r="G16" s="113"/>
    </row>
    <row r="17" spans="7:7" x14ac:dyDescent="0.35">
      <c r="G17" s="107"/>
    </row>
  </sheetData>
  <mergeCells count="8">
    <mergeCell ref="B10:E10"/>
    <mergeCell ref="B12:E12"/>
    <mergeCell ref="C3:G3"/>
    <mergeCell ref="A4:B4"/>
    <mergeCell ref="A5:A6"/>
    <mergeCell ref="A7:A8"/>
    <mergeCell ref="B9:E9"/>
    <mergeCell ref="B11:E11"/>
  </mergeCells>
  <pageMargins left="0.511811024" right="0.511811024" top="0.78740157499999996" bottom="0.78740157499999996" header="0.31496062000000002" footer="0.31496062000000002"/>
  <headerFooter>
    <oddFooter>&amp;C_x000D_&amp;1#&amp;"Aptos"&amp;10&amp;K000000 Confidential - Not for Public Consumption or Distribution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4"/>
  <sheetViews>
    <sheetView showGridLines="0" topLeftCell="G1" zoomScale="80" zoomScaleNormal="80" workbookViewId="0">
      <selection activeCell="U32" sqref="U32"/>
    </sheetView>
  </sheetViews>
  <sheetFormatPr defaultColWidth="8.81640625" defaultRowHeight="14.5" x14ac:dyDescent="0.35"/>
  <cols>
    <col min="1" max="1" width="1.453125" style="1" customWidth="1"/>
    <col min="2" max="2" width="19.453125" style="69" customWidth="1"/>
    <col min="3" max="3" width="0.81640625" style="64" customWidth="1"/>
    <col min="4" max="4" width="18.1796875" style="60" customWidth="1"/>
    <col min="5" max="5" width="0.81640625" style="65" customWidth="1"/>
    <col min="6" max="6" width="17.453125" style="60" customWidth="1"/>
    <col min="7" max="7" width="0.81640625" style="65" customWidth="1"/>
    <col min="8" max="8" width="19.453125" style="60" customWidth="1"/>
    <col min="9" max="9" width="0.81640625" style="65" customWidth="1"/>
    <col min="10" max="10" width="56.1796875" style="60" customWidth="1"/>
    <col min="11" max="14" width="17.453125" style="60" hidden="1" customWidth="1"/>
    <col min="15" max="15" width="16" style="60" customWidth="1"/>
    <col min="16" max="16" width="17.453125" style="60" customWidth="1"/>
    <col min="17" max="17" width="16.453125" style="60" customWidth="1"/>
    <col min="18" max="18" width="18.453125" style="60" customWidth="1"/>
    <col min="19" max="19" width="17.81640625" style="60" customWidth="1"/>
    <col min="20" max="20" width="19.81640625" style="60" customWidth="1"/>
    <col min="21" max="21" width="13.1796875" style="3" bestFit="1" customWidth="1"/>
    <col min="22" max="22" width="12.81640625" style="3" bestFit="1" customWidth="1"/>
    <col min="23" max="16384" width="8.81640625" style="3"/>
  </cols>
  <sheetData>
    <row r="1" spans="2:20" s="1" customFormat="1" ht="4.5" customHeight="1" x14ac:dyDescent="0.35">
      <c r="B1" s="2"/>
      <c r="C1" s="2"/>
      <c r="D1" s="2"/>
      <c r="E1" s="2"/>
      <c r="F1" s="2"/>
      <c r="G1" s="2"/>
      <c r="H1" s="2"/>
      <c r="I1" s="2"/>
      <c r="J1" s="2"/>
      <c r="K1" s="2"/>
      <c r="L1" s="2"/>
      <c r="M1" s="2"/>
      <c r="N1" s="2"/>
      <c r="O1" s="2"/>
      <c r="P1" s="2"/>
      <c r="Q1" s="2"/>
      <c r="R1" s="2"/>
      <c r="S1" s="2"/>
      <c r="T1" s="2"/>
    </row>
    <row r="2" spans="2:20" ht="42.75" customHeight="1" x14ac:dyDescent="0.35">
      <c r="B2" s="176" t="s">
        <v>93</v>
      </c>
      <c r="C2" s="176"/>
      <c r="D2" s="176"/>
      <c r="E2" s="176"/>
      <c r="F2" s="176"/>
      <c r="G2" s="176"/>
      <c r="H2" s="176"/>
      <c r="I2" s="176"/>
      <c r="J2" s="176"/>
      <c r="K2" s="176"/>
      <c r="L2" s="176"/>
      <c r="M2" s="176"/>
      <c r="N2" s="176"/>
      <c r="O2" s="176"/>
      <c r="P2" s="176"/>
      <c r="Q2" s="176"/>
      <c r="R2" s="176"/>
      <c r="S2" s="176"/>
      <c r="T2" s="176"/>
    </row>
    <row r="3" spans="2:20" s="1" customFormat="1" ht="4.5" customHeight="1" x14ac:dyDescent="0.35">
      <c r="B3" s="2"/>
      <c r="C3" s="2"/>
      <c r="D3" s="2"/>
      <c r="E3" s="2"/>
      <c r="F3" s="2"/>
      <c r="G3" s="2"/>
      <c r="H3" s="2"/>
      <c r="I3" s="2"/>
      <c r="J3" s="2"/>
      <c r="K3" s="2"/>
      <c r="L3" s="2"/>
      <c r="M3" s="2"/>
      <c r="N3" s="2"/>
      <c r="O3" s="2"/>
      <c r="P3" s="2"/>
      <c r="Q3" s="2"/>
      <c r="R3" s="2"/>
      <c r="S3" s="2"/>
      <c r="T3" s="2"/>
    </row>
    <row r="4" spans="2:20" ht="29" x14ac:dyDescent="0.35">
      <c r="B4" s="4" t="s">
        <v>0</v>
      </c>
      <c r="C4" s="2"/>
      <c r="D4" s="4" t="s">
        <v>1</v>
      </c>
      <c r="E4" s="2"/>
      <c r="F4" s="4" t="s">
        <v>2</v>
      </c>
      <c r="G4" s="2"/>
      <c r="H4" s="4" t="s">
        <v>3</v>
      </c>
      <c r="I4" s="2"/>
      <c r="J4" s="4" t="s">
        <v>4</v>
      </c>
      <c r="K4" s="4" t="s">
        <v>5</v>
      </c>
      <c r="L4" s="4" t="s">
        <v>6</v>
      </c>
      <c r="M4" s="4" t="s">
        <v>7</v>
      </c>
      <c r="N4" s="4" t="s">
        <v>8</v>
      </c>
      <c r="O4" s="4" t="s">
        <v>9</v>
      </c>
      <c r="P4" s="4" t="s">
        <v>10</v>
      </c>
      <c r="Q4" s="4" t="s">
        <v>11</v>
      </c>
      <c r="R4" s="4" t="s">
        <v>12</v>
      </c>
      <c r="S4" s="4" t="s">
        <v>13</v>
      </c>
      <c r="T4" s="4" t="s">
        <v>14</v>
      </c>
    </row>
    <row r="5" spans="2:20" s="1" customFormat="1" ht="3.75" customHeight="1" x14ac:dyDescent="0.35">
      <c r="B5" s="2"/>
      <c r="C5" s="2"/>
      <c r="D5" s="2"/>
      <c r="E5" s="2"/>
      <c r="F5" s="2"/>
      <c r="G5" s="2"/>
      <c r="H5" s="2"/>
      <c r="I5" s="2"/>
      <c r="J5" s="2"/>
      <c r="K5" s="2"/>
      <c r="L5" s="2"/>
      <c r="M5" s="2"/>
      <c r="N5" s="2"/>
      <c r="O5" s="2"/>
      <c r="P5" s="2"/>
      <c r="Q5" s="2"/>
      <c r="R5" s="5"/>
      <c r="S5" s="2"/>
      <c r="T5" s="6"/>
    </row>
    <row r="6" spans="2:20" s="1" customFormat="1" ht="46.5" customHeight="1" x14ac:dyDescent="0.35">
      <c r="B6" s="177" t="s">
        <v>15</v>
      </c>
      <c r="C6" s="2"/>
      <c r="D6" s="179" t="s">
        <v>16</v>
      </c>
      <c r="E6" s="7"/>
      <c r="F6" s="179" t="s">
        <v>17</v>
      </c>
      <c r="G6" s="8"/>
      <c r="H6" s="179" t="s">
        <v>18</v>
      </c>
      <c r="I6" s="2"/>
      <c r="J6" s="9" t="s">
        <v>19</v>
      </c>
      <c r="K6" s="10">
        <v>1</v>
      </c>
      <c r="L6" s="11">
        <v>0</v>
      </c>
      <c r="M6" s="10">
        <v>1</v>
      </c>
      <c r="N6" s="11">
        <v>0</v>
      </c>
      <c r="O6" s="12">
        <f>SUM(K6:N6)</f>
        <v>2</v>
      </c>
      <c r="P6" s="13">
        <f>2595*1*3</f>
        <v>7785</v>
      </c>
      <c r="Q6" s="13">
        <f>P6*O6</f>
        <v>15570</v>
      </c>
      <c r="R6" s="14">
        <v>1</v>
      </c>
      <c r="S6" s="13">
        <f>P6*(1-R6)</f>
        <v>0</v>
      </c>
      <c r="T6" s="15">
        <f>Q6*(1-R6)</f>
        <v>0</v>
      </c>
    </row>
    <row r="7" spans="2:20" s="1" customFormat="1" ht="4.5" customHeight="1" x14ac:dyDescent="0.35">
      <c r="B7" s="178"/>
      <c r="C7" s="2"/>
      <c r="D7" s="180"/>
      <c r="E7" s="7"/>
      <c r="F7" s="180"/>
      <c r="G7" s="8"/>
      <c r="H7" s="180"/>
      <c r="I7" s="2"/>
      <c r="J7" s="16"/>
      <c r="K7" s="16"/>
      <c r="L7" s="17"/>
      <c r="M7" s="16"/>
      <c r="N7" s="17"/>
      <c r="O7" s="18"/>
      <c r="P7" s="19"/>
      <c r="Q7" s="19"/>
      <c r="R7" s="20"/>
      <c r="S7" s="19"/>
      <c r="T7" s="21"/>
    </row>
    <row r="8" spans="2:20" s="1" customFormat="1" ht="36.75" customHeight="1" x14ac:dyDescent="0.35">
      <c r="B8" s="178"/>
      <c r="C8" s="2"/>
      <c r="D8" s="180"/>
      <c r="E8" s="7"/>
      <c r="F8" s="181"/>
      <c r="G8" s="8"/>
      <c r="H8" s="181"/>
      <c r="I8" s="2"/>
      <c r="J8" s="9" t="s">
        <v>20</v>
      </c>
      <c r="K8" s="10">
        <v>9</v>
      </c>
      <c r="L8" s="11">
        <v>0</v>
      </c>
      <c r="M8" s="10">
        <v>1</v>
      </c>
      <c r="N8" s="11">
        <v>0</v>
      </c>
      <c r="O8" s="12">
        <f>SUM(K8:N8)</f>
        <v>10</v>
      </c>
      <c r="P8" s="13">
        <f>2595*4*3</f>
        <v>31140</v>
      </c>
      <c r="Q8" s="13">
        <f>P8*O8</f>
        <v>311400</v>
      </c>
      <c r="R8" s="14">
        <v>1</v>
      </c>
      <c r="S8" s="13">
        <f>P8*(1-R8)</f>
        <v>0</v>
      </c>
      <c r="T8" s="15">
        <f>Q8*(1-R8)</f>
        <v>0</v>
      </c>
    </row>
    <row r="9" spans="2:20" s="1" customFormat="1" ht="4.5" customHeight="1" x14ac:dyDescent="0.35">
      <c r="B9" s="178"/>
      <c r="C9" s="2"/>
      <c r="D9" s="180"/>
      <c r="E9" s="7"/>
      <c r="F9" s="8"/>
      <c r="G9" s="8"/>
      <c r="H9" s="8"/>
      <c r="I9" s="2"/>
      <c r="J9" s="16"/>
      <c r="K9" s="16"/>
      <c r="L9" s="17"/>
      <c r="M9" s="16"/>
      <c r="N9" s="17"/>
      <c r="O9" s="18"/>
      <c r="P9" s="19"/>
      <c r="Q9" s="19"/>
      <c r="R9" s="20"/>
      <c r="S9" s="19"/>
      <c r="T9" s="21"/>
    </row>
    <row r="10" spans="2:20" s="1" customFormat="1" ht="46.5" customHeight="1" x14ac:dyDescent="0.35">
      <c r="B10" s="178"/>
      <c r="C10" s="2"/>
      <c r="D10" s="180"/>
      <c r="E10" s="7"/>
      <c r="F10" s="182" t="s">
        <v>21</v>
      </c>
      <c r="G10" s="8"/>
      <c r="H10" s="22" t="s">
        <v>22</v>
      </c>
      <c r="I10" s="23"/>
      <c r="J10" s="24" t="s">
        <v>23</v>
      </c>
      <c r="K10" s="24">
        <v>2</v>
      </c>
      <c r="L10" s="25">
        <v>0</v>
      </c>
      <c r="M10" s="24">
        <v>1</v>
      </c>
      <c r="N10" s="25">
        <v>0</v>
      </c>
      <c r="O10" s="12">
        <f>SUM(K10:N10)</f>
        <v>3</v>
      </c>
      <c r="P10" s="26">
        <f>72360*1.08</f>
        <v>78148.800000000003</v>
      </c>
      <c r="Q10" s="13">
        <f>P10*O10</f>
        <v>234446.40000000002</v>
      </c>
      <c r="R10" s="14">
        <v>1</v>
      </c>
      <c r="S10" s="13">
        <f>P10*(1-R10)</f>
        <v>0</v>
      </c>
      <c r="T10" s="15">
        <f>Q10*(1-R10)</f>
        <v>0</v>
      </c>
    </row>
    <row r="11" spans="2:20" s="1" customFormat="1" ht="4.5" customHeight="1" x14ac:dyDescent="0.35">
      <c r="B11" s="178"/>
      <c r="C11" s="2"/>
      <c r="D11" s="180"/>
      <c r="E11" s="7"/>
      <c r="F11" s="182"/>
      <c r="G11" s="27"/>
      <c r="H11" s="27"/>
      <c r="I11" s="2"/>
      <c r="J11" s="28"/>
      <c r="K11" s="28"/>
      <c r="L11" s="29"/>
      <c r="M11" s="28"/>
      <c r="N11" s="29"/>
      <c r="O11" s="30"/>
      <c r="P11" s="31"/>
      <c r="Q11" s="31"/>
      <c r="R11" s="32"/>
      <c r="S11" s="31"/>
      <c r="T11" s="33"/>
    </row>
    <row r="12" spans="2:20" s="1" customFormat="1" ht="46.5" customHeight="1" x14ac:dyDescent="0.35">
      <c r="B12" s="178"/>
      <c r="C12" s="2"/>
      <c r="D12" s="180"/>
      <c r="E12" s="7"/>
      <c r="F12" s="182"/>
      <c r="G12" s="8"/>
      <c r="H12" s="22" t="s">
        <v>24</v>
      </c>
      <c r="I12" s="23"/>
      <c r="J12" s="24" t="s">
        <v>23</v>
      </c>
      <c r="K12" s="24">
        <v>2</v>
      </c>
      <c r="L12" s="25">
        <v>0</v>
      </c>
      <c r="M12" s="24">
        <v>1</v>
      </c>
      <c r="N12" s="25">
        <v>0</v>
      </c>
      <c r="O12" s="12">
        <f>SUM(K12:N12)</f>
        <v>3</v>
      </c>
      <c r="P12" s="26">
        <f>90333.63*1.08</f>
        <v>97560.320400000011</v>
      </c>
      <c r="Q12" s="13">
        <f>P12*O12</f>
        <v>292680.96120000002</v>
      </c>
      <c r="R12" s="14">
        <v>1</v>
      </c>
      <c r="S12" s="13">
        <f>P12*(1-R12)</f>
        <v>0</v>
      </c>
      <c r="T12" s="15">
        <f>Q12*(1-R12)</f>
        <v>0</v>
      </c>
    </row>
    <row r="13" spans="2:20" s="1" customFormat="1" ht="4.5" customHeight="1" x14ac:dyDescent="0.35">
      <c r="B13" s="178"/>
      <c r="C13" s="2"/>
      <c r="D13" s="180"/>
      <c r="E13" s="7"/>
      <c r="F13" s="182"/>
      <c r="G13" s="27"/>
      <c r="H13" s="27"/>
      <c r="I13" s="2"/>
      <c r="J13" s="28"/>
      <c r="K13" s="28"/>
      <c r="L13" s="29"/>
      <c r="M13" s="28"/>
      <c r="N13" s="29"/>
      <c r="O13" s="30"/>
      <c r="P13" s="31"/>
      <c r="Q13" s="31"/>
      <c r="R13" s="32"/>
      <c r="S13" s="31"/>
      <c r="T13" s="33"/>
    </row>
    <row r="14" spans="2:20" s="1" customFormat="1" ht="46.5" customHeight="1" x14ac:dyDescent="0.35">
      <c r="B14" s="178"/>
      <c r="C14" s="2"/>
      <c r="D14" s="180"/>
      <c r="E14" s="7"/>
      <c r="F14" s="182"/>
      <c r="G14" s="8"/>
      <c r="H14" s="22" t="s">
        <v>25</v>
      </c>
      <c r="I14" s="23"/>
      <c r="J14" s="24" t="s">
        <v>23</v>
      </c>
      <c r="K14" s="24">
        <v>2</v>
      </c>
      <c r="L14" s="25">
        <v>0</v>
      </c>
      <c r="M14" s="24">
        <v>1</v>
      </c>
      <c r="N14" s="25">
        <v>0</v>
      </c>
      <c r="O14" s="12">
        <f>SUM(K14:N14)</f>
        <v>3</v>
      </c>
      <c r="P14" s="26">
        <f>34619*1.08</f>
        <v>37388.520000000004</v>
      </c>
      <c r="Q14" s="13">
        <f>P14*O14</f>
        <v>112165.56000000001</v>
      </c>
      <c r="R14" s="14">
        <v>1</v>
      </c>
      <c r="S14" s="13">
        <f>P14*(1-R14)</f>
        <v>0</v>
      </c>
      <c r="T14" s="15">
        <f>Q14*(1-R14)</f>
        <v>0</v>
      </c>
    </row>
    <row r="15" spans="2:20" s="1" customFormat="1" ht="4.5" customHeight="1" x14ac:dyDescent="0.35">
      <c r="B15" s="178"/>
      <c r="C15" s="2"/>
      <c r="D15" s="180"/>
      <c r="E15" s="7"/>
      <c r="F15" s="8"/>
      <c r="G15" s="8"/>
      <c r="H15" s="8"/>
      <c r="I15" s="2"/>
      <c r="J15" s="16"/>
      <c r="K15" s="16"/>
      <c r="L15" s="17"/>
      <c r="M15" s="16"/>
      <c r="N15" s="17"/>
      <c r="O15" s="18"/>
      <c r="P15" s="19"/>
      <c r="Q15" s="19"/>
      <c r="R15" s="20"/>
      <c r="S15" s="19"/>
      <c r="T15" s="21"/>
    </row>
    <row r="16" spans="2:20" s="1" customFormat="1" ht="42" customHeight="1" x14ac:dyDescent="0.35">
      <c r="B16" s="178"/>
      <c r="C16" s="2"/>
      <c r="D16" s="181"/>
      <c r="E16" s="7"/>
      <c r="F16" s="34" t="s">
        <v>26</v>
      </c>
      <c r="G16" s="8"/>
      <c r="H16" s="34" t="s">
        <v>27</v>
      </c>
      <c r="I16" s="2"/>
      <c r="J16" s="9" t="s">
        <v>28</v>
      </c>
      <c r="K16" s="35">
        <v>1</v>
      </c>
      <c r="L16" s="25">
        <v>0</v>
      </c>
      <c r="M16" s="24">
        <v>1</v>
      </c>
      <c r="N16" s="25">
        <v>0</v>
      </c>
      <c r="O16" s="12">
        <f>SUM(K16:N16)</f>
        <v>2</v>
      </c>
      <c r="P16" s="26">
        <v>90788.04</v>
      </c>
      <c r="Q16" s="13">
        <f>P16*O16</f>
        <v>181576.08</v>
      </c>
      <c r="R16" s="14">
        <v>1</v>
      </c>
      <c r="S16" s="13">
        <f>P16*(1-R16)</f>
        <v>0</v>
      </c>
      <c r="T16" s="15">
        <f>Q16*(1-R16)</f>
        <v>0</v>
      </c>
    </row>
    <row r="17" spans="2:22" s="1" customFormat="1" ht="4.5" customHeight="1" x14ac:dyDescent="0.35">
      <c r="B17" s="178"/>
      <c r="C17" s="2"/>
      <c r="D17" s="8"/>
      <c r="E17" s="7"/>
      <c r="F17" s="8"/>
      <c r="G17" s="8"/>
      <c r="H17" s="8"/>
      <c r="I17" s="2"/>
      <c r="J17" s="16"/>
      <c r="K17" s="16"/>
      <c r="L17" s="17"/>
      <c r="M17" s="16"/>
      <c r="N17" s="17"/>
      <c r="O17" s="18"/>
      <c r="P17" s="19"/>
      <c r="Q17" s="19"/>
      <c r="R17" s="20"/>
      <c r="S17" s="19"/>
      <c r="T17" s="21"/>
    </row>
    <row r="18" spans="2:22" s="1" customFormat="1" ht="46.5" customHeight="1" x14ac:dyDescent="0.35">
      <c r="B18" s="178"/>
      <c r="C18" s="2"/>
      <c r="D18" s="34" t="s">
        <v>29</v>
      </c>
      <c r="E18" s="7"/>
      <c r="F18" s="34" t="s">
        <v>26</v>
      </c>
      <c r="G18" s="8"/>
      <c r="H18" s="34" t="s">
        <v>30</v>
      </c>
      <c r="I18" s="2"/>
      <c r="J18" s="9" t="s">
        <v>31</v>
      </c>
      <c r="K18" s="35">
        <v>1500000</v>
      </c>
      <c r="L18" s="36">
        <v>0</v>
      </c>
      <c r="M18" s="35">
        <v>1500000</v>
      </c>
      <c r="N18" s="36">
        <v>0</v>
      </c>
      <c r="O18" s="37">
        <f>SUM(K18:N18)</f>
        <v>3000000</v>
      </c>
      <c r="P18" s="13">
        <v>258.43</v>
      </c>
      <c r="Q18" s="13">
        <f>P18*O18/1000</f>
        <v>775290</v>
      </c>
      <c r="R18" s="14">
        <v>1</v>
      </c>
      <c r="S18" s="13">
        <f>P18*(1-R18)</f>
        <v>0</v>
      </c>
      <c r="T18" s="15">
        <f>Q18*(1-R18)</f>
        <v>0</v>
      </c>
    </row>
    <row r="19" spans="2:22" s="1" customFormat="1" ht="4.5" customHeight="1" x14ac:dyDescent="0.35">
      <c r="B19" s="38"/>
      <c r="C19" s="39"/>
      <c r="D19" s="2"/>
      <c r="E19" s="2"/>
      <c r="F19" s="2"/>
      <c r="G19" s="39"/>
      <c r="H19" s="2" t="s">
        <v>32</v>
      </c>
      <c r="I19" s="2"/>
      <c r="J19" s="40"/>
      <c r="K19" s="40"/>
      <c r="L19" s="40"/>
      <c r="M19" s="40"/>
      <c r="N19" s="40"/>
      <c r="O19" s="2"/>
      <c r="P19" s="41"/>
      <c r="Q19" s="41"/>
      <c r="R19" s="2"/>
      <c r="S19" s="41"/>
      <c r="T19" s="42"/>
    </row>
    <row r="20" spans="2:22" s="1" customFormat="1" ht="68.25" customHeight="1" x14ac:dyDescent="0.35">
      <c r="B20" s="43" t="s">
        <v>33</v>
      </c>
      <c r="C20" s="8"/>
      <c r="D20" s="34" t="s">
        <v>16</v>
      </c>
      <c r="E20" s="7"/>
      <c r="F20" s="34" t="s">
        <v>34</v>
      </c>
      <c r="G20" s="8"/>
      <c r="H20" s="34" t="s">
        <v>35</v>
      </c>
      <c r="I20" s="2"/>
      <c r="J20" s="44" t="s">
        <v>36</v>
      </c>
      <c r="K20" s="36">
        <v>0</v>
      </c>
      <c r="L20" s="36">
        <v>0</v>
      </c>
      <c r="M20" s="45">
        <v>1</v>
      </c>
      <c r="N20" s="45">
        <v>1</v>
      </c>
      <c r="O20" s="12">
        <v>1</v>
      </c>
      <c r="P20" s="46" t="s">
        <v>35</v>
      </c>
      <c r="Q20" s="13">
        <v>80000</v>
      </c>
      <c r="R20" s="47" t="s">
        <v>35</v>
      </c>
      <c r="S20" s="46" t="s">
        <v>35</v>
      </c>
      <c r="T20" s="15">
        <f>Q20</f>
        <v>80000</v>
      </c>
      <c r="U20" s="48"/>
    </row>
    <row r="21" spans="2:22" s="1" customFormat="1" ht="4.5" customHeight="1" x14ac:dyDescent="0.35">
      <c r="B21" s="2"/>
      <c r="C21" s="2"/>
      <c r="D21" s="2"/>
      <c r="E21" s="2"/>
      <c r="F21" s="2"/>
      <c r="G21" s="2"/>
      <c r="H21" s="2"/>
      <c r="I21" s="2"/>
      <c r="J21" s="40"/>
      <c r="K21" s="40"/>
      <c r="L21" s="40"/>
      <c r="M21" s="40"/>
      <c r="N21" s="40"/>
      <c r="O21" s="2"/>
      <c r="P21" s="49"/>
      <c r="Q21" s="2"/>
      <c r="R21" s="5"/>
      <c r="S21" s="2"/>
      <c r="T21" s="6"/>
    </row>
    <row r="22" spans="2:22" s="1" customFormat="1" ht="50.25" customHeight="1" x14ac:dyDescent="0.35">
      <c r="B22" s="183" t="s">
        <v>37</v>
      </c>
      <c r="C22" s="7"/>
      <c r="D22" s="184" t="s">
        <v>16</v>
      </c>
      <c r="E22" s="7"/>
      <c r="F22" s="34" t="s">
        <v>38</v>
      </c>
      <c r="G22" s="8"/>
      <c r="H22" s="50" t="s">
        <v>35</v>
      </c>
      <c r="I22" s="2"/>
      <c r="J22" s="51" t="s">
        <v>39</v>
      </c>
      <c r="K22" s="36">
        <v>0</v>
      </c>
      <c r="L22" s="36">
        <v>0</v>
      </c>
      <c r="M22" s="36">
        <v>0</v>
      </c>
      <c r="N22" s="10">
        <v>1</v>
      </c>
      <c r="O22" s="12">
        <f>SUM(K22:N22)</f>
        <v>1</v>
      </c>
      <c r="P22" s="52">
        <f>6*52*2965*1.3</f>
        <v>1202604</v>
      </c>
      <c r="Q22" s="13">
        <f>P22*O22</f>
        <v>1202604</v>
      </c>
      <c r="R22" s="14">
        <v>0.8431552888116981</v>
      </c>
      <c r="S22" s="13">
        <f>P22*(1-R22)</f>
        <v>188622.07705389662</v>
      </c>
      <c r="T22" s="15">
        <f>Q22*(1-R22)</f>
        <v>188622.07705389662</v>
      </c>
    </row>
    <row r="23" spans="2:22" s="1" customFormat="1" ht="3.75" customHeight="1" x14ac:dyDescent="0.35">
      <c r="B23" s="183"/>
      <c r="C23" s="2"/>
      <c r="D23" s="184"/>
      <c r="E23" s="2"/>
      <c r="F23" s="2"/>
      <c r="G23" s="2"/>
      <c r="H23" s="2"/>
      <c r="I23" s="2"/>
      <c r="J23" s="53"/>
      <c r="K23" s="53"/>
      <c r="L23" s="53"/>
      <c r="M23" s="53"/>
      <c r="N23" s="53"/>
      <c r="O23" s="53"/>
      <c r="P23" s="2"/>
      <c r="Q23" s="2"/>
      <c r="R23" s="2"/>
      <c r="S23" s="2"/>
      <c r="T23" s="2"/>
    </row>
    <row r="24" spans="2:22" s="1" customFormat="1" ht="62.25" customHeight="1" x14ac:dyDescent="0.35">
      <c r="B24" s="183"/>
      <c r="C24" s="2"/>
      <c r="D24" s="184"/>
      <c r="E24" s="7"/>
      <c r="F24" s="34" t="s">
        <v>40</v>
      </c>
      <c r="G24" s="8"/>
      <c r="H24" s="50" t="s">
        <v>35</v>
      </c>
      <c r="I24" s="2"/>
      <c r="J24" s="51" t="s">
        <v>41</v>
      </c>
      <c r="K24" s="36">
        <v>0</v>
      </c>
      <c r="L24" s="36">
        <v>0</v>
      </c>
      <c r="M24" s="36">
        <v>0</v>
      </c>
      <c r="N24" s="10">
        <v>1</v>
      </c>
      <c r="O24" s="12">
        <f>SUM(K24:N24)</f>
        <v>1</v>
      </c>
      <c r="P24" s="52">
        <f>448931</f>
        <v>448931</v>
      </c>
      <c r="Q24" s="13">
        <f>P24*O24</f>
        <v>448931</v>
      </c>
      <c r="R24" s="14">
        <v>0.86327982931429681</v>
      </c>
      <c r="S24" s="13">
        <f>P24*(1-R24)</f>
        <v>61377.922946103419</v>
      </c>
      <c r="T24" s="15">
        <f>Q24*(1-R24)</f>
        <v>61377.922946103419</v>
      </c>
    </row>
    <row r="25" spans="2:22" s="1" customFormat="1" ht="3.75" customHeight="1" x14ac:dyDescent="0.35">
      <c r="B25" s="54"/>
      <c r="C25" s="2"/>
      <c r="D25" s="2"/>
      <c r="E25" s="2"/>
      <c r="F25" s="2"/>
      <c r="G25" s="2"/>
      <c r="H25" s="2"/>
      <c r="I25" s="2"/>
      <c r="J25" s="53"/>
      <c r="K25" s="53"/>
      <c r="L25" s="53"/>
      <c r="M25" s="53"/>
      <c r="N25" s="53"/>
      <c r="O25" s="53"/>
      <c r="P25" s="2"/>
      <c r="Q25" s="2"/>
      <c r="R25" s="2"/>
      <c r="S25" s="2"/>
      <c r="T25" s="2"/>
    </row>
    <row r="26" spans="2:22" ht="30" customHeight="1" x14ac:dyDescent="0.35">
      <c r="B26" s="170"/>
      <c r="C26" s="170"/>
      <c r="D26" s="170"/>
      <c r="E26" s="170"/>
      <c r="F26" s="170"/>
      <c r="G26" s="170"/>
      <c r="H26" s="170"/>
      <c r="I26" s="170"/>
      <c r="J26" s="53"/>
      <c r="K26" s="53"/>
      <c r="L26" s="53"/>
      <c r="M26" s="53"/>
      <c r="N26" s="53"/>
      <c r="O26" s="53"/>
      <c r="P26" s="55"/>
      <c r="Q26" s="55"/>
      <c r="R26" s="174" t="s">
        <v>42</v>
      </c>
      <c r="S26" s="175"/>
      <c r="T26" s="56">
        <f>SUM(Q6:Q24)</f>
        <v>3654664.0011999998</v>
      </c>
    </row>
    <row r="27" spans="2:22" ht="30" customHeight="1" x14ac:dyDescent="0.35">
      <c r="B27" s="57"/>
      <c r="C27" s="57"/>
      <c r="D27" s="58"/>
      <c r="E27" s="58"/>
      <c r="F27" s="58"/>
      <c r="G27" s="58"/>
      <c r="H27" s="58"/>
      <c r="I27" s="58"/>
      <c r="J27" s="53"/>
      <c r="K27" s="53"/>
      <c r="L27" s="53"/>
      <c r="M27" s="53"/>
      <c r="N27" s="53"/>
      <c r="O27" s="53"/>
      <c r="P27" s="55"/>
      <c r="Q27" s="55"/>
      <c r="R27" s="174" t="s">
        <v>43</v>
      </c>
      <c r="S27" s="175"/>
      <c r="T27" s="59">
        <f>1-(T28/T26)</f>
        <v>0.90970442155786535</v>
      </c>
      <c r="U27" s="134"/>
    </row>
    <row r="28" spans="2:22" ht="30" customHeight="1" x14ac:dyDescent="0.35">
      <c r="B28" s="57"/>
      <c r="C28" s="57"/>
      <c r="D28" s="58"/>
      <c r="E28" s="58"/>
      <c r="F28" s="58"/>
      <c r="G28" s="58"/>
      <c r="I28" s="58"/>
      <c r="J28" s="53"/>
      <c r="K28" s="53"/>
      <c r="L28" s="53"/>
      <c r="M28" s="53"/>
      <c r="N28" s="53"/>
      <c r="O28" s="55"/>
      <c r="P28" s="55"/>
      <c r="Q28" s="55"/>
      <c r="R28" s="174" t="s">
        <v>47</v>
      </c>
      <c r="S28" s="175"/>
      <c r="T28" s="61">
        <f>SUM(T6:T24)</f>
        <v>330000.00000000006</v>
      </c>
      <c r="V28" s="62"/>
    </row>
    <row r="29" spans="2:22" s="1" customFormat="1" ht="4.5" customHeight="1" x14ac:dyDescent="0.35">
      <c r="B29" s="54"/>
      <c r="C29" s="2"/>
      <c r="D29" s="2"/>
      <c r="E29" s="2"/>
      <c r="F29" s="2"/>
      <c r="G29" s="2"/>
      <c r="H29" s="2"/>
      <c r="I29" s="2"/>
      <c r="J29" s="2"/>
      <c r="K29" s="2"/>
      <c r="L29" s="2"/>
      <c r="M29" s="2"/>
      <c r="N29" s="2"/>
      <c r="O29" s="55"/>
      <c r="P29" s="55"/>
      <c r="Q29" s="2"/>
      <c r="R29" s="2"/>
      <c r="S29" s="2"/>
      <c r="T29" s="2"/>
    </row>
    <row r="30" spans="2:22" ht="30" customHeight="1" x14ac:dyDescent="0.35">
      <c r="B30" s="57"/>
      <c r="C30" s="57"/>
      <c r="D30" s="58"/>
      <c r="E30" s="58"/>
      <c r="F30" s="58"/>
      <c r="G30" s="58"/>
      <c r="I30" s="58"/>
      <c r="J30" s="53"/>
      <c r="K30" s="53"/>
      <c r="L30" s="53"/>
      <c r="M30" s="53"/>
      <c r="N30" s="53"/>
      <c r="O30" s="55"/>
      <c r="P30" s="55"/>
      <c r="Q30" s="55"/>
      <c r="R30" s="172" t="s">
        <v>74</v>
      </c>
      <c r="S30" s="173"/>
      <c r="T30" s="70">
        <f>T28*0.8</f>
        <v>264000.00000000006</v>
      </c>
      <c r="V30" s="62"/>
    </row>
    <row r="31" spans="2:22" s="1" customFormat="1" ht="15" customHeight="1" x14ac:dyDescent="0.35">
      <c r="B31" s="54"/>
      <c r="C31" s="2"/>
      <c r="D31" s="2"/>
      <c r="E31" s="2"/>
      <c r="F31" s="2"/>
      <c r="G31" s="2"/>
      <c r="H31" s="2"/>
      <c r="I31" s="2"/>
      <c r="J31" s="2"/>
      <c r="K31" s="2"/>
      <c r="L31" s="2"/>
      <c r="M31" s="2"/>
      <c r="N31" s="2"/>
      <c r="O31" s="55"/>
      <c r="P31" s="55"/>
      <c r="Q31" s="63"/>
      <c r="R31" s="170" t="s">
        <v>48</v>
      </c>
      <c r="S31" s="170"/>
      <c r="T31" s="170"/>
    </row>
    <row r="32" spans="2:22" s="1" customFormat="1" ht="15" customHeight="1" x14ac:dyDescent="0.35">
      <c r="B32" s="54"/>
      <c r="C32" s="2"/>
      <c r="D32" s="2"/>
      <c r="E32" s="2"/>
      <c r="F32" s="2"/>
      <c r="G32" s="2"/>
      <c r="H32" s="2"/>
      <c r="I32" s="2"/>
      <c r="J32" s="2"/>
      <c r="K32" s="2"/>
      <c r="L32" s="2"/>
      <c r="M32" s="2"/>
      <c r="N32" s="2"/>
      <c r="O32" s="55"/>
      <c r="P32" s="55"/>
      <c r="Q32" s="2"/>
      <c r="R32" s="170" t="s">
        <v>44</v>
      </c>
      <c r="S32" s="170"/>
      <c r="T32" s="170"/>
    </row>
    <row r="33" spans="2:22" s="1" customFormat="1" ht="45.75" customHeight="1" x14ac:dyDescent="0.35">
      <c r="B33" s="54"/>
      <c r="C33" s="2"/>
      <c r="D33" s="2"/>
      <c r="E33" s="2"/>
      <c r="F33" s="2"/>
      <c r="G33" s="2"/>
      <c r="H33" s="2"/>
      <c r="I33" s="2"/>
      <c r="J33" s="2"/>
      <c r="K33" s="2"/>
      <c r="L33" s="2"/>
      <c r="M33" s="2"/>
      <c r="N33" s="2"/>
      <c r="O33" s="2"/>
      <c r="P33" s="2"/>
      <c r="Q33" s="2"/>
      <c r="R33" s="171" t="s">
        <v>45</v>
      </c>
      <c r="S33" s="171"/>
      <c r="T33" s="171"/>
    </row>
    <row r="34" spans="2:22" s="1" customFormat="1" ht="47.25" customHeight="1" x14ac:dyDescent="0.35">
      <c r="B34" s="54"/>
      <c r="C34" s="2"/>
      <c r="D34" s="2"/>
      <c r="E34" s="2"/>
      <c r="F34" s="2"/>
      <c r="G34" s="2"/>
      <c r="H34" s="2"/>
      <c r="I34" s="2"/>
      <c r="J34" s="2"/>
      <c r="K34" s="2"/>
      <c r="L34" s="2"/>
      <c r="M34" s="2"/>
      <c r="N34" s="2"/>
      <c r="O34" s="2"/>
      <c r="P34" s="2"/>
      <c r="Q34" s="2"/>
      <c r="R34" s="171" t="s">
        <v>46</v>
      </c>
      <c r="S34" s="171"/>
      <c r="T34" s="171"/>
    </row>
    <row r="35" spans="2:22" s="1" customFormat="1" ht="4.5" customHeight="1" x14ac:dyDescent="0.35">
      <c r="B35" s="54"/>
      <c r="C35" s="2"/>
      <c r="D35" s="2"/>
      <c r="E35" s="2"/>
      <c r="F35" s="2"/>
      <c r="G35" s="2"/>
      <c r="H35" s="2"/>
      <c r="I35" s="2"/>
      <c r="J35" s="2"/>
      <c r="K35" s="2"/>
      <c r="L35" s="2"/>
      <c r="M35" s="2"/>
      <c r="N35" s="2"/>
      <c r="O35" s="2"/>
      <c r="P35" s="2"/>
      <c r="Q35" s="2"/>
      <c r="R35" s="2"/>
      <c r="S35" s="2"/>
      <c r="T35" s="2"/>
    </row>
    <row r="36" spans="2:22" s="1" customFormat="1" x14ac:dyDescent="0.35">
      <c r="B36" s="64"/>
      <c r="C36" s="64"/>
      <c r="D36" s="65"/>
      <c r="E36" s="65"/>
      <c r="F36" s="65"/>
      <c r="G36" s="65"/>
      <c r="H36" s="65"/>
      <c r="I36" s="65"/>
      <c r="J36" s="65"/>
      <c r="K36" s="65"/>
      <c r="L36" s="65"/>
      <c r="M36" s="65"/>
      <c r="N36" s="65"/>
      <c r="O36" s="65"/>
      <c r="P36" s="65"/>
      <c r="Q36" s="65"/>
      <c r="R36" s="65"/>
      <c r="S36" s="65"/>
      <c r="T36" s="66"/>
    </row>
    <row r="37" spans="2:22" s="1" customFormat="1" x14ac:dyDescent="0.35">
      <c r="B37" s="64"/>
      <c r="C37" s="64"/>
      <c r="D37" s="65"/>
      <c r="E37" s="65"/>
      <c r="F37" s="65"/>
      <c r="G37" s="65"/>
      <c r="H37" s="65"/>
      <c r="I37" s="65"/>
      <c r="J37" s="65"/>
      <c r="K37" s="65"/>
      <c r="L37" s="65"/>
      <c r="M37" s="65"/>
      <c r="N37" s="65"/>
      <c r="O37" s="65"/>
      <c r="P37" s="65"/>
      <c r="Q37" s="65"/>
      <c r="R37" s="65"/>
      <c r="S37" s="65"/>
      <c r="T37" s="66"/>
      <c r="U37" s="66"/>
      <c r="V37" s="66"/>
    </row>
    <row r="38" spans="2:22" s="1" customFormat="1" x14ac:dyDescent="0.35">
      <c r="B38" s="64"/>
      <c r="C38" s="64"/>
      <c r="D38" s="65"/>
      <c r="E38" s="65"/>
      <c r="F38" s="65"/>
      <c r="G38" s="65"/>
      <c r="H38" s="65"/>
      <c r="I38" s="65"/>
      <c r="J38" s="65"/>
      <c r="K38" s="65"/>
      <c r="L38" s="65"/>
      <c r="M38" s="65"/>
      <c r="N38" s="65"/>
      <c r="O38" s="65"/>
      <c r="P38" s="65"/>
      <c r="Q38" s="65"/>
      <c r="R38" s="65"/>
      <c r="S38" s="65"/>
      <c r="T38" s="66"/>
      <c r="V38" s="67"/>
    </row>
    <row r="39" spans="2:22" s="1" customFormat="1" x14ac:dyDescent="0.35">
      <c r="B39" s="64"/>
      <c r="C39" s="64"/>
      <c r="D39" s="65"/>
      <c r="E39" s="65"/>
      <c r="F39" s="65"/>
      <c r="G39" s="65"/>
      <c r="H39" s="65"/>
      <c r="I39" s="65"/>
      <c r="J39" s="65"/>
      <c r="K39" s="65"/>
      <c r="L39" s="65"/>
      <c r="M39" s="65"/>
      <c r="N39" s="65"/>
      <c r="O39" s="65"/>
      <c r="P39" s="65"/>
      <c r="Q39" s="65"/>
      <c r="R39" s="65"/>
      <c r="S39" s="65"/>
      <c r="T39" s="66"/>
    </row>
    <row r="40" spans="2:22" s="1" customFormat="1" x14ac:dyDescent="0.35">
      <c r="B40" s="64"/>
      <c r="C40" s="64"/>
      <c r="D40" s="65"/>
      <c r="E40" s="65"/>
      <c r="F40" s="65"/>
      <c r="G40" s="65"/>
      <c r="H40" s="65"/>
      <c r="I40" s="65"/>
      <c r="J40" s="65"/>
      <c r="K40" s="65"/>
      <c r="L40" s="65"/>
      <c r="M40" s="65"/>
      <c r="N40" s="65"/>
      <c r="O40" s="65"/>
      <c r="P40" s="65"/>
      <c r="Q40" s="65"/>
      <c r="R40" s="65"/>
      <c r="S40" s="65"/>
      <c r="T40" s="66"/>
      <c r="V40" s="68"/>
    </row>
    <row r="41" spans="2:22" s="1" customFormat="1" x14ac:dyDescent="0.35">
      <c r="B41" s="64"/>
      <c r="C41" s="64"/>
      <c r="D41" s="65"/>
      <c r="E41" s="65"/>
      <c r="F41" s="65"/>
      <c r="G41" s="65"/>
      <c r="H41" s="65"/>
      <c r="I41" s="65"/>
      <c r="J41" s="65"/>
      <c r="K41" s="65"/>
      <c r="L41" s="65"/>
      <c r="M41" s="65"/>
      <c r="N41" s="65"/>
      <c r="O41" s="65"/>
      <c r="P41" s="65"/>
      <c r="Q41" s="65"/>
      <c r="R41" s="65"/>
      <c r="S41" s="65"/>
      <c r="T41" s="65"/>
    </row>
    <row r="42" spans="2:22" s="1" customFormat="1" x14ac:dyDescent="0.35">
      <c r="B42" s="64"/>
      <c r="C42" s="64"/>
      <c r="D42" s="65"/>
      <c r="E42" s="65"/>
      <c r="F42" s="65"/>
      <c r="G42" s="65"/>
      <c r="H42" s="65"/>
      <c r="I42" s="65"/>
      <c r="J42" s="65"/>
      <c r="K42" s="65"/>
      <c r="L42" s="65"/>
      <c r="M42" s="65"/>
      <c r="N42" s="65"/>
      <c r="O42" s="65"/>
      <c r="P42" s="65"/>
      <c r="Q42" s="65"/>
      <c r="R42" s="65"/>
      <c r="S42" s="65"/>
      <c r="T42" s="65"/>
    </row>
    <row r="43" spans="2:22" s="1" customFormat="1" x14ac:dyDescent="0.35">
      <c r="B43" s="64"/>
      <c r="C43" s="64"/>
      <c r="D43" s="65"/>
      <c r="E43" s="65"/>
      <c r="F43" s="65"/>
      <c r="G43" s="65"/>
      <c r="H43" s="65"/>
      <c r="I43" s="65"/>
      <c r="J43" s="65"/>
      <c r="K43" s="65"/>
      <c r="L43" s="65"/>
      <c r="M43" s="65"/>
      <c r="N43" s="65"/>
      <c r="O43" s="65"/>
      <c r="P43" s="65"/>
      <c r="Q43" s="65"/>
      <c r="R43" s="65"/>
      <c r="S43" s="65"/>
      <c r="T43" s="65"/>
    </row>
    <row r="44" spans="2:22" s="1" customFormat="1" x14ac:dyDescent="0.35">
      <c r="B44" s="64"/>
      <c r="C44" s="64"/>
      <c r="D44" s="65"/>
      <c r="E44" s="65"/>
      <c r="F44" s="65"/>
      <c r="G44" s="65"/>
      <c r="H44" s="65"/>
      <c r="I44" s="65"/>
      <c r="J44" s="65"/>
      <c r="K44" s="65"/>
      <c r="L44" s="65"/>
      <c r="M44" s="65"/>
      <c r="N44" s="65"/>
      <c r="O44" s="65"/>
      <c r="P44" s="65"/>
      <c r="Q44" s="65"/>
      <c r="R44" s="65"/>
      <c r="S44" s="65"/>
      <c r="T44" s="65"/>
    </row>
  </sheetData>
  <mergeCells count="17">
    <mergeCell ref="R28:S28"/>
    <mergeCell ref="B2:T2"/>
    <mergeCell ref="B6:B18"/>
    <mergeCell ref="D6:D16"/>
    <mergeCell ref="F6:F8"/>
    <mergeCell ref="H6:H8"/>
    <mergeCell ref="F10:F14"/>
    <mergeCell ref="B22:B24"/>
    <mergeCell ref="D22:D24"/>
    <mergeCell ref="B26:I26"/>
    <mergeCell ref="R26:S26"/>
    <mergeCell ref="R27:S27"/>
    <mergeCell ref="R31:T31"/>
    <mergeCell ref="R32:T32"/>
    <mergeCell ref="R33:T33"/>
    <mergeCell ref="R34:T34"/>
    <mergeCell ref="R30:S30"/>
  </mergeCells>
  <pageMargins left="0.511811024" right="0.511811024" top="0.78740157499999996" bottom="0.78740157499999996" header="0.31496062000000002" footer="0.31496062000000002"/>
  <headerFooter>
    <oddFooter>&amp;C_x000D_&amp;1#&amp;"Aptos"&amp;10&amp;K000000 Confidential - Not for Public Consumption or Distribution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7"/>
  <sheetViews>
    <sheetView topLeftCell="G8" zoomScale="70" zoomScaleNormal="70" workbookViewId="0">
      <selection activeCell="P26" sqref="P26:Q26"/>
    </sheetView>
  </sheetViews>
  <sheetFormatPr defaultColWidth="8.81640625" defaultRowHeight="14.5" x14ac:dyDescent="0.35"/>
  <cols>
    <col min="1" max="1" width="1.81640625" style="71" customWidth="1"/>
    <col min="2" max="2" width="15" style="101" customWidth="1"/>
    <col min="3" max="3" width="0.81640625" style="100" customWidth="1"/>
    <col min="4" max="4" width="16.453125" style="101" customWidth="1"/>
    <col min="5" max="5" width="0.81640625" style="100" customWidth="1"/>
    <col min="6" max="6" width="20.1796875" style="101" customWidth="1"/>
    <col min="7" max="7" width="0.81640625" style="100" customWidth="1"/>
    <col min="8" max="8" width="10.1796875" style="101" customWidth="1"/>
    <col min="9" max="9" width="14.81640625" style="101" customWidth="1"/>
    <col min="10" max="10" width="0.81640625" style="100" customWidth="1"/>
    <col min="11" max="11" width="81.1796875" style="101" customWidth="1"/>
    <col min="12" max="12" width="17.81640625" style="101" customWidth="1"/>
    <col min="13" max="13" width="17.453125" style="101" customWidth="1"/>
    <col min="14" max="14" width="16.81640625" style="101" customWidth="1"/>
    <col min="15" max="15" width="14.81640625" style="101" customWidth="1"/>
    <col min="16" max="16" width="19.81640625" style="101" customWidth="1"/>
    <col min="17" max="17" width="21.81640625" style="101" customWidth="1"/>
    <col min="18" max="18" width="9.81640625" style="71" bestFit="1" customWidth="1"/>
    <col min="19" max="19" width="9.1796875" style="72" bestFit="1" customWidth="1"/>
    <col min="20" max="16384" width="8.81640625" style="72"/>
  </cols>
  <sheetData>
    <row r="1" spans="2:18" s="71" customFormat="1" ht="4.5" customHeight="1" x14ac:dyDescent="0.35">
      <c r="B1" s="2"/>
      <c r="C1" s="2"/>
      <c r="D1" s="2"/>
      <c r="E1" s="2"/>
      <c r="F1" s="2"/>
      <c r="G1" s="2"/>
      <c r="H1" s="2"/>
      <c r="I1" s="2"/>
      <c r="J1" s="2"/>
      <c r="K1" s="2"/>
      <c r="L1" s="2"/>
      <c r="M1" s="2"/>
      <c r="N1" s="2"/>
      <c r="O1" s="2"/>
      <c r="P1" s="2"/>
      <c r="Q1" s="2"/>
    </row>
    <row r="2" spans="2:18" ht="42.75" customHeight="1" x14ac:dyDescent="0.35">
      <c r="B2" s="205" t="s">
        <v>94</v>
      </c>
      <c r="C2" s="206"/>
      <c r="D2" s="206"/>
      <c r="E2" s="206"/>
      <c r="F2" s="206"/>
      <c r="G2" s="206"/>
      <c r="H2" s="206"/>
      <c r="I2" s="206"/>
      <c r="J2" s="206"/>
      <c r="K2" s="206"/>
      <c r="L2" s="206"/>
      <c r="M2" s="206"/>
      <c r="N2" s="206"/>
      <c r="O2" s="206"/>
      <c r="P2" s="206"/>
      <c r="Q2" s="207"/>
    </row>
    <row r="3" spans="2:18" s="71" customFormat="1" ht="4.5" customHeight="1" x14ac:dyDescent="0.35">
      <c r="B3" s="2"/>
      <c r="C3" s="2"/>
      <c r="D3" s="2"/>
      <c r="E3" s="2"/>
      <c r="F3" s="2"/>
      <c r="G3" s="2"/>
      <c r="H3" s="2"/>
      <c r="I3" s="2"/>
      <c r="J3" s="2"/>
      <c r="K3" s="2"/>
      <c r="L3" s="2"/>
      <c r="M3" s="2"/>
      <c r="N3" s="2"/>
      <c r="O3" s="2"/>
      <c r="P3" s="2"/>
      <c r="Q3" s="2"/>
    </row>
    <row r="4" spans="2:18" ht="20.149999999999999" customHeight="1" x14ac:dyDescent="0.35">
      <c r="B4" s="208" t="s">
        <v>49</v>
      </c>
      <c r="C4" s="2"/>
      <c r="D4" s="208" t="s">
        <v>50</v>
      </c>
      <c r="E4" s="2"/>
      <c r="F4" s="208" t="s">
        <v>2</v>
      </c>
      <c r="G4" s="2"/>
      <c r="H4" s="73" t="s">
        <v>51</v>
      </c>
      <c r="I4" s="210" t="s">
        <v>52</v>
      </c>
      <c r="J4" s="2"/>
      <c r="K4" s="208" t="s">
        <v>4</v>
      </c>
      <c r="L4" s="208" t="s">
        <v>53</v>
      </c>
      <c r="M4" s="210" t="s">
        <v>54</v>
      </c>
      <c r="N4" s="210" t="s">
        <v>11</v>
      </c>
      <c r="O4" s="210" t="s">
        <v>12</v>
      </c>
      <c r="P4" s="210" t="s">
        <v>55</v>
      </c>
      <c r="Q4" s="210" t="s">
        <v>56</v>
      </c>
    </row>
    <row r="5" spans="2:18" ht="20.149999999999999" customHeight="1" x14ac:dyDescent="0.35">
      <c r="B5" s="209"/>
      <c r="C5" s="2"/>
      <c r="D5" s="209"/>
      <c r="E5" s="2"/>
      <c r="F5" s="209"/>
      <c r="G5" s="2"/>
      <c r="H5" s="74" t="s">
        <v>57</v>
      </c>
      <c r="I5" s="210"/>
      <c r="J5" s="2"/>
      <c r="K5" s="209"/>
      <c r="L5" s="209"/>
      <c r="M5" s="210"/>
      <c r="N5" s="210"/>
      <c r="O5" s="210"/>
      <c r="P5" s="210"/>
      <c r="Q5" s="210"/>
    </row>
    <row r="6" spans="2:18" s="71" customFormat="1" ht="4" customHeight="1" x14ac:dyDescent="0.35">
      <c r="B6" s="2"/>
      <c r="C6" s="2"/>
      <c r="D6" s="2"/>
      <c r="E6" s="2"/>
      <c r="F6" s="2"/>
      <c r="G6" s="2"/>
      <c r="H6" s="2"/>
      <c r="I6" s="2"/>
      <c r="J6" s="2"/>
      <c r="K6" s="2"/>
      <c r="L6" s="2"/>
      <c r="M6" s="2"/>
      <c r="N6" s="2"/>
      <c r="O6" s="2"/>
      <c r="P6" s="2"/>
      <c r="Q6" s="2"/>
    </row>
    <row r="7" spans="2:18" s="71" customFormat="1" ht="78.75" hidden="1" customHeight="1" x14ac:dyDescent="0.35">
      <c r="B7" s="201" t="s">
        <v>58</v>
      </c>
      <c r="C7" s="7"/>
      <c r="D7" s="202" t="s">
        <v>59</v>
      </c>
      <c r="E7" s="27"/>
      <c r="F7" s="75" t="s">
        <v>60</v>
      </c>
      <c r="G7" s="2"/>
      <c r="H7" s="76" t="s">
        <v>35</v>
      </c>
      <c r="I7" s="77">
        <v>1</v>
      </c>
      <c r="J7" s="2"/>
      <c r="K7" s="12" t="s">
        <v>61</v>
      </c>
      <c r="L7" s="37">
        <v>137000</v>
      </c>
      <c r="M7" s="78">
        <f>6*52*1584*1.3</f>
        <v>642470.40000000002</v>
      </c>
      <c r="N7" s="78">
        <f>M7*I7</f>
        <v>642470.40000000002</v>
      </c>
      <c r="O7" s="79">
        <v>1</v>
      </c>
      <c r="P7" s="80" t="s">
        <v>62</v>
      </c>
      <c r="Q7" s="80" t="s">
        <v>62</v>
      </c>
    </row>
    <row r="8" spans="2:18" s="71" customFormat="1" ht="4.5" customHeight="1" x14ac:dyDescent="0.35">
      <c r="B8" s="201"/>
      <c r="C8" s="2"/>
      <c r="D8" s="202"/>
      <c r="E8" s="81"/>
      <c r="F8" s="82"/>
      <c r="G8" s="82"/>
      <c r="H8" s="82"/>
      <c r="I8" s="82"/>
      <c r="J8" s="82"/>
      <c r="K8" s="82"/>
      <c r="L8" s="82"/>
      <c r="M8" s="82"/>
      <c r="N8" s="82"/>
      <c r="O8" s="82"/>
      <c r="P8" s="82"/>
      <c r="Q8" s="82"/>
    </row>
    <row r="9" spans="2:18" s="71" customFormat="1" ht="33.75" customHeight="1" x14ac:dyDescent="0.35">
      <c r="B9" s="201"/>
      <c r="C9" s="7"/>
      <c r="D9" s="202"/>
      <c r="E9" s="27"/>
      <c r="F9" s="203" t="s">
        <v>63</v>
      </c>
      <c r="G9" s="2"/>
      <c r="H9" s="76" t="s">
        <v>35</v>
      </c>
      <c r="I9" s="77">
        <v>6</v>
      </c>
      <c r="J9" s="2"/>
      <c r="K9" s="12" t="s">
        <v>64</v>
      </c>
      <c r="L9" s="37">
        <f>287000*I9</f>
        <v>1722000</v>
      </c>
      <c r="M9" s="78">
        <f>6*26*1882*0.3</f>
        <v>88077.599999999991</v>
      </c>
      <c r="N9" s="78">
        <f>M9*I9</f>
        <v>528465.6</v>
      </c>
      <c r="O9" s="79">
        <v>0.80713800000000002</v>
      </c>
      <c r="P9" s="97">
        <f>N9*(1-O9)</f>
        <v>101920.93254719999</v>
      </c>
      <c r="Q9" s="97">
        <f>P9*0.8</f>
        <v>81536.746037759993</v>
      </c>
      <c r="R9" s="84"/>
    </row>
    <row r="10" spans="2:18" s="71" customFormat="1" ht="33.75" customHeight="1" x14ac:dyDescent="0.35">
      <c r="B10" s="201"/>
      <c r="C10" s="2"/>
      <c r="D10" s="202"/>
      <c r="E10" s="81"/>
      <c r="F10" s="202"/>
      <c r="G10" s="2"/>
      <c r="H10" s="76">
        <v>1</v>
      </c>
      <c r="I10" s="77">
        <v>1</v>
      </c>
      <c r="J10" s="2"/>
      <c r="K10" s="85" t="s">
        <v>95</v>
      </c>
      <c r="L10" s="86">
        <f>287000*I10</f>
        <v>287000</v>
      </c>
      <c r="M10" s="87">
        <f>1882*6*52*1.3</f>
        <v>763339.20000000007</v>
      </c>
      <c r="N10" s="87">
        <f>M10*I10</f>
        <v>763339.20000000007</v>
      </c>
      <c r="O10" s="79">
        <v>0.80713800000000002</v>
      </c>
      <c r="P10" s="125">
        <f>N10*(1-O10)</f>
        <v>147219.1247904</v>
      </c>
      <c r="Q10" s="125">
        <f>P10*0.8</f>
        <v>117775.29983232002</v>
      </c>
    </row>
    <row r="11" spans="2:18" s="71" customFormat="1" ht="4.5" customHeight="1" x14ac:dyDescent="0.35">
      <c r="B11" s="201"/>
      <c r="C11" s="7"/>
      <c r="D11" s="202"/>
      <c r="E11" s="27"/>
      <c r="F11" s="202"/>
      <c r="G11" s="2"/>
      <c r="H11" s="88"/>
      <c r="I11" s="88"/>
      <c r="J11" s="2"/>
      <c r="K11" s="30"/>
      <c r="L11" s="30"/>
      <c r="M11" s="89"/>
      <c r="N11" s="89"/>
      <c r="O11" s="32"/>
      <c r="P11" s="90"/>
      <c r="Q11" s="90"/>
    </row>
    <row r="12" spans="2:18" s="71" customFormat="1" ht="4.5" customHeight="1" x14ac:dyDescent="0.35">
      <c r="B12" s="201"/>
      <c r="C12" s="2"/>
      <c r="D12" s="202"/>
      <c r="E12" s="81"/>
      <c r="F12" s="82"/>
      <c r="G12" s="82"/>
      <c r="H12" s="82"/>
      <c r="I12" s="82"/>
      <c r="J12" s="82"/>
      <c r="K12" s="82"/>
      <c r="L12" s="82"/>
      <c r="M12" s="82"/>
      <c r="N12" s="82"/>
      <c r="O12" s="82"/>
      <c r="P12" s="82"/>
      <c r="Q12" s="82"/>
    </row>
    <row r="13" spans="2:18" s="71" customFormat="1" ht="48.75" customHeight="1" x14ac:dyDescent="0.35">
      <c r="B13" s="201"/>
      <c r="C13" s="7"/>
      <c r="D13" s="202"/>
      <c r="E13" s="27"/>
      <c r="F13" s="202" t="s">
        <v>26</v>
      </c>
      <c r="G13" s="2"/>
      <c r="H13" s="76">
        <v>1</v>
      </c>
      <c r="I13" s="77">
        <v>1</v>
      </c>
      <c r="J13" s="2"/>
      <c r="K13" s="85" t="s">
        <v>65</v>
      </c>
      <c r="L13" s="86">
        <f>500000*I13</f>
        <v>500000</v>
      </c>
      <c r="M13" s="87">
        <f>495421*1.1</f>
        <v>544963.10000000009</v>
      </c>
      <c r="N13" s="87">
        <f>M13*I13</f>
        <v>544963.10000000009</v>
      </c>
      <c r="O13" s="91">
        <v>1</v>
      </c>
      <c r="P13" s="126" t="s">
        <v>62</v>
      </c>
      <c r="Q13" s="126" t="s">
        <v>62</v>
      </c>
    </row>
    <row r="14" spans="2:18" s="71" customFormat="1" ht="33.75" customHeight="1" x14ac:dyDescent="0.35">
      <c r="B14" s="201"/>
      <c r="C14" s="2"/>
      <c r="D14" s="202"/>
      <c r="E14" s="81"/>
      <c r="F14" s="202"/>
      <c r="G14" s="2"/>
      <c r="H14" s="76">
        <v>1</v>
      </c>
      <c r="I14" s="77">
        <v>1500000</v>
      </c>
      <c r="J14" s="2"/>
      <c r="K14" s="12" t="s">
        <v>66</v>
      </c>
      <c r="L14" s="37">
        <f>I14</f>
        <v>1500000</v>
      </c>
      <c r="M14" s="78">
        <f>332.73*0.3*1.1</f>
        <v>109.80090000000001</v>
      </c>
      <c r="N14" s="78">
        <f>M14*I14/1000</f>
        <v>164701.35000000003</v>
      </c>
      <c r="O14" s="79">
        <v>0.82</v>
      </c>
      <c r="P14" s="97">
        <f>N14*(1-O14)</f>
        <v>29646.243000000013</v>
      </c>
      <c r="Q14" s="97">
        <f>P14*0.8</f>
        <v>23716.994400000011</v>
      </c>
    </row>
    <row r="15" spans="2:18" s="71" customFormat="1" ht="6" customHeight="1" x14ac:dyDescent="0.35">
      <c r="B15" s="201"/>
      <c r="C15" s="7"/>
      <c r="D15" s="202"/>
      <c r="E15" s="27"/>
      <c r="F15" s="7"/>
      <c r="G15" s="2"/>
      <c r="H15" s="88"/>
      <c r="I15" s="88"/>
      <c r="J15" s="2"/>
      <c r="K15" s="30"/>
      <c r="L15" s="30"/>
      <c r="M15" s="89"/>
      <c r="N15" s="89"/>
      <c r="O15" s="32"/>
      <c r="P15" s="92"/>
      <c r="Q15" s="92"/>
    </row>
    <row r="16" spans="2:18" s="71" customFormat="1" ht="48.75" customHeight="1" x14ac:dyDescent="0.35">
      <c r="B16" s="201"/>
      <c r="C16" s="7"/>
      <c r="D16" s="202"/>
      <c r="E16" s="27"/>
      <c r="F16" s="202" t="s">
        <v>21</v>
      </c>
      <c r="G16" s="2"/>
      <c r="H16" s="76">
        <v>1</v>
      </c>
      <c r="I16" s="77">
        <v>3</v>
      </c>
      <c r="J16" s="2"/>
      <c r="K16" s="93" t="s">
        <v>67</v>
      </c>
      <c r="L16" s="94">
        <f>3200*I16</f>
        <v>9600</v>
      </c>
      <c r="M16" s="95">
        <f>32659.2*1.1*0.3</f>
        <v>10777.536</v>
      </c>
      <c r="N16" s="95">
        <f>M16*I16</f>
        <v>32332.608</v>
      </c>
      <c r="O16" s="96">
        <v>0.9</v>
      </c>
      <c r="P16" s="97">
        <f>N16*(1-O16)</f>
        <v>3233.2607999999991</v>
      </c>
      <c r="Q16" s="97">
        <f>P16*0.8</f>
        <v>2586.6086399999995</v>
      </c>
    </row>
    <row r="17" spans="2:18" s="71" customFormat="1" ht="33.75" customHeight="1" x14ac:dyDescent="0.35">
      <c r="B17" s="201"/>
      <c r="C17" s="2"/>
      <c r="D17" s="202"/>
      <c r="E17" s="81"/>
      <c r="F17" s="202"/>
      <c r="G17" s="2"/>
      <c r="H17" s="76">
        <v>1</v>
      </c>
      <c r="I17" s="77">
        <v>3</v>
      </c>
      <c r="J17" s="2"/>
      <c r="K17" s="93" t="s">
        <v>68</v>
      </c>
      <c r="L17" s="37">
        <f>2500*I17</f>
        <v>7500</v>
      </c>
      <c r="M17" s="95">
        <f>52488*1.1*0.3</f>
        <v>17321.04</v>
      </c>
      <c r="N17" s="78">
        <f>M17*I17</f>
        <v>51963.12</v>
      </c>
      <c r="O17" s="96">
        <v>0.9</v>
      </c>
      <c r="P17" s="97">
        <f>N17*(1-O17)</f>
        <v>5196.311999999999</v>
      </c>
      <c r="Q17" s="97">
        <f>P17*0.8</f>
        <v>4157.0495999999994</v>
      </c>
      <c r="R17" s="84"/>
    </row>
    <row r="18" spans="2:18" s="71" customFormat="1" ht="33.75" customHeight="1" x14ac:dyDescent="0.35">
      <c r="B18" s="201"/>
      <c r="C18" s="2"/>
      <c r="D18" s="202"/>
      <c r="E18" s="81"/>
      <c r="F18" s="202"/>
      <c r="G18" s="2"/>
      <c r="H18" s="76">
        <v>1</v>
      </c>
      <c r="I18" s="77">
        <v>3</v>
      </c>
      <c r="J18" s="2"/>
      <c r="K18" s="93" t="s">
        <v>69</v>
      </c>
      <c r="L18" s="37">
        <f>3500*I18</f>
        <v>10500</v>
      </c>
      <c r="M18" s="78">
        <f>69296*1.1*0.3</f>
        <v>22867.68</v>
      </c>
      <c r="N18" s="78">
        <f>M18*I18</f>
        <v>68603.040000000008</v>
      </c>
      <c r="O18" s="96">
        <v>0.9</v>
      </c>
      <c r="P18" s="97">
        <f>N18*(1-O18)</f>
        <v>6860.3039999999992</v>
      </c>
      <c r="Q18" s="97">
        <f>P18*0.8</f>
        <v>5488.2431999999999</v>
      </c>
      <c r="R18" s="84"/>
    </row>
    <row r="19" spans="2:18" s="71" customFormat="1" ht="33.75" customHeight="1" x14ac:dyDescent="0.35">
      <c r="B19" s="201"/>
      <c r="C19" s="2"/>
      <c r="D19" s="202"/>
      <c r="E19" s="81"/>
      <c r="F19" s="202"/>
      <c r="G19" s="2"/>
      <c r="H19" s="76">
        <v>1</v>
      </c>
      <c r="I19" s="77">
        <v>3</v>
      </c>
      <c r="J19" s="2"/>
      <c r="K19" s="93" t="s">
        <v>70</v>
      </c>
      <c r="L19" s="37">
        <f>2000*I19</f>
        <v>6000</v>
      </c>
      <c r="M19" s="78">
        <f>73911*1.1*0.3</f>
        <v>24390.63</v>
      </c>
      <c r="N19" s="78">
        <f>M19*I19</f>
        <v>73171.89</v>
      </c>
      <c r="O19" s="96">
        <v>0.9</v>
      </c>
      <c r="P19" s="97">
        <f>N19*(1-O19)</f>
        <v>7317.1889999999985</v>
      </c>
      <c r="Q19" s="97">
        <f>P19*0.8</f>
        <v>5853.7511999999988</v>
      </c>
      <c r="R19" s="84"/>
    </row>
    <row r="20" spans="2:18" s="71" customFormat="1" ht="6" customHeight="1" x14ac:dyDescent="0.35">
      <c r="B20" s="201"/>
      <c r="C20" s="7"/>
      <c r="D20" s="202"/>
      <c r="E20" s="27"/>
      <c r="F20" s="7"/>
      <c r="G20" s="2"/>
      <c r="H20" s="88"/>
      <c r="I20" s="88"/>
      <c r="J20" s="2"/>
      <c r="K20" s="30"/>
      <c r="L20" s="30"/>
      <c r="M20" s="89"/>
      <c r="N20" s="89"/>
      <c r="O20" s="32"/>
      <c r="P20" s="92"/>
      <c r="Q20" s="92"/>
    </row>
    <row r="21" spans="2:18" s="71" customFormat="1" ht="60" customHeight="1" x14ac:dyDescent="0.35">
      <c r="B21" s="201"/>
      <c r="C21" s="7"/>
      <c r="D21" s="202"/>
      <c r="E21" s="27"/>
      <c r="F21" s="202" t="s">
        <v>71</v>
      </c>
      <c r="G21" s="2"/>
      <c r="H21" s="76">
        <v>6</v>
      </c>
      <c r="I21" s="77">
        <v>1</v>
      </c>
      <c r="J21" s="2"/>
      <c r="K21" s="93" t="s">
        <v>72</v>
      </c>
      <c r="L21" s="93">
        <v>25</v>
      </c>
      <c r="M21" s="95">
        <f>64.9*1.1</f>
        <v>71.390000000000015</v>
      </c>
      <c r="N21" s="95">
        <f>M21*L21*H21</f>
        <v>10708.500000000004</v>
      </c>
      <c r="O21" s="96">
        <f>1-(P21/N21)</f>
        <v>0.61671802773497708</v>
      </c>
      <c r="P21" s="97">
        <f>3731.25*1.1</f>
        <v>4104.375</v>
      </c>
      <c r="Q21" s="97">
        <f>P21*0.8</f>
        <v>3283.5</v>
      </c>
      <c r="R21" s="98"/>
    </row>
    <row r="22" spans="2:18" s="71" customFormat="1" ht="48" customHeight="1" x14ac:dyDescent="0.35">
      <c r="B22" s="201"/>
      <c r="C22" s="7"/>
      <c r="D22" s="202"/>
      <c r="E22" s="27"/>
      <c r="F22" s="202"/>
      <c r="G22" s="2"/>
      <c r="H22" s="76">
        <v>1</v>
      </c>
      <c r="I22" s="77">
        <v>1</v>
      </c>
      <c r="J22" s="2"/>
      <c r="K22" s="99" t="s">
        <v>73</v>
      </c>
      <c r="L22" s="93" t="s">
        <v>35</v>
      </c>
      <c r="M22" s="95">
        <f>17820*1.1</f>
        <v>19602</v>
      </c>
      <c r="N22" s="95">
        <f>M22*I22</f>
        <v>19602</v>
      </c>
      <c r="O22" s="96" t="s">
        <v>35</v>
      </c>
      <c r="P22" s="97">
        <f>Q22*1.25</f>
        <v>24502.5</v>
      </c>
      <c r="Q22" s="97">
        <f>N22</f>
        <v>19602</v>
      </c>
    </row>
    <row r="23" spans="2:18" s="71" customFormat="1" ht="72" customHeight="1" x14ac:dyDescent="0.35">
      <c r="B23" s="201"/>
      <c r="C23" s="7"/>
      <c r="D23" s="202"/>
      <c r="E23" s="27"/>
      <c r="F23" s="204"/>
      <c r="G23" s="2"/>
      <c r="H23" s="76">
        <v>1</v>
      </c>
      <c r="I23" s="77">
        <v>1</v>
      </c>
      <c r="J23" s="2"/>
      <c r="K23" s="93" t="s">
        <v>96</v>
      </c>
      <c r="L23" s="93" t="s">
        <v>35</v>
      </c>
      <c r="M23" s="95">
        <f>10800*1.1</f>
        <v>11880.000000000002</v>
      </c>
      <c r="N23" s="95">
        <f>M23</f>
        <v>11880.000000000002</v>
      </c>
      <c r="O23" s="79" t="s">
        <v>35</v>
      </c>
      <c r="P23" s="97" t="s">
        <v>62</v>
      </c>
      <c r="Q23" s="97" t="s">
        <v>62</v>
      </c>
    </row>
    <row r="24" spans="2:18" s="71" customFormat="1" ht="25.5" customHeight="1" x14ac:dyDescent="0.35">
      <c r="B24" s="7"/>
      <c r="C24" s="7"/>
      <c r="D24" s="7"/>
      <c r="E24" s="27"/>
      <c r="F24" s="7"/>
      <c r="G24" s="2"/>
      <c r="H24" s="88"/>
      <c r="I24" s="88"/>
      <c r="J24" s="2"/>
      <c r="K24" s="30"/>
      <c r="L24" s="30"/>
      <c r="M24" s="193" t="s">
        <v>42</v>
      </c>
      <c r="N24" s="193"/>
      <c r="O24" s="193"/>
      <c r="P24" s="194">
        <f>SUM(N9:N23)</f>
        <v>2269730.4080000003</v>
      </c>
      <c r="Q24" s="195"/>
    </row>
    <row r="25" spans="2:18" s="71" customFormat="1" ht="25.5" customHeight="1" x14ac:dyDescent="0.35">
      <c r="B25" s="7"/>
      <c r="C25" s="7"/>
      <c r="D25" s="7"/>
      <c r="E25" s="27"/>
      <c r="F25" s="7"/>
      <c r="G25" s="2"/>
      <c r="H25" s="88"/>
      <c r="I25" s="88"/>
      <c r="J25" s="2"/>
      <c r="K25" s="30"/>
      <c r="L25" s="30"/>
      <c r="M25" s="193" t="s">
        <v>43</v>
      </c>
      <c r="N25" s="193"/>
      <c r="O25" s="193"/>
      <c r="P25" s="196">
        <f>1-(P26/P24)</f>
        <v>0.85460817726437233</v>
      </c>
      <c r="Q25" s="197"/>
      <c r="R25" s="124"/>
    </row>
    <row r="26" spans="2:18" s="71" customFormat="1" ht="25.5" customHeight="1" x14ac:dyDescent="0.35">
      <c r="B26" s="7"/>
      <c r="C26" s="7"/>
      <c r="D26" s="7"/>
      <c r="E26" s="27"/>
      <c r="F26" s="7"/>
      <c r="G26" s="2"/>
      <c r="H26" s="88"/>
      <c r="I26" s="88"/>
      <c r="J26" s="2"/>
      <c r="K26" s="30"/>
      <c r="L26" s="30"/>
      <c r="M26" s="198" t="s">
        <v>47</v>
      </c>
      <c r="N26" s="198"/>
      <c r="O26" s="198"/>
      <c r="P26" s="199">
        <f>SUM(P7:P23)</f>
        <v>330000.24113759998</v>
      </c>
      <c r="Q26" s="200"/>
      <c r="R26" s="124"/>
    </row>
    <row r="27" spans="2:18" s="71" customFormat="1" ht="6.75" customHeight="1" x14ac:dyDescent="0.35">
      <c r="B27" s="185"/>
      <c r="C27" s="185"/>
      <c r="D27" s="185"/>
      <c r="E27" s="185"/>
      <c r="F27" s="185"/>
      <c r="G27" s="185"/>
      <c r="H27" s="185"/>
      <c r="I27" s="185"/>
      <c r="J27" s="185"/>
      <c r="K27" s="185"/>
      <c r="L27" s="185"/>
      <c r="M27" s="185"/>
      <c r="N27" s="185"/>
      <c r="O27" s="185"/>
      <c r="P27" s="185"/>
      <c r="Q27" s="186"/>
    </row>
    <row r="28" spans="2:18" s="71" customFormat="1" ht="25.5" customHeight="1" x14ac:dyDescent="0.35">
      <c r="B28" s="7"/>
      <c r="C28" s="7"/>
      <c r="D28" s="7"/>
      <c r="E28" s="7"/>
      <c r="F28" s="7"/>
      <c r="G28" s="7"/>
      <c r="H28" s="7"/>
      <c r="I28" s="7"/>
      <c r="J28" s="7"/>
      <c r="K28" s="7"/>
      <c r="L28" s="7"/>
      <c r="M28" s="187" t="s">
        <v>74</v>
      </c>
      <c r="N28" s="187"/>
      <c r="O28" s="187"/>
      <c r="P28" s="188">
        <f>SUM(Q7:Q23)</f>
        <v>264000.19291008002</v>
      </c>
      <c r="Q28" s="189"/>
      <c r="R28" s="98"/>
    </row>
    <row r="29" spans="2:18" s="71" customFormat="1" x14ac:dyDescent="0.35">
      <c r="B29" s="100"/>
      <c r="C29" s="100"/>
      <c r="D29" s="100"/>
      <c r="E29" s="100"/>
      <c r="F29" s="100"/>
      <c r="G29" s="100"/>
      <c r="H29" s="100"/>
      <c r="I29" s="100"/>
      <c r="J29" s="100"/>
      <c r="K29" s="100"/>
      <c r="L29" s="100"/>
      <c r="M29" s="100"/>
      <c r="N29" s="100"/>
      <c r="O29" s="100"/>
      <c r="P29" s="100"/>
      <c r="Q29" s="100"/>
    </row>
    <row r="30" spans="2:18" s="71" customFormat="1" ht="24.75" customHeight="1" x14ac:dyDescent="0.35">
      <c r="B30" s="100"/>
      <c r="C30" s="100"/>
      <c r="D30" s="100"/>
      <c r="E30" s="100"/>
      <c r="F30" s="100"/>
      <c r="G30" s="100"/>
      <c r="H30" s="100"/>
      <c r="I30" s="100"/>
      <c r="J30" s="100"/>
      <c r="K30" s="100"/>
      <c r="L30" s="100"/>
      <c r="M30" s="190" t="s">
        <v>53</v>
      </c>
      <c r="N30" s="190"/>
      <c r="O30" s="190"/>
      <c r="P30" s="191">
        <f>SUM(L7:L23)</f>
        <v>4179625</v>
      </c>
      <c r="Q30" s="192"/>
    </row>
    <row r="31" spans="2:18" s="71" customFormat="1" x14ac:dyDescent="0.35">
      <c r="B31" s="100"/>
      <c r="C31" s="100"/>
      <c r="D31" s="100"/>
      <c r="E31" s="100"/>
      <c r="F31" s="100"/>
      <c r="G31" s="100"/>
      <c r="H31" s="100"/>
      <c r="I31" s="100"/>
      <c r="J31" s="100"/>
      <c r="K31" s="100"/>
      <c r="L31" s="100"/>
      <c r="M31" s="100"/>
      <c r="N31" s="100"/>
      <c r="O31" s="100"/>
      <c r="P31" s="100"/>
      <c r="Q31" s="100"/>
    </row>
    <row r="32" spans="2:18" s="71" customFormat="1" x14ac:dyDescent="0.35">
      <c r="B32" s="100"/>
      <c r="C32" s="100"/>
      <c r="D32" s="100"/>
      <c r="E32" s="100"/>
      <c r="F32" s="100"/>
      <c r="G32" s="100"/>
      <c r="H32" s="100"/>
      <c r="I32" s="100"/>
      <c r="J32" s="100"/>
      <c r="K32" s="100"/>
      <c r="L32" s="100"/>
      <c r="M32" s="100" t="s">
        <v>97</v>
      </c>
      <c r="N32" s="100"/>
      <c r="O32" s="100"/>
      <c r="P32" s="100"/>
      <c r="Q32" s="100"/>
    </row>
    <row r="33" spans="2:17" s="71" customFormat="1" x14ac:dyDescent="0.35">
      <c r="B33" s="100"/>
      <c r="C33" s="100"/>
      <c r="D33" s="100"/>
      <c r="E33" s="100"/>
      <c r="F33" s="100"/>
      <c r="G33" s="100"/>
      <c r="H33" s="100"/>
      <c r="I33" s="100"/>
      <c r="J33" s="100"/>
      <c r="K33" s="100"/>
      <c r="L33" s="100"/>
      <c r="M33" s="100"/>
      <c r="N33" s="100"/>
      <c r="O33" s="100"/>
      <c r="P33" s="100"/>
      <c r="Q33" s="100"/>
    </row>
    <row r="34" spans="2:17" s="71" customFormat="1" x14ac:dyDescent="0.35">
      <c r="B34" s="100"/>
      <c r="C34" s="100"/>
      <c r="D34" s="100"/>
      <c r="E34" s="100"/>
      <c r="F34" s="100"/>
      <c r="G34" s="100"/>
      <c r="H34" s="100"/>
      <c r="I34" s="100"/>
      <c r="J34" s="100"/>
      <c r="K34" s="100"/>
      <c r="L34" s="100"/>
      <c r="M34" s="100"/>
      <c r="N34" s="100"/>
      <c r="O34" s="100"/>
      <c r="P34" s="100"/>
      <c r="Q34" s="100"/>
    </row>
    <row r="35" spans="2:17" s="71" customFormat="1" x14ac:dyDescent="0.35">
      <c r="B35" s="100"/>
      <c r="C35" s="100"/>
      <c r="D35" s="100"/>
      <c r="E35" s="100"/>
      <c r="F35" s="100"/>
      <c r="G35" s="100"/>
      <c r="H35" s="100"/>
      <c r="I35" s="100"/>
      <c r="J35" s="100"/>
      <c r="K35" s="100"/>
      <c r="L35" s="100"/>
      <c r="M35" s="100"/>
      <c r="N35" s="100"/>
      <c r="O35" s="100"/>
      <c r="P35" s="100"/>
      <c r="Q35" s="100"/>
    </row>
    <row r="36" spans="2:17" s="71" customFormat="1" x14ac:dyDescent="0.35">
      <c r="B36" s="100"/>
      <c r="C36" s="100"/>
      <c r="D36" s="100"/>
      <c r="E36" s="100"/>
      <c r="F36" s="100"/>
      <c r="G36" s="100"/>
      <c r="H36" s="100"/>
      <c r="I36" s="100"/>
      <c r="J36" s="100"/>
      <c r="K36" s="100"/>
      <c r="L36" s="100"/>
      <c r="M36" s="100"/>
      <c r="N36" s="100"/>
      <c r="O36" s="100"/>
      <c r="P36" s="100"/>
      <c r="Q36" s="100"/>
    </row>
    <row r="37" spans="2:17" s="71" customFormat="1" x14ac:dyDescent="0.35">
      <c r="B37" s="100"/>
      <c r="C37" s="100"/>
      <c r="D37" s="100"/>
      <c r="E37" s="100"/>
      <c r="F37" s="100"/>
      <c r="G37" s="100"/>
      <c r="H37" s="100"/>
      <c r="I37" s="100"/>
      <c r="J37" s="100"/>
      <c r="K37" s="100"/>
      <c r="L37" s="100"/>
      <c r="M37" s="100"/>
      <c r="N37" s="100"/>
      <c r="O37" s="100"/>
      <c r="P37" s="100"/>
      <c r="Q37" s="100"/>
    </row>
  </sheetData>
  <mergeCells count="29">
    <mergeCell ref="B2:Q2"/>
    <mergeCell ref="B4:B5"/>
    <mergeCell ref="D4:D5"/>
    <mergeCell ref="F4:F5"/>
    <mergeCell ref="I4:I5"/>
    <mergeCell ref="K4:K5"/>
    <mergeCell ref="L4:L5"/>
    <mergeCell ref="M4:M5"/>
    <mergeCell ref="N4:N5"/>
    <mergeCell ref="O4:O5"/>
    <mergeCell ref="P4:P5"/>
    <mergeCell ref="Q4:Q5"/>
    <mergeCell ref="B7:B23"/>
    <mergeCell ref="D7:D23"/>
    <mergeCell ref="F9:F11"/>
    <mergeCell ref="F13:F14"/>
    <mergeCell ref="F16:F19"/>
    <mergeCell ref="F21:F23"/>
    <mergeCell ref="M24:O24"/>
    <mergeCell ref="P24:Q24"/>
    <mergeCell ref="M25:O25"/>
    <mergeCell ref="P25:Q25"/>
    <mergeCell ref="M26:O26"/>
    <mergeCell ref="P26:Q26"/>
    <mergeCell ref="B27:Q27"/>
    <mergeCell ref="M28:O28"/>
    <mergeCell ref="P28:Q28"/>
    <mergeCell ref="M30:O30"/>
    <mergeCell ref="P30:Q30"/>
  </mergeCells>
  <pageMargins left="0.511811024" right="0.511811024" top="0.78740157499999996" bottom="0.78740157499999996" header="0.31496062000000002" footer="0.31496062000000002"/>
  <headerFooter>
    <oddFooter>&amp;C_x000D_&amp;1#&amp;"Aptos"&amp;10&amp;K000000 Confidential - Not for Public Consumption or Distribution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1"/>
  <sheetViews>
    <sheetView topLeftCell="I12" workbookViewId="0">
      <selection activeCell="O7" sqref="O7:P17"/>
    </sheetView>
  </sheetViews>
  <sheetFormatPr defaultColWidth="8.81640625" defaultRowHeight="14.5" x14ac:dyDescent="0.35"/>
  <cols>
    <col min="1" max="1" width="1.81640625" style="71" customWidth="1"/>
    <col min="2" max="2" width="15" style="101" customWidth="1"/>
    <col min="3" max="3" width="0.81640625" style="100" customWidth="1"/>
    <col min="4" max="4" width="16.453125" style="101" customWidth="1"/>
    <col min="5" max="5" width="0.81640625" style="100" customWidth="1"/>
    <col min="6" max="6" width="20.1796875" style="101" customWidth="1"/>
    <col min="7" max="7" width="0.81640625" style="100" customWidth="1"/>
    <col min="8" max="8" width="10.1796875" style="101" customWidth="1"/>
    <col min="9" max="9" width="14.81640625" style="101" customWidth="1"/>
    <col min="10" max="10" width="0.81640625" style="100" customWidth="1"/>
    <col min="11" max="11" width="81.1796875" style="101" customWidth="1"/>
    <col min="12" max="12" width="17.81640625" style="101" customWidth="1"/>
    <col min="13" max="13" width="17.453125" style="101" customWidth="1"/>
    <col min="14" max="14" width="16.81640625" style="101" customWidth="1"/>
    <col min="15" max="15" width="14.81640625" style="101" customWidth="1"/>
    <col min="16" max="16" width="19.81640625" style="101" customWidth="1"/>
    <col min="17" max="17" width="9.81640625" style="71" bestFit="1" customWidth="1"/>
    <col min="18" max="18" width="9.1796875" style="72" bestFit="1" customWidth="1"/>
    <col min="19" max="16384" width="8.81640625" style="72"/>
  </cols>
  <sheetData>
    <row r="1" spans="2:17" s="71" customFormat="1" x14ac:dyDescent="0.35">
      <c r="B1" s="2"/>
      <c r="C1" s="2"/>
      <c r="D1" s="2"/>
      <c r="E1" s="2"/>
      <c r="F1" s="2"/>
      <c r="G1" s="2"/>
      <c r="H1" s="2"/>
      <c r="I1" s="2"/>
      <c r="J1" s="2"/>
      <c r="K1" s="2"/>
      <c r="L1" s="2"/>
      <c r="M1" s="2"/>
      <c r="N1" s="2"/>
      <c r="O1" s="2"/>
      <c r="P1" s="2"/>
    </row>
    <row r="2" spans="2:17" ht="31" x14ac:dyDescent="0.35">
      <c r="B2" s="223" t="s">
        <v>98</v>
      </c>
      <c r="C2" s="224"/>
      <c r="D2" s="224"/>
      <c r="E2" s="224"/>
      <c r="F2" s="224"/>
      <c r="G2" s="224"/>
      <c r="H2" s="224"/>
      <c r="I2" s="224"/>
      <c r="J2" s="224"/>
      <c r="K2" s="224"/>
      <c r="L2" s="224"/>
      <c r="M2" s="224"/>
      <c r="N2" s="224"/>
      <c r="O2" s="224"/>
      <c r="P2" s="224"/>
    </row>
    <row r="3" spans="2:17" s="71" customFormat="1" ht="4.5" customHeight="1" x14ac:dyDescent="0.35">
      <c r="B3" s="2"/>
      <c r="C3" s="2"/>
      <c r="D3" s="2"/>
      <c r="E3" s="2"/>
      <c r="F3" s="2"/>
      <c r="G3" s="2"/>
      <c r="H3" s="2"/>
      <c r="I3" s="2"/>
      <c r="J3" s="2"/>
      <c r="K3" s="2"/>
      <c r="L3" s="2"/>
      <c r="M3" s="2"/>
      <c r="N3" s="2"/>
      <c r="O3" s="2"/>
      <c r="P3" s="2"/>
    </row>
    <row r="4" spans="2:17" ht="15" customHeight="1" x14ac:dyDescent="0.35">
      <c r="B4" s="225" t="s">
        <v>49</v>
      </c>
      <c r="C4" s="2"/>
      <c r="D4" s="225" t="s">
        <v>50</v>
      </c>
      <c r="E4" s="2"/>
      <c r="F4" s="225" t="s">
        <v>2</v>
      </c>
      <c r="G4" s="2"/>
      <c r="H4" s="127" t="s">
        <v>51</v>
      </c>
      <c r="I4" s="221" t="s">
        <v>52</v>
      </c>
      <c r="J4" s="2"/>
      <c r="K4" s="225" t="s">
        <v>4</v>
      </c>
      <c r="L4" s="225" t="s">
        <v>53</v>
      </c>
      <c r="M4" s="221" t="s">
        <v>54</v>
      </c>
      <c r="N4" s="221" t="s">
        <v>11</v>
      </c>
      <c r="O4" s="221" t="s">
        <v>12</v>
      </c>
      <c r="P4" s="221" t="s">
        <v>83</v>
      </c>
    </row>
    <row r="5" spans="2:17" x14ac:dyDescent="0.35">
      <c r="B5" s="226"/>
      <c r="C5" s="2"/>
      <c r="D5" s="226"/>
      <c r="E5" s="2"/>
      <c r="F5" s="226"/>
      <c r="G5" s="2"/>
      <c r="H5" s="128" t="s">
        <v>57</v>
      </c>
      <c r="I5" s="221"/>
      <c r="J5" s="2"/>
      <c r="K5" s="226"/>
      <c r="L5" s="226"/>
      <c r="M5" s="221"/>
      <c r="N5" s="221"/>
      <c r="O5" s="221"/>
      <c r="P5" s="221"/>
    </row>
    <row r="6" spans="2:17" s="71" customFormat="1" ht="3" customHeight="1" x14ac:dyDescent="0.35">
      <c r="B6" s="2"/>
      <c r="C6" s="2"/>
      <c r="D6" s="2"/>
      <c r="E6" s="2"/>
      <c r="F6" s="2"/>
      <c r="G6" s="2"/>
      <c r="H6" s="2"/>
      <c r="I6" s="2"/>
      <c r="J6" s="2"/>
      <c r="K6" s="2"/>
      <c r="L6" s="2"/>
      <c r="M6" s="2"/>
      <c r="N6" s="2"/>
      <c r="O6" s="2"/>
      <c r="P6" s="2"/>
    </row>
    <row r="7" spans="2:17" s="71" customFormat="1" ht="38.25" customHeight="1" x14ac:dyDescent="0.35">
      <c r="B7" s="216" t="s">
        <v>84</v>
      </c>
      <c r="C7" s="7"/>
      <c r="D7" s="213" t="s">
        <v>85</v>
      </c>
      <c r="E7" s="27"/>
      <c r="F7" s="129" t="s">
        <v>63</v>
      </c>
      <c r="G7" s="2"/>
      <c r="H7" s="76" t="s">
        <v>35</v>
      </c>
      <c r="I7" s="77">
        <v>6</v>
      </c>
      <c r="J7" s="2"/>
      <c r="K7" s="12" t="s">
        <v>64</v>
      </c>
      <c r="L7" s="37">
        <f>287000*I7</f>
        <v>1722000</v>
      </c>
      <c r="M7" s="78">
        <f>6*26*1711*0.3*1.08</f>
        <v>86480.784000000014</v>
      </c>
      <c r="N7" s="78">
        <f>M7*I7</f>
        <v>518884.70400000009</v>
      </c>
      <c r="O7" s="79">
        <v>0.82650199999999996</v>
      </c>
      <c r="P7" s="83">
        <f>N7*(1-O7)</f>
        <v>90025.458374592039</v>
      </c>
      <c r="Q7" s="84"/>
    </row>
    <row r="8" spans="2:17" s="71" customFormat="1" ht="3.75" customHeight="1" x14ac:dyDescent="0.35">
      <c r="B8" s="217"/>
      <c r="C8" s="2"/>
      <c r="D8" s="214"/>
      <c r="E8" s="81"/>
      <c r="F8" s="82"/>
      <c r="G8" s="82"/>
      <c r="H8" s="82"/>
      <c r="I8" s="82"/>
      <c r="J8" s="82"/>
      <c r="K8" s="82"/>
      <c r="L8" s="82"/>
      <c r="M8" s="82"/>
      <c r="N8" s="82"/>
      <c r="O8" s="82"/>
      <c r="P8" s="82"/>
    </row>
    <row r="9" spans="2:17" s="71" customFormat="1" x14ac:dyDescent="0.35">
      <c r="B9" s="217"/>
      <c r="C9" s="2"/>
      <c r="D9" s="214"/>
      <c r="E9" s="81"/>
      <c r="F9" s="129" t="s">
        <v>40</v>
      </c>
      <c r="G9" s="2"/>
      <c r="H9" s="76">
        <v>1</v>
      </c>
      <c r="I9" s="77">
        <v>1500000</v>
      </c>
      <c r="J9" s="2"/>
      <c r="K9" s="12" t="s">
        <v>66</v>
      </c>
      <c r="L9" s="37">
        <f>I9</f>
        <v>1500000</v>
      </c>
      <c r="M9" s="78">
        <f>332.73*0.3*1.08</f>
        <v>107.80452000000001</v>
      </c>
      <c r="N9" s="78">
        <f>M9*I9/1000</f>
        <v>161706.78000000003</v>
      </c>
      <c r="O9" s="79">
        <v>0.82650199999999996</v>
      </c>
      <c r="P9" s="83">
        <f>N9*(1-O9)</f>
        <v>28055.80291644001</v>
      </c>
    </row>
    <row r="10" spans="2:17" s="71" customFormat="1" ht="3.75" customHeight="1" x14ac:dyDescent="0.35">
      <c r="B10" s="217"/>
      <c r="C10" s="7"/>
      <c r="D10" s="214"/>
      <c r="E10" s="27"/>
      <c r="F10" s="7"/>
      <c r="G10" s="2"/>
      <c r="H10" s="88"/>
      <c r="I10" s="88"/>
      <c r="J10" s="2"/>
      <c r="K10" s="30"/>
      <c r="L10" s="30"/>
      <c r="M10" s="89"/>
      <c r="N10" s="89"/>
      <c r="O10" s="32"/>
      <c r="P10" s="92"/>
    </row>
    <row r="11" spans="2:17" s="71" customFormat="1" x14ac:dyDescent="0.35">
      <c r="B11" s="217"/>
      <c r="C11" s="7"/>
      <c r="D11" s="214"/>
      <c r="E11" s="27"/>
      <c r="F11" s="222" t="s">
        <v>21</v>
      </c>
      <c r="G11" s="2"/>
      <c r="H11" s="76">
        <v>1</v>
      </c>
      <c r="I11" s="77">
        <v>3</v>
      </c>
      <c r="J11" s="2"/>
      <c r="K11" s="93" t="s">
        <v>67</v>
      </c>
      <c r="L11" s="94">
        <f>3200*I11</f>
        <v>9600</v>
      </c>
      <c r="M11" s="95">
        <f>30240*1.08*0.3*1.08</f>
        <v>10581.580800000002</v>
      </c>
      <c r="N11" s="95">
        <f>M11*I11</f>
        <v>31744.742400000003</v>
      </c>
      <c r="O11" s="79">
        <v>0.82650199999999996</v>
      </c>
      <c r="P11" s="83">
        <f>N11*(1-O11)</f>
        <v>5507.6493169152018</v>
      </c>
    </row>
    <row r="12" spans="2:17" s="71" customFormat="1" x14ac:dyDescent="0.35">
      <c r="B12" s="217"/>
      <c r="C12" s="2"/>
      <c r="D12" s="214"/>
      <c r="E12" s="81"/>
      <c r="F12" s="222"/>
      <c r="G12" s="2"/>
      <c r="H12" s="76">
        <v>1</v>
      </c>
      <c r="I12" s="77">
        <v>3</v>
      </c>
      <c r="J12" s="2"/>
      <c r="K12" s="93" t="s">
        <v>68</v>
      </c>
      <c r="L12" s="37">
        <f>2500*I12</f>
        <v>7500</v>
      </c>
      <c r="M12" s="95">
        <f>48600*1.08*0.3*1.08</f>
        <v>17006.112000000001</v>
      </c>
      <c r="N12" s="78">
        <f>M12*I12</f>
        <v>51018.336000000003</v>
      </c>
      <c r="O12" s="79">
        <v>0.82650199999999996</v>
      </c>
      <c r="P12" s="83">
        <f>N12*(1-O12)</f>
        <v>8851.5792593280021</v>
      </c>
      <c r="Q12" s="84"/>
    </row>
    <row r="13" spans="2:17" s="71" customFormat="1" x14ac:dyDescent="0.35">
      <c r="B13" s="217"/>
      <c r="C13" s="2"/>
      <c r="D13" s="214"/>
      <c r="E13" s="81"/>
      <c r="F13" s="222"/>
      <c r="G13" s="2"/>
      <c r="H13" s="76">
        <v>1</v>
      </c>
      <c r="I13" s="77">
        <v>3</v>
      </c>
      <c r="J13" s="2"/>
      <c r="K13" s="93" t="s">
        <v>69</v>
      </c>
      <c r="L13" s="37">
        <f>3500*I13</f>
        <v>10500</v>
      </c>
      <c r="M13" s="78">
        <f>64163*1.08*0.3*1.08</f>
        <v>22451.916960000002</v>
      </c>
      <c r="N13" s="78">
        <f>M13*I13</f>
        <v>67355.750880000007</v>
      </c>
      <c r="O13" s="79">
        <v>0.82650199999999996</v>
      </c>
      <c r="P13" s="83">
        <f>N13*(1-O13)</f>
        <v>11686.088066178245</v>
      </c>
      <c r="Q13" s="84"/>
    </row>
    <row r="14" spans="2:17" s="71" customFormat="1" x14ac:dyDescent="0.35">
      <c r="B14" s="217"/>
      <c r="C14" s="2"/>
      <c r="D14" s="214"/>
      <c r="E14" s="81"/>
      <c r="F14" s="222"/>
      <c r="G14" s="2"/>
      <c r="H14" s="76">
        <v>1</v>
      </c>
      <c r="I14" s="77">
        <v>3</v>
      </c>
      <c r="J14" s="2"/>
      <c r="K14" s="93" t="s">
        <v>70</v>
      </c>
      <c r="L14" s="37">
        <f>2000*I14</f>
        <v>6000</v>
      </c>
      <c r="M14" s="78">
        <f>68436.49*1.08*0.3*1.08</f>
        <v>23947.296580800004</v>
      </c>
      <c r="N14" s="78">
        <f>M14*I14</f>
        <v>71841.889742400017</v>
      </c>
      <c r="O14" s="79">
        <v>0.82650199999999996</v>
      </c>
      <c r="P14" s="83">
        <f>N14*(1-O14)</f>
        <v>12464.424186526921</v>
      </c>
      <c r="Q14" s="84"/>
    </row>
    <row r="15" spans="2:17" s="71" customFormat="1" ht="3.75" customHeight="1" x14ac:dyDescent="0.35">
      <c r="B15" s="217"/>
      <c r="C15" s="7"/>
      <c r="D15" s="214"/>
      <c r="E15" s="27"/>
      <c r="F15" s="7"/>
      <c r="G15" s="2"/>
      <c r="H15" s="88"/>
      <c r="I15" s="88"/>
      <c r="J15" s="2"/>
      <c r="K15" s="30"/>
      <c r="L15" s="30"/>
      <c r="M15" s="89"/>
      <c r="N15" s="89"/>
      <c r="O15" s="32"/>
      <c r="P15" s="92"/>
    </row>
    <row r="16" spans="2:17" s="71" customFormat="1" ht="26" x14ac:dyDescent="0.35">
      <c r="B16" s="217"/>
      <c r="C16" s="7"/>
      <c r="D16" s="214"/>
      <c r="E16" s="27"/>
      <c r="F16" s="213" t="s">
        <v>86</v>
      </c>
      <c r="G16" s="2"/>
      <c r="H16" s="76">
        <v>1</v>
      </c>
      <c r="I16" s="77">
        <v>1</v>
      </c>
      <c r="J16" s="2"/>
      <c r="K16" s="93" t="s">
        <v>73</v>
      </c>
      <c r="L16" s="93" t="s">
        <v>35</v>
      </c>
      <c r="M16" s="95">
        <f>16500*1.08*1.08</f>
        <v>19245.600000000002</v>
      </c>
      <c r="N16" s="95">
        <f>M16*I16</f>
        <v>19245.600000000002</v>
      </c>
      <c r="O16" s="96" t="s">
        <v>35</v>
      </c>
      <c r="P16" s="83">
        <f>N16</f>
        <v>19245.600000000002</v>
      </c>
    </row>
    <row r="17" spans="2:16" s="71" customFormat="1" ht="26" x14ac:dyDescent="0.35">
      <c r="B17" s="218"/>
      <c r="C17" s="7"/>
      <c r="D17" s="215"/>
      <c r="E17" s="27"/>
      <c r="F17" s="215"/>
      <c r="G17" s="2"/>
      <c r="H17" s="76">
        <v>1</v>
      </c>
      <c r="I17" s="77">
        <v>1</v>
      </c>
      <c r="J17" s="2"/>
      <c r="K17" s="93" t="s">
        <v>100</v>
      </c>
      <c r="L17" s="93" t="s">
        <v>35</v>
      </c>
      <c r="M17" s="95">
        <f>10000*1.08*1.08</f>
        <v>11664</v>
      </c>
      <c r="N17" s="95">
        <f>M17</f>
        <v>11664</v>
      </c>
      <c r="O17" s="79" t="s">
        <v>35</v>
      </c>
      <c r="P17" s="83">
        <f>N17</f>
        <v>11664</v>
      </c>
    </row>
    <row r="18" spans="2:16" s="71" customFormat="1" x14ac:dyDescent="0.35">
      <c r="B18" s="7"/>
      <c r="C18" s="7"/>
      <c r="D18" s="7"/>
      <c r="E18" s="27"/>
      <c r="F18" s="7"/>
      <c r="G18" s="2"/>
      <c r="H18" s="88"/>
      <c r="I18" s="88"/>
      <c r="J18" s="2"/>
      <c r="K18" s="30"/>
      <c r="L18" s="30"/>
      <c r="M18" s="219" t="s">
        <v>42</v>
      </c>
      <c r="N18" s="219"/>
      <c r="O18" s="219"/>
      <c r="P18" s="130">
        <f>SUM(N7:N17)</f>
        <v>933461.80302240013</v>
      </c>
    </row>
    <row r="19" spans="2:16" s="71" customFormat="1" x14ac:dyDescent="0.35">
      <c r="B19" s="7"/>
      <c r="C19" s="7"/>
      <c r="D19" s="7"/>
      <c r="E19" s="27"/>
      <c r="F19" s="7"/>
      <c r="G19" s="2"/>
      <c r="H19" s="88"/>
      <c r="I19" s="88"/>
      <c r="J19" s="2"/>
      <c r="K19" s="30"/>
      <c r="L19" s="30"/>
      <c r="M19" s="219" t="s">
        <v>43</v>
      </c>
      <c r="N19" s="219"/>
      <c r="O19" s="219"/>
      <c r="P19" s="131">
        <v>1</v>
      </c>
    </row>
    <row r="20" spans="2:16" s="71" customFormat="1" x14ac:dyDescent="0.35">
      <c r="B20" s="7"/>
      <c r="C20" s="7"/>
      <c r="D20" s="7"/>
      <c r="E20" s="27"/>
      <c r="F20" s="7"/>
      <c r="G20" s="2"/>
      <c r="H20" s="88"/>
      <c r="I20" s="88"/>
      <c r="J20" s="2"/>
      <c r="K20" s="30"/>
      <c r="L20" s="30"/>
      <c r="M20" s="212" t="s">
        <v>47</v>
      </c>
      <c r="N20" s="212"/>
      <c r="O20" s="212"/>
      <c r="P20" s="132">
        <f>SUM(P7:P17)</f>
        <v>187500.60211998041</v>
      </c>
    </row>
    <row r="21" spans="2:16" s="71" customFormat="1" x14ac:dyDescent="0.35">
      <c r="B21" s="82"/>
      <c r="C21" s="82"/>
      <c r="D21" s="82"/>
      <c r="E21" s="82"/>
      <c r="F21" s="82"/>
      <c r="G21" s="82"/>
      <c r="H21" s="82"/>
      <c r="I21" s="82"/>
      <c r="J21" s="82"/>
      <c r="K21" s="82"/>
      <c r="L21" s="82"/>
      <c r="M21" s="220" t="s">
        <v>74</v>
      </c>
      <c r="N21" s="220"/>
      <c r="O21" s="220"/>
      <c r="P21" s="135">
        <f>P20*0.8</f>
        <v>150000.48169598434</v>
      </c>
    </row>
    <row r="22" spans="2:16" s="71" customFormat="1" ht="15" hidden="1" customHeight="1" x14ac:dyDescent="0.35">
      <c r="B22" s="7"/>
      <c r="C22" s="7"/>
      <c r="D22" s="7"/>
      <c r="E22" s="7"/>
      <c r="F22" s="7"/>
      <c r="G22" s="7"/>
      <c r="H22" s="7"/>
      <c r="I22" s="7"/>
      <c r="J22" s="7"/>
      <c r="K22" s="7"/>
      <c r="L22" s="7"/>
      <c r="M22" s="211" t="s">
        <v>74</v>
      </c>
      <c r="N22" s="211"/>
      <c r="O22" s="211"/>
      <c r="P22" s="117" t="e">
        <f>SUM(#REF!)</f>
        <v>#REF!</v>
      </c>
    </row>
    <row r="23" spans="2:16" s="71" customFormat="1" hidden="1" x14ac:dyDescent="0.35">
      <c r="B23" s="100"/>
      <c r="C23" s="100"/>
      <c r="D23" s="100"/>
      <c r="E23" s="100"/>
      <c r="F23" s="100"/>
      <c r="G23" s="100"/>
      <c r="H23" s="100"/>
      <c r="I23" s="100"/>
      <c r="J23" s="100"/>
      <c r="K23" s="100"/>
      <c r="L23" s="100"/>
      <c r="M23" s="100"/>
      <c r="N23" s="100"/>
      <c r="O23" s="100"/>
      <c r="P23" s="100"/>
    </row>
    <row r="24" spans="2:16" s="71" customFormat="1" x14ac:dyDescent="0.35">
      <c r="B24" s="100"/>
      <c r="C24" s="100"/>
      <c r="D24" s="100"/>
      <c r="E24" s="100"/>
      <c r="F24" s="100"/>
      <c r="G24" s="100"/>
      <c r="H24" s="100"/>
      <c r="I24" s="100"/>
      <c r="J24" s="100"/>
      <c r="K24" s="100"/>
      <c r="L24" s="100"/>
      <c r="M24" s="212" t="s">
        <v>53</v>
      </c>
      <c r="N24" s="212"/>
      <c r="O24" s="212"/>
      <c r="P24" s="133">
        <f>SUM(L7:L17)</f>
        <v>3255600</v>
      </c>
    </row>
    <row r="25" spans="2:16" s="71" customFormat="1" x14ac:dyDescent="0.35">
      <c r="B25" s="100"/>
      <c r="C25" s="100"/>
      <c r="D25" s="100"/>
      <c r="E25" s="100"/>
      <c r="F25" s="100"/>
      <c r="G25" s="100"/>
      <c r="H25" s="100"/>
      <c r="I25" s="100"/>
      <c r="J25" s="100"/>
      <c r="K25" s="100"/>
      <c r="L25" s="100"/>
      <c r="M25" s="100"/>
      <c r="N25" s="100"/>
      <c r="O25" s="100"/>
      <c r="P25" s="100"/>
    </row>
    <row r="26" spans="2:16" s="71" customFormat="1" x14ac:dyDescent="0.35">
      <c r="B26" s="100"/>
      <c r="C26" s="100"/>
      <c r="D26" s="100"/>
      <c r="E26" s="100"/>
      <c r="F26" s="100"/>
      <c r="G26" s="100"/>
      <c r="H26" s="100"/>
      <c r="I26" s="100"/>
      <c r="J26" s="100"/>
      <c r="K26" s="100"/>
      <c r="L26" s="100"/>
      <c r="M26" s="100"/>
      <c r="N26" s="100"/>
      <c r="O26" s="100"/>
      <c r="P26" s="100"/>
    </row>
    <row r="27" spans="2:16" s="71" customFormat="1" x14ac:dyDescent="0.35">
      <c r="B27" s="100"/>
      <c r="C27" s="100"/>
      <c r="D27" s="100"/>
      <c r="E27" s="100"/>
      <c r="F27" s="100"/>
      <c r="G27" s="100"/>
      <c r="H27" s="100"/>
      <c r="I27" s="100"/>
      <c r="J27" s="100"/>
      <c r="K27" s="100"/>
      <c r="L27" s="100"/>
      <c r="M27" s="100"/>
      <c r="N27" s="100"/>
      <c r="O27" s="100"/>
      <c r="P27" s="100"/>
    </row>
    <row r="28" spans="2:16" s="71" customFormat="1" x14ac:dyDescent="0.35">
      <c r="B28" s="100"/>
      <c r="C28" s="100"/>
      <c r="D28" s="100"/>
      <c r="E28" s="100"/>
      <c r="F28" s="100"/>
      <c r="G28" s="100"/>
      <c r="H28" s="100"/>
      <c r="I28" s="100"/>
      <c r="J28" s="100"/>
      <c r="K28" s="100"/>
      <c r="L28" s="100"/>
      <c r="M28" s="100"/>
      <c r="N28" s="100"/>
      <c r="O28" s="100"/>
      <c r="P28" s="100"/>
    </row>
    <row r="29" spans="2:16" s="71" customFormat="1" x14ac:dyDescent="0.35">
      <c r="B29" s="100"/>
      <c r="C29" s="100"/>
      <c r="D29" s="100"/>
      <c r="E29" s="100"/>
      <c r="F29" s="100"/>
      <c r="G29" s="100"/>
      <c r="H29" s="100"/>
      <c r="I29" s="100"/>
      <c r="J29" s="100"/>
      <c r="K29" s="100"/>
      <c r="L29" s="100"/>
      <c r="M29" s="100"/>
      <c r="N29" s="100"/>
      <c r="O29" s="100"/>
      <c r="P29" s="100"/>
    </row>
    <row r="30" spans="2:16" s="71" customFormat="1" x14ac:dyDescent="0.35">
      <c r="B30" s="100"/>
      <c r="C30" s="100"/>
      <c r="D30" s="100"/>
      <c r="E30" s="100"/>
      <c r="F30" s="100"/>
      <c r="G30" s="100"/>
      <c r="H30" s="100"/>
      <c r="I30" s="100"/>
      <c r="J30" s="100"/>
      <c r="K30" s="100"/>
      <c r="L30" s="100"/>
      <c r="M30" s="100"/>
      <c r="N30" s="100"/>
      <c r="O30" s="100"/>
      <c r="P30" s="100"/>
    </row>
    <row r="31" spans="2:16" s="71" customFormat="1" x14ac:dyDescent="0.35">
      <c r="B31" s="100"/>
      <c r="C31" s="100"/>
      <c r="D31" s="100"/>
      <c r="E31" s="100"/>
      <c r="F31" s="100"/>
      <c r="G31" s="100"/>
      <c r="H31" s="100"/>
      <c r="I31" s="100"/>
      <c r="J31" s="100"/>
      <c r="K31" s="100"/>
      <c r="L31" s="100"/>
      <c r="M31" s="100"/>
      <c r="N31" s="100"/>
      <c r="O31" s="100"/>
      <c r="P31" s="100"/>
    </row>
  </sheetData>
  <mergeCells count="21">
    <mergeCell ref="P4:P5"/>
    <mergeCell ref="F11:F14"/>
    <mergeCell ref="F16:F17"/>
    <mergeCell ref="B2:P2"/>
    <mergeCell ref="B4:B5"/>
    <mergeCell ref="D4:D5"/>
    <mergeCell ref="F4:F5"/>
    <mergeCell ref="I4:I5"/>
    <mergeCell ref="K4:K5"/>
    <mergeCell ref="L4:L5"/>
    <mergeCell ref="M4:M5"/>
    <mergeCell ref="N4:N5"/>
    <mergeCell ref="O4:O5"/>
    <mergeCell ref="M22:O22"/>
    <mergeCell ref="M24:O24"/>
    <mergeCell ref="D7:D17"/>
    <mergeCell ref="B7:B17"/>
    <mergeCell ref="M18:O18"/>
    <mergeCell ref="M19:O19"/>
    <mergeCell ref="M20:O20"/>
    <mergeCell ref="M21:O21"/>
  </mergeCells>
  <pageMargins left="0.511811024" right="0.511811024" top="0.78740157499999996" bottom="0.78740157499999996" header="0.31496062000000002" footer="0.31496062000000002"/>
  <pageSetup paperSize="9" orientation="portrait" r:id="rId1"/>
  <headerFooter>
    <oddFooter>&amp;C_x000D_&amp;1#&amp;"Aptos"&amp;10&amp;K000000 Confidential - Not for Public Consumption or Distribution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0E945-ADF7-45B1-BCFF-D6ED3F0D2A9F}">
  <dimension ref="A1:Q31"/>
  <sheetViews>
    <sheetView topLeftCell="I1" workbookViewId="0">
      <selection activeCell="K28" sqref="K28"/>
    </sheetView>
  </sheetViews>
  <sheetFormatPr defaultColWidth="8.81640625" defaultRowHeight="14.5" x14ac:dyDescent="0.35"/>
  <cols>
    <col min="1" max="1" width="1.81640625" style="71" customWidth="1"/>
    <col min="2" max="2" width="15" style="101" customWidth="1"/>
    <col min="3" max="3" width="0.81640625" style="100" customWidth="1"/>
    <col min="4" max="4" width="16.453125" style="101" customWidth="1"/>
    <col min="5" max="5" width="0.81640625" style="100" customWidth="1"/>
    <col min="6" max="6" width="20.1796875" style="101" customWidth="1"/>
    <col min="7" max="7" width="0.81640625" style="100" customWidth="1"/>
    <col min="8" max="8" width="10.1796875" style="101" customWidth="1"/>
    <col min="9" max="9" width="14.81640625" style="101" customWidth="1"/>
    <col min="10" max="10" width="0.81640625" style="100" customWidth="1"/>
    <col min="11" max="11" width="81.1796875" style="101" customWidth="1"/>
    <col min="12" max="12" width="17.81640625" style="101" customWidth="1"/>
    <col min="13" max="13" width="17.453125" style="101" customWidth="1"/>
    <col min="14" max="14" width="16.81640625" style="101" customWidth="1"/>
    <col min="15" max="15" width="14.81640625" style="101" customWidth="1"/>
    <col min="16" max="16" width="19.81640625" style="101" customWidth="1"/>
    <col min="17" max="17" width="16.54296875" style="71" customWidth="1"/>
    <col min="18" max="18" width="9.1796875" style="72" bestFit="1" customWidth="1"/>
    <col min="19" max="16384" width="8.81640625" style="72"/>
  </cols>
  <sheetData>
    <row r="1" spans="2:17" s="71" customFormat="1" x14ac:dyDescent="0.35">
      <c r="B1" s="2"/>
      <c r="C1" s="2"/>
      <c r="D1" s="2"/>
      <c r="E1" s="2"/>
      <c r="F1" s="2"/>
      <c r="G1" s="2"/>
      <c r="H1" s="2"/>
      <c r="I1" s="2"/>
      <c r="J1" s="2"/>
      <c r="K1" s="2"/>
      <c r="L1" s="2"/>
      <c r="M1" s="2"/>
      <c r="N1" s="2"/>
      <c r="O1" s="2"/>
      <c r="P1" s="2"/>
    </row>
    <row r="2" spans="2:17" ht="31" x14ac:dyDescent="0.35">
      <c r="B2" s="230" t="s">
        <v>99</v>
      </c>
      <c r="C2" s="231"/>
      <c r="D2" s="231"/>
      <c r="E2" s="231"/>
      <c r="F2" s="231"/>
      <c r="G2" s="231"/>
      <c r="H2" s="231"/>
      <c r="I2" s="231"/>
      <c r="J2" s="231"/>
      <c r="K2" s="231"/>
      <c r="L2" s="231"/>
      <c r="M2" s="231"/>
      <c r="N2" s="231"/>
      <c r="O2" s="231"/>
      <c r="P2" s="231"/>
    </row>
    <row r="3" spans="2:17" s="71" customFormat="1" ht="4.5" customHeight="1" x14ac:dyDescent="0.35">
      <c r="B3" s="2"/>
      <c r="C3" s="2"/>
      <c r="D3" s="2"/>
      <c r="E3" s="2"/>
      <c r="F3" s="2"/>
      <c r="G3" s="2"/>
      <c r="H3" s="2"/>
      <c r="I3" s="2"/>
      <c r="J3" s="2"/>
      <c r="K3" s="2"/>
      <c r="L3" s="2"/>
      <c r="M3" s="2"/>
      <c r="N3" s="2"/>
      <c r="O3" s="2"/>
      <c r="P3" s="2"/>
    </row>
    <row r="4" spans="2:17" ht="15" customHeight="1" x14ac:dyDescent="0.35">
      <c r="B4" s="232" t="s">
        <v>49</v>
      </c>
      <c r="C4" s="2"/>
      <c r="D4" s="232" t="s">
        <v>50</v>
      </c>
      <c r="E4" s="2"/>
      <c r="F4" s="232" t="s">
        <v>2</v>
      </c>
      <c r="G4" s="2"/>
      <c r="H4" s="115" t="s">
        <v>51</v>
      </c>
      <c r="I4" s="234" t="s">
        <v>52</v>
      </c>
      <c r="J4" s="2"/>
      <c r="K4" s="232" t="s">
        <v>4</v>
      </c>
      <c r="L4" s="232" t="s">
        <v>53</v>
      </c>
      <c r="M4" s="234" t="s">
        <v>54</v>
      </c>
      <c r="N4" s="234" t="s">
        <v>11</v>
      </c>
      <c r="O4" s="234" t="s">
        <v>12</v>
      </c>
      <c r="P4" s="234" t="s">
        <v>83</v>
      </c>
    </row>
    <row r="5" spans="2:17" x14ac:dyDescent="0.35">
      <c r="B5" s="233"/>
      <c r="C5" s="2"/>
      <c r="D5" s="233"/>
      <c r="E5" s="2"/>
      <c r="F5" s="233"/>
      <c r="G5" s="2"/>
      <c r="H5" s="116" t="s">
        <v>57</v>
      </c>
      <c r="I5" s="234"/>
      <c r="J5" s="2"/>
      <c r="K5" s="233"/>
      <c r="L5" s="233"/>
      <c r="M5" s="234"/>
      <c r="N5" s="234"/>
      <c r="O5" s="234"/>
      <c r="P5" s="234"/>
    </row>
    <row r="6" spans="2:17" s="71" customFormat="1" ht="3" customHeight="1" x14ac:dyDescent="0.35">
      <c r="B6" s="2"/>
      <c r="C6" s="2"/>
      <c r="D6" s="2"/>
      <c r="E6" s="2"/>
      <c r="F6" s="2"/>
      <c r="G6" s="2"/>
      <c r="H6" s="2"/>
      <c r="I6" s="2"/>
      <c r="J6" s="2"/>
      <c r="K6" s="2"/>
      <c r="L6" s="2"/>
      <c r="M6" s="2"/>
      <c r="N6" s="2"/>
      <c r="O6" s="2"/>
      <c r="P6" s="2"/>
    </row>
    <row r="7" spans="2:17" s="71" customFormat="1" ht="38.25" customHeight="1" x14ac:dyDescent="0.35">
      <c r="B7" s="235" t="s">
        <v>84</v>
      </c>
      <c r="C7" s="7"/>
      <c r="D7" s="238" t="s">
        <v>85</v>
      </c>
      <c r="E7" s="27"/>
      <c r="F7" s="114" t="s">
        <v>63</v>
      </c>
      <c r="G7" s="2"/>
      <c r="H7" s="76" t="s">
        <v>35</v>
      </c>
      <c r="I7" s="77">
        <v>6</v>
      </c>
      <c r="J7" s="2"/>
      <c r="K7" s="12" t="s">
        <v>64</v>
      </c>
      <c r="L7" s="37">
        <f>287000*I7</f>
        <v>1722000</v>
      </c>
      <c r="M7" s="78">
        <f>6*26*1711*0.3*1.08</f>
        <v>86480.784000000014</v>
      </c>
      <c r="N7" s="78">
        <f>M7*I7</f>
        <v>518884.70400000009</v>
      </c>
      <c r="O7" s="79">
        <v>0.82650199999999996</v>
      </c>
      <c r="P7" s="83">
        <f>N7*(1-O7)</f>
        <v>90025.458374592039</v>
      </c>
      <c r="Q7" s="84"/>
    </row>
    <row r="8" spans="2:17" s="71" customFormat="1" ht="3.75" customHeight="1" x14ac:dyDescent="0.35">
      <c r="B8" s="236"/>
      <c r="C8" s="2"/>
      <c r="D8" s="239"/>
      <c r="E8" s="81"/>
      <c r="F8" s="82"/>
      <c r="G8" s="82"/>
      <c r="H8" s="82"/>
      <c r="I8" s="82"/>
      <c r="J8" s="82"/>
      <c r="K8" s="82"/>
      <c r="L8" s="82"/>
      <c r="M8" s="82"/>
      <c r="N8" s="82"/>
      <c r="O8" s="82"/>
      <c r="P8" s="82"/>
    </row>
    <row r="9" spans="2:17" s="71" customFormat="1" x14ac:dyDescent="0.35">
      <c r="B9" s="236"/>
      <c r="C9" s="2"/>
      <c r="D9" s="239"/>
      <c r="E9" s="81"/>
      <c r="F9" s="114" t="s">
        <v>40</v>
      </c>
      <c r="G9" s="2"/>
      <c r="H9" s="76">
        <v>1</v>
      </c>
      <c r="I9" s="77">
        <v>1500000</v>
      </c>
      <c r="J9" s="2"/>
      <c r="K9" s="12" t="s">
        <v>66</v>
      </c>
      <c r="L9" s="37">
        <f>I9</f>
        <v>1500000</v>
      </c>
      <c r="M9" s="78">
        <f>332.73*0.3*1.08</f>
        <v>107.80452000000001</v>
      </c>
      <c r="N9" s="78">
        <f>M9*I9/1000</f>
        <v>161706.78000000003</v>
      </c>
      <c r="O9" s="79">
        <v>0.82650199999999996</v>
      </c>
      <c r="P9" s="83">
        <f>N9*(1-O9)</f>
        <v>28055.80291644001</v>
      </c>
    </row>
    <row r="10" spans="2:17" s="71" customFormat="1" ht="3.75" customHeight="1" x14ac:dyDescent="0.35">
      <c r="B10" s="236"/>
      <c r="C10" s="7"/>
      <c r="D10" s="239"/>
      <c r="E10" s="27"/>
      <c r="F10" s="7"/>
      <c r="G10" s="2"/>
      <c r="H10" s="88"/>
      <c r="I10" s="88"/>
      <c r="J10" s="2"/>
      <c r="K10" s="30"/>
      <c r="L10" s="30"/>
      <c r="M10" s="89"/>
      <c r="N10" s="89"/>
      <c r="O10" s="32"/>
      <c r="P10" s="92"/>
    </row>
    <row r="11" spans="2:17" s="71" customFormat="1" x14ac:dyDescent="0.35">
      <c r="B11" s="236"/>
      <c r="C11" s="7"/>
      <c r="D11" s="239"/>
      <c r="E11" s="27"/>
      <c r="F11" s="241" t="s">
        <v>21</v>
      </c>
      <c r="G11" s="2"/>
      <c r="H11" s="76">
        <v>1</v>
      </c>
      <c r="I11" s="77">
        <v>3</v>
      </c>
      <c r="J11" s="2"/>
      <c r="K11" s="93" t="s">
        <v>67</v>
      </c>
      <c r="L11" s="94">
        <f>3200*I11</f>
        <v>9600</v>
      </c>
      <c r="M11" s="95">
        <f>30240*1.08*0.3*1.08</f>
        <v>10581.580800000002</v>
      </c>
      <c r="N11" s="95">
        <f>M11*I11</f>
        <v>31744.742400000003</v>
      </c>
      <c r="O11" s="79">
        <v>0.82650199999999996</v>
      </c>
      <c r="P11" s="83">
        <f>N11*(1-O11)</f>
        <v>5507.6493169152018</v>
      </c>
    </row>
    <row r="12" spans="2:17" s="71" customFormat="1" x14ac:dyDescent="0.35">
      <c r="B12" s="236"/>
      <c r="C12" s="2"/>
      <c r="D12" s="239"/>
      <c r="E12" s="81"/>
      <c r="F12" s="241"/>
      <c r="G12" s="2"/>
      <c r="H12" s="76">
        <v>1</v>
      </c>
      <c r="I12" s="77">
        <v>3</v>
      </c>
      <c r="J12" s="2"/>
      <c r="K12" s="93" t="s">
        <v>68</v>
      </c>
      <c r="L12" s="37">
        <f>2500*I12</f>
        <v>7500</v>
      </c>
      <c r="M12" s="95">
        <f>48600*1.08*0.3*1.08</f>
        <v>17006.112000000001</v>
      </c>
      <c r="N12" s="78">
        <f>M12*I12</f>
        <v>51018.336000000003</v>
      </c>
      <c r="O12" s="79">
        <v>0.82650199999999996</v>
      </c>
      <c r="P12" s="83">
        <f>N12*(1-O12)</f>
        <v>8851.5792593280021</v>
      </c>
      <c r="Q12" s="84"/>
    </row>
    <row r="13" spans="2:17" s="71" customFormat="1" x14ac:dyDescent="0.35">
      <c r="B13" s="236"/>
      <c r="C13" s="2"/>
      <c r="D13" s="239"/>
      <c r="E13" s="81"/>
      <c r="F13" s="241"/>
      <c r="G13" s="2"/>
      <c r="H13" s="76">
        <v>1</v>
      </c>
      <c r="I13" s="77">
        <v>3</v>
      </c>
      <c r="J13" s="2"/>
      <c r="K13" s="93" t="s">
        <v>69</v>
      </c>
      <c r="L13" s="37">
        <f>3500*I13</f>
        <v>10500</v>
      </c>
      <c r="M13" s="78">
        <f>64163*1.08*0.3*1.08</f>
        <v>22451.916960000002</v>
      </c>
      <c r="N13" s="78">
        <f>M13*I13</f>
        <v>67355.750880000007</v>
      </c>
      <c r="O13" s="79">
        <v>0.82650199999999996</v>
      </c>
      <c r="P13" s="83">
        <f>N13*(1-O13)</f>
        <v>11686.088066178245</v>
      </c>
      <c r="Q13" s="84"/>
    </row>
    <row r="14" spans="2:17" s="71" customFormat="1" x14ac:dyDescent="0.35">
      <c r="B14" s="236"/>
      <c r="C14" s="2"/>
      <c r="D14" s="239"/>
      <c r="E14" s="81"/>
      <c r="F14" s="241"/>
      <c r="G14" s="2"/>
      <c r="H14" s="76">
        <v>1</v>
      </c>
      <c r="I14" s="77">
        <v>3</v>
      </c>
      <c r="J14" s="2"/>
      <c r="K14" s="93" t="s">
        <v>70</v>
      </c>
      <c r="L14" s="37">
        <f>2000*I14</f>
        <v>6000</v>
      </c>
      <c r="M14" s="78">
        <f>68436.49*1.08*0.3*1.08</f>
        <v>23947.296580800004</v>
      </c>
      <c r="N14" s="78">
        <f>M14*I14</f>
        <v>71841.889742400017</v>
      </c>
      <c r="O14" s="79">
        <v>0.82650199999999996</v>
      </c>
      <c r="P14" s="83">
        <f>N14*(1-O14)</f>
        <v>12464.424186526921</v>
      </c>
      <c r="Q14" s="84"/>
    </row>
    <row r="15" spans="2:17" s="71" customFormat="1" ht="3.75" customHeight="1" x14ac:dyDescent="0.35">
      <c r="B15" s="236"/>
      <c r="C15" s="7"/>
      <c r="D15" s="239"/>
      <c r="E15" s="27"/>
      <c r="F15" s="7"/>
      <c r="G15" s="2"/>
      <c r="H15" s="88"/>
      <c r="I15" s="88"/>
      <c r="J15" s="2"/>
      <c r="K15" s="30"/>
      <c r="L15" s="30"/>
      <c r="M15" s="89"/>
      <c r="N15" s="89"/>
      <c r="O15" s="32"/>
      <c r="P15" s="92"/>
    </row>
    <row r="16" spans="2:17" s="71" customFormat="1" ht="26" x14ac:dyDescent="0.35">
      <c r="B16" s="236"/>
      <c r="C16" s="7"/>
      <c r="D16" s="239"/>
      <c r="E16" s="27"/>
      <c r="F16" s="238" t="s">
        <v>86</v>
      </c>
      <c r="G16" s="2"/>
      <c r="H16" s="76">
        <v>1</v>
      </c>
      <c r="I16" s="77">
        <v>1</v>
      </c>
      <c r="J16" s="2"/>
      <c r="K16" s="93" t="s">
        <v>73</v>
      </c>
      <c r="L16" s="93" t="s">
        <v>35</v>
      </c>
      <c r="M16" s="95">
        <f>16500*1.08*1.08</f>
        <v>19245.600000000002</v>
      </c>
      <c r="N16" s="95">
        <f>M16*I16</f>
        <v>19245.600000000002</v>
      </c>
      <c r="O16" s="96" t="s">
        <v>35</v>
      </c>
      <c r="P16" s="83">
        <f>N16</f>
        <v>19245.600000000002</v>
      </c>
    </row>
    <row r="17" spans="2:17" s="71" customFormat="1" ht="26" x14ac:dyDescent="0.35">
      <c r="B17" s="237"/>
      <c r="C17" s="7"/>
      <c r="D17" s="240"/>
      <c r="E17" s="27"/>
      <c r="F17" s="240"/>
      <c r="G17" s="2"/>
      <c r="H17" s="76">
        <v>1</v>
      </c>
      <c r="I17" s="77">
        <v>1</v>
      </c>
      <c r="J17" s="2"/>
      <c r="K17" s="93" t="s">
        <v>100</v>
      </c>
      <c r="L17" s="93" t="s">
        <v>35</v>
      </c>
      <c r="M17" s="95">
        <f>10000*1.08*1.08</f>
        <v>11664</v>
      </c>
      <c r="N17" s="95">
        <f>M17</f>
        <v>11664</v>
      </c>
      <c r="O17" s="79" t="s">
        <v>35</v>
      </c>
      <c r="P17" s="83">
        <f>N17</f>
        <v>11664</v>
      </c>
    </row>
    <row r="18" spans="2:17" s="71" customFormat="1" x14ac:dyDescent="0.35">
      <c r="B18" s="7"/>
      <c r="C18" s="7"/>
      <c r="D18" s="7"/>
      <c r="E18" s="27"/>
      <c r="F18" s="7"/>
      <c r="G18" s="2"/>
      <c r="H18" s="88"/>
      <c r="I18" s="88"/>
      <c r="J18" s="2"/>
      <c r="K18" s="30"/>
      <c r="L18" s="30"/>
      <c r="M18" s="227" t="s">
        <v>42</v>
      </c>
      <c r="N18" s="227"/>
      <c r="O18" s="227"/>
      <c r="P18" s="120">
        <f>SUM(N7:N17)</f>
        <v>933461.80302240013</v>
      </c>
    </row>
    <row r="19" spans="2:17" s="71" customFormat="1" x14ac:dyDescent="0.35">
      <c r="B19" s="7"/>
      <c r="C19" s="7"/>
      <c r="D19" s="7"/>
      <c r="E19" s="27"/>
      <c r="F19" s="7"/>
      <c r="G19" s="2"/>
      <c r="H19" s="88"/>
      <c r="I19" s="88"/>
      <c r="J19" s="2"/>
      <c r="K19" s="30"/>
      <c r="L19" s="30"/>
      <c r="M19" s="227" t="s">
        <v>43</v>
      </c>
      <c r="N19" s="227"/>
      <c r="O19" s="227"/>
      <c r="P19" s="121">
        <v>1</v>
      </c>
    </row>
    <row r="20" spans="2:17" s="71" customFormat="1" x14ac:dyDescent="0.35">
      <c r="B20" s="7"/>
      <c r="C20" s="7"/>
      <c r="D20" s="7"/>
      <c r="E20" s="27"/>
      <c r="F20" s="7"/>
      <c r="G20" s="2"/>
      <c r="H20" s="88"/>
      <c r="I20" s="88"/>
      <c r="J20" s="2"/>
      <c r="K20" s="30"/>
      <c r="L20" s="30"/>
      <c r="M20" s="228" t="s">
        <v>101</v>
      </c>
      <c r="N20" s="228"/>
      <c r="O20" s="228"/>
      <c r="P20" s="119">
        <f>SUM(P7:P17)</f>
        <v>187500.60211998041</v>
      </c>
      <c r="Q20" s="124"/>
    </row>
    <row r="21" spans="2:17" s="71" customFormat="1" x14ac:dyDescent="0.35">
      <c r="B21" s="82"/>
      <c r="C21" s="82"/>
      <c r="D21" s="82"/>
      <c r="E21" s="82"/>
      <c r="F21" s="82"/>
      <c r="G21" s="82"/>
      <c r="H21" s="82"/>
      <c r="I21" s="82"/>
      <c r="J21" s="82"/>
      <c r="K21" s="82"/>
      <c r="L21" s="82"/>
      <c r="M21" s="229" t="s">
        <v>74</v>
      </c>
      <c r="N21" s="229"/>
      <c r="O21" s="229"/>
      <c r="P21" s="136">
        <f>P20*0.8</f>
        <v>150000.48169598434</v>
      </c>
      <c r="Q21" s="150"/>
    </row>
    <row r="22" spans="2:17" s="71" customFormat="1" ht="15" hidden="1" customHeight="1" x14ac:dyDescent="0.35">
      <c r="B22" s="7"/>
      <c r="C22" s="7"/>
      <c r="D22" s="7"/>
      <c r="E22" s="7"/>
      <c r="F22" s="7"/>
      <c r="G22" s="7"/>
      <c r="H22" s="7"/>
      <c r="I22" s="7"/>
      <c r="J22" s="7"/>
      <c r="K22" s="7"/>
      <c r="L22" s="7"/>
      <c r="M22" s="211" t="s">
        <v>74</v>
      </c>
      <c r="N22" s="211"/>
      <c r="O22" s="211"/>
      <c r="P22" s="117" t="e">
        <f>SUM(#REF!)</f>
        <v>#REF!</v>
      </c>
    </row>
    <row r="23" spans="2:17" s="71" customFormat="1" hidden="1" x14ac:dyDescent="0.35">
      <c r="B23" s="100"/>
      <c r="C23" s="100"/>
      <c r="D23" s="100"/>
      <c r="E23" s="100"/>
      <c r="F23" s="100"/>
      <c r="G23" s="100"/>
      <c r="H23" s="100"/>
      <c r="I23" s="100"/>
      <c r="J23" s="100"/>
      <c r="K23" s="100"/>
      <c r="L23" s="100"/>
      <c r="M23" s="100"/>
      <c r="N23" s="100"/>
      <c r="O23" s="100"/>
      <c r="P23" s="100"/>
    </row>
    <row r="24" spans="2:17" s="71" customFormat="1" x14ac:dyDescent="0.35">
      <c r="B24" s="100"/>
      <c r="C24" s="100"/>
      <c r="D24" s="100"/>
      <c r="E24" s="100"/>
      <c r="F24" s="100"/>
      <c r="G24" s="100"/>
      <c r="H24" s="100"/>
      <c r="I24" s="100"/>
      <c r="J24" s="100"/>
      <c r="K24" s="100"/>
      <c r="L24" s="100"/>
      <c r="M24" s="228" t="s">
        <v>53</v>
      </c>
      <c r="N24" s="228"/>
      <c r="O24" s="228"/>
      <c r="P24" s="118">
        <f>SUM(L7:L17)</f>
        <v>3255600</v>
      </c>
      <c r="Q24" s="124"/>
    </row>
    <row r="25" spans="2:17" s="71" customFormat="1" x14ac:dyDescent="0.35">
      <c r="B25" s="100"/>
      <c r="C25" s="100"/>
      <c r="D25" s="100"/>
      <c r="E25" s="100"/>
      <c r="F25" s="100"/>
      <c r="G25" s="100"/>
      <c r="H25" s="100"/>
      <c r="I25" s="100"/>
      <c r="J25" s="100"/>
      <c r="K25" s="100"/>
      <c r="L25" s="100"/>
      <c r="M25" s="100"/>
      <c r="N25" s="100"/>
      <c r="O25" s="100"/>
      <c r="P25" s="100"/>
      <c r="Q25" s="124"/>
    </row>
    <row r="26" spans="2:17" s="71" customFormat="1" x14ac:dyDescent="0.35">
      <c r="B26" s="100"/>
      <c r="C26" s="100"/>
      <c r="D26" s="100"/>
      <c r="E26" s="100"/>
      <c r="F26" s="100"/>
      <c r="G26" s="100"/>
      <c r="H26" s="100"/>
      <c r="I26" s="100"/>
      <c r="J26" s="100"/>
      <c r="K26" s="100"/>
      <c r="L26" s="100"/>
      <c r="M26" s="100"/>
      <c r="N26" s="100"/>
      <c r="O26" s="100"/>
      <c r="P26" s="100"/>
    </row>
    <row r="27" spans="2:17" s="71" customFormat="1" x14ac:dyDescent="0.35">
      <c r="B27" s="100"/>
      <c r="C27" s="100"/>
      <c r="D27" s="100"/>
      <c r="E27" s="100"/>
      <c r="F27" s="100"/>
      <c r="G27" s="100"/>
      <c r="H27" s="100"/>
      <c r="I27" s="100"/>
      <c r="J27" s="100"/>
      <c r="K27" s="100"/>
      <c r="L27" s="100"/>
      <c r="M27" s="100"/>
      <c r="N27" s="100"/>
      <c r="O27" s="100"/>
      <c r="P27" s="100"/>
    </row>
    <row r="28" spans="2:17" s="71" customFormat="1" x14ac:dyDescent="0.35">
      <c r="B28" s="100"/>
      <c r="C28" s="100"/>
      <c r="D28" s="100"/>
      <c r="E28" s="100"/>
      <c r="F28" s="100"/>
      <c r="G28" s="100"/>
      <c r="H28" s="100"/>
      <c r="I28" s="100"/>
      <c r="J28" s="100"/>
      <c r="K28" s="100"/>
      <c r="L28" s="100"/>
      <c r="M28" s="100"/>
      <c r="N28" s="100"/>
      <c r="O28" s="100"/>
      <c r="P28" s="100"/>
    </row>
    <row r="29" spans="2:17" s="71" customFormat="1" x14ac:dyDescent="0.35">
      <c r="B29" s="100"/>
      <c r="C29" s="100"/>
      <c r="D29" s="100"/>
      <c r="E29" s="100"/>
      <c r="F29" s="100"/>
      <c r="G29" s="100"/>
      <c r="H29" s="100"/>
      <c r="I29" s="100"/>
      <c r="J29" s="100"/>
      <c r="K29" s="100"/>
      <c r="L29" s="100"/>
      <c r="M29" s="100"/>
      <c r="N29" s="100"/>
      <c r="O29" s="100"/>
      <c r="P29" s="100"/>
    </row>
    <row r="30" spans="2:17" s="71" customFormat="1" x14ac:dyDescent="0.35">
      <c r="B30" s="100"/>
      <c r="C30" s="100"/>
      <c r="D30" s="100"/>
      <c r="E30" s="100"/>
      <c r="F30" s="100"/>
      <c r="G30" s="100"/>
      <c r="H30" s="100"/>
      <c r="I30" s="100"/>
      <c r="J30" s="100"/>
      <c r="K30" s="100"/>
      <c r="L30" s="100"/>
      <c r="M30" s="100"/>
      <c r="N30" s="100"/>
      <c r="O30" s="100"/>
      <c r="P30" s="100"/>
    </row>
    <row r="31" spans="2:17" s="71" customFormat="1" x14ac:dyDescent="0.35">
      <c r="B31" s="100"/>
      <c r="C31" s="100"/>
      <c r="D31" s="100"/>
      <c r="E31" s="100"/>
      <c r="F31" s="100"/>
      <c r="G31" s="100"/>
      <c r="H31" s="100"/>
      <c r="I31" s="100"/>
      <c r="J31" s="100"/>
      <c r="K31" s="100"/>
      <c r="L31" s="100"/>
      <c r="M31" s="100"/>
      <c r="N31" s="100"/>
      <c r="O31" s="100"/>
      <c r="P31" s="100"/>
    </row>
  </sheetData>
  <mergeCells count="21">
    <mergeCell ref="M18:O18"/>
    <mergeCell ref="B2:P2"/>
    <mergeCell ref="B4:B5"/>
    <mergeCell ref="D4:D5"/>
    <mergeCell ref="F4:F5"/>
    <mergeCell ref="I4:I5"/>
    <mergeCell ref="K4:K5"/>
    <mergeCell ref="L4:L5"/>
    <mergeCell ref="M4:M5"/>
    <mergeCell ref="N4:N5"/>
    <mergeCell ref="O4:O5"/>
    <mergeCell ref="P4:P5"/>
    <mergeCell ref="B7:B17"/>
    <mergeCell ref="D7:D17"/>
    <mergeCell ref="F11:F14"/>
    <mergeCell ref="F16:F17"/>
    <mergeCell ref="M19:O19"/>
    <mergeCell ref="M20:O20"/>
    <mergeCell ref="M22:O22"/>
    <mergeCell ref="M24:O24"/>
    <mergeCell ref="M21:O21"/>
  </mergeCells>
  <pageMargins left="0.511811024" right="0.511811024" top="0.78740157499999996" bottom="0.78740157499999996" header="0.31496062000000002" footer="0.31496062000000002"/>
  <pageSetup paperSize="9" orientation="portrait" r:id="rId1"/>
  <headerFooter>
    <oddFooter>&amp;C_x000D_&amp;1#&amp;"Aptos"&amp;10&amp;K000000 Confidential - Not for Public Consumption or Distribution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A8A46-1DD6-4518-BC0A-CCC104BB013A}">
  <dimension ref="A1"/>
  <sheetViews>
    <sheetView workbookViewId="0"/>
  </sheetViews>
  <sheetFormatPr defaultRowHeight="14.5" x14ac:dyDescent="0.35"/>
  <sheetData/>
  <pageMargins left="0.511811024" right="0.511811024" top="0.78740157499999996" bottom="0.78740157499999996" header="0.31496062000000002" footer="0.31496062000000002"/>
  <headerFooter>
    <oddFooter>&amp;C_x000D_&amp;1#&amp;"Aptos"&amp;10&amp;K000000 Confidential - Not for Public Consumption or Distribution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RESUMO_CONDIÇÃO ESPECIAL</vt:lpstr>
      <vt:lpstr>Curso de Jornalismo_Globo</vt:lpstr>
      <vt:lpstr>Curso de Jornalismo_Valor</vt:lpstr>
      <vt:lpstr>Curso Jornada IA</vt:lpstr>
      <vt:lpstr>Curso Jornada Infraestrutura</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Andreia Luiz Dos Santos</dc:creator>
  <cp:lastModifiedBy>Elza Savoy De Brito (Omnicom)</cp:lastModifiedBy>
  <dcterms:created xsi:type="dcterms:W3CDTF">2025-02-18T18:51:48Z</dcterms:created>
  <dcterms:modified xsi:type="dcterms:W3CDTF">2026-01-29T02:12:45Z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2026-01-29T02:11:58Z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ee6cb49c-2e3b-4154-ad5d-639f193af8d5</vt:lpwstr>
  </property>
  <property fmtid="{D5CDD505-2E9C-101B-9397-08002B2CF9AE}" pid="8" name="MSIP_Label_8e19d756-792e-42a1-bcad-4cb9051ddd2d_ContentBits">
    <vt:lpwstr>2</vt:lpwstr>
  </property>
  <property fmtid="{D5CDD505-2E9C-101B-9397-08002B2CF9AE}" pid="9" name="MSIP_Label_8e19d756-792e-42a1-bcad-4cb9051ddd2d_Tag">
    <vt:lpwstr>10, 3, 0, 1</vt:lpwstr>
  </property>
</Properties>
</file>