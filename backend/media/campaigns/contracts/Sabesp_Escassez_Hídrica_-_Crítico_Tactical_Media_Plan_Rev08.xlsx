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drawings/drawing12.xml" ContentType="application/vnd.openxmlformats-officedocument.drawing+xml"/>
  <Override PartName="/xl/drawings/drawing13.xml" ContentType="application/vnd.openxmlformats-officedocument.drawing+xml"/>
  <Override PartName="/xl/drawings/drawing14.xml" ContentType="application/vnd.openxmlformats-officedocument.drawing+xml"/>
  <Override PartName="/xl/drawings/drawing1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Z:\Clientes\SABESP\MIDIA\10. Escassez Hídrica Critica\"/>
    </mc:Choice>
  </mc:AlternateContent>
  <xr:revisionPtr revIDLastSave="0" documentId="13_ncr:1_{E3C37B98-9D3E-4A71-A068-4F26D9B15C58}" xr6:coauthVersionLast="47" xr6:coauthVersionMax="47" xr10:uidLastSave="{00000000-0000-0000-0000-000000000000}"/>
  <bookViews>
    <workbookView xWindow="19090" yWindow="-110" windowWidth="38620" windowHeight="21100" xr2:uid="{12F36DE4-96BE-460C-9424-E313C1CC04E6}"/>
  </bookViews>
  <sheets>
    <sheet name="COVER" sheetId="10" r:id="rId1"/>
    <sheet name="RESUMO DE MEIOS - SP1" sheetId="26" r:id="rId2"/>
    <sheet name="RESUMO DE MEIOS - SPE" sheetId="9" state="hidden" r:id="rId3"/>
    <sheet name="TV ABERTA - SP1" sheetId="20" r:id="rId4"/>
    <sheet name="TV ABERTA - SPE" sheetId="19" state="hidden" r:id="rId5"/>
    <sheet name="TV ABERTA - COLCHÃO REP - SP1" sheetId="22" state="hidden" r:id="rId6"/>
    <sheet name="TV ABERTA - COLCHÃO REP - SPE" sheetId="21" state="hidden" r:id="rId7"/>
    <sheet name="TV PAGA - COLCHÃO REP - SP1" sheetId="24" state="hidden" r:id="rId8"/>
    <sheet name="TV PAGA - COLCHÃO REP - SPE" sheetId="23" state="hidden" r:id="rId9"/>
    <sheet name="RÁDIO versão completa" sheetId="6" state="hidden" r:id="rId10"/>
    <sheet name="RÁDIO" sheetId="7" r:id="rId11"/>
    <sheet name="JORNAL" sheetId="15" r:id="rId12"/>
    <sheet name="DIGITAL" sheetId="16" r:id="rId13"/>
    <sheet name="CUSTO GERAÇÃO SPE" sheetId="17" state="hidden" r:id="rId14"/>
    <sheet name="CUSTO GERAÇÃO SP1" sheetId="25" r:id="rId15"/>
  </sheets>
  <externalReferences>
    <externalReference r:id="rId16"/>
    <externalReference r:id="rId17"/>
    <externalReference r:id="rId18"/>
    <externalReference r:id="rId19"/>
    <externalReference r:id="rId20"/>
  </externalReferences>
  <definedNames>
    <definedName name="___o1" localSheetId="14" hidden="1">{"det (May)",#N/A,FALSE,"June";"sum (MAY YTD)",#N/A,FALSE,"June YTD"}</definedName>
    <definedName name="___o1" localSheetId="13" hidden="1">{"det (May)",#N/A,FALSE,"June";"sum (MAY YTD)",#N/A,FALSE,"June YTD"}</definedName>
    <definedName name="___o1" localSheetId="11" hidden="1">{"det (May)",#N/A,FALSE,"June";"sum (MAY YTD)",#N/A,FALSE,"June YTD"}</definedName>
    <definedName name="___o1" localSheetId="10" hidden="1">{"det (May)",#N/A,FALSE,"June";"sum (MAY YTD)",#N/A,FALSE,"June YTD"}</definedName>
    <definedName name="___o1" localSheetId="9" hidden="1">{"det (May)",#N/A,FALSE,"June";"sum (MAY YTD)",#N/A,FALSE,"June YTD"}</definedName>
    <definedName name="___o1" localSheetId="1" hidden="1">{"det (May)",#N/A,FALSE,"June";"sum (MAY YTD)",#N/A,FALSE,"June YTD"}</definedName>
    <definedName name="___o1" localSheetId="2" hidden="1">{"det (May)",#N/A,FALSE,"June";"sum (MAY YTD)",#N/A,FALSE,"June YTD"}</definedName>
    <definedName name="___o1" localSheetId="5" hidden="1">{"det (May)",#N/A,FALSE,"June";"sum (MAY YTD)",#N/A,FALSE,"June YTD"}</definedName>
    <definedName name="___o1" localSheetId="6" hidden="1">{"det (May)",#N/A,FALSE,"June";"sum (MAY YTD)",#N/A,FALSE,"June YTD"}</definedName>
    <definedName name="___o1" localSheetId="3" hidden="1">{"det (May)",#N/A,FALSE,"June";"sum (MAY YTD)",#N/A,FALSE,"June YTD"}</definedName>
    <definedName name="___o1" localSheetId="4" hidden="1">{"det (May)",#N/A,FALSE,"June";"sum (MAY YTD)",#N/A,FALSE,"June YTD"}</definedName>
    <definedName name="___o1" localSheetId="7" hidden="1">{"det (May)",#N/A,FALSE,"June";"sum (MAY YTD)",#N/A,FALSE,"June YTD"}</definedName>
    <definedName name="___o1" localSheetId="8" hidden="1">{"det (May)",#N/A,FALSE,"June";"sum (MAY YTD)",#N/A,FALSE,"June YTD"}</definedName>
    <definedName name="___o1" hidden="1">{"det (May)",#N/A,FALSE,"June";"sum (MAY YTD)",#N/A,FALSE,"June YTD"}</definedName>
    <definedName name="___rv1" localSheetId="1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123Graph_A" hidden="1">'[1]RG Depots'!$C$43:$E$43</definedName>
    <definedName name="__123Graph_AGRAF1" hidden="1">'[1]RG Depots'!$C$43:$E$43</definedName>
    <definedName name="__123Graph_B" hidden="1">'[1]RG Depots'!$C$44:$E$44</definedName>
    <definedName name="__123Graph_BGRAF1" hidden="1">'[1]RG Depots'!$C$44:$E$44</definedName>
    <definedName name="__123Graph_C" hidden="1">'[1]RG Depots'!$C$45:$E$45</definedName>
    <definedName name="__123Graph_CGRAF1" hidden="1">'[1]RG Depots'!$C$45:$E$45</definedName>
    <definedName name="__123Graph_D" hidden="1">'[1]RG Depots'!$C$46:$E$46</definedName>
    <definedName name="__123Graph_DGRAF1" hidden="1">'[1]RG Depots'!$C$46:$E$46</definedName>
    <definedName name="__123Graph_E" hidden="1">'[1]RG Depots'!$C$48:$E$48</definedName>
    <definedName name="__123Graph_EGRAF1" hidden="1">'[1]RG Depots'!$C$48:$E$48</definedName>
    <definedName name="__123Graph_X" hidden="1">'[1]RG Depots'!$C$42:$E$42</definedName>
    <definedName name="__123Graph_XGRAF1" hidden="1">'[1]RG Depots'!$C$42:$E$42</definedName>
    <definedName name="__IntlFixup" hidden="1">TRUE</definedName>
    <definedName name="__o1" localSheetId="14" hidden="1">{"det (May)",#N/A,FALSE,"June";"sum (MAY YTD)",#N/A,FALSE,"June YTD"}</definedName>
    <definedName name="__o1" localSheetId="13" hidden="1">{"det (May)",#N/A,FALSE,"June";"sum (MAY YTD)",#N/A,FALSE,"June YTD"}</definedName>
    <definedName name="__o1" localSheetId="11" hidden="1">{"det (May)",#N/A,FALSE,"June";"sum (MAY YTD)",#N/A,FALSE,"June YTD"}</definedName>
    <definedName name="__o1" localSheetId="10" hidden="1">{"det (May)",#N/A,FALSE,"June";"sum (MAY YTD)",#N/A,FALSE,"June YTD"}</definedName>
    <definedName name="__o1" localSheetId="9" hidden="1">{"det (May)",#N/A,FALSE,"June";"sum (MAY YTD)",#N/A,FALSE,"June YTD"}</definedName>
    <definedName name="__o1" localSheetId="1" hidden="1">{"det (May)",#N/A,FALSE,"June";"sum (MAY YTD)",#N/A,FALSE,"June YTD"}</definedName>
    <definedName name="__o1" localSheetId="2" hidden="1">{"det (May)",#N/A,FALSE,"June";"sum (MAY YTD)",#N/A,FALSE,"June YTD"}</definedName>
    <definedName name="__o1" localSheetId="5" hidden="1">{"det (May)",#N/A,FALSE,"June";"sum (MAY YTD)",#N/A,FALSE,"June YTD"}</definedName>
    <definedName name="__o1" localSheetId="6" hidden="1">{"det (May)",#N/A,FALSE,"June";"sum (MAY YTD)",#N/A,FALSE,"June YTD"}</definedName>
    <definedName name="__o1" localSheetId="3" hidden="1">{"det (May)",#N/A,FALSE,"June";"sum (MAY YTD)",#N/A,FALSE,"June YTD"}</definedName>
    <definedName name="__o1" localSheetId="4" hidden="1">{"det (May)",#N/A,FALSE,"June";"sum (MAY YTD)",#N/A,FALSE,"June YTD"}</definedName>
    <definedName name="__o1" localSheetId="7" hidden="1">{"det (May)",#N/A,FALSE,"June";"sum (MAY YTD)",#N/A,FALSE,"June YTD"}</definedName>
    <definedName name="__o1" localSheetId="8" hidden="1">{"det (May)",#N/A,FALSE,"June";"sum (MAY YTD)",#N/A,FALSE,"June YTD"}</definedName>
    <definedName name="__o1" hidden="1">{"det (May)",#N/A,FALSE,"June";"sum (MAY YTD)",#N/A,FALSE,"June YTD"}</definedName>
    <definedName name="__rv1" localSheetId="1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1" localSheetId="14">#REF!</definedName>
    <definedName name="_1" localSheetId="13">#REF!</definedName>
    <definedName name="_1">#REF!</definedName>
    <definedName name="_10" localSheetId="14">#REF!</definedName>
    <definedName name="_10" localSheetId="13">#REF!</definedName>
    <definedName name="_10">#REF!</definedName>
    <definedName name="_11" localSheetId="14">#REF!</definedName>
    <definedName name="_11" localSheetId="13">#REF!</definedName>
    <definedName name="_11">#REF!</definedName>
    <definedName name="_12" localSheetId="14">#REF!</definedName>
    <definedName name="_12" localSheetId="13">#REF!</definedName>
    <definedName name="_12">#REF!</definedName>
    <definedName name="_13" localSheetId="14">#REF!</definedName>
    <definedName name="_13" localSheetId="13">#REF!</definedName>
    <definedName name="_13">#REF!</definedName>
    <definedName name="_14" localSheetId="14">#REF!</definedName>
    <definedName name="_14" localSheetId="13">#REF!</definedName>
    <definedName name="_14">#REF!</definedName>
    <definedName name="_15" localSheetId="14">#REF!</definedName>
    <definedName name="_15" localSheetId="13">#REF!</definedName>
    <definedName name="_15">#REF!</definedName>
    <definedName name="_16" localSheetId="14">#REF!</definedName>
    <definedName name="_16" localSheetId="13">#REF!</definedName>
    <definedName name="_16">#REF!</definedName>
    <definedName name="_17" localSheetId="14">#REF!</definedName>
    <definedName name="_17" localSheetId="13">#REF!</definedName>
    <definedName name="_17">#REF!</definedName>
    <definedName name="_18" localSheetId="14">#REF!</definedName>
    <definedName name="_18" localSheetId="13">#REF!</definedName>
    <definedName name="_18">#REF!</definedName>
    <definedName name="_19" localSheetId="14">#REF!</definedName>
    <definedName name="_19" localSheetId="13">#REF!</definedName>
    <definedName name="_19">#REF!</definedName>
    <definedName name="_1Excel_BuiltIn__FilterDatabase_10_9_1">NA()</definedName>
    <definedName name="_2" localSheetId="14">#REF!</definedName>
    <definedName name="_2" localSheetId="13">#REF!</definedName>
    <definedName name="_2">#REF!</definedName>
    <definedName name="_20" localSheetId="14">#REF!</definedName>
    <definedName name="_20" localSheetId="13">#REF!</definedName>
    <definedName name="_20">#REF!</definedName>
    <definedName name="_21" localSheetId="14">#REF!</definedName>
    <definedName name="_21" localSheetId="13">#REF!</definedName>
    <definedName name="_21">#REF!</definedName>
    <definedName name="_22" localSheetId="14">#REF!</definedName>
    <definedName name="_22" localSheetId="13">#REF!</definedName>
    <definedName name="_22">#REF!</definedName>
    <definedName name="_23" localSheetId="14">#REF!</definedName>
    <definedName name="_23" localSheetId="13">#REF!</definedName>
    <definedName name="_23">#REF!</definedName>
    <definedName name="_24" localSheetId="14">#REF!</definedName>
    <definedName name="_24" localSheetId="13">#REF!</definedName>
    <definedName name="_24">#REF!</definedName>
    <definedName name="_25" localSheetId="14">#REF!</definedName>
    <definedName name="_25" localSheetId="13">#REF!</definedName>
    <definedName name="_25">#REF!</definedName>
    <definedName name="_26" localSheetId="14">#REF!</definedName>
    <definedName name="_26" localSheetId="13">#REF!</definedName>
    <definedName name="_26">#REF!</definedName>
    <definedName name="_27" localSheetId="14">#REF!</definedName>
    <definedName name="_27" localSheetId="13">#REF!</definedName>
    <definedName name="_27">#REF!</definedName>
    <definedName name="_28" localSheetId="14">#REF!</definedName>
    <definedName name="_28" localSheetId="13">#REF!</definedName>
    <definedName name="_28">#REF!</definedName>
    <definedName name="_29" localSheetId="14">#REF!</definedName>
    <definedName name="_29" localSheetId="13">#REF!</definedName>
    <definedName name="_29">#REF!</definedName>
    <definedName name="_3" localSheetId="14">#REF!</definedName>
    <definedName name="_3" localSheetId="13">#REF!</definedName>
    <definedName name="_3">#REF!</definedName>
    <definedName name="_30" localSheetId="14">#REF!</definedName>
    <definedName name="_30" localSheetId="13">#REF!</definedName>
    <definedName name="_30">#REF!</definedName>
    <definedName name="_31" localSheetId="14">#REF!</definedName>
    <definedName name="_31" localSheetId="13">#REF!</definedName>
    <definedName name="_31">#REF!</definedName>
    <definedName name="_4" localSheetId="14">#REF!</definedName>
    <definedName name="_4" localSheetId="13">#REF!</definedName>
    <definedName name="_4">#REF!</definedName>
    <definedName name="_5" localSheetId="14">#REF!</definedName>
    <definedName name="_5" localSheetId="13">#REF!</definedName>
    <definedName name="_5">#REF!</definedName>
    <definedName name="_6" localSheetId="14">#REF!</definedName>
    <definedName name="_6" localSheetId="13">#REF!</definedName>
    <definedName name="_6">#REF!</definedName>
    <definedName name="_7" localSheetId="14">#REF!</definedName>
    <definedName name="_7" localSheetId="13">#REF!</definedName>
    <definedName name="_7">#REF!</definedName>
    <definedName name="_8" localSheetId="14">#REF!</definedName>
    <definedName name="_8" localSheetId="13">#REF!</definedName>
    <definedName name="_8">#REF!</definedName>
    <definedName name="_9" localSheetId="14">#REF!</definedName>
    <definedName name="_9" localSheetId="13">#REF!</definedName>
    <definedName name="_9">#REF!</definedName>
    <definedName name="_xlnm._FilterDatabase" localSheetId="5" hidden="1">'TV ABERTA - COLCHÃO REP - SP1'!$A$11:$CF$11</definedName>
    <definedName name="_xlnm._FilterDatabase" localSheetId="6" hidden="1">'TV ABERTA - COLCHÃO REP - SPE'!$A$11:$CF$11</definedName>
    <definedName name="_xlnm._FilterDatabase" localSheetId="3" hidden="1">'TV ABERTA - SP1'!$A$11:$CF$11</definedName>
    <definedName name="_xlnm._FilterDatabase" localSheetId="4" hidden="1">'TV ABERTA - SPE'!$A$11:$CF$11</definedName>
    <definedName name="_xlnm._FilterDatabase" localSheetId="7" hidden="1">'TV PAGA - COLCHÃO REP - SP1'!$A$11:$CF$11</definedName>
    <definedName name="_xlnm._FilterDatabase" localSheetId="8" hidden="1">'TV PAGA - COLCHÃO REP - SPE'!$A$11:$CF$11</definedName>
    <definedName name="_Key1" localSheetId="0" hidden="1">#REF!</definedName>
    <definedName name="_Key1" localSheetId="14" hidden="1">#REF!</definedName>
    <definedName name="_Key1" localSheetId="13" hidden="1">#REF!</definedName>
    <definedName name="_Key1" localSheetId="10" hidden="1">#REF!</definedName>
    <definedName name="_Key1" localSheetId="9" hidden="1">#REF!</definedName>
    <definedName name="_Key1" hidden="1">#REF!</definedName>
    <definedName name="_Key2" localSheetId="0" hidden="1">#REF!</definedName>
    <definedName name="_Key2" localSheetId="14" hidden="1">#REF!</definedName>
    <definedName name="_Key2" localSheetId="13" hidden="1">#REF!</definedName>
    <definedName name="_Key2" localSheetId="10" hidden="1">#REF!</definedName>
    <definedName name="_Key2" localSheetId="9" hidden="1">#REF!</definedName>
    <definedName name="_Key2" hidden="1">#REF!</definedName>
    <definedName name="_Key3" localSheetId="0" hidden="1">#REF!</definedName>
    <definedName name="_Key3" localSheetId="14" hidden="1">#REF!</definedName>
    <definedName name="_Key3" localSheetId="13" hidden="1">#REF!</definedName>
    <definedName name="_Key3" localSheetId="10" hidden="1">#REF!</definedName>
    <definedName name="_Key3" localSheetId="9" hidden="1">#REF!</definedName>
    <definedName name="_Key3" hidden="1">#REF!</definedName>
    <definedName name="_key99" localSheetId="0" hidden="1">#REF!</definedName>
    <definedName name="_key99" localSheetId="14" hidden="1">#REF!</definedName>
    <definedName name="_key99" localSheetId="13" hidden="1">#REF!</definedName>
    <definedName name="_key99" localSheetId="10" hidden="1">#REF!</definedName>
    <definedName name="_key99" localSheetId="9" hidden="1">#REF!</definedName>
    <definedName name="_key99" hidden="1">#REF!</definedName>
    <definedName name="_M" localSheetId="14">#REF!</definedName>
    <definedName name="_M" localSheetId="13">#REF!</definedName>
    <definedName name="_M">#REF!</definedName>
    <definedName name="_O" localSheetId="14">#REF!</definedName>
    <definedName name="_O" localSheetId="13">#REF!</definedName>
    <definedName name="_O">#REF!</definedName>
    <definedName name="_o1" localSheetId="14" hidden="1">{"det (May)",#N/A,FALSE,"June";"sum (MAY YTD)",#N/A,FALSE,"June YTD"}</definedName>
    <definedName name="_o1" localSheetId="13" hidden="1">{"det (May)",#N/A,FALSE,"June";"sum (MAY YTD)",#N/A,FALSE,"June YTD"}</definedName>
    <definedName name="_o1" localSheetId="11" hidden="1">{"det (May)",#N/A,FALSE,"June";"sum (MAY YTD)",#N/A,FALSE,"June YTD"}</definedName>
    <definedName name="_o1" localSheetId="10" hidden="1">{"det (May)",#N/A,FALSE,"June";"sum (MAY YTD)",#N/A,FALSE,"June YTD"}</definedName>
    <definedName name="_o1" localSheetId="9" hidden="1">{"det (May)",#N/A,FALSE,"June";"sum (MAY YTD)",#N/A,FALSE,"June YTD"}</definedName>
    <definedName name="_o1" localSheetId="1" hidden="1">{"det (May)",#N/A,FALSE,"June";"sum (MAY YTD)",#N/A,FALSE,"June YTD"}</definedName>
    <definedName name="_o1" localSheetId="2" hidden="1">{"det (May)",#N/A,FALSE,"June";"sum (MAY YTD)",#N/A,FALSE,"June YTD"}</definedName>
    <definedName name="_o1" localSheetId="5" hidden="1">{"det (May)",#N/A,FALSE,"June";"sum (MAY YTD)",#N/A,FALSE,"June YTD"}</definedName>
    <definedName name="_o1" localSheetId="6" hidden="1">{"det (May)",#N/A,FALSE,"June";"sum (MAY YTD)",#N/A,FALSE,"June YTD"}</definedName>
    <definedName name="_o1" localSheetId="3" hidden="1">{"det (May)",#N/A,FALSE,"June";"sum (MAY YTD)",#N/A,FALSE,"June YTD"}</definedName>
    <definedName name="_o1" localSheetId="4" hidden="1">{"det (May)",#N/A,FALSE,"June";"sum (MAY YTD)",#N/A,FALSE,"June YTD"}</definedName>
    <definedName name="_o1" localSheetId="7" hidden="1">{"det (May)",#N/A,FALSE,"June";"sum (MAY YTD)",#N/A,FALSE,"June YTD"}</definedName>
    <definedName name="_o1" localSheetId="8" hidden="1">{"det (May)",#N/A,FALSE,"June";"sum (MAY YTD)",#N/A,FALSE,"June YTD"}</definedName>
    <definedName name="_o1" hidden="1">{"det (May)",#N/A,FALSE,"June";"sum (MAY YTD)",#N/A,FALSE,"June YTD"}</definedName>
    <definedName name="_Order1" hidden="1">255</definedName>
    <definedName name="_Order2" hidden="1">0</definedName>
    <definedName name="_rv1" localSheetId="1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rv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_Sort" localSheetId="0" hidden="1">#REF!</definedName>
    <definedName name="_Sort" localSheetId="14" hidden="1">#REF!</definedName>
    <definedName name="_Sort" localSheetId="13" hidden="1">#REF!</definedName>
    <definedName name="_Sort" localSheetId="10" hidden="1">#REF!</definedName>
    <definedName name="_Sort" localSheetId="9" hidden="1">#REF!</definedName>
    <definedName name="_Sort" hidden="1">#REF!</definedName>
    <definedName name="_sort1" localSheetId="0" hidden="1">#REF!</definedName>
    <definedName name="_sort1" localSheetId="14" hidden="1">#REF!</definedName>
    <definedName name="_sort1" localSheetId="13" hidden="1">#REF!</definedName>
    <definedName name="_sort1" localSheetId="10" hidden="1">#REF!</definedName>
    <definedName name="_sort1" localSheetId="9" hidden="1">#REF!</definedName>
    <definedName name="_sort1" hidden="1">#REF!</definedName>
    <definedName name="_Table2_Out" localSheetId="14" hidden="1">#REF!</definedName>
    <definedName name="_Table2_Out" localSheetId="13" hidden="1">#REF!</definedName>
    <definedName name="_Table2_Out" hidden="1">#REF!</definedName>
    <definedName name="a" localSheetId="0" hidden="1">{"'Janeiro'!$A$1:$I$153"}</definedName>
    <definedName name="a" localSheetId="14" hidden="1">{"'Janeiro'!$A$1:$I$153"}</definedName>
    <definedName name="a" localSheetId="13" hidden="1">{"'Janeiro'!$A$1:$I$153"}</definedName>
    <definedName name="a" localSheetId="11" hidden="1">{"'Janeiro'!$A$1:$I$153"}</definedName>
    <definedName name="a" localSheetId="10" hidden="1">{"'Janeiro'!$A$1:$I$153"}</definedName>
    <definedName name="a" localSheetId="9" hidden="1">{"'Janeiro'!$A$1:$I$153"}</definedName>
    <definedName name="a" localSheetId="1" hidden="1">{"'Janeiro'!$A$1:$I$153"}</definedName>
    <definedName name="a" localSheetId="2" hidden="1">{"'Janeiro'!$A$1:$I$153"}</definedName>
    <definedName name="a" localSheetId="5" hidden="1">{"'Janeiro'!$A$1:$I$153"}</definedName>
    <definedName name="a" localSheetId="6" hidden="1">{"'Janeiro'!$A$1:$I$153"}</definedName>
    <definedName name="a" localSheetId="3" hidden="1">{"'Janeiro'!$A$1:$I$153"}</definedName>
    <definedName name="a" localSheetId="4" hidden="1">{"'Janeiro'!$A$1:$I$153"}</definedName>
    <definedName name="a" localSheetId="7" hidden="1">{"'Janeiro'!$A$1:$I$153"}</definedName>
    <definedName name="a" localSheetId="8" hidden="1">{"'Janeiro'!$A$1:$I$153"}</definedName>
    <definedName name="a" hidden="1">{"'Janeiro'!$A$1:$I$153"}</definedName>
    <definedName name="aaaa" localSheetId="14" hidden="1">{"det (May)",#N/A,FALSE,"June";"sum (MAY YTD)",#N/A,FALSE,"June YTD"}</definedName>
    <definedName name="aaaa" localSheetId="13" hidden="1">{"det (May)",#N/A,FALSE,"June";"sum (MAY YTD)",#N/A,FALSE,"June YTD"}</definedName>
    <definedName name="aaaa" localSheetId="11" hidden="1">{"det (May)",#N/A,FALSE,"June";"sum (MAY YTD)",#N/A,FALSE,"June YTD"}</definedName>
    <definedName name="aaaa" localSheetId="10" hidden="1">{"det (May)",#N/A,FALSE,"June";"sum (MAY YTD)",#N/A,FALSE,"June YTD"}</definedName>
    <definedName name="aaaa" localSheetId="9" hidden="1">{"det (May)",#N/A,FALSE,"June";"sum (MAY YTD)",#N/A,FALSE,"June YTD"}</definedName>
    <definedName name="aaaa" localSheetId="1" hidden="1">{"det (May)",#N/A,FALSE,"June";"sum (MAY YTD)",#N/A,FALSE,"June YTD"}</definedName>
    <definedName name="aaaa" localSheetId="2" hidden="1">{"det (May)",#N/A,FALSE,"June";"sum (MAY YTD)",#N/A,FALSE,"June YTD"}</definedName>
    <definedName name="aaaa" localSheetId="5" hidden="1">{"det (May)",#N/A,FALSE,"June";"sum (MAY YTD)",#N/A,FALSE,"June YTD"}</definedName>
    <definedName name="aaaa" localSheetId="6" hidden="1">{"det (May)",#N/A,FALSE,"June";"sum (MAY YTD)",#N/A,FALSE,"June YTD"}</definedName>
    <definedName name="aaaa" localSheetId="3" hidden="1">{"det (May)",#N/A,FALSE,"June";"sum (MAY YTD)",#N/A,FALSE,"June YTD"}</definedName>
    <definedName name="aaaa" localSheetId="4" hidden="1">{"det (May)",#N/A,FALSE,"June";"sum (MAY YTD)",#N/A,FALSE,"June YTD"}</definedName>
    <definedName name="aaaa" localSheetId="7" hidden="1">{"det (May)",#N/A,FALSE,"June";"sum (MAY YTD)",#N/A,FALSE,"June YTD"}</definedName>
    <definedName name="aaaa" localSheetId="8" hidden="1">{"det (May)",#N/A,FALSE,"June";"sum (MAY YTD)",#N/A,FALSE,"June YTD"}</definedName>
    <definedName name="aaaa" hidden="1">{"det (May)",#N/A,FALSE,"June";"sum (MAY YTD)",#N/A,FALSE,"June YTD"}</definedName>
    <definedName name="aaaaa" localSheetId="14" hidden="1">{"det (May)",#N/A,FALSE,"June";"sum (MAY YTD)",#N/A,FALSE,"June YTD"}</definedName>
    <definedName name="aaaaa" localSheetId="13" hidden="1">{"det (May)",#N/A,FALSE,"June";"sum (MAY YTD)",#N/A,FALSE,"June YTD"}</definedName>
    <definedName name="aaaaa" localSheetId="11" hidden="1">{"det (May)",#N/A,FALSE,"June";"sum (MAY YTD)",#N/A,FALSE,"June YTD"}</definedName>
    <definedName name="aaaaa" localSheetId="10" hidden="1">{"det (May)",#N/A,FALSE,"June";"sum (MAY YTD)",#N/A,FALSE,"June YTD"}</definedName>
    <definedName name="aaaaa" localSheetId="9" hidden="1">{"det (May)",#N/A,FALSE,"June";"sum (MAY YTD)",#N/A,FALSE,"June YTD"}</definedName>
    <definedName name="aaaaa" localSheetId="1" hidden="1">{"det (May)",#N/A,FALSE,"June";"sum (MAY YTD)",#N/A,FALSE,"June YTD"}</definedName>
    <definedName name="aaaaa" localSheetId="2" hidden="1">{"det (May)",#N/A,FALSE,"June";"sum (MAY YTD)",#N/A,FALSE,"June YTD"}</definedName>
    <definedName name="aaaaa" localSheetId="5" hidden="1">{"det (May)",#N/A,FALSE,"June";"sum (MAY YTD)",#N/A,FALSE,"June YTD"}</definedName>
    <definedName name="aaaaa" localSheetId="6" hidden="1">{"det (May)",#N/A,FALSE,"June";"sum (MAY YTD)",#N/A,FALSE,"June YTD"}</definedName>
    <definedName name="aaaaa" localSheetId="3" hidden="1">{"det (May)",#N/A,FALSE,"June";"sum (MAY YTD)",#N/A,FALSE,"June YTD"}</definedName>
    <definedName name="aaaaa" localSheetId="4" hidden="1">{"det (May)",#N/A,FALSE,"June";"sum (MAY YTD)",#N/A,FALSE,"June YTD"}</definedName>
    <definedName name="aaaaa" localSheetId="7" hidden="1">{"det (May)",#N/A,FALSE,"June";"sum (MAY YTD)",#N/A,FALSE,"June YTD"}</definedName>
    <definedName name="aaaaa" localSheetId="8" hidden="1">{"det (May)",#N/A,FALSE,"June";"sum (MAY YTD)",#N/A,FALSE,"June YTD"}</definedName>
    <definedName name="aaaaa" hidden="1">{"det (May)",#N/A,FALSE,"June";"sum (MAY YTD)",#N/A,FALSE,"June YTD"}</definedName>
    <definedName name="ANNA" localSheetId="14" hidden="1">{"det (May)",#N/A,FALSE,"June";"sum (MAY YTD)",#N/A,FALSE,"June YTD"}</definedName>
    <definedName name="ANNA" localSheetId="13" hidden="1">{"det (May)",#N/A,FALSE,"June";"sum (MAY YTD)",#N/A,FALSE,"June YTD"}</definedName>
    <definedName name="ANNA" localSheetId="11" hidden="1">{"det (May)",#N/A,FALSE,"June";"sum (MAY YTD)",#N/A,FALSE,"June YTD"}</definedName>
    <definedName name="ANNA" localSheetId="10" hidden="1">{"det (May)",#N/A,FALSE,"June";"sum (MAY YTD)",#N/A,FALSE,"June YTD"}</definedName>
    <definedName name="ANNA" localSheetId="9" hidden="1">{"det (May)",#N/A,FALSE,"June";"sum (MAY YTD)",#N/A,FALSE,"June YTD"}</definedName>
    <definedName name="ANNA" localSheetId="1" hidden="1">{"det (May)",#N/A,FALSE,"June";"sum (MAY YTD)",#N/A,FALSE,"June YTD"}</definedName>
    <definedName name="ANNA" localSheetId="2" hidden="1">{"det (May)",#N/A,FALSE,"June";"sum (MAY YTD)",#N/A,FALSE,"June YTD"}</definedName>
    <definedName name="ANNA" localSheetId="5" hidden="1">{"det (May)",#N/A,FALSE,"June";"sum (MAY YTD)",#N/A,FALSE,"June YTD"}</definedName>
    <definedName name="ANNA" localSheetId="6" hidden="1">{"det (May)",#N/A,FALSE,"June";"sum (MAY YTD)",#N/A,FALSE,"June YTD"}</definedName>
    <definedName name="ANNA" localSheetId="3" hidden="1">{"det (May)",#N/A,FALSE,"June";"sum (MAY YTD)",#N/A,FALSE,"June YTD"}</definedName>
    <definedName name="ANNA" localSheetId="4" hidden="1">{"det (May)",#N/A,FALSE,"June";"sum (MAY YTD)",#N/A,FALSE,"June YTD"}</definedName>
    <definedName name="ANNA" localSheetId="7" hidden="1">{"det (May)",#N/A,FALSE,"June";"sum (MAY YTD)",#N/A,FALSE,"June YTD"}</definedName>
    <definedName name="ANNA" localSheetId="8" hidden="1">{"det (May)",#N/A,FALSE,"June";"sum (MAY YTD)",#N/A,FALSE,"June YTD"}</definedName>
    <definedName name="ANNA" hidden="1">{"det (May)",#N/A,FALSE,"June";"sum (MAY YTD)",#N/A,FALSE,"June YTD"}</definedName>
    <definedName name="anscount" hidden="1">1</definedName>
    <definedName name="_xlnm.Print_Area" localSheetId="0">COVER!$A$1:$M$36</definedName>
    <definedName name="_xlnm.Print_Area" localSheetId="10">RÁDIO!$A$1:$E$97</definedName>
    <definedName name="_xlnm.Print_Area" localSheetId="9">'RÁDIO versão completa'!$A$1:$M$84</definedName>
    <definedName name="AS2DocOpenMode" hidden="1">"AS2DocumentBrowse"</definedName>
    <definedName name="aSa" localSheetId="0" hidden="1">#REF!</definedName>
    <definedName name="aSa" localSheetId="14" hidden="1">#REF!</definedName>
    <definedName name="aSa" localSheetId="13" hidden="1">#REF!</definedName>
    <definedName name="aSa" localSheetId="10" hidden="1">#REF!</definedName>
    <definedName name="aSa" localSheetId="9" hidden="1">#REF!</definedName>
    <definedName name="aSa" hidden="1">#REF!</definedName>
    <definedName name="asasdasd" localSheetId="0" hidden="1">#REF!</definedName>
    <definedName name="asasdasd" localSheetId="14" hidden="1">#REF!</definedName>
    <definedName name="asasdasd" localSheetId="13" hidden="1">#REF!</definedName>
    <definedName name="asasdasd" localSheetId="10" hidden="1">#REF!</definedName>
    <definedName name="asasdasd" localSheetId="9" hidden="1">#REF!</definedName>
    <definedName name="asasdasd" hidden="1">#REF!</definedName>
    <definedName name="asd" localSheetId="0" hidden="1">#REF!</definedName>
    <definedName name="asd" localSheetId="14" hidden="1">#REF!</definedName>
    <definedName name="asd" localSheetId="13" hidden="1">#REF!</definedName>
    <definedName name="asd" localSheetId="10" hidden="1">#REF!</definedName>
    <definedName name="asd" localSheetId="9" hidden="1">#REF!</definedName>
    <definedName name="asd" hidden="1">#REF!</definedName>
    <definedName name="B" localSheetId="0" hidden="1">#REF!</definedName>
    <definedName name="B" localSheetId="14" hidden="1">#REF!</definedName>
    <definedName name="B" localSheetId="13" hidden="1">#REF!</definedName>
    <definedName name="B" localSheetId="10" hidden="1">#REF!</definedName>
    <definedName name="B" localSheetId="9" hidden="1">#REF!</definedName>
    <definedName name="B" hidden="1">#REF!</definedName>
    <definedName name="B.IV.r" localSheetId="14" hidden="1">{"det (May)",#N/A,FALSE,"June";"sum (MAY YTD)",#N/A,FALSE,"June YTD"}</definedName>
    <definedName name="B.IV.r" localSheetId="13" hidden="1">{"det (May)",#N/A,FALSE,"June";"sum (MAY YTD)",#N/A,FALSE,"June YTD"}</definedName>
    <definedName name="B.IV.r" localSheetId="11" hidden="1">{"det (May)",#N/A,FALSE,"June";"sum (MAY YTD)",#N/A,FALSE,"June YTD"}</definedName>
    <definedName name="B.IV.r" localSheetId="10" hidden="1">{"det (May)",#N/A,FALSE,"June";"sum (MAY YTD)",#N/A,FALSE,"June YTD"}</definedName>
    <definedName name="B.IV.r" localSheetId="9" hidden="1">{"det (May)",#N/A,FALSE,"June";"sum (MAY YTD)",#N/A,FALSE,"June YTD"}</definedName>
    <definedName name="B.IV.r" localSheetId="1" hidden="1">{"det (May)",#N/A,FALSE,"June";"sum (MAY YTD)",#N/A,FALSE,"June YTD"}</definedName>
    <definedName name="B.IV.r" localSheetId="2" hidden="1">{"det (May)",#N/A,FALSE,"June";"sum (MAY YTD)",#N/A,FALSE,"June YTD"}</definedName>
    <definedName name="B.IV.r" localSheetId="5" hidden="1">{"det (May)",#N/A,FALSE,"June";"sum (MAY YTD)",#N/A,FALSE,"June YTD"}</definedName>
    <definedName name="B.IV.r" localSheetId="6" hidden="1">{"det (May)",#N/A,FALSE,"June";"sum (MAY YTD)",#N/A,FALSE,"June YTD"}</definedName>
    <definedName name="B.IV.r" localSheetId="3" hidden="1">{"det (May)",#N/A,FALSE,"June";"sum (MAY YTD)",#N/A,FALSE,"June YTD"}</definedName>
    <definedName name="B.IV.r" localSheetId="4" hidden="1">{"det (May)",#N/A,FALSE,"June";"sum (MAY YTD)",#N/A,FALSE,"June YTD"}</definedName>
    <definedName name="B.IV.r" localSheetId="7" hidden="1">{"det (May)",#N/A,FALSE,"June";"sum (MAY YTD)",#N/A,FALSE,"June YTD"}</definedName>
    <definedName name="B.IV.r" localSheetId="8" hidden="1">{"det (May)",#N/A,FALSE,"June";"sum (MAY YTD)",#N/A,FALSE,"June YTD"}</definedName>
    <definedName name="B.IV.r" hidden="1">{"det (May)",#N/A,FALSE,"June";"sum (MAY YTD)",#N/A,FALSE,"June YTD"}</definedName>
    <definedName name="B.IV.r.SBC" localSheetId="14" hidden="1">{"det (May)",#N/A,FALSE,"June";"sum (MAY YTD)",#N/A,FALSE,"June YTD"}</definedName>
    <definedName name="B.IV.r.SBC" localSheetId="13" hidden="1">{"det (May)",#N/A,FALSE,"June";"sum (MAY YTD)",#N/A,FALSE,"June YTD"}</definedName>
    <definedName name="B.IV.r.SBC" localSheetId="11" hidden="1">{"det (May)",#N/A,FALSE,"June";"sum (MAY YTD)",#N/A,FALSE,"June YTD"}</definedName>
    <definedName name="B.IV.r.SBC" localSheetId="10" hidden="1">{"det (May)",#N/A,FALSE,"June";"sum (MAY YTD)",#N/A,FALSE,"June YTD"}</definedName>
    <definedName name="B.IV.r.SBC" localSheetId="9" hidden="1">{"det (May)",#N/A,FALSE,"June";"sum (MAY YTD)",#N/A,FALSE,"June YTD"}</definedName>
    <definedName name="B.IV.r.SBC" localSheetId="1" hidden="1">{"det (May)",#N/A,FALSE,"June";"sum (MAY YTD)",#N/A,FALSE,"June YTD"}</definedName>
    <definedName name="B.IV.r.SBC" localSheetId="2" hidden="1">{"det (May)",#N/A,FALSE,"June";"sum (MAY YTD)",#N/A,FALSE,"June YTD"}</definedName>
    <definedName name="B.IV.r.SBC" localSheetId="5" hidden="1">{"det (May)",#N/A,FALSE,"June";"sum (MAY YTD)",#N/A,FALSE,"June YTD"}</definedName>
    <definedName name="B.IV.r.SBC" localSheetId="6" hidden="1">{"det (May)",#N/A,FALSE,"June";"sum (MAY YTD)",#N/A,FALSE,"June YTD"}</definedName>
    <definedName name="B.IV.r.SBC" localSheetId="3" hidden="1">{"det (May)",#N/A,FALSE,"June";"sum (MAY YTD)",#N/A,FALSE,"June YTD"}</definedName>
    <definedName name="B.IV.r.SBC" localSheetId="4" hidden="1">{"det (May)",#N/A,FALSE,"June";"sum (MAY YTD)",#N/A,FALSE,"June YTD"}</definedName>
    <definedName name="B.IV.r.SBC" localSheetId="7" hidden="1">{"det (May)",#N/A,FALSE,"June";"sum (MAY YTD)",#N/A,FALSE,"June YTD"}</definedName>
    <definedName name="B.IV.r.SBC" localSheetId="8" hidden="1">{"det (May)",#N/A,FALSE,"June";"sum (MAY YTD)",#N/A,FALSE,"June YTD"}</definedName>
    <definedName name="B.IV.r.SBC" hidden="1">{"det (May)",#N/A,FALSE,"June";"sum (MAY YTD)",#N/A,FALSE,"June YTD"}</definedName>
    <definedName name="bhub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hub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bi" localSheetId="0" hidden="1">#REF!</definedName>
    <definedName name="bi" localSheetId="14" hidden="1">#REF!</definedName>
    <definedName name="bi" localSheetId="13" hidden="1">#REF!</definedName>
    <definedName name="bi" localSheetId="10" hidden="1">#REF!</definedName>
    <definedName name="bi" localSheetId="9" hidden="1">#REF!</definedName>
    <definedName name="bi" hidden="1">#REF!</definedName>
    <definedName name="blb" localSheetId="14" hidden="1">{"det (May)",#N/A,FALSE,"June";"sum (MAY YTD)",#N/A,FALSE,"June YTD"}</definedName>
    <definedName name="blb" localSheetId="13" hidden="1">{"det (May)",#N/A,FALSE,"June";"sum (MAY YTD)",#N/A,FALSE,"June YTD"}</definedName>
    <definedName name="blb" localSheetId="11" hidden="1">{"det (May)",#N/A,FALSE,"June";"sum (MAY YTD)",#N/A,FALSE,"June YTD"}</definedName>
    <definedName name="blb" localSheetId="10" hidden="1">{"det (May)",#N/A,FALSE,"June";"sum (MAY YTD)",#N/A,FALSE,"June YTD"}</definedName>
    <definedName name="blb" localSheetId="9" hidden="1">{"det (May)",#N/A,FALSE,"June";"sum (MAY YTD)",#N/A,FALSE,"June YTD"}</definedName>
    <definedName name="blb" localSheetId="1" hidden="1">{"det (May)",#N/A,FALSE,"June";"sum (MAY YTD)",#N/A,FALSE,"June YTD"}</definedName>
    <definedName name="blb" localSheetId="2" hidden="1">{"det (May)",#N/A,FALSE,"June";"sum (MAY YTD)",#N/A,FALSE,"June YTD"}</definedName>
    <definedName name="blb" localSheetId="5" hidden="1">{"det (May)",#N/A,FALSE,"June";"sum (MAY YTD)",#N/A,FALSE,"June YTD"}</definedName>
    <definedName name="blb" localSheetId="6" hidden="1">{"det (May)",#N/A,FALSE,"June";"sum (MAY YTD)",#N/A,FALSE,"June YTD"}</definedName>
    <definedName name="blb" localSheetId="3" hidden="1">{"det (May)",#N/A,FALSE,"June";"sum (MAY YTD)",#N/A,FALSE,"June YTD"}</definedName>
    <definedName name="blb" localSheetId="4" hidden="1">{"det (May)",#N/A,FALSE,"June";"sum (MAY YTD)",#N/A,FALSE,"June YTD"}</definedName>
    <definedName name="blb" localSheetId="7" hidden="1">{"det (May)",#N/A,FALSE,"June";"sum (MAY YTD)",#N/A,FALSE,"June YTD"}</definedName>
    <definedName name="blb" localSheetId="8" hidden="1">{"det (May)",#N/A,FALSE,"June";"sum (MAY YTD)",#N/A,FALSE,"June YTD"}</definedName>
    <definedName name="blb" hidden="1">{"det (May)",#N/A,FALSE,"June";"sum (MAY YTD)",#N/A,FALSE,"June YTD"}</definedName>
    <definedName name="BLPH1" hidden="1">'[2]Brazil Sovereign'!#REF!</definedName>
    <definedName name="BLPH2" hidden="1">'[3]Share Price 2002'!#REF!</definedName>
    <definedName name="BLPH3" localSheetId="14" hidden="1">#REF!</definedName>
    <definedName name="BLPH3" localSheetId="13" hidden="1">#REF!</definedName>
    <definedName name="BLPH3" hidden="1">#REF!</definedName>
    <definedName name="book" localSheetId="14" hidden="1">{"det (May)",#N/A,FALSE,"June";"sum (MAY YTD)",#N/A,FALSE,"June YTD"}</definedName>
    <definedName name="book" localSheetId="13" hidden="1">{"det (May)",#N/A,FALSE,"June";"sum (MAY YTD)",#N/A,FALSE,"June YTD"}</definedName>
    <definedName name="book" localSheetId="11" hidden="1">{"det (May)",#N/A,FALSE,"June";"sum (MAY YTD)",#N/A,FALSE,"June YTD"}</definedName>
    <definedName name="book" localSheetId="10" hidden="1">{"det (May)",#N/A,FALSE,"June";"sum (MAY YTD)",#N/A,FALSE,"June YTD"}</definedName>
    <definedName name="book" localSheetId="9" hidden="1">{"det (May)",#N/A,FALSE,"June";"sum (MAY YTD)",#N/A,FALSE,"June YTD"}</definedName>
    <definedName name="book" localSheetId="1" hidden="1">{"det (May)",#N/A,FALSE,"June";"sum (MAY YTD)",#N/A,FALSE,"June YTD"}</definedName>
    <definedName name="book" localSheetId="2" hidden="1">{"det (May)",#N/A,FALSE,"June";"sum (MAY YTD)",#N/A,FALSE,"June YTD"}</definedName>
    <definedName name="book" localSheetId="5" hidden="1">{"det (May)",#N/A,FALSE,"June";"sum (MAY YTD)",#N/A,FALSE,"June YTD"}</definedName>
    <definedName name="book" localSheetId="6" hidden="1">{"det (May)",#N/A,FALSE,"June";"sum (MAY YTD)",#N/A,FALSE,"June YTD"}</definedName>
    <definedName name="book" localSheetId="3" hidden="1">{"det (May)",#N/A,FALSE,"June";"sum (MAY YTD)",#N/A,FALSE,"June YTD"}</definedName>
    <definedName name="book" localSheetId="4" hidden="1">{"det (May)",#N/A,FALSE,"June";"sum (MAY YTD)",#N/A,FALSE,"June YTD"}</definedName>
    <definedName name="book" localSheetId="7" hidden="1">{"det (May)",#N/A,FALSE,"June";"sum (MAY YTD)",#N/A,FALSE,"June YTD"}</definedName>
    <definedName name="book" localSheetId="8" hidden="1">{"det (May)",#N/A,FALSE,"June";"sum (MAY YTD)",#N/A,FALSE,"June YTD"}</definedName>
    <definedName name="book" hidden="1">{"det (May)",#N/A,FALSE,"June";"sum (MAY YTD)",#N/A,FALSE,"June YTD"}</definedName>
    <definedName name="C_" localSheetId="14">#REF!</definedName>
    <definedName name="C_" localSheetId="13">#REF!</definedName>
    <definedName name="C_">#REF!</definedName>
    <definedName name="CACHE">'[4]Conversão-Mercha'!$A$57:$I$112</definedName>
    <definedName name="CACHESEL1">'[4]Conversão-Mercha'!$M$59:$M$72</definedName>
    <definedName name="CACHESEL10">'[4]Conversão-Mercha'!$V$59:$V$72</definedName>
    <definedName name="CACHESEL2">'[4]Conversão-Mercha'!$N$59:$N$72</definedName>
    <definedName name="CACHESEL3">'[4]Conversão-Mercha'!$O$59:$O$72</definedName>
    <definedName name="CACHESEL4">'[4]Conversão-Mercha'!$P$59:$P$72</definedName>
    <definedName name="CACHESEL5">'[4]Conversão-Mercha'!$Q$59:$Q$72</definedName>
    <definedName name="CACHESEL6">'[4]Conversão-Mercha'!$R$59:$R$72</definedName>
    <definedName name="CACHESEL7">'[4]Conversão-Mercha'!$S$59:$S$72</definedName>
    <definedName name="CACHESEL8">'[4]Conversão-Mercha'!$T$59:$T$72</definedName>
    <definedName name="CACHESEL9">'[4]Conversão-Mercha'!$U$59:$U$72</definedName>
    <definedName name="CALENDARIO">'[4]Conversão-Mercha'!$B$119:$B$132</definedName>
    <definedName name="CAMP" localSheetId="14">#REF!</definedName>
    <definedName name="CAMP" localSheetId="13">#REF!</definedName>
    <definedName name="CAMP">#REF!</definedName>
    <definedName name="Capa" localSheetId="14" hidden="1">#REF!</definedName>
    <definedName name="Capa" localSheetId="13" hidden="1">#REF!</definedName>
    <definedName name="Capa" hidden="1">#REF!</definedName>
    <definedName name="Capanova" localSheetId="0" hidden="1">#REF!</definedName>
    <definedName name="Capanova" localSheetId="14" hidden="1">#REF!</definedName>
    <definedName name="Capanova" localSheetId="13" hidden="1">#REF!</definedName>
    <definedName name="Capanova" localSheetId="10" hidden="1">#REF!</definedName>
    <definedName name="Capanova" localSheetId="9" hidden="1">#REF!</definedName>
    <definedName name="Capanova" hidden="1">#REF!</definedName>
    <definedName name="CAPTURA2" localSheetId="14" hidden="1">{"'171'!$A$1:$Z$50"}</definedName>
    <definedName name="CAPTURA2" localSheetId="13" hidden="1">{"'171'!$A$1:$Z$50"}</definedName>
    <definedName name="CAPTURA2" localSheetId="11" hidden="1">{"'171'!$A$1:$Z$50"}</definedName>
    <definedName name="CAPTURA2" localSheetId="10" hidden="1">{"'171'!$A$1:$Z$50"}</definedName>
    <definedName name="CAPTURA2" localSheetId="9" hidden="1">{"'171'!$A$1:$Z$50"}</definedName>
    <definedName name="CAPTURA2" localSheetId="1" hidden="1">{"'171'!$A$1:$Z$50"}</definedName>
    <definedName name="CAPTURA2" localSheetId="2" hidden="1">{"'171'!$A$1:$Z$50"}</definedName>
    <definedName name="CAPTURA2" localSheetId="5" hidden="1">{"'171'!$A$1:$Z$50"}</definedName>
    <definedName name="CAPTURA2" localSheetId="6" hidden="1">{"'171'!$A$1:$Z$50"}</definedName>
    <definedName name="CAPTURA2" localSheetId="3" hidden="1">{"'171'!$A$1:$Z$50"}</definedName>
    <definedName name="CAPTURA2" localSheetId="4" hidden="1">{"'171'!$A$1:$Z$50"}</definedName>
    <definedName name="CAPTURA2" localSheetId="7" hidden="1">{"'171'!$A$1:$Z$50"}</definedName>
    <definedName name="CAPTURA2" localSheetId="8" hidden="1">{"'171'!$A$1:$Z$50"}</definedName>
    <definedName name="CAPTURA2" hidden="1">{"'171'!$A$1:$Z$50"}</definedName>
    <definedName name="CAX">'[4]base TV'!#REF!</definedName>
    <definedName name="cc" localSheetId="0" hidden="1">#REF!</definedName>
    <definedName name="cc" localSheetId="14" hidden="1">#REF!</definedName>
    <definedName name="cc" localSheetId="13" hidden="1">#REF!</definedName>
    <definedName name="cc" localSheetId="10" hidden="1">#REF!</definedName>
    <definedName name="cc" localSheetId="9" hidden="1">#REF!</definedName>
    <definedName name="cc" hidden="1">#REF!</definedName>
    <definedName name="cf" localSheetId="14" hidden="1">{#N/A,#N/A,FALSE,"TOTAL"}</definedName>
    <definedName name="cf" localSheetId="13" hidden="1">{#N/A,#N/A,FALSE,"TOTAL"}</definedName>
    <definedName name="cf" localSheetId="11" hidden="1">{#N/A,#N/A,FALSE,"TOTAL"}</definedName>
    <definedName name="cf" localSheetId="10" hidden="1">{#N/A,#N/A,FALSE,"TOTAL"}</definedName>
    <definedName name="cf" localSheetId="9" hidden="1">{#N/A,#N/A,FALSE,"TOTAL"}</definedName>
    <definedName name="cf" localSheetId="1" hidden="1">{#N/A,#N/A,FALSE,"TOTAL"}</definedName>
    <definedName name="cf" localSheetId="2" hidden="1">{#N/A,#N/A,FALSE,"TOTAL"}</definedName>
    <definedName name="cf" localSheetId="5" hidden="1">{#N/A,#N/A,FALSE,"TOTAL"}</definedName>
    <definedName name="cf" localSheetId="6" hidden="1">{#N/A,#N/A,FALSE,"TOTAL"}</definedName>
    <definedName name="cf" localSheetId="3" hidden="1">{#N/A,#N/A,FALSE,"TOTAL"}</definedName>
    <definedName name="cf" localSheetId="4" hidden="1">{#N/A,#N/A,FALSE,"TOTAL"}</definedName>
    <definedName name="cf" localSheetId="7" hidden="1">{#N/A,#N/A,FALSE,"TOTAL"}</definedName>
    <definedName name="cf" localSheetId="8" hidden="1">{#N/A,#N/A,FALSE,"TOTAL"}</definedName>
    <definedName name="cf" hidden="1">{#N/A,#N/A,FALSE,"TOTAL"}</definedName>
    <definedName name="cinema" localSheetId="14" hidden="1">#REF!</definedName>
    <definedName name="cinema" localSheetId="13" hidden="1">#REF!</definedName>
    <definedName name="cinema" hidden="1">#REF!</definedName>
    <definedName name="CLIENTE" localSheetId="14">#REF!</definedName>
    <definedName name="CLIENTE" localSheetId="13">#REF!</definedName>
    <definedName name="CLIENTE">#REF!</definedName>
    <definedName name="crono" localSheetId="14" hidden="1">{"'crono'!$U$12:$W$20"}</definedName>
    <definedName name="crono" localSheetId="13" hidden="1">{"'crono'!$U$12:$W$20"}</definedName>
    <definedName name="crono" localSheetId="11" hidden="1">{"'crono'!$U$12:$W$20"}</definedName>
    <definedName name="crono" localSheetId="10" hidden="1">{"'crono'!$U$12:$W$20"}</definedName>
    <definedName name="crono" localSheetId="9" hidden="1">{"'crono'!$U$12:$W$20"}</definedName>
    <definedName name="crono" localSheetId="1" hidden="1">{"'crono'!$U$12:$W$20"}</definedName>
    <definedName name="crono" localSheetId="2" hidden="1">{"'crono'!$U$12:$W$20"}</definedName>
    <definedName name="crono" localSheetId="5" hidden="1">{"'crono'!$U$12:$W$20"}</definedName>
    <definedName name="crono" localSheetId="6" hidden="1">{"'crono'!$U$12:$W$20"}</definedName>
    <definedName name="crono" localSheetId="3" hidden="1">{"'crono'!$U$12:$W$20"}</definedName>
    <definedName name="crono" localSheetId="4" hidden="1">{"'crono'!$U$12:$W$20"}</definedName>
    <definedName name="crono" localSheetId="7" hidden="1">{"'crono'!$U$12:$W$20"}</definedName>
    <definedName name="crono" localSheetId="8" hidden="1">{"'crono'!$U$12:$W$20"}</definedName>
    <definedName name="crono" hidden="1">{"'crono'!$U$12:$W$20"}</definedName>
    <definedName name="CURVA2" localSheetId="14" hidden="1">{"'171'!$A$1:$Z$50"}</definedName>
    <definedName name="CURVA2" localSheetId="13" hidden="1">{"'171'!$A$1:$Z$50"}</definedName>
    <definedName name="CURVA2" localSheetId="11" hidden="1">{"'171'!$A$1:$Z$50"}</definedName>
    <definedName name="CURVA2" localSheetId="10" hidden="1">{"'171'!$A$1:$Z$50"}</definedName>
    <definedName name="CURVA2" localSheetId="9" hidden="1">{"'171'!$A$1:$Z$50"}</definedName>
    <definedName name="CURVA2" localSheetId="1" hidden="1">{"'171'!$A$1:$Z$50"}</definedName>
    <definedName name="CURVA2" localSheetId="2" hidden="1">{"'171'!$A$1:$Z$50"}</definedName>
    <definedName name="CURVA2" localSheetId="5" hidden="1">{"'171'!$A$1:$Z$50"}</definedName>
    <definedName name="CURVA2" localSheetId="6" hidden="1">{"'171'!$A$1:$Z$50"}</definedName>
    <definedName name="CURVA2" localSheetId="3" hidden="1">{"'171'!$A$1:$Z$50"}</definedName>
    <definedName name="CURVA2" localSheetId="4" hidden="1">{"'171'!$A$1:$Z$50"}</definedName>
    <definedName name="CURVA2" localSheetId="7" hidden="1">{"'171'!$A$1:$Z$50"}</definedName>
    <definedName name="CURVA2" localSheetId="8" hidden="1">{"'171'!$A$1:$Z$50"}</definedName>
    <definedName name="CURVA2" hidden="1">{"'171'!$A$1:$Z$50"}</definedName>
    <definedName name="DocumentDate">#N/A</definedName>
    <definedName name="DocumentYear" localSheetId="10">#N/A</definedName>
    <definedName name="DocumentYear" localSheetId="9">#N/A</definedName>
    <definedName name="DocumentYear">#N/A</definedName>
    <definedName name="DONO">'[4]Conversão-Mercha'!#REF!</definedName>
    <definedName name="dsds" localSheetId="0" hidden="1">#REF!</definedName>
    <definedName name="dsds" localSheetId="14" hidden="1">#REF!</definedName>
    <definedName name="dsds" localSheetId="13" hidden="1">#REF!</definedName>
    <definedName name="dsds" localSheetId="10" hidden="1">#REF!</definedName>
    <definedName name="dsds" localSheetId="9" hidden="1">#REF!</definedName>
    <definedName name="dsds" hidden="1">#REF!</definedName>
    <definedName name="DZVVDS" localSheetId="14" hidden="1">#REF!</definedName>
    <definedName name="DZVVDS" localSheetId="13" hidden="1">#REF!</definedName>
    <definedName name="DZVVDS" hidden="1">#REF!</definedName>
    <definedName name="ee" localSheetId="14" hidden="1">{"det (May)",#N/A,FALSE,"June";"sum (MAY YTD)",#N/A,FALSE,"June YTD"}</definedName>
    <definedName name="ee" localSheetId="13" hidden="1">{"det (May)",#N/A,FALSE,"June";"sum (MAY YTD)",#N/A,FALSE,"June YTD"}</definedName>
    <definedName name="ee" localSheetId="11" hidden="1">{"det (May)",#N/A,FALSE,"June";"sum (MAY YTD)",#N/A,FALSE,"June YTD"}</definedName>
    <definedName name="ee" localSheetId="10" hidden="1">{"det (May)",#N/A,FALSE,"June";"sum (MAY YTD)",#N/A,FALSE,"June YTD"}</definedName>
    <definedName name="ee" localSheetId="9" hidden="1">{"det (May)",#N/A,FALSE,"June";"sum (MAY YTD)",#N/A,FALSE,"June YTD"}</definedName>
    <definedName name="ee" localSheetId="1" hidden="1">{"det (May)",#N/A,FALSE,"June";"sum (MAY YTD)",#N/A,FALSE,"June YTD"}</definedName>
    <definedName name="ee" localSheetId="2" hidden="1">{"det (May)",#N/A,FALSE,"June";"sum (MAY YTD)",#N/A,FALSE,"June YTD"}</definedName>
    <definedName name="ee" localSheetId="5" hidden="1">{"det (May)",#N/A,FALSE,"June";"sum (MAY YTD)",#N/A,FALSE,"June YTD"}</definedName>
    <definedName name="ee" localSheetId="6" hidden="1">{"det (May)",#N/A,FALSE,"June";"sum (MAY YTD)",#N/A,FALSE,"June YTD"}</definedName>
    <definedName name="ee" localSheetId="3" hidden="1">{"det (May)",#N/A,FALSE,"June";"sum (MAY YTD)",#N/A,FALSE,"June YTD"}</definedName>
    <definedName name="ee" localSheetId="4" hidden="1">{"det (May)",#N/A,FALSE,"June";"sum (MAY YTD)",#N/A,FALSE,"June YTD"}</definedName>
    <definedName name="ee" localSheetId="7" hidden="1">{"det (May)",#N/A,FALSE,"June";"sum (MAY YTD)",#N/A,FALSE,"June YTD"}</definedName>
    <definedName name="ee" localSheetId="8" hidden="1">{"det (May)",#N/A,FALSE,"June";"sum (MAY YTD)",#N/A,FALSE,"June YTD"}</definedName>
    <definedName name="ee" hidden="1">{"det (May)",#N/A,FALSE,"June";"sum (MAY YTD)",#N/A,FALSE,"June YTD"}</definedName>
    <definedName name="ef" localSheetId="14" hidden="1">#REF!</definedName>
    <definedName name="ef" localSheetId="13" hidden="1">#REF!</definedName>
    <definedName name="ef" hidden="1">#REF!</definedName>
    <definedName name="Equatorial" localSheetId="14" hidden="1">{#N/A,#N/A,FALSE,"TOTAL"}</definedName>
    <definedName name="Equatorial" localSheetId="13" hidden="1">{#N/A,#N/A,FALSE,"TOTAL"}</definedName>
    <definedName name="Equatorial" localSheetId="11" hidden="1">{#N/A,#N/A,FALSE,"TOTAL"}</definedName>
    <definedName name="Equatorial" localSheetId="10" hidden="1">{#N/A,#N/A,FALSE,"TOTAL"}</definedName>
    <definedName name="Equatorial" localSheetId="9" hidden="1">{#N/A,#N/A,FALSE,"TOTAL"}</definedName>
    <definedName name="Equatorial" localSheetId="1" hidden="1">{#N/A,#N/A,FALSE,"TOTAL"}</definedName>
    <definedName name="Equatorial" localSheetId="2" hidden="1">{#N/A,#N/A,FALSE,"TOTAL"}</definedName>
    <definedName name="Equatorial" localSheetId="5" hidden="1">{#N/A,#N/A,FALSE,"TOTAL"}</definedName>
    <definedName name="Equatorial" localSheetId="6" hidden="1">{#N/A,#N/A,FALSE,"TOTAL"}</definedName>
    <definedName name="Equatorial" localSheetId="3" hidden="1">{#N/A,#N/A,FALSE,"TOTAL"}</definedName>
    <definedName name="Equatorial" localSheetId="4" hidden="1">{#N/A,#N/A,FALSE,"TOTAL"}</definedName>
    <definedName name="Equatorial" localSheetId="7" hidden="1">{#N/A,#N/A,FALSE,"TOTAL"}</definedName>
    <definedName name="Equatorial" localSheetId="8" hidden="1">{#N/A,#N/A,FALSE,"TOTAL"}</definedName>
    <definedName name="Equatorial" hidden="1">{#N/A,#N/A,FALSE,"TOTAL"}</definedName>
    <definedName name="er" localSheetId="14" hidden="1">#REF!</definedName>
    <definedName name="er" localSheetId="13" hidden="1">#REF!</definedName>
    <definedName name="er" hidden="1">#REF!</definedName>
    <definedName name="erbg" localSheetId="14" hidden="1">#REF!</definedName>
    <definedName name="erbg" localSheetId="13" hidden="1">#REF!</definedName>
    <definedName name="erbg" hidden="1">#REF!</definedName>
    <definedName name="ergb" localSheetId="14" hidden="1">#REF!</definedName>
    <definedName name="ergb" localSheetId="13" hidden="1">#REF!</definedName>
    <definedName name="ergb" hidden="1">#REF!</definedName>
    <definedName name="Excel_BuiltIn__FilterDatabase_10">[5]GERAÇÃO!#REF!</definedName>
    <definedName name="Excel_BuiltIn__FilterDatabase_10_1">NA()</definedName>
    <definedName name="Excel_BuiltIn__FilterDatabase_10_10" localSheetId="14">#REF!</definedName>
    <definedName name="Excel_BuiltIn__FilterDatabase_10_10" localSheetId="13">#REF!</definedName>
    <definedName name="Excel_BuiltIn__FilterDatabase_10_10">#REF!</definedName>
    <definedName name="Excel_BuiltIn__FilterDatabase_10_10_1">NA()</definedName>
    <definedName name="Excel_BuiltIn__FilterDatabase_10_10_2">NA()</definedName>
    <definedName name="Excel_BuiltIn__FilterDatabase_10_10_2_1">NA()</definedName>
    <definedName name="Excel_BuiltIn__FilterDatabase_10_10_9">NA()</definedName>
    <definedName name="Excel_BuiltIn__FilterDatabase_10_13">#N/A</definedName>
    <definedName name="Excel_BuiltIn__FilterDatabase_10_13_1">NA()</definedName>
    <definedName name="Excel_BuiltIn__FilterDatabase_10_13_2">NA()</definedName>
    <definedName name="Excel_BuiltIn__FilterDatabase_10_9" localSheetId="14">#REF!</definedName>
    <definedName name="Excel_BuiltIn__FilterDatabase_10_9" localSheetId="13">#REF!</definedName>
    <definedName name="Excel_BuiltIn__FilterDatabase_10_9">#REF!</definedName>
    <definedName name="Excel_BuiltIn__FilterDatabase_10_9_1">NA()</definedName>
    <definedName name="Excel_BuiltIn__FilterDatabase_10_9_1_1">NA()</definedName>
    <definedName name="Excel_BuiltIn__FilterDatabase_10_9_1_1_1">NA()</definedName>
    <definedName name="Excel_BuiltIn__FilterDatabase_10_9_9">NA()</definedName>
    <definedName name="Excel_BuiltIn__FilterDatabase_4" localSheetId="14">#REF!</definedName>
    <definedName name="Excel_BuiltIn__FilterDatabase_4" localSheetId="13">#REF!</definedName>
    <definedName name="Excel_BuiltIn__FilterDatabase_4">#REF!</definedName>
    <definedName name="Excel_BuiltIn__FilterDatabase_5" localSheetId="14">#REF!</definedName>
    <definedName name="Excel_BuiltIn__FilterDatabase_5" localSheetId="13">#REF!</definedName>
    <definedName name="Excel_BuiltIn__FilterDatabase_5">#REF!</definedName>
    <definedName name="Excel_BuiltIn__FilterDatabase_6" localSheetId="14">#REF!</definedName>
    <definedName name="Excel_BuiltIn__FilterDatabase_6" localSheetId="13">#REF!</definedName>
    <definedName name="Excel_BuiltIn__FilterDatabase_6">#REF!</definedName>
    <definedName name="Excel_BuiltIn__FilterDatabase_7" localSheetId="14">#REF!</definedName>
    <definedName name="Excel_BuiltIn__FilterDatabase_7" localSheetId="13">#REF!</definedName>
    <definedName name="Excel_BuiltIn__FilterDatabase_7">#REF!</definedName>
    <definedName name="Excel_BuiltIn__FilterDatabase_8" localSheetId="14">#REF!</definedName>
    <definedName name="Excel_BuiltIn__FilterDatabase_8" localSheetId="13">#REF!</definedName>
    <definedName name="Excel_BuiltIn__FilterDatabase_8">#REF!</definedName>
    <definedName name="Excel_BuiltIn_Print_Area_6_1" localSheetId="14">#REF!</definedName>
    <definedName name="Excel_BuiltIn_Print_Area_6_1" localSheetId="13">#REF!</definedName>
    <definedName name="Excel_BuiltIn_Print_Area_6_1">#REF!</definedName>
    <definedName name="Excel_BuiltIn_Print_Area_8_1" localSheetId="14">#REF!</definedName>
    <definedName name="Excel_BuiltIn_Print_Area_8_1" localSheetId="13">#REF!</definedName>
    <definedName name="Excel_BuiltIn_Print_Area_8_1">#REF!</definedName>
    <definedName name="F" localSheetId="0" hidden="1">#REF!</definedName>
    <definedName name="F" localSheetId="14" hidden="1">#REF!</definedName>
    <definedName name="F" localSheetId="13" hidden="1">#REF!</definedName>
    <definedName name="F" localSheetId="10" hidden="1">#REF!</definedName>
    <definedName name="F" localSheetId="9" hidden="1">#REF!</definedName>
    <definedName name="F" hidden="1">#REF!</definedName>
    <definedName name="fd" localSheetId="14" hidden="1">#REF!</definedName>
    <definedName name="fd" localSheetId="13" hidden="1">#REF!</definedName>
    <definedName name="fd" hidden="1">#REF!</definedName>
    <definedName name="fdhgxd" localSheetId="0" hidden="1">#REF!</definedName>
    <definedName name="fdhgxd" localSheetId="14" hidden="1">#REF!</definedName>
    <definedName name="fdhgxd" localSheetId="13" hidden="1">#REF!</definedName>
    <definedName name="fdhgxd" localSheetId="10" hidden="1">#REF!</definedName>
    <definedName name="fdhgxd" localSheetId="9" hidden="1">#REF!</definedName>
    <definedName name="fdhgxd" hidden="1">#REF!</definedName>
    <definedName name="FEVEREIRO" localSheetId="14" hidden="1">{"'crono'!$U$12:$W$20"}</definedName>
    <definedName name="FEVEREIRO" localSheetId="13" hidden="1">{"'crono'!$U$12:$W$20"}</definedName>
    <definedName name="FEVEREIRO" localSheetId="11" hidden="1">{"'crono'!$U$12:$W$20"}</definedName>
    <definedName name="FEVEREIRO" localSheetId="10" hidden="1">{"'crono'!$U$12:$W$20"}</definedName>
    <definedName name="FEVEREIRO" localSheetId="9" hidden="1">{"'crono'!$U$12:$W$20"}</definedName>
    <definedName name="FEVEREIRO" localSheetId="1" hidden="1">{"'crono'!$U$12:$W$20"}</definedName>
    <definedName name="FEVEREIRO" localSheetId="2" hidden="1">{"'crono'!$U$12:$W$20"}</definedName>
    <definedName name="FEVEREIRO" localSheetId="5" hidden="1">{"'crono'!$U$12:$W$20"}</definedName>
    <definedName name="FEVEREIRO" localSheetId="6" hidden="1">{"'crono'!$U$12:$W$20"}</definedName>
    <definedName name="FEVEREIRO" localSheetId="3" hidden="1">{"'crono'!$U$12:$W$20"}</definedName>
    <definedName name="FEVEREIRO" localSheetId="4" hidden="1">{"'crono'!$U$12:$W$20"}</definedName>
    <definedName name="FEVEREIRO" localSheetId="7" hidden="1">{"'crono'!$U$12:$W$20"}</definedName>
    <definedName name="FEVEREIRO" localSheetId="8" hidden="1">{"'crono'!$U$12:$W$20"}</definedName>
    <definedName name="FEVEREIRO" hidden="1">{"'crono'!$U$12:$W$20"}</definedName>
    <definedName name="fffffff" localSheetId="0" hidden="1">{"'Janeiro'!$A$1:$I$153"}</definedName>
    <definedName name="fffffff" localSheetId="14" hidden="1">{"'Janeiro'!$A$1:$I$153"}</definedName>
    <definedName name="fffffff" localSheetId="13" hidden="1">{"'Janeiro'!$A$1:$I$153"}</definedName>
    <definedName name="fffffff" localSheetId="11" hidden="1">{"'Janeiro'!$A$1:$I$153"}</definedName>
    <definedName name="fffffff" localSheetId="10" hidden="1">{"'Janeiro'!$A$1:$I$153"}</definedName>
    <definedName name="fffffff" localSheetId="9" hidden="1">{"'Janeiro'!$A$1:$I$153"}</definedName>
    <definedName name="fffffff" localSheetId="1" hidden="1">{"'Janeiro'!$A$1:$I$153"}</definedName>
    <definedName name="fffffff" localSheetId="2" hidden="1">{"'Janeiro'!$A$1:$I$153"}</definedName>
    <definedName name="fffffff" localSheetId="5" hidden="1">{"'Janeiro'!$A$1:$I$153"}</definedName>
    <definedName name="fffffff" localSheetId="6" hidden="1">{"'Janeiro'!$A$1:$I$153"}</definedName>
    <definedName name="fffffff" localSheetId="3" hidden="1">{"'Janeiro'!$A$1:$I$153"}</definedName>
    <definedName name="fffffff" localSheetId="4" hidden="1">{"'Janeiro'!$A$1:$I$153"}</definedName>
    <definedName name="fffffff" localSheetId="7" hidden="1">{"'Janeiro'!$A$1:$I$153"}</definedName>
    <definedName name="fffffff" localSheetId="8" hidden="1">{"'Janeiro'!$A$1:$I$153"}</definedName>
    <definedName name="fffffff" hidden="1">{"'Janeiro'!$A$1:$I$153"}</definedName>
    <definedName name="Fig" localSheetId="14" hidden="1">{"det (May)",#N/A,FALSE,"June";"sum (MAY YTD)",#N/A,FALSE,"June YTD"}</definedName>
    <definedName name="Fig" localSheetId="13" hidden="1">{"det (May)",#N/A,FALSE,"June";"sum (MAY YTD)",#N/A,FALSE,"June YTD"}</definedName>
    <definedName name="Fig" localSheetId="11" hidden="1">{"det (May)",#N/A,FALSE,"June";"sum (MAY YTD)",#N/A,FALSE,"June YTD"}</definedName>
    <definedName name="Fig" localSheetId="10" hidden="1">{"det (May)",#N/A,FALSE,"June";"sum (MAY YTD)",#N/A,FALSE,"June YTD"}</definedName>
    <definedName name="Fig" localSheetId="9" hidden="1">{"det (May)",#N/A,FALSE,"June";"sum (MAY YTD)",#N/A,FALSE,"June YTD"}</definedName>
    <definedName name="Fig" localSheetId="1" hidden="1">{"det (May)",#N/A,FALSE,"June";"sum (MAY YTD)",#N/A,FALSE,"June YTD"}</definedName>
    <definedName name="Fig" localSheetId="2" hidden="1">{"det (May)",#N/A,FALSE,"June";"sum (MAY YTD)",#N/A,FALSE,"June YTD"}</definedName>
    <definedName name="Fig" localSheetId="5" hidden="1">{"det (May)",#N/A,FALSE,"June";"sum (MAY YTD)",#N/A,FALSE,"June YTD"}</definedName>
    <definedName name="Fig" localSheetId="6" hidden="1">{"det (May)",#N/A,FALSE,"June";"sum (MAY YTD)",#N/A,FALSE,"June YTD"}</definedName>
    <definedName name="Fig" localSheetId="3" hidden="1">{"det (May)",#N/A,FALSE,"June";"sum (MAY YTD)",#N/A,FALSE,"June YTD"}</definedName>
    <definedName name="Fig" localSheetId="4" hidden="1">{"det (May)",#N/A,FALSE,"June";"sum (MAY YTD)",#N/A,FALSE,"June YTD"}</definedName>
    <definedName name="Fig" localSheetId="7" hidden="1">{"det (May)",#N/A,FALSE,"June";"sum (MAY YTD)",#N/A,FALSE,"June YTD"}</definedName>
    <definedName name="Fig" localSheetId="8" hidden="1">{"det (May)",#N/A,FALSE,"June";"sum (MAY YTD)",#N/A,FALSE,"June YTD"}</definedName>
    <definedName name="Fig" hidden="1">{"det (May)",#N/A,FALSE,"June";"sum (MAY YTD)",#N/A,FALSE,"June YTD"}</definedName>
    <definedName name="fk" localSheetId="14" hidden="1">#REF!</definedName>
    <definedName name="fk" localSheetId="13" hidden="1">#REF!</definedName>
    <definedName name="fk" hidden="1">#REF!</definedName>
    <definedName name="fkf" localSheetId="14" hidden="1">#REF!</definedName>
    <definedName name="fkf" localSheetId="13" hidden="1">#REF!</definedName>
    <definedName name="fkf" hidden="1">#REF!</definedName>
    <definedName name="fkhurf" localSheetId="14" hidden="1">#REF!</definedName>
    <definedName name="fkhurf" localSheetId="13" hidden="1">#REF!</definedName>
    <definedName name="fkhurf" hidden="1">#REF!</definedName>
    <definedName name="frgtgt" localSheetId="14" hidden="1">#REF!</definedName>
    <definedName name="frgtgt" localSheetId="13" hidden="1">#REF!</definedName>
    <definedName name="frgtgt" hidden="1">#REF!</definedName>
    <definedName name="G" localSheetId="0" hidden="1">#REF!</definedName>
    <definedName name="G" localSheetId="14" hidden="1">#REF!</definedName>
    <definedName name="G" localSheetId="13" hidden="1">#REF!</definedName>
    <definedName name="G" localSheetId="10" hidden="1">#REF!</definedName>
    <definedName name="G" localSheetId="9" hidden="1">#REF!</definedName>
    <definedName name="G" hidden="1">#REF!</definedName>
    <definedName name="gbe" localSheetId="14" hidden="1">#REF!</definedName>
    <definedName name="gbe" localSheetId="13" hidden="1">#REF!</definedName>
    <definedName name="gbe" hidden="1">#REF!</definedName>
    <definedName name="GFDGASD" localSheetId="14">#REF!</definedName>
    <definedName name="GFDGASD" localSheetId="13">#REF!</definedName>
    <definedName name="GFDGASD">#REF!</definedName>
    <definedName name="gfggfdgadfg" localSheetId="0" hidden="1">{"'Janeiro'!$A$1:$I$153"}</definedName>
    <definedName name="gfggfdgadfg" localSheetId="14" hidden="1">{"'Janeiro'!$A$1:$I$153"}</definedName>
    <definedName name="gfggfdgadfg" localSheetId="13" hidden="1">{"'Janeiro'!$A$1:$I$153"}</definedName>
    <definedName name="gfggfdgadfg" localSheetId="11" hidden="1">{"'Janeiro'!$A$1:$I$153"}</definedName>
    <definedName name="gfggfdgadfg" localSheetId="10" hidden="1">{"'Janeiro'!$A$1:$I$153"}</definedName>
    <definedName name="gfggfdgadfg" localSheetId="9" hidden="1">{"'Janeiro'!$A$1:$I$153"}</definedName>
    <definedName name="gfggfdgadfg" localSheetId="1" hidden="1">{"'Janeiro'!$A$1:$I$153"}</definedName>
    <definedName name="gfggfdgadfg" localSheetId="2" hidden="1">{"'Janeiro'!$A$1:$I$153"}</definedName>
    <definedName name="gfggfdgadfg" localSheetId="5" hidden="1">{"'Janeiro'!$A$1:$I$153"}</definedName>
    <definedName name="gfggfdgadfg" localSheetId="6" hidden="1">{"'Janeiro'!$A$1:$I$153"}</definedName>
    <definedName name="gfggfdgadfg" localSheetId="3" hidden="1">{"'Janeiro'!$A$1:$I$153"}</definedName>
    <definedName name="gfggfdgadfg" localSheetId="4" hidden="1">{"'Janeiro'!$A$1:$I$153"}</definedName>
    <definedName name="gfggfdgadfg" localSheetId="7" hidden="1">{"'Janeiro'!$A$1:$I$153"}</definedName>
    <definedName name="gfggfdgadfg" localSheetId="8" hidden="1">{"'Janeiro'!$A$1:$I$153"}</definedName>
    <definedName name="gfggfdgadfg" hidden="1">{"'Janeiro'!$A$1:$I$153"}</definedName>
    <definedName name="gfr" localSheetId="0" hidden="1">#REF!</definedName>
    <definedName name="gfr" localSheetId="14" hidden="1">#REF!</definedName>
    <definedName name="gfr" localSheetId="13" hidden="1">#REF!</definedName>
    <definedName name="gfr" localSheetId="10" hidden="1">#REF!</definedName>
    <definedName name="gfr" localSheetId="9" hidden="1">#REF!</definedName>
    <definedName name="gfr" hidden="1">#REF!</definedName>
    <definedName name="gg" localSheetId="0" hidden="1">#REF!</definedName>
    <definedName name="gg" localSheetId="14" hidden="1">#REF!</definedName>
    <definedName name="gg" localSheetId="13" hidden="1">#REF!</definedName>
    <definedName name="gg" localSheetId="10" hidden="1">#REF!</definedName>
    <definedName name="gg" localSheetId="9" hidden="1">#REF!</definedName>
    <definedName name="gg" hidden="1">#REF!</definedName>
    <definedName name="gggggggggggggggg" localSheetId="0" hidden="1">{"'Janeiro'!$A$1:$I$153"}</definedName>
    <definedName name="gggggggggggggggg" localSheetId="14" hidden="1">{"'Janeiro'!$A$1:$I$153"}</definedName>
    <definedName name="gggggggggggggggg" localSheetId="13" hidden="1">{"'Janeiro'!$A$1:$I$153"}</definedName>
    <definedName name="gggggggggggggggg" localSheetId="11" hidden="1">{"'Janeiro'!$A$1:$I$153"}</definedName>
    <definedName name="gggggggggggggggg" localSheetId="10" hidden="1">{"'Janeiro'!$A$1:$I$153"}</definedName>
    <definedName name="gggggggggggggggg" localSheetId="9" hidden="1">{"'Janeiro'!$A$1:$I$153"}</definedName>
    <definedName name="gggggggggggggggg" localSheetId="1" hidden="1">{"'Janeiro'!$A$1:$I$153"}</definedName>
    <definedName name="gggggggggggggggg" localSheetId="2" hidden="1">{"'Janeiro'!$A$1:$I$153"}</definedName>
    <definedName name="gggggggggggggggg" localSheetId="5" hidden="1">{"'Janeiro'!$A$1:$I$153"}</definedName>
    <definedName name="gggggggggggggggg" localSheetId="6" hidden="1">{"'Janeiro'!$A$1:$I$153"}</definedName>
    <definedName name="gggggggggggggggg" localSheetId="3" hidden="1">{"'Janeiro'!$A$1:$I$153"}</definedName>
    <definedName name="gggggggggggggggg" localSheetId="4" hidden="1">{"'Janeiro'!$A$1:$I$153"}</definedName>
    <definedName name="gggggggggggggggg" localSheetId="7" hidden="1">{"'Janeiro'!$A$1:$I$153"}</definedName>
    <definedName name="gggggggggggggggg" localSheetId="8" hidden="1">{"'Janeiro'!$A$1:$I$153"}</definedName>
    <definedName name="gggggggggggggggg" hidden="1">{"'Janeiro'!$A$1:$I$153"}</definedName>
    <definedName name="gtg" localSheetId="14" hidden="1">#REF!</definedName>
    <definedName name="gtg" localSheetId="13" hidden="1">#REF!</definedName>
    <definedName name="gtg" hidden="1">#REF!</definedName>
    <definedName name="hb" localSheetId="14" hidden="1">#REF!</definedName>
    <definedName name="hb" localSheetId="13" hidden="1">#REF!</definedName>
    <definedName name="hb" hidden="1">#REF!</definedName>
    <definedName name="hh" localSheetId="0" hidden="1">{"'Janeiro'!$A$1:$I$153"}</definedName>
    <definedName name="hh" localSheetId="14" hidden="1">{"'Janeiro'!$A$1:$I$153"}</definedName>
    <definedName name="hh" localSheetId="13" hidden="1">{"'Janeiro'!$A$1:$I$153"}</definedName>
    <definedName name="hh" localSheetId="11" hidden="1">{"'Janeiro'!$A$1:$I$153"}</definedName>
    <definedName name="hh" localSheetId="10" hidden="1">{"'Janeiro'!$A$1:$I$153"}</definedName>
    <definedName name="hh" localSheetId="9" hidden="1">{"'Janeiro'!$A$1:$I$153"}</definedName>
    <definedName name="hh" localSheetId="1" hidden="1">{"'Janeiro'!$A$1:$I$153"}</definedName>
    <definedName name="hh" localSheetId="2" hidden="1">{"'Janeiro'!$A$1:$I$153"}</definedName>
    <definedName name="hh" localSheetId="5" hidden="1">{"'Janeiro'!$A$1:$I$153"}</definedName>
    <definedName name="hh" localSheetId="6" hidden="1">{"'Janeiro'!$A$1:$I$153"}</definedName>
    <definedName name="hh" localSheetId="3" hidden="1">{"'Janeiro'!$A$1:$I$153"}</definedName>
    <definedName name="hh" localSheetId="4" hidden="1">{"'Janeiro'!$A$1:$I$153"}</definedName>
    <definedName name="hh" localSheetId="7" hidden="1">{"'Janeiro'!$A$1:$I$153"}</definedName>
    <definedName name="hh" localSheetId="8" hidden="1">{"'Janeiro'!$A$1:$I$153"}</definedName>
    <definedName name="hh" hidden="1">{"'Janeiro'!$A$1:$I$153"}</definedName>
    <definedName name="hj" localSheetId="14">#REF!</definedName>
    <definedName name="hj" localSheetId="13">#REF!</definedName>
    <definedName name="hj">#REF!</definedName>
    <definedName name="hjit" localSheetId="14" hidden="1">#REF!</definedName>
    <definedName name="hjit" localSheetId="13" hidden="1">#REF!</definedName>
    <definedName name="hjit" hidden="1">#REF!</definedName>
    <definedName name="htht" localSheetId="14" hidden="1">#REF!</definedName>
    <definedName name="htht" localSheetId="13" hidden="1">#REF!</definedName>
    <definedName name="htht" hidden="1">#REF!</definedName>
    <definedName name="hthth" localSheetId="14" hidden="1">#REF!</definedName>
    <definedName name="hthth" localSheetId="13" hidden="1">#REF!</definedName>
    <definedName name="hthth" hidden="1">#REF!</definedName>
    <definedName name="hthy" localSheetId="14" hidden="1">#REF!</definedName>
    <definedName name="hthy" localSheetId="13" hidden="1">#REF!</definedName>
    <definedName name="hthy" hidden="1">#REF!</definedName>
    <definedName name="HTML_CodePage" hidden="1">1252</definedName>
    <definedName name="HTML_Control" localSheetId="0" hidden="1">{"'Janeiro'!$A$1:$I$153"}</definedName>
    <definedName name="HTML_Control" localSheetId="14" hidden="1">{"'Janeiro'!$A$1:$I$153"}</definedName>
    <definedName name="HTML_Control" localSheetId="13" hidden="1">{"'Janeiro'!$A$1:$I$153"}</definedName>
    <definedName name="HTML_Control" localSheetId="11" hidden="1">{"'Janeiro'!$A$1:$I$153"}</definedName>
    <definedName name="HTML_Control" localSheetId="10" hidden="1">{"'Janeiro'!$A$1:$I$153"}</definedName>
    <definedName name="HTML_Control" localSheetId="9" hidden="1">{"'Janeiro'!$A$1:$I$153"}</definedName>
    <definedName name="HTML_Control" localSheetId="1" hidden="1">{"'Janeiro'!$A$1:$I$153"}</definedName>
    <definedName name="HTML_Control" localSheetId="2" hidden="1">{"'Janeiro'!$A$1:$I$153"}</definedName>
    <definedName name="HTML_Control" localSheetId="5" hidden="1">{"'Janeiro'!$A$1:$I$153"}</definedName>
    <definedName name="HTML_Control" localSheetId="6" hidden="1">{"'Janeiro'!$A$1:$I$153"}</definedName>
    <definedName name="HTML_Control" localSheetId="3" hidden="1">{"'Janeiro'!$A$1:$I$153"}</definedName>
    <definedName name="HTML_Control" localSheetId="4" hidden="1">{"'Janeiro'!$A$1:$I$153"}</definedName>
    <definedName name="HTML_Control" localSheetId="7" hidden="1">{"'Janeiro'!$A$1:$I$153"}</definedName>
    <definedName name="HTML_Control" localSheetId="8" hidden="1">{"'Janeiro'!$A$1:$I$153"}</definedName>
    <definedName name="HTML_Control" hidden="1">{"'Janeiro'!$A$1:$I$153"}</definedName>
    <definedName name="HTML_Control2" localSheetId="14" hidden="1">{"'171'!$A$1:$Z$50"}</definedName>
    <definedName name="HTML_Control2" localSheetId="13" hidden="1">{"'171'!$A$1:$Z$50"}</definedName>
    <definedName name="HTML_Control2" localSheetId="11" hidden="1">{"'171'!$A$1:$Z$50"}</definedName>
    <definedName name="HTML_Control2" localSheetId="10" hidden="1">{"'171'!$A$1:$Z$50"}</definedName>
    <definedName name="HTML_Control2" localSheetId="9" hidden="1">{"'171'!$A$1:$Z$50"}</definedName>
    <definedName name="HTML_Control2" localSheetId="1" hidden="1">{"'171'!$A$1:$Z$50"}</definedName>
    <definedName name="HTML_Control2" localSheetId="2" hidden="1">{"'171'!$A$1:$Z$50"}</definedName>
    <definedName name="HTML_Control2" localSheetId="5" hidden="1">{"'171'!$A$1:$Z$50"}</definedName>
    <definedName name="HTML_Control2" localSheetId="6" hidden="1">{"'171'!$A$1:$Z$50"}</definedName>
    <definedName name="HTML_Control2" localSheetId="3" hidden="1">{"'171'!$A$1:$Z$50"}</definedName>
    <definedName name="HTML_Control2" localSheetId="4" hidden="1">{"'171'!$A$1:$Z$50"}</definedName>
    <definedName name="HTML_Control2" localSheetId="7" hidden="1">{"'171'!$A$1:$Z$50"}</definedName>
    <definedName name="HTML_Control2" localSheetId="8" hidden="1">{"'171'!$A$1:$Z$50"}</definedName>
    <definedName name="HTML_Control2" hidden="1">{"'171'!$A$1:$Z$50"}</definedName>
    <definedName name="HTML_Description" hidden="1">""</definedName>
    <definedName name="HTML_Email" hidden="1">""</definedName>
    <definedName name="HTML_Header" hidden="1">"Janeiro"</definedName>
    <definedName name="HTML_LastUpdate" hidden="1">"18/01/00"</definedName>
    <definedName name="HTML_LineAfter" hidden="1">FALSE</definedName>
    <definedName name="HTML_LineBefore" hidden="1">FALSE</definedName>
    <definedName name="HTML_Name" hidden="1">"Publicis Norton S.A."</definedName>
    <definedName name="HTML_OBDlg2" hidden="1">TRUE</definedName>
    <definedName name="HTML_OBDlg4" hidden="1">TRUE</definedName>
    <definedName name="HTML_OS" hidden="1">0</definedName>
    <definedName name="HTML_PathFile" hidden="1">"G:\Midia\WINJOB\NESTLE\Levant\PREFINGE\Prefin2000\MeuHTML.htm"</definedName>
    <definedName name="HTML_Title" hidden="1">"janeiro"</definedName>
    <definedName name="I" localSheetId="14">#REF!</definedName>
    <definedName name="I" localSheetId="13">#REF!</definedName>
    <definedName name="I">#REF!</definedName>
    <definedName name="jljl" localSheetId="14" hidden="1">{"det (May)",#N/A,FALSE,"June";"sum (MAY YTD)",#N/A,FALSE,"June YTD"}</definedName>
    <definedName name="jljl" localSheetId="13" hidden="1">{"det (May)",#N/A,FALSE,"June";"sum (MAY YTD)",#N/A,FALSE,"June YTD"}</definedName>
    <definedName name="jljl" localSheetId="11" hidden="1">{"det (May)",#N/A,FALSE,"June";"sum (MAY YTD)",#N/A,FALSE,"June YTD"}</definedName>
    <definedName name="jljl" localSheetId="10" hidden="1">{"det (May)",#N/A,FALSE,"June";"sum (MAY YTD)",#N/A,FALSE,"June YTD"}</definedName>
    <definedName name="jljl" localSheetId="9" hidden="1">{"det (May)",#N/A,FALSE,"June";"sum (MAY YTD)",#N/A,FALSE,"June YTD"}</definedName>
    <definedName name="jljl" localSheetId="1" hidden="1">{"det (May)",#N/A,FALSE,"June";"sum (MAY YTD)",#N/A,FALSE,"June YTD"}</definedName>
    <definedName name="jljl" localSheetId="2" hidden="1">{"det (May)",#N/A,FALSE,"June";"sum (MAY YTD)",#N/A,FALSE,"June YTD"}</definedName>
    <definedName name="jljl" localSheetId="5" hidden="1">{"det (May)",#N/A,FALSE,"June";"sum (MAY YTD)",#N/A,FALSE,"June YTD"}</definedName>
    <definedName name="jljl" localSheetId="6" hidden="1">{"det (May)",#N/A,FALSE,"June";"sum (MAY YTD)",#N/A,FALSE,"June YTD"}</definedName>
    <definedName name="jljl" localSheetId="3" hidden="1">{"det (May)",#N/A,FALSE,"June";"sum (MAY YTD)",#N/A,FALSE,"June YTD"}</definedName>
    <definedName name="jljl" localSheetId="4" hidden="1">{"det (May)",#N/A,FALSE,"June";"sum (MAY YTD)",#N/A,FALSE,"June YTD"}</definedName>
    <definedName name="jljl" localSheetId="7" hidden="1">{"det (May)",#N/A,FALSE,"June";"sum (MAY YTD)",#N/A,FALSE,"June YTD"}</definedName>
    <definedName name="jljl" localSheetId="8" hidden="1">{"det (May)",#N/A,FALSE,"June";"sum (MAY YTD)",#N/A,FALSE,"June YTD"}</definedName>
    <definedName name="jljl" hidden="1">{"det (May)",#N/A,FALSE,"June";"sum (MAY YTD)",#N/A,FALSE,"June YTD"}</definedName>
    <definedName name="jrescisão" localSheetId="14" hidden="1">{"'crono'!$U$12:$W$20"}</definedName>
    <definedName name="jrescisão" localSheetId="13" hidden="1">{"'crono'!$U$12:$W$20"}</definedName>
    <definedName name="jrescisão" localSheetId="11" hidden="1">{"'crono'!$U$12:$W$20"}</definedName>
    <definedName name="jrescisão" localSheetId="10" hidden="1">{"'crono'!$U$12:$W$20"}</definedName>
    <definedName name="jrescisão" localSheetId="9" hidden="1">{"'crono'!$U$12:$W$20"}</definedName>
    <definedName name="jrescisão" localSheetId="1" hidden="1">{"'crono'!$U$12:$W$20"}</definedName>
    <definedName name="jrescisão" localSheetId="2" hidden="1">{"'crono'!$U$12:$W$20"}</definedName>
    <definedName name="jrescisão" localSheetId="5" hidden="1">{"'crono'!$U$12:$W$20"}</definedName>
    <definedName name="jrescisão" localSheetId="6" hidden="1">{"'crono'!$U$12:$W$20"}</definedName>
    <definedName name="jrescisão" localSheetId="3" hidden="1">{"'crono'!$U$12:$W$20"}</definedName>
    <definedName name="jrescisão" localSheetId="4" hidden="1">{"'crono'!$U$12:$W$20"}</definedName>
    <definedName name="jrescisão" localSheetId="7" hidden="1">{"'crono'!$U$12:$W$20"}</definedName>
    <definedName name="jrescisão" localSheetId="8" hidden="1">{"'crono'!$U$12:$W$20"}</definedName>
    <definedName name="jrescisão" hidden="1">{"'crono'!$U$12:$W$20"}</definedName>
    <definedName name="kegs" localSheetId="14" hidden="1">{"det (May)",#N/A,FALSE,"June";"sum (MAY YTD)",#N/A,FALSE,"June YTD"}</definedName>
    <definedName name="kegs" localSheetId="13" hidden="1">{"det (May)",#N/A,FALSE,"June";"sum (MAY YTD)",#N/A,FALSE,"June YTD"}</definedName>
    <definedName name="kegs" localSheetId="11" hidden="1">{"det (May)",#N/A,FALSE,"June";"sum (MAY YTD)",#N/A,FALSE,"June YTD"}</definedName>
    <definedName name="kegs" localSheetId="10" hidden="1">{"det (May)",#N/A,FALSE,"June";"sum (MAY YTD)",#N/A,FALSE,"June YTD"}</definedName>
    <definedName name="kegs" localSheetId="9" hidden="1">{"det (May)",#N/A,FALSE,"June";"sum (MAY YTD)",#N/A,FALSE,"June YTD"}</definedName>
    <definedName name="kegs" localSheetId="1" hidden="1">{"det (May)",#N/A,FALSE,"June";"sum (MAY YTD)",#N/A,FALSE,"June YTD"}</definedName>
    <definedName name="kegs" localSheetId="2" hidden="1">{"det (May)",#N/A,FALSE,"June";"sum (MAY YTD)",#N/A,FALSE,"June YTD"}</definedName>
    <definedName name="kegs" localSheetId="5" hidden="1">{"det (May)",#N/A,FALSE,"June";"sum (MAY YTD)",#N/A,FALSE,"June YTD"}</definedName>
    <definedName name="kegs" localSheetId="6" hidden="1">{"det (May)",#N/A,FALSE,"June";"sum (MAY YTD)",#N/A,FALSE,"June YTD"}</definedName>
    <definedName name="kegs" localSheetId="3" hidden="1">{"det (May)",#N/A,FALSE,"June";"sum (MAY YTD)",#N/A,FALSE,"June YTD"}</definedName>
    <definedName name="kegs" localSheetId="4" hidden="1">{"det (May)",#N/A,FALSE,"June";"sum (MAY YTD)",#N/A,FALSE,"June YTD"}</definedName>
    <definedName name="kegs" localSheetId="7" hidden="1">{"det (May)",#N/A,FALSE,"June";"sum (MAY YTD)",#N/A,FALSE,"June YTD"}</definedName>
    <definedName name="kegs" localSheetId="8" hidden="1">{"det (May)",#N/A,FALSE,"June";"sum (MAY YTD)",#N/A,FALSE,"June YTD"}</definedName>
    <definedName name="kegs" hidden="1">{"det (May)",#N/A,FALSE,"June";"sum (MAY YTD)",#N/A,FALSE,"June YTD"}</definedName>
    <definedName name="kf" localSheetId="0" hidden="1">#REF!</definedName>
    <definedName name="kf" localSheetId="14" hidden="1">#REF!</definedName>
    <definedName name="kf" localSheetId="13" hidden="1">#REF!</definedName>
    <definedName name="kf" localSheetId="10" hidden="1">#REF!</definedName>
    <definedName name="kf" localSheetId="9" hidden="1">#REF!</definedName>
    <definedName name="kf" hidden="1">#REF!</definedName>
    <definedName name="LAURA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AURA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ld" localSheetId="0" hidden="1">#REF!</definedName>
    <definedName name="ld" localSheetId="14" hidden="1">#REF!</definedName>
    <definedName name="ld" localSheetId="13" hidden="1">#REF!</definedName>
    <definedName name="ld" localSheetId="10" hidden="1">#REF!</definedName>
    <definedName name="ld" localSheetId="9" hidden="1">#REF!</definedName>
    <definedName name="ld" hidden="1">#REF!</definedName>
    <definedName name="limcount" hidden="1">1</definedName>
    <definedName name="LOCPR">'[4]base TV'!$M$2:$BD$4</definedName>
    <definedName name="M" localSheetId="14">#REF!</definedName>
    <definedName name="M" localSheetId="13">#REF!</definedName>
    <definedName name="M">#REF!</definedName>
    <definedName name="MajorHeader" localSheetId="10">#N/A</definedName>
    <definedName name="MajorHeader" localSheetId="9">#N/A</definedName>
    <definedName name="MajorHeader">#N/A</definedName>
    <definedName name="MCN">'[4]base TV'!$G$5:$G$90</definedName>
    <definedName name="MEDIO" localSheetId="14">#REF!</definedName>
    <definedName name="MEDIO" localSheetId="13">#REF!</definedName>
    <definedName name="MEDIO">#REF!</definedName>
    <definedName name="merchan" localSheetId="0" hidden="1">#REF!</definedName>
    <definedName name="merchan" localSheetId="14" hidden="1">#REF!</definedName>
    <definedName name="merchan" localSheetId="13" hidden="1">#REF!</definedName>
    <definedName name="merchan" localSheetId="10" hidden="1">#REF!</definedName>
    <definedName name="merchan" localSheetId="9" hidden="1">#REF!</definedName>
    <definedName name="merchan" hidden="1">#REF!</definedName>
    <definedName name="mmm" localSheetId="0" hidden="1">#REF!</definedName>
    <definedName name="mmm" localSheetId="14" hidden="1">#REF!</definedName>
    <definedName name="mmm" localSheetId="13" hidden="1">#REF!</definedName>
    <definedName name="mmm" localSheetId="10" hidden="1">#REF!</definedName>
    <definedName name="mmm" localSheetId="9" hidden="1">#REF!</definedName>
    <definedName name="mmm" hidden="1">#REF!</definedName>
    <definedName name="mn" localSheetId="0" hidden="1">{"'Janeiro'!$A$1:$I$153"}</definedName>
    <definedName name="mn" localSheetId="14" hidden="1">{"'Janeiro'!$A$1:$I$153"}</definedName>
    <definedName name="mn" localSheetId="13" hidden="1">{"'Janeiro'!$A$1:$I$153"}</definedName>
    <definedName name="mn" localSheetId="11" hidden="1">{"'Janeiro'!$A$1:$I$153"}</definedName>
    <definedName name="mn" localSheetId="10" hidden="1">{"'Janeiro'!$A$1:$I$153"}</definedName>
    <definedName name="mn" localSheetId="9" hidden="1">{"'Janeiro'!$A$1:$I$153"}</definedName>
    <definedName name="mn" localSheetId="1" hidden="1">{"'Janeiro'!$A$1:$I$153"}</definedName>
    <definedName name="mn" localSheetId="2" hidden="1">{"'Janeiro'!$A$1:$I$153"}</definedName>
    <definedName name="mn" localSheetId="5" hidden="1">{"'Janeiro'!$A$1:$I$153"}</definedName>
    <definedName name="mn" localSheetId="6" hidden="1">{"'Janeiro'!$A$1:$I$153"}</definedName>
    <definedName name="mn" localSheetId="3" hidden="1">{"'Janeiro'!$A$1:$I$153"}</definedName>
    <definedName name="mn" localSheetId="4" hidden="1">{"'Janeiro'!$A$1:$I$153"}</definedName>
    <definedName name="mn" localSheetId="7" hidden="1">{"'Janeiro'!$A$1:$I$153"}</definedName>
    <definedName name="mn" localSheetId="8" hidden="1">{"'Janeiro'!$A$1:$I$153"}</definedName>
    <definedName name="mn" hidden="1">{"'Janeiro'!$A$1:$I$153"}</definedName>
    <definedName name="N" localSheetId="0" hidden="1">#REF!</definedName>
    <definedName name="N" localSheetId="14" hidden="1">#REF!</definedName>
    <definedName name="N" localSheetId="13" hidden="1">#REF!</definedName>
    <definedName name="N" localSheetId="10" hidden="1">#REF!</definedName>
    <definedName name="N" localSheetId="9" hidden="1">#REF!</definedName>
    <definedName name="N" hidden="1">#REF!</definedName>
    <definedName name="nn" localSheetId="14" hidden="1">{"det (May)",#N/A,FALSE,"June";"sum (MAY YTD)",#N/A,FALSE,"June YTD"}</definedName>
    <definedName name="nn" localSheetId="13" hidden="1">{"det (May)",#N/A,FALSE,"June";"sum (MAY YTD)",#N/A,FALSE,"June YTD"}</definedName>
    <definedName name="nn" localSheetId="11" hidden="1">{"det (May)",#N/A,FALSE,"June";"sum (MAY YTD)",#N/A,FALSE,"June YTD"}</definedName>
    <definedName name="nn" localSheetId="10" hidden="1">{"det (May)",#N/A,FALSE,"June";"sum (MAY YTD)",#N/A,FALSE,"June YTD"}</definedName>
    <definedName name="nn" localSheetId="9" hidden="1">{"det (May)",#N/A,FALSE,"June";"sum (MAY YTD)",#N/A,FALSE,"June YTD"}</definedName>
    <definedName name="nn" localSheetId="1" hidden="1">{"det (May)",#N/A,FALSE,"June";"sum (MAY YTD)",#N/A,FALSE,"June YTD"}</definedName>
    <definedName name="nn" localSheetId="2" hidden="1">{"det (May)",#N/A,FALSE,"June";"sum (MAY YTD)",#N/A,FALSE,"June YTD"}</definedName>
    <definedName name="nn" localSheetId="5" hidden="1">{"det (May)",#N/A,FALSE,"June";"sum (MAY YTD)",#N/A,FALSE,"June YTD"}</definedName>
    <definedName name="nn" localSheetId="6" hidden="1">{"det (May)",#N/A,FALSE,"June";"sum (MAY YTD)",#N/A,FALSE,"June YTD"}</definedName>
    <definedName name="nn" localSheetId="3" hidden="1">{"det (May)",#N/A,FALSE,"June";"sum (MAY YTD)",#N/A,FALSE,"June YTD"}</definedName>
    <definedName name="nn" localSheetId="4" hidden="1">{"det (May)",#N/A,FALSE,"June";"sum (MAY YTD)",#N/A,FALSE,"June YTD"}</definedName>
    <definedName name="nn" localSheetId="7" hidden="1">{"det (May)",#N/A,FALSE,"June";"sum (MAY YTD)",#N/A,FALSE,"June YTD"}</definedName>
    <definedName name="nn" localSheetId="8" hidden="1">{"det (May)",#N/A,FALSE,"June";"sum (MAY YTD)",#N/A,FALSE,"June YTD"}</definedName>
    <definedName name="nn" hidden="1">{"det (May)",#N/A,FALSE,"June";"sum (MAY YTD)",#N/A,FALSE,"June YTD"}</definedName>
    <definedName name="NOTA" localSheetId="14">#REF!</definedName>
    <definedName name="NOTA" localSheetId="13">#REF!</definedName>
    <definedName name="NOTA">#REF!</definedName>
    <definedName name="NOTAS" localSheetId="14">#REF!</definedName>
    <definedName name="NOTAS" localSheetId="13">#REF!</definedName>
    <definedName name="NOTAS">#REF!</definedName>
    <definedName name="novo" localSheetId="0" hidden="1">#REF!</definedName>
    <definedName name="novo" localSheetId="14" hidden="1">#REF!</definedName>
    <definedName name="novo" localSheetId="13" hidden="1">#REF!</definedName>
    <definedName name="novo" localSheetId="10" hidden="1">#REF!</definedName>
    <definedName name="novo" localSheetId="9" hidden="1">#REF!</definedName>
    <definedName name="novo" hidden="1">#REF!</definedName>
    <definedName name="ofk" localSheetId="14" hidden="1">#REF!</definedName>
    <definedName name="ofk" localSheetId="13" hidden="1">#REF!</definedName>
    <definedName name="ofk" hidden="1">#REF!</definedName>
    <definedName name="okf" localSheetId="14" hidden="1">#REF!</definedName>
    <definedName name="okf" localSheetId="13" hidden="1">#REF!</definedName>
    <definedName name="okf" hidden="1">#REF!</definedName>
    <definedName name="Orçamento" localSheetId="14" hidden="1">{#N/A,#N/A,FALSE,"TOTAL"}</definedName>
    <definedName name="Orçamento" localSheetId="13" hidden="1">{#N/A,#N/A,FALSE,"TOTAL"}</definedName>
    <definedName name="Orçamento" localSheetId="11" hidden="1">{#N/A,#N/A,FALSE,"TOTAL"}</definedName>
    <definedName name="Orçamento" localSheetId="10" hidden="1">{#N/A,#N/A,FALSE,"TOTAL"}</definedName>
    <definedName name="Orçamento" localSheetId="9" hidden="1">{#N/A,#N/A,FALSE,"TOTAL"}</definedName>
    <definedName name="Orçamento" localSheetId="1" hidden="1">{#N/A,#N/A,FALSE,"TOTAL"}</definedName>
    <definedName name="Orçamento" localSheetId="2" hidden="1">{#N/A,#N/A,FALSE,"TOTAL"}</definedName>
    <definedName name="Orçamento" localSheetId="5" hidden="1">{#N/A,#N/A,FALSE,"TOTAL"}</definedName>
    <definedName name="Orçamento" localSheetId="6" hidden="1">{#N/A,#N/A,FALSE,"TOTAL"}</definedName>
    <definedName name="Orçamento" localSheetId="3" hidden="1">{#N/A,#N/A,FALSE,"TOTAL"}</definedName>
    <definedName name="Orçamento" localSheetId="4" hidden="1">{#N/A,#N/A,FALSE,"TOTAL"}</definedName>
    <definedName name="Orçamento" localSheetId="7" hidden="1">{#N/A,#N/A,FALSE,"TOTAL"}</definedName>
    <definedName name="Orçamento" localSheetId="8" hidden="1">{#N/A,#N/A,FALSE,"TOTAL"}</definedName>
    <definedName name="Orçamento" hidden="1">{#N/A,#N/A,FALSE,"TOTAL"}</definedName>
    <definedName name="P" localSheetId="14">#REF!</definedName>
    <definedName name="P" localSheetId="13">#REF!</definedName>
    <definedName name="P">#REF!</definedName>
    <definedName name="PERR">'[4]Conversão-Mercha'!#REF!</definedName>
    <definedName name="PJON">'[4]Conversão-Mercha'!#REF!</definedName>
    <definedName name="Plan_Media_2000" localSheetId="14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9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1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2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5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6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3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4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7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localSheetId="8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lan_Media_2000" hidden="1">{#N/A,#N/A,TRUE,"Año";#N/A,#N/A,TRUE,"Ene";#N/A,#N/A,TRUE,"Feb";#N/A,#N/A,TRUE,"Mar";#N/A,#N/A,TRUE,"Abr";#N/A,#N/A,TRUE,"May";#N/A,#N/A,TRUE,"Jun";#N/A,#N/A,TRUE,"Jul";#N/A,#N/A,TRUE,"Ago";#N/A,#N/A,TRUE,"Sep";#N/A,#N/A,TRUE,"Oct";#N/A,#N/A,TRUE,"Nov";#N/A,#N/A,TRUE,"Dic"}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POA" localSheetId="14" hidden="1">{"det (May)",#N/A,FALSE,"June";"sum (MAY YTD)",#N/A,FALSE,"June YTD"}</definedName>
    <definedName name="POA" localSheetId="13" hidden="1">{"det (May)",#N/A,FALSE,"June";"sum (MAY YTD)",#N/A,FALSE,"June YTD"}</definedName>
    <definedName name="POA" localSheetId="11" hidden="1">{"det (May)",#N/A,FALSE,"June";"sum (MAY YTD)",#N/A,FALSE,"June YTD"}</definedName>
    <definedName name="POA" localSheetId="10" hidden="1">{"det (May)",#N/A,FALSE,"June";"sum (MAY YTD)",#N/A,FALSE,"June YTD"}</definedName>
    <definedName name="POA" localSheetId="9" hidden="1">{"det (May)",#N/A,FALSE,"June";"sum (MAY YTD)",#N/A,FALSE,"June YTD"}</definedName>
    <definedName name="POA" localSheetId="1" hidden="1">{"det (May)",#N/A,FALSE,"June";"sum (MAY YTD)",#N/A,FALSE,"June YTD"}</definedName>
    <definedName name="POA" localSheetId="2" hidden="1">{"det (May)",#N/A,FALSE,"June";"sum (MAY YTD)",#N/A,FALSE,"June YTD"}</definedName>
    <definedName name="POA" localSheetId="5" hidden="1">{"det (May)",#N/A,FALSE,"June";"sum (MAY YTD)",#N/A,FALSE,"June YTD"}</definedName>
    <definedName name="POA" localSheetId="6" hidden="1">{"det (May)",#N/A,FALSE,"June";"sum (MAY YTD)",#N/A,FALSE,"June YTD"}</definedName>
    <definedName name="POA" localSheetId="3" hidden="1">{"det (May)",#N/A,FALSE,"June";"sum (MAY YTD)",#N/A,FALSE,"June YTD"}</definedName>
    <definedName name="POA" localSheetId="4" hidden="1">{"det (May)",#N/A,FALSE,"June";"sum (MAY YTD)",#N/A,FALSE,"June YTD"}</definedName>
    <definedName name="POA" localSheetId="7" hidden="1">{"det (May)",#N/A,FALSE,"June";"sum (MAY YTD)",#N/A,FALSE,"June YTD"}</definedName>
    <definedName name="POA" localSheetId="8" hidden="1">{"det (May)",#N/A,FALSE,"June";"sum (MAY YTD)",#N/A,FALSE,"June YTD"}</definedName>
    <definedName name="POA" hidden="1">{"det (May)",#N/A,FALSE,"June";"sum (MAY YTD)",#N/A,FALSE,"June YTD"}</definedName>
    <definedName name="PRO" localSheetId="14" hidden="1">{"det (May)",#N/A,FALSE,"June";"sum (MAY YTD)",#N/A,FALSE,"June YTD"}</definedName>
    <definedName name="PRO" localSheetId="13" hidden="1">{"det (May)",#N/A,FALSE,"June";"sum (MAY YTD)",#N/A,FALSE,"June YTD"}</definedName>
    <definedName name="PRO" localSheetId="11" hidden="1">{"det (May)",#N/A,FALSE,"June";"sum (MAY YTD)",#N/A,FALSE,"June YTD"}</definedName>
    <definedName name="PRO" localSheetId="10" hidden="1">{"det (May)",#N/A,FALSE,"June";"sum (MAY YTD)",#N/A,FALSE,"June YTD"}</definedName>
    <definedName name="PRO" localSheetId="9" hidden="1">{"det (May)",#N/A,FALSE,"June";"sum (MAY YTD)",#N/A,FALSE,"June YTD"}</definedName>
    <definedName name="PRO" localSheetId="1" hidden="1">{"det (May)",#N/A,FALSE,"June";"sum (MAY YTD)",#N/A,FALSE,"June YTD"}</definedName>
    <definedName name="PRO" localSheetId="2" hidden="1">{"det (May)",#N/A,FALSE,"June";"sum (MAY YTD)",#N/A,FALSE,"June YTD"}</definedName>
    <definedName name="PRO" localSheetId="5" hidden="1">{"det (May)",#N/A,FALSE,"June";"sum (MAY YTD)",#N/A,FALSE,"June YTD"}</definedName>
    <definedName name="PRO" localSheetId="6" hidden="1">{"det (May)",#N/A,FALSE,"June";"sum (MAY YTD)",#N/A,FALSE,"June YTD"}</definedName>
    <definedName name="PRO" localSheetId="3" hidden="1">{"det (May)",#N/A,FALSE,"June";"sum (MAY YTD)",#N/A,FALSE,"June YTD"}</definedName>
    <definedName name="PRO" localSheetId="4" hidden="1">{"det (May)",#N/A,FALSE,"June";"sum (MAY YTD)",#N/A,FALSE,"June YTD"}</definedName>
    <definedName name="PRO" localSheetId="7" hidden="1">{"det (May)",#N/A,FALSE,"June";"sum (MAY YTD)",#N/A,FALSE,"June YTD"}</definedName>
    <definedName name="PRO" localSheetId="8" hidden="1">{"det (May)",#N/A,FALSE,"June";"sum (MAY YTD)",#N/A,FALSE,"June YTD"}</definedName>
    <definedName name="PRO" hidden="1">{"det (May)",#N/A,FALSE,"June";"sum (MAY YTD)",#N/A,FALSE,"June YTD"}</definedName>
    <definedName name="PROD" localSheetId="14">#REF!</definedName>
    <definedName name="PROD" localSheetId="13">#REF!</definedName>
    <definedName name="PROD">#REF!</definedName>
    <definedName name="PRODUCTO" localSheetId="14">#REF!</definedName>
    <definedName name="PRODUCTO" localSheetId="13">#REF!</definedName>
    <definedName name="PRODUCTO">#REF!</definedName>
    <definedName name="Programação" localSheetId="14">#REF!</definedName>
    <definedName name="Programação" localSheetId="13">#REF!</definedName>
    <definedName name="Programação">#REF!</definedName>
    <definedName name="q" localSheetId="0" hidden="1">#REF!</definedName>
    <definedName name="q" localSheetId="14" hidden="1">#REF!</definedName>
    <definedName name="q" localSheetId="13" hidden="1">#REF!</definedName>
    <definedName name="q" localSheetId="10" hidden="1">#REF!</definedName>
    <definedName name="q" localSheetId="9" hidden="1">#REF!</definedName>
    <definedName name="q" hidden="1">#REF!</definedName>
    <definedName name="radio" localSheetId="14" hidden="1">#REF!</definedName>
    <definedName name="radio" localSheetId="13" hidden="1">#REF!</definedName>
    <definedName name="radio" hidden="1">#REF!</definedName>
    <definedName name="rádio" localSheetId="0" hidden="1">#REF!</definedName>
    <definedName name="rádio" localSheetId="14" hidden="1">#REF!</definedName>
    <definedName name="rádio" localSheetId="13" hidden="1">#REF!</definedName>
    <definedName name="rádio" localSheetId="10" hidden="1">#REF!</definedName>
    <definedName name="rádio" localSheetId="9" hidden="1">#REF!</definedName>
    <definedName name="rádio" hidden="1">#REF!</definedName>
    <definedName name="RADIO_SECUNDAGEM">'[4]Conversão-Mercha'!$B$241:$B$260</definedName>
    <definedName name="rb" localSheetId="14" hidden="1">#REF!</definedName>
    <definedName name="rb" localSheetId="13" hidden="1">#REF!</definedName>
    <definedName name="rb" hidden="1">#REF!</definedName>
    <definedName name="regb" localSheetId="14" hidden="1">#REF!</definedName>
    <definedName name="regb" localSheetId="13" hidden="1">#REF!</definedName>
    <definedName name="regb" hidden="1">#REF!</definedName>
    <definedName name="rev" localSheetId="0" hidden="1">#REF!</definedName>
    <definedName name="rev" localSheetId="14" hidden="1">#REF!</definedName>
    <definedName name="rev" localSheetId="13" hidden="1">#REF!</definedName>
    <definedName name="rev" localSheetId="10" hidden="1">#REF!</definedName>
    <definedName name="rev" localSheetId="9" hidden="1">#REF!</definedName>
    <definedName name="rev" hidden="1">#REF!</definedName>
    <definedName name="revisão" localSheetId="0" hidden="1">#REF!</definedName>
    <definedName name="revisão" localSheetId="14" hidden="1">#REF!</definedName>
    <definedName name="revisão" localSheetId="13" hidden="1">#REF!</definedName>
    <definedName name="revisão" localSheetId="10" hidden="1">#REF!</definedName>
    <definedName name="revisão" localSheetId="9" hidden="1">#REF!</definedName>
    <definedName name="revisão" hidden="1">#REF!</definedName>
    <definedName name="Revista" localSheetId="0" hidden="1">#REF!</definedName>
    <definedName name="Revista" localSheetId="14" hidden="1">#REF!</definedName>
    <definedName name="Revista" localSheetId="13" hidden="1">#REF!</definedName>
    <definedName name="Revista" localSheetId="10" hidden="1">#REF!</definedName>
    <definedName name="Revista" localSheetId="9" hidden="1">#REF!</definedName>
    <definedName name="Revista" hidden="1">#REF!</definedName>
    <definedName name="SA" localSheetId="14">#REF!</definedName>
    <definedName name="SA" localSheetId="13">#REF!</definedName>
    <definedName name="SA">#REF!</definedName>
    <definedName name="SAPBEXdnldView" hidden="1">"45AN0M0XM3X75HWY9J016QH9W"</definedName>
    <definedName name="SAPBEXsysID" hidden="1">"GWP"</definedName>
    <definedName name="SAT">'[4]base TV'!#REF!</definedName>
    <definedName name="Selecionar">'[4]Conversão-Mercha'!$D$58</definedName>
    <definedName name="sencount" hidden="1">1</definedName>
    <definedName name="serey" localSheetId="14" hidden="1">{#N/A,#N/A,FALSE,"TOTAL"}</definedName>
    <definedName name="serey" localSheetId="13" hidden="1">{#N/A,#N/A,FALSE,"TOTAL"}</definedName>
    <definedName name="serey" localSheetId="11" hidden="1">{#N/A,#N/A,FALSE,"TOTAL"}</definedName>
    <definedName name="serey" localSheetId="10" hidden="1">{#N/A,#N/A,FALSE,"TOTAL"}</definedName>
    <definedName name="serey" localSheetId="9" hidden="1">{#N/A,#N/A,FALSE,"TOTAL"}</definedName>
    <definedName name="serey" localSheetId="1" hidden="1">{#N/A,#N/A,FALSE,"TOTAL"}</definedName>
    <definedName name="serey" localSheetId="2" hidden="1">{#N/A,#N/A,FALSE,"TOTAL"}</definedName>
    <definedName name="serey" localSheetId="5" hidden="1">{#N/A,#N/A,FALSE,"TOTAL"}</definedName>
    <definedName name="serey" localSheetId="6" hidden="1">{#N/A,#N/A,FALSE,"TOTAL"}</definedName>
    <definedName name="serey" localSheetId="3" hidden="1">{#N/A,#N/A,FALSE,"TOTAL"}</definedName>
    <definedName name="serey" localSheetId="4" hidden="1">{#N/A,#N/A,FALSE,"TOTAL"}</definedName>
    <definedName name="serey" localSheetId="7" hidden="1">{#N/A,#N/A,FALSE,"TOTAL"}</definedName>
    <definedName name="serey" localSheetId="8" hidden="1">{#N/A,#N/A,FALSE,"TOTAL"}</definedName>
    <definedName name="serey" hidden="1">{#N/A,#N/A,FALSE,"TOTAL"}</definedName>
    <definedName name="sh" localSheetId="14" hidden="1">{#N/A,#N/A,FALSE,"TOTAL"}</definedName>
    <definedName name="sh" localSheetId="13" hidden="1">{#N/A,#N/A,FALSE,"TOTAL"}</definedName>
    <definedName name="sh" localSheetId="11" hidden="1">{#N/A,#N/A,FALSE,"TOTAL"}</definedName>
    <definedName name="sh" localSheetId="10" hidden="1">{#N/A,#N/A,FALSE,"TOTAL"}</definedName>
    <definedName name="sh" localSheetId="9" hidden="1">{#N/A,#N/A,FALSE,"TOTAL"}</definedName>
    <definedName name="sh" localSheetId="1" hidden="1">{#N/A,#N/A,FALSE,"TOTAL"}</definedName>
    <definedName name="sh" localSheetId="2" hidden="1">{#N/A,#N/A,FALSE,"TOTAL"}</definedName>
    <definedName name="sh" localSheetId="5" hidden="1">{#N/A,#N/A,FALSE,"TOTAL"}</definedName>
    <definedName name="sh" localSheetId="6" hidden="1">{#N/A,#N/A,FALSE,"TOTAL"}</definedName>
    <definedName name="sh" localSheetId="3" hidden="1">{#N/A,#N/A,FALSE,"TOTAL"}</definedName>
    <definedName name="sh" localSheetId="4" hidden="1">{#N/A,#N/A,FALSE,"TOTAL"}</definedName>
    <definedName name="sh" localSheetId="7" hidden="1">{#N/A,#N/A,FALSE,"TOTAL"}</definedName>
    <definedName name="sh" localSheetId="8" hidden="1">{#N/A,#N/A,FALSE,"TOTAL"}</definedName>
    <definedName name="sh" hidden="1">{#N/A,#N/A,FALSE,"TOTAL"}</definedName>
    <definedName name="slov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lov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Soft" localSheetId="14" hidden="1">{"det (May)",#N/A,FALSE,"June";"sum (MAY YTD)",#N/A,FALSE,"June YTD"}</definedName>
    <definedName name="Soft" localSheetId="13" hidden="1">{"det (May)",#N/A,FALSE,"June";"sum (MAY YTD)",#N/A,FALSE,"June YTD"}</definedName>
    <definedName name="Soft" localSheetId="11" hidden="1">{"det (May)",#N/A,FALSE,"June";"sum (MAY YTD)",#N/A,FALSE,"June YTD"}</definedName>
    <definedName name="Soft" localSheetId="10" hidden="1">{"det (May)",#N/A,FALSE,"June";"sum (MAY YTD)",#N/A,FALSE,"June YTD"}</definedName>
    <definedName name="Soft" localSheetId="9" hidden="1">{"det (May)",#N/A,FALSE,"June";"sum (MAY YTD)",#N/A,FALSE,"June YTD"}</definedName>
    <definedName name="Soft" localSheetId="1" hidden="1">{"det (May)",#N/A,FALSE,"June";"sum (MAY YTD)",#N/A,FALSE,"June YTD"}</definedName>
    <definedName name="Soft" localSheetId="2" hidden="1">{"det (May)",#N/A,FALSE,"June";"sum (MAY YTD)",#N/A,FALSE,"June YTD"}</definedName>
    <definedName name="Soft" localSheetId="5" hidden="1">{"det (May)",#N/A,FALSE,"June";"sum (MAY YTD)",#N/A,FALSE,"June YTD"}</definedName>
    <definedName name="Soft" localSheetId="6" hidden="1">{"det (May)",#N/A,FALSE,"June";"sum (MAY YTD)",#N/A,FALSE,"June YTD"}</definedName>
    <definedName name="Soft" localSheetId="3" hidden="1">{"det (May)",#N/A,FALSE,"June";"sum (MAY YTD)",#N/A,FALSE,"June YTD"}</definedName>
    <definedName name="Soft" localSheetId="4" hidden="1">{"det (May)",#N/A,FALSE,"June";"sum (MAY YTD)",#N/A,FALSE,"June YTD"}</definedName>
    <definedName name="Soft" localSheetId="7" hidden="1">{"det (May)",#N/A,FALSE,"June";"sum (MAY YTD)",#N/A,FALSE,"June YTD"}</definedName>
    <definedName name="Soft" localSheetId="8" hidden="1">{"det (May)",#N/A,FALSE,"June";"sum (MAY YTD)",#N/A,FALSE,"June YTD"}</definedName>
    <definedName name="Soft" hidden="1">{"det (May)",#N/A,FALSE,"June";"sum (MAY YTD)",#N/A,FALSE,"June YTD"}</definedName>
    <definedName name="sol" localSheetId="0" hidden="1">#REF!</definedName>
    <definedName name="sol" localSheetId="14" hidden="1">#REF!</definedName>
    <definedName name="sol" localSheetId="13" hidden="1">#REF!</definedName>
    <definedName name="sol" localSheetId="10" hidden="1">#REF!</definedName>
    <definedName name="sol" localSheetId="9" hidden="1">#REF!</definedName>
    <definedName name="sol" hidden="1">#REF!</definedName>
    <definedName name="stella" localSheetId="14" hidden="1">{"det (May)",#N/A,FALSE,"June";"sum (MAY YTD)",#N/A,FALSE,"June YTD"}</definedName>
    <definedName name="stella" localSheetId="13" hidden="1">{"det (May)",#N/A,FALSE,"June";"sum (MAY YTD)",#N/A,FALSE,"June YTD"}</definedName>
    <definedName name="stella" localSheetId="11" hidden="1">{"det (May)",#N/A,FALSE,"June";"sum (MAY YTD)",#N/A,FALSE,"June YTD"}</definedName>
    <definedName name="stella" localSheetId="10" hidden="1">{"det (May)",#N/A,FALSE,"June";"sum (MAY YTD)",#N/A,FALSE,"June YTD"}</definedName>
    <definedName name="stella" localSheetId="9" hidden="1">{"det (May)",#N/A,FALSE,"June";"sum (MAY YTD)",#N/A,FALSE,"June YTD"}</definedName>
    <definedName name="stella" localSheetId="1" hidden="1">{"det (May)",#N/A,FALSE,"June";"sum (MAY YTD)",#N/A,FALSE,"June YTD"}</definedName>
    <definedName name="stella" localSheetId="2" hidden="1">{"det (May)",#N/A,FALSE,"June";"sum (MAY YTD)",#N/A,FALSE,"June YTD"}</definedName>
    <definedName name="stella" localSheetId="5" hidden="1">{"det (May)",#N/A,FALSE,"June";"sum (MAY YTD)",#N/A,FALSE,"June YTD"}</definedName>
    <definedName name="stella" localSheetId="6" hidden="1">{"det (May)",#N/A,FALSE,"June";"sum (MAY YTD)",#N/A,FALSE,"June YTD"}</definedName>
    <definedName name="stella" localSheetId="3" hidden="1">{"det (May)",#N/A,FALSE,"June";"sum (MAY YTD)",#N/A,FALSE,"June YTD"}</definedName>
    <definedName name="stella" localSheetId="4" hidden="1">{"det (May)",#N/A,FALSE,"June";"sum (MAY YTD)",#N/A,FALSE,"June YTD"}</definedName>
    <definedName name="stella" localSheetId="7" hidden="1">{"det (May)",#N/A,FALSE,"June";"sum (MAY YTD)",#N/A,FALSE,"June YTD"}</definedName>
    <definedName name="stella" localSheetId="8" hidden="1">{"det (May)",#N/A,FALSE,"June";"sum (MAY YTD)",#N/A,FALSE,"June YTD"}</definedName>
    <definedName name="stella" hidden="1">{"det (May)",#N/A,FALSE,"June";"sum (MAY YTD)",#N/A,FALSE,"June YTD"}</definedName>
    <definedName name="t" localSheetId="14" hidden="1">#REF!</definedName>
    <definedName name="t" localSheetId="13" hidden="1">#REF!</definedName>
    <definedName name="t" hidden="1">#REF!</definedName>
    <definedName name="tb" localSheetId="14" hidden="1">#REF!</definedName>
    <definedName name="tb" localSheetId="13" hidden="1">#REF!</definedName>
    <definedName name="tb" hidden="1">#REF!</definedName>
    <definedName name="teste" localSheetId="14">#REF!</definedName>
    <definedName name="teste" localSheetId="13">#REF!</definedName>
    <definedName name="teste">#REF!</definedName>
    <definedName name="tets" localSheetId="14" hidden="1">#REF!</definedName>
    <definedName name="tets" localSheetId="13" hidden="1">#REF!</definedName>
    <definedName name="tets" hidden="1">#REF!</definedName>
    <definedName name="text" localSheetId="14" hidden="1">#REF!</definedName>
    <definedName name="text" localSheetId="13" hidden="1">#REF!</definedName>
    <definedName name="text" hidden="1">#REF!</definedName>
    <definedName name="thtyht" localSheetId="14" hidden="1">#REF!</definedName>
    <definedName name="thtyht" localSheetId="13" hidden="1">#REF!</definedName>
    <definedName name="thtyht" hidden="1">#REF!</definedName>
    <definedName name="thyhh" localSheetId="14" hidden="1">#REF!</definedName>
    <definedName name="thyhh" localSheetId="13" hidden="1">#REF!</definedName>
    <definedName name="thyhh" hidden="1">#REF!</definedName>
    <definedName name="TOTAL" localSheetId="14">#REF!</definedName>
    <definedName name="TOTAL" localSheetId="13">#REF!</definedName>
    <definedName name="TOTAL">#REF!</definedName>
    <definedName name="TOTAL13" localSheetId="14">#REF!</definedName>
    <definedName name="TOTAL13" localSheetId="13">#REF!</definedName>
    <definedName name="TOTAL13">#REF!</definedName>
    <definedName name="TOTAL2" localSheetId="14">#REF!</definedName>
    <definedName name="TOTAL2" localSheetId="13">#REF!</definedName>
    <definedName name="TOTAL2">#REF!</definedName>
    <definedName name="TOTAL4" localSheetId="14">#REF!</definedName>
    <definedName name="TOTAL4" localSheetId="13">#REF!</definedName>
    <definedName name="TOTAL4">#REF!</definedName>
    <definedName name="TTT" localSheetId="0" hidden="1">#REF!</definedName>
    <definedName name="TTT" localSheetId="14" hidden="1">#REF!</definedName>
    <definedName name="TTT" localSheetId="13" hidden="1">#REF!</definedName>
    <definedName name="TTT" localSheetId="10" hidden="1">#REF!</definedName>
    <definedName name="TTT" localSheetId="9" hidden="1">#REF!</definedName>
    <definedName name="TTT" hidden="1">#REF!</definedName>
    <definedName name="tyb" localSheetId="14" hidden="1">#REF!</definedName>
    <definedName name="tyb" localSheetId="13" hidden="1">#REF!</definedName>
    <definedName name="tyb" hidden="1">#REF!</definedName>
    <definedName name="tyh" localSheetId="14" hidden="1">#REF!</definedName>
    <definedName name="tyh" localSheetId="13" hidden="1">#REF!</definedName>
    <definedName name="tyh" hidden="1">#REF!</definedName>
    <definedName name="tyhth" localSheetId="14" hidden="1">#REF!</definedName>
    <definedName name="tyhth" localSheetId="13" hidden="1">#REF!</definedName>
    <definedName name="tyhth" hidden="1">#REF!</definedName>
    <definedName name="UNI" localSheetId="0" hidden="1">#REF!</definedName>
    <definedName name="UNI" localSheetId="14" hidden="1">#REF!</definedName>
    <definedName name="UNI" localSheetId="13" hidden="1">#REF!</definedName>
    <definedName name="UNI" localSheetId="10" hidden="1">#REF!</definedName>
    <definedName name="UNI" localSheetId="9" hidden="1">#REF!</definedName>
    <definedName name="UNI" hidden="1">#REF!</definedName>
    <definedName name="v" localSheetId="14" hidden="1">#REF!</definedName>
    <definedName name="v" localSheetId="13" hidden="1">#REF!</definedName>
    <definedName name="v" hidden="1">#REF!</definedName>
    <definedName name="VERSION" localSheetId="14">#REF!</definedName>
    <definedName name="VERSION" localSheetId="13">#REF!</definedName>
    <definedName name="VERSION">#REF!</definedName>
    <definedName name="VERSIÓN" localSheetId="14">#REF!</definedName>
    <definedName name="VERSIÓN" localSheetId="13">#REF!</definedName>
    <definedName name="VERSIÓN">#REF!</definedName>
    <definedName name="vfvr" localSheetId="14" hidden="1">#REF!</definedName>
    <definedName name="vfvr" localSheetId="13" hidden="1">#REF!</definedName>
    <definedName name="vfvr" hidden="1">#REF!</definedName>
    <definedName name="vr" localSheetId="14" hidden="1">#REF!</definedName>
    <definedName name="vr" localSheetId="13" hidden="1">#REF!</definedName>
    <definedName name="vr" hidden="1">#REF!</definedName>
    <definedName name="WeekNumbers">#N/A</definedName>
    <definedName name="wrn.ALL." localSheetId="14" hidden="1">{#N/A,#N/A,FALSE,"DCF";#N/A,#N/A,FALSE,"WACC";#N/A,#N/A,FALSE,"Sales_EBIT";#N/A,#N/A,FALSE,"Capex_Depreciation";#N/A,#N/A,FALSE,"WC";#N/A,#N/A,FALSE,"Interest";#N/A,#N/A,FALSE,"Assumptions"}</definedName>
    <definedName name="wrn.ALL." localSheetId="13" hidden="1">{#N/A,#N/A,FALSE,"DCF";#N/A,#N/A,FALSE,"WACC";#N/A,#N/A,FALSE,"Sales_EBIT";#N/A,#N/A,FALSE,"Capex_Depreciation";#N/A,#N/A,FALSE,"WC";#N/A,#N/A,FALSE,"Interest";#N/A,#N/A,FALSE,"Assumptions"}</definedName>
    <definedName name="wrn.ALL." localSheetId="11" hidden="1">{#N/A,#N/A,FALSE,"DCF";#N/A,#N/A,FALSE,"WACC";#N/A,#N/A,FALSE,"Sales_EBIT";#N/A,#N/A,FALSE,"Capex_Depreciation";#N/A,#N/A,FALSE,"WC";#N/A,#N/A,FALSE,"Interest";#N/A,#N/A,FALSE,"Assumptions"}</definedName>
    <definedName name="wrn.ALL." localSheetId="10" hidden="1">{#N/A,#N/A,FALSE,"DCF";#N/A,#N/A,FALSE,"WACC";#N/A,#N/A,FALSE,"Sales_EBIT";#N/A,#N/A,FALSE,"Capex_Depreciation";#N/A,#N/A,FALSE,"WC";#N/A,#N/A,FALSE,"Interest";#N/A,#N/A,FALSE,"Assumptions"}</definedName>
    <definedName name="wrn.ALL." localSheetId="9" hidden="1">{#N/A,#N/A,FALSE,"DCF";#N/A,#N/A,FALSE,"WACC";#N/A,#N/A,FALSE,"Sales_EBIT";#N/A,#N/A,FALSE,"Capex_Depreciation";#N/A,#N/A,FALSE,"WC";#N/A,#N/A,FALSE,"Interest";#N/A,#N/A,FALSE,"Assumptions"}</definedName>
    <definedName name="wrn.ALL." localSheetId="1" hidden="1">{#N/A,#N/A,FALSE,"DCF";#N/A,#N/A,FALSE,"WACC";#N/A,#N/A,FALSE,"Sales_EBIT";#N/A,#N/A,FALSE,"Capex_Depreciation";#N/A,#N/A,FALSE,"WC";#N/A,#N/A,FALSE,"Interest";#N/A,#N/A,FALSE,"Assumptions"}</definedName>
    <definedName name="wrn.ALL." localSheetId="2" hidden="1">{#N/A,#N/A,FALSE,"DCF";#N/A,#N/A,FALSE,"WACC";#N/A,#N/A,FALSE,"Sales_EBIT";#N/A,#N/A,FALSE,"Capex_Depreciation";#N/A,#N/A,FALSE,"WC";#N/A,#N/A,FALSE,"Interest";#N/A,#N/A,FALSE,"Assumptions"}</definedName>
    <definedName name="wrn.ALL." localSheetId="5" hidden="1">{#N/A,#N/A,FALSE,"DCF";#N/A,#N/A,FALSE,"WACC";#N/A,#N/A,FALSE,"Sales_EBIT";#N/A,#N/A,FALSE,"Capex_Depreciation";#N/A,#N/A,FALSE,"WC";#N/A,#N/A,FALSE,"Interest";#N/A,#N/A,FALSE,"Assumptions"}</definedName>
    <definedName name="wrn.ALL." localSheetId="6" hidden="1">{#N/A,#N/A,FALSE,"DCF";#N/A,#N/A,FALSE,"WACC";#N/A,#N/A,FALSE,"Sales_EBIT";#N/A,#N/A,FALSE,"Capex_Depreciation";#N/A,#N/A,FALSE,"WC";#N/A,#N/A,FALSE,"Interest";#N/A,#N/A,FALSE,"Assumptions"}</definedName>
    <definedName name="wrn.ALL." localSheetId="3" hidden="1">{#N/A,#N/A,FALSE,"DCF";#N/A,#N/A,FALSE,"WACC";#N/A,#N/A,FALSE,"Sales_EBIT";#N/A,#N/A,FALSE,"Capex_Depreciation";#N/A,#N/A,FALSE,"WC";#N/A,#N/A,FALSE,"Interest";#N/A,#N/A,FALSE,"Assumptions"}</definedName>
    <definedName name="wrn.ALL." localSheetId="4" hidden="1">{#N/A,#N/A,FALSE,"DCF";#N/A,#N/A,FALSE,"WACC";#N/A,#N/A,FALSE,"Sales_EBIT";#N/A,#N/A,FALSE,"Capex_Depreciation";#N/A,#N/A,FALSE,"WC";#N/A,#N/A,FALSE,"Interest";#N/A,#N/A,FALSE,"Assumptions"}</definedName>
    <definedName name="wrn.ALL." localSheetId="7" hidden="1">{#N/A,#N/A,FALSE,"DCF";#N/A,#N/A,FALSE,"WACC";#N/A,#N/A,FALSE,"Sales_EBIT";#N/A,#N/A,FALSE,"Capex_Depreciation";#N/A,#N/A,FALSE,"WC";#N/A,#N/A,FALSE,"Interest";#N/A,#N/A,FALSE,"Assumptions"}</definedName>
    <definedName name="wrn.ALL." localSheetId="8" hidden="1">{#N/A,#N/A,FALSE,"DCF";#N/A,#N/A,FALSE,"WACC";#N/A,#N/A,FALSE,"Sales_EBIT";#N/A,#N/A,FALSE,"Capex_Depreciation";#N/A,#N/A,FALSE,"WC";#N/A,#N/A,FALSE,"Interest";#N/A,#N/A,FALSE,"Assumptions"}</definedName>
    <definedName name="wrn.ALL." hidden="1">{#N/A,#N/A,FALSE,"DCF";#N/A,#N/A,FALSE,"WACC";#N/A,#N/A,FALSE,"Sales_EBIT";#N/A,#N/A,FALSE,"Capex_Depreciation";#N/A,#N/A,FALSE,"WC";#N/A,#N/A,FALSE,"Interest";#N/A,#N/A,FALSE,"Assumptions"}</definedName>
    <definedName name="wrn.aug" localSheetId="14" hidden="1">{"det (May)",#N/A,FALSE,"June";"sum (MAY YTD)",#N/A,FALSE,"June YTD"}</definedName>
    <definedName name="wrn.aug" localSheetId="13" hidden="1">{"det (May)",#N/A,FALSE,"June";"sum (MAY YTD)",#N/A,FALSE,"June YTD"}</definedName>
    <definedName name="wrn.aug" localSheetId="11" hidden="1">{"det (May)",#N/A,FALSE,"June";"sum (MAY YTD)",#N/A,FALSE,"June YTD"}</definedName>
    <definedName name="wrn.aug" localSheetId="10" hidden="1">{"det (May)",#N/A,FALSE,"June";"sum (MAY YTD)",#N/A,FALSE,"June YTD"}</definedName>
    <definedName name="wrn.aug" localSheetId="9" hidden="1">{"det (May)",#N/A,FALSE,"June";"sum (MAY YTD)",#N/A,FALSE,"June YTD"}</definedName>
    <definedName name="wrn.aug" localSheetId="1" hidden="1">{"det (May)",#N/A,FALSE,"June";"sum (MAY YTD)",#N/A,FALSE,"June YTD"}</definedName>
    <definedName name="wrn.aug" localSheetId="2" hidden="1">{"det (May)",#N/A,FALSE,"June";"sum (MAY YTD)",#N/A,FALSE,"June YTD"}</definedName>
    <definedName name="wrn.aug" localSheetId="5" hidden="1">{"det (May)",#N/A,FALSE,"June";"sum (MAY YTD)",#N/A,FALSE,"June YTD"}</definedName>
    <definedName name="wrn.aug" localSheetId="6" hidden="1">{"det (May)",#N/A,FALSE,"June";"sum (MAY YTD)",#N/A,FALSE,"June YTD"}</definedName>
    <definedName name="wrn.aug" localSheetId="3" hidden="1">{"det (May)",#N/A,FALSE,"June";"sum (MAY YTD)",#N/A,FALSE,"June YTD"}</definedName>
    <definedName name="wrn.aug" localSheetId="4" hidden="1">{"det (May)",#N/A,FALSE,"June";"sum (MAY YTD)",#N/A,FALSE,"June YTD"}</definedName>
    <definedName name="wrn.aug" localSheetId="7" hidden="1">{"det (May)",#N/A,FALSE,"June";"sum (MAY YTD)",#N/A,FALSE,"June YTD"}</definedName>
    <definedName name="wrn.aug" localSheetId="8" hidden="1">{"det (May)",#N/A,FALSE,"June";"sum (MAY YTD)",#N/A,FALSE,"June YTD"}</definedName>
    <definedName name="wrn.aug" hidden="1">{"det (May)",#N/A,FALSE,"June";"sum (MAY YTD)",#N/A,FALSE,"June YTD"}</definedName>
    <definedName name="wrn.augyt" localSheetId="14" hidden="1">{"det (May)",#N/A,FALSE,"June";"sum (MAY YTD)",#N/A,FALSE,"June YTD"}</definedName>
    <definedName name="wrn.augyt" localSheetId="13" hidden="1">{"det (May)",#N/A,FALSE,"June";"sum (MAY YTD)",#N/A,FALSE,"June YTD"}</definedName>
    <definedName name="wrn.augyt" localSheetId="11" hidden="1">{"det (May)",#N/A,FALSE,"June";"sum (MAY YTD)",#N/A,FALSE,"June YTD"}</definedName>
    <definedName name="wrn.augyt" localSheetId="10" hidden="1">{"det (May)",#N/A,FALSE,"June";"sum (MAY YTD)",#N/A,FALSE,"June YTD"}</definedName>
    <definedName name="wrn.augyt" localSheetId="9" hidden="1">{"det (May)",#N/A,FALSE,"June";"sum (MAY YTD)",#N/A,FALSE,"June YTD"}</definedName>
    <definedName name="wrn.augyt" localSheetId="1" hidden="1">{"det (May)",#N/A,FALSE,"June";"sum (MAY YTD)",#N/A,FALSE,"June YTD"}</definedName>
    <definedName name="wrn.augyt" localSheetId="2" hidden="1">{"det (May)",#N/A,FALSE,"June";"sum (MAY YTD)",#N/A,FALSE,"June YTD"}</definedName>
    <definedName name="wrn.augyt" localSheetId="5" hidden="1">{"det (May)",#N/A,FALSE,"June";"sum (MAY YTD)",#N/A,FALSE,"June YTD"}</definedName>
    <definedName name="wrn.augyt" localSheetId="6" hidden="1">{"det (May)",#N/A,FALSE,"June";"sum (MAY YTD)",#N/A,FALSE,"June YTD"}</definedName>
    <definedName name="wrn.augyt" localSheetId="3" hidden="1">{"det (May)",#N/A,FALSE,"June";"sum (MAY YTD)",#N/A,FALSE,"June YTD"}</definedName>
    <definedName name="wrn.augyt" localSheetId="4" hidden="1">{"det (May)",#N/A,FALSE,"June";"sum (MAY YTD)",#N/A,FALSE,"June YTD"}</definedName>
    <definedName name="wrn.augyt" localSheetId="7" hidden="1">{"det (May)",#N/A,FALSE,"June";"sum (MAY YTD)",#N/A,FALSE,"June YTD"}</definedName>
    <definedName name="wrn.augyt" localSheetId="8" hidden="1">{"det (May)",#N/A,FALSE,"June";"sum (MAY YTD)",#N/A,FALSE,"June YTD"}</definedName>
    <definedName name="wrn.augyt" hidden="1">{"det (May)",#N/A,FALSE,"June";"sum (MAY YTD)",#N/A,FALSE,"June YTD"}</definedName>
    <definedName name="wrn.augYTD" localSheetId="14" hidden="1">{"det (May)",#N/A,FALSE,"June";"sum (MAY YTD)",#N/A,FALSE,"June YTD"}</definedName>
    <definedName name="wrn.augYTD" localSheetId="13" hidden="1">{"det (May)",#N/A,FALSE,"June";"sum (MAY YTD)",#N/A,FALSE,"June YTD"}</definedName>
    <definedName name="wrn.augYTD" localSheetId="11" hidden="1">{"det (May)",#N/A,FALSE,"June";"sum (MAY YTD)",#N/A,FALSE,"June YTD"}</definedName>
    <definedName name="wrn.augYTD" localSheetId="10" hidden="1">{"det (May)",#N/A,FALSE,"June";"sum (MAY YTD)",#N/A,FALSE,"June YTD"}</definedName>
    <definedName name="wrn.augYTD" localSheetId="9" hidden="1">{"det (May)",#N/A,FALSE,"June";"sum (MAY YTD)",#N/A,FALSE,"June YTD"}</definedName>
    <definedName name="wrn.augYTD" localSheetId="1" hidden="1">{"det (May)",#N/A,FALSE,"June";"sum (MAY YTD)",#N/A,FALSE,"June YTD"}</definedName>
    <definedName name="wrn.augYTD" localSheetId="2" hidden="1">{"det (May)",#N/A,FALSE,"June";"sum (MAY YTD)",#N/A,FALSE,"June YTD"}</definedName>
    <definedName name="wrn.augYTD" localSheetId="5" hidden="1">{"det (May)",#N/A,FALSE,"June";"sum (MAY YTD)",#N/A,FALSE,"June YTD"}</definedName>
    <definedName name="wrn.augYTD" localSheetId="6" hidden="1">{"det (May)",#N/A,FALSE,"June";"sum (MAY YTD)",#N/A,FALSE,"June YTD"}</definedName>
    <definedName name="wrn.augYTD" localSheetId="3" hidden="1">{"det (May)",#N/A,FALSE,"June";"sum (MAY YTD)",#N/A,FALSE,"June YTD"}</definedName>
    <definedName name="wrn.augYTD" localSheetId="4" hidden="1">{"det (May)",#N/A,FALSE,"June";"sum (MAY YTD)",#N/A,FALSE,"June YTD"}</definedName>
    <definedName name="wrn.augYTD" localSheetId="7" hidden="1">{"det (May)",#N/A,FALSE,"June";"sum (MAY YTD)",#N/A,FALSE,"June YTD"}</definedName>
    <definedName name="wrn.augYTD" localSheetId="8" hidden="1">{"det (May)",#N/A,FALSE,"June";"sum (MAY YTD)",#N/A,FALSE,"June YTD"}</definedName>
    <definedName name="wrn.augYTD" hidden="1">{"det (May)",#N/A,FALSE,"June";"sum (MAY YTD)",#N/A,FALSE,"June YTD"}</definedName>
    <definedName name="wrn.brol.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brol.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.DCFEpervier." localSheetId="1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0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9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1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2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5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6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3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4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7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localSheetId="8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CFEpervier." hidden="1">{#N/A,#N/A,FALSE,"Inc. Statement-DCF";#N/A,#N/A,FALSE,"Assumptions";#N/A,#N/A,FALSE,"Inputs - Sales (KFF)";#N/A,#N/A,FALSE,"Inputs - Margins %";#N/A,#N/A,FALSE,"Inputs - Units";#N/A,#N/A,FALSE,"Output - Prices";#N/A,#N/A,FALSE,"Outputs - Margins (KFF)";#N/A,#N/A,FALSE,"Outputs - Costs";#N/A,#N/A,FALSE,"Outputs - Costs % ";#N/A,#N/A,FALSE,"Output - Units % Inc.";#N/A,#N/A,FALSE,"Output - Sales % Inc";#N/A,#N/A,FALSE,"Output - Prices % Inc.";#N/A,#N/A,FALSE,"WACC"}</definedName>
    <definedName name="wrn.DHOR._.ESTAÇÕES._.L._.2._.até._.JUN98." localSheetId="1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0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9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1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2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5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6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3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4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7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localSheetId="8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._.2._.até._.JUN98." hidden="1">{"DhVCV",#N/A,FALSE,"CRC";"DhTCL",#N/A,FALSE,"CRC";"dhERN",#N/A,FALSE,"Plan1";"DhINH",#N/A,FALSE,"Plan1";"dhDCT",#N/A,FALSE,"Plan1";"DhMGR",#N/A,FALSE,"Plan1";"DhTRG",#N/A,FALSE,"Plan1";"DhMRC",#N/A,FALSE,"Plan1";"DhSCR",#N/A,FALSE,"Plan1";"CAPAL2",#N/A,FALSE,"CAPAL2"}</definedName>
    <definedName name="wrn.DHOR._.ESTAÇÕES._.L1._.até._.JUN98." localSheetId="1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0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9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1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2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5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6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3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4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7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localSheetId="8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R._.ESTAÇÕES._.L1._.até._.JUN98." hidden="1">{"dhBTF",#N/A,FALSE,"ABSOLUTO";"dhFLA",#N/A,FALSE,"ABSOLUTO";"DhLMC",#N/A,FALSE,"ABSOLUTO";"dhCTT",#N/A,FALSE,"ABSOLUTO";"dhGLR",#N/A,FALSE,"ABSOLUTO";"dhCNL",#N/A,FALSE,"ABSOLUTO";"dhCRC",#N/A,FALSE,"ABSOLUTO";"DhURG",#N/A,FALSE,"ABSOLUTO";"DhPVG",#N/A,FALSE,"ABSOLUTO";"dhCTR",#N/A,FALSE,"ABSOLUTO";"DhPOZ",#N/A,FALSE,"ABSOLUTO";"dhESA",#N/A,FALSE,"ABSOLUTO";"dhAFP",#N/A,FALSE,"ABSOLUTO";"DhSFX",#N/A,FALSE,"ABSOLUTO";"DhSPN",#N/A,FALSE,"ABSOLUTO";"SisL1L2",#N/A,FALSE,"ABSOLUTO"}</definedName>
    <definedName name="wrn.DhOut98." localSheetId="14" hidden="1">{"1DhPgAbs",#N/A,FALSE,"dHora";"2DhPgPerc",#N/A,FALSE,"dHora";"3DhPgAbsAcum",#N/A,FALSE,"dHora"}</definedName>
    <definedName name="wrn.DhOut98." localSheetId="13" hidden="1">{"1DhPgAbs",#N/A,FALSE,"dHora";"2DhPgPerc",#N/A,FALSE,"dHora";"3DhPgAbsAcum",#N/A,FALSE,"dHora"}</definedName>
    <definedName name="wrn.DhOut98." localSheetId="11" hidden="1">{"1DhPgAbs",#N/A,FALSE,"dHora";"2DhPgPerc",#N/A,FALSE,"dHora";"3DhPgAbsAcum",#N/A,FALSE,"dHora"}</definedName>
    <definedName name="wrn.DhOut98." localSheetId="10" hidden="1">{"1DhPgAbs",#N/A,FALSE,"dHora";"2DhPgPerc",#N/A,FALSE,"dHora";"3DhPgAbsAcum",#N/A,FALSE,"dHora"}</definedName>
    <definedName name="wrn.DhOut98." localSheetId="9" hidden="1">{"1DhPgAbs",#N/A,FALSE,"dHora";"2DhPgPerc",#N/A,FALSE,"dHora";"3DhPgAbsAcum",#N/A,FALSE,"dHora"}</definedName>
    <definedName name="wrn.DhOut98." localSheetId="1" hidden="1">{"1DhPgAbs",#N/A,FALSE,"dHora";"2DhPgPerc",#N/A,FALSE,"dHora";"3DhPgAbsAcum",#N/A,FALSE,"dHora"}</definedName>
    <definedName name="wrn.DhOut98." localSheetId="2" hidden="1">{"1DhPgAbs",#N/A,FALSE,"dHora";"2DhPgPerc",#N/A,FALSE,"dHora";"3DhPgAbsAcum",#N/A,FALSE,"dHora"}</definedName>
    <definedName name="wrn.DhOut98." localSheetId="5" hidden="1">{"1DhPgAbs",#N/A,FALSE,"dHora";"2DhPgPerc",#N/A,FALSE,"dHora";"3DhPgAbsAcum",#N/A,FALSE,"dHora"}</definedName>
    <definedName name="wrn.DhOut98." localSheetId="6" hidden="1">{"1DhPgAbs",#N/A,FALSE,"dHora";"2DhPgPerc",#N/A,FALSE,"dHora";"3DhPgAbsAcum",#N/A,FALSE,"dHora"}</definedName>
    <definedName name="wrn.DhOut98." localSheetId="3" hidden="1">{"1DhPgAbs",#N/A,FALSE,"dHora";"2DhPgPerc",#N/A,FALSE,"dHora";"3DhPgAbsAcum",#N/A,FALSE,"dHora"}</definedName>
    <definedName name="wrn.DhOut98." localSheetId="4" hidden="1">{"1DhPgAbs",#N/A,FALSE,"dHora";"2DhPgPerc",#N/A,FALSE,"dHora";"3DhPgAbsAcum",#N/A,FALSE,"dHora"}</definedName>
    <definedName name="wrn.DhOut98." localSheetId="7" hidden="1">{"1DhPgAbs",#N/A,FALSE,"dHora";"2DhPgPerc",#N/A,FALSE,"dHora";"3DhPgAbsAcum",#N/A,FALSE,"dHora"}</definedName>
    <definedName name="wrn.DhOut98." localSheetId="8" hidden="1">{"1DhPgAbs",#N/A,FALSE,"dHora";"2DhPgPerc",#N/A,FALSE,"dHora";"3DhPgAbsAcum",#N/A,FALSE,"dHora"}</definedName>
    <definedName name="wrn.DhOut98." hidden="1">{"1DhPgAbs",#N/A,FALSE,"dHora";"2DhPgPerc",#N/A,FALSE,"dHora";"3DhPgAbsAcum",#N/A,FALSE,"dHora"}</definedName>
    <definedName name="wrn.June." localSheetId="14" hidden="1">{"det (May)",#N/A,FALSE,"June";"sum (MAY YTD)",#N/A,FALSE,"June YTD"}</definedName>
    <definedName name="wrn.June." localSheetId="13" hidden="1">{"det (May)",#N/A,FALSE,"June";"sum (MAY YTD)",#N/A,FALSE,"June YTD"}</definedName>
    <definedName name="wrn.June." localSheetId="11" hidden="1">{"det (May)",#N/A,FALSE,"June";"sum (MAY YTD)",#N/A,FALSE,"June YTD"}</definedName>
    <definedName name="wrn.June." localSheetId="10" hidden="1">{"det (May)",#N/A,FALSE,"June";"sum (MAY YTD)",#N/A,FALSE,"June YTD"}</definedName>
    <definedName name="wrn.June." localSheetId="9" hidden="1">{"det (May)",#N/A,FALSE,"June";"sum (MAY YTD)",#N/A,FALSE,"June YTD"}</definedName>
    <definedName name="wrn.June." localSheetId="1" hidden="1">{"det (May)",#N/A,FALSE,"June";"sum (MAY YTD)",#N/A,FALSE,"June YTD"}</definedName>
    <definedName name="wrn.June." localSheetId="2" hidden="1">{"det (May)",#N/A,FALSE,"June";"sum (MAY YTD)",#N/A,FALSE,"June YTD"}</definedName>
    <definedName name="wrn.June." localSheetId="5" hidden="1">{"det (May)",#N/A,FALSE,"June";"sum (MAY YTD)",#N/A,FALSE,"June YTD"}</definedName>
    <definedName name="wrn.June." localSheetId="6" hidden="1">{"det (May)",#N/A,FALSE,"June";"sum (MAY YTD)",#N/A,FALSE,"June YTD"}</definedName>
    <definedName name="wrn.June." localSheetId="3" hidden="1">{"det (May)",#N/A,FALSE,"June";"sum (MAY YTD)",#N/A,FALSE,"June YTD"}</definedName>
    <definedName name="wrn.June." localSheetId="4" hidden="1">{"det (May)",#N/A,FALSE,"June";"sum (MAY YTD)",#N/A,FALSE,"June YTD"}</definedName>
    <definedName name="wrn.June." localSheetId="7" hidden="1">{"det (May)",#N/A,FALSE,"June";"sum (MAY YTD)",#N/A,FALSE,"June YTD"}</definedName>
    <definedName name="wrn.June." localSheetId="8" hidden="1">{"det (May)",#N/A,FALSE,"June";"sum (MAY YTD)",#N/A,FALSE,"June YTD"}</definedName>
    <definedName name="wrn.June." hidden="1">{"det (May)",#N/A,FALSE,"June";"sum (MAY YTD)",#N/A,FALSE,"June YTD"}</definedName>
    <definedName name="wrn.total." localSheetId="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0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9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1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2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5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6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3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4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7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localSheetId="8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.total." hidden="1">{#N/A,#N/A,TRUE,"Ano";#N/A,#N/A,TRUE,"Ene";#N/A,#N/A,TRUE,"Feb";#N/A,#N/A,TRUE,"Mar";#N/A,#N/A,TRUE,"Abr";#N/A,#N/A,TRUE,"May";#N/A,#N/A,TRUE,"Jun";#N/A,#N/A,TRUE,"Jul";#N/A,#N/A,TRUE,"Ago";#N/A,#N/A,TRUE,"Sep";#N/A,#N/A,TRUE,"Oct";#N/A,#N/A,TRUE,"Nov";#N/A,#N/A,TRUE,"Dic"}</definedName>
    <definedName name="wrn1.aug" localSheetId="14" hidden="1">{"det (May)",#N/A,FALSE,"June";"sum (MAY YTD)",#N/A,FALSE,"June YTD"}</definedName>
    <definedName name="wrn1.aug" localSheetId="13" hidden="1">{"det (May)",#N/A,FALSE,"June";"sum (MAY YTD)",#N/A,FALSE,"June YTD"}</definedName>
    <definedName name="wrn1.aug" localSheetId="11" hidden="1">{"det (May)",#N/A,FALSE,"June";"sum (MAY YTD)",#N/A,FALSE,"June YTD"}</definedName>
    <definedName name="wrn1.aug" localSheetId="10" hidden="1">{"det (May)",#N/A,FALSE,"June";"sum (MAY YTD)",#N/A,FALSE,"June YTD"}</definedName>
    <definedName name="wrn1.aug" localSheetId="9" hidden="1">{"det (May)",#N/A,FALSE,"June";"sum (MAY YTD)",#N/A,FALSE,"June YTD"}</definedName>
    <definedName name="wrn1.aug" localSheetId="1" hidden="1">{"det (May)",#N/A,FALSE,"June";"sum (MAY YTD)",#N/A,FALSE,"June YTD"}</definedName>
    <definedName name="wrn1.aug" localSheetId="2" hidden="1">{"det (May)",#N/A,FALSE,"June";"sum (MAY YTD)",#N/A,FALSE,"June YTD"}</definedName>
    <definedName name="wrn1.aug" localSheetId="5" hidden="1">{"det (May)",#N/A,FALSE,"June";"sum (MAY YTD)",#N/A,FALSE,"June YTD"}</definedName>
    <definedName name="wrn1.aug" localSheetId="6" hidden="1">{"det (May)",#N/A,FALSE,"June";"sum (MAY YTD)",#N/A,FALSE,"June YTD"}</definedName>
    <definedName name="wrn1.aug" localSheetId="3" hidden="1">{"det (May)",#N/A,FALSE,"June";"sum (MAY YTD)",#N/A,FALSE,"June YTD"}</definedName>
    <definedName name="wrn1.aug" localSheetId="4" hidden="1">{"det (May)",#N/A,FALSE,"June";"sum (MAY YTD)",#N/A,FALSE,"June YTD"}</definedName>
    <definedName name="wrn1.aug" localSheetId="7" hidden="1">{"det (May)",#N/A,FALSE,"June";"sum (MAY YTD)",#N/A,FALSE,"June YTD"}</definedName>
    <definedName name="wrn1.aug" localSheetId="8" hidden="1">{"det (May)",#N/A,FALSE,"June";"sum (MAY YTD)",#N/A,FALSE,"June YTD"}</definedName>
    <definedName name="wrn1.aug" hidden="1">{"det (May)",#N/A,FALSE,"June";"sum (MAY YTD)",#N/A,FALSE,"June YTD"}</definedName>
    <definedName name="wrn1.augtyd" localSheetId="14" hidden="1">{"det (May)",#N/A,FALSE,"June";"sum (MAY YTD)",#N/A,FALSE,"June YTD"}</definedName>
    <definedName name="wrn1.augtyd" localSheetId="13" hidden="1">{"det (May)",#N/A,FALSE,"June";"sum (MAY YTD)",#N/A,FALSE,"June YTD"}</definedName>
    <definedName name="wrn1.augtyd" localSheetId="11" hidden="1">{"det (May)",#N/A,FALSE,"June";"sum (MAY YTD)",#N/A,FALSE,"June YTD"}</definedName>
    <definedName name="wrn1.augtyd" localSheetId="10" hidden="1">{"det (May)",#N/A,FALSE,"June";"sum (MAY YTD)",#N/A,FALSE,"June YTD"}</definedName>
    <definedName name="wrn1.augtyd" localSheetId="9" hidden="1">{"det (May)",#N/A,FALSE,"June";"sum (MAY YTD)",#N/A,FALSE,"June YTD"}</definedName>
    <definedName name="wrn1.augtyd" localSheetId="1" hidden="1">{"det (May)",#N/A,FALSE,"June";"sum (MAY YTD)",#N/A,FALSE,"June YTD"}</definedName>
    <definedName name="wrn1.augtyd" localSheetId="2" hidden="1">{"det (May)",#N/A,FALSE,"June";"sum (MAY YTD)",#N/A,FALSE,"June YTD"}</definedName>
    <definedName name="wrn1.augtyd" localSheetId="5" hidden="1">{"det (May)",#N/A,FALSE,"June";"sum (MAY YTD)",#N/A,FALSE,"June YTD"}</definedName>
    <definedName name="wrn1.augtyd" localSheetId="6" hidden="1">{"det (May)",#N/A,FALSE,"June";"sum (MAY YTD)",#N/A,FALSE,"June YTD"}</definedName>
    <definedName name="wrn1.augtyd" localSheetId="3" hidden="1">{"det (May)",#N/A,FALSE,"June";"sum (MAY YTD)",#N/A,FALSE,"June YTD"}</definedName>
    <definedName name="wrn1.augtyd" localSheetId="4" hidden="1">{"det (May)",#N/A,FALSE,"June";"sum (MAY YTD)",#N/A,FALSE,"June YTD"}</definedName>
    <definedName name="wrn1.augtyd" localSheetId="7" hidden="1">{"det (May)",#N/A,FALSE,"June";"sum (MAY YTD)",#N/A,FALSE,"June YTD"}</definedName>
    <definedName name="wrn1.augtyd" localSheetId="8" hidden="1">{"det (May)",#N/A,FALSE,"June";"sum (MAY YTD)",#N/A,FALSE,"June YTD"}</definedName>
    <definedName name="wrn1.augtyd" hidden="1">{"det (May)",#N/A,FALSE,"June";"sum (MAY YTD)",#N/A,FALSE,"June YTD"}</definedName>
    <definedName name="wrn1.augyt" localSheetId="14" hidden="1">{"det (May)",#N/A,FALSE,"June";"sum (MAY YTD)",#N/A,FALSE,"June YTD"}</definedName>
    <definedName name="wrn1.augyt" localSheetId="13" hidden="1">{"det (May)",#N/A,FALSE,"June";"sum (MAY YTD)",#N/A,FALSE,"June YTD"}</definedName>
    <definedName name="wrn1.augyt" localSheetId="11" hidden="1">{"det (May)",#N/A,FALSE,"June";"sum (MAY YTD)",#N/A,FALSE,"June YTD"}</definedName>
    <definedName name="wrn1.augyt" localSheetId="10" hidden="1">{"det (May)",#N/A,FALSE,"June";"sum (MAY YTD)",#N/A,FALSE,"June YTD"}</definedName>
    <definedName name="wrn1.augyt" localSheetId="9" hidden="1">{"det (May)",#N/A,FALSE,"June";"sum (MAY YTD)",#N/A,FALSE,"June YTD"}</definedName>
    <definedName name="wrn1.augyt" localSheetId="1" hidden="1">{"det (May)",#N/A,FALSE,"June";"sum (MAY YTD)",#N/A,FALSE,"June YTD"}</definedName>
    <definedName name="wrn1.augyt" localSheetId="2" hidden="1">{"det (May)",#N/A,FALSE,"June";"sum (MAY YTD)",#N/A,FALSE,"June YTD"}</definedName>
    <definedName name="wrn1.augyt" localSheetId="5" hidden="1">{"det (May)",#N/A,FALSE,"June";"sum (MAY YTD)",#N/A,FALSE,"June YTD"}</definedName>
    <definedName name="wrn1.augyt" localSheetId="6" hidden="1">{"det (May)",#N/A,FALSE,"June";"sum (MAY YTD)",#N/A,FALSE,"June YTD"}</definedName>
    <definedName name="wrn1.augyt" localSheetId="3" hidden="1">{"det (May)",#N/A,FALSE,"June";"sum (MAY YTD)",#N/A,FALSE,"June YTD"}</definedName>
    <definedName name="wrn1.augyt" localSheetId="4" hidden="1">{"det (May)",#N/A,FALSE,"June";"sum (MAY YTD)",#N/A,FALSE,"June YTD"}</definedName>
    <definedName name="wrn1.augyt" localSheetId="7" hidden="1">{"det (May)",#N/A,FALSE,"June";"sum (MAY YTD)",#N/A,FALSE,"June YTD"}</definedName>
    <definedName name="wrn1.augyt" localSheetId="8" hidden="1">{"det (May)",#N/A,FALSE,"June";"sum (MAY YTD)",#N/A,FALSE,"June YTD"}</definedName>
    <definedName name="wrn1.augyt" hidden="1">{"det (May)",#N/A,FALSE,"June";"sum (MAY YTD)",#N/A,FALSE,"June YTD"}</definedName>
    <definedName name="wrn1.brol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1.june" localSheetId="14" hidden="1">{"det (May)",#N/A,FALSE,"June";"sum (MAY YTD)",#N/A,FALSE,"June YTD"}</definedName>
    <definedName name="wrn1.june" localSheetId="13" hidden="1">{"det (May)",#N/A,FALSE,"June";"sum (MAY YTD)",#N/A,FALSE,"June YTD"}</definedName>
    <definedName name="wrn1.june" localSheetId="11" hidden="1">{"det (May)",#N/A,FALSE,"June";"sum (MAY YTD)",#N/A,FALSE,"June YTD"}</definedName>
    <definedName name="wrn1.june" localSheetId="10" hidden="1">{"det (May)",#N/A,FALSE,"June";"sum (MAY YTD)",#N/A,FALSE,"June YTD"}</definedName>
    <definedName name="wrn1.june" localSheetId="9" hidden="1">{"det (May)",#N/A,FALSE,"June";"sum (MAY YTD)",#N/A,FALSE,"June YTD"}</definedName>
    <definedName name="wrn1.june" localSheetId="1" hidden="1">{"det (May)",#N/A,FALSE,"June";"sum (MAY YTD)",#N/A,FALSE,"June YTD"}</definedName>
    <definedName name="wrn1.june" localSheetId="2" hidden="1">{"det (May)",#N/A,FALSE,"June";"sum (MAY YTD)",#N/A,FALSE,"June YTD"}</definedName>
    <definedName name="wrn1.june" localSheetId="5" hidden="1">{"det (May)",#N/A,FALSE,"June";"sum (MAY YTD)",#N/A,FALSE,"June YTD"}</definedName>
    <definedName name="wrn1.june" localSheetId="6" hidden="1">{"det (May)",#N/A,FALSE,"June";"sum (MAY YTD)",#N/A,FALSE,"June YTD"}</definedName>
    <definedName name="wrn1.june" localSheetId="3" hidden="1">{"det (May)",#N/A,FALSE,"June";"sum (MAY YTD)",#N/A,FALSE,"June YTD"}</definedName>
    <definedName name="wrn1.june" localSheetId="4" hidden="1">{"det (May)",#N/A,FALSE,"June";"sum (MAY YTD)",#N/A,FALSE,"June YTD"}</definedName>
    <definedName name="wrn1.june" localSheetId="7" hidden="1">{"det (May)",#N/A,FALSE,"June";"sum (MAY YTD)",#N/A,FALSE,"June YTD"}</definedName>
    <definedName name="wrn1.june" localSheetId="8" hidden="1">{"det (May)",#N/A,FALSE,"June";"sum (MAY YTD)",#N/A,FALSE,"June YTD"}</definedName>
    <definedName name="wrn1.june" hidden="1">{"det (May)",#N/A,FALSE,"June";"sum (MAY YTD)",#N/A,FALSE,"June YTD"}</definedName>
    <definedName name="wrn2.brol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brol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wrn2.june" localSheetId="14" hidden="1">{"det (May)",#N/A,FALSE,"June";"sum (MAY YTD)",#N/A,FALSE,"June YTD"}</definedName>
    <definedName name="wrn2.june" localSheetId="13" hidden="1">{"det (May)",#N/A,FALSE,"June";"sum (MAY YTD)",#N/A,FALSE,"June YTD"}</definedName>
    <definedName name="wrn2.june" localSheetId="11" hidden="1">{"det (May)",#N/A,FALSE,"June";"sum (MAY YTD)",#N/A,FALSE,"June YTD"}</definedName>
    <definedName name="wrn2.june" localSheetId="10" hidden="1">{"det (May)",#N/A,FALSE,"June";"sum (MAY YTD)",#N/A,FALSE,"June YTD"}</definedName>
    <definedName name="wrn2.june" localSheetId="9" hidden="1">{"det (May)",#N/A,FALSE,"June";"sum (MAY YTD)",#N/A,FALSE,"June YTD"}</definedName>
    <definedName name="wrn2.june" localSheetId="1" hidden="1">{"det (May)",#N/A,FALSE,"June";"sum (MAY YTD)",#N/A,FALSE,"June YTD"}</definedName>
    <definedName name="wrn2.june" localSheetId="2" hidden="1">{"det (May)",#N/A,FALSE,"June";"sum (MAY YTD)",#N/A,FALSE,"June YTD"}</definedName>
    <definedName name="wrn2.june" localSheetId="5" hidden="1">{"det (May)",#N/A,FALSE,"June";"sum (MAY YTD)",#N/A,FALSE,"June YTD"}</definedName>
    <definedName name="wrn2.june" localSheetId="6" hidden="1">{"det (May)",#N/A,FALSE,"June";"sum (MAY YTD)",#N/A,FALSE,"June YTD"}</definedName>
    <definedName name="wrn2.june" localSheetId="3" hidden="1">{"det (May)",#N/A,FALSE,"June";"sum (MAY YTD)",#N/A,FALSE,"June YTD"}</definedName>
    <definedName name="wrn2.june" localSheetId="4" hidden="1">{"det (May)",#N/A,FALSE,"June";"sum (MAY YTD)",#N/A,FALSE,"June YTD"}</definedName>
    <definedName name="wrn2.june" localSheetId="7" hidden="1">{"det (May)",#N/A,FALSE,"June";"sum (MAY YTD)",#N/A,FALSE,"June YTD"}</definedName>
    <definedName name="wrn2.june" localSheetId="8" hidden="1">{"det (May)",#N/A,FALSE,"June";"sum (MAY YTD)",#N/A,FALSE,"June YTD"}</definedName>
    <definedName name="wrn2.june" hidden="1">{"det (May)",#N/A,FALSE,"June";"sum (MAY YTD)",#N/A,FALSE,"June YTD"}</definedName>
    <definedName name="xxx" localSheetId="0" hidden="1">#REF!</definedName>
    <definedName name="xxx" localSheetId="14" hidden="1">#REF!</definedName>
    <definedName name="xxx" localSheetId="13" hidden="1">#REF!</definedName>
    <definedName name="xxx" localSheetId="10" hidden="1">#REF!</definedName>
    <definedName name="xxx" localSheetId="9" hidden="1">#REF!</definedName>
    <definedName name="xxx" hidden="1">#REF!</definedName>
    <definedName name="yhbhb" localSheetId="14" hidden="1">#REF!</definedName>
    <definedName name="yhbhb" localSheetId="13" hidden="1">#REF!</definedName>
    <definedName name="yhbhb" hidden="1">#REF!</definedName>
    <definedName name="zeljka" localSheetId="14" hidden="1">{"det (May)",#N/A,FALSE,"June";"sum (MAY YTD)",#N/A,FALSE,"June YTD"}</definedName>
    <definedName name="zeljka" localSheetId="13" hidden="1">{"det (May)",#N/A,FALSE,"June";"sum (MAY YTD)",#N/A,FALSE,"June YTD"}</definedName>
    <definedName name="zeljka" localSheetId="11" hidden="1">{"det (May)",#N/A,FALSE,"June";"sum (MAY YTD)",#N/A,FALSE,"June YTD"}</definedName>
    <definedName name="zeljka" localSheetId="10" hidden="1">{"det (May)",#N/A,FALSE,"June";"sum (MAY YTD)",#N/A,FALSE,"June YTD"}</definedName>
    <definedName name="zeljka" localSheetId="9" hidden="1">{"det (May)",#N/A,FALSE,"June";"sum (MAY YTD)",#N/A,FALSE,"June YTD"}</definedName>
    <definedName name="zeljka" localSheetId="1" hidden="1">{"det (May)",#N/A,FALSE,"June";"sum (MAY YTD)",#N/A,FALSE,"June YTD"}</definedName>
    <definedName name="zeljka" localSheetId="2" hidden="1">{"det (May)",#N/A,FALSE,"June";"sum (MAY YTD)",#N/A,FALSE,"June YTD"}</definedName>
    <definedName name="zeljka" localSheetId="5" hidden="1">{"det (May)",#N/A,FALSE,"June";"sum (MAY YTD)",#N/A,FALSE,"June YTD"}</definedName>
    <definedName name="zeljka" localSheetId="6" hidden="1">{"det (May)",#N/A,FALSE,"June";"sum (MAY YTD)",#N/A,FALSE,"June YTD"}</definedName>
    <definedName name="zeljka" localSheetId="3" hidden="1">{"det (May)",#N/A,FALSE,"June";"sum (MAY YTD)",#N/A,FALSE,"June YTD"}</definedName>
    <definedName name="zeljka" localSheetId="4" hidden="1">{"det (May)",#N/A,FALSE,"June";"sum (MAY YTD)",#N/A,FALSE,"June YTD"}</definedName>
    <definedName name="zeljka" localSheetId="7" hidden="1">{"det (May)",#N/A,FALSE,"June";"sum (MAY YTD)",#N/A,FALSE,"June YTD"}</definedName>
    <definedName name="zeljka" localSheetId="8" hidden="1">{"det (May)",#N/A,FALSE,"June";"sum (MAY YTD)",#N/A,FALSE,"June YTD"}</definedName>
    <definedName name="zeljka" hidden="1">{"det (May)",#N/A,FALSE,"June";"sum (MAY YTD)",#N/A,FALSE,"June YTD"}</definedName>
    <definedName name="zeljka1" localSheetId="14" hidden="1">{"det (May)",#N/A,FALSE,"June";"sum (MAY YTD)",#N/A,FALSE,"June YTD"}</definedName>
    <definedName name="zeljka1" localSheetId="13" hidden="1">{"det (May)",#N/A,FALSE,"June";"sum (MAY YTD)",#N/A,FALSE,"June YTD"}</definedName>
    <definedName name="zeljka1" localSheetId="11" hidden="1">{"det (May)",#N/A,FALSE,"June";"sum (MAY YTD)",#N/A,FALSE,"June YTD"}</definedName>
    <definedName name="zeljka1" localSheetId="10" hidden="1">{"det (May)",#N/A,FALSE,"June";"sum (MAY YTD)",#N/A,FALSE,"June YTD"}</definedName>
    <definedName name="zeljka1" localSheetId="9" hidden="1">{"det (May)",#N/A,FALSE,"June";"sum (MAY YTD)",#N/A,FALSE,"June YTD"}</definedName>
    <definedName name="zeljka1" localSheetId="1" hidden="1">{"det (May)",#N/A,FALSE,"June";"sum (MAY YTD)",#N/A,FALSE,"June YTD"}</definedName>
    <definedName name="zeljka1" localSheetId="2" hidden="1">{"det (May)",#N/A,FALSE,"June";"sum (MAY YTD)",#N/A,FALSE,"June YTD"}</definedName>
    <definedName name="zeljka1" localSheetId="5" hidden="1">{"det (May)",#N/A,FALSE,"June";"sum (MAY YTD)",#N/A,FALSE,"June YTD"}</definedName>
    <definedName name="zeljka1" localSheetId="6" hidden="1">{"det (May)",#N/A,FALSE,"June";"sum (MAY YTD)",#N/A,FALSE,"June YTD"}</definedName>
    <definedName name="zeljka1" localSheetId="3" hidden="1">{"det (May)",#N/A,FALSE,"June";"sum (MAY YTD)",#N/A,FALSE,"June YTD"}</definedName>
    <definedName name="zeljka1" localSheetId="4" hidden="1">{"det (May)",#N/A,FALSE,"June";"sum (MAY YTD)",#N/A,FALSE,"June YTD"}</definedName>
    <definedName name="zeljka1" localSheetId="7" hidden="1">{"det (May)",#N/A,FALSE,"June";"sum (MAY YTD)",#N/A,FALSE,"June YTD"}</definedName>
    <definedName name="zeljka1" localSheetId="8" hidden="1">{"det (May)",#N/A,FALSE,"June";"sum (MAY YTD)",#N/A,FALSE,"June YTD"}</definedName>
    <definedName name="zeljka1" hidden="1">{"det (May)",#N/A,FALSE,"June";"sum (MAY YTD)",#N/A,FALSE,"June YTD"}</definedName>
    <definedName name="zeljka2" localSheetId="1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0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9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1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5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6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3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4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7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localSheetId="8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2" hidden="1">{"04-12brpr",#N/A,FALSE,"Total jan-dec";"05brpr",#N/A,FALSE,"Total jan-dec";"07brpr",#N/A,FALSE,"Total jan-dec";"01-12absdet",#N/A,FALSE,"Total jan-dec";"01-12abs",#N/A,FALSE,"Total jan-dec";"04-12abs",#N/A,FALSE,"Total jan-dec";"04-12absdet",#N/A,FALSE,"Total jan-dec";"01-12hl",#N/A,FALSE,"Total jan-dec";"04-12HL",#N/A,FALSE,"Total jan-dec"}</definedName>
    <definedName name="zeljka3" localSheetId="14" hidden="1">{"det (May)",#N/A,FALSE,"June";"sum (MAY YTD)",#N/A,FALSE,"June YTD"}</definedName>
    <definedName name="zeljka3" localSheetId="13" hidden="1">{"det (May)",#N/A,FALSE,"June";"sum (MAY YTD)",#N/A,FALSE,"June YTD"}</definedName>
    <definedName name="zeljka3" localSheetId="11" hidden="1">{"det (May)",#N/A,FALSE,"June";"sum (MAY YTD)",#N/A,FALSE,"June YTD"}</definedName>
    <definedName name="zeljka3" localSheetId="10" hidden="1">{"det (May)",#N/A,FALSE,"June";"sum (MAY YTD)",#N/A,FALSE,"June YTD"}</definedName>
    <definedName name="zeljka3" localSheetId="9" hidden="1">{"det (May)",#N/A,FALSE,"June";"sum (MAY YTD)",#N/A,FALSE,"June YTD"}</definedName>
    <definedName name="zeljka3" localSheetId="1" hidden="1">{"det (May)",#N/A,FALSE,"June";"sum (MAY YTD)",#N/A,FALSE,"June YTD"}</definedName>
    <definedName name="zeljka3" localSheetId="2" hidden="1">{"det (May)",#N/A,FALSE,"June";"sum (MAY YTD)",#N/A,FALSE,"June YTD"}</definedName>
    <definedName name="zeljka3" localSheetId="5" hidden="1">{"det (May)",#N/A,FALSE,"June";"sum (MAY YTD)",#N/A,FALSE,"June YTD"}</definedName>
    <definedName name="zeljka3" localSheetId="6" hidden="1">{"det (May)",#N/A,FALSE,"June";"sum (MAY YTD)",#N/A,FALSE,"June YTD"}</definedName>
    <definedName name="zeljka3" localSheetId="3" hidden="1">{"det (May)",#N/A,FALSE,"June";"sum (MAY YTD)",#N/A,FALSE,"June YTD"}</definedName>
    <definedName name="zeljka3" localSheetId="4" hidden="1">{"det (May)",#N/A,FALSE,"June";"sum (MAY YTD)",#N/A,FALSE,"June YTD"}</definedName>
    <definedName name="zeljka3" localSheetId="7" hidden="1">{"det (May)",#N/A,FALSE,"June";"sum (MAY YTD)",#N/A,FALSE,"June YTD"}</definedName>
    <definedName name="zeljka3" localSheetId="8" hidden="1">{"det (May)",#N/A,FALSE,"June";"sum (MAY YTD)",#N/A,FALSE,"June YTD"}</definedName>
    <definedName name="zeljka3" hidden="1">{"det (May)",#N/A,FALSE,"June";"sum (MAY YTD)",#N/A,FALSE,"June YTD"}</definedName>
    <definedName name="ааа" localSheetId="14" hidden="1">{"det (May)",#N/A,FALSE,"June";"sum (MAY YTD)",#N/A,FALSE,"June YTD"}</definedName>
    <definedName name="ааа" localSheetId="13" hidden="1">{"det (May)",#N/A,FALSE,"June";"sum (MAY YTD)",#N/A,FALSE,"June YTD"}</definedName>
    <definedName name="ааа" localSheetId="11" hidden="1">{"det (May)",#N/A,FALSE,"June";"sum (MAY YTD)",#N/A,FALSE,"June YTD"}</definedName>
    <definedName name="ааа" localSheetId="10" hidden="1">{"det (May)",#N/A,FALSE,"June";"sum (MAY YTD)",#N/A,FALSE,"June YTD"}</definedName>
    <definedName name="ааа" localSheetId="9" hidden="1">{"det (May)",#N/A,FALSE,"June";"sum (MAY YTD)",#N/A,FALSE,"June YTD"}</definedName>
    <definedName name="ааа" localSheetId="1" hidden="1">{"det (May)",#N/A,FALSE,"June";"sum (MAY YTD)",#N/A,FALSE,"June YTD"}</definedName>
    <definedName name="ааа" localSheetId="2" hidden="1">{"det (May)",#N/A,FALSE,"June";"sum (MAY YTD)",#N/A,FALSE,"June YTD"}</definedName>
    <definedName name="ааа" localSheetId="5" hidden="1">{"det (May)",#N/A,FALSE,"June";"sum (MAY YTD)",#N/A,FALSE,"June YTD"}</definedName>
    <definedName name="ааа" localSheetId="6" hidden="1">{"det (May)",#N/A,FALSE,"June";"sum (MAY YTD)",#N/A,FALSE,"June YTD"}</definedName>
    <definedName name="ааа" localSheetId="3" hidden="1">{"det (May)",#N/A,FALSE,"June";"sum (MAY YTD)",#N/A,FALSE,"June YTD"}</definedName>
    <definedName name="ааа" localSheetId="4" hidden="1">{"det (May)",#N/A,FALSE,"June";"sum (MAY YTD)",#N/A,FALSE,"June YTD"}</definedName>
    <definedName name="ааа" localSheetId="7" hidden="1">{"det (May)",#N/A,FALSE,"June";"sum (MAY YTD)",#N/A,FALSE,"June YTD"}</definedName>
    <definedName name="ааа" localSheetId="8" hidden="1">{"det (May)",#N/A,FALSE,"June";"sum (MAY YTD)",#N/A,FALSE,"June YTD"}</definedName>
    <definedName name="ааа" hidden="1">{"det (May)",#N/A,FALSE,"June";"sum (MAY YTD)",#N/A,FALSE,"June YTD"}</definedName>
    <definedName name="ввв" localSheetId="14" hidden="1">{"det (May)",#N/A,FALSE,"June";"sum (MAY YTD)",#N/A,FALSE,"June YTD"}</definedName>
    <definedName name="ввв" localSheetId="13" hidden="1">{"det (May)",#N/A,FALSE,"June";"sum (MAY YTD)",#N/A,FALSE,"June YTD"}</definedName>
    <definedName name="ввв" localSheetId="11" hidden="1">{"det (May)",#N/A,FALSE,"June";"sum (MAY YTD)",#N/A,FALSE,"June YTD"}</definedName>
    <definedName name="ввв" localSheetId="10" hidden="1">{"det (May)",#N/A,FALSE,"June";"sum (MAY YTD)",#N/A,FALSE,"June YTD"}</definedName>
    <definedName name="ввв" localSheetId="9" hidden="1">{"det (May)",#N/A,FALSE,"June";"sum (MAY YTD)",#N/A,FALSE,"June YTD"}</definedName>
    <definedName name="ввв" localSheetId="1" hidden="1">{"det (May)",#N/A,FALSE,"June";"sum (MAY YTD)",#N/A,FALSE,"June YTD"}</definedName>
    <definedName name="ввв" localSheetId="2" hidden="1">{"det (May)",#N/A,FALSE,"June";"sum (MAY YTD)",#N/A,FALSE,"June YTD"}</definedName>
    <definedName name="ввв" localSheetId="5" hidden="1">{"det (May)",#N/A,FALSE,"June";"sum (MAY YTD)",#N/A,FALSE,"June YTD"}</definedName>
    <definedName name="ввв" localSheetId="6" hidden="1">{"det (May)",#N/A,FALSE,"June";"sum (MAY YTD)",#N/A,FALSE,"June YTD"}</definedName>
    <definedName name="ввв" localSheetId="3" hidden="1">{"det (May)",#N/A,FALSE,"June";"sum (MAY YTD)",#N/A,FALSE,"June YTD"}</definedName>
    <definedName name="ввв" localSheetId="4" hidden="1">{"det (May)",#N/A,FALSE,"June";"sum (MAY YTD)",#N/A,FALSE,"June YTD"}</definedName>
    <definedName name="ввв" localSheetId="7" hidden="1">{"det (May)",#N/A,FALSE,"June";"sum (MAY YTD)",#N/A,FALSE,"June YTD"}</definedName>
    <definedName name="ввв" localSheetId="8" hidden="1">{"det (May)",#N/A,FALSE,"June";"sum (MAY YTD)",#N/A,FALSE,"June YTD"}</definedName>
    <definedName name="ввв" hidden="1">{"det (May)",#N/A,FALSE,"June";"sum (MAY YTD)",#N/A,FALSE,"June YTD"}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3" i="26" l="1"/>
  <c r="G67" i="26" l="1"/>
  <c r="G63" i="26" a="1"/>
  <c r="G63" i="26" s="1"/>
  <c r="J63" i="26" a="1"/>
  <c r="J63" i="26" s="1"/>
  <c r="J61" i="26"/>
  <c r="J60" i="26"/>
  <c r="J56" i="26"/>
  <c r="F60" i="26"/>
  <c r="F63" i="26" a="1"/>
  <c r="F63" i="26" s="1"/>
  <c r="H61" i="26"/>
  <c r="G61" i="26"/>
  <c r="G60" i="26" a="1"/>
  <c r="G60" i="26" s="1"/>
  <c r="K9" i="16"/>
  <c r="J9" i="16"/>
  <c r="H60" i="26" l="1"/>
  <c r="I60" i="26" l="1"/>
  <c r="I63" i="26" s="1" a="1"/>
  <c r="I63" i="26" s="1"/>
  <c r="L63" i="26" s="1"/>
  <c r="H63" i="26" a="1"/>
  <c r="H63" i="26" s="1"/>
  <c r="I7" i="25"/>
  <c r="CH75" i="7"/>
  <c r="BN76" i="7"/>
  <c r="H38" i="25"/>
  <c r="H35" i="25"/>
  <c r="H32" i="25"/>
  <c r="H21" i="25"/>
  <c r="H18" i="25"/>
  <c r="H15" i="25"/>
  <c r="H12" i="25"/>
  <c r="H9" i="25"/>
  <c r="BU110" i="20"/>
  <c r="BU109" i="20"/>
  <c r="CE83" i="20" l="1"/>
  <c r="CD83" i="20"/>
  <c r="CC83" i="20"/>
  <c r="CB83" i="20"/>
  <c r="CD70" i="20"/>
  <c r="CE70" i="20" s="1"/>
  <c r="CB70" i="20"/>
  <c r="CC70" i="20" s="1"/>
  <c r="BX70" i="20"/>
  <c r="BS70" i="20"/>
  <c r="BP70" i="20"/>
  <c r="BT70" i="20" s="1"/>
  <c r="BU70" i="20" s="1"/>
  <c r="CD69" i="20"/>
  <c r="CE69" i="20" s="1"/>
  <c r="CC69" i="20"/>
  <c r="CB69" i="20"/>
  <c r="BS69" i="20"/>
  <c r="BP69" i="20"/>
  <c r="BX69" i="20" s="1"/>
  <c r="CD68" i="20"/>
  <c r="CE68" i="20" s="1"/>
  <c r="CC68" i="20"/>
  <c r="CB68" i="20"/>
  <c r="BT68" i="20"/>
  <c r="BU68" i="20" s="1"/>
  <c r="BS68" i="20"/>
  <c r="BP68" i="20"/>
  <c r="BX68" i="20" s="1"/>
  <c r="CD67" i="20"/>
  <c r="CE67" i="20" s="1"/>
  <c r="CB67" i="20"/>
  <c r="CC67" i="20" s="1"/>
  <c r="BX67" i="20"/>
  <c r="BT67" i="20"/>
  <c r="BU67" i="20" s="1"/>
  <c r="BS67" i="20"/>
  <c r="BP67" i="20"/>
  <c r="CD66" i="20"/>
  <c r="CB66" i="20"/>
  <c r="CC66" i="20" s="1"/>
  <c r="BS66" i="20"/>
  <c r="BP66" i="20"/>
  <c r="BX66" i="20" s="1"/>
  <c r="CD65" i="20"/>
  <c r="CE65" i="20" s="1"/>
  <c r="CB65" i="20"/>
  <c r="BS65" i="20"/>
  <c r="BP65" i="20"/>
  <c r="BX65" i="20" s="1"/>
  <c r="CD64" i="20"/>
  <c r="CE64" i="20" s="1"/>
  <c r="CC64" i="20"/>
  <c r="CB64" i="20"/>
  <c r="BT64" i="20"/>
  <c r="BU64" i="20" s="1"/>
  <c r="BS64" i="20"/>
  <c r="BP64" i="20"/>
  <c r="BX64" i="20" s="1"/>
  <c r="CD63" i="20"/>
  <c r="CE63" i="20" s="1"/>
  <c r="CB63" i="20"/>
  <c r="CC63" i="20" s="1"/>
  <c r="BS63" i="20"/>
  <c r="BP63" i="20"/>
  <c r="BX63" i="20" s="1"/>
  <c r="CD62" i="20"/>
  <c r="CE62" i="20" s="1"/>
  <c r="CB62" i="20"/>
  <c r="CC62" i="20" s="1"/>
  <c r="BS62" i="20"/>
  <c r="BT62" i="20" s="1"/>
  <c r="BU62" i="20" s="1"/>
  <c r="BP62" i="20"/>
  <c r="BX62" i="20" s="1"/>
  <c r="CD61" i="20"/>
  <c r="CE61" i="20" s="1"/>
  <c r="CC61" i="20"/>
  <c r="CB61" i="20"/>
  <c r="BS61" i="20"/>
  <c r="BP61" i="20"/>
  <c r="BX61" i="20" s="1"/>
  <c r="CD60" i="20"/>
  <c r="CE60" i="20" s="1"/>
  <c r="CB60" i="20"/>
  <c r="CC60" i="20" s="1"/>
  <c r="BS60" i="20"/>
  <c r="BP60" i="20"/>
  <c r="BX60" i="20" s="1"/>
  <c r="CD59" i="20"/>
  <c r="CE59" i="20" s="1"/>
  <c r="CB59" i="20"/>
  <c r="CC59" i="20" s="1"/>
  <c r="BX59" i="20"/>
  <c r="BS59" i="20"/>
  <c r="BP59" i="20"/>
  <c r="BY68" i="20" l="1"/>
  <c r="BT69" i="20"/>
  <c r="BU69" i="20" s="1"/>
  <c r="BT65" i="20"/>
  <c r="BU65" i="20" s="1"/>
  <c r="BT61" i="20"/>
  <c r="BU61" i="20" s="1"/>
  <c r="BY61" i="20" s="1"/>
  <c r="BT66" i="20"/>
  <c r="BU66" i="20" s="1"/>
  <c r="BT63" i="20"/>
  <c r="BU63" i="20" s="1"/>
  <c r="BY63" i="20" s="1"/>
  <c r="BT59" i="20"/>
  <c r="BU59" i="20" s="1"/>
  <c r="BY67" i="20"/>
  <c r="CF67" i="20"/>
  <c r="CF65" i="20"/>
  <c r="BY65" i="20"/>
  <c r="CF63" i="20"/>
  <c r="CF70" i="20"/>
  <c r="BY70" i="20"/>
  <c r="CF61" i="20"/>
  <c r="BY66" i="20"/>
  <c r="CF59" i="20"/>
  <c r="BY59" i="20"/>
  <c r="CF62" i="20"/>
  <c r="BY62" i="20"/>
  <c r="BY69" i="20"/>
  <c r="CF69" i="20"/>
  <c r="CF64" i="20"/>
  <c r="BY64" i="20"/>
  <c r="BT60" i="20"/>
  <c r="BU60" i="20" s="1"/>
  <c r="CC65" i="20"/>
  <c r="CF68" i="20"/>
  <c r="CE66" i="20"/>
  <c r="CF66" i="20" s="1"/>
  <c r="BY60" i="20" l="1"/>
  <c r="CF60" i="20"/>
  <c r="BQ105" i="20" l="1"/>
  <c r="BQ102" i="20"/>
  <c r="CG29" i="7" a="1"/>
  <c r="CG29" i="7" s="1"/>
  <c r="CG197" i="7" s="1"/>
  <c r="CH29" i="7"/>
  <c r="CI29" i="7" a="1"/>
  <c r="CI29" i="7" s="1"/>
  <c r="CB29" i="7"/>
  <c r="BQ28" i="20" l="1"/>
  <c r="BQ29" i="20"/>
  <c r="BQ30" i="20"/>
  <c r="BQ32" i="20"/>
  <c r="CD17" i="20"/>
  <c r="CB17" i="20"/>
  <c r="BS17" i="20"/>
  <c r="BP17" i="20"/>
  <c r="BX17" i="20" s="1"/>
  <c r="CD18" i="20"/>
  <c r="CB18" i="20"/>
  <c r="BS18" i="20"/>
  <c r="BP18" i="20"/>
  <c r="BX18" i="20" s="1"/>
  <c r="BX25" i="24"/>
  <c r="BX45" i="23"/>
  <c r="BX48" i="23"/>
  <c r="BX36" i="23"/>
  <c r="BY36" i="23" s="1"/>
  <c r="BX35" i="23"/>
  <c r="BY35" i="23" s="1"/>
  <c r="BX34" i="23"/>
  <c r="BY34" i="23" s="1"/>
  <c r="BX33" i="23"/>
  <c r="BY33" i="23" s="1"/>
  <c r="BX31" i="23"/>
  <c r="BY31" i="23" s="1"/>
  <c r="BX30" i="23"/>
  <c r="BY30" i="23" s="1"/>
  <c r="BY29" i="23"/>
  <c r="BX29" i="23"/>
  <c r="BX28" i="23"/>
  <c r="BY28" i="23" s="1"/>
  <c r="BX26" i="23"/>
  <c r="BY26" i="23" s="1"/>
  <c r="BX25" i="23"/>
  <c r="BY25" i="23" s="1"/>
  <c r="BX24" i="23"/>
  <c r="BY24" i="23" s="1"/>
  <c r="BY23" i="23"/>
  <c r="BX23" i="23"/>
  <c r="BY21" i="23"/>
  <c r="BX21" i="23"/>
  <c r="BY20" i="23"/>
  <c r="BX20" i="23"/>
  <c r="BX19" i="23"/>
  <c r="BY19" i="23" s="1"/>
  <c r="BY18" i="23"/>
  <c r="BX18" i="23"/>
  <c r="BX16" i="23"/>
  <c r="BY16" i="23" s="1"/>
  <c r="BX15" i="23"/>
  <c r="BY15" i="23" s="1"/>
  <c r="BX14" i="23"/>
  <c r="BY14" i="23" s="1"/>
  <c r="BX13" i="23"/>
  <c r="BY13" i="23" s="1"/>
  <c r="BX15" i="24"/>
  <c r="BY15" i="24"/>
  <c r="BX14" i="24"/>
  <c r="BY45" i="23"/>
  <c r="BX44" i="23"/>
  <c r="BY44" i="23" s="1"/>
  <c r="BX42" i="23"/>
  <c r="BY42" i="23" s="1"/>
  <c r="BX41" i="23"/>
  <c r="BY41" i="23" s="1"/>
  <c r="BX39" i="23"/>
  <c r="BY39" i="23" s="1"/>
  <c r="BX38" i="23"/>
  <c r="BY38" i="23" s="1"/>
  <c r="BT17" i="20" l="1"/>
  <c r="BU17" i="20" s="1"/>
  <c r="BY17" i="20" s="1"/>
  <c r="CC17" i="20"/>
  <c r="CE17" i="20"/>
  <c r="CC18" i="20"/>
  <c r="CE18" i="20"/>
  <c r="BT18" i="20"/>
  <c r="BU18" i="20" s="1"/>
  <c r="BX112" i="20"/>
  <c r="BX78" i="19"/>
  <c r="BX79" i="19" s="1"/>
  <c r="BX76" i="19"/>
  <c r="BX30" i="22"/>
  <c r="BX27" i="21"/>
  <c r="BX24" i="21"/>
  <c r="BY24" i="21" s="1"/>
  <c r="BX22" i="21"/>
  <c r="BY22" i="21" s="1"/>
  <c r="BX21" i="21"/>
  <c r="BY21" i="21" s="1"/>
  <c r="BY19" i="21"/>
  <c r="BX19" i="21"/>
  <c r="BX18" i="21"/>
  <c r="BY18" i="21" s="1"/>
  <c r="BX16" i="21"/>
  <c r="BY16" i="21" s="1"/>
  <c r="BX15" i="21"/>
  <c r="BY15" i="21" s="1"/>
  <c r="BX14" i="21"/>
  <c r="BY14" i="21" s="1"/>
  <c r="BX13" i="21"/>
  <c r="BY13" i="21" s="1"/>
  <c r="BX15" i="22"/>
  <c r="BY15" i="22"/>
  <c r="BY26" i="22"/>
  <c r="BX72" i="19"/>
  <c r="BX69" i="19"/>
  <c r="BY69" i="19" s="1"/>
  <c r="BY68" i="19"/>
  <c r="BX68" i="19"/>
  <c r="BX67" i="19"/>
  <c r="BY67" i="19" s="1"/>
  <c r="BX66" i="19"/>
  <c r="BY66" i="19" s="1"/>
  <c r="BX65" i="19"/>
  <c r="BY65" i="19" s="1"/>
  <c r="BY64" i="19"/>
  <c r="BX64" i="19"/>
  <c r="BX63" i="19"/>
  <c r="BY63" i="19" s="1"/>
  <c r="BY62" i="19"/>
  <c r="BX62" i="19"/>
  <c r="BX61" i="19"/>
  <c r="BY61" i="19" s="1"/>
  <c r="BX60" i="19"/>
  <c r="BY60" i="19" s="1"/>
  <c r="BX59" i="19"/>
  <c r="BY59" i="19" s="1"/>
  <c r="BY58" i="19"/>
  <c r="BX58" i="19"/>
  <c r="BX56" i="19"/>
  <c r="BY56" i="19" s="1"/>
  <c r="BY55" i="19"/>
  <c r="BX55" i="19"/>
  <c r="BX54" i="19"/>
  <c r="BY54" i="19" s="1"/>
  <c r="BX53" i="19"/>
  <c r="BY53" i="19" s="1"/>
  <c r="BX52" i="19"/>
  <c r="BY52" i="19" s="1"/>
  <c r="BY51" i="19"/>
  <c r="BX51" i="19"/>
  <c r="BX50" i="19"/>
  <c r="BY50" i="19" s="1"/>
  <c r="BY49" i="19"/>
  <c r="BX49" i="19"/>
  <c r="BX48" i="19"/>
  <c r="BY48" i="19" s="1"/>
  <c r="BX47" i="19"/>
  <c r="BY47" i="19" s="1"/>
  <c r="BX46" i="19"/>
  <c r="BY46" i="19" s="1"/>
  <c r="BY45" i="19"/>
  <c r="BX45" i="19"/>
  <c r="BX43" i="19"/>
  <c r="BY43" i="19" s="1"/>
  <c r="BY42" i="19"/>
  <c r="BX42" i="19"/>
  <c r="BX41" i="19"/>
  <c r="BY41" i="19" s="1"/>
  <c r="BX40" i="19"/>
  <c r="BY40" i="19" s="1"/>
  <c r="BX39" i="19"/>
  <c r="BY39" i="19" s="1"/>
  <c r="BY38" i="19"/>
  <c r="BX38" i="19"/>
  <c r="BX37" i="19"/>
  <c r="BY37" i="19" s="1"/>
  <c r="BY36" i="19"/>
  <c r="BX36" i="19"/>
  <c r="BX35" i="19"/>
  <c r="BY35" i="19" s="1"/>
  <c r="BX34" i="19"/>
  <c r="BY34" i="19" s="1"/>
  <c r="BX33" i="19"/>
  <c r="BY33" i="19" s="1"/>
  <c r="BY31" i="19"/>
  <c r="BX31" i="19"/>
  <c r="BX29" i="19"/>
  <c r="BY29" i="19" s="1"/>
  <c r="BY28" i="19"/>
  <c r="BX28" i="19"/>
  <c r="BX27" i="19"/>
  <c r="BY27" i="19" s="1"/>
  <c r="BX25" i="19"/>
  <c r="BY25" i="19" s="1"/>
  <c r="BX24" i="19"/>
  <c r="BY24" i="19" s="1"/>
  <c r="BY23" i="19"/>
  <c r="BX23" i="19"/>
  <c r="BX21" i="19"/>
  <c r="BY21" i="19" s="1"/>
  <c r="BY20" i="19"/>
  <c r="BX20" i="19"/>
  <c r="BX19" i="19"/>
  <c r="BY19" i="19" s="1"/>
  <c r="BX17" i="19"/>
  <c r="BY17" i="19" s="1"/>
  <c r="BX16" i="19"/>
  <c r="BY16" i="19" s="1"/>
  <c r="BY14" i="19"/>
  <c r="BX14" i="19"/>
  <c r="BX13" i="19"/>
  <c r="BY13" i="19" s="1"/>
  <c r="Q13" i="9"/>
  <c r="O13" i="9"/>
  <c r="CC28" i="24"/>
  <c r="CD28" i="24"/>
  <c r="CB28" i="24"/>
  <c r="H24" i="26"/>
  <c r="I24" i="26" s="1"/>
  <c r="G56" i="26"/>
  <c r="F56" i="26"/>
  <c r="G55" i="26"/>
  <c r="F55" i="26"/>
  <c r="G54" i="26"/>
  <c r="F54" i="26"/>
  <c r="G53" i="26"/>
  <c r="F53" i="26"/>
  <c r="G51" i="26"/>
  <c r="F51" i="26"/>
  <c r="G50" i="26"/>
  <c r="F50" i="26"/>
  <c r="G49" i="26"/>
  <c r="F49" i="26"/>
  <c r="G48" i="26"/>
  <c r="F48" i="26"/>
  <c r="G47" i="26"/>
  <c r="F47" i="26"/>
  <c r="G46" i="26"/>
  <c r="F46" i="26"/>
  <c r="G45" i="26"/>
  <c r="F45" i="26"/>
  <c r="G44" i="26"/>
  <c r="F44" i="26"/>
  <c r="G43" i="26"/>
  <c r="F43" i="26"/>
  <c r="G42" i="26"/>
  <c r="F42" i="26"/>
  <c r="G41" i="26"/>
  <c r="F41" i="26"/>
  <c r="G40" i="26"/>
  <c r="F40" i="26"/>
  <c r="G39" i="26"/>
  <c r="F39" i="26"/>
  <c r="G38" i="26"/>
  <c r="F38" i="26"/>
  <c r="D34" i="26"/>
  <c r="B34" i="26"/>
  <c r="G33" i="26"/>
  <c r="F33" i="26"/>
  <c r="D33" i="26"/>
  <c r="D32" i="26"/>
  <c r="D31" i="26"/>
  <c r="D30" i="26"/>
  <c r="L30" i="9"/>
  <c r="L23" i="9"/>
  <c r="J64" i="9"/>
  <c r="I66" i="9"/>
  <c r="H66" i="9"/>
  <c r="F66" i="9"/>
  <c r="G28" i="9"/>
  <c r="F28" i="9"/>
  <c r="G27" i="9"/>
  <c r="F27" i="9"/>
  <c r="G26" i="9"/>
  <c r="H26" i="9" s="1"/>
  <c r="I26" i="9" s="1"/>
  <c r="F26" i="9"/>
  <c r="G25" i="9"/>
  <c r="F25" i="9"/>
  <c r="F30" i="9" s="1"/>
  <c r="G21" i="9"/>
  <c r="F21" i="9"/>
  <c r="H21" i="9" s="1"/>
  <c r="I21" i="9" s="1"/>
  <c r="G20" i="9"/>
  <c r="F20" i="9"/>
  <c r="G19" i="9"/>
  <c r="F19" i="9"/>
  <c r="G18" i="9"/>
  <c r="F18" i="9"/>
  <c r="BU29" i="21"/>
  <c r="BU28" i="21"/>
  <c r="G16" i="9"/>
  <c r="F16" i="9"/>
  <c r="G15" i="9"/>
  <c r="F15" i="9"/>
  <c r="G14" i="9"/>
  <c r="F14" i="9"/>
  <c r="G13" i="9"/>
  <c r="F13" i="9"/>
  <c r="H13" i="9" s="1"/>
  <c r="BQ31" i="19"/>
  <c r="CP32" i="15"/>
  <c r="CP24" i="15"/>
  <c r="CO23" i="15"/>
  <c r="CP20" i="15"/>
  <c r="CN16" i="15"/>
  <c r="CP15" i="15"/>
  <c r="CM14" i="15"/>
  <c r="CN14" i="15" s="1"/>
  <c r="CM15" i="15"/>
  <c r="CN15" i="15" s="1"/>
  <c r="CO14" i="15"/>
  <c r="CP14" i="15" s="1"/>
  <c r="I37" i="25"/>
  <c r="I36" i="25"/>
  <c r="I34" i="25"/>
  <c r="I33" i="25"/>
  <c r="I31" i="25"/>
  <c r="I30" i="25"/>
  <c r="I29" i="25"/>
  <c r="I28" i="25"/>
  <c r="I27" i="25"/>
  <c r="I26" i="25"/>
  <c r="I25" i="25"/>
  <c r="I24" i="25"/>
  <c r="I23" i="25"/>
  <c r="I22" i="25"/>
  <c r="I20" i="25"/>
  <c r="I19" i="25"/>
  <c r="I21" i="25" s="1"/>
  <c r="I17" i="25"/>
  <c r="I16" i="25"/>
  <c r="I14" i="25"/>
  <c r="I13" i="25"/>
  <c r="I11" i="25"/>
  <c r="I10" i="25"/>
  <c r="I8" i="25"/>
  <c r="I6" i="25"/>
  <c r="I30" i="17"/>
  <c r="I93" i="17" s="1"/>
  <c r="I43" i="17"/>
  <c r="I74" i="17"/>
  <c r="I85" i="17"/>
  <c r="I82" i="17"/>
  <c r="I81" i="17"/>
  <c r="I84" i="17"/>
  <c r="I83" i="17"/>
  <c r="I80" i="17"/>
  <c r="I79" i="17"/>
  <c r="I90" i="17"/>
  <c r="I91" i="17" s="1"/>
  <c r="I89" i="17"/>
  <c r="I86" i="17"/>
  <c r="I88" i="17" s="1"/>
  <c r="I87" i="17"/>
  <c r="I17" i="17"/>
  <c r="I16" i="17"/>
  <c r="I15" i="17"/>
  <c r="I14" i="17"/>
  <c r="I13" i="17"/>
  <c r="I12" i="17"/>
  <c r="I11" i="17"/>
  <c r="I10" i="17"/>
  <c r="I9" i="17"/>
  <c r="I8" i="17"/>
  <c r="I7" i="17"/>
  <c r="I6" i="17"/>
  <c r="I36" i="17"/>
  <c r="I35" i="17"/>
  <c r="I34" i="17"/>
  <c r="I33" i="17"/>
  <c r="I32" i="17"/>
  <c r="I31" i="17"/>
  <c r="I50" i="17"/>
  <c r="I49" i="17"/>
  <c r="I48" i="17"/>
  <c r="I47" i="17"/>
  <c r="I46" i="17"/>
  <c r="I45" i="17"/>
  <c r="I44" i="17"/>
  <c r="I70" i="17"/>
  <c r="I69" i="17"/>
  <c r="I68" i="17"/>
  <c r="I67" i="17"/>
  <c r="I66" i="17"/>
  <c r="I65" i="17"/>
  <c r="I72" i="17"/>
  <c r="I78" i="17"/>
  <c r="I77" i="17"/>
  <c r="I76" i="17"/>
  <c r="I75" i="17"/>
  <c r="I73" i="17"/>
  <c r="I51" i="17"/>
  <c r="I64" i="17"/>
  <c r="I63" i="17"/>
  <c r="I62" i="17"/>
  <c r="I61" i="17"/>
  <c r="I60" i="17"/>
  <c r="I59" i="17"/>
  <c r="I56" i="17"/>
  <c r="I57" i="17"/>
  <c r="I55" i="17"/>
  <c r="I54" i="17"/>
  <c r="I53" i="17"/>
  <c r="I52" i="17"/>
  <c r="I32" i="25" l="1"/>
  <c r="H56" i="26"/>
  <c r="I56" i="26" s="1"/>
  <c r="H53" i="26"/>
  <c r="I53" i="26" s="1"/>
  <c r="I9" i="25"/>
  <c r="I35" i="25"/>
  <c r="CF17" i="20"/>
  <c r="CF18" i="20"/>
  <c r="BY18" i="20"/>
  <c r="H42" i="26"/>
  <c r="I42" i="26" s="1"/>
  <c r="H49" i="26"/>
  <c r="I49" i="26" s="1"/>
  <c r="F30" i="26"/>
  <c r="H26" i="26"/>
  <c r="I26" i="26" s="1"/>
  <c r="H41" i="26"/>
  <c r="I41" i="26" s="1"/>
  <c r="H47" i="26"/>
  <c r="I47" i="26" s="1"/>
  <c r="H43" i="26"/>
  <c r="I43" i="26" s="1"/>
  <c r="H25" i="26"/>
  <c r="I25" i="26" s="1"/>
  <c r="H40" i="26"/>
  <c r="I40" i="26" s="1"/>
  <c r="H46" i="26"/>
  <c r="I46" i="26" s="1"/>
  <c r="H44" i="26"/>
  <c r="I44" i="26" s="1"/>
  <c r="H54" i="26"/>
  <c r="I54" i="26" s="1"/>
  <c r="H45" i="26"/>
  <c r="I45" i="26" s="1"/>
  <c r="H50" i="26"/>
  <c r="I50" i="26" s="1"/>
  <c r="H55" i="26"/>
  <c r="I55" i="26" s="1"/>
  <c r="H33" i="26"/>
  <c r="I33" i="26" s="1"/>
  <c r="H51" i="26"/>
  <c r="I51" i="26" s="1"/>
  <c r="F28" i="26"/>
  <c r="G28" i="26"/>
  <c r="H38" i="26"/>
  <c r="I38" i="26" s="1"/>
  <c r="H48" i="26"/>
  <c r="I48" i="26" s="1"/>
  <c r="H39" i="26"/>
  <c r="I39" i="26" s="1"/>
  <c r="H23" i="26"/>
  <c r="H28" i="9"/>
  <c r="I28" i="9" s="1"/>
  <c r="H27" i="9"/>
  <c r="I27" i="9" s="1"/>
  <c r="G30" i="9"/>
  <c r="H20" i="9"/>
  <c r="I20" i="9" s="1"/>
  <c r="G23" i="9"/>
  <c r="H25" i="9"/>
  <c r="H14" i="9"/>
  <c r="I14" i="9" s="1"/>
  <c r="H18" i="9"/>
  <c r="I18" i="9" s="1"/>
  <c r="F23" i="9"/>
  <c r="H19" i="9"/>
  <c r="I19" i="9" s="1"/>
  <c r="I13" i="9"/>
  <c r="H15" i="9"/>
  <c r="I15" i="9" s="1"/>
  <c r="I38" i="25"/>
  <c r="I15" i="25"/>
  <c r="I12" i="25"/>
  <c r="I18" i="25"/>
  <c r="I71" i="17"/>
  <c r="I58" i="17"/>
  <c r="I40" i="25" l="1"/>
  <c r="F65" i="26" s="1"/>
  <c r="H65" i="26" s="1"/>
  <c r="I65" i="26" s="1"/>
  <c r="I61" i="26"/>
  <c r="H28" i="26"/>
  <c r="I23" i="26"/>
  <c r="H30" i="9"/>
  <c r="I25" i="9"/>
  <c r="I42" i="17"/>
  <c r="I41" i="17"/>
  <c r="I40" i="17"/>
  <c r="I39" i="17"/>
  <c r="I38" i="17"/>
  <c r="I37" i="17"/>
  <c r="CE30" i="21"/>
  <c r="CB27" i="21"/>
  <c r="CB25" i="21"/>
  <c r="CB23" i="21"/>
  <c r="CB20" i="21"/>
  <c r="CB17" i="21"/>
  <c r="CE29" i="21"/>
  <c r="CE27" i="21"/>
  <c r="CD27" i="21"/>
  <c r="CC27" i="21"/>
  <c r="CD24" i="21"/>
  <c r="CD25" i="21" s="1"/>
  <c r="CB24" i="21"/>
  <c r="CD22" i="21"/>
  <c r="CB22" i="21"/>
  <c r="CD21" i="21"/>
  <c r="CD23" i="21" s="1"/>
  <c r="CB21" i="21"/>
  <c r="CD19" i="21"/>
  <c r="CB19" i="21"/>
  <c r="CD18" i="21"/>
  <c r="CB18" i="21"/>
  <c r="CD16" i="21"/>
  <c r="CB16" i="21"/>
  <c r="CD15" i="21"/>
  <c r="CB15" i="21"/>
  <c r="CD14" i="21"/>
  <c r="CB14" i="21"/>
  <c r="CD13" i="21"/>
  <c r="CB13" i="21"/>
  <c r="CE30" i="22"/>
  <c r="CD30" i="22"/>
  <c r="CB30" i="22"/>
  <c r="CC30" i="22"/>
  <c r="CD17" i="22"/>
  <c r="CB17" i="22"/>
  <c r="CD28" i="22"/>
  <c r="CC28" i="22"/>
  <c r="CC25" i="22"/>
  <c r="CC23" i="22"/>
  <c r="CC20" i="22"/>
  <c r="CC17" i="22"/>
  <c r="CE28" i="22"/>
  <c r="CB28" i="22"/>
  <c r="CB26" i="22"/>
  <c r="CE25" i="22"/>
  <c r="CD25" i="22"/>
  <c r="CB25" i="22"/>
  <c r="CB23" i="22"/>
  <c r="CD16" i="22"/>
  <c r="CE16" i="22" s="1"/>
  <c r="CB16" i="22"/>
  <c r="CC16" i="22" s="1"/>
  <c r="CD15" i="22"/>
  <c r="CE15" i="22" s="1"/>
  <c r="CB15" i="22"/>
  <c r="CC15" i="22" s="1"/>
  <c r="BU32" i="22"/>
  <c r="BU31" i="22"/>
  <c r="BU30" i="22"/>
  <c r="BO28" i="24"/>
  <c r="BN28" i="24"/>
  <c r="BM28" i="24"/>
  <c r="BL28" i="24"/>
  <c r="BK28" i="24"/>
  <c r="BJ28" i="24"/>
  <c r="BI28" i="24"/>
  <c r="BH28" i="24"/>
  <c r="BG28" i="24"/>
  <c r="BF28" i="24"/>
  <c r="BE28" i="24"/>
  <c r="BD28" i="24"/>
  <c r="BC28" i="24"/>
  <c r="BB28" i="24"/>
  <c r="BA28" i="24"/>
  <c r="AZ28" i="24"/>
  <c r="AY28" i="24"/>
  <c r="AX28" i="24"/>
  <c r="AW28" i="24"/>
  <c r="AV28" i="24"/>
  <c r="AU28" i="24"/>
  <c r="AT28" i="24"/>
  <c r="AS28" i="24"/>
  <c r="AR28" i="24"/>
  <c r="AQ28" i="24"/>
  <c r="AP28" i="24"/>
  <c r="AO28" i="24"/>
  <c r="AN28" i="24"/>
  <c r="AM28" i="24"/>
  <c r="AL28" i="24"/>
  <c r="AK28" i="24"/>
  <c r="AJ28" i="24"/>
  <c r="AI28" i="24"/>
  <c r="AH28" i="24"/>
  <c r="AG28" i="24"/>
  <c r="AF28" i="24"/>
  <c r="AE28" i="24"/>
  <c r="AD28" i="24"/>
  <c r="AC28" i="24"/>
  <c r="AB28" i="24"/>
  <c r="AA28" i="24"/>
  <c r="Z28" i="24"/>
  <c r="Y28" i="24"/>
  <c r="X28" i="24"/>
  <c r="W28" i="24"/>
  <c r="V28" i="24"/>
  <c r="U28" i="24"/>
  <c r="T28" i="24"/>
  <c r="S28" i="24"/>
  <c r="R28" i="24"/>
  <c r="Q28" i="24"/>
  <c r="P28" i="24"/>
  <c r="O28" i="24"/>
  <c r="N28" i="24"/>
  <c r="M28" i="24"/>
  <c r="L28" i="24"/>
  <c r="K28" i="24"/>
  <c r="J28" i="24"/>
  <c r="I28" i="24"/>
  <c r="CD26" i="24"/>
  <c r="CD25" i="24"/>
  <c r="CB25" i="24"/>
  <c r="BS25" i="24"/>
  <c r="BT25" i="24" s="1"/>
  <c r="BU25" i="24" s="1"/>
  <c r="BP25" i="24"/>
  <c r="CD24" i="24"/>
  <c r="CB24" i="24"/>
  <c r="CB26" i="24" s="1"/>
  <c r="BS24" i="24"/>
  <c r="CC24" i="24" s="1"/>
  <c r="BP24" i="24"/>
  <c r="BX24" i="24" s="1"/>
  <c r="CD22" i="24"/>
  <c r="CB22" i="24"/>
  <c r="BS22" i="24"/>
  <c r="BP22" i="24"/>
  <c r="BT22" i="24" s="1"/>
  <c r="BU22" i="24" s="1"/>
  <c r="CD21" i="24"/>
  <c r="CB21" i="24"/>
  <c r="BS21" i="24"/>
  <c r="CE21" i="24" s="1"/>
  <c r="BP21" i="24"/>
  <c r="BX21" i="24" s="1"/>
  <c r="CD19" i="24"/>
  <c r="CE19" i="24" s="1"/>
  <c r="CB19" i="24"/>
  <c r="BS19" i="24"/>
  <c r="BP19" i="24"/>
  <c r="BX19" i="24" s="1"/>
  <c r="CD18" i="24"/>
  <c r="CB18" i="24"/>
  <c r="BS18" i="24"/>
  <c r="BP18" i="24"/>
  <c r="BX18" i="24" s="1"/>
  <c r="CD16" i="24"/>
  <c r="CB16" i="24"/>
  <c r="CC16" i="24" s="1"/>
  <c r="BS16" i="24"/>
  <c r="BP16" i="24"/>
  <c r="BX16" i="24" s="1"/>
  <c r="CD15" i="24"/>
  <c r="CE15" i="24" s="1"/>
  <c r="CB15" i="24"/>
  <c r="BS15" i="24"/>
  <c r="BP15" i="24"/>
  <c r="CD14" i="24"/>
  <c r="CB14" i="24"/>
  <c r="BS14" i="24"/>
  <c r="BT14" i="24" s="1"/>
  <c r="BU14" i="24" s="1"/>
  <c r="BP14" i="24"/>
  <c r="CD13" i="24"/>
  <c r="CB13" i="24"/>
  <c r="BS13" i="24"/>
  <c r="CE13" i="24" s="1"/>
  <c r="BP13" i="24"/>
  <c r="BX13" i="24" s="1"/>
  <c r="BX28" i="24" s="1"/>
  <c r="BE10" i="24"/>
  <c r="BF10" i="24" s="1"/>
  <c r="BG10" i="24" s="1"/>
  <c r="BH10" i="24" s="1"/>
  <c r="BI10" i="24" s="1"/>
  <c r="BJ10" i="24" s="1"/>
  <c r="BK10" i="24" s="1"/>
  <c r="BL10" i="24" s="1"/>
  <c r="BM10" i="24" s="1"/>
  <c r="BN10" i="24" s="1"/>
  <c r="BO10" i="24" s="1"/>
  <c r="Z10" i="24"/>
  <c r="AA10" i="24" s="1"/>
  <c r="AB10" i="24" s="1"/>
  <c r="AC10" i="24" s="1"/>
  <c r="AD10" i="24" s="1"/>
  <c r="AE10" i="24" s="1"/>
  <c r="AF10" i="24" s="1"/>
  <c r="AG10" i="24" s="1"/>
  <c r="AH10" i="24" s="1"/>
  <c r="AI10" i="24" s="1"/>
  <c r="AJ10" i="24" s="1"/>
  <c r="AK10" i="24" s="1"/>
  <c r="AL10" i="24" s="1"/>
  <c r="AM10" i="24" s="1"/>
  <c r="CE48" i="23"/>
  <c r="CC48" i="23"/>
  <c r="CE50" i="23"/>
  <c r="CE46" i="23"/>
  <c r="CD46" i="23"/>
  <c r="CB46" i="23"/>
  <c r="CC46" i="23"/>
  <c r="CC43" i="23"/>
  <c r="CC40" i="23"/>
  <c r="CC37" i="23"/>
  <c r="CB37" i="23"/>
  <c r="CD37" i="23"/>
  <c r="CE37" i="23"/>
  <c r="CD36" i="23"/>
  <c r="CE36" i="23" s="1"/>
  <c r="CC36" i="23"/>
  <c r="CB36" i="23"/>
  <c r="CD35" i="23"/>
  <c r="CE35" i="23" s="1"/>
  <c r="CB35" i="23"/>
  <c r="CC35" i="23" s="1"/>
  <c r="CE34" i="23"/>
  <c r="CD34" i="23"/>
  <c r="CB34" i="23"/>
  <c r="CC34" i="23" s="1"/>
  <c r="CD33" i="23"/>
  <c r="CE33" i="23" s="1"/>
  <c r="CC33" i="23"/>
  <c r="CB33" i="23"/>
  <c r="CE31" i="23"/>
  <c r="CD31" i="23"/>
  <c r="CB31" i="23"/>
  <c r="CC31" i="23" s="1"/>
  <c r="CD30" i="23"/>
  <c r="CE30" i="23" s="1"/>
  <c r="CC30" i="23"/>
  <c r="CB30" i="23"/>
  <c r="CD29" i="23"/>
  <c r="CE29" i="23" s="1"/>
  <c r="CB29" i="23"/>
  <c r="CC29" i="23" s="1"/>
  <c r="CE28" i="23"/>
  <c r="CD28" i="23"/>
  <c r="CB28" i="23"/>
  <c r="CC28" i="23" s="1"/>
  <c r="CD26" i="23"/>
  <c r="CE26" i="23" s="1"/>
  <c r="CB26" i="23"/>
  <c r="CC26" i="23" s="1"/>
  <c r="CE25" i="23"/>
  <c r="CD25" i="23"/>
  <c r="CB25" i="23"/>
  <c r="CC25" i="23" s="1"/>
  <c r="CD24" i="23"/>
  <c r="CE24" i="23" s="1"/>
  <c r="CC24" i="23"/>
  <c r="CB24" i="23"/>
  <c r="CD23" i="23"/>
  <c r="CE23" i="23" s="1"/>
  <c r="CB23" i="23"/>
  <c r="CC23" i="23" s="1"/>
  <c r="CD21" i="23"/>
  <c r="CE21" i="23" s="1"/>
  <c r="CC21" i="23"/>
  <c r="CB21" i="23"/>
  <c r="CD20" i="23"/>
  <c r="CE20" i="23" s="1"/>
  <c r="CB20" i="23"/>
  <c r="CC20" i="23" s="1"/>
  <c r="CE19" i="23"/>
  <c r="CD19" i="23"/>
  <c r="CB19" i="23"/>
  <c r="CC19" i="23" s="1"/>
  <c r="CD18" i="23"/>
  <c r="CE18" i="23" s="1"/>
  <c r="CC18" i="23"/>
  <c r="CB18" i="23"/>
  <c r="CE16" i="23"/>
  <c r="CD16" i="23"/>
  <c r="CB16" i="23"/>
  <c r="CC16" i="23" s="1"/>
  <c r="CD15" i="23"/>
  <c r="CE15" i="23" s="1"/>
  <c r="CC15" i="23"/>
  <c r="CB15" i="23"/>
  <c r="CD14" i="23"/>
  <c r="CE14" i="23" s="1"/>
  <c r="CB14" i="23"/>
  <c r="CC14" i="23" s="1"/>
  <c r="CB13" i="23"/>
  <c r="BU48" i="23"/>
  <c r="BT48" i="23"/>
  <c r="AA48" i="23"/>
  <c r="CD44" i="23"/>
  <c r="CB44" i="23"/>
  <c r="BS44" i="23"/>
  <c r="BP44" i="23"/>
  <c r="BS36" i="23"/>
  <c r="BT36" i="23" s="1"/>
  <c r="BU36" i="23" s="1"/>
  <c r="BP36" i="23"/>
  <c r="BS35" i="23"/>
  <c r="BT35" i="23" s="1"/>
  <c r="BU35" i="23" s="1"/>
  <c r="BP35" i="23"/>
  <c r="BS34" i="23"/>
  <c r="BP34" i="23"/>
  <c r="BS33" i="23"/>
  <c r="BT33" i="23" s="1"/>
  <c r="BU33" i="23" s="1"/>
  <c r="BP33" i="23"/>
  <c r="BS31" i="23"/>
  <c r="BT31" i="23" s="1"/>
  <c r="BU31" i="23" s="1"/>
  <c r="BP31" i="23"/>
  <c r="BS30" i="23"/>
  <c r="BP30" i="23"/>
  <c r="BT30" i="23" s="1"/>
  <c r="BU30" i="23" s="1"/>
  <c r="BS29" i="23"/>
  <c r="BP29" i="23"/>
  <c r="BS28" i="23"/>
  <c r="BT28" i="23" s="1"/>
  <c r="BU28" i="23" s="1"/>
  <c r="BP28" i="23"/>
  <c r="BS26" i="23"/>
  <c r="BP26" i="23"/>
  <c r="BS25" i="23"/>
  <c r="BP25" i="23"/>
  <c r="BS24" i="23"/>
  <c r="BP24" i="23"/>
  <c r="BS23" i="23"/>
  <c r="BP23" i="23"/>
  <c r="BP38" i="23"/>
  <c r="BS38" i="23"/>
  <c r="CB38" i="23"/>
  <c r="CD38" i="23"/>
  <c r="BS21" i="23"/>
  <c r="BP21" i="23"/>
  <c r="BS20" i="23"/>
  <c r="BP20" i="23"/>
  <c r="BS19" i="23"/>
  <c r="BP19" i="23"/>
  <c r="BS18" i="23"/>
  <c r="BP18" i="23"/>
  <c r="BO48" i="23"/>
  <c r="BN48" i="23"/>
  <c r="BM48" i="23"/>
  <c r="BL48" i="23"/>
  <c r="BK48" i="23"/>
  <c r="BJ48" i="23"/>
  <c r="BI48" i="23"/>
  <c r="BH48" i="23"/>
  <c r="BG48" i="23"/>
  <c r="BF48" i="23"/>
  <c r="BE48" i="23"/>
  <c r="BD48" i="23"/>
  <c r="BC48" i="23"/>
  <c r="BB48" i="23"/>
  <c r="BA48" i="23"/>
  <c r="AZ48" i="23"/>
  <c r="AY48" i="23"/>
  <c r="AX48" i="23"/>
  <c r="AW48" i="23"/>
  <c r="AV48" i="23"/>
  <c r="AU48" i="23"/>
  <c r="AT48" i="23"/>
  <c r="AS48" i="23"/>
  <c r="AR48" i="23"/>
  <c r="AQ48" i="23"/>
  <c r="AP48" i="23"/>
  <c r="AO48" i="23"/>
  <c r="AN48" i="23"/>
  <c r="AM48" i="23"/>
  <c r="AL48" i="23"/>
  <c r="AK48" i="23"/>
  <c r="AJ48" i="23"/>
  <c r="AI48" i="23"/>
  <c r="AH48" i="23"/>
  <c r="AG48" i="23"/>
  <c r="AF48" i="23"/>
  <c r="AE48" i="23"/>
  <c r="AD48" i="23"/>
  <c r="AC48" i="23"/>
  <c r="AB48" i="23"/>
  <c r="Z48" i="23"/>
  <c r="Y48" i="23"/>
  <c r="X48" i="23"/>
  <c r="W48" i="23"/>
  <c r="V48" i="23"/>
  <c r="U48" i="23"/>
  <c r="T48" i="23"/>
  <c r="S48" i="23"/>
  <c r="R48" i="23"/>
  <c r="Q48" i="23"/>
  <c r="P48" i="23"/>
  <c r="O48" i="23"/>
  <c r="N48" i="23"/>
  <c r="M48" i="23"/>
  <c r="L48" i="23"/>
  <c r="K48" i="23"/>
  <c r="J48" i="23"/>
  <c r="I48" i="23"/>
  <c r="CD45" i="23"/>
  <c r="CB45" i="23"/>
  <c r="BS45" i="23"/>
  <c r="BP45" i="23"/>
  <c r="CD42" i="23"/>
  <c r="CB42" i="23"/>
  <c r="BS42" i="23"/>
  <c r="BP42" i="23"/>
  <c r="CD41" i="23"/>
  <c r="CB41" i="23"/>
  <c r="BS41" i="23"/>
  <c r="BP41" i="23"/>
  <c r="CD39" i="23"/>
  <c r="CB39" i="23"/>
  <c r="BS39" i="23"/>
  <c r="BP39" i="23"/>
  <c r="BS16" i="23"/>
  <c r="BP16" i="23"/>
  <c r="BS15" i="23"/>
  <c r="BP15" i="23"/>
  <c r="BS14" i="23"/>
  <c r="BP14" i="23"/>
  <c r="CD13" i="23"/>
  <c r="BS13" i="23"/>
  <c r="BP13" i="23"/>
  <c r="BE10" i="23"/>
  <c r="BF10" i="23" s="1"/>
  <c r="BG10" i="23" s="1"/>
  <c r="BH10" i="23" s="1"/>
  <c r="BI10" i="23" s="1"/>
  <c r="BJ10" i="23" s="1"/>
  <c r="BK10" i="23" s="1"/>
  <c r="BL10" i="23" s="1"/>
  <c r="BM10" i="23" s="1"/>
  <c r="BN10" i="23" s="1"/>
  <c r="BO10" i="23" s="1"/>
  <c r="Z10" i="23"/>
  <c r="AA10" i="23" s="1"/>
  <c r="AB10" i="23" s="1"/>
  <c r="AC10" i="23" s="1"/>
  <c r="AD10" i="23" s="1"/>
  <c r="AE10" i="23" s="1"/>
  <c r="AF10" i="23" s="1"/>
  <c r="AG10" i="23" s="1"/>
  <c r="AH10" i="23" s="1"/>
  <c r="AI10" i="23" s="1"/>
  <c r="AJ10" i="23" s="1"/>
  <c r="AK10" i="23" s="1"/>
  <c r="AL10" i="23" s="1"/>
  <c r="AM10" i="23" s="1"/>
  <c r="I28" i="26" l="1"/>
  <c r="J25" i="9"/>
  <c r="I30" i="9"/>
  <c r="CD17" i="21"/>
  <c r="CD20" i="21"/>
  <c r="CE32" i="22"/>
  <c r="CC14" i="24"/>
  <c r="CE22" i="24"/>
  <c r="CC18" i="24"/>
  <c r="CC22" i="24"/>
  <c r="BT15" i="24"/>
  <c r="BU15" i="24" s="1"/>
  <c r="BT13" i="24"/>
  <c r="CE16" i="24"/>
  <c r="CE23" i="24"/>
  <c r="CE14" i="24"/>
  <c r="CE17" i="24" s="1"/>
  <c r="BT18" i="24"/>
  <c r="BU18" i="24" s="1"/>
  <c r="CF18" i="24" s="1"/>
  <c r="BT21" i="24"/>
  <c r="BU21" i="24" s="1"/>
  <c r="BY21" i="24" s="1"/>
  <c r="CE24" i="24"/>
  <c r="CB23" i="24"/>
  <c r="CD23" i="24"/>
  <c r="CB17" i="24"/>
  <c r="CC15" i="24"/>
  <c r="CF15" i="24" s="1"/>
  <c r="CD17" i="24"/>
  <c r="CD20" i="24"/>
  <c r="CC25" i="24"/>
  <c r="CC26" i="24" s="1"/>
  <c r="CC19" i="24"/>
  <c r="CC20" i="24" s="1"/>
  <c r="CB20" i="24"/>
  <c r="BX22" i="24"/>
  <c r="BY22" i="24" s="1"/>
  <c r="CE25" i="24"/>
  <c r="CF25" i="24" s="1"/>
  <c r="CF14" i="24"/>
  <c r="BY25" i="24"/>
  <c r="CF22" i="24"/>
  <c r="BU13" i="24"/>
  <c r="BY14" i="24"/>
  <c r="BT24" i="24"/>
  <c r="BU24" i="24" s="1"/>
  <c r="BP28" i="24"/>
  <c r="CC13" i="24"/>
  <c r="CE18" i="24"/>
  <c r="CE20" i="24" s="1"/>
  <c r="CC21" i="24"/>
  <c r="CC23" i="24" s="1"/>
  <c r="BT16" i="24"/>
  <c r="BU16" i="24" s="1"/>
  <c r="BT19" i="24"/>
  <c r="BU19" i="24" s="1"/>
  <c r="BT44" i="23"/>
  <c r="BU44" i="23" s="1"/>
  <c r="CC44" i="23"/>
  <c r="CF44" i="23" s="1"/>
  <c r="CE44" i="23"/>
  <c r="CF35" i="23"/>
  <c r="CF36" i="23"/>
  <c r="CF33" i="23"/>
  <c r="BT34" i="23"/>
  <c r="BU34" i="23" s="1"/>
  <c r="CF30" i="23"/>
  <c r="CF31" i="23"/>
  <c r="CF28" i="23"/>
  <c r="BT29" i="23"/>
  <c r="BU29" i="23" s="1"/>
  <c r="BT19" i="23"/>
  <c r="BU19" i="23" s="1"/>
  <c r="BT38" i="23"/>
  <c r="BU38" i="23" s="1"/>
  <c r="BT23" i="23"/>
  <c r="BU23" i="23" s="1"/>
  <c r="BT26" i="23"/>
  <c r="BU26" i="23" s="1"/>
  <c r="BT25" i="23"/>
  <c r="BU25" i="23" s="1"/>
  <c r="BT24" i="23"/>
  <c r="BU24" i="23" s="1"/>
  <c r="CE38" i="23"/>
  <c r="CC38" i="23"/>
  <c r="CE42" i="23"/>
  <c r="CC42" i="23"/>
  <c r="BT21" i="23"/>
  <c r="BU21" i="23" s="1"/>
  <c r="CC39" i="23"/>
  <c r="CE39" i="23"/>
  <c r="BT20" i="23"/>
  <c r="BU20" i="23" s="1"/>
  <c r="BT41" i="23"/>
  <c r="BU41" i="23" s="1"/>
  <c r="BT18" i="23"/>
  <c r="BU18" i="23" s="1"/>
  <c r="CB43" i="23"/>
  <c r="CD43" i="23"/>
  <c r="CB40" i="23"/>
  <c r="BT15" i="23"/>
  <c r="BU15" i="23" s="1"/>
  <c r="BT45" i="23"/>
  <c r="BU45" i="23" s="1"/>
  <c r="CC13" i="23"/>
  <c r="CE13" i="23"/>
  <c r="BT42" i="23"/>
  <c r="BU42" i="23" s="1"/>
  <c r="BT39" i="23"/>
  <c r="BU39" i="23" s="1"/>
  <c r="BP48" i="23"/>
  <c r="BT14" i="23"/>
  <c r="BU14" i="23" s="1"/>
  <c r="BT13" i="23"/>
  <c r="BU13" i="23" s="1"/>
  <c r="CC41" i="23"/>
  <c r="BT16" i="23"/>
  <c r="BU16" i="23" s="1"/>
  <c r="CE41" i="23"/>
  <c r="CC45" i="23"/>
  <c r="CD40" i="23"/>
  <c r="CE45" i="23"/>
  <c r="L28" i="26" l="1"/>
  <c r="J24" i="26"/>
  <c r="J26" i="26"/>
  <c r="J25" i="26"/>
  <c r="J23" i="26"/>
  <c r="J26" i="9"/>
  <c r="J27" i="9"/>
  <c r="J28" i="9"/>
  <c r="BY18" i="24"/>
  <c r="CE26" i="24"/>
  <c r="BY16" i="24"/>
  <c r="CF16" i="24"/>
  <c r="BT28" i="24"/>
  <c r="CE28" i="24"/>
  <c r="CC17" i="24"/>
  <c r="CE30" i="24" s="1"/>
  <c r="CE31" i="24" s="1"/>
  <c r="CF21" i="24"/>
  <c r="CF24" i="24"/>
  <c r="BY24" i="24"/>
  <c r="CF19" i="24"/>
  <c r="BY19" i="24"/>
  <c r="CF13" i="24"/>
  <c r="BU28" i="24"/>
  <c r="BY28" i="24" s="1"/>
  <c r="BY13" i="24"/>
  <c r="CF26" i="23"/>
  <c r="CF34" i="23"/>
  <c r="CF25" i="23"/>
  <c r="CF19" i="23"/>
  <c r="CF23" i="23"/>
  <c r="CF38" i="23"/>
  <c r="CE43" i="23"/>
  <c r="CF29" i="23"/>
  <c r="CF13" i="23"/>
  <c r="CF24" i="23"/>
  <c r="CE40" i="23"/>
  <c r="CF42" i="23"/>
  <c r="CF20" i="23"/>
  <c r="CF39" i="23"/>
  <c r="CF15" i="23"/>
  <c r="CF18" i="23"/>
  <c r="CB48" i="23"/>
  <c r="CF21" i="23"/>
  <c r="CF14" i="23"/>
  <c r="CD48" i="23"/>
  <c r="CF16" i="23"/>
  <c r="CF45" i="23"/>
  <c r="CF41" i="23"/>
  <c r="J28" i="26" l="1"/>
  <c r="BY48" i="23"/>
  <c r="CE51" i="23" l="1"/>
  <c r="CD27" i="22" l="1"/>
  <c r="CB27" i="22"/>
  <c r="BS27" i="22"/>
  <c r="BP27" i="22"/>
  <c r="BX27" i="22" s="1"/>
  <c r="CD26" i="22"/>
  <c r="BS26" i="22"/>
  <c r="BP26" i="22"/>
  <c r="BX26" i="22" s="1"/>
  <c r="BO30" i="22"/>
  <c r="BN30" i="22"/>
  <c r="BM30" i="22"/>
  <c r="BL30" i="22"/>
  <c r="BK30" i="22"/>
  <c r="BJ30" i="22"/>
  <c r="BI30" i="22"/>
  <c r="BH30" i="22"/>
  <c r="BG30" i="22"/>
  <c r="BF30" i="22"/>
  <c r="BE30" i="22"/>
  <c r="BD30" i="22"/>
  <c r="BC30" i="22"/>
  <c r="BB30" i="22"/>
  <c r="BA30" i="22"/>
  <c r="AZ30" i="22"/>
  <c r="AY30" i="22"/>
  <c r="AX30" i="22"/>
  <c r="AW30" i="22"/>
  <c r="AV30" i="22"/>
  <c r="AU30" i="22"/>
  <c r="AT30" i="22"/>
  <c r="AS30" i="22"/>
  <c r="AR30" i="22"/>
  <c r="AQ30" i="22"/>
  <c r="AP30" i="22"/>
  <c r="AO30" i="22"/>
  <c r="AN30" i="22"/>
  <c r="AM30" i="22"/>
  <c r="AL30" i="22"/>
  <c r="AK30" i="22"/>
  <c r="AJ30" i="22"/>
  <c r="AI30" i="22"/>
  <c r="AH30" i="22"/>
  <c r="AG30" i="22"/>
  <c r="AF30" i="22"/>
  <c r="AE30" i="22"/>
  <c r="AD30" i="22"/>
  <c r="AC30" i="22"/>
  <c r="AB30" i="22"/>
  <c r="AA30" i="22"/>
  <c r="Z30" i="22"/>
  <c r="Y30" i="22"/>
  <c r="X30" i="22"/>
  <c r="W30" i="22"/>
  <c r="V30" i="22"/>
  <c r="U30" i="22"/>
  <c r="T30" i="22"/>
  <c r="S30" i="22"/>
  <c r="R30" i="22"/>
  <c r="Q30" i="22"/>
  <c r="P30" i="22"/>
  <c r="O30" i="22"/>
  <c r="N30" i="22"/>
  <c r="M30" i="22"/>
  <c r="L30" i="22"/>
  <c r="K30" i="22"/>
  <c r="J30" i="22"/>
  <c r="I30" i="22"/>
  <c r="CD24" i="22"/>
  <c r="CB24" i="22"/>
  <c r="BS24" i="22"/>
  <c r="BP24" i="22"/>
  <c r="BX24" i="22" s="1"/>
  <c r="CD22" i="22"/>
  <c r="CB22" i="22"/>
  <c r="BS22" i="22"/>
  <c r="BP22" i="22"/>
  <c r="BX22" i="22" s="1"/>
  <c r="CD21" i="22"/>
  <c r="CD23" i="22" s="1"/>
  <c r="CB21" i="22"/>
  <c r="BS21" i="22"/>
  <c r="BP21" i="22"/>
  <c r="BX21" i="22" s="1"/>
  <c r="CD19" i="22"/>
  <c r="CB19" i="22"/>
  <c r="BS19" i="22"/>
  <c r="BP19" i="22"/>
  <c r="BX19" i="22" s="1"/>
  <c r="CD18" i="22"/>
  <c r="CB18" i="22"/>
  <c r="BS18" i="22"/>
  <c r="BP18" i="22"/>
  <c r="BX18" i="22" s="1"/>
  <c r="BS16" i="22"/>
  <c r="BP16" i="22"/>
  <c r="BX16" i="22" s="1"/>
  <c r="BS15" i="22"/>
  <c r="BT15" i="22" s="1"/>
  <c r="BU15" i="22" s="1"/>
  <c r="BP15" i="22"/>
  <c r="CD14" i="22"/>
  <c r="CB14" i="22"/>
  <c r="BS14" i="22"/>
  <c r="BP14" i="22"/>
  <c r="BX14" i="22" s="1"/>
  <c r="CD13" i="22"/>
  <c r="CB13" i="22"/>
  <c r="BS13" i="22"/>
  <c r="BP13" i="22"/>
  <c r="BE10" i="22"/>
  <c r="BF10" i="22" s="1"/>
  <c r="BG10" i="22" s="1"/>
  <c r="BH10" i="22" s="1"/>
  <c r="BI10" i="22" s="1"/>
  <c r="BJ10" i="22" s="1"/>
  <c r="BK10" i="22" s="1"/>
  <c r="BL10" i="22" s="1"/>
  <c r="BM10" i="22" s="1"/>
  <c r="BN10" i="22" s="1"/>
  <c r="BO10" i="22" s="1"/>
  <c r="Z10" i="22"/>
  <c r="AA10" i="22" s="1"/>
  <c r="AB10" i="22" s="1"/>
  <c r="AC10" i="22" s="1"/>
  <c r="AD10" i="22" s="1"/>
  <c r="AE10" i="22" s="1"/>
  <c r="AF10" i="22" s="1"/>
  <c r="AG10" i="22" s="1"/>
  <c r="AH10" i="22" s="1"/>
  <c r="AI10" i="22" s="1"/>
  <c r="AJ10" i="22" s="1"/>
  <c r="AK10" i="22" s="1"/>
  <c r="AL10" i="22" s="1"/>
  <c r="AM10" i="22" s="1"/>
  <c r="BP13" i="21"/>
  <c r="BS15" i="21"/>
  <c r="BP15" i="21"/>
  <c r="BO27" i="21"/>
  <c r="BN27" i="21"/>
  <c r="BM27" i="21"/>
  <c r="BL27" i="21"/>
  <c r="BK27" i="21"/>
  <c r="BJ27" i="21"/>
  <c r="BI27" i="21"/>
  <c r="BH27" i="21"/>
  <c r="BG27" i="21"/>
  <c r="BF27" i="21"/>
  <c r="BE27" i="21"/>
  <c r="BD27" i="21"/>
  <c r="BC27" i="21"/>
  <c r="BB27" i="21"/>
  <c r="BA27" i="21"/>
  <c r="AZ27" i="21"/>
  <c r="AY27" i="21"/>
  <c r="AX27" i="21"/>
  <c r="AW27" i="21"/>
  <c r="AV27" i="21"/>
  <c r="AU27" i="21"/>
  <c r="AT27" i="21"/>
  <c r="AS27" i="21"/>
  <c r="AR27" i="21"/>
  <c r="AQ27" i="21"/>
  <c r="AP27" i="21"/>
  <c r="AO27" i="21"/>
  <c r="AN27" i="21"/>
  <c r="AM27" i="21"/>
  <c r="AL27" i="21"/>
  <c r="AK27" i="21"/>
  <c r="AJ27" i="21"/>
  <c r="AI27" i="21"/>
  <c r="AH27" i="21"/>
  <c r="AG27" i="21"/>
  <c r="AF27" i="21"/>
  <c r="AE27" i="21"/>
  <c r="AD27" i="21"/>
  <c r="AC27" i="21"/>
  <c r="AB27" i="21"/>
  <c r="AA27" i="21"/>
  <c r="Z27" i="21"/>
  <c r="Y27" i="21"/>
  <c r="X27" i="21"/>
  <c r="W27" i="21"/>
  <c r="V27" i="21"/>
  <c r="U27" i="21"/>
  <c r="T27" i="21"/>
  <c r="S27" i="21"/>
  <c r="R27" i="21"/>
  <c r="Q27" i="21"/>
  <c r="P27" i="21"/>
  <c r="O27" i="21"/>
  <c r="N27" i="21"/>
  <c r="M27" i="21"/>
  <c r="L27" i="21"/>
  <c r="K27" i="21"/>
  <c r="J27" i="21"/>
  <c r="I27" i="21"/>
  <c r="BS24" i="21"/>
  <c r="BP24" i="21"/>
  <c r="BS22" i="21"/>
  <c r="BP22" i="21"/>
  <c r="BS21" i="21"/>
  <c r="BP21" i="21"/>
  <c r="BS19" i="21"/>
  <c r="BP19" i="21"/>
  <c r="BS18" i="21"/>
  <c r="BP18" i="21"/>
  <c r="BS16" i="21"/>
  <c r="BP16" i="21"/>
  <c r="BS14" i="21"/>
  <c r="BP14" i="21"/>
  <c r="BS13" i="21"/>
  <c r="BE10" i="21"/>
  <c r="BF10" i="21" s="1"/>
  <c r="BG10" i="21" s="1"/>
  <c r="BH10" i="21" s="1"/>
  <c r="BI10" i="21" s="1"/>
  <c r="BJ10" i="21" s="1"/>
  <c r="BK10" i="21" s="1"/>
  <c r="BL10" i="21" s="1"/>
  <c r="BM10" i="21" s="1"/>
  <c r="BN10" i="21" s="1"/>
  <c r="BO10" i="21" s="1"/>
  <c r="Z10" i="21"/>
  <c r="AA10" i="21" s="1"/>
  <c r="AB10" i="21" s="1"/>
  <c r="AC10" i="21" s="1"/>
  <c r="AD10" i="21" s="1"/>
  <c r="AE10" i="21" s="1"/>
  <c r="AF10" i="21" s="1"/>
  <c r="AG10" i="21" s="1"/>
  <c r="AH10" i="21" s="1"/>
  <c r="AI10" i="21" s="1"/>
  <c r="AJ10" i="21" s="1"/>
  <c r="AK10" i="21" s="1"/>
  <c r="AL10" i="21" s="1"/>
  <c r="AM10" i="21" s="1"/>
  <c r="CB105" i="20"/>
  <c r="CD105" i="20"/>
  <c r="CD104" i="20"/>
  <c r="CB104" i="20"/>
  <c r="CD103" i="20"/>
  <c r="CB103" i="20"/>
  <c r="CD102" i="20"/>
  <c r="CB102" i="20"/>
  <c r="CD101" i="20"/>
  <c r="CB101" i="20"/>
  <c r="CD99" i="20"/>
  <c r="CE99" i="20" s="1"/>
  <c r="CB99" i="20"/>
  <c r="CD98" i="20"/>
  <c r="CB98" i="20"/>
  <c r="CD97" i="20"/>
  <c r="CB97" i="20"/>
  <c r="CD96" i="20"/>
  <c r="CB96" i="20"/>
  <c r="CD95" i="20"/>
  <c r="CB95" i="20"/>
  <c r="CD94" i="20"/>
  <c r="CB94" i="20"/>
  <c r="CD93" i="20"/>
  <c r="CE93" i="20" s="1"/>
  <c r="CB93" i="20"/>
  <c r="CD92" i="20"/>
  <c r="CB92" i="20"/>
  <c r="CD91" i="20"/>
  <c r="CB91" i="20"/>
  <c r="CB84" i="20"/>
  <c r="BS105" i="20"/>
  <c r="BP105" i="20"/>
  <c r="BX105" i="20" s="1"/>
  <c r="BS104" i="20"/>
  <c r="BP104" i="20"/>
  <c r="BX104" i="20" s="1"/>
  <c r="BS103" i="20"/>
  <c r="BP103" i="20"/>
  <c r="BX103" i="20" s="1"/>
  <c r="BS102" i="20"/>
  <c r="BP102" i="20"/>
  <c r="BX102" i="20" s="1"/>
  <c r="BS101" i="20"/>
  <c r="BP101" i="20"/>
  <c r="BX101" i="20" s="1"/>
  <c r="BS99" i="20"/>
  <c r="BS98" i="20"/>
  <c r="BS97" i="20"/>
  <c r="BS96" i="20"/>
  <c r="BT96" i="20" s="1"/>
  <c r="BU96" i="20" s="1"/>
  <c r="BS95" i="20"/>
  <c r="BT95" i="20" s="1"/>
  <c r="BU95" i="20" s="1"/>
  <c r="BS94" i="20"/>
  <c r="BS93" i="20"/>
  <c r="BS92" i="20"/>
  <c r="BS91" i="20"/>
  <c r="BP99" i="20"/>
  <c r="BX99" i="20" s="1"/>
  <c r="BP98" i="20"/>
  <c r="BX98" i="20" s="1"/>
  <c r="BP97" i="20"/>
  <c r="BX97" i="20" s="1"/>
  <c r="BP96" i="20"/>
  <c r="BX96" i="20" s="1"/>
  <c r="BP95" i="20"/>
  <c r="BX95" i="20" s="1"/>
  <c r="BP94" i="20"/>
  <c r="BX94" i="20" s="1"/>
  <c r="BP93" i="20"/>
  <c r="BX93" i="20" s="1"/>
  <c r="BP92" i="20"/>
  <c r="BX92" i="20" s="1"/>
  <c r="BP91" i="20"/>
  <c r="BX91" i="20" s="1"/>
  <c r="CD89" i="20"/>
  <c r="CB89" i="20"/>
  <c r="BS89" i="20"/>
  <c r="BP89" i="20"/>
  <c r="BX89" i="20" s="1"/>
  <c r="CD88" i="20"/>
  <c r="CB88" i="20"/>
  <c r="BS88" i="20"/>
  <c r="BP88" i="20"/>
  <c r="BX88" i="20" s="1"/>
  <c r="CD87" i="20"/>
  <c r="CB87" i="20"/>
  <c r="BS87" i="20"/>
  <c r="BP87" i="20"/>
  <c r="BX87" i="20" s="1"/>
  <c r="CD86" i="20"/>
  <c r="CB86" i="20"/>
  <c r="BS86" i="20"/>
  <c r="BP86" i="20"/>
  <c r="BX86" i="20" s="1"/>
  <c r="CD85" i="20"/>
  <c r="CB85" i="20"/>
  <c r="BS85" i="20"/>
  <c r="BP85" i="20"/>
  <c r="BX85" i="20" s="1"/>
  <c r="CD84" i="20"/>
  <c r="BS84" i="20"/>
  <c r="BP84" i="20"/>
  <c r="BX84" i="20" s="1"/>
  <c r="E116" i="20" l="1"/>
  <c r="BT97" i="20"/>
  <c r="BU97" i="20" s="1"/>
  <c r="E117" i="20"/>
  <c r="E118" i="20"/>
  <c r="CE94" i="20"/>
  <c r="CC95" i="20"/>
  <c r="CC94" i="20"/>
  <c r="CB106" i="20"/>
  <c r="CE103" i="20"/>
  <c r="CB90" i="20"/>
  <c r="CB100" i="20"/>
  <c r="CD90" i="20"/>
  <c r="CD100" i="20"/>
  <c r="CC92" i="20"/>
  <c r="CC98" i="20"/>
  <c r="CE98" i="20"/>
  <c r="CC105" i="20"/>
  <c r="BT91" i="20"/>
  <c r="BU91" i="20" s="1"/>
  <c r="BY91" i="20" s="1"/>
  <c r="CC93" i="20"/>
  <c r="CC99" i="20"/>
  <c r="BY97" i="20"/>
  <c r="BT92" i="20"/>
  <c r="BU92" i="20" s="1"/>
  <c r="CE105" i="20"/>
  <c r="BT93" i="20"/>
  <c r="BU93" i="20" s="1"/>
  <c r="CF93" i="20" s="1"/>
  <c r="CE95" i="20"/>
  <c r="CC91" i="20"/>
  <c r="CC96" i="20"/>
  <c r="CE91" i="20"/>
  <c r="CE96" i="20"/>
  <c r="CC101" i="20"/>
  <c r="BY95" i="20"/>
  <c r="CC97" i="20"/>
  <c r="CE101" i="20"/>
  <c r="CD106" i="20"/>
  <c r="BY96" i="20"/>
  <c r="BT99" i="20"/>
  <c r="BU99" i="20" s="1"/>
  <c r="CF99" i="20" s="1"/>
  <c r="CE97" i="20"/>
  <c r="CC102" i="20"/>
  <c r="CE92" i="20"/>
  <c r="CE102" i="20"/>
  <c r="CC103" i="20"/>
  <c r="CC104" i="20"/>
  <c r="CE104" i="20"/>
  <c r="CC13" i="21"/>
  <c r="CE13" i="21"/>
  <c r="CC15" i="21"/>
  <c r="CE15" i="21"/>
  <c r="CC18" i="21"/>
  <c r="CE18" i="21"/>
  <c r="CE22" i="21"/>
  <c r="CC22" i="21"/>
  <c r="CC23" i="21" s="1"/>
  <c r="CE14" i="21"/>
  <c r="CC14" i="21"/>
  <c r="CE19" i="21"/>
  <c r="CC19" i="21"/>
  <c r="CC24" i="21"/>
  <c r="CC25" i="21" s="1"/>
  <c r="CE24" i="21"/>
  <c r="CE25" i="21" s="1"/>
  <c r="CC16" i="21"/>
  <c r="CE16" i="21"/>
  <c r="CC21" i="21"/>
  <c r="CE21" i="21"/>
  <c r="CE24" i="22"/>
  <c r="CC26" i="22"/>
  <c r="CE26" i="22"/>
  <c r="CC27" i="22"/>
  <c r="CE27" i="22"/>
  <c r="BT27" i="22"/>
  <c r="BU27" i="22" s="1"/>
  <c r="BY27" i="22" s="1"/>
  <c r="BT26" i="22"/>
  <c r="BU26" i="22" s="1"/>
  <c r="CB20" i="22"/>
  <c r="CC18" i="22"/>
  <c r="CD20" i="22"/>
  <c r="BT19" i="22"/>
  <c r="BU19" i="22" s="1"/>
  <c r="BY19" i="22" s="1"/>
  <c r="CF15" i="22"/>
  <c r="BP30" i="22"/>
  <c r="CC22" i="22"/>
  <c r="BT16" i="22"/>
  <c r="BU16" i="22" s="1"/>
  <c r="BY16" i="22" s="1"/>
  <c r="CC19" i="22"/>
  <c r="BT24" i="22"/>
  <c r="BU24" i="22" s="1"/>
  <c r="CE22" i="22"/>
  <c r="CE13" i="22"/>
  <c r="CE19" i="22"/>
  <c r="BT13" i="22"/>
  <c r="BU13" i="22" s="1"/>
  <c r="CC14" i="22"/>
  <c r="BT18" i="22"/>
  <c r="BU18" i="22" s="1"/>
  <c r="BY18" i="22" s="1"/>
  <c r="CE14" i="22"/>
  <c r="BT21" i="22"/>
  <c r="BU21" i="22" s="1"/>
  <c r="BY21" i="22" s="1"/>
  <c r="CF19" i="22"/>
  <c r="CF16" i="22"/>
  <c r="CC13" i="22"/>
  <c r="CE18" i="22"/>
  <c r="CC21" i="22"/>
  <c r="CE21" i="22"/>
  <c r="CC24" i="22"/>
  <c r="BT22" i="22"/>
  <c r="BU22" i="22" s="1"/>
  <c r="BT14" i="22"/>
  <c r="BU14" i="22" s="1"/>
  <c r="BX13" i="22"/>
  <c r="BT18" i="21"/>
  <c r="BU18" i="21" s="1"/>
  <c r="BT15" i="21"/>
  <c r="BU15" i="21" s="1"/>
  <c r="CF15" i="21" s="1"/>
  <c r="BT24" i="21"/>
  <c r="BU24" i="21" s="1"/>
  <c r="BP27" i="21"/>
  <c r="BT13" i="21"/>
  <c r="BU13" i="21" s="1"/>
  <c r="BT19" i="21"/>
  <c r="BU19" i="21" s="1"/>
  <c r="BT22" i="21"/>
  <c r="BU22" i="21" s="1"/>
  <c r="BT16" i="21"/>
  <c r="BU16" i="21" s="1"/>
  <c r="BT14" i="21"/>
  <c r="BU14" i="21" s="1"/>
  <c r="BT21" i="21"/>
  <c r="BU21" i="21" s="1"/>
  <c r="BT101" i="20"/>
  <c r="BU101" i="20" s="1"/>
  <c r="BY101" i="20" s="1"/>
  <c r="BT94" i="20"/>
  <c r="BU94" i="20" s="1"/>
  <c r="CF94" i="20" s="1"/>
  <c r="BT103" i="20"/>
  <c r="BU103" i="20" s="1"/>
  <c r="BY103" i="20" s="1"/>
  <c r="BT104" i="20"/>
  <c r="BU104" i="20" s="1"/>
  <c r="BT98" i="20"/>
  <c r="BU98" i="20" s="1"/>
  <c r="BT105" i="20"/>
  <c r="BU105" i="20" s="1"/>
  <c r="BT102" i="20"/>
  <c r="BU102" i="20" s="1"/>
  <c r="CE86" i="20"/>
  <c r="CE85" i="20"/>
  <c r="CE89" i="20"/>
  <c r="BT88" i="20"/>
  <c r="BU88" i="20" s="1"/>
  <c r="BY88" i="20" s="1"/>
  <c r="BT85" i="20"/>
  <c r="BU85" i="20" s="1"/>
  <c r="BY85" i="20" s="1"/>
  <c r="BT84" i="20"/>
  <c r="BU84" i="20" s="1"/>
  <c r="BY84" i="20" s="1"/>
  <c r="CC86" i="20"/>
  <c r="BT89" i="20"/>
  <c r="BU89" i="20" s="1"/>
  <c r="BY89" i="20" s="1"/>
  <c r="CE88" i="20"/>
  <c r="BT86" i="20"/>
  <c r="BU86" i="20" s="1"/>
  <c r="BY86" i="20" s="1"/>
  <c r="CC89" i="20"/>
  <c r="CE84" i="20"/>
  <c r="BT87" i="20"/>
  <c r="BU87" i="20" s="1"/>
  <c r="BY87" i="20" s="1"/>
  <c r="CC84" i="20"/>
  <c r="CC87" i="20"/>
  <c r="CE87" i="20"/>
  <c r="CC88" i="20"/>
  <c r="CC85" i="20"/>
  <c r="BY104" i="20" l="1"/>
  <c r="CF95" i="20"/>
  <c r="C116" i="20"/>
  <c r="C118" i="20"/>
  <c r="C117" i="20"/>
  <c r="BY94" i="20"/>
  <c r="BY99" i="20"/>
  <c r="CC106" i="20"/>
  <c r="CF98" i="20"/>
  <c r="CF105" i="20"/>
  <c r="BY93" i="20"/>
  <c r="CF96" i="20"/>
  <c r="CF97" i="20"/>
  <c r="CF103" i="20"/>
  <c r="CF88" i="20"/>
  <c r="CE90" i="20"/>
  <c r="G17" i="26" s="1"/>
  <c r="CF102" i="20"/>
  <c r="CF92" i="20"/>
  <c r="CC90" i="20"/>
  <c r="CC108" i="20" s="1"/>
  <c r="CE100" i="20"/>
  <c r="G18" i="26" s="1"/>
  <c r="CC100" i="20"/>
  <c r="CF104" i="20"/>
  <c r="BY102" i="20"/>
  <c r="BY105" i="20"/>
  <c r="CF91" i="20"/>
  <c r="BY92" i="20"/>
  <c r="CF101" i="20"/>
  <c r="BY98" i="20"/>
  <c r="CE106" i="20"/>
  <c r="G19" i="26" s="1"/>
  <c r="CE23" i="21"/>
  <c r="CE20" i="21"/>
  <c r="CE17" i="21"/>
  <c r="CC20" i="21"/>
  <c r="CC17" i="21"/>
  <c r="CE20" i="22"/>
  <c r="CF27" i="22"/>
  <c r="CE17" i="22"/>
  <c r="CF26" i="22"/>
  <c r="CE23" i="22"/>
  <c r="CF18" i="22"/>
  <c r="BY24" i="22"/>
  <c r="BY22" i="22"/>
  <c r="CF22" i="22"/>
  <c r="CF24" i="22"/>
  <c r="CF21" i="22"/>
  <c r="BT30" i="22"/>
  <c r="BY14" i="22"/>
  <c r="CF14" i="22"/>
  <c r="CF13" i="22"/>
  <c r="BY13" i="22"/>
  <c r="CF18" i="21"/>
  <c r="CF13" i="21"/>
  <c r="CF19" i="21"/>
  <c r="CF22" i="21"/>
  <c r="CF21" i="21"/>
  <c r="CF24" i="21"/>
  <c r="CF14" i="21"/>
  <c r="CF16" i="21"/>
  <c r="BT27" i="21"/>
  <c r="BU27" i="21"/>
  <c r="CF85" i="20"/>
  <c r="CF89" i="20"/>
  <c r="CF87" i="20"/>
  <c r="CF84" i="20"/>
  <c r="CF86" i="20"/>
  <c r="F17" i="26" l="1"/>
  <c r="D116" i="20"/>
  <c r="F18" i="26"/>
  <c r="H18" i="26" s="1"/>
  <c r="I18" i="26" s="1"/>
  <c r="D117" i="20"/>
  <c r="F19" i="26"/>
  <c r="H19" i="26" s="1"/>
  <c r="I19" i="26" s="1"/>
  <c r="D118" i="20"/>
  <c r="H17" i="26"/>
  <c r="I17" i="26" s="1"/>
  <c r="O14" i="26" s="1"/>
  <c r="BY30" i="22"/>
  <c r="CE33" i="22"/>
  <c r="BY27" i="21"/>
  <c r="CD82" i="20"/>
  <c r="CB82" i="20"/>
  <c r="CD81" i="20"/>
  <c r="CB81" i="20"/>
  <c r="CD80" i="20"/>
  <c r="CB80" i="20"/>
  <c r="CD79" i="20"/>
  <c r="CB79" i="20"/>
  <c r="CD78" i="20"/>
  <c r="CB78" i="20"/>
  <c r="CD77" i="20"/>
  <c r="CB77" i="20"/>
  <c r="CD76" i="20"/>
  <c r="CB76" i="20"/>
  <c r="CD75" i="20"/>
  <c r="CB75" i="20"/>
  <c r="CD74" i="20"/>
  <c r="CB74" i="20"/>
  <c r="CD73" i="20"/>
  <c r="CB73" i="20"/>
  <c r="CD72" i="20"/>
  <c r="CB72" i="20"/>
  <c r="CD71" i="20"/>
  <c r="CB71" i="20"/>
  <c r="CD57" i="20"/>
  <c r="CB57" i="20"/>
  <c r="CD56" i="20"/>
  <c r="CB56" i="20"/>
  <c r="CD55" i="20"/>
  <c r="CB55" i="20"/>
  <c r="CD54" i="20"/>
  <c r="CB54" i="20"/>
  <c r="CD53" i="20"/>
  <c r="CB53" i="20"/>
  <c r="CD52" i="20"/>
  <c r="CB52" i="20"/>
  <c r="CD51" i="20"/>
  <c r="CB51" i="20"/>
  <c r="CD50" i="20"/>
  <c r="CB50" i="20"/>
  <c r="CD49" i="20"/>
  <c r="CB49" i="20"/>
  <c r="CD48" i="20"/>
  <c r="CB48" i="20"/>
  <c r="CD47" i="20"/>
  <c r="CB47" i="20"/>
  <c r="CD46" i="20"/>
  <c r="CB46" i="20"/>
  <c r="CD44" i="20"/>
  <c r="CB44" i="20"/>
  <c r="CD43" i="20"/>
  <c r="CB43" i="20"/>
  <c r="CD42" i="20"/>
  <c r="CB42" i="20"/>
  <c r="CD41" i="20"/>
  <c r="CB41" i="20"/>
  <c r="CD40" i="20"/>
  <c r="CB40" i="20"/>
  <c r="CD39" i="20"/>
  <c r="CB39" i="20"/>
  <c r="CD38" i="20"/>
  <c r="CB38" i="20"/>
  <c r="CD37" i="20"/>
  <c r="CB37" i="20"/>
  <c r="CD36" i="20"/>
  <c r="CB36" i="20"/>
  <c r="CD35" i="20"/>
  <c r="CB35" i="20"/>
  <c r="CD34" i="20"/>
  <c r="CB34" i="20"/>
  <c r="CD32" i="20"/>
  <c r="CB32" i="20"/>
  <c r="CD30" i="20"/>
  <c r="CB30" i="20"/>
  <c r="CD29" i="20"/>
  <c r="CB29" i="20"/>
  <c r="CD28" i="20"/>
  <c r="CB28" i="20"/>
  <c r="CD26" i="20"/>
  <c r="CB26" i="20"/>
  <c r="CD25" i="20"/>
  <c r="CB25" i="20"/>
  <c r="CD24" i="20"/>
  <c r="CB24" i="20"/>
  <c r="CD22" i="20"/>
  <c r="CB22" i="20"/>
  <c r="CD21" i="20"/>
  <c r="CB21" i="20"/>
  <c r="CD20" i="20"/>
  <c r="CB20" i="20"/>
  <c r="CD16" i="20"/>
  <c r="CB16" i="20"/>
  <c r="CD14" i="20"/>
  <c r="CB14" i="20"/>
  <c r="CD13" i="20"/>
  <c r="CB13" i="20"/>
  <c r="BS82" i="20"/>
  <c r="BP82" i="20"/>
  <c r="BX82" i="20" s="1"/>
  <c r="BS81" i="20"/>
  <c r="BP81" i="20"/>
  <c r="BX81" i="20" s="1"/>
  <c r="BS80" i="20"/>
  <c r="BP80" i="20"/>
  <c r="BX80" i="20" s="1"/>
  <c r="BS79" i="20"/>
  <c r="BP79" i="20"/>
  <c r="BX79" i="20" s="1"/>
  <c r="BS78" i="20"/>
  <c r="BP78" i="20"/>
  <c r="BX78" i="20" s="1"/>
  <c r="BS77" i="20"/>
  <c r="BP77" i="20"/>
  <c r="BX77" i="20" s="1"/>
  <c r="BS76" i="20"/>
  <c r="BP76" i="20"/>
  <c r="BX76" i="20" s="1"/>
  <c r="BS75" i="20"/>
  <c r="BP75" i="20"/>
  <c r="BX75" i="20" s="1"/>
  <c r="BS74" i="20"/>
  <c r="BP74" i="20"/>
  <c r="BX74" i="20" s="1"/>
  <c r="BS73" i="20"/>
  <c r="BP73" i="20"/>
  <c r="BX73" i="20" s="1"/>
  <c r="BS72" i="20"/>
  <c r="BP72" i="20"/>
  <c r="BX72" i="20" s="1"/>
  <c r="BS71" i="20"/>
  <c r="BP71" i="20"/>
  <c r="BX71" i="20" s="1"/>
  <c r="BS57" i="20"/>
  <c r="BP57" i="20"/>
  <c r="BX57" i="20" s="1"/>
  <c r="BS56" i="20"/>
  <c r="BP56" i="20"/>
  <c r="BX56" i="20" s="1"/>
  <c r="BS55" i="20"/>
  <c r="BP55" i="20"/>
  <c r="BX55" i="20" s="1"/>
  <c r="BS54" i="20"/>
  <c r="BP54" i="20"/>
  <c r="BX54" i="20" s="1"/>
  <c r="BS53" i="20"/>
  <c r="BP53" i="20"/>
  <c r="BX53" i="20" s="1"/>
  <c r="BS52" i="20"/>
  <c r="BP52" i="20"/>
  <c r="BX52" i="20" s="1"/>
  <c r="BS51" i="20"/>
  <c r="BP51" i="20"/>
  <c r="BX51" i="20" s="1"/>
  <c r="BS50" i="20"/>
  <c r="BP50" i="20"/>
  <c r="BX50" i="20" s="1"/>
  <c r="BS49" i="20"/>
  <c r="BP49" i="20"/>
  <c r="BX49" i="20" s="1"/>
  <c r="BS48" i="20"/>
  <c r="BP48" i="20"/>
  <c r="BX48" i="20" s="1"/>
  <c r="BS47" i="20"/>
  <c r="BP47" i="20"/>
  <c r="BX47" i="20" s="1"/>
  <c r="BS46" i="20"/>
  <c r="BP46" i="20"/>
  <c r="BX46" i="20" s="1"/>
  <c r="BS44" i="20"/>
  <c r="BP44" i="20"/>
  <c r="BX44" i="20" s="1"/>
  <c r="BS43" i="20"/>
  <c r="BP43" i="20"/>
  <c r="BX43" i="20" s="1"/>
  <c r="BS42" i="20"/>
  <c r="BP42" i="20"/>
  <c r="BX42" i="20" s="1"/>
  <c r="BS41" i="20"/>
  <c r="BP41" i="20"/>
  <c r="BX41" i="20" s="1"/>
  <c r="BS40" i="20"/>
  <c r="BP40" i="20"/>
  <c r="BX40" i="20" s="1"/>
  <c r="BS39" i="20"/>
  <c r="BP39" i="20"/>
  <c r="BX39" i="20" s="1"/>
  <c r="BS38" i="20"/>
  <c r="BP38" i="20"/>
  <c r="BX38" i="20" s="1"/>
  <c r="BS37" i="20"/>
  <c r="BP37" i="20"/>
  <c r="BX37" i="20" s="1"/>
  <c r="BS36" i="20"/>
  <c r="BP36" i="20"/>
  <c r="BX36" i="20" s="1"/>
  <c r="BS35" i="20"/>
  <c r="BP35" i="20"/>
  <c r="BX35" i="20" s="1"/>
  <c r="BS34" i="20"/>
  <c r="BP34" i="20"/>
  <c r="BX34" i="20" s="1"/>
  <c r="E115" i="20" l="1"/>
  <c r="E113" i="20"/>
  <c r="E114" i="20"/>
  <c r="CC52" i="20"/>
  <c r="CC71" i="20"/>
  <c r="CE52" i="20"/>
  <c r="BY36" i="20"/>
  <c r="CC36" i="20"/>
  <c r="CC49" i="20"/>
  <c r="CC53" i="20"/>
  <c r="CE53" i="20"/>
  <c r="CE47" i="20"/>
  <c r="CC57" i="20"/>
  <c r="CC46" i="20"/>
  <c r="BT35" i="20"/>
  <c r="BU35" i="20" s="1"/>
  <c r="BY35" i="20" s="1"/>
  <c r="CC48" i="20"/>
  <c r="BT48" i="20"/>
  <c r="BU48" i="20" s="1"/>
  <c r="BY48" i="20" s="1"/>
  <c r="CC42" i="20"/>
  <c r="CC37" i="20"/>
  <c r="CC43" i="20"/>
  <c r="CC54" i="20"/>
  <c r="BT51" i="20"/>
  <c r="BU51" i="20" s="1"/>
  <c r="BY51" i="20" s="1"/>
  <c r="CC75" i="20"/>
  <c r="BT39" i="20"/>
  <c r="BU39" i="20" s="1"/>
  <c r="BY39" i="20" s="1"/>
  <c r="CE75" i="20"/>
  <c r="CC34" i="20"/>
  <c r="CC40" i="20"/>
  <c r="CC78" i="20"/>
  <c r="CE57" i="20"/>
  <c r="BT73" i="20"/>
  <c r="BU73" i="20" s="1"/>
  <c r="BY73" i="20" s="1"/>
  <c r="CD33" i="20"/>
  <c r="CE42" i="20"/>
  <c r="CE48" i="20"/>
  <c r="CF48" i="20" s="1"/>
  <c r="CB45" i="20"/>
  <c r="BT80" i="20"/>
  <c r="BU80" i="20" s="1"/>
  <c r="BY80" i="20" s="1"/>
  <c r="CE37" i="20"/>
  <c r="BT55" i="20"/>
  <c r="BU55" i="20" s="1"/>
  <c r="BY55" i="20" s="1"/>
  <c r="BT57" i="20"/>
  <c r="BU57" i="20" s="1"/>
  <c r="BY57" i="20" s="1"/>
  <c r="BT75" i="20"/>
  <c r="BU75" i="20" s="1"/>
  <c r="BY75" i="20" s="1"/>
  <c r="BT81" i="20"/>
  <c r="BU81" i="20" s="1"/>
  <c r="BY81" i="20" s="1"/>
  <c r="CE43" i="20"/>
  <c r="CC74" i="20"/>
  <c r="CE79" i="20"/>
  <c r="BT72" i="20"/>
  <c r="BU72" i="20" s="1"/>
  <c r="BY72" i="20" s="1"/>
  <c r="BT52" i="20"/>
  <c r="BU52" i="20" s="1"/>
  <c r="BY52" i="20" s="1"/>
  <c r="CC76" i="20"/>
  <c r="CC82" i="20"/>
  <c r="CE74" i="20"/>
  <c r="CC80" i="20"/>
  <c r="BT79" i="20"/>
  <c r="BU79" i="20" s="1"/>
  <c r="BY79" i="20" s="1"/>
  <c r="BT50" i="20"/>
  <c r="BU50" i="20" s="1"/>
  <c r="BY50" i="20" s="1"/>
  <c r="BT71" i="20"/>
  <c r="BU71" i="20" s="1"/>
  <c r="BY71" i="20" s="1"/>
  <c r="CB58" i="20"/>
  <c r="CE56" i="20"/>
  <c r="CE46" i="20"/>
  <c r="CE78" i="20"/>
  <c r="CC79" i="20"/>
  <c r="CE71" i="20"/>
  <c r="CE80" i="20"/>
  <c r="CC72" i="20"/>
  <c r="CE76" i="20"/>
  <c r="CC81" i="20"/>
  <c r="CE72" i="20"/>
  <c r="CC77" i="20"/>
  <c r="CE81" i="20"/>
  <c r="CE77" i="20"/>
  <c r="CC73" i="20"/>
  <c r="CE73" i="20"/>
  <c r="CE82" i="20"/>
  <c r="CE49" i="20"/>
  <c r="CC50" i="20"/>
  <c r="CE54" i="20"/>
  <c r="CE50" i="20"/>
  <c r="CC55" i="20"/>
  <c r="CC51" i="20"/>
  <c r="CE55" i="20"/>
  <c r="CC47" i="20"/>
  <c r="CE51" i="20"/>
  <c r="CC56" i="20"/>
  <c r="CC39" i="20"/>
  <c r="CC35" i="20"/>
  <c r="CE39" i="20"/>
  <c r="CC44" i="20"/>
  <c r="CE38" i="20"/>
  <c r="CE35" i="20"/>
  <c r="CE44" i="20"/>
  <c r="CE40" i="20"/>
  <c r="CE36" i="20"/>
  <c r="CC41" i="20"/>
  <c r="CC38" i="20"/>
  <c r="CE34" i="20"/>
  <c r="CE41" i="20"/>
  <c r="CB33" i="20"/>
  <c r="CD45" i="20"/>
  <c r="CD58" i="20"/>
  <c r="BT40" i="20"/>
  <c r="BU40" i="20" s="1"/>
  <c r="BY40" i="20" s="1"/>
  <c r="BT46" i="20"/>
  <c r="BU46" i="20" s="1"/>
  <c r="BY46" i="20" s="1"/>
  <c r="BT54" i="20"/>
  <c r="BU54" i="20" s="1"/>
  <c r="BY54" i="20" s="1"/>
  <c r="BT38" i="20"/>
  <c r="BU38" i="20" s="1"/>
  <c r="BY38" i="20" s="1"/>
  <c r="BT74" i="20"/>
  <c r="BU74" i="20" s="1"/>
  <c r="BY74" i="20" s="1"/>
  <c r="BT36" i="20"/>
  <c r="BU36" i="20" s="1"/>
  <c r="BT43" i="20"/>
  <c r="BU43" i="20" s="1"/>
  <c r="BY43" i="20" s="1"/>
  <c r="BT41" i="20"/>
  <c r="BU41" i="20" s="1"/>
  <c r="BY41" i="20" s="1"/>
  <c r="BT77" i="20"/>
  <c r="BU77" i="20" s="1"/>
  <c r="BY77" i="20" s="1"/>
  <c r="BT82" i="20"/>
  <c r="BU82" i="20" s="1"/>
  <c r="BY82" i="20" s="1"/>
  <c r="BT37" i="20"/>
  <c r="BU37" i="20" s="1"/>
  <c r="BY37" i="20" s="1"/>
  <c r="BT53" i="20"/>
  <c r="BU53" i="20" s="1"/>
  <c r="BY53" i="20" s="1"/>
  <c r="BT56" i="20"/>
  <c r="BU56" i="20" s="1"/>
  <c r="BY56" i="20" s="1"/>
  <c r="BT49" i="20"/>
  <c r="BU49" i="20" s="1"/>
  <c r="BY49" i="20" s="1"/>
  <c r="BT78" i="20"/>
  <c r="BU78" i="20" s="1"/>
  <c r="BY78" i="20" s="1"/>
  <c r="BT44" i="20"/>
  <c r="BU44" i="20" s="1"/>
  <c r="BY44" i="20" s="1"/>
  <c r="BT42" i="20"/>
  <c r="BU42" i="20" s="1"/>
  <c r="BY42" i="20" s="1"/>
  <c r="BT47" i="20"/>
  <c r="BU47" i="20" s="1"/>
  <c r="BY47" i="20" s="1"/>
  <c r="BT76" i="20"/>
  <c r="BU76" i="20" s="1"/>
  <c r="BY76" i="20" s="1"/>
  <c r="BT34" i="20"/>
  <c r="BU34" i="20" s="1"/>
  <c r="BY34" i="20" s="1"/>
  <c r="C114" i="20" l="1"/>
  <c r="C112" i="20"/>
  <c r="C115" i="20"/>
  <c r="C113" i="20"/>
  <c r="CF42" i="20"/>
  <c r="CB108" i="20"/>
  <c r="CD108" i="20"/>
  <c r="CF46" i="20"/>
  <c r="CF36" i="20"/>
  <c r="G16" i="26"/>
  <c r="CF55" i="20"/>
  <c r="CF81" i="20"/>
  <c r="CF54" i="20"/>
  <c r="CF79" i="20"/>
  <c r="CF78" i="20"/>
  <c r="CF73" i="20"/>
  <c r="CF43" i="20"/>
  <c r="CF49" i="20"/>
  <c r="CF74" i="20"/>
  <c r="CF76" i="20"/>
  <c r="CF40" i="20"/>
  <c r="CF51" i="20"/>
  <c r="CF72" i="20"/>
  <c r="CF71" i="20"/>
  <c r="CF52" i="20"/>
  <c r="CF53" i="20"/>
  <c r="CF37" i="20"/>
  <c r="CC45" i="20"/>
  <c r="CF35" i="20"/>
  <c r="CF39" i="20"/>
  <c r="CF50" i="20"/>
  <c r="CF80" i="20"/>
  <c r="CF44" i="20"/>
  <c r="CF56" i="20"/>
  <c r="CF38" i="20"/>
  <c r="CE58" i="20"/>
  <c r="G15" i="26" s="1"/>
  <c r="CF57" i="20"/>
  <c r="CE45" i="20"/>
  <c r="G14" i="26" s="1"/>
  <c r="CF34" i="20"/>
  <c r="CF41" i="20"/>
  <c r="CF75" i="20"/>
  <c r="CC58" i="20"/>
  <c r="CF47" i="20"/>
  <c r="CF77" i="20"/>
  <c r="CF82" i="20"/>
  <c r="F14" i="26" l="1"/>
  <c r="D113" i="20"/>
  <c r="F16" i="26"/>
  <c r="H16" i="26" s="1"/>
  <c r="I16" i="26" s="1"/>
  <c r="D115" i="20"/>
  <c r="F15" i="26"/>
  <c r="H15" i="26" s="1"/>
  <c r="I15" i="26" s="1"/>
  <c r="D114" i="20"/>
  <c r="H14" i="26"/>
  <c r="I14" i="26" s="1"/>
  <c r="CF69" i="19"/>
  <c r="CF68" i="19"/>
  <c r="CF67" i="19"/>
  <c r="CF66" i="19"/>
  <c r="CF65" i="19"/>
  <c r="CF64" i="19"/>
  <c r="CF63" i="19"/>
  <c r="CF62" i="19"/>
  <c r="CF61" i="19"/>
  <c r="CF60" i="19"/>
  <c r="CF59" i="19"/>
  <c r="CF58" i="19"/>
  <c r="CF56" i="19"/>
  <c r="CF55" i="19"/>
  <c r="CF54" i="19"/>
  <c r="CF53" i="19"/>
  <c r="CF52" i="19"/>
  <c r="CF51" i="19"/>
  <c r="CF50" i="19"/>
  <c r="CF49" i="19"/>
  <c r="CF48" i="19"/>
  <c r="CF47" i="19"/>
  <c r="CF46" i="19"/>
  <c r="CF45" i="19"/>
  <c r="CF43" i="19"/>
  <c r="CF42" i="19"/>
  <c r="CF41" i="19"/>
  <c r="CF40" i="19"/>
  <c r="CF39" i="19"/>
  <c r="CF38" i="19"/>
  <c r="CF37" i="19"/>
  <c r="CF36" i="19"/>
  <c r="CF35" i="19"/>
  <c r="CF34" i="19"/>
  <c r="CF33" i="19"/>
  <c r="CF29" i="19"/>
  <c r="CF28" i="19"/>
  <c r="CF27" i="19"/>
  <c r="CF25" i="19"/>
  <c r="CF24" i="19"/>
  <c r="CF23" i="19"/>
  <c r="CF21" i="19"/>
  <c r="CF20" i="19"/>
  <c r="CF19" i="19"/>
  <c r="CF17" i="19"/>
  <c r="CF16" i="19"/>
  <c r="CF14" i="19"/>
  <c r="CF13" i="19"/>
  <c r="CD72" i="19"/>
  <c r="CB72" i="19"/>
  <c r="CB70" i="19"/>
  <c r="CE70" i="19"/>
  <c r="CD70" i="19"/>
  <c r="CC70" i="19"/>
  <c r="CD69" i="19"/>
  <c r="CE69" i="19" s="1"/>
  <c r="CB69" i="19"/>
  <c r="CC69" i="19" s="1"/>
  <c r="CD68" i="19"/>
  <c r="CE68" i="19" s="1"/>
  <c r="CB68" i="19"/>
  <c r="CC68" i="19" s="1"/>
  <c r="CE67" i="19"/>
  <c r="CD67" i="19"/>
  <c r="CB67" i="19"/>
  <c r="CC67" i="19" s="1"/>
  <c r="CD66" i="19"/>
  <c r="CE66" i="19" s="1"/>
  <c r="CB66" i="19"/>
  <c r="CC66" i="19" s="1"/>
  <c r="CD65" i="19"/>
  <c r="CE65" i="19" s="1"/>
  <c r="CB65" i="19"/>
  <c r="CC65" i="19" s="1"/>
  <c r="CE64" i="19"/>
  <c r="CD64" i="19"/>
  <c r="CB64" i="19"/>
  <c r="CC64" i="19" s="1"/>
  <c r="CD63" i="19"/>
  <c r="CE63" i="19" s="1"/>
  <c r="CB63" i="19"/>
  <c r="CC63" i="19" s="1"/>
  <c r="CD62" i="19"/>
  <c r="CE62" i="19" s="1"/>
  <c r="CB62" i="19"/>
  <c r="CC62" i="19" s="1"/>
  <c r="CE61" i="19"/>
  <c r="CD61" i="19"/>
  <c r="CB61" i="19"/>
  <c r="CC61" i="19" s="1"/>
  <c r="CD60" i="19"/>
  <c r="CE60" i="19" s="1"/>
  <c r="CB60" i="19"/>
  <c r="CC60" i="19" s="1"/>
  <c r="CD59" i="19"/>
  <c r="CE59" i="19" s="1"/>
  <c r="CB59" i="19"/>
  <c r="CC59" i="19" s="1"/>
  <c r="CE58" i="19"/>
  <c r="CD58" i="19"/>
  <c r="CB58" i="19"/>
  <c r="CC58" i="19" s="1"/>
  <c r="CE57" i="19"/>
  <c r="CD57" i="19"/>
  <c r="CC57" i="19"/>
  <c r="CB57" i="19"/>
  <c r="CD56" i="19"/>
  <c r="CE56" i="19" s="1"/>
  <c r="CB56" i="19"/>
  <c r="CC56" i="19" s="1"/>
  <c r="CD55" i="19"/>
  <c r="CE55" i="19" s="1"/>
  <c r="CB55" i="19"/>
  <c r="CC55" i="19" s="1"/>
  <c r="CD54" i="19"/>
  <c r="CE54" i="19" s="1"/>
  <c r="CB54" i="19"/>
  <c r="CC54" i="19" s="1"/>
  <c r="CD53" i="19"/>
  <c r="CE53" i="19" s="1"/>
  <c r="CB53" i="19"/>
  <c r="CC53" i="19" s="1"/>
  <c r="CD52" i="19"/>
  <c r="CE52" i="19" s="1"/>
  <c r="CB52" i="19"/>
  <c r="CC52" i="19" s="1"/>
  <c r="CD51" i="19"/>
  <c r="CE51" i="19" s="1"/>
  <c r="CB51" i="19"/>
  <c r="CC51" i="19" s="1"/>
  <c r="CD50" i="19"/>
  <c r="CE50" i="19" s="1"/>
  <c r="CB50" i="19"/>
  <c r="CC50" i="19" s="1"/>
  <c r="CD49" i="19"/>
  <c r="CE49" i="19" s="1"/>
  <c r="CB49" i="19"/>
  <c r="CC49" i="19" s="1"/>
  <c r="CD48" i="19"/>
  <c r="CE48" i="19" s="1"/>
  <c r="CB48" i="19"/>
  <c r="CC48" i="19" s="1"/>
  <c r="CD47" i="19"/>
  <c r="CE47" i="19" s="1"/>
  <c r="CB47" i="19"/>
  <c r="CC47" i="19" s="1"/>
  <c r="CD46" i="19"/>
  <c r="CE46" i="19" s="1"/>
  <c r="CB46" i="19"/>
  <c r="CC46" i="19" s="1"/>
  <c r="CD45" i="19"/>
  <c r="CE45" i="19" s="1"/>
  <c r="CB45" i="19"/>
  <c r="CC45" i="19" s="1"/>
  <c r="CE44" i="19"/>
  <c r="CD44" i="19"/>
  <c r="CC44" i="19"/>
  <c r="CB44" i="19"/>
  <c r="CD43" i="19"/>
  <c r="CE43" i="19" s="1"/>
  <c r="CC43" i="19"/>
  <c r="CB43" i="19"/>
  <c r="CD42" i="19"/>
  <c r="CE42" i="19" s="1"/>
  <c r="CC42" i="19"/>
  <c r="CB42" i="19"/>
  <c r="CE41" i="19"/>
  <c r="CD41" i="19"/>
  <c r="CB41" i="19"/>
  <c r="CC41" i="19" s="1"/>
  <c r="CD40" i="19"/>
  <c r="CE40" i="19" s="1"/>
  <c r="CC40" i="19"/>
  <c r="CB40" i="19"/>
  <c r="CD39" i="19"/>
  <c r="CE39" i="19" s="1"/>
  <c r="CC39" i="19"/>
  <c r="CB39" i="19"/>
  <c r="CE38" i="19"/>
  <c r="CD38" i="19"/>
  <c r="CB38" i="19"/>
  <c r="CC38" i="19" s="1"/>
  <c r="CD37" i="19"/>
  <c r="CE37" i="19" s="1"/>
  <c r="CC37" i="19"/>
  <c r="CB37" i="19"/>
  <c r="CD36" i="19"/>
  <c r="CE36" i="19" s="1"/>
  <c r="CC36" i="19"/>
  <c r="CB36" i="19"/>
  <c r="CE35" i="19"/>
  <c r="CD35" i="19"/>
  <c r="CB35" i="19"/>
  <c r="CC35" i="19" s="1"/>
  <c r="CD34" i="19"/>
  <c r="CE34" i="19" s="1"/>
  <c r="CC34" i="19"/>
  <c r="CB34" i="19"/>
  <c r="CD33" i="19"/>
  <c r="CE33" i="19" s="1"/>
  <c r="CC33" i="19"/>
  <c r="CB33" i="19"/>
  <c r="CD32" i="19"/>
  <c r="CB32" i="19"/>
  <c r="CD31" i="19"/>
  <c r="CB31" i="19"/>
  <c r="CE29" i="19"/>
  <c r="CD29" i="19"/>
  <c r="CB29" i="19"/>
  <c r="CC29" i="19" s="1"/>
  <c r="CD28" i="19"/>
  <c r="CE28" i="19" s="1"/>
  <c r="CB28" i="19"/>
  <c r="CC28" i="19" s="1"/>
  <c r="CD27" i="19"/>
  <c r="CE27" i="19" s="1"/>
  <c r="CC27" i="19"/>
  <c r="CB27" i="19"/>
  <c r="CD25" i="19"/>
  <c r="CE25" i="19" s="1"/>
  <c r="CB25" i="19"/>
  <c r="CC25" i="19" s="1"/>
  <c r="CD24" i="19"/>
  <c r="CE24" i="19" s="1"/>
  <c r="CC24" i="19"/>
  <c r="CB24" i="19"/>
  <c r="CE23" i="19"/>
  <c r="CD23" i="19"/>
  <c r="CB23" i="19"/>
  <c r="CC23" i="19" s="1"/>
  <c r="CD21" i="19"/>
  <c r="CE21" i="19" s="1"/>
  <c r="CC21" i="19"/>
  <c r="CB21" i="19"/>
  <c r="CE20" i="19"/>
  <c r="CD20" i="19"/>
  <c r="CB20" i="19"/>
  <c r="CC20" i="19" s="1"/>
  <c r="CD19" i="19"/>
  <c r="CE19" i="19" s="1"/>
  <c r="CB19" i="19"/>
  <c r="CC19" i="19" s="1"/>
  <c r="CE17" i="19"/>
  <c r="CD17" i="19"/>
  <c r="CB17" i="19"/>
  <c r="CC17" i="19" s="1"/>
  <c r="CD16" i="19"/>
  <c r="CE16" i="19" s="1"/>
  <c r="CB16" i="19"/>
  <c r="CC16" i="19" s="1"/>
  <c r="CD14" i="19"/>
  <c r="CE14" i="19" s="1"/>
  <c r="CC14" i="19"/>
  <c r="CB14" i="19"/>
  <c r="CE13" i="19"/>
  <c r="CD13" i="19"/>
  <c r="CC13" i="19"/>
  <c r="CB13" i="19"/>
  <c r="BU73" i="19"/>
  <c r="BP72" i="19"/>
  <c r="BB72" i="19"/>
  <c r="BA72" i="19"/>
  <c r="AZ72" i="19"/>
  <c r="AY72" i="19"/>
  <c r="AX72" i="19"/>
  <c r="AW72" i="19"/>
  <c r="AV72" i="19"/>
  <c r="AU72" i="19"/>
  <c r="AT72" i="19"/>
  <c r="AS72" i="19"/>
  <c r="AR72" i="19"/>
  <c r="AQ72" i="19"/>
  <c r="AP72" i="19"/>
  <c r="AO72" i="19"/>
  <c r="AN72" i="19"/>
  <c r="AM72" i="19"/>
  <c r="AL72" i="19"/>
  <c r="AK72" i="19"/>
  <c r="AJ72" i="19"/>
  <c r="AI72" i="19"/>
  <c r="AH72" i="19"/>
  <c r="AG72" i="19"/>
  <c r="AF72" i="19"/>
  <c r="AE72" i="19"/>
  <c r="AD72" i="19"/>
  <c r="AC72" i="19"/>
  <c r="AB72" i="19"/>
  <c r="AA72" i="19"/>
  <c r="BS69" i="19"/>
  <c r="BP69" i="19"/>
  <c r="BS68" i="19"/>
  <c r="BP68" i="19"/>
  <c r="BS67" i="19"/>
  <c r="BP67" i="19"/>
  <c r="BS66" i="19"/>
  <c r="BP66" i="19"/>
  <c r="BS65" i="19"/>
  <c r="BP65" i="19"/>
  <c r="BS64" i="19"/>
  <c r="BP64" i="19"/>
  <c r="BS63" i="19"/>
  <c r="BP63" i="19"/>
  <c r="BS62" i="19"/>
  <c r="BP62" i="19"/>
  <c r="BS61" i="19"/>
  <c r="BP61" i="19"/>
  <c r="BS60" i="19"/>
  <c r="BP60" i="19"/>
  <c r="BS59" i="19"/>
  <c r="BP59" i="19"/>
  <c r="BS58" i="19"/>
  <c r="BP58" i="19"/>
  <c r="BS56" i="19"/>
  <c r="BP56" i="19"/>
  <c r="BS55" i="19"/>
  <c r="BP55" i="19"/>
  <c r="BS54" i="19"/>
  <c r="BP54" i="19"/>
  <c r="BS53" i="19"/>
  <c r="BP53" i="19"/>
  <c r="BS52" i="19"/>
  <c r="BP52" i="19"/>
  <c r="BS51" i="19"/>
  <c r="BP51" i="19"/>
  <c r="BS50" i="19"/>
  <c r="BP50" i="19"/>
  <c r="BS49" i="19"/>
  <c r="BP49" i="19"/>
  <c r="BS48" i="19"/>
  <c r="BP48" i="19"/>
  <c r="BS47" i="19"/>
  <c r="BP47" i="19"/>
  <c r="BS46" i="19"/>
  <c r="BP46" i="19"/>
  <c r="BS45" i="19"/>
  <c r="BP45" i="19"/>
  <c r="BS43" i="19"/>
  <c r="BP43" i="19"/>
  <c r="BS42" i="19"/>
  <c r="BP42" i="19"/>
  <c r="BS41" i="19"/>
  <c r="BP41" i="19"/>
  <c r="BS40" i="19"/>
  <c r="BP40" i="19"/>
  <c r="BS39" i="19"/>
  <c r="BP39" i="19"/>
  <c r="BS38" i="19"/>
  <c r="BP38" i="19"/>
  <c r="BS37" i="19"/>
  <c r="BP37" i="19"/>
  <c r="BS36" i="19"/>
  <c r="BP36" i="19"/>
  <c r="BS35" i="19"/>
  <c r="BP35" i="19"/>
  <c r="BS34" i="19"/>
  <c r="BP34" i="19"/>
  <c r="BS33" i="19"/>
  <c r="BP33" i="19"/>
  <c r="BT68" i="19" l="1"/>
  <c r="BU68" i="19" s="1"/>
  <c r="BT38" i="19"/>
  <c r="BU38" i="19" s="1"/>
  <c r="BT42" i="19"/>
  <c r="BU42" i="19" s="1"/>
  <c r="BT61" i="19"/>
  <c r="BU61" i="19" s="1"/>
  <c r="BT69" i="19"/>
  <c r="BU69" i="19" s="1"/>
  <c r="BT66" i="19"/>
  <c r="BU66" i="19" s="1"/>
  <c r="BT59" i="19"/>
  <c r="BU59" i="19" s="1"/>
  <c r="BT58" i="19"/>
  <c r="BU58" i="19" s="1"/>
  <c r="BT63" i="19"/>
  <c r="BU63" i="19" s="1"/>
  <c r="BT60" i="19"/>
  <c r="BU60" i="19" s="1"/>
  <c r="BT64" i="19"/>
  <c r="BU64" i="19" s="1"/>
  <c r="BT65" i="19"/>
  <c r="BU65" i="19" s="1"/>
  <c r="BT62" i="19"/>
  <c r="BU62" i="19" s="1"/>
  <c r="BT67" i="19"/>
  <c r="BU67" i="19" s="1"/>
  <c r="BT51" i="19"/>
  <c r="BU51" i="19" s="1"/>
  <c r="BT46" i="19"/>
  <c r="BU46" i="19" s="1"/>
  <c r="BT52" i="19"/>
  <c r="BU52" i="19" s="1"/>
  <c r="BT45" i="19"/>
  <c r="BU45" i="19" s="1"/>
  <c r="BT37" i="19"/>
  <c r="BU37" i="19" s="1"/>
  <c r="BT43" i="19"/>
  <c r="BU43" i="19" s="1"/>
  <c r="BT47" i="19"/>
  <c r="BU47" i="19" s="1"/>
  <c r="BT53" i="19"/>
  <c r="BU53" i="19" s="1"/>
  <c r="BT36" i="19"/>
  <c r="BU36" i="19" s="1"/>
  <c r="BT48" i="19"/>
  <c r="BU48" i="19" s="1"/>
  <c r="BT54" i="19"/>
  <c r="BU54" i="19" s="1"/>
  <c r="BT49" i="19"/>
  <c r="BU49" i="19" s="1"/>
  <c r="BT55" i="19"/>
  <c r="BU55" i="19" s="1"/>
  <c r="BT50" i="19"/>
  <c r="BU50" i="19" s="1"/>
  <c r="BT56" i="19"/>
  <c r="BU56" i="19" s="1"/>
  <c r="BT40" i="19"/>
  <c r="BU40" i="19" s="1"/>
  <c r="BT35" i="19"/>
  <c r="BU35" i="19" s="1"/>
  <c r="BT41" i="19"/>
  <c r="BU41" i="19" s="1"/>
  <c r="BT39" i="19"/>
  <c r="BU39" i="19" s="1"/>
  <c r="BT33" i="19"/>
  <c r="BU33" i="19" s="1"/>
  <c r="BT34" i="19"/>
  <c r="BU34" i="19" s="1"/>
  <c r="BS29" i="20" l="1"/>
  <c r="BO108" i="20"/>
  <c r="BN108" i="20"/>
  <c r="BM108" i="20"/>
  <c r="BL108" i="20"/>
  <c r="BK108" i="20"/>
  <c r="BJ108" i="20"/>
  <c r="BI108" i="20"/>
  <c r="BH108" i="20"/>
  <c r="BG108" i="20"/>
  <c r="BF108" i="20"/>
  <c r="BE108" i="20"/>
  <c r="BD108" i="20"/>
  <c r="BC108" i="20"/>
  <c r="BB108" i="20"/>
  <c r="BA108" i="20"/>
  <c r="AZ108" i="20"/>
  <c r="AY108" i="20"/>
  <c r="AX108" i="20"/>
  <c r="AW108" i="20"/>
  <c r="AV108" i="20"/>
  <c r="AU108" i="20"/>
  <c r="AT108" i="20"/>
  <c r="AS108" i="20"/>
  <c r="AR108" i="20"/>
  <c r="AQ108" i="20"/>
  <c r="AP108" i="20"/>
  <c r="AO108" i="20"/>
  <c r="AN108" i="20"/>
  <c r="AM108" i="20"/>
  <c r="AL108" i="20"/>
  <c r="AK108" i="20"/>
  <c r="AJ108" i="20"/>
  <c r="AI108" i="20"/>
  <c r="AH108" i="20"/>
  <c r="AG108" i="20"/>
  <c r="AF108" i="20"/>
  <c r="AE108" i="20"/>
  <c r="AD108" i="20"/>
  <c r="AC108" i="20"/>
  <c r="AB108" i="20"/>
  <c r="AA108" i="20"/>
  <c r="Z108" i="20"/>
  <c r="Y108" i="20"/>
  <c r="X108" i="20"/>
  <c r="W108" i="20"/>
  <c r="V108" i="20"/>
  <c r="U108" i="20"/>
  <c r="T108" i="20"/>
  <c r="S108" i="20"/>
  <c r="R108" i="20"/>
  <c r="Q108" i="20"/>
  <c r="P108" i="20"/>
  <c r="O108" i="20"/>
  <c r="N108" i="20"/>
  <c r="M108" i="20"/>
  <c r="L108" i="20"/>
  <c r="K108" i="20"/>
  <c r="J108" i="20"/>
  <c r="I108" i="20"/>
  <c r="BS32" i="20"/>
  <c r="BP32" i="20"/>
  <c r="BX32" i="20" s="1"/>
  <c r="BS30" i="20"/>
  <c r="BP30" i="20"/>
  <c r="BX30" i="20" s="1"/>
  <c r="BP29" i="20"/>
  <c r="BX29" i="20" s="1"/>
  <c r="BS28" i="20"/>
  <c r="BP28" i="20"/>
  <c r="BX28" i="20" s="1"/>
  <c r="BS26" i="20"/>
  <c r="BP26" i="20"/>
  <c r="BX26" i="20" s="1"/>
  <c r="BS25" i="20"/>
  <c r="BP25" i="20"/>
  <c r="BX25" i="20" s="1"/>
  <c r="BS24" i="20"/>
  <c r="BP24" i="20"/>
  <c r="BX24" i="20" s="1"/>
  <c r="BS22" i="20"/>
  <c r="BP22" i="20"/>
  <c r="BX22" i="20" s="1"/>
  <c r="BS21" i="20"/>
  <c r="BP21" i="20"/>
  <c r="BX21" i="20" s="1"/>
  <c r="BS20" i="20"/>
  <c r="BP20" i="20"/>
  <c r="BX20" i="20" s="1"/>
  <c r="BS16" i="20"/>
  <c r="BP16" i="20"/>
  <c r="BX16" i="20" s="1"/>
  <c r="BS14" i="20"/>
  <c r="BP14" i="20"/>
  <c r="BX14" i="20" s="1"/>
  <c r="BS13" i="20"/>
  <c r="BP13" i="20"/>
  <c r="BE10" i="20"/>
  <c r="BF10" i="20" s="1"/>
  <c r="BG10" i="20" s="1"/>
  <c r="BH10" i="20" s="1"/>
  <c r="BI10" i="20" s="1"/>
  <c r="BJ10" i="20" s="1"/>
  <c r="BK10" i="20" s="1"/>
  <c r="BL10" i="20" s="1"/>
  <c r="BM10" i="20" s="1"/>
  <c r="BN10" i="20" s="1"/>
  <c r="BO10" i="20" s="1"/>
  <c r="Z10" i="20"/>
  <c r="AA10" i="20" s="1"/>
  <c r="AB10" i="20" s="1"/>
  <c r="AC10" i="20" s="1"/>
  <c r="AD10" i="20" s="1"/>
  <c r="AE10" i="20" s="1"/>
  <c r="AF10" i="20" s="1"/>
  <c r="AG10" i="20" s="1"/>
  <c r="AH10" i="20" s="1"/>
  <c r="AI10" i="20" s="1"/>
  <c r="AJ10" i="20" s="1"/>
  <c r="AK10" i="20" s="1"/>
  <c r="AL10" i="20" s="1"/>
  <c r="AM10" i="20" s="1"/>
  <c r="BQ29" i="19"/>
  <c r="BS29" i="19" s="1"/>
  <c r="BQ28" i="19"/>
  <c r="BS28" i="19" s="1"/>
  <c r="BQ27" i="19"/>
  <c r="BS27" i="19" s="1"/>
  <c r="BP29" i="19"/>
  <c r="BP28" i="19"/>
  <c r="BP27" i="19"/>
  <c r="BS31" i="19"/>
  <c r="BS25" i="19"/>
  <c r="BP25" i="19"/>
  <c r="BS24" i="19"/>
  <c r="BP24" i="19"/>
  <c r="BS23" i="19"/>
  <c r="BP23" i="19"/>
  <c r="BP31" i="19"/>
  <c r="BP21" i="19"/>
  <c r="BS21" i="19"/>
  <c r="BP20" i="19"/>
  <c r="BP19" i="19"/>
  <c r="BP17" i="19"/>
  <c r="BP16" i="19"/>
  <c r="BP14" i="19"/>
  <c r="BP13" i="19"/>
  <c r="BS17" i="19"/>
  <c r="BS16" i="19"/>
  <c r="BO72" i="19"/>
  <c r="BN72" i="19"/>
  <c r="BM72" i="19"/>
  <c r="BL72" i="19"/>
  <c r="BK72" i="19"/>
  <c r="BJ72" i="19"/>
  <c r="BI72" i="19"/>
  <c r="BH72" i="19"/>
  <c r="BG72" i="19"/>
  <c r="BF72" i="19"/>
  <c r="BE72" i="19"/>
  <c r="BD72" i="19"/>
  <c r="BC72" i="19"/>
  <c r="BE10" i="19"/>
  <c r="BF10" i="19" s="1"/>
  <c r="BG10" i="19" s="1"/>
  <c r="BH10" i="19" s="1"/>
  <c r="BI10" i="19" s="1"/>
  <c r="BJ10" i="19" s="1"/>
  <c r="BK10" i="19" s="1"/>
  <c r="BL10" i="19" s="1"/>
  <c r="BM10" i="19" s="1"/>
  <c r="BN10" i="19" s="1"/>
  <c r="BO10" i="19" s="1"/>
  <c r="BS19" i="19"/>
  <c r="BS20" i="19"/>
  <c r="Z72" i="19"/>
  <c r="Y72" i="19"/>
  <c r="X72" i="19"/>
  <c r="W72" i="19"/>
  <c r="V72" i="19"/>
  <c r="U72" i="19"/>
  <c r="T72" i="19"/>
  <c r="S72" i="19"/>
  <c r="R72" i="19"/>
  <c r="Q72" i="19"/>
  <c r="P72" i="19"/>
  <c r="O72" i="19"/>
  <c r="N72" i="19"/>
  <c r="M72" i="19"/>
  <c r="L72" i="19"/>
  <c r="K72" i="19"/>
  <c r="J72" i="19"/>
  <c r="I72" i="19"/>
  <c r="BS14" i="19"/>
  <c r="BS13" i="19"/>
  <c r="Z10" i="19"/>
  <c r="AA10" i="19" s="1"/>
  <c r="AB10" i="19" s="1"/>
  <c r="AC10" i="19" s="1"/>
  <c r="AD10" i="19" s="1"/>
  <c r="AE10" i="19" s="1"/>
  <c r="AF10" i="19" s="1"/>
  <c r="AG10" i="19" s="1"/>
  <c r="AH10" i="19" s="1"/>
  <c r="AI10" i="19" s="1"/>
  <c r="AJ10" i="19" s="1"/>
  <c r="AK10" i="19" s="1"/>
  <c r="AL10" i="19" s="1"/>
  <c r="AM10" i="19" s="1"/>
  <c r="F62" i="9"/>
  <c r="F64" i="9" s="1"/>
  <c r="H8" i="16"/>
  <c r="G62" i="9" a="1"/>
  <c r="G62" i="9" s="1"/>
  <c r="BX13" i="20" l="1"/>
  <c r="CC31" i="19"/>
  <c r="CC32" i="19" s="1"/>
  <c r="CC72" i="19" s="1"/>
  <c r="CE74" i="19" s="1"/>
  <c r="CE31" i="19"/>
  <c r="CE32" i="19" s="1"/>
  <c r="CE72" i="19" s="1"/>
  <c r="BT30" i="20"/>
  <c r="BU30" i="20" s="1"/>
  <c r="BY30" i="20" s="1"/>
  <c r="CC30" i="20"/>
  <c r="CE30" i="20"/>
  <c r="CE13" i="20"/>
  <c r="CC13" i="20"/>
  <c r="CC22" i="20"/>
  <c r="CE22" i="20"/>
  <c r="CE20" i="20"/>
  <c r="CC20" i="20"/>
  <c r="CC32" i="20"/>
  <c r="CE32" i="20"/>
  <c r="CC26" i="20"/>
  <c r="CE26" i="20"/>
  <c r="CC28" i="20"/>
  <c r="CE28" i="20"/>
  <c r="CC24" i="20"/>
  <c r="CE24" i="20"/>
  <c r="CE21" i="20"/>
  <c r="CC21" i="20"/>
  <c r="CE29" i="20"/>
  <c r="CC29" i="20"/>
  <c r="CC14" i="20"/>
  <c r="CE14" i="20"/>
  <c r="CC16" i="20"/>
  <c r="CE16" i="20"/>
  <c r="CC25" i="20"/>
  <c r="CE25" i="20"/>
  <c r="BT32" i="20"/>
  <c r="BU32" i="20" s="1"/>
  <c r="BT22" i="20"/>
  <c r="BU22" i="20" s="1"/>
  <c r="BY22" i="20" s="1"/>
  <c r="BT21" i="20"/>
  <c r="BU21" i="20" s="1"/>
  <c r="BY21" i="20" s="1"/>
  <c r="BT14" i="20"/>
  <c r="BU14" i="20" s="1"/>
  <c r="BY14" i="20" s="1"/>
  <c r="BT29" i="20"/>
  <c r="BU29" i="20" s="1"/>
  <c r="BY29" i="20" s="1"/>
  <c r="BT20" i="20"/>
  <c r="BU20" i="20" s="1"/>
  <c r="BY20" i="20" s="1"/>
  <c r="BT26" i="20"/>
  <c r="BU26" i="20" s="1"/>
  <c r="BY26" i="20" s="1"/>
  <c r="BT13" i="20"/>
  <c r="BU13" i="20" s="1"/>
  <c r="BP108" i="20"/>
  <c r="BT24" i="20"/>
  <c r="BU24" i="20" s="1"/>
  <c r="BY24" i="20" s="1"/>
  <c r="BT28" i="20"/>
  <c r="BU28" i="20" s="1"/>
  <c r="BY28" i="20" s="1"/>
  <c r="BT16" i="20"/>
  <c r="BU16" i="20" s="1"/>
  <c r="BY16" i="20" s="1"/>
  <c r="BT25" i="20"/>
  <c r="BU25" i="20" s="1"/>
  <c r="BY25" i="20" s="1"/>
  <c r="BT27" i="19"/>
  <c r="BU27" i="19" s="1"/>
  <c r="BT28" i="19"/>
  <c r="BU28" i="19" s="1"/>
  <c r="BT29" i="19"/>
  <c r="BU29" i="19" s="1"/>
  <c r="BT24" i="19"/>
  <c r="BU24" i="19" s="1"/>
  <c r="BT23" i="19"/>
  <c r="BU23" i="19" s="1"/>
  <c r="BT25" i="19"/>
  <c r="BU25" i="19" s="1"/>
  <c r="BT21" i="19"/>
  <c r="BU21" i="19" s="1"/>
  <c r="BT31" i="19"/>
  <c r="BU31" i="19" s="1"/>
  <c r="BT17" i="19"/>
  <c r="BU17" i="19" s="1"/>
  <c r="BT16" i="19"/>
  <c r="BU16" i="19" s="1"/>
  <c r="BT20" i="19"/>
  <c r="BU20" i="19" s="1"/>
  <c r="BT19" i="19"/>
  <c r="BU19" i="19" s="1"/>
  <c r="BT14" i="19"/>
  <c r="BU14" i="19" s="1"/>
  <c r="BT13" i="19"/>
  <c r="BU13" i="19" s="1"/>
  <c r="H62" i="9"/>
  <c r="G64" i="9"/>
  <c r="BY13" i="20" l="1"/>
  <c r="BX108" i="20"/>
  <c r="BX114" i="20" s="1"/>
  <c r="E112" i="20"/>
  <c r="E119" i="20" s="1"/>
  <c r="CF21" i="20"/>
  <c r="CF29" i="20"/>
  <c r="BU108" i="20"/>
  <c r="BY32" i="20"/>
  <c r="CF14" i="20"/>
  <c r="BU72" i="19"/>
  <c r="BU74" i="19" s="1"/>
  <c r="CF31" i="19"/>
  <c r="CE75" i="19"/>
  <c r="CF32" i="20"/>
  <c r="CF22" i="20"/>
  <c r="CF25" i="20"/>
  <c r="CF20" i="20"/>
  <c r="CF24" i="20"/>
  <c r="CF30" i="20"/>
  <c r="CF16" i="20"/>
  <c r="CF13" i="20"/>
  <c r="CC33" i="20"/>
  <c r="CF28" i="20"/>
  <c r="CE33" i="20"/>
  <c r="CF26" i="20"/>
  <c r="BT108" i="20"/>
  <c r="BY72" i="19"/>
  <c r="BT72" i="19"/>
  <c r="H64" i="9"/>
  <c r="I62" i="9"/>
  <c r="D112" i="20" l="1"/>
  <c r="D119" i="20" s="1"/>
  <c r="BX115" i="20"/>
  <c r="BY108" i="20"/>
  <c r="CE108" i="20"/>
  <c r="G13" i="26"/>
  <c r="O15" i="26" s="1"/>
  <c r="F13" i="26"/>
  <c r="I64" i="9"/>
  <c r="G21" i="26" l="1"/>
  <c r="CE110" i="20"/>
  <c r="CE111" i="20" s="1"/>
  <c r="G113" i="20"/>
  <c r="G117" i="20"/>
  <c r="G118" i="20"/>
  <c r="G115" i="20"/>
  <c r="G116" i="20"/>
  <c r="G112" i="20"/>
  <c r="G114" i="20"/>
  <c r="H13" i="26"/>
  <c r="F21" i="26"/>
  <c r="I29" i="17"/>
  <c r="I28" i="17"/>
  <c r="I27" i="17"/>
  <c r="I26" i="17"/>
  <c r="I25" i="17"/>
  <c r="I24" i="17"/>
  <c r="I23" i="17"/>
  <c r="I22" i="17"/>
  <c r="I21" i="17"/>
  <c r="I20" i="17"/>
  <c r="I19" i="17"/>
  <c r="I18" i="17"/>
  <c r="H21" i="26" l="1"/>
  <c r="I13" i="26"/>
  <c r="I21" i="26" s="1"/>
  <c r="L21" i="26" s="1"/>
  <c r="CO34" i="15"/>
  <c r="CP34" i="15" s="1"/>
  <c r="CM34" i="15"/>
  <c r="CN34" i="15" s="1"/>
  <c r="CO33" i="15"/>
  <c r="CM33" i="15"/>
  <c r="CF33" i="15"/>
  <c r="CR33" i="15" s="1"/>
  <c r="CI33" i="15"/>
  <c r="CI31" i="15"/>
  <c r="CF32" i="15"/>
  <c r="CR32" i="15" s="1"/>
  <c r="CI32" i="15"/>
  <c r="CR34" i="15"/>
  <c r="CR25" i="15"/>
  <c r="CR21" i="15"/>
  <c r="CN33" i="15" l="1"/>
  <c r="CP33" i="15"/>
  <c r="J13" i="26"/>
  <c r="CJ33" i="15"/>
  <c r="CK33" i="15" s="1"/>
  <c r="CJ32" i="15"/>
  <c r="CK32" i="15" s="1"/>
  <c r="CM32" i="15"/>
  <c r="CN32" i="15" s="1"/>
  <c r="CM31" i="15"/>
  <c r="CN31" i="15" s="1"/>
  <c r="CM25" i="15"/>
  <c r="CN25" i="15" s="1"/>
  <c r="CM24" i="15"/>
  <c r="CN24" i="15" s="1"/>
  <c r="CM23" i="15"/>
  <c r="CO21" i="15"/>
  <c r="CP21" i="15" s="1"/>
  <c r="CO20" i="15"/>
  <c r="CO19" i="15"/>
  <c r="CP19" i="15" s="1"/>
  <c r="G31" i="26" s="1"/>
  <c r="CM21" i="15"/>
  <c r="CM20" i="15"/>
  <c r="CN20" i="15" s="1"/>
  <c r="CM19" i="15"/>
  <c r="CN19" i="15" s="1"/>
  <c r="F34" i="26" l="1"/>
  <c r="F31" i="26"/>
  <c r="J18" i="26"/>
  <c r="J19" i="26"/>
  <c r="J17" i="26"/>
  <c r="J14" i="26"/>
  <c r="J16" i="26"/>
  <c r="J15" i="26"/>
  <c r="CI21" i="15"/>
  <c r="J21" i="26" l="1"/>
  <c r="H31" i="26"/>
  <c r="CJ21" i="15"/>
  <c r="CK21" i="15" s="1"/>
  <c r="G53" i="9"/>
  <c r="AT37" i="15"/>
  <c r="AQ37" i="15"/>
  <c r="AO37" i="15"/>
  <c r="CI28" i="15"/>
  <c r="CF28" i="15"/>
  <c r="I31" i="26" l="1"/>
  <c r="CJ28" i="15"/>
  <c r="CK28" i="15" s="1"/>
  <c r="CI27" i="15"/>
  <c r="CF27" i="15"/>
  <c r="CJ72" i="7"/>
  <c r="CI72" i="7"/>
  <c r="CG72" i="7"/>
  <c r="CF72" i="7"/>
  <c r="CH72" i="7" s="1"/>
  <c r="B36" i="9"/>
  <c r="D36" i="9"/>
  <c r="D35" i="9"/>
  <c r="D34" i="9"/>
  <c r="D33" i="9"/>
  <c r="D32" i="9"/>
  <c r="CM16" i="15"/>
  <c r="CO16" i="15"/>
  <c r="CP16" i="15" s="1"/>
  <c r="G30" i="26" s="1" a="1"/>
  <c r="G30" i="26" s="1"/>
  <c r="H30" i="26" s="1"/>
  <c r="I30" i="26" s="1"/>
  <c r="CJ34" i="15"/>
  <c r="CK34" i="15" s="1"/>
  <c r="CI23" i="15"/>
  <c r="CI25" i="15"/>
  <c r="CJ25" i="15" s="1"/>
  <c r="CK25" i="15" s="1"/>
  <c r="CF24" i="15"/>
  <c r="CR24" i="15" s="1"/>
  <c r="CF23" i="15"/>
  <c r="CR23" i="15" s="1"/>
  <c r="CF20" i="15"/>
  <c r="CR20" i="15" s="1"/>
  <c r="CF19" i="15"/>
  <c r="CI20" i="15"/>
  <c r="CH19" i="15"/>
  <c r="CI16" i="15"/>
  <c r="CJ16" i="15" s="1"/>
  <c r="CK16" i="15" s="1"/>
  <c r="CI15" i="15"/>
  <c r="BP59" i="7"/>
  <c r="BP60" i="7"/>
  <c r="CP23" i="15" l="1"/>
  <c r="CN23" i="15"/>
  <c r="CJ19" i="15"/>
  <c r="CK19" i="15" s="1"/>
  <c r="CR19" i="15"/>
  <c r="CJ27" i="15"/>
  <c r="CK27" i="15" s="1"/>
  <c r="G35" i="9"/>
  <c r="CJ23" i="15"/>
  <c r="CK23" i="15" s="1"/>
  <c r="CJ20" i="15"/>
  <c r="CK20" i="15" s="1"/>
  <c r="F32" i="26" l="1"/>
  <c r="CN37" i="15"/>
  <c r="F35" i="9"/>
  <c r="CH14" i="15"/>
  <c r="CE37" i="15"/>
  <c r="CD37" i="15"/>
  <c r="CC37" i="15"/>
  <c r="CB37" i="15"/>
  <c r="CA37" i="15"/>
  <c r="BZ37" i="15"/>
  <c r="BY37" i="15"/>
  <c r="BX37" i="15"/>
  <c r="BW37" i="15"/>
  <c r="BV37" i="15"/>
  <c r="BU37" i="15"/>
  <c r="BT37" i="15"/>
  <c r="BS37" i="15"/>
  <c r="BR37" i="15"/>
  <c r="BQ37" i="15"/>
  <c r="BP37" i="15"/>
  <c r="BO37" i="15"/>
  <c r="BN37" i="15"/>
  <c r="BM37" i="15"/>
  <c r="BL37" i="15"/>
  <c r="BK37" i="15"/>
  <c r="BJ37" i="15"/>
  <c r="BI37" i="15"/>
  <c r="BH37" i="15"/>
  <c r="BG37" i="15"/>
  <c r="BF37" i="15"/>
  <c r="BE37" i="15"/>
  <c r="BD37" i="15"/>
  <c r="BC37" i="15"/>
  <c r="BB37" i="15"/>
  <c r="BA37" i="15"/>
  <c r="AZ37" i="15"/>
  <c r="AY37" i="15"/>
  <c r="AX37" i="15"/>
  <c r="AW37" i="15"/>
  <c r="AV37" i="15"/>
  <c r="AU37" i="15"/>
  <c r="AS37" i="15"/>
  <c r="AR37" i="15"/>
  <c r="AP37" i="15"/>
  <c r="AN37" i="15"/>
  <c r="AM37" i="15"/>
  <c r="AL37" i="15"/>
  <c r="AK37" i="15"/>
  <c r="AJ37" i="15"/>
  <c r="AI37" i="15"/>
  <c r="AH37" i="15"/>
  <c r="AG37" i="15"/>
  <c r="AF37" i="15"/>
  <c r="AE37" i="15"/>
  <c r="AD37" i="15"/>
  <c r="AC37" i="15"/>
  <c r="AB37" i="15"/>
  <c r="AA37" i="15"/>
  <c r="Z37" i="15"/>
  <c r="Y37" i="15"/>
  <c r="X37" i="15"/>
  <c r="W37" i="15"/>
  <c r="V37" i="15"/>
  <c r="U37" i="15"/>
  <c r="T37" i="15"/>
  <c r="S37" i="15"/>
  <c r="R37" i="15"/>
  <c r="Q37" i="15"/>
  <c r="P37" i="15"/>
  <c r="O37" i="15"/>
  <c r="N37" i="15"/>
  <c r="M37" i="15"/>
  <c r="L37" i="15"/>
  <c r="K37" i="15"/>
  <c r="J37" i="15"/>
  <c r="I37" i="15"/>
  <c r="H37" i="15"/>
  <c r="G37" i="15"/>
  <c r="F37" i="15"/>
  <c r="CS32" i="15"/>
  <c r="CO32" i="15"/>
  <c r="CO31" i="15"/>
  <c r="CP31" i="15" s="1"/>
  <c r="CF31" i="15"/>
  <c r="CO25" i="15"/>
  <c r="CP25" i="15" s="1"/>
  <c r="G32" i="26" s="1"/>
  <c r="CO24" i="15"/>
  <c r="CI24" i="15"/>
  <c r="CJ24" i="15" s="1"/>
  <c r="CK24" i="15" s="1"/>
  <c r="CO17" i="15"/>
  <c r="CM17" i="15"/>
  <c r="CI17" i="15"/>
  <c r="CF17" i="15"/>
  <c r="CR17" i="15" s="1"/>
  <c r="CO15" i="15"/>
  <c r="CF15" i="15"/>
  <c r="CR15" i="15" s="1"/>
  <c r="CF14" i="15"/>
  <c r="CR14" i="15" s="1"/>
  <c r="BN72" i="7"/>
  <c r="CI92" i="7"/>
  <c r="CI91" i="7"/>
  <c r="CI88" i="7"/>
  <c r="CI87" i="7"/>
  <c r="CI84" i="7"/>
  <c r="CI83" i="7"/>
  <c r="CI80" i="7"/>
  <c r="CI79" i="7"/>
  <c r="CI76" i="7"/>
  <c r="CI75" i="7"/>
  <c r="CI71" i="7"/>
  <c r="CI68" i="7"/>
  <c r="CI67" i="7"/>
  <c r="CI64" i="7"/>
  <c r="CI63" i="7"/>
  <c r="CI60" i="7"/>
  <c r="CI59" i="7"/>
  <c r="CI56" i="7"/>
  <c r="CI55" i="7"/>
  <c r="CI52" i="7"/>
  <c r="CI51" i="7"/>
  <c r="CI48" i="7"/>
  <c r="CI47" i="7"/>
  <c r="CI44" i="7"/>
  <c r="CI43" i="7"/>
  <c r="CI40" i="7"/>
  <c r="CI39" i="7"/>
  <c r="CI36" i="7"/>
  <c r="CI35" i="7"/>
  <c r="H32" i="26" l="1"/>
  <c r="I32" i="26" s="1"/>
  <c r="F36" i="26"/>
  <c r="G34" i="26"/>
  <c r="CP37" i="15"/>
  <c r="CN39" i="15" s="1"/>
  <c r="F33" i="9"/>
  <c r="H16" i="9"/>
  <c r="H23" i="9" s="1"/>
  <c r="CJ31" i="15"/>
  <c r="CK31" i="15" s="1"/>
  <c r="CR31" i="15"/>
  <c r="G34" i="9"/>
  <c r="F34" i="9"/>
  <c r="CF37" i="15"/>
  <c r="G33" i="9"/>
  <c r="CN17" i="15"/>
  <c r="CP17" i="15"/>
  <c r="F36" i="9"/>
  <c r="CO37" i="15"/>
  <c r="G36" i="9"/>
  <c r="CJ17" i="15"/>
  <c r="CK17" i="15" s="1"/>
  <c r="CS17" i="15" s="1"/>
  <c r="CJ15" i="15"/>
  <c r="CK15" i="15" s="1"/>
  <c r="CM37" i="15"/>
  <c r="CJ14" i="15"/>
  <c r="BN36" i="7"/>
  <c r="BM36" i="7"/>
  <c r="BM35" i="7"/>
  <c r="BM40" i="7"/>
  <c r="BM39" i="7"/>
  <c r="BM44" i="7"/>
  <c r="BM43" i="7"/>
  <c r="BM48" i="7"/>
  <c r="BM47" i="7"/>
  <c r="BM52" i="7"/>
  <c r="BM51" i="7"/>
  <c r="BM56" i="7"/>
  <c r="BM55" i="7"/>
  <c r="BM60" i="7"/>
  <c r="BQ60" i="7" s="1"/>
  <c r="BM59" i="7"/>
  <c r="BQ59" i="7" s="1"/>
  <c r="BM64" i="7"/>
  <c r="BM63" i="7"/>
  <c r="BM68" i="7"/>
  <c r="BM67" i="7"/>
  <c r="BM72" i="7"/>
  <c r="BM71" i="7"/>
  <c r="BM76" i="7"/>
  <c r="BM75" i="7"/>
  <c r="BM80" i="7"/>
  <c r="BM79" i="7"/>
  <c r="BM84" i="7"/>
  <c r="BM83" i="7"/>
  <c r="BM88" i="7"/>
  <c r="BM87" i="7"/>
  <c r="BM92" i="7"/>
  <c r="BM91" i="7"/>
  <c r="BL197" i="7"/>
  <c r="BK197" i="7"/>
  <c r="BJ197" i="7"/>
  <c r="BI197" i="7"/>
  <c r="BH197" i="7"/>
  <c r="BG197" i="7"/>
  <c r="BF197" i="7"/>
  <c r="BE197" i="7"/>
  <c r="BD197" i="7"/>
  <c r="BC197" i="7"/>
  <c r="BB197" i="7"/>
  <c r="BA197" i="7"/>
  <c r="AZ197" i="7"/>
  <c r="AY197" i="7"/>
  <c r="AX197" i="7"/>
  <c r="U197" i="7"/>
  <c r="T197" i="7"/>
  <c r="S197" i="7"/>
  <c r="R197" i="7"/>
  <c r="Q197" i="7"/>
  <c r="P197" i="7"/>
  <c r="O197" i="7"/>
  <c r="N197" i="7"/>
  <c r="M197" i="7"/>
  <c r="L197" i="7"/>
  <c r="AC94" i="7"/>
  <c r="AC197" i="7" s="1"/>
  <c r="V94" i="7"/>
  <c r="V197" i="7" s="1"/>
  <c r="CG92" i="7"/>
  <c r="CG91" i="7"/>
  <c r="CG88" i="7"/>
  <c r="CG87" i="7"/>
  <c r="CG84" i="7"/>
  <c r="CG83" i="7"/>
  <c r="CG80" i="7"/>
  <c r="CG79" i="7"/>
  <c r="CG76" i="7"/>
  <c r="CG75" i="7"/>
  <c r="CG71" i="7"/>
  <c r="CG68" i="7"/>
  <c r="CG67" i="7"/>
  <c r="CG64" i="7"/>
  <c r="CG63" i="7"/>
  <c r="CG60" i="7"/>
  <c r="CG59" i="7"/>
  <c r="CG56" i="7"/>
  <c r="CG55" i="7"/>
  <c r="CG52" i="7"/>
  <c r="CG51" i="7"/>
  <c r="CG48" i="7"/>
  <c r="CG47" i="7"/>
  <c r="CG44" i="7"/>
  <c r="CG43" i="7"/>
  <c r="CG40" i="7"/>
  <c r="CG39" i="7"/>
  <c r="CG36" i="7"/>
  <c r="CG35" i="7"/>
  <c r="BP72" i="7"/>
  <c r="BK29" i="7"/>
  <c r="BJ29" i="7"/>
  <c r="BI29" i="7"/>
  <c r="BH29" i="7"/>
  <c r="BG29" i="7"/>
  <c r="BF29" i="7"/>
  <c r="BE29" i="7"/>
  <c r="BD29" i="7"/>
  <c r="BC29" i="7"/>
  <c r="BB29" i="7"/>
  <c r="BA29" i="7"/>
  <c r="AZ29" i="7"/>
  <c r="AY29" i="7"/>
  <c r="AX29" i="7"/>
  <c r="AW29" i="7"/>
  <c r="AV29" i="7"/>
  <c r="AU29" i="7"/>
  <c r="AT29" i="7"/>
  <c r="AS29" i="7"/>
  <c r="AR29" i="7"/>
  <c r="AQ29" i="7"/>
  <c r="AP29" i="7"/>
  <c r="AO29" i="7"/>
  <c r="AN29" i="7"/>
  <c r="AM29" i="7"/>
  <c r="AL29" i="7"/>
  <c r="AK29" i="7"/>
  <c r="AJ29" i="7"/>
  <c r="AI29" i="7"/>
  <c r="AH29" i="7"/>
  <c r="AG29" i="7"/>
  <c r="AF29" i="7"/>
  <c r="AE29" i="7"/>
  <c r="AD29" i="7"/>
  <c r="AC29" i="7"/>
  <c r="AB29" i="7"/>
  <c r="AA29" i="7"/>
  <c r="Z29" i="7"/>
  <c r="Y29" i="7"/>
  <c r="X29" i="7"/>
  <c r="W29" i="7"/>
  <c r="V29" i="7"/>
  <c r="U29" i="7"/>
  <c r="T29" i="7"/>
  <c r="S29" i="7"/>
  <c r="R29" i="7"/>
  <c r="Q29" i="7"/>
  <c r="P29" i="7"/>
  <c r="O29" i="7"/>
  <c r="N29" i="7"/>
  <c r="M29" i="7"/>
  <c r="L29" i="7"/>
  <c r="K29" i="7"/>
  <c r="J29" i="7"/>
  <c r="I29" i="7"/>
  <c r="H29" i="7"/>
  <c r="G29" i="7"/>
  <c r="F29" i="7"/>
  <c r="BL29" i="7"/>
  <c r="AM33" i="7"/>
  <c r="AN33" i="7" s="1"/>
  <c r="AO33" i="7" s="1"/>
  <c r="AP33" i="7" s="1"/>
  <c r="AQ33" i="7" s="1"/>
  <c r="AR33" i="7" s="1"/>
  <c r="AS33" i="7" s="1"/>
  <c r="AT33" i="7" s="1"/>
  <c r="AU33" i="7" s="1"/>
  <c r="AV33" i="7" s="1"/>
  <c r="AW33" i="7" s="1"/>
  <c r="AX33" i="7" s="1"/>
  <c r="AY33" i="7" s="1"/>
  <c r="AZ33" i="7" s="1"/>
  <c r="BA33" i="7" s="1"/>
  <c r="BB33" i="7" s="1"/>
  <c r="BC33" i="7" s="1"/>
  <c r="BD33" i="7" s="1"/>
  <c r="BE33" i="7" s="1"/>
  <c r="BF33" i="7" s="1"/>
  <c r="BG33" i="7" s="1"/>
  <c r="BH33" i="7" s="1"/>
  <c r="BI33" i="7" s="1"/>
  <c r="BJ33" i="7" s="1"/>
  <c r="BK33" i="7" s="1"/>
  <c r="BL33" i="7" s="1"/>
  <c r="AL33" i="7"/>
  <c r="BL94" i="7"/>
  <c r="BK94" i="7"/>
  <c r="BJ94" i="7"/>
  <c r="BI94" i="7"/>
  <c r="BH94" i="7"/>
  <c r="BG94" i="7"/>
  <c r="BF94" i="7"/>
  <c r="BE94" i="7"/>
  <c r="BD94" i="7"/>
  <c r="BC94" i="7"/>
  <c r="BB94" i="7"/>
  <c r="BA94" i="7"/>
  <c r="AZ94" i="7"/>
  <c r="AY94" i="7"/>
  <c r="AX94" i="7"/>
  <c r="AW94" i="7"/>
  <c r="AW197" i="7" s="1"/>
  <c r="AV94" i="7"/>
  <c r="AV197" i="7" s="1"/>
  <c r="AU94" i="7"/>
  <c r="AU197" i="7" s="1"/>
  <c r="AT94" i="7"/>
  <c r="AT197" i="7" s="1"/>
  <c r="AS94" i="7"/>
  <c r="AS197" i="7" s="1"/>
  <c r="AR94" i="7"/>
  <c r="AR197" i="7" s="1"/>
  <c r="AQ94" i="7"/>
  <c r="AQ197" i="7" s="1"/>
  <c r="AP94" i="7"/>
  <c r="AP197" i="7" s="1"/>
  <c r="AO94" i="7"/>
  <c r="AO197" i="7" s="1"/>
  <c r="AN94" i="7"/>
  <c r="AN197" i="7" s="1"/>
  <c r="AM94" i="7"/>
  <c r="AM197" i="7" s="1"/>
  <c r="AL94" i="7"/>
  <c r="AL197" i="7" s="1"/>
  <c r="AK94" i="7"/>
  <c r="AK197" i="7" s="1"/>
  <c r="AJ94" i="7"/>
  <c r="AJ197" i="7" s="1"/>
  <c r="AI94" i="7"/>
  <c r="AI197" i="7" s="1"/>
  <c r="AH94" i="7"/>
  <c r="AH197" i="7" s="1"/>
  <c r="AG94" i="7"/>
  <c r="AG197" i="7" s="1"/>
  <c r="AF94" i="7"/>
  <c r="AF197" i="7" s="1"/>
  <c r="AE94" i="7"/>
  <c r="AE197" i="7" s="1"/>
  <c r="AD94" i="7"/>
  <c r="AD197" i="7" s="1"/>
  <c r="AB94" i="7"/>
  <c r="AA94" i="7"/>
  <c r="AA197" i="7" s="1"/>
  <c r="Z94" i="7"/>
  <c r="Z197" i="7" s="1"/>
  <c r="Y94" i="7"/>
  <c r="X94" i="7"/>
  <c r="W94" i="7"/>
  <c r="W197" i="7" s="1"/>
  <c r="U94" i="7"/>
  <c r="T94" i="7"/>
  <c r="S94" i="7"/>
  <c r="R94" i="7"/>
  <c r="Q94" i="7"/>
  <c r="P94" i="7"/>
  <c r="O94" i="7"/>
  <c r="N94" i="7"/>
  <c r="M94" i="7"/>
  <c r="BN19" i="7"/>
  <c r="BN27" i="7"/>
  <c r="BM15" i="7"/>
  <c r="BM14" i="7"/>
  <c r="BM19" i="7"/>
  <c r="BM18" i="7"/>
  <c r="BM23" i="7"/>
  <c r="BM22" i="7"/>
  <c r="BM27" i="7"/>
  <c r="BM26" i="7"/>
  <c r="CI27" i="7"/>
  <c r="CI26" i="7"/>
  <c r="CI23" i="7"/>
  <c r="CI22" i="7"/>
  <c r="CI19" i="7"/>
  <c r="CI18" i="7"/>
  <c r="CI15" i="7"/>
  <c r="CG27" i="7"/>
  <c r="CG26" i="7"/>
  <c r="CG23" i="7"/>
  <c r="CG22" i="7"/>
  <c r="CG19" i="7"/>
  <c r="CG18" i="7"/>
  <c r="CG15" i="7"/>
  <c r="CI14" i="7"/>
  <c r="CG14" i="7"/>
  <c r="G10" i="7"/>
  <c r="H10" i="7" s="1"/>
  <c r="G33" i="7"/>
  <c r="F94" i="7"/>
  <c r="G94" i="7"/>
  <c r="F123" i="7"/>
  <c r="G123" i="7"/>
  <c r="F149" i="7"/>
  <c r="G149" i="7"/>
  <c r="F177" i="7"/>
  <c r="G177" i="7"/>
  <c r="F181" i="7"/>
  <c r="G181" i="7"/>
  <c r="F187" i="7"/>
  <c r="G187" i="7"/>
  <c r="F195" i="7"/>
  <c r="G195" i="7"/>
  <c r="AL10" i="7"/>
  <c r="AM10" i="7" s="1"/>
  <c r="AN10" i="7" s="1"/>
  <c r="AO10" i="7" s="1"/>
  <c r="AP10" i="7" s="1"/>
  <c r="AQ10" i="7" s="1"/>
  <c r="AR10" i="7" s="1"/>
  <c r="AS10" i="7" s="1"/>
  <c r="AT10" i="7" s="1"/>
  <c r="AU10" i="7" s="1"/>
  <c r="AV10" i="7" s="1"/>
  <c r="AW10" i="7" s="1"/>
  <c r="AX10" i="7" s="1"/>
  <c r="AY10" i="7" s="1"/>
  <c r="AZ10" i="7" s="1"/>
  <c r="BA10" i="7" s="1"/>
  <c r="BB10" i="7" s="1"/>
  <c r="BC10" i="7" s="1"/>
  <c r="BD10" i="7" s="1"/>
  <c r="BE10" i="7" s="1"/>
  <c r="BF10" i="7" s="1"/>
  <c r="BG10" i="7" s="1"/>
  <c r="BH10" i="7" s="1"/>
  <c r="BI10" i="7" s="1"/>
  <c r="BJ10" i="7" s="1"/>
  <c r="BK10" i="7" s="1"/>
  <c r="BL10" i="7" s="1"/>
  <c r="G36" i="26" l="1"/>
  <c r="H34" i="26"/>
  <c r="I16" i="9"/>
  <c r="I23" i="9" s="1"/>
  <c r="Y197" i="7"/>
  <c r="X197" i="7"/>
  <c r="AB197" i="7"/>
  <c r="CJ37" i="15"/>
  <c r="CS31" i="15"/>
  <c r="G32" i="9" a="1"/>
  <c r="G32" i="9" s="1"/>
  <c r="F32" i="9"/>
  <c r="BQ72" i="7"/>
  <c r="BR72" i="7" s="1"/>
  <c r="CK72" i="7" s="1"/>
  <c r="CK14" i="15"/>
  <c r="CK37" i="15" s="1"/>
  <c r="G197" i="7"/>
  <c r="F197" i="7"/>
  <c r="BW80" i="7"/>
  <c r="BN56" i="7"/>
  <c r="BP56" i="7" s="1"/>
  <c r="BW56" i="7"/>
  <c r="BW44" i="7"/>
  <c r="BW76" i="7"/>
  <c r="BW64" i="7"/>
  <c r="BN84" i="7"/>
  <c r="BP84" i="7" s="1"/>
  <c r="CF84" i="7" s="1"/>
  <c r="BW84" i="7"/>
  <c r="BW88" i="7"/>
  <c r="BW92" i="7"/>
  <c r="BN48" i="7"/>
  <c r="BP48" i="7" s="1"/>
  <c r="CF48" i="7" s="1"/>
  <c r="CH48" i="7" s="1"/>
  <c r="BW48" i="7"/>
  <c r="BN68" i="7"/>
  <c r="BP68" i="7" s="1"/>
  <c r="CF68" i="7" s="1"/>
  <c r="CJ68" i="7" s="1"/>
  <c r="BW68" i="7"/>
  <c r="BW52" i="7"/>
  <c r="BW60" i="7"/>
  <c r="BY15" i="7"/>
  <c r="CB15" i="7" s="1"/>
  <c r="I34" i="26" l="1"/>
  <c r="H36" i="26"/>
  <c r="J18" i="9"/>
  <c r="CS14" i="15"/>
  <c r="CH68" i="7"/>
  <c r="CJ48" i="7"/>
  <c r="CJ84" i="7"/>
  <c r="BY88" i="7"/>
  <c r="BY80" i="7"/>
  <c r="CB80" i="7" s="1"/>
  <c r="BY44" i="7"/>
  <c r="CB44" i="7" s="1"/>
  <c r="BQ56" i="7"/>
  <c r="BR56" i="7" s="1"/>
  <c r="BY56" i="7"/>
  <c r="CB56" i="7" s="1"/>
  <c r="CF56" i="7"/>
  <c r="BY76" i="7"/>
  <c r="BY64" i="7"/>
  <c r="CB64" i="7" s="1"/>
  <c r="BY48" i="7"/>
  <c r="CB48" i="7" s="1"/>
  <c r="CH84" i="7"/>
  <c r="BQ84" i="7"/>
  <c r="BR84" i="7" s="1"/>
  <c r="BY84" i="7"/>
  <c r="CB84" i="7" s="1"/>
  <c r="BY92" i="7"/>
  <c r="CB92" i="7" s="1"/>
  <c r="BQ48" i="7"/>
  <c r="BR48" i="7" s="1"/>
  <c r="BQ68" i="7"/>
  <c r="BR68" i="7" s="1"/>
  <c r="BY68" i="7"/>
  <c r="CB68" i="7" s="1"/>
  <c r="BY60" i="7"/>
  <c r="BY52" i="7"/>
  <c r="I36" i="26" l="1"/>
  <c r="J30" i="9"/>
  <c r="J19" i="9"/>
  <c r="J20" i="9"/>
  <c r="J14" i="9"/>
  <c r="J21" i="9"/>
  <c r="J15" i="9"/>
  <c r="J13" i="9"/>
  <c r="J16" i="9"/>
  <c r="CJ56" i="7"/>
  <c r="CH56" i="7"/>
  <c r="CC56" i="7"/>
  <c r="CC84" i="7"/>
  <c r="CC48" i="7"/>
  <c r="CK84" i="7"/>
  <c r="CK68" i="7"/>
  <c r="CK48" i="7"/>
  <c r="CC68" i="7"/>
  <c r="J34" i="26" l="1"/>
  <c r="J30" i="26"/>
  <c r="L36" i="26"/>
  <c r="J33" i="26"/>
  <c r="J32" i="26"/>
  <c r="J31" i="26"/>
  <c r="J23" i="9"/>
  <c r="CK56" i="7"/>
  <c r="H32" i="9"/>
  <c r="I32" i="9" s="1"/>
  <c r="J36" i="26" l="1"/>
  <c r="G38" i="9"/>
  <c r="H34" i="9"/>
  <c r="H36" i="9"/>
  <c r="I36" i="9" s="1"/>
  <c r="H35" i="9"/>
  <c r="I35" i="9" s="1"/>
  <c r="I34" i="9" l="1"/>
  <c r="CA197" i="7" l="1"/>
  <c r="L195" i="7"/>
  <c r="K195" i="7"/>
  <c r="J195" i="7"/>
  <c r="I195" i="7"/>
  <c r="H195" i="7"/>
  <c r="CI193" i="7"/>
  <c r="CJ193" i="7" s="1"/>
  <c r="CG193" i="7"/>
  <c r="CH193" i="7" s="1"/>
  <c r="CE193" i="7"/>
  <c r="BP193" i="7"/>
  <c r="BR193" i="7" s="1"/>
  <c r="BM193" i="7"/>
  <c r="BY193" i="7" s="1"/>
  <c r="CB193" i="7" s="1"/>
  <c r="CI191" i="7"/>
  <c r="CJ191" i="7" s="1"/>
  <c r="CG191" i="7"/>
  <c r="CH191" i="7" s="1"/>
  <c r="CE191" i="7"/>
  <c r="BP191" i="7"/>
  <c r="BR191" i="7" s="1"/>
  <c r="BM191" i="7"/>
  <c r="CI189" i="7"/>
  <c r="CJ189" i="7" s="1"/>
  <c r="CG189" i="7"/>
  <c r="CH189" i="7" s="1"/>
  <c r="CE189" i="7"/>
  <c r="BP189" i="7"/>
  <c r="BM189" i="7"/>
  <c r="BY189" i="7" s="1"/>
  <c r="CB189" i="7" s="1"/>
  <c r="L187" i="7"/>
  <c r="K187" i="7"/>
  <c r="J187" i="7"/>
  <c r="I187" i="7"/>
  <c r="H187" i="7"/>
  <c r="CE185" i="7"/>
  <c r="BR185" i="7"/>
  <c r="BN185" i="7"/>
  <c r="BM185" i="7"/>
  <c r="CI184" i="7"/>
  <c r="CJ185" i="7" s="1"/>
  <c r="CG184" i="7"/>
  <c r="CH185" i="7" s="1"/>
  <c r="CI183" i="7"/>
  <c r="CJ183" i="7" s="1"/>
  <c r="CG183" i="7"/>
  <c r="CH183" i="7" s="1"/>
  <c r="CE183" i="7"/>
  <c r="BN183" i="7"/>
  <c r="BP183" i="7" s="1"/>
  <c r="BR183" i="7" s="1"/>
  <c r="BM183" i="7"/>
  <c r="CB181" i="7"/>
  <c r="L181" i="7"/>
  <c r="K181" i="7"/>
  <c r="J181" i="7"/>
  <c r="I181" i="7"/>
  <c r="H181" i="7"/>
  <c r="CI179" i="7"/>
  <c r="CJ179" i="7" s="1"/>
  <c r="CG179" i="7"/>
  <c r="CH179" i="7" s="1"/>
  <c r="CE179" i="7"/>
  <c r="BP179" i="7"/>
  <c r="BR179" i="7" s="1"/>
  <c r="BR181" i="7" s="1"/>
  <c r="BM179" i="7"/>
  <c r="BM181" i="7" s="1"/>
  <c r="L177" i="7"/>
  <c r="K177" i="7"/>
  <c r="J177" i="7"/>
  <c r="I177" i="7"/>
  <c r="H177" i="7"/>
  <c r="CI174" i="7"/>
  <c r="CJ174" i="7" s="1"/>
  <c r="CG174" i="7"/>
  <c r="CH174" i="7" s="1"/>
  <c r="CE174" i="7"/>
  <c r="BW174" i="7"/>
  <c r="BP174" i="7"/>
  <c r="BM174" i="7"/>
  <c r="CI171" i="7"/>
  <c r="CJ171" i="7" s="1"/>
  <c r="CG171" i="7"/>
  <c r="CH171" i="7" s="1"/>
  <c r="CE171" i="7"/>
  <c r="BW171" i="7"/>
  <c r="BP171" i="7"/>
  <c r="BR171" i="7" s="1"/>
  <c r="BM171" i="7"/>
  <c r="CI168" i="7"/>
  <c r="CJ168" i="7" s="1"/>
  <c r="CG168" i="7"/>
  <c r="CH168" i="7" s="1"/>
  <c r="CE168" i="7"/>
  <c r="BW168" i="7"/>
  <c r="BP168" i="7"/>
  <c r="BR168" i="7" s="1"/>
  <c r="BM168" i="7"/>
  <c r="CI165" i="7"/>
  <c r="CJ165" i="7" s="1"/>
  <c r="CG165" i="7"/>
  <c r="CH165" i="7" s="1"/>
  <c r="CE165" i="7"/>
  <c r="BW165" i="7"/>
  <c r="BP165" i="7"/>
  <c r="BR165" i="7" s="1"/>
  <c r="BM165" i="7"/>
  <c r="CI162" i="7"/>
  <c r="CJ162" i="7" s="1"/>
  <c r="CG162" i="7"/>
  <c r="CH162" i="7" s="1"/>
  <c r="CE162" i="7"/>
  <c r="BW162" i="7"/>
  <c r="BR162" i="7"/>
  <c r="BO162" i="7"/>
  <c r="BM162" i="7"/>
  <c r="BQ162" i="7" s="1"/>
  <c r="BT162" i="7" s="1"/>
  <c r="CJ159" i="7"/>
  <c r="CI159" i="7"/>
  <c r="CH159" i="7"/>
  <c r="CG159" i="7"/>
  <c r="CE159" i="7"/>
  <c r="BW159" i="7"/>
  <c r="BT159" i="7"/>
  <c r="BP159" i="7"/>
  <c r="BR159" i="7" s="1"/>
  <c r="BM159" i="7"/>
  <c r="CJ156" i="7"/>
  <c r="CI156" i="7"/>
  <c r="CH156" i="7"/>
  <c r="CG156" i="7"/>
  <c r="CE156" i="7"/>
  <c r="BW156" i="7"/>
  <c r="BT156" i="7"/>
  <c r="BP156" i="7"/>
  <c r="BR156" i="7" s="1"/>
  <c r="BM156" i="7"/>
  <c r="CJ153" i="7"/>
  <c r="CI153" i="7"/>
  <c r="CH153" i="7"/>
  <c r="CG153" i="7"/>
  <c r="BW153" i="7"/>
  <c r="BT153" i="7"/>
  <c r="BP153" i="7"/>
  <c r="BR153" i="7" s="1"/>
  <c r="BM153" i="7"/>
  <c r="CI151" i="7"/>
  <c r="CJ151" i="7" s="1"/>
  <c r="CG151" i="7"/>
  <c r="CH151" i="7" s="1"/>
  <c r="BW151" i="7"/>
  <c r="BP151" i="7"/>
  <c r="BR151" i="7" s="1"/>
  <c r="BM151" i="7"/>
  <c r="L149" i="7"/>
  <c r="K149" i="7"/>
  <c r="J149" i="7"/>
  <c r="I149" i="7"/>
  <c r="H149" i="7"/>
  <c r="BP147" i="7"/>
  <c r="BR147" i="7" s="1"/>
  <c r="BM147" i="7"/>
  <c r="CI146" i="7"/>
  <c r="CJ146" i="7" s="1"/>
  <c r="CG146" i="7"/>
  <c r="CH146" i="7" s="1"/>
  <c r="CE146" i="7"/>
  <c r="BW146" i="7"/>
  <c r="BP146" i="7"/>
  <c r="BM146" i="7"/>
  <c r="CI143" i="7"/>
  <c r="CJ143" i="7" s="1"/>
  <c r="CG143" i="7"/>
  <c r="CH143" i="7" s="1"/>
  <c r="CE143" i="7"/>
  <c r="BW143" i="7"/>
  <c r="BN143" i="7"/>
  <c r="BP143" i="7" s="1"/>
  <c r="BR143" i="7" s="1"/>
  <c r="BM143" i="7"/>
  <c r="CI140" i="7"/>
  <c r="CJ140" i="7" s="1"/>
  <c r="CG140" i="7"/>
  <c r="CH140" i="7" s="1"/>
  <c r="CE140" i="7"/>
  <c r="BW140" i="7"/>
  <c r="BP140" i="7"/>
  <c r="BR140" i="7" s="1"/>
  <c r="BM140" i="7"/>
  <c r="CI137" i="7"/>
  <c r="CJ137" i="7" s="1"/>
  <c r="CG137" i="7"/>
  <c r="CH137" i="7" s="1"/>
  <c r="CE137" i="7"/>
  <c r="BW137" i="7"/>
  <c r="BP137" i="7"/>
  <c r="BM137" i="7"/>
  <c r="CI134" i="7"/>
  <c r="CJ134" i="7" s="1"/>
  <c r="CG134" i="7"/>
  <c r="CH134" i="7" s="1"/>
  <c r="CE134" i="7"/>
  <c r="BW134" i="7"/>
  <c r="BP134" i="7"/>
  <c r="BR134" i="7" s="1"/>
  <c r="BM134" i="7"/>
  <c r="CI131" i="7"/>
  <c r="CJ131" i="7" s="1"/>
  <c r="CG131" i="7"/>
  <c r="CH131" i="7" s="1"/>
  <c r="BW131" i="7"/>
  <c r="BP131" i="7"/>
  <c r="BR131" i="7" s="1"/>
  <c r="BM131" i="7"/>
  <c r="CI128" i="7"/>
  <c r="CJ128" i="7" s="1"/>
  <c r="CG128" i="7"/>
  <c r="CH128" i="7" s="1"/>
  <c r="BW128" i="7"/>
  <c r="BP128" i="7"/>
  <c r="BR128" i="7" s="1"/>
  <c r="BM128" i="7"/>
  <c r="CI125" i="7"/>
  <c r="CJ125" i="7" s="1"/>
  <c r="CG125" i="7"/>
  <c r="CH125" i="7" s="1"/>
  <c r="BW125" i="7"/>
  <c r="BR125" i="7"/>
  <c r="BM125" i="7"/>
  <c r="CB123" i="7"/>
  <c r="L123" i="7"/>
  <c r="K123" i="7"/>
  <c r="J123" i="7"/>
  <c r="I123" i="7"/>
  <c r="H123" i="7"/>
  <c r="CI120" i="7"/>
  <c r="CJ120" i="7" s="1"/>
  <c r="CG120" i="7"/>
  <c r="CH120" i="7" s="1"/>
  <c r="CE120" i="7"/>
  <c r="BP120" i="7"/>
  <c r="BR120" i="7" s="1"/>
  <c r="BM120" i="7"/>
  <c r="BY120" i="7" s="1"/>
  <c r="CI117" i="7"/>
  <c r="CJ117" i="7" s="1"/>
  <c r="CG117" i="7"/>
  <c r="CH117" i="7" s="1"/>
  <c r="CE117" i="7"/>
  <c r="BP117" i="7"/>
  <c r="BR117" i="7" s="1"/>
  <c r="BM117" i="7"/>
  <c r="BY117" i="7" s="1"/>
  <c r="CI114" i="7"/>
  <c r="CJ114" i="7" s="1"/>
  <c r="CG114" i="7"/>
  <c r="CH114" i="7" s="1"/>
  <c r="CE114" i="7"/>
  <c r="BP114" i="7"/>
  <c r="BR114" i="7" s="1"/>
  <c r="BM114" i="7"/>
  <c r="BY114" i="7" s="1"/>
  <c r="CI111" i="7"/>
  <c r="CJ111" i="7" s="1"/>
  <c r="CG111" i="7"/>
  <c r="CH111" i="7" s="1"/>
  <c r="CE111" i="7"/>
  <c r="BP111" i="7"/>
  <c r="BM111" i="7"/>
  <c r="BY111" i="7" s="1"/>
  <c r="CI108" i="7"/>
  <c r="CJ108" i="7" s="1"/>
  <c r="CG108" i="7"/>
  <c r="CH108" i="7" s="1"/>
  <c r="CE108" i="7"/>
  <c r="BP108" i="7"/>
  <c r="BM108" i="7"/>
  <c r="CI105" i="7"/>
  <c r="CJ105" i="7" s="1"/>
  <c r="CG105" i="7"/>
  <c r="CH105" i="7" s="1"/>
  <c r="CE105" i="7"/>
  <c r="BW105" i="7"/>
  <c r="BP105" i="7"/>
  <c r="BR105" i="7" s="1"/>
  <c r="BM105" i="7"/>
  <c r="CI102" i="7"/>
  <c r="CJ102" i="7" s="1"/>
  <c r="CG102" i="7"/>
  <c r="CH102" i="7" s="1"/>
  <c r="CE102" i="7"/>
  <c r="BW102" i="7"/>
  <c r="BP102" i="7"/>
  <c r="BR102" i="7" s="1"/>
  <c r="BM102" i="7"/>
  <c r="CI99" i="7"/>
  <c r="CJ99" i="7" s="1"/>
  <c r="CG99" i="7"/>
  <c r="CH99" i="7" s="1"/>
  <c r="CE99" i="7"/>
  <c r="BW99" i="7"/>
  <c r="BP99" i="7"/>
  <c r="BR99" i="7" s="1"/>
  <c r="BM99" i="7"/>
  <c r="CI96" i="7"/>
  <c r="CJ96" i="7" s="1"/>
  <c r="CG96" i="7"/>
  <c r="CH96" i="7" s="1"/>
  <c r="BW96" i="7"/>
  <c r="BP96" i="7"/>
  <c r="BR96" i="7" s="1"/>
  <c r="BM96" i="7"/>
  <c r="BZ94" i="7"/>
  <c r="L94" i="7"/>
  <c r="K94" i="7"/>
  <c r="J94" i="7"/>
  <c r="I94" i="7"/>
  <c r="H94" i="7"/>
  <c r="BW91" i="7"/>
  <c r="BW87" i="7"/>
  <c r="BW83" i="7"/>
  <c r="BP83" i="7"/>
  <c r="BW79" i="7"/>
  <c r="BW75" i="7"/>
  <c r="BW71" i="7"/>
  <c r="BP71" i="7"/>
  <c r="BW67" i="7"/>
  <c r="BP67" i="7"/>
  <c r="CF67" i="7" s="1"/>
  <c r="BW63" i="7"/>
  <c r="BW59" i="7"/>
  <c r="BW55" i="7"/>
  <c r="BP55" i="7"/>
  <c r="CF55" i="7" s="1"/>
  <c r="BW51" i="7"/>
  <c r="BW47" i="7"/>
  <c r="BP47" i="7"/>
  <c r="BW43" i="7"/>
  <c r="BW40" i="7"/>
  <c r="BW39" i="7"/>
  <c r="BN40" i="7"/>
  <c r="BW36" i="7"/>
  <c r="BW35" i="7"/>
  <c r="H33" i="7"/>
  <c r="I33" i="7" s="1"/>
  <c r="J33" i="7" s="1"/>
  <c r="K33" i="7" s="1"/>
  <c r="L33" i="7" s="1"/>
  <c r="M33" i="7" s="1"/>
  <c r="N33" i="7" s="1"/>
  <c r="O33" i="7" s="1"/>
  <c r="P33" i="7" s="1"/>
  <c r="Q33" i="7" s="1"/>
  <c r="R33" i="7" s="1"/>
  <c r="S33" i="7" s="1"/>
  <c r="T33" i="7" s="1"/>
  <c r="U33" i="7" s="1"/>
  <c r="V33" i="7" s="1"/>
  <c r="W33" i="7" s="1"/>
  <c r="X33" i="7" s="1"/>
  <c r="Y33" i="7" s="1"/>
  <c r="Z33" i="7" s="1"/>
  <c r="AA33" i="7" s="1"/>
  <c r="AB33" i="7" s="1"/>
  <c r="AC33" i="7" s="1"/>
  <c r="AD33" i="7" s="1"/>
  <c r="AE33" i="7" s="1"/>
  <c r="AF33" i="7" s="1"/>
  <c r="AG33" i="7" s="1"/>
  <c r="AH33" i="7" s="1"/>
  <c r="AI33" i="7" s="1"/>
  <c r="AJ33" i="7" s="1"/>
  <c r="BZ29" i="7"/>
  <c r="BY27" i="7"/>
  <c r="CB27" i="7" s="1"/>
  <c r="BY26" i="7"/>
  <c r="CB26" i="7" s="1"/>
  <c r="BY23" i="7"/>
  <c r="CB23" i="7" s="1"/>
  <c r="BY22" i="7"/>
  <c r="CB22" i="7" s="1"/>
  <c r="BY18" i="7"/>
  <c r="CB18" i="7" s="1"/>
  <c r="BY14" i="7"/>
  <c r="CB14" i="7" s="1"/>
  <c r="I10" i="7"/>
  <c r="J10" i="7" s="1"/>
  <c r="K10" i="7" s="1"/>
  <c r="L10" i="7" s="1"/>
  <c r="M10" i="7" s="1"/>
  <c r="N10" i="7" s="1"/>
  <c r="O10" i="7" s="1"/>
  <c r="P10" i="7" s="1"/>
  <c r="Q10" i="7" s="1"/>
  <c r="R10" i="7" s="1"/>
  <c r="S10" i="7" s="1"/>
  <c r="T10" i="7" s="1"/>
  <c r="U10" i="7" s="1"/>
  <c r="V10" i="7" s="1"/>
  <c r="W10" i="7" s="1"/>
  <c r="X10" i="7" s="1"/>
  <c r="Y10" i="7" s="1"/>
  <c r="Z10" i="7" s="1"/>
  <c r="AA10" i="7" s="1"/>
  <c r="AB10" i="7" s="1"/>
  <c r="AC10" i="7" s="1"/>
  <c r="AD10" i="7" s="1"/>
  <c r="AE10" i="7" s="1"/>
  <c r="AF10" i="7" s="1"/>
  <c r="AG10" i="7" s="1"/>
  <c r="AH10" i="7" s="1"/>
  <c r="AI10" i="7" s="1"/>
  <c r="AJ10" i="7" s="1"/>
  <c r="CE210" i="6"/>
  <c r="CD210" i="6"/>
  <c r="CB210" i="6"/>
  <c r="CB29" i="6"/>
  <c r="CB81" i="6"/>
  <c r="CB208" i="6"/>
  <c r="CB198" i="6"/>
  <c r="BV198" i="6"/>
  <c r="BV206" i="6"/>
  <c r="BV203" i="6"/>
  <c r="BV200" i="6"/>
  <c r="BV208" i="6" s="1"/>
  <c r="BV196" i="6"/>
  <c r="BV193" i="6"/>
  <c r="BV188" i="6"/>
  <c r="CL210" i="6"/>
  <c r="CK210" i="6"/>
  <c r="CJ210" i="6"/>
  <c r="CI210" i="6"/>
  <c r="CH210" i="6"/>
  <c r="CG210" i="6"/>
  <c r="CC210" i="6"/>
  <c r="BT210" i="6"/>
  <c r="BS210" i="6"/>
  <c r="BO210" i="6"/>
  <c r="BN210" i="6"/>
  <c r="BM210" i="6"/>
  <c r="BL210" i="6"/>
  <c r="BK210" i="6"/>
  <c r="BJ210" i="6"/>
  <c r="BI210" i="6"/>
  <c r="BH210" i="6"/>
  <c r="BG210" i="6"/>
  <c r="BF210" i="6"/>
  <c r="BE210" i="6"/>
  <c r="BD210" i="6"/>
  <c r="BC210" i="6"/>
  <c r="BB210" i="6"/>
  <c r="BA210" i="6"/>
  <c r="AZ210" i="6"/>
  <c r="AY210" i="6"/>
  <c r="AX210" i="6"/>
  <c r="AW210" i="6"/>
  <c r="AV210" i="6"/>
  <c r="AU210" i="6"/>
  <c r="AT210" i="6"/>
  <c r="AS210" i="6"/>
  <c r="AR210" i="6"/>
  <c r="AQ210" i="6"/>
  <c r="AP210" i="6"/>
  <c r="AO210" i="6"/>
  <c r="AN210" i="6"/>
  <c r="AM210" i="6"/>
  <c r="AL210" i="6"/>
  <c r="AK210" i="6"/>
  <c r="AJ210" i="6"/>
  <c r="AI210" i="6"/>
  <c r="AH210" i="6"/>
  <c r="AG210" i="6"/>
  <c r="AF210" i="6"/>
  <c r="AE210" i="6"/>
  <c r="AD210" i="6"/>
  <c r="AC210" i="6"/>
  <c r="AB210" i="6"/>
  <c r="AA210" i="6"/>
  <c r="Z210" i="6"/>
  <c r="Y210" i="6"/>
  <c r="X210" i="6"/>
  <c r="W210" i="6"/>
  <c r="V210" i="6"/>
  <c r="U210" i="6"/>
  <c r="T210" i="6"/>
  <c r="S210" i="6"/>
  <c r="R210" i="6"/>
  <c r="Q210" i="6"/>
  <c r="P210" i="6"/>
  <c r="O210" i="6"/>
  <c r="N210" i="6"/>
  <c r="M210" i="6"/>
  <c r="L210" i="6"/>
  <c r="K210" i="6"/>
  <c r="J210" i="6"/>
  <c r="I210" i="6"/>
  <c r="H210" i="6"/>
  <c r="G210" i="6"/>
  <c r="F210" i="6"/>
  <c r="CM208" i="6"/>
  <c r="CM206" i="6"/>
  <c r="CM203" i="6"/>
  <c r="CM200" i="6"/>
  <c r="CM196" i="6"/>
  <c r="CM193" i="6"/>
  <c r="CM188" i="6"/>
  <c r="CK206" i="6"/>
  <c r="CL206" i="6" s="1"/>
  <c r="CJ206" i="6"/>
  <c r="CI206" i="6"/>
  <c r="CI208" i="6" s="1"/>
  <c r="CK203" i="6"/>
  <c r="CL203" i="6" s="1"/>
  <c r="CI203" i="6"/>
  <c r="CJ203" i="6" s="1"/>
  <c r="CL200" i="6"/>
  <c r="CK200" i="6"/>
  <c r="CI200" i="6"/>
  <c r="CJ200" i="6" s="1"/>
  <c r="CK196" i="6"/>
  <c r="CL196" i="6" s="1"/>
  <c r="CI196" i="6"/>
  <c r="CJ196" i="6" s="1"/>
  <c r="CK193" i="6"/>
  <c r="CL193" i="6" s="1"/>
  <c r="CI193" i="6"/>
  <c r="CJ193" i="6" s="1"/>
  <c r="CK188" i="6"/>
  <c r="CL188" i="6" s="1"/>
  <c r="CL191" i="6" s="1"/>
  <c r="CI188" i="6"/>
  <c r="CJ188" i="6" s="1"/>
  <c r="CJ191" i="6" s="1"/>
  <c r="CH206" i="6"/>
  <c r="CH203" i="6"/>
  <c r="CH200" i="6"/>
  <c r="CH196" i="6"/>
  <c r="CH193" i="6"/>
  <c r="CH188" i="6"/>
  <c r="CH191" i="6" s="1"/>
  <c r="CG206" i="6"/>
  <c r="CG203" i="6"/>
  <c r="CG200" i="6"/>
  <c r="CG196" i="6"/>
  <c r="CG193" i="6"/>
  <c r="CG188" i="6"/>
  <c r="CK191" i="6"/>
  <c r="CI191" i="6"/>
  <c r="CG191" i="6"/>
  <c r="CE191" i="6"/>
  <c r="CD191" i="6"/>
  <c r="CC191" i="6"/>
  <c r="CB191" i="6"/>
  <c r="BT191" i="6"/>
  <c r="BS191" i="6"/>
  <c r="BR191" i="6"/>
  <c r="BQ191" i="6"/>
  <c r="BP191" i="6"/>
  <c r="BO191" i="6"/>
  <c r="BN191" i="6"/>
  <c r="BM191" i="6"/>
  <c r="BL191" i="6"/>
  <c r="BK191" i="6"/>
  <c r="BJ191" i="6"/>
  <c r="BI191" i="6"/>
  <c r="BH191" i="6"/>
  <c r="BG191" i="6"/>
  <c r="BF191" i="6"/>
  <c r="BE191" i="6"/>
  <c r="CH208" i="6"/>
  <c r="CE208" i="6"/>
  <c r="CD208" i="6"/>
  <c r="CC208" i="6"/>
  <c r="CK198" i="6"/>
  <c r="CI198" i="6"/>
  <c r="CH198" i="6"/>
  <c r="CG198" i="6"/>
  <c r="CE198" i="6"/>
  <c r="CD198" i="6"/>
  <c r="CC198" i="6"/>
  <c r="BT198" i="6"/>
  <c r="BS198" i="6"/>
  <c r="BR198" i="6"/>
  <c r="BQ198" i="6"/>
  <c r="BP198" i="6"/>
  <c r="BO198" i="6"/>
  <c r="BN198" i="6"/>
  <c r="BM198" i="6"/>
  <c r="BL198" i="6"/>
  <c r="BK198" i="6"/>
  <c r="BJ198" i="6"/>
  <c r="BI198" i="6"/>
  <c r="BH198" i="6"/>
  <c r="BG198" i="6"/>
  <c r="BF198" i="6"/>
  <c r="BE198" i="6"/>
  <c r="BD198" i="6"/>
  <c r="BW208" i="6"/>
  <c r="BT208" i="6"/>
  <c r="BS208" i="6"/>
  <c r="BR208" i="6"/>
  <c r="BQ208" i="6"/>
  <c r="BP208" i="6"/>
  <c r="BO208" i="6"/>
  <c r="BN208" i="6"/>
  <c r="BM208" i="6"/>
  <c r="BL208" i="6"/>
  <c r="BK208" i="6"/>
  <c r="BJ208" i="6"/>
  <c r="BI208" i="6"/>
  <c r="BH208" i="6"/>
  <c r="BG208" i="6"/>
  <c r="BF208" i="6"/>
  <c r="BE208" i="6"/>
  <c r="BD208" i="6"/>
  <c r="BP193" i="6"/>
  <c r="BR196" i="6"/>
  <c r="BO196" i="6"/>
  <c r="BR206" i="6"/>
  <c r="BO206" i="6"/>
  <c r="BR203" i="6"/>
  <c r="BS203" i="6" s="1"/>
  <c r="BT203" i="6" s="1"/>
  <c r="BO203" i="6"/>
  <c r="BR200" i="6"/>
  <c r="BO200" i="6"/>
  <c r="BR193" i="6"/>
  <c r="BO193" i="6"/>
  <c r="BD191" i="6"/>
  <c r="BR188" i="6"/>
  <c r="BO188" i="6"/>
  <c r="BI186" i="6"/>
  <c r="BJ186" i="6" s="1"/>
  <c r="BK186" i="6" s="1"/>
  <c r="BL186" i="6" s="1"/>
  <c r="BM186" i="6" s="1"/>
  <c r="BN186" i="6" s="1"/>
  <c r="BE186" i="6"/>
  <c r="BF186" i="6" s="1"/>
  <c r="BG186" i="6" s="1"/>
  <c r="CH67" i="7" l="1"/>
  <c r="CJ67" i="7"/>
  <c r="G52" i="9" s="1"/>
  <c r="CJ55" i="7"/>
  <c r="G49" i="9" s="1"/>
  <c r="CH55" i="7"/>
  <c r="BP79" i="7"/>
  <c r="CF79" i="7" s="1"/>
  <c r="CJ79" i="7" s="1"/>
  <c r="BN80" i="7"/>
  <c r="BP80" i="7" s="1"/>
  <c r="BP43" i="7"/>
  <c r="CF43" i="7" s="1"/>
  <c r="BN44" i="7"/>
  <c r="BP44" i="7" s="1"/>
  <c r="BP39" i="7"/>
  <c r="CF39" i="7" s="1"/>
  <c r="BP40" i="7"/>
  <c r="CF40" i="7" s="1"/>
  <c r="BP26" i="7"/>
  <c r="CF26" i="7" s="1"/>
  <c r="CJ26" i="7" s="1"/>
  <c r="BP27" i="7"/>
  <c r="BQ27" i="7" s="1"/>
  <c r="BR27" i="7" s="1"/>
  <c r="CC27" i="7" s="1"/>
  <c r="BP22" i="7"/>
  <c r="CF22" i="7" s="1"/>
  <c r="BN23" i="7"/>
  <c r="BP23" i="7" s="1"/>
  <c r="CF23" i="7" s="1"/>
  <c r="BP75" i="7"/>
  <c r="CF75" i="7" s="1"/>
  <c r="CJ75" i="7" s="1"/>
  <c r="BP76" i="7"/>
  <c r="BP63" i="7"/>
  <c r="CF63" i="7" s="1"/>
  <c r="BN64" i="7"/>
  <c r="BP64" i="7" s="1"/>
  <c r="BP87" i="7"/>
  <c r="CF87" i="7" s="1"/>
  <c r="CJ87" i="7" s="1"/>
  <c r="BN88" i="7"/>
  <c r="BP88" i="7" s="1"/>
  <c r="BP91" i="7"/>
  <c r="CF91" i="7" s="1"/>
  <c r="CJ91" i="7" s="1"/>
  <c r="BN92" i="7"/>
  <c r="BP92" i="7" s="1"/>
  <c r="BY140" i="7"/>
  <c r="CB140" i="7" s="1"/>
  <c r="BP18" i="7"/>
  <c r="BQ18" i="7" s="1"/>
  <c r="BR18" i="7" s="1"/>
  <c r="CC18" i="7" s="1"/>
  <c r="BP19" i="7"/>
  <c r="BP35" i="7"/>
  <c r="CF35" i="7" s="1"/>
  <c r="BP36" i="7"/>
  <c r="CF36" i="7" s="1"/>
  <c r="BP51" i="7"/>
  <c r="CF51" i="7" s="1"/>
  <c r="BN52" i="7"/>
  <c r="BP52" i="7" s="1"/>
  <c r="BY83" i="7"/>
  <c r="CB83" i="7" s="1"/>
  <c r="BZ197" i="7"/>
  <c r="CF59" i="7"/>
  <c r="BN60" i="7"/>
  <c r="BQ134" i="7"/>
  <c r="BT134" i="7" s="1"/>
  <c r="BQ171" i="7"/>
  <c r="BT171" i="7" s="1"/>
  <c r="BY63" i="7"/>
  <c r="CB63" i="7" s="1"/>
  <c r="BP14" i="7"/>
  <c r="BQ14" i="7" s="1"/>
  <c r="BN15" i="7"/>
  <c r="BP15" i="7" s="1"/>
  <c r="BY174" i="7"/>
  <c r="BR187" i="7"/>
  <c r="BY99" i="7"/>
  <c r="BY156" i="7"/>
  <c r="CB156" i="7" s="1"/>
  <c r="CC156" i="7" s="1"/>
  <c r="BY165" i="7"/>
  <c r="CB165" i="7" s="1"/>
  <c r="K197" i="7"/>
  <c r="I197" i="7"/>
  <c r="J197" i="7"/>
  <c r="F52" i="9"/>
  <c r="H197" i="7"/>
  <c r="BM187" i="7"/>
  <c r="CI94" i="7"/>
  <c r="BQ128" i="7"/>
  <c r="BT128" i="7" s="1"/>
  <c r="BY67" i="7"/>
  <c r="CB67" i="7" s="1"/>
  <c r="BY146" i="7"/>
  <c r="CG94" i="7"/>
  <c r="BQ96" i="7"/>
  <c r="BT96" i="7" s="1"/>
  <c r="CC96" i="7" s="1"/>
  <c r="BY59" i="7"/>
  <c r="CB59" i="7" s="1"/>
  <c r="BY35" i="7"/>
  <c r="CB35" i="7" s="1"/>
  <c r="BY39" i="7"/>
  <c r="CB39" i="7" s="1"/>
  <c r="BY71" i="7"/>
  <c r="CB71" i="7" s="1"/>
  <c r="BY102" i="7"/>
  <c r="BQ143" i="7"/>
  <c r="BT143" i="7" s="1"/>
  <c r="BY147" i="7"/>
  <c r="BY153" i="7"/>
  <c r="CB153" i="7" s="1"/>
  <c r="CC153" i="7" s="1"/>
  <c r="BY96" i="7"/>
  <c r="BY125" i="7"/>
  <c r="CB125" i="7" s="1"/>
  <c r="BY43" i="7"/>
  <c r="CB43" i="7" s="1"/>
  <c r="BY79" i="7"/>
  <c r="BQ168" i="7"/>
  <c r="BT168" i="7" s="1"/>
  <c r="BY47" i="7"/>
  <c r="CB47" i="7" s="1"/>
  <c r="BY91" i="7"/>
  <c r="BY134" i="7"/>
  <c r="CB134" i="7" s="1"/>
  <c r="BY143" i="7"/>
  <c r="CB143" i="7" s="1"/>
  <c r="BY162" i="7"/>
  <c r="CB162" i="7" s="1"/>
  <c r="CC162" i="7" s="1"/>
  <c r="BY168" i="7"/>
  <c r="CB168" i="7" s="1"/>
  <c r="CF71" i="7"/>
  <c r="BQ71" i="7"/>
  <c r="BR71" i="7" s="1"/>
  <c r="BQ47" i="7"/>
  <c r="BR47" i="7" s="1"/>
  <c r="CF47" i="7"/>
  <c r="BQ83" i="7"/>
  <c r="BR83" i="7" s="1"/>
  <c r="CF83" i="7"/>
  <c r="CJ83" i="7" s="1"/>
  <c r="G56" i="9" s="1"/>
  <c r="BQ105" i="7"/>
  <c r="BT105" i="7" s="1"/>
  <c r="CC105" i="7" s="1"/>
  <c r="BQ179" i="7"/>
  <c r="BT179" i="7" s="1"/>
  <c r="BQ183" i="7"/>
  <c r="BT183" i="7" s="1"/>
  <c r="BQ99" i="7"/>
  <c r="BT99" i="7" s="1"/>
  <c r="CC99" i="7" s="1"/>
  <c r="BQ102" i="7"/>
  <c r="BT102" i="7" s="1"/>
  <c r="CC102" i="7" s="1"/>
  <c r="BQ151" i="7"/>
  <c r="BT151" i="7" s="1"/>
  <c r="BY183" i="7"/>
  <c r="CB183" i="7" s="1"/>
  <c r="BQ191" i="7"/>
  <c r="BT191" i="7" s="1"/>
  <c r="BY105" i="7"/>
  <c r="BY40" i="7"/>
  <c r="CB40" i="7" s="1"/>
  <c r="BY137" i="7"/>
  <c r="CB137" i="7" s="1"/>
  <c r="BY51" i="7"/>
  <c r="CB51" i="7" s="1"/>
  <c r="BY87" i="7"/>
  <c r="CB87" i="7" s="1"/>
  <c r="BY159" i="7"/>
  <c r="CB159" i="7" s="1"/>
  <c r="CC159" i="7" s="1"/>
  <c r="BY171" i="7"/>
  <c r="CB171" i="7" s="1"/>
  <c r="BQ67" i="7"/>
  <c r="BR67" i="7" s="1"/>
  <c r="BY128" i="7"/>
  <c r="CB128" i="7" s="1"/>
  <c r="BY131" i="7"/>
  <c r="CB131" i="7" s="1"/>
  <c r="BM149" i="7"/>
  <c r="BQ55" i="7"/>
  <c r="BR55" i="7" s="1"/>
  <c r="BY75" i="7"/>
  <c r="CB75" i="7" s="1"/>
  <c r="BY55" i="7"/>
  <c r="BQ140" i="7"/>
  <c r="BT140" i="7" s="1"/>
  <c r="BM177" i="7"/>
  <c r="BR111" i="7"/>
  <c r="BQ111" i="7"/>
  <c r="BT111" i="7" s="1"/>
  <c r="CC111" i="7" s="1"/>
  <c r="BM29" i="7"/>
  <c r="BY36" i="7"/>
  <c r="CB36" i="7" s="1"/>
  <c r="BY108" i="7"/>
  <c r="BM123" i="7"/>
  <c r="BR137" i="7"/>
  <c r="BQ137" i="7"/>
  <c r="BT137" i="7" s="1"/>
  <c r="BY191" i="7"/>
  <c r="CB191" i="7" s="1"/>
  <c r="CB195" i="7" s="1"/>
  <c r="BR108" i="7"/>
  <c r="BQ108" i="7"/>
  <c r="BT108" i="7" s="1"/>
  <c r="CC108" i="7" s="1"/>
  <c r="BQ125" i="7"/>
  <c r="BR146" i="7"/>
  <c r="BQ146" i="7"/>
  <c r="BT146" i="7" s="1"/>
  <c r="BQ189" i="7"/>
  <c r="BR189" i="7"/>
  <c r="BR195" i="7" s="1"/>
  <c r="BM94" i="7"/>
  <c r="BY19" i="7"/>
  <c r="CB19" i="7" s="1"/>
  <c r="BR174" i="7"/>
  <c r="BR177" i="7" s="1"/>
  <c r="BQ174" i="7"/>
  <c r="BT174" i="7" s="1"/>
  <c r="CC174" i="7" s="1"/>
  <c r="F49" i="9"/>
  <c r="BY185" i="7"/>
  <c r="CB185" i="7" s="1"/>
  <c r="BQ185" i="7"/>
  <c r="BT185" i="7" s="1"/>
  <c r="BQ114" i="7"/>
  <c r="BT114" i="7" s="1"/>
  <c r="CC114" i="7" s="1"/>
  <c r="BQ117" i="7"/>
  <c r="BT117" i="7" s="1"/>
  <c r="CC117" i="7" s="1"/>
  <c r="BQ120" i="7"/>
  <c r="BT120" i="7" s="1"/>
  <c r="CC120" i="7" s="1"/>
  <c r="BQ165" i="7"/>
  <c r="BT165" i="7" s="1"/>
  <c r="BQ131" i="7"/>
  <c r="BT131" i="7" s="1"/>
  <c r="BQ147" i="7"/>
  <c r="BT147" i="7" s="1"/>
  <c r="BQ193" i="7"/>
  <c r="BT193" i="7" s="1"/>
  <c r="CC193" i="7" s="1"/>
  <c r="BM195" i="7"/>
  <c r="CM210" i="6"/>
  <c r="CL208" i="6"/>
  <c r="CK208" i="6"/>
  <c r="CJ208" i="6"/>
  <c r="CJ198" i="6"/>
  <c r="CL198" i="6"/>
  <c r="CG208" i="6"/>
  <c r="BS206" i="6"/>
  <c r="BT206" i="6" s="1"/>
  <c r="BS196" i="6"/>
  <c r="BT196" i="6" s="1"/>
  <c r="BS193" i="6"/>
  <c r="BT193" i="6" s="1"/>
  <c r="BS200" i="6"/>
  <c r="BT200" i="6" s="1"/>
  <c r="BS188" i="6"/>
  <c r="H52" i="9" l="1"/>
  <c r="I52" i="9" s="1"/>
  <c r="BQ39" i="7"/>
  <c r="BR39" i="7" s="1"/>
  <c r="BQ40" i="7"/>
  <c r="BR40" i="7" s="1"/>
  <c r="CH91" i="7"/>
  <c r="CH63" i="7"/>
  <c r="CJ63" i="7"/>
  <c r="CH59" i="7"/>
  <c r="CK59" i="7" s="1"/>
  <c r="CJ59" i="7"/>
  <c r="H49" i="9"/>
  <c r="I49" i="9" s="1"/>
  <c r="CH51" i="7"/>
  <c r="CJ51" i="7"/>
  <c r="G47" i="9"/>
  <c r="CH47" i="7"/>
  <c r="CJ47" i="7"/>
  <c r="CH43" i="7"/>
  <c r="CJ43" i="7"/>
  <c r="CJ40" i="7"/>
  <c r="CH40" i="7"/>
  <c r="CH39" i="7"/>
  <c r="CJ39" i="7"/>
  <c r="G45" i="9" s="1"/>
  <c r="CH36" i="7"/>
  <c r="CJ36" i="7"/>
  <c r="CJ35" i="7"/>
  <c r="CH35" i="7"/>
  <c r="BQ26" i="7"/>
  <c r="BR26" i="7" s="1"/>
  <c r="CC26" i="7" s="1"/>
  <c r="BQ91" i="7"/>
  <c r="BR91" i="7" s="1"/>
  <c r="CC140" i="7"/>
  <c r="BQ43" i="7"/>
  <c r="BR43" i="7" s="1"/>
  <c r="CC43" i="7" s="1"/>
  <c r="CH79" i="7"/>
  <c r="CH71" i="7"/>
  <c r="F53" i="9" s="1"/>
  <c r="CJ71" i="7"/>
  <c r="CH23" i="7"/>
  <c r="CJ23" i="7"/>
  <c r="BQ79" i="7"/>
  <c r="BR79" i="7" s="1"/>
  <c r="CH22" i="7"/>
  <c r="CJ22" i="7"/>
  <c r="BQ80" i="7"/>
  <c r="CF80" i="7"/>
  <c r="CF27" i="7"/>
  <c r="BQ22" i="7"/>
  <c r="BR22" i="7" s="1"/>
  <c r="CC22" i="7" s="1"/>
  <c r="BQ23" i="7"/>
  <c r="BR23" i="7" s="1"/>
  <c r="CC23" i="7" s="1"/>
  <c r="BQ44" i="7"/>
  <c r="BR44" i="7" s="1"/>
  <c r="CC44" i="7" s="1"/>
  <c r="CF44" i="7"/>
  <c r="BQ75" i="7"/>
  <c r="BR75" i="7" s="1"/>
  <c r="CC75" i="7" s="1"/>
  <c r="CC83" i="7"/>
  <c r="BQ63" i="7"/>
  <c r="BR63" i="7" s="1"/>
  <c r="CC63" i="7" s="1"/>
  <c r="CF19" i="7"/>
  <c r="CH87" i="7"/>
  <c r="BQ87" i="7"/>
  <c r="BR87" i="7" s="1"/>
  <c r="CC87" i="7" s="1"/>
  <c r="BQ76" i="7"/>
  <c r="BR76" i="7" s="1"/>
  <c r="CF76" i="7"/>
  <c r="CJ76" i="7" s="1"/>
  <c r="CB79" i="7"/>
  <c r="CB76" i="7"/>
  <c r="BQ35" i="7"/>
  <c r="BR35" i="7" s="1"/>
  <c r="BQ64" i="7"/>
  <c r="BR64" i="7" s="1"/>
  <c r="CC64" i="7" s="1"/>
  <c r="CF64" i="7"/>
  <c r="BQ19" i="7"/>
  <c r="BR19" i="7" s="1"/>
  <c r="CC19" i="7" s="1"/>
  <c r="BQ51" i="7"/>
  <c r="BR51" i="7" s="1"/>
  <c r="CC51" i="7" s="1"/>
  <c r="CF18" i="7"/>
  <c r="CF88" i="7"/>
  <c r="CJ88" i="7" s="1"/>
  <c r="G57" i="9" s="1"/>
  <c r="BQ88" i="7"/>
  <c r="BR88" i="7" s="1"/>
  <c r="CB91" i="7"/>
  <c r="CB88" i="7"/>
  <c r="BQ92" i="7"/>
  <c r="BR92" i="7" s="1"/>
  <c r="CC92" i="7" s="1"/>
  <c r="CF92" i="7"/>
  <c r="CJ92" i="7" s="1"/>
  <c r="G58" i="9" s="1"/>
  <c r="BQ36" i="7"/>
  <c r="BR36" i="7" s="1"/>
  <c r="CC143" i="7"/>
  <c r="CC134" i="7"/>
  <c r="CC131" i="7"/>
  <c r="CB60" i="7"/>
  <c r="BQ52" i="7"/>
  <c r="BR52" i="7" s="1"/>
  <c r="CF52" i="7"/>
  <c r="CC165" i="7"/>
  <c r="BR123" i="7"/>
  <c r="CF14" i="7"/>
  <c r="CF60" i="7"/>
  <c r="CC128" i="7"/>
  <c r="CK55" i="7"/>
  <c r="CC137" i="7"/>
  <c r="CB55" i="7"/>
  <c r="CC55" i="7" s="1"/>
  <c r="CB52" i="7"/>
  <c r="CC171" i="7"/>
  <c r="CC168" i="7"/>
  <c r="CB146" i="7"/>
  <c r="CC146" i="7" s="1"/>
  <c r="BQ15" i="7"/>
  <c r="BR15" i="7" s="1"/>
  <c r="CC15" i="7" s="1"/>
  <c r="CF15" i="7"/>
  <c r="CJ15" i="7" s="1"/>
  <c r="CI197" i="7"/>
  <c r="BR149" i="7"/>
  <c r="CC191" i="7"/>
  <c r="CC67" i="7"/>
  <c r="CB187" i="7"/>
  <c r="CC47" i="7"/>
  <c r="BM197" i="7"/>
  <c r="CC71" i="7"/>
  <c r="CK67" i="7"/>
  <c r="CB177" i="7"/>
  <c r="BQ177" i="7"/>
  <c r="BQ181" i="7"/>
  <c r="BT181" i="7"/>
  <c r="CC181" i="7" s="1"/>
  <c r="CC179" i="7"/>
  <c r="CH83" i="7"/>
  <c r="BQ123" i="7"/>
  <c r="CC185" i="7"/>
  <c r="BQ187" i="7"/>
  <c r="CH26" i="7"/>
  <c r="BR14" i="7"/>
  <c r="CC183" i="7"/>
  <c r="BT187" i="7"/>
  <c r="BT177" i="7"/>
  <c r="CC151" i="7"/>
  <c r="BQ195" i="7"/>
  <c r="BT189" i="7"/>
  <c r="BT125" i="7"/>
  <c r="BQ149" i="7"/>
  <c r="BT123" i="7"/>
  <c r="CC123" i="7" s="1"/>
  <c r="CC40" i="7"/>
  <c r="BT188" i="6"/>
  <c r="G54" i="9" l="1"/>
  <c r="G52" i="26"/>
  <c r="G58" i="26" s="1"/>
  <c r="BR80" i="7"/>
  <c r="BQ94" i="7"/>
  <c r="CC39" i="7"/>
  <c r="CK91" i="7"/>
  <c r="CJ64" i="7"/>
  <c r="G51" i="9" s="1"/>
  <c r="CH64" i="7"/>
  <c r="F51" i="9" s="1"/>
  <c r="CH60" i="7"/>
  <c r="CJ60" i="7"/>
  <c r="G50" i="9" s="1"/>
  <c r="CH52" i="7"/>
  <c r="CJ52" i="7"/>
  <c r="G48" i="9" s="1"/>
  <c r="CH44" i="7"/>
  <c r="F46" i="9" s="1"/>
  <c r="CJ44" i="7"/>
  <c r="G46" i="9" s="1"/>
  <c r="BR29" i="7"/>
  <c r="CC91" i="7"/>
  <c r="F44" i="9"/>
  <c r="CK43" i="7"/>
  <c r="CK79" i="7"/>
  <c r="F42" i="9"/>
  <c r="G42" i="9"/>
  <c r="CC79" i="7"/>
  <c r="F45" i="9"/>
  <c r="H45" i="9" s="1"/>
  <c r="I45" i="9" s="1"/>
  <c r="CK47" i="7"/>
  <c r="F47" i="9"/>
  <c r="H47" i="9" s="1"/>
  <c r="I47" i="9" s="1"/>
  <c r="CK22" i="7"/>
  <c r="G44" i="9"/>
  <c r="H53" i="9"/>
  <c r="I53" i="9" s="1"/>
  <c r="CK83" i="7"/>
  <c r="F56" i="9"/>
  <c r="H56" i="9" s="1"/>
  <c r="I56" i="9" s="1"/>
  <c r="CH27" i="7"/>
  <c r="F43" i="9" s="1"/>
  <c r="CJ27" i="7"/>
  <c r="G43" i="9" s="1"/>
  <c r="CH80" i="7"/>
  <c r="F55" i="9" s="1"/>
  <c r="CJ80" i="7"/>
  <c r="G55" i="9" s="1"/>
  <c r="CH18" i="7"/>
  <c r="CJ18" i="7"/>
  <c r="CK71" i="7"/>
  <c r="CH19" i="7"/>
  <c r="CJ19" i="7"/>
  <c r="CK36" i="7"/>
  <c r="CC35" i="7"/>
  <c r="CH14" i="7"/>
  <c r="CJ14" i="7"/>
  <c r="G40" i="9" s="1"/>
  <c r="CK40" i="7"/>
  <c r="CK63" i="7"/>
  <c r="CK35" i="7"/>
  <c r="CK87" i="7"/>
  <c r="CK51" i="7"/>
  <c r="CK75" i="7"/>
  <c r="CC76" i="7"/>
  <c r="CB149" i="7"/>
  <c r="CH76" i="7"/>
  <c r="CC52" i="7"/>
  <c r="CC88" i="7"/>
  <c r="CH88" i="7"/>
  <c r="F57" i="9" s="1"/>
  <c r="H57" i="9" s="1"/>
  <c r="I57" i="9" s="1"/>
  <c r="CH92" i="7"/>
  <c r="F58" i="9" s="1"/>
  <c r="H58" i="9" s="1"/>
  <c r="I58" i="9" s="1"/>
  <c r="CC36" i="7"/>
  <c r="CK26" i="7"/>
  <c r="BQ29" i="7"/>
  <c r="F48" i="9"/>
  <c r="CC187" i="7"/>
  <c r="CB94" i="7"/>
  <c r="CB197" i="7" s="1"/>
  <c r="CH15" i="7"/>
  <c r="CC177" i="7"/>
  <c r="CC14" i="7"/>
  <c r="CC189" i="7"/>
  <c r="BT195" i="7"/>
  <c r="CC195" i="7" s="1"/>
  <c r="CK39" i="7"/>
  <c r="BT149" i="7"/>
  <c r="CC125" i="7"/>
  <c r="CK79" i="6"/>
  <c r="CI79" i="6"/>
  <c r="CK76" i="6"/>
  <c r="CI76" i="6"/>
  <c r="CK73" i="6"/>
  <c r="CI73" i="6"/>
  <c r="CK70" i="6"/>
  <c r="CI70" i="6"/>
  <c r="CK67" i="6"/>
  <c r="CI67" i="6"/>
  <c r="CK64" i="6"/>
  <c r="CI64" i="6"/>
  <c r="CK61" i="6"/>
  <c r="CI61" i="6"/>
  <c r="CK58" i="6"/>
  <c r="CI58" i="6"/>
  <c r="CK55" i="6"/>
  <c r="CI55" i="6"/>
  <c r="CK52" i="6"/>
  <c r="CI52" i="6"/>
  <c r="CK49" i="6"/>
  <c r="CI49" i="6"/>
  <c r="CK46" i="6"/>
  <c r="CI46" i="6"/>
  <c r="CK43" i="6"/>
  <c r="CI43" i="6"/>
  <c r="CK39" i="6"/>
  <c r="CI39" i="6"/>
  <c r="CK35" i="6"/>
  <c r="CI35" i="6"/>
  <c r="CK26" i="6"/>
  <c r="CI26" i="6"/>
  <c r="CK22" i="6"/>
  <c r="CI22" i="6"/>
  <c r="CK18" i="6"/>
  <c r="CI18" i="6"/>
  <c r="CK15" i="6"/>
  <c r="CI15" i="6"/>
  <c r="CK14" i="6"/>
  <c r="CI14" i="6"/>
  <c r="CK180" i="6"/>
  <c r="CL180" i="6" s="1"/>
  <c r="CK178" i="6"/>
  <c r="CL178" i="6" s="1"/>
  <c r="CK176" i="6"/>
  <c r="CL176" i="6" s="1"/>
  <c r="CK171" i="6"/>
  <c r="CL172" i="6" s="1"/>
  <c r="CK170" i="6"/>
  <c r="CL170" i="6" s="1"/>
  <c r="CK166" i="6"/>
  <c r="CL166" i="6" s="1"/>
  <c r="CK161" i="6"/>
  <c r="CL161" i="6" s="1"/>
  <c r="CL158" i="6"/>
  <c r="CK158" i="6"/>
  <c r="CK155" i="6"/>
  <c r="CK152" i="6"/>
  <c r="CL152" i="6" s="1"/>
  <c r="CK149" i="6"/>
  <c r="CL149" i="6" s="1"/>
  <c r="CL146" i="6"/>
  <c r="CK146" i="6"/>
  <c r="CL143" i="6"/>
  <c r="CK143" i="6"/>
  <c r="CL140" i="6"/>
  <c r="CK140" i="6"/>
  <c r="CK138" i="6"/>
  <c r="CL138" i="6" s="1"/>
  <c r="CK133" i="6"/>
  <c r="CL133" i="6" s="1"/>
  <c r="CK130" i="6"/>
  <c r="CL130" i="6" s="1"/>
  <c r="CK127" i="6"/>
  <c r="CL127" i="6" s="1"/>
  <c r="CK124" i="6"/>
  <c r="CL124" i="6" s="1"/>
  <c r="CK121" i="6"/>
  <c r="CL121" i="6" s="1"/>
  <c r="CK118" i="6"/>
  <c r="CL118" i="6" s="1"/>
  <c r="CK115" i="6"/>
  <c r="CL115" i="6" s="1"/>
  <c r="CK112" i="6"/>
  <c r="CL112" i="6" s="1"/>
  <c r="CK107" i="6"/>
  <c r="CL107" i="6" s="1"/>
  <c r="CK104" i="6"/>
  <c r="CL104" i="6" s="1"/>
  <c r="CK101" i="6"/>
  <c r="CL101" i="6" s="1"/>
  <c r="CK98" i="6"/>
  <c r="CL98" i="6" s="1"/>
  <c r="CK95" i="6"/>
  <c r="CL95" i="6" s="1"/>
  <c r="CK92" i="6"/>
  <c r="CL92" i="6" s="1"/>
  <c r="CK89" i="6"/>
  <c r="CL89" i="6" s="1"/>
  <c r="CK86" i="6"/>
  <c r="CL86" i="6" s="1"/>
  <c r="CK83" i="6"/>
  <c r="CL83" i="6" s="1"/>
  <c r="BI33" i="6"/>
  <c r="BJ33" i="6" s="1"/>
  <c r="BK33" i="6" s="1"/>
  <c r="BL33" i="6" s="1"/>
  <c r="BM33" i="6" s="1"/>
  <c r="BN33" i="6" s="1"/>
  <c r="BE33" i="6"/>
  <c r="BF33" i="6" s="1"/>
  <c r="BG33" i="6" s="1"/>
  <c r="BI10" i="6"/>
  <c r="BJ10" i="6" s="1"/>
  <c r="BK10" i="6" s="1"/>
  <c r="BL10" i="6" s="1"/>
  <c r="BM10" i="6" s="1"/>
  <c r="BN10" i="6" s="1"/>
  <c r="BE10" i="6"/>
  <c r="BF10" i="6" s="1"/>
  <c r="BG10" i="6" s="1"/>
  <c r="BN182" i="6"/>
  <c r="BM182" i="6"/>
  <c r="BL182" i="6"/>
  <c r="BK182" i="6"/>
  <c r="BJ182" i="6"/>
  <c r="BI182" i="6"/>
  <c r="BH182" i="6"/>
  <c r="BG182" i="6"/>
  <c r="BF182" i="6"/>
  <c r="BE182" i="6"/>
  <c r="BD182" i="6"/>
  <c r="BC182" i="6"/>
  <c r="BB182" i="6"/>
  <c r="BA182" i="6"/>
  <c r="AZ182" i="6"/>
  <c r="AY182" i="6"/>
  <c r="AX182" i="6"/>
  <c r="AW182" i="6"/>
  <c r="AV182" i="6"/>
  <c r="AU182" i="6"/>
  <c r="AT182" i="6"/>
  <c r="AS182" i="6"/>
  <c r="AR182" i="6"/>
  <c r="AQ182" i="6"/>
  <c r="AP182" i="6"/>
  <c r="AO182" i="6"/>
  <c r="AN182" i="6"/>
  <c r="AM182" i="6"/>
  <c r="AL182" i="6"/>
  <c r="AK182" i="6"/>
  <c r="AJ182" i="6"/>
  <c r="AI182" i="6"/>
  <c r="AH182" i="6"/>
  <c r="AG182" i="6"/>
  <c r="AF182" i="6"/>
  <c r="AE182" i="6"/>
  <c r="AD182" i="6"/>
  <c r="AC182" i="6"/>
  <c r="AB182" i="6"/>
  <c r="AA182" i="6"/>
  <c r="Z182" i="6"/>
  <c r="Y182" i="6"/>
  <c r="X182" i="6"/>
  <c r="W182" i="6"/>
  <c r="V182" i="6"/>
  <c r="U182" i="6"/>
  <c r="T182" i="6"/>
  <c r="S182" i="6"/>
  <c r="R182" i="6"/>
  <c r="Q182" i="6"/>
  <c r="P182" i="6"/>
  <c r="O182" i="6"/>
  <c r="N182" i="6"/>
  <c r="M182" i="6"/>
  <c r="L182" i="6"/>
  <c r="K182" i="6"/>
  <c r="J182" i="6"/>
  <c r="I182" i="6"/>
  <c r="H182" i="6"/>
  <c r="G182" i="6"/>
  <c r="F182" i="6"/>
  <c r="CI180" i="6"/>
  <c r="CJ180" i="6" s="1"/>
  <c r="CG180" i="6"/>
  <c r="BR180" i="6"/>
  <c r="BT180" i="6" s="1"/>
  <c r="BO180" i="6"/>
  <c r="CA180" i="6" s="1"/>
  <c r="CD180" i="6" s="1"/>
  <c r="CI178" i="6"/>
  <c r="CJ178" i="6" s="1"/>
  <c r="CG178" i="6"/>
  <c r="BR178" i="6"/>
  <c r="BT178" i="6" s="1"/>
  <c r="BO178" i="6"/>
  <c r="CA178" i="6" s="1"/>
  <c r="CD178" i="6" s="1"/>
  <c r="CI176" i="6"/>
  <c r="CJ176" i="6" s="1"/>
  <c r="CG176" i="6"/>
  <c r="BR176" i="6"/>
  <c r="BT176" i="6" s="1"/>
  <c r="BO176" i="6"/>
  <c r="CA176" i="6" s="1"/>
  <c r="CD176" i="6" s="1"/>
  <c r="BN174" i="6"/>
  <c r="BM174" i="6"/>
  <c r="BL174" i="6"/>
  <c r="BK174" i="6"/>
  <c r="BJ174" i="6"/>
  <c r="BI174" i="6"/>
  <c r="BH174" i="6"/>
  <c r="BG174" i="6"/>
  <c r="BF174" i="6"/>
  <c r="BE174" i="6"/>
  <c r="BD174" i="6"/>
  <c r="BC174" i="6"/>
  <c r="BB174" i="6"/>
  <c r="BA174" i="6"/>
  <c r="AZ174" i="6"/>
  <c r="AY174" i="6"/>
  <c r="AX174" i="6"/>
  <c r="AW174" i="6"/>
  <c r="AV174" i="6"/>
  <c r="AU174" i="6"/>
  <c r="AT174" i="6"/>
  <c r="AS174" i="6"/>
  <c r="AR174" i="6"/>
  <c r="AQ174" i="6"/>
  <c r="AP174" i="6"/>
  <c r="AO174" i="6"/>
  <c r="AN174" i="6"/>
  <c r="AM174" i="6"/>
  <c r="AL174" i="6"/>
  <c r="AK174" i="6"/>
  <c r="AJ174" i="6"/>
  <c r="AI174" i="6"/>
  <c r="AH174" i="6"/>
  <c r="AG174" i="6"/>
  <c r="AF174" i="6"/>
  <c r="AE174" i="6"/>
  <c r="AD174" i="6"/>
  <c r="AC174" i="6"/>
  <c r="AB174" i="6"/>
  <c r="AA174" i="6"/>
  <c r="Z174" i="6"/>
  <c r="Y174" i="6"/>
  <c r="X174" i="6"/>
  <c r="W174" i="6"/>
  <c r="V174" i="6"/>
  <c r="U174" i="6"/>
  <c r="T174" i="6"/>
  <c r="S174" i="6"/>
  <c r="R174" i="6"/>
  <c r="Q174" i="6"/>
  <c r="P174" i="6"/>
  <c r="O174" i="6"/>
  <c r="N174" i="6"/>
  <c r="M174" i="6"/>
  <c r="L174" i="6"/>
  <c r="K174" i="6"/>
  <c r="J174" i="6"/>
  <c r="I174" i="6"/>
  <c r="H174" i="6"/>
  <c r="G174" i="6"/>
  <c r="F174" i="6"/>
  <c r="CG172" i="6"/>
  <c r="BT172" i="6"/>
  <c r="BP172" i="6"/>
  <c r="BO172" i="6"/>
  <c r="BS172" i="6" s="1"/>
  <c r="BV172" i="6" s="1"/>
  <c r="CI171" i="6"/>
  <c r="CJ172" i="6" s="1"/>
  <c r="CI170" i="6"/>
  <c r="CJ170" i="6" s="1"/>
  <c r="CG170" i="6"/>
  <c r="BP170" i="6"/>
  <c r="BR170" i="6" s="1"/>
  <c r="BT170" i="6" s="1"/>
  <c r="BO170" i="6"/>
  <c r="CD168" i="6"/>
  <c r="BN168" i="6"/>
  <c r="BM168" i="6"/>
  <c r="BL168" i="6"/>
  <c r="BK168" i="6"/>
  <c r="BJ168" i="6"/>
  <c r="BI168" i="6"/>
  <c r="BH168" i="6"/>
  <c r="BG168" i="6"/>
  <c r="BF168" i="6"/>
  <c r="BE168" i="6"/>
  <c r="BD168" i="6"/>
  <c r="BC168" i="6"/>
  <c r="BB168" i="6"/>
  <c r="BA168" i="6"/>
  <c r="AZ168" i="6"/>
  <c r="AY168" i="6"/>
  <c r="AX168" i="6"/>
  <c r="AW168" i="6"/>
  <c r="AV168" i="6"/>
  <c r="AU168" i="6"/>
  <c r="AT168" i="6"/>
  <c r="AS168" i="6"/>
  <c r="AR168" i="6"/>
  <c r="AQ168" i="6"/>
  <c r="AP168" i="6"/>
  <c r="AO168" i="6"/>
  <c r="AN168" i="6"/>
  <c r="AM168" i="6"/>
  <c r="AL168" i="6"/>
  <c r="AK168" i="6"/>
  <c r="AJ168" i="6"/>
  <c r="AI168" i="6"/>
  <c r="AH168" i="6"/>
  <c r="AG168" i="6"/>
  <c r="AF168" i="6"/>
  <c r="AE168" i="6"/>
  <c r="AD168" i="6"/>
  <c r="AC168" i="6"/>
  <c r="AB168" i="6"/>
  <c r="AA168" i="6"/>
  <c r="Z168" i="6"/>
  <c r="Y168" i="6"/>
  <c r="X168" i="6"/>
  <c r="W168" i="6"/>
  <c r="V168" i="6"/>
  <c r="U168" i="6"/>
  <c r="T168" i="6"/>
  <c r="S168" i="6"/>
  <c r="R168" i="6"/>
  <c r="Q168" i="6"/>
  <c r="P168" i="6"/>
  <c r="O168" i="6"/>
  <c r="N168" i="6"/>
  <c r="M168" i="6"/>
  <c r="L168" i="6"/>
  <c r="K168" i="6"/>
  <c r="J168" i="6"/>
  <c r="I168" i="6"/>
  <c r="H168" i="6"/>
  <c r="G168" i="6"/>
  <c r="F168" i="6"/>
  <c r="CI166" i="6"/>
  <c r="CJ166" i="6" s="1"/>
  <c r="CG166" i="6"/>
  <c r="BR166" i="6"/>
  <c r="BT166" i="6" s="1"/>
  <c r="BT168" i="6" s="1"/>
  <c r="BO166" i="6"/>
  <c r="BO168" i="6" s="1"/>
  <c r="BN164" i="6"/>
  <c r="BM164" i="6"/>
  <c r="BL164" i="6"/>
  <c r="BK164" i="6"/>
  <c r="BJ164" i="6"/>
  <c r="BI164" i="6"/>
  <c r="BH164" i="6"/>
  <c r="BG164" i="6"/>
  <c r="BF164" i="6"/>
  <c r="BE164" i="6"/>
  <c r="BD164" i="6"/>
  <c r="BC164" i="6"/>
  <c r="BB164" i="6"/>
  <c r="BA164" i="6"/>
  <c r="AZ164" i="6"/>
  <c r="AY164" i="6"/>
  <c r="AX164" i="6"/>
  <c r="AW164" i="6"/>
  <c r="AV164" i="6"/>
  <c r="AU164" i="6"/>
  <c r="AT164" i="6"/>
  <c r="AS164" i="6"/>
  <c r="AR164" i="6"/>
  <c r="AQ164" i="6"/>
  <c r="AP164" i="6"/>
  <c r="AO164" i="6"/>
  <c r="AN164" i="6"/>
  <c r="AM164" i="6"/>
  <c r="AL164" i="6"/>
  <c r="AK164" i="6"/>
  <c r="AJ164" i="6"/>
  <c r="AI164" i="6"/>
  <c r="AH164" i="6"/>
  <c r="AG164" i="6"/>
  <c r="AF164" i="6"/>
  <c r="AE164" i="6"/>
  <c r="AD164" i="6"/>
  <c r="AC164" i="6"/>
  <c r="AB164" i="6"/>
  <c r="AA164" i="6"/>
  <c r="Z164" i="6"/>
  <c r="Y164" i="6"/>
  <c r="X164" i="6"/>
  <c r="W164" i="6"/>
  <c r="V164" i="6"/>
  <c r="U164" i="6"/>
  <c r="T164" i="6"/>
  <c r="S164" i="6"/>
  <c r="R164" i="6"/>
  <c r="Q164" i="6"/>
  <c r="P164" i="6"/>
  <c r="O164" i="6"/>
  <c r="N164" i="6"/>
  <c r="M164" i="6"/>
  <c r="L164" i="6"/>
  <c r="K164" i="6"/>
  <c r="J164" i="6"/>
  <c r="I164" i="6"/>
  <c r="H164" i="6"/>
  <c r="G164" i="6"/>
  <c r="F164" i="6"/>
  <c r="CI161" i="6"/>
  <c r="CJ161" i="6" s="1"/>
  <c r="CG161" i="6"/>
  <c r="BY161" i="6"/>
  <c r="BR161" i="6"/>
  <c r="BT161" i="6" s="1"/>
  <c r="BO161" i="6"/>
  <c r="CI158" i="6"/>
  <c r="CJ158" i="6" s="1"/>
  <c r="CG158" i="6"/>
  <c r="BY158" i="6"/>
  <c r="BR158" i="6"/>
  <c r="BT158" i="6" s="1"/>
  <c r="BO158" i="6"/>
  <c r="CI155" i="6"/>
  <c r="CG155" i="6"/>
  <c r="BY155" i="6"/>
  <c r="BR155" i="6"/>
  <c r="BT155" i="6" s="1"/>
  <c r="BO155" i="6"/>
  <c r="CI152" i="6"/>
  <c r="CJ152" i="6" s="1"/>
  <c r="CG152" i="6"/>
  <c r="BY152" i="6"/>
  <c r="BR152" i="6"/>
  <c r="BT152" i="6" s="1"/>
  <c r="BO152" i="6"/>
  <c r="CI149" i="6"/>
  <c r="CJ149" i="6" s="1"/>
  <c r="CG149" i="6"/>
  <c r="BY149" i="6"/>
  <c r="BT149" i="6"/>
  <c r="BQ149" i="6"/>
  <c r="BO149" i="6"/>
  <c r="BS149" i="6" s="1"/>
  <c r="BV149" i="6" s="1"/>
  <c r="CJ146" i="6"/>
  <c r="CI146" i="6"/>
  <c r="CG146" i="6"/>
  <c r="BY146" i="6"/>
  <c r="BV146" i="6"/>
  <c r="BR146" i="6"/>
  <c r="BT146" i="6" s="1"/>
  <c r="BO146" i="6"/>
  <c r="CJ143" i="6"/>
  <c r="CI143" i="6"/>
  <c r="CG143" i="6"/>
  <c r="BY143" i="6"/>
  <c r="BV143" i="6"/>
  <c r="BR143" i="6"/>
  <c r="BT143" i="6" s="1"/>
  <c r="BO143" i="6"/>
  <c r="CJ140" i="6"/>
  <c r="CI140" i="6"/>
  <c r="BY140" i="6"/>
  <c r="BV140" i="6"/>
  <c r="BR140" i="6"/>
  <c r="BT140" i="6" s="1"/>
  <c r="BO140" i="6"/>
  <c r="CI138" i="6"/>
  <c r="CJ138" i="6" s="1"/>
  <c r="BY138" i="6"/>
  <c r="BR138" i="6"/>
  <c r="BO138" i="6"/>
  <c r="BO164" i="6" s="1"/>
  <c r="BN136" i="6"/>
  <c r="BM136" i="6"/>
  <c r="BL136" i="6"/>
  <c r="BK136" i="6"/>
  <c r="BJ136" i="6"/>
  <c r="BI136" i="6"/>
  <c r="BH136" i="6"/>
  <c r="BG136" i="6"/>
  <c r="BF136" i="6"/>
  <c r="BE136" i="6"/>
  <c r="BD136" i="6"/>
  <c r="BC136" i="6"/>
  <c r="BB136" i="6"/>
  <c r="BA136" i="6"/>
  <c r="AZ136" i="6"/>
  <c r="AY136" i="6"/>
  <c r="AX136" i="6"/>
  <c r="AW136" i="6"/>
  <c r="AV136" i="6"/>
  <c r="AU136" i="6"/>
  <c r="AT136" i="6"/>
  <c r="AS136" i="6"/>
  <c r="AR136" i="6"/>
  <c r="AQ136" i="6"/>
  <c r="AP136" i="6"/>
  <c r="AO136" i="6"/>
  <c r="AN136" i="6"/>
  <c r="AM136" i="6"/>
  <c r="AL136" i="6"/>
  <c r="AK136" i="6"/>
  <c r="AJ136" i="6"/>
  <c r="AI136" i="6"/>
  <c r="AH136" i="6"/>
  <c r="AG136" i="6"/>
  <c r="AF136" i="6"/>
  <c r="AE136" i="6"/>
  <c r="AD136" i="6"/>
  <c r="AC136" i="6"/>
  <c r="AB136" i="6"/>
  <c r="AA136" i="6"/>
  <c r="Z136" i="6"/>
  <c r="Y136" i="6"/>
  <c r="X136" i="6"/>
  <c r="W136" i="6"/>
  <c r="V136" i="6"/>
  <c r="U136" i="6"/>
  <c r="T136" i="6"/>
  <c r="S136" i="6"/>
  <c r="R136" i="6"/>
  <c r="Q136" i="6"/>
  <c r="P136" i="6"/>
  <c r="O136" i="6"/>
  <c r="N136" i="6"/>
  <c r="M136" i="6"/>
  <c r="L136" i="6"/>
  <c r="K136" i="6"/>
  <c r="J136" i="6"/>
  <c r="I136" i="6"/>
  <c r="H136" i="6"/>
  <c r="G136" i="6"/>
  <c r="F136" i="6"/>
  <c r="BR134" i="6"/>
  <c r="BT134" i="6" s="1"/>
  <c r="BO134" i="6"/>
  <c r="CI133" i="6"/>
  <c r="CJ133" i="6" s="1"/>
  <c r="CG133" i="6"/>
  <c r="BY133" i="6"/>
  <c r="BR133" i="6"/>
  <c r="BT133" i="6" s="1"/>
  <c r="BO133" i="6"/>
  <c r="CI130" i="6"/>
  <c r="CJ130" i="6" s="1"/>
  <c r="CG130" i="6"/>
  <c r="BY130" i="6"/>
  <c r="BP130" i="6"/>
  <c r="BR130" i="6" s="1"/>
  <c r="BO130" i="6"/>
  <c r="CI127" i="6"/>
  <c r="CJ127" i="6" s="1"/>
  <c r="CG127" i="6"/>
  <c r="BY127" i="6"/>
  <c r="BR127" i="6"/>
  <c r="BT127" i="6" s="1"/>
  <c r="BO127" i="6"/>
  <c r="CI124" i="6"/>
  <c r="CJ124" i="6" s="1"/>
  <c r="CG124" i="6"/>
  <c r="BY124" i="6"/>
  <c r="BR124" i="6"/>
  <c r="BT124" i="6" s="1"/>
  <c r="BO124" i="6"/>
  <c r="CI121" i="6"/>
  <c r="CJ121" i="6" s="1"/>
  <c r="CG121" i="6"/>
  <c r="BY121" i="6"/>
  <c r="BR121" i="6"/>
  <c r="BT121" i="6" s="1"/>
  <c r="BO121" i="6"/>
  <c r="CI118" i="6"/>
  <c r="CJ118" i="6" s="1"/>
  <c r="BY118" i="6"/>
  <c r="BR118" i="6"/>
  <c r="BT118" i="6" s="1"/>
  <c r="BO118" i="6"/>
  <c r="CI115" i="6"/>
  <c r="CJ115" i="6" s="1"/>
  <c r="BY115" i="6"/>
  <c r="BR115" i="6"/>
  <c r="BT115" i="6" s="1"/>
  <c r="BO115" i="6"/>
  <c r="CI112" i="6"/>
  <c r="CJ112" i="6" s="1"/>
  <c r="BY112" i="6"/>
  <c r="BT112" i="6"/>
  <c r="BO112" i="6"/>
  <c r="CD110" i="6"/>
  <c r="BN110" i="6"/>
  <c r="BM110" i="6"/>
  <c r="BL110" i="6"/>
  <c r="BK110" i="6"/>
  <c r="BJ110" i="6"/>
  <c r="BI110" i="6"/>
  <c r="BH110" i="6"/>
  <c r="BG110" i="6"/>
  <c r="BF110" i="6"/>
  <c r="BE110" i="6"/>
  <c r="BD110" i="6"/>
  <c r="BC110" i="6"/>
  <c r="BB110" i="6"/>
  <c r="BA110" i="6"/>
  <c r="AZ110" i="6"/>
  <c r="AY110" i="6"/>
  <c r="AX110" i="6"/>
  <c r="AW110" i="6"/>
  <c r="AV110" i="6"/>
  <c r="AU110" i="6"/>
  <c r="AT110" i="6"/>
  <c r="AS110" i="6"/>
  <c r="AR110" i="6"/>
  <c r="AQ110" i="6"/>
  <c r="AP110" i="6"/>
  <c r="AO110" i="6"/>
  <c r="AN110" i="6"/>
  <c r="AM110" i="6"/>
  <c r="AL110" i="6"/>
  <c r="AK110" i="6"/>
  <c r="AJ110" i="6"/>
  <c r="AI110" i="6"/>
  <c r="AH110" i="6"/>
  <c r="AG110" i="6"/>
  <c r="AF110" i="6"/>
  <c r="AE110" i="6"/>
  <c r="AD110" i="6"/>
  <c r="AC110" i="6"/>
  <c r="AB110" i="6"/>
  <c r="AA110" i="6"/>
  <c r="Z110" i="6"/>
  <c r="Y110" i="6"/>
  <c r="X110" i="6"/>
  <c r="W110" i="6"/>
  <c r="V110" i="6"/>
  <c r="U110" i="6"/>
  <c r="T110" i="6"/>
  <c r="S110" i="6"/>
  <c r="R110" i="6"/>
  <c r="Q110" i="6"/>
  <c r="P110" i="6"/>
  <c r="O110" i="6"/>
  <c r="N110" i="6"/>
  <c r="M110" i="6"/>
  <c r="L110" i="6"/>
  <c r="K110" i="6"/>
  <c r="J110" i="6"/>
  <c r="I110" i="6"/>
  <c r="H110" i="6"/>
  <c r="G110" i="6"/>
  <c r="F110" i="6"/>
  <c r="CI107" i="6"/>
  <c r="CJ107" i="6" s="1"/>
  <c r="CG107" i="6"/>
  <c r="BR107" i="6"/>
  <c r="BT107" i="6" s="1"/>
  <c r="BO107" i="6"/>
  <c r="CA107" i="6" s="1"/>
  <c r="CI104" i="6"/>
  <c r="CJ104" i="6" s="1"/>
  <c r="CG104" i="6"/>
  <c r="BR104" i="6"/>
  <c r="BO104" i="6"/>
  <c r="CA104" i="6" s="1"/>
  <c r="CI101" i="6"/>
  <c r="CJ101" i="6" s="1"/>
  <c r="CG101" i="6"/>
  <c r="BR101" i="6"/>
  <c r="BT101" i="6" s="1"/>
  <c r="BO101" i="6"/>
  <c r="CA101" i="6" s="1"/>
  <c r="CI98" i="6"/>
  <c r="CJ98" i="6" s="1"/>
  <c r="CG98" i="6"/>
  <c r="BR98" i="6"/>
  <c r="BT98" i="6" s="1"/>
  <c r="BO98" i="6"/>
  <c r="CA98" i="6" s="1"/>
  <c r="CI95" i="6"/>
  <c r="CJ95" i="6" s="1"/>
  <c r="CG95" i="6"/>
  <c r="BR95" i="6"/>
  <c r="BT95" i="6" s="1"/>
  <c r="BO95" i="6"/>
  <c r="CI92" i="6"/>
  <c r="CJ92" i="6" s="1"/>
  <c r="CG92" i="6"/>
  <c r="BY92" i="6"/>
  <c r="BR92" i="6"/>
  <c r="BT92" i="6" s="1"/>
  <c r="BO92" i="6"/>
  <c r="CI89" i="6"/>
  <c r="CJ89" i="6" s="1"/>
  <c r="CG89" i="6"/>
  <c r="BY89" i="6"/>
  <c r="BR89" i="6"/>
  <c r="BT89" i="6" s="1"/>
  <c r="BO89" i="6"/>
  <c r="CI86" i="6"/>
  <c r="CJ86" i="6" s="1"/>
  <c r="CG86" i="6"/>
  <c r="BY86" i="6"/>
  <c r="BR86" i="6"/>
  <c r="BT86" i="6" s="1"/>
  <c r="BO86" i="6"/>
  <c r="CI83" i="6"/>
  <c r="CJ83" i="6" s="1"/>
  <c r="BY83" i="6"/>
  <c r="BR83" i="6"/>
  <c r="BT83" i="6" s="1"/>
  <c r="BO83" i="6"/>
  <c r="BN81" i="6"/>
  <c r="BM81" i="6"/>
  <c r="BL81" i="6"/>
  <c r="BK81" i="6"/>
  <c r="BJ81" i="6"/>
  <c r="BI81" i="6"/>
  <c r="BH81" i="6"/>
  <c r="BG81" i="6"/>
  <c r="BF81" i="6"/>
  <c r="BE81" i="6"/>
  <c r="BD81" i="6"/>
  <c r="BC81" i="6"/>
  <c r="BB81" i="6"/>
  <c r="BA81" i="6"/>
  <c r="AZ81" i="6"/>
  <c r="AY81" i="6"/>
  <c r="AX81" i="6"/>
  <c r="AW81" i="6"/>
  <c r="AV81" i="6"/>
  <c r="AU81" i="6"/>
  <c r="AT81" i="6"/>
  <c r="AS81" i="6"/>
  <c r="AR81" i="6"/>
  <c r="AQ81" i="6"/>
  <c r="AP81" i="6"/>
  <c r="AO81" i="6"/>
  <c r="AN81" i="6"/>
  <c r="AM81" i="6"/>
  <c r="AL81" i="6"/>
  <c r="AK81" i="6"/>
  <c r="AJ81" i="6"/>
  <c r="AI81" i="6"/>
  <c r="AH81" i="6"/>
  <c r="AG81" i="6"/>
  <c r="AF81" i="6"/>
  <c r="AE81" i="6"/>
  <c r="AD81" i="6"/>
  <c r="AC81" i="6"/>
  <c r="AB81" i="6"/>
  <c r="AA81" i="6"/>
  <c r="Z81" i="6"/>
  <c r="Y81" i="6"/>
  <c r="X81" i="6"/>
  <c r="W81" i="6"/>
  <c r="V81" i="6"/>
  <c r="U81" i="6"/>
  <c r="T81" i="6"/>
  <c r="S81" i="6"/>
  <c r="R81" i="6"/>
  <c r="Q81" i="6"/>
  <c r="P81" i="6"/>
  <c r="O81" i="6"/>
  <c r="N81" i="6"/>
  <c r="M81" i="6"/>
  <c r="L81" i="6"/>
  <c r="K81" i="6"/>
  <c r="J81" i="6"/>
  <c r="I81" i="6"/>
  <c r="H81" i="6"/>
  <c r="G81" i="6"/>
  <c r="F81" i="6"/>
  <c r="BY79" i="6"/>
  <c r="BP79" i="6"/>
  <c r="BR79" i="6" s="1"/>
  <c r="BO79" i="6"/>
  <c r="BY76" i="6"/>
  <c r="BP76" i="6"/>
  <c r="BR76" i="6" s="1"/>
  <c r="BO76" i="6"/>
  <c r="BY73" i="6"/>
  <c r="BP73" i="6"/>
  <c r="BR73" i="6" s="1"/>
  <c r="BO73" i="6"/>
  <c r="BY70" i="6"/>
  <c r="BP70" i="6"/>
  <c r="BR70" i="6" s="1"/>
  <c r="CH70" i="6" s="1"/>
  <c r="BO70" i="6"/>
  <c r="BY67" i="6"/>
  <c r="BP67" i="6"/>
  <c r="BR67" i="6" s="1"/>
  <c r="BO67" i="6"/>
  <c r="BY64" i="6"/>
  <c r="BP64" i="6"/>
  <c r="BR64" i="6" s="1"/>
  <c r="BO64" i="6"/>
  <c r="BY61" i="6"/>
  <c r="BP61" i="6"/>
  <c r="BR61" i="6" s="1"/>
  <c r="BO61" i="6"/>
  <c r="BY58" i="6"/>
  <c r="BP58" i="6"/>
  <c r="BR58" i="6" s="1"/>
  <c r="CH58" i="6" s="1"/>
  <c r="BO58" i="6"/>
  <c r="BY55" i="6"/>
  <c r="BP55" i="6"/>
  <c r="BO55" i="6"/>
  <c r="BY52" i="6"/>
  <c r="BR52" i="6"/>
  <c r="CH52" i="6" s="1"/>
  <c r="BO52" i="6"/>
  <c r="BY49" i="6"/>
  <c r="BP49" i="6"/>
  <c r="BR49" i="6" s="1"/>
  <c r="BO49" i="6"/>
  <c r="BY46" i="6"/>
  <c r="BP46" i="6"/>
  <c r="BR46" i="6" s="1"/>
  <c r="BO46" i="6"/>
  <c r="BY43" i="6"/>
  <c r="BP43" i="6"/>
  <c r="BR43" i="6" s="1"/>
  <c r="BO43" i="6"/>
  <c r="CI40" i="6"/>
  <c r="BY40" i="6"/>
  <c r="BP40" i="6"/>
  <c r="BR40" i="6" s="1"/>
  <c r="BO40" i="6"/>
  <c r="CK40" i="6" s="1"/>
  <c r="BY39" i="6"/>
  <c r="BP39" i="6"/>
  <c r="BR39" i="6" s="1"/>
  <c r="CH39" i="6" s="1"/>
  <c r="BO39" i="6"/>
  <c r="CI36" i="6"/>
  <c r="BY36" i="6"/>
  <c r="BP36" i="6"/>
  <c r="BR36" i="6" s="1"/>
  <c r="BO36" i="6"/>
  <c r="BY35" i="6"/>
  <c r="BP35" i="6"/>
  <c r="BR35" i="6" s="1"/>
  <c r="CH35" i="6" s="1"/>
  <c r="BO35" i="6"/>
  <c r="BN29" i="6"/>
  <c r="BM29" i="6"/>
  <c r="BL29" i="6"/>
  <c r="BK29" i="6"/>
  <c r="BJ29" i="6"/>
  <c r="BI29" i="6"/>
  <c r="BH29" i="6"/>
  <c r="BG29" i="6"/>
  <c r="BF29" i="6"/>
  <c r="BE29" i="6"/>
  <c r="BD29" i="6"/>
  <c r="BC29" i="6"/>
  <c r="BB29" i="6"/>
  <c r="BA29" i="6"/>
  <c r="AZ29" i="6"/>
  <c r="AY29" i="6"/>
  <c r="AX29" i="6"/>
  <c r="AW29" i="6"/>
  <c r="AV29" i="6"/>
  <c r="AU29" i="6"/>
  <c r="AT29" i="6"/>
  <c r="AS29" i="6"/>
  <c r="AR29" i="6"/>
  <c r="AQ29" i="6"/>
  <c r="AP29" i="6"/>
  <c r="AO29" i="6"/>
  <c r="AN29" i="6"/>
  <c r="AM29" i="6"/>
  <c r="AL29" i="6"/>
  <c r="AK29" i="6"/>
  <c r="AJ29" i="6"/>
  <c r="AI29" i="6"/>
  <c r="AH29" i="6"/>
  <c r="AG29" i="6"/>
  <c r="AF29" i="6"/>
  <c r="AE29" i="6"/>
  <c r="AD29" i="6"/>
  <c r="AC29" i="6"/>
  <c r="AB29" i="6"/>
  <c r="AA29" i="6"/>
  <c r="Z29" i="6"/>
  <c r="Y29" i="6"/>
  <c r="X29" i="6"/>
  <c r="W29" i="6"/>
  <c r="V29" i="6"/>
  <c r="U29" i="6"/>
  <c r="T29" i="6"/>
  <c r="S29" i="6"/>
  <c r="R29" i="6"/>
  <c r="Q29" i="6"/>
  <c r="P29" i="6"/>
  <c r="O29" i="6"/>
  <c r="N29" i="6"/>
  <c r="M29" i="6"/>
  <c r="L29" i="6"/>
  <c r="K29" i="6"/>
  <c r="J29" i="6"/>
  <c r="I29" i="6"/>
  <c r="H29" i="6"/>
  <c r="G29" i="6"/>
  <c r="F29" i="6"/>
  <c r="CI27" i="6"/>
  <c r="BP27" i="6"/>
  <c r="BR27" i="6" s="1"/>
  <c r="BO27" i="6"/>
  <c r="CA27" i="6" s="1"/>
  <c r="CD27" i="6" s="1"/>
  <c r="BP26" i="6"/>
  <c r="BR26" i="6" s="1"/>
  <c r="BO26" i="6"/>
  <c r="CA26" i="6" s="1"/>
  <c r="CD26" i="6" s="1"/>
  <c r="CI23" i="6"/>
  <c r="BP23" i="6"/>
  <c r="BR23" i="6" s="1"/>
  <c r="BO23" i="6"/>
  <c r="CA23" i="6" s="1"/>
  <c r="CD23" i="6" s="1"/>
  <c r="BP22" i="6"/>
  <c r="BR22" i="6" s="1"/>
  <c r="BO22" i="6"/>
  <c r="CA22" i="6" s="1"/>
  <c r="CD22" i="6" s="1"/>
  <c r="CI19" i="6"/>
  <c r="BP19" i="6"/>
  <c r="BR19" i="6" s="1"/>
  <c r="BO19" i="6"/>
  <c r="CA19" i="6" s="1"/>
  <c r="CD19" i="6" s="1"/>
  <c r="BP18" i="6"/>
  <c r="BR18" i="6" s="1"/>
  <c r="BO18" i="6"/>
  <c r="CA18" i="6" s="1"/>
  <c r="CD18" i="6" s="1"/>
  <c r="BP15" i="6"/>
  <c r="BR15" i="6" s="1"/>
  <c r="BO15" i="6"/>
  <c r="CA15" i="6" s="1"/>
  <c r="CD15" i="6" s="1"/>
  <c r="BP14" i="6"/>
  <c r="BR14" i="6" s="1"/>
  <c r="CH14" i="6" s="1"/>
  <c r="CL14" i="6" s="1"/>
  <c r="BO14" i="6"/>
  <c r="F54" i="9" l="1"/>
  <c r="H54" i="9" s="1"/>
  <c r="I54" i="9" s="1"/>
  <c r="F52" i="26"/>
  <c r="F50" i="9"/>
  <c r="H50" i="9" s="1"/>
  <c r="I50" i="9" s="1"/>
  <c r="CK60" i="7"/>
  <c r="CC80" i="7"/>
  <c r="BR94" i="7"/>
  <c r="BT91" i="7" s="1"/>
  <c r="H46" i="9"/>
  <c r="I46" i="9" s="1"/>
  <c r="H48" i="9"/>
  <c r="I48" i="9" s="1"/>
  <c r="H43" i="9"/>
  <c r="I43" i="9" s="1"/>
  <c r="H44" i="9"/>
  <c r="I44" i="9" s="1"/>
  <c r="H51" i="9"/>
  <c r="I51" i="9" s="1"/>
  <c r="CK76" i="7"/>
  <c r="H55" i="9"/>
  <c r="I55" i="9" s="1"/>
  <c r="CK18" i="7"/>
  <c r="H42" i="9"/>
  <c r="I42" i="9" s="1"/>
  <c r="CJ94" i="7"/>
  <c r="F41" i="9"/>
  <c r="CK80" i="7"/>
  <c r="G41" i="9"/>
  <c r="G60" i="9" s="1"/>
  <c r="G68" i="9" s="1"/>
  <c r="F40" i="9"/>
  <c r="CK14" i="7"/>
  <c r="CK19" i="7"/>
  <c r="CK44" i="7"/>
  <c r="CC149" i="7"/>
  <c r="BQ197" i="7"/>
  <c r="CK64" i="7"/>
  <c r="EM68" i="7"/>
  <c r="CH94" i="7"/>
  <c r="CK88" i="7"/>
  <c r="CK92" i="7"/>
  <c r="CJ29" i="7"/>
  <c r="CK52" i="7"/>
  <c r="CK15" i="7"/>
  <c r="BT14" i="7" a="1"/>
  <c r="BT14" i="7" s="1"/>
  <c r="BT18" i="7"/>
  <c r="CC29" i="7"/>
  <c r="BT26" i="7"/>
  <c r="BT22" i="7" a="1"/>
  <c r="BT22" i="7" s="1"/>
  <c r="H191" i="6"/>
  <c r="H198" i="6"/>
  <c r="T191" i="6"/>
  <c r="T198" i="6"/>
  <c r="AF191" i="6"/>
  <c r="AF198" i="6" s="1"/>
  <c r="AR191" i="6"/>
  <c r="AR198" i="6"/>
  <c r="I191" i="6"/>
  <c r="I198" i="6" s="1"/>
  <c r="U191" i="6"/>
  <c r="U198" i="6" s="1"/>
  <c r="AG191" i="6"/>
  <c r="AG198" i="6"/>
  <c r="AS191" i="6"/>
  <c r="AS198" i="6" s="1"/>
  <c r="J191" i="6"/>
  <c r="J198" i="6" s="1"/>
  <c r="AH191" i="6"/>
  <c r="AH198" i="6" s="1"/>
  <c r="AT191" i="6"/>
  <c r="AT198" i="6" s="1"/>
  <c r="V191" i="6"/>
  <c r="V198" i="6" s="1"/>
  <c r="K191" i="6"/>
  <c r="K198" i="6" s="1"/>
  <c r="W191" i="6"/>
  <c r="W198" i="6" s="1"/>
  <c r="AI198" i="6"/>
  <c r="AI191" i="6"/>
  <c r="AU191" i="6"/>
  <c r="AU198" i="6"/>
  <c r="L191" i="6"/>
  <c r="L198" i="6" s="1"/>
  <c r="X191" i="6"/>
  <c r="X198" i="6"/>
  <c r="AJ191" i="6"/>
  <c r="AJ198" i="6" s="1"/>
  <c r="AV191" i="6"/>
  <c r="AV198" i="6" s="1"/>
  <c r="M198" i="6"/>
  <c r="M191" i="6"/>
  <c r="Y191" i="6"/>
  <c r="Y198" i="6"/>
  <c r="AK191" i="6"/>
  <c r="AK198" i="6" s="1"/>
  <c r="AW191" i="6"/>
  <c r="AW198" i="6"/>
  <c r="N191" i="6"/>
  <c r="N198" i="6" s="1"/>
  <c r="Z191" i="6"/>
  <c r="Z198" i="6" s="1"/>
  <c r="AL191" i="6"/>
  <c r="AL198" i="6" s="1"/>
  <c r="AX191" i="6"/>
  <c r="AX198" i="6" s="1"/>
  <c r="CM191" i="6"/>
  <c r="O191" i="6"/>
  <c r="O198" i="6" s="1"/>
  <c r="AA198" i="6"/>
  <c r="AA191" i="6"/>
  <c r="AM191" i="6"/>
  <c r="AM198" i="6"/>
  <c r="AY191" i="6"/>
  <c r="AY198" i="6" s="1"/>
  <c r="P191" i="6"/>
  <c r="P198" i="6" s="1"/>
  <c r="AB191" i="6"/>
  <c r="AB198" i="6" s="1"/>
  <c r="AN191" i="6"/>
  <c r="AN198" i="6" s="1"/>
  <c r="AZ198" i="6"/>
  <c r="AZ191" i="6"/>
  <c r="Q191" i="6"/>
  <c r="Q198" i="6" s="1"/>
  <c r="AC191" i="6"/>
  <c r="AC198" i="6" s="1"/>
  <c r="AO191" i="6"/>
  <c r="AO198" i="6" s="1"/>
  <c r="BA191" i="6"/>
  <c r="BA198" i="6" s="1"/>
  <c r="CA70" i="6"/>
  <c r="CD70" i="6" s="1"/>
  <c r="F191" i="6"/>
  <c r="F198" i="6" s="1"/>
  <c r="R191" i="6"/>
  <c r="R198" i="6"/>
  <c r="AD191" i="6"/>
  <c r="AD198" i="6" s="1"/>
  <c r="AP191" i="6"/>
  <c r="AP198" i="6" s="1"/>
  <c r="BB191" i="6"/>
  <c r="BB198" i="6" s="1"/>
  <c r="CL155" i="6"/>
  <c r="CJ155" i="6"/>
  <c r="G191" i="6"/>
  <c r="G198" i="6"/>
  <c r="S191" i="6"/>
  <c r="S198" i="6" s="1"/>
  <c r="AE191" i="6"/>
  <c r="AE198" i="6" s="1"/>
  <c r="AQ191" i="6"/>
  <c r="AQ198" i="6"/>
  <c r="BC191" i="6"/>
  <c r="BC198" i="6"/>
  <c r="CA67" i="6"/>
  <c r="CD67" i="6" s="1"/>
  <c r="BS104" i="6"/>
  <c r="BV104" i="6" s="1"/>
  <c r="CE104" i="6" s="1"/>
  <c r="CA89" i="6"/>
  <c r="BS95" i="6"/>
  <c r="BV95" i="6" s="1"/>
  <c r="CE95" i="6" s="1"/>
  <c r="CA36" i="6"/>
  <c r="CD36" i="6" s="1"/>
  <c r="BT104" i="6"/>
  <c r="CL58" i="6"/>
  <c r="CA118" i="6"/>
  <c r="CD118" i="6" s="1"/>
  <c r="BS152" i="6"/>
  <c r="BV152" i="6" s="1"/>
  <c r="CA92" i="6"/>
  <c r="CJ35" i="6"/>
  <c r="CJ52" i="6"/>
  <c r="BS166" i="6"/>
  <c r="BV166" i="6" s="1"/>
  <c r="CE166" i="6" s="1"/>
  <c r="CL35" i="6"/>
  <c r="CL52" i="6"/>
  <c r="CK36" i="6"/>
  <c r="CK81" i="6" s="1"/>
  <c r="CJ39" i="6"/>
  <c r="CJ70" i="6"/>
  <c r="CA146" i="6"/>
  <c r="CD146" i="6" s="1"/>
  <c r="CL39" i="6"/>
  <c r="CL70" i="6"/>
  <c r="CJ58" i="6"/>
  <c r="CA161" i="6"/>
  <c r="CL76" i="6"/>
  <c r="CA115" i="6"/>
  <c r="CD115" i="6" s="1"/>
  <c r="BS138" i="6"/>
  <c r="BS164" i="6" s="1"/>
  <c r="BS155" i="6"/>
  <c r="BV155" i="6" s="1"/>
  <c r="CK27" i="6"/>
  <c r="BS118" i="6"/>
  <c r="BV118" i="6" s="1"/>
  <c r="CA130" i="6"/>
  <c r="CD130" i="6" s="1"/>
  <c r="BO174" i="6"/>
  <c r="CA133" i="6"/>
  <c r="CA40" i="6"/>
  <c r="CD40" i="6" s="1"/>
  <c r="BS158" i="6"/>
  <c r="BV158" i="6" s="1"/>
  <c r="CK19" i="6"/>
  <c r="BS52" i="6"/>
  <c r="BT52" i="6" s="1"/>
  <c r="BS98" i="6"/>
  <c r="BV98" i="6" s="1"/>
  <c r="CE98" i="6" s="1"/>
  <c r="CK23" i="6"/>
  <c r="BS86" i="6"/>
  <c r="BV86" i="6" s="1"/>
  <c r="CE86" i="6" s="1"/>
  <c r="CA143" i="6"/>
  <c r="CD143" i="6" s="1"/>
  <c r="CE143" i="6" s="1"/>
  <c r="BS161" i="6"/>
  <c r="BV161" i="6" s="1"/>
  <c r="CE161" i="6" s="1"/>
  <c r="CA172" i="6"/>
  <c r="CD172" i="6" s="1"/>
  <c r="CE172" i="6" s="1"/>
  <c r="BS43" i="6"/>
  <c r="BT43" i="6" s="1"/>
  <c r="CA52" i="6"/>
  <c r="CD52" i="6" s="1"/>
  <c r="BS55" i="6"/>
  <c r="BT55" i="6" s="1"/>
  <c r="BS49" i="6"/>
  <c r="BT49" i="6" s="1"/>
  <c r="CA49" i="6"/>
  <c r="CD49" i="6" s="1"/>
  <c r="CA46" i="6"/>
  <c r="CD46" i="6" s="1"/>
  <c r="CA61" i="6"/>
  <c r="CD61" i="6" s="1"/>
  <c r="CA55" i="6"/>
  <c r="CD55" i="6" s="1"/>
  <c r="CJ14" i="6"/>
  <c r="CI29" i="6"/>
  <c r="BS26" i="6"/>
  <c r="BT26" i="6" s="1"/>
  <c r="CE26" i="6" s="1"/>
  <c r="BO29" i="6"/>
  <c r="BS67" i="6"/>
  <c r="BT67" i="6" s="1"/>
  <c r="CH67" i="6"/>
  <c r="CJ67" i="6" s="1"/>
  <c r="CH40" i="6"/>
  <c r="CJ40" i="6" s="1"/>
  <c r="CL40" i="6" s="1"/>
  <c r="BS40" i="6"/>
  <c r="BT40" i="6" s="1"/>
  <c r="CM40" i="6" s="1"/>
  <c r="CH61" i="6"/>
  <c r="CJ61" i="6" s="1"/>
  <c r="BS61" i="6"/>
  <c r="BT61" i="6" s="1"/>
  <c r="BS130" i="6"/>
  <c r="BV130" i="6" s="1"/>
  <c r="BT130" i="6"/>
  <c r="BT136" i="6" s="1"/>
  <c r="CI81" i="6"/>
  <c r="BO81" i="6"/>
  <c r="CA43" i="6"/>
  <c r="CD43" i="6" s="1"/>
  <c r="CA124" i="6"/>
  <c r="CD124" i="6" s="1"/>
  <c r="BS133" i="6"/>
  <c r="BV133" i="6" s="1"/>
  <c r="BS178" i="6"/>
  <c r="BV178" i="6" s="1"/>
  <c r="CE178" i="6" s="1"/>
  <c r="CA14" i="6"/>
  <c r="CD14" i="6" s="1"/>
  <c r="CD29" i="6" s="1"/>
  <c r="CA152" i="6"/>
  <c r="CD152" i="6" s="1"/>
  <c r="CA158" i="6"/>
  <c r="CD158" i="6" s="1"/>
  <c r="BT174" i="6"/>
  <c r="CH49" i="6"/>
  <c r="CJ49" i="6" s="1"/>
  <c r="CA39" i="6"/>
  <c r="CD39" i="6" s="1"/>
  <c r="CA64" i="6"/>
  <c r="CD64" i="6" s="1"/>
  <c r="BS79" i="6"/>
  <c r="BT79" i="6" s="1"/>
  <c r="CA58" i="6"/>
  <c r="CD58" i="6" s="1"/>
  <c r="CA79" i="6"/>
  <c r="CD79" i="6" s="1"/>
  <c r="CA86" i="6"/>
  <c r="CA112" i="6"/>
  <c r="CD112" i="6" s="1"/>
  <c r="CA134" i="6"/>
  <c r="CA170" i="6"/>
  <c r="CD170" i="6" s="1"/>
  <c r="BO182" i="6"/>
  <c r="BS180" i="6"/>
  <c r="BV180" i="6" s="1"/>
  <c r="CE180" i="6" s="1"/>
  <c r="CA149" i="6"/>
  <c r="CD149" i="6" s="1"/>
  <c r="CE149" i="6" s="1"/>
  <c r="CA73" i="6"/>
  <c r="CD73" i="6" s="1"/>
  <c r="CA83" i="6"/>
  <c r="BS89" i="6"/>
  <c r="BV89" i="6" s="1"/>
  <c r="CE89" i="6" s="1"/>
  <c r="CA121" i="6"/>
  <c r="CD121" i="6" s="1"/>
  <c r="CA127" i="6"/>
  <c r="CD127" i="6" s="1"/>
  <c r="CA155" i="6"/>
  <c r="CD155" i="6" s="1"/>
  <c r="BS134" i="6"/>
  <c r="BV134" i="6" s="1"/>
  <c r="CA76" i="6"/>
  <c r="CD76" i="6" s="1"/>
  <c r="CA140" i="6"/>
  <c r="CD140" i="6" s="1"/>
  <c r="CE140" i="6" s="1"/>
  <c r="CH18" i="6"/>
  <c r="CJ18" i="6" s="1"/>
  <c r="BS18" i="6"/>
  <c r="BT18" i="6" s="1"/>
  <c r="BS23" i="6"/>
  <c r="BT23" i="6" s="1"/>
  <c r="CE23" i="6" s="1"/>
  <c r="CH23" i="6"/>
  <c r="CJ23" i="6" s="1"/>
  <c r="BS64" i="6"/>
  <c r="BT64" i="6" s="1"/>
  <c r="CH64" i="6"/>
  <c r="CJ64" i="6" s="1"/>
  <c r="CH19" i="6"/>
  <c r="CJ19" i="6" s="1"/>
  <c r="BS19" i="6"/>
  <c r="BT19" i="6" s="1"/>
  <c r="CH76" i="6"/>
  <c r="CJ76" i="6" s="1"/>
  <c r="BS76" i="6"/>
  <c r="BT76" i="6" s="1"/>
  <c r="CH15" i="6"/>
  <c r="CJ15" i="6" s="1"/>
  <c r="BS15" i="6"/>
  <c r="BT15" i="6" s="1"/>
  <c r="BS46" i="6"/>
  <c r="BT46" i="6" s="1"/>
  <c r="CH46" i="6"/>
  <c r="CJ46" i="6" s="1"/>
  <c r="BT182" i="6"/>
  <c r="BS73" i="6"/>
  <c r="BT73" i="6" s="1"/>
  <c r="CH73" i="6"/>
  <c r="CJ73" i="6" s="1"/>
  <c r="CD182" i="6"/>
  <c r="CH22" i="6"/>
  <c r="CJ22" i="6" s="1"/>
  <c r="BS22" i="6"/>
  <c r="BT22" i="6" s="1"/>
  <c r="CH36" i="6"/>
  <c r="CJ36" i="6" s="1"/>
  <c r="BS36" i="6"/>
  <c r="BT36" i="6" s="1"/>
  <c r="CH27" i="6"/>
  <c r="CJ27" i="6" s="1"/>
  <c r="BS27" i="6"/>
  <c r="BT27" i="6" s="1"/>
  <c r="CE27" i="6" s="1"/>
  <c r="BT110" i="6"/>
  <c r="BS14" i="6"/>
  <c r="BS35" i="6"/>
  <c r="BR55" i="6"/>
  <c r="CH55" i="6" s="1"/>
  <c r="CL55" i="6" s="1"/>
  <c r="BS70" i="6"/>
  <c r="BT70" i="6" s="1"/>
  <c r="BS92" i="6"/>
  <c r="BV92" i="6" s="1"/>
  <c r="CE92" i="6" s="1"/>
  <c r="BO110" i="6"/>
  <c r="CH26" i="6"/>
  <c r="CJ26" i="6" s="1"/>
  <c r="CH43" i="6"/>
  <c r="CL43" i="6" s="1"/>
  <c r="CH79" i="6"/>
  <c r="CL79" i="6" s="1"/>
  <c r="CA95" i="6"/>
  <c r="BS39" i="6"/>
  <c r="BT39" i="6" s="1"/>
  <c r="BS58" i="6"/>
  <c r="BT58" i="6" s="1"/>
  <c r="BS107" i="6"/>
  <c r="BV107" i="6" s="1"/>
  <c r="CE107" i="6" s="1"/>
  <c r="BS176" i="6"/>
  <c r="CA35" i="6"/>
  <c r="CD35" i="6" s="1"/>
  <c r="BS83" i="6"/>
  <c r="BS121" i="6"/>
  <c r="BV121" i="6" s="1"/>
  <c r="BS124" i="6"/>
  <c r="BV124" i="6" s="1"/>
  <c r="BS127" i="6"/>
  <c r="BV127" i="6" s="1"/>
  <c r="BS115" i="6"/>
  <c r="BV115" i="6" s="1"/>
  <c r="BS101" i="6"/>
  <c r="BV101" i="6" s="1"/>
  <c r="CE101" i="6" s="1"/>
  <c r="BS112" i="6"/>
  <c r="BT138" i="6"/>
  <c r="BT164" i="6" s="1"/>
  <c r="BO136" i="6"/>
  <c r="BS170" i="6"/>
  <c r="F58" i="26" l="1"/>
  <c r="F67" i="26" s="1"/>
  <c r="H52" i="26"/>
  <c r="BT39" i="7"/>
  <c r="BT59" i="7"/>
  <c r="BT63" i="7"/>
  <c r="BT55" i="7"/>
  <c r="BT51" i="7"/>
  <c r="BT43" i="7"/>
  <c r="BT87" i="7"/>
  <c r="BT83" i="7"/>
  <c r="BT35" i="7"/>
  <c r="BT79" i="7"/>
  <c r="BT75" i="7"/>
  <c r="CC94" i="7"/>
  <c r="CC197" i="7" s="1"/>
  <c r="BT71" i="7"/>
  <c r="BT67" i="7"/>
  <c r="EM67" i="7" s="1"/>
  <c r="BT47" i="7"/>
  <c r="BR197" i="7"/>
  <c r="CK94" i="7"/>
  <c r="H41" i="9"/>
  <c r="I41" i="9" s="1"/>
  <c r="H40" i="9"/>
  <c r="F60" i="9"/>
  <c r="CK29" i="7"/>
  <c r="CJ197" i="7"/>
  <c r="CH197" i="7"/>
  <c r="CM198" i="6"/>
  <c r="CL64" i="6"/>
  <c r="CE146" i="6"/>
  <c r="BS168" i="6"/>
  <c r="CE67" i="6"/>
  <c r="CL67" i="6"/>
  <c r="CM67" i="6" s="1"/>
  <c r="CK29" i="6"/>
  <c r="CE152" i="6"/>
  <c r="CJ55" i="6"/>
  <c r="CM55" i="6" s="1"/>
  <c r="CL36" i="6"/>
  <c r="CM52" i="6"/>
  <c r="CE115" i="6"/>
  <c r="BV138" i="6"/>
  <c r="BV164" i="6" s="1"/>
  <c r="CL27" i="6"/>
  <c r="CL18" i="6"/>
  <c r="CM18" i="6"/>
  <c r="CJ43" i="6"/>
  <c r="CM43" i="6" s="1"/>
  <c r="CL22" i="6"/>
  <c r="CM22" i="6" s="1"/>
  <c r="CE118" i="6"/>
  <c r="CL61" i="6"/>
  <c r="CM61" i="6" s="1"/>
  <c r="CL46" i="6"/>
  <c r="CM46" i="6" s="1"/>
  <c r="CM76" i="6"/>
  <c r="CM70" i="6"/>
  <c r="CL73" i="6"/>
  <c r="CM73" i="6" s="1"/>
  <c r="CM39" i="6"/>
  <c r="CD174" i="6"/>
  <c r="CE130" i="6"/>
  <c r="CD133" i="6"/>
  <c r="CD136" i="6" s="1"/>
  <c r="CJ79" i="6"/>
  <c r="CM79" i="6" s="1"/>
  <c r="CL26" i="6"/>
  <c r="CM26" i="6" s="1"/>
  <c r="CD164" i="6"/>
  <c r="CL15" i="6"/>
  <c r="CM15" i="6" s="1"/>
  <c r="CM64" i="6"/>
  <c r="BV168" i="6"/>
  <c r="CE168" i="6" s="1"/>
  <c r="CL19" i="6"/>
  <c r="CM58" i="6"/>
  <c r="CL49" i="6"/>
  <c r="CM49" i="6" s="1"/>
  <c r="CL23" i="6"/>
  <c r="CE124" i="6"/>
  <c r="CE52" i="6"/>
  <c r="CE158" i="6"/>
  <c r="CE61" i="6"/>
  <c r="CE43" i="6"/>
  <c r="CE49" i="6"/>
  <c r="CE55" i="6"/>
  <c r="CE79" i="6"/>
  <c r="CE40" i="6"/>
  <c r="CE121" i="6"/>
  <c r="CE155" i="6"/>
  <c r="CE127" i="6"/>
  <c r="CJ29" i="6"/>
  <c r="CD81" i="6"/>
  <c r="CE46" i="6"/>
  <c r="BV176" i="6"/>
  <c r="BS182" i="6"/>
  <c r="BV83" i="6"/>
  <c r="BS110" i="6"/>
  <c r="BS174" i="6"/>
  <c r="BV170" i="6"/>
  <c r="BS81" i="6"/>
  <c r="BT35" i="6"/>
  <c r="CM35" i="6" s="1"/>
  <c r="CE58" i="6"/>
  <c r="BS29" i="6"/>
  <c r="BT14" i="6"/>
  <c r="CM14" i="6" s="1"/>
  <c r="CE64" i="6"/>
  <c r="CE18" i="6"/>
  <c r="CE39" i="6"/>
  <c r="CM36" i="6"/>
  <c r="CE36" i="6"/>
  <c r="CE73" i="6"/>
  <c r="CE76" i="6"/>
  <c r="BS136" i="6"/>
  <c r="BV112" i="6"/>
  <c r="CE22" i="6"/>
  <c r="CM19" i="6"/>
  <c r="CE19" i="6"/>
  <c r="CE70" i="6"/>
  <c r="I52" i="26" l="1"/>
  <c r="H58" i="26"/>
  <c r="H67" i="26" s="1"/>
  <c r="G68" i="26" s="1"/>
  <c r="CK197" i="7"/>
  <c r="I40" i="9"/>
  <c r="H60" i="9"/>
  <c r="CJ198" i="7"/>
  <c r="CE138" i="6"/>
  <c r="CE133" i="6"/>
  <c r="CJ81" i="6"/>
  <c r="CL81" i="6"/>
  <c r="CE164" i="6"/>
  <c r="CL29" i="6"/>
  <c r="CE14" i="6"/>
  <c r="BT29" i="6"/>
  <c r="CE176" i="6"/>
  <c r="BV182" i="6"/>
  <c r="CE182" i="6" s="1"/>
  <c r="BV174" i="6"/>
  <c r="CE174" i="6" s="1"/>
  <c r="CE170" i="6"/>
  <c r="CE83" i="6"/>
  <c r="BV110" i="6"/>
  <c r="CE110" i="6" s="1"/>
  <c r="BT81" i="6"/>
  <c r="CE35" i="6"/>
  <c r="BV136" i="6"/>
  <c r="CE136" i="6" s="1"/>
  <c r="CE112" i="6"/>
  <c r="F68" i="26" l="1"/>
  <c r="I58" i="26"/>
  <c r="J52" i="26" s="1"/>
  <c r="I60" i="9"/>
  <c r="J53" i="9" s="1"/>
  <c r="J49" i="9"/>
  <c r="J45" i="9"/>
  <c r="J51" i="9"/>
  <c r="J48" i="9"/>
  <c r="J50" i="9"/>
  <c r="J44" i="9"/>
  <c r="J54" i="9"/>
  <c r="J43" i="9"/>
  <c r="J56" i="9"/>
  <c r="J46" i="9"/>
  <c r="J57" i="9"/>
  <c r="J41" i="9"/>
  <c r="CM29" i="6"/>
  <c r="BV14" i="6" a="1"/>
  <c r="BV14" i="6" s="1"/>
  <c r="CM81" i="6"/>
  <c r="CE81" i="6"/>
  <c r="BV67" i="6"/>
  <c r="BV61" i="6"/>
  <c r="EO61" i="6" s="1"/>
  <c r="BV43" i="6"/>
  <c r="BV49" i="6"/>
  <c r="BV52" i="6"/>
  <c r="BV55" i="6"/>
  <c r="BV79" i="6"/>
  <c r="BV46" i="6"/>
  <c r="BV39" i="6"/>
  <c r="BV64" i="6"/>
  <c r="BV58" i="6"/>
  <c r="BV73" i="6"/>
  <c r="BV70" i="6"/>
  <c r="BV76" i="6"/>
  <c r="BV26" i="6"/>
  <c r="BV18" i="6"/>
  <c r="CE29" i="6"/>
  <c r="BV22" i="6" a="1"/>
  <c r="BV22" i="6" s="1"/>
  <c r="BV35" i="6"/>
  <c r="J47" i="9" l="1"/>
  <c r="J52" i="9"/>
  <c r="J58" i="9"/>
  <c r="J40" i="9"/>
  <c r="J55" i="9"/>
  <c r="J42" i="9"/>
  <c r="J60" i="9" s="1"/>
  <c r="J39" i="26"/>
  <c r="J45" i="26"/>
  <c r="L58" i="26"/>
  <c r="J54" i="26"/>
  <c r="J42" i="26"/>
  <c r="J43" i="26"/>
  <c r="J47" i="26"/>
  <c r="J55" i="26"/>
  <c r="J40" i="26"/>
  <c r="J48" i="26"/>
  <c r="J44" i="26"/>
  <c r="J50" i="26"/>
  <c r="J38" i="26"/>
  <c r="J49" i="26"/>
  <c r="J41" i="26"/>
  <c r="J53" i="26"/>
  <c r="J46" i="26"/>
  <c r="J51" i="26"/>
  <c r="I67" i="26"/>
  <c r="L60" i="9"/>
  <c r="H33" i="9"/>
  <c r="F38" i="9"/>
  <c r="F68" i="9" s="1"/>
  <c r="K58" i="26" l="1"/>
  <c r="K63" i="26"/>
  <c r="J58" i="26"/>
  <c r="I68" i="26"/>
  <c r="K36" i="26"/>
  <c r="K21" i="26"/>
  <c r="K28" i="26"/>
  <c r="K65" i="26"/>
  <c r="I33" i="9"/>
  <c r="H38" i="9"/>
  <c r="H68" i="9" s="1"/>
  <c r="K67" i="26" l="1"/>
  <c r="F69" i="9"/>
  <c r="I38" i="9"/>
  <c r="L38" i="9" l="1"/>
  <c r="I68" i="9"/>
  <c r="K38" i="9" s="1"/>
  <c r="G69" i="9"/>
  <c r="J33" i="9"/>
  <c r="J36" i="9"/>
  <c r="J32" i="9"/>
  <c r="J35" i="9"/>
  <c r="J34" i="9"/>
  <c r="I69" i="9" l="1"/>
  <c r="K66" i="9"/>
  <c r="K60" i="9"/>
  <c r="K23" i="9"/>
  <c r="K64" i="9"/>
  <c r="K30" i="9"/>
  <c r="J38" i="9"/>
  <c r="K68" i="9" l="1"/>
  <c r="CS23" i="15"/>
  <c r="CO39" i="15" l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<sst xmlns="http://schemas.openxmlformats.org/spreadsheetml/2006/main" count="3291" uniqueCount="415">
  <si>
    <t>CLIENT: SABESP</t>
  </si>
  <si>
    <t>CAMPAING: VERÃO 25/26</t>
  </si>
  <si>
    <t>F</t>
  </si>
  <si>
    <t>MARKET</t>
  </si>
  <si>
    <t>CHANNEL</t>
  </si>
  <si>
    <t>DEZEMBRO</t>
  </si>
  <si>
    <t>JANEIRO</t>
  </si>
  <si>
    <t>INS.</t>
  </si>
  <si>
    <t>CUSTO TABELA UNITÁRIO (BRUTO)</t>
  </si>
  <si>
    <t>DESC. %</t>
  </si>
  <si>
    <t>CUSTO NEGOCIADO UNITÁRIO
(BRUTO)</t>
  </si>
  <si>
    <t>CUSTO TOTAL NEGOCIADO (BRUTO)</t>
  </si>
  <si>
    <t>TRP</t>
  </si>
  <si>
    <t>M</t>
  </si>
  <si>
    <t>T</t>
  </si>
  <si>
    <t>W</t>
  </si>
  <si>
    <t>S</t>
  </si>
  <si>
    <t>BANDEIRANTES</t>
  </si>
  <si>
    <t>30"</t>
  </si>
  <si>
    <t>PROPERTY</t>
  </si>
  <si>
    <t>FORMAT: LOCUÇÃO DE CABINE</t>
  </si>
  <si>
    <t>OUTUBRO</t>
  </si>
  <si>
    <t>NOVEMBRO</t>
  </si>
  <si>
    <t>CUSTO TOTAL DESEMBOLSO CLIENTE</t>
  </si>
  <si>
    <t>SHARE DE INVESTIMENTO %</t>
  </si>
  <si>
    <t>SHARE DE AUDIÊNCIA %</t>
  </si>
  <si>
    <t xml:space="preserve">IA%
</t>
  </si>
  <si>
    <t>IA#</t>
  </si>
  <si>
    <t>POPULAÇÃO 
TT.</t>
  </si>
  <si>
    <t xml:space="preserve">UNIV. RÁDIO 
AS ABCDE 18+ </t>
  </si>
  <si>
    <t>IMPACTOS
 ESTIMADOS</t>
  </si>
  <si>
    <t>CPM</t>
  </si>
  <si>
    <t>RÁDIO</t>
  </si>
  <si>
    <t>VALOR UNITÁRIO LIQUIDO</t>
  </si>
  <si>
    <t>INV. LIQUIDO</t>
  </si>
  <si>
    <t>RÁDIO JORNALISMO</t>
  </si>
  <si>
    <t>JOVEM PAN</t>
  </si>
  <si>
    <t>SÃO PAULO - CAPITAL</t>
  </si>
  <si>
    <t>ROTATIVO</t>
  </si>
  <si>
    <t>SEG À SEX 06H00-19H00</t>
  </si>
  <si>
    <t>30''</t>
  </si>
  <si>
    <t>FAIXA MUSICAL</t>
  </si>
  <si>
    <t>SEG À SEX 14H00-24H00</t>
  </si>
  <si>
    <t>BAND NEWS FM</t>
  </si>
  <si>
    <t>BANDEIRANTES FM</t>
  </si>
  <si>
    <t>SEG À SEX 06H00-09H00</t>
  </si>
  <si>
    <t>CBN</t>
  </si>
  <si>
    <t>TOTAL RADIO SP CAPITAL - JORNALISMO</t>
  </si>
  <si>
    <t>FORMAT: SPOT</t>
  </si>
  <si>
    <t>RÁDIO MUSICAL</t>
  </si>
  <si>
    <t>NATIVA FM</t>
  </si>
  <si>
    <t>SEG À DOM 06H00-19H00</t>
  </si>
  <si>
    <t>NATIVA</t>
  </si>
  <si>
    <t>BAND FM</t>
  </si>
  <si>
    <t>89 ROCK FM</t>
  </si>
  <si>
    <t>ALPHA FM</t>
  </si>
  <si>
    <t>DISNEY FM</t>
  </si>
  <si>
    <t>ENERGIA 97 FM</t>
  </si>
  <si>
    <t>KISS FM</t>
  </si>
  <si>
    <t>GAZETA FM</t>
  </si>
  <si>
    <t>105 FM</t>
  </si>
  <si>
    <t>SEG À DOM 05H00-18H00</t>
  </si>
  <si>
    <t>RÁDIO MIX</t>
  </si>
  <si>
    <t>TRANSAMÉRICA FM</t>
  </si>
  <si>
    <t>MASSA FM</t>
  </si>
  <si>
    <t>ANTENA 1</t>
  </si>
  <si>
    <t>NOVABRASIL</t>
  </si>
  <si>
    <t>SEG À DOM 09H00-20H00</t>
  </si>
  <si>
    <t>TRANSCONTINENTAL</t>
  </si>
  <si>
    <t xml:space="preserve">TOTAL RADIO SP CAPITAL </t>
  </si>
  <si>
    <t>CARAGUATATUBA | SÃO SABASTIÃO | UBATUBA - LITORAL NORTE</t>
  </si>
  <si>
    <t>CARAGUA FM</t>
  </si>
  <si>
    <t>07h00 as 19h00</t>
  </si>
  <si>
    <t>(via Caraguatatuba)</t>
  </si>
  <si>
    <t>BEIRA MAR FM</t>
  </si>
  <si>
    <t>(via Ubatuba)</t>
  </si>
  <si>
    <t>MORADA FM</t>
  </si>
  <si>
    <t>(via São Sebastião)</t>
  </si>
  <si>
    <t>(via Ilha Bela - São Sebastião)</t>
  </si>
  <si>
    <t>RÁDIO PRAIA FM</t>
  </si>
  <si>
    <t>RÁDIO ANTENA 8</t>
  </si>
  <si>
    <t>ROCK NEWS LITORAL</t>
  </si>
  <si>
    <t>ONDA 101.1</t>
  </si>
  <si>
    <t>COSTA AZUL</t>
  </si>
  <si>
    <t>TOTAL RÁDIO LITORAL NORTE</t>
  </si>
  <si>
    <t>SANTOS - BAIXADA SANTISTA</t>
  </si>
  <si>
    <t>TRI FM</t>
  </si>
  <si>
    <t>06h00 as 19h00</t>
  </si>
  <si>
    <t>GUARUJA FM</t>
  </si>
  <si>
    <t>SAUDADE FM</t>
  </si>
  <si>
    <t>SANTA CECILIA FM</t>
  </si>
  <si>
    <t>JOVEM PAN FM</t>
  </si>
  <si>
    <t>MIX FM</t>
  </si>
  <si>
    <t>BOA NOVA FM</t>
  </si>
  <si>
    <t>TOTAL RÁDIO SANTOS - BAIXADA SANTISTA</t>
  </si>
  <si>
    <t>METROPOLITANA FM</t>
  </si>
  <si>
    <t>TAUBATE E SÃO JOSE DOS CAMPOS</t>
  </si>
  <si>
    <t>BAND VALE</t>
  </si>
  <si>
    <t>(via S.J.Campos)</t>
  </si>
  <si>
    <t>STEREO VALE</t>
  </si>
  <si>
    <t>ÓTIMA FM</t>
  </si>
  <si>
    <t>ANTENA 1 FM</t>
  </si>
  <si>
    <t>(via Taubaté)</t>
  </si>
  <si>
    <t>CANÇÃO NOVA FM</t>
  </si>
  <si>
    <t>TOTAL RÁDIO TAUBATE E SÃO JOSÉ DOS CAMPOS</t>
  </si>
  <si>
    <t>BOTUCATU</t>
  </si>
  <si>
    <t>CLUBE FM</t>
  </si>
  <si>
    <t>TOTAL RÁDIO BOTUCATU</t>
  </si>
  <si>
    <t>LINS</t>
  </si>
  <si>
    <t>RÁDIO AMIGA FM</t>
  </si>
  <si>
    <t>TOTAL RÁDIO LINS</t>
  </si>
  <si>
    <t>PRESIDENTE PRUDENTE</t>
  </si>
  <si>
    <t>FRONTEIRA FM</t>
  </si>
  <si>
    <t>RÁDIO 98,1</t>
  </si>
  <si>
    <t>101 FM</t>
  </si>
  <si>
    <t>TOTAL RÁDIO PRESIDENTE PRUDENTE</t>
  </si>
  <si>
    <t>TOTAL RÁDIO</t>
  </si>
  <si>
    <t>TOTAL BOTUCATU</t>
  </si>
  <si>
    <t>TOTAL LINS</t>
  </si>
  <si>
    <t xml:space="preserve"> - </t>
  </si>
  <si>
    <t xml:space="preserve"> -</t>
  </si>
  <si>
    <t>Bonificação referente ao projeto Verão</t>
  </si>
  <si>
    <t>PRAÇA</t>
  </si>
  <si>
    <t>MEIO</t>
  </si>
  <si>
    <t>VEÍCULO</t>
  </si>
  <si>
    <t>TOTAL BRUTO</t>
  </si>
  <si>
    <t>VALOR DESEMBOLSO TT</t>
  </si>
  <si>
    <t>PART GERAL %</t>
  </si>
  <si>
    <t>SÃO PAULO</t>
  </si>
  <si>
    <t>RADIO</t>
  </si>
  <si>
    <t>TT RÁDIO</t>
  </si>
  <si>
    <t>Tactical Media Plan</t>
  </si>
  <si>
    <t>CONFIDENCIAL</t>
  </si>
  <si>
    <t>CLIENT:</t>
  </si>
  <si>
    <t>SABESP</t>
  </si>
  <si>
    <t>CAMPAING</t>
  </si>
  <si>
    <t>TARGET:</t>
  </si>
  <si>
    <t>AS ABCDE 25+</t>
  </si>
  <si>
    <t>VERSION</t>
  </si>
  <si>
    <t>UPDATE DATE</t>
  </si>
  <si>
    <t>UPDATES:</t>
  </si>
  <si>
    <t>60''</t>
  </si>
  <si>
    <t xml:space="preserve">M </t>
  </si>
  <si>
    <t>FEVEREIRO</t>
  </si>
  <si>
    <t>FORMATO</t>
  </si>
  <si>
    <t>CIRCULAÇÃO / IMPRESSÕES</t>
  </si>
  <si>
    <t>CUSTO TOTAL DESEMBOLSO</t>
  </si>
  <si>
    <t>IMPACTO</t>
  </si>
  <si>
    <t>PÁGINA SIMPLES</t>
  </si>
  <si>
    <t>BOQNEWS</t>
  </si>
  <si>
    <t>JORNAL DIGITAL</t>
  </si>
  <si>
    <t>TT JORNAL</t>
  </si>
  <si>
    <t>TT</t>
  </si>
  <si>
    <t>FOLHA DE SP</t>
  </si>
  <si>
    <t>TMC (ANTIGA TRANSAMÉRICA FM)</t>
  </si>
  <si>
    <t>CAMPAING:  ESCASSEZ HIDRICA - CRÍTICO</t>
  </si>
  <si>
    <t>O ESTADO DE SP</t>
  </si>
  <si>
    <t>900.000 impressões</t>
  </si>
  <si>
    <t>(Dias úteis)</t>
  </si>
  <si>
    <t>VALOR</t>
  </si>
  <si>
    <t>400.000 impressões</t>
  </si>
  <si>
    <t>GAZETA DE SP</t>
  </si>
  <si>
    <t>ABC</t>
  </si>
  <si>
    <t>DIÁRIO DO GRANDE ABC</t>
  </si>
  <si>
    <t>CAMPAING: ESCASSEZ HIDRICA - CRÍTICO</t>
  </si>
  <si>
    <t>ESCASSEZ HIDRICA - CRÍTICO</t>
  </si>
  <si>
    <t>JORNAL</t>
  </si>
  <si>
    <t xml:space="preserve">SÃO PAULO </t>
  </si>
  <si>
    <t>200.000 impressões</t>
  </si>
  <si>
    <t>600.000 impressões</t>
  </si>
  <si>
    <t xml:space="preserve">ROS - Desktop e Mobile                                              </t>
  </si>
  <si>
    <t>Display</t>
  </si>
  <si>
    <t>VEICULO</t>
  </si>
  <si>
    <t>DESCRIÇÃO</t>
  </si>
  <si>
    <t>DESTINO</t>
  </si>
  <si>
    <t>UF</t>
  </si>
  <si>
    <t>MATERIAL</t>
  </si>
  <si>
    <t>CUSTO UNITÁRIO</t>
  </si>
  <si>
    <t>QTD FILMES</t>
  </si>
  <si>
    <t>CUSTO LIQUIDO</t>
  </si>
  <si>
    <t>ENVIO DE MATERIAL</t>
  </si>
  <si>
    <t>SP</t>
  </si>
  <si>
    <t>GLOBO</t>
  </si>
  <si>
    <t>BAU</t>
  </si>
  <si>
    <t>CAM</t>
  </si>
  <si>
    <t>ITP</t>
  </si>
  <si>
    <t>MOC</t>
  </si>
  <si>
    <t>RIB</t>
  </si>
  <si>
    <t>SAN</t>
  </si>
  <si>
    <t>SCA</t>
  </si>
  <si>
    <t>SJC</t>
  </si>
  <si>
    <t>SJRP</t>
  </si>
  <si>
    <t>SOR</t>
  </si>
  <si>
    <t>SP1</t>
  </si>
  <si>
    <t>TAU</t>
  </si>
  <si>
    <t>TT PAY TV</t>
  </si>
  <si>
    <t>TT GERAL</t>
  </si>
  <si>
    <t>SEC</t>
  </si>
  <si>
    <t>PLANNED</t>
  </si>
  <si>
    <t>PROGRAMM</t>
  </si>
  <si>
    <t>START TIME</t>
  </si>
  <si>
    <t>END TIME</t>
  </si>
  <si>
    <t>CUSTO TOTAL DESEMBOLSO SABESP</t>
  </si>
  <si>
    <t>AUD. 
AS ABCDE 25+</t>
  </si>
  <si>
    <t>CPP</t>
  </si>
  <si>
    <t>RESUMO</t>
  </si>
  <si>
    <t>INS</t>
  </si>
  <si>
    <t>INVESTIMENTO $</t>
  </si>
  <si>
    <t>TV GLOBO</t>
  </si>
  <si>
    <t>JORNAL DA GLOBO</t>
  </si>
  <si>
    <t xml:space="preserve"> 01:00</t>
  </si>
  <si>
    <t>PRACA TV 2 EDICAO</t>
  </si>
  <si>
    <t>JORNAL NACIONAL</t>
  </si>
  <si>
    <t>NOVELA II</t>
  </si>
  <si>
    <t xml:space="preserve"> 20:30</t>
  </si>
  <si>
    <t>TT OPEN TV</t>
  </si>
  <si>
    <t>TV ABERTA</t>
  </si>
  <si>
    <t>TT TV ABERTA</t>
  </si>
  <si>
    <t>ABCD</t>
  </si>
  <si>
    <t>DIGITAL</t>
  </si>
  <si>
    <t>TT DIGITAL</t>
  </si>
  <si>
    <t>TT GERAÇÃO</t>
  </si>
  <si>
    <t>O ABCD Jornal</t>
  </si>
  <si>
    <t>v1</t>
  </si>
  <si>
    <t>AJUSTE NO VALOR DE RADIO E JORNAL + INCLUSÃO DE tv + INCLUSÃO DO ABCD JORNAL</t>
  </si>
  <si>
    <t>NOVELA III</t>
  </si>
  <si>
    <t>NOVELA I</t>
  </si>
  <si>
    <t>FANTASTICO</t>
  </si>
  <si>
    <t>NOVELA I SAB</t>
  </si>
  <si>
    <t>DAY</t>
  </si>
  <si>
    <t>SEG-SEX</t>
  </si>
  <si>
    <t>SEG-SÁB</t>
  </si>
  <si>
    <t>DOM</t>
  </si>
  <si>
    <t>SÁB</t>
  </si>
  <si>
    <t>NOVELA III SAB</t>
  </si>
  <si>
    <t>SÃO PAULO CAPITAL</t>
  </si>
  <si>
    <t>SÃO PAULO ESTADO</t>
  </si>
  <si>
    <t>BORA BRASIL</t>
  </si>
  <si>
    <t>BRASIL URGENTE</t>
  </si>
  <si>
    <t>CANAL LIVRE</t>
  </si>
  <si>
    <t>JORNAL DA NOITE</t>
  </si>
  <si>
    <t xml:space="preserve"> 11:00</t>
  </si>
  <si>
    <t xml:space="preserve"> 17:30</t>
  </si>
  <si>
    <t xml:space="preserve"> 00:00</t>
  </si>
  <si>
    <t xml:space="preserve"> 01:15</t>
  </si>
  <si>
    <t xml:space="preserve"> 08:00</t>
  </si>
  <si>
    <t xml:space="preserve"> 21:25</t>
  </si>
  <si>
    <t>CIDADE ALERTA 2 SAB</t>
  </si>
  <si>
    <t>DOMINGO ESPETACULAR</t>
  </si>
  <si>
    <t>FALA BRASIL</t>
  </si>
  <si>
    <t>HOJE EM DIA</t>
  </si>
  <si>
    <t>NOVELA 22H</t>
  </si>
  <si>
    <t>NOVELA 3</t>
  </si>
  <si>
    <t>NOVELA DA TARDE 1</t>
  </si>
  <si>
    <t>RECORD</t>
  </si>
  <si>
    <t xml:space="preserve"> 22:30</t>
  </si>
  <si>
    <t xml:space="preserve"> 20:00</t>
  </si>
  <si>
    <t xml:space="preserve"> 09:35</t>
  </si>
  <si>
    <t xml:space="preserve"> 11:30</t>
  </si>
  <si>
    <t xml:space="preserve"> 22:00</t>
  </si>
  <si>
    <t xml:space="preserve"> 16:30</t>
  </si>
  <si>
    <t>SBT</t>
  </si>
  <si>
    <t>ALO VOCE</t>
  </si>
  <si>
    <t>DOMINGO LEGAL 1</t>
  </si>
  <si>
    <t>NOVELA NOITE</t>
  </si>
  <si>
    <t>NOVELA NOITE 18H</t>
  </si>
  <si>
    <t>NOVELA TARDE 14H</t>
  </si>
  <si>
    <t>PRIMEIRO IMPACTO</t>
  </si>
  <si>
    <t>SBT MANHA</t>
  </si>
  <si>
    <t>SBT NOTICIAS 1A ED</t>
  </si>
  <si>
    <t xml:space="preserve"> 13:45</t>
  </si>
  <si>
    <t xml:space="preserve"> 15:15</t>
  </si>
  <si>
    <t xml:space="preserve"> 22:15</t>
  </si>
  <si>
    <t xml:space="preserve"> 18:30</t>
  </si>
  <si>
    <t xml:space="preserve"> 15:30</t>
  </si>
  <si>
    <t xml:space="preserve"> 08:30</t>
  </si>
  <si>
    <t xml:space="preserve"> 15:00</t>
  </si>
  <si>
    <t>UTILIZAÇÃO DE PACOTE</t>
  </si>
  <si>
    <t>TOTAL FATURÁVEL</t>
  </si>
  <si>
    <t>REDE TV</t>
  </si>
  <si>
    <t>A TARDE E SUA</t>
  </si>
  <si>
    <t>FICA COM A GENTE</t>
  </si>
  <si>
    <t>LEITURA DINAMICA</t>
  </si>
  <si>
    <t>MANHA COM VOCE</t>
  </si>
  <si>
    <t xml:space="preserve"> 17:00</t>
  </si>
  <si>
    <t xml:space="preserve"> 12:00</t>
  </si>
  <si>
    <t xml:space="preserve"> 10:45</t>
  </si>
  <si>
    <t>CULTURA</t>
  </si>
  <si>
    <t>AGROCULTURA MAT</t>
  </si>
  <si>
    <t>ARENA DOS SABERES</t>
  </si>
  <si>
    <t>ENTRELINHAS</t>
  </si>
  <si>
    <t>METROPOLIS NOT</t>
  </si>
  <si>
    <t>OPINIAO</t>
  </si>
  <si>
    <t xml:space="preserve"> 10:30</t>
  </si>
  <si>
    <t xml:space="preserve"> 21:00</t>
  </si>
  <si>
    <t xml:space="preserve"> 23:30</t>
  </si>
  <si>
    <t>GAZETA ESPORTIVA</t>
  </si>
  <si>
    <t>MULHERES</t>
  </si>
  <si>
    <t>VOCE BONITA</t>
  </si>
  <si>
    <t>GAZETA</t>
  </si>
  <si>
    <t xml:space="preserve"> 19:00</t>
  </si>
  <si>
    <t xml:space="preserve"> 18:00</t>
  </si>
  <si>
    <t xml:space="preserve"> 14:30</t>
  </si>
  <si>
    <t>QUI</t>
  </si>
  <si>
    <t>SEX</t>
  </si>
  <si>
    <t>SEG</t>
  </si>
  <si>
    <t>PRACA TV 1 EDICAO</t>
  </si>
  <si>
    <t xml:space="preserve"> 13:00</t>
  </si>
  <si>
    <t xml:space="preserve"> 19:40</t>
  </si>
  <si>
    <t>JORNAL DA BAND</t>
  </si>
  <si>
    <t>JORNAL DA RECORD</t>
  </si>
  <si>
    <t>SBT BRASIL</t>
  </si>
  <si>
    <t>REDETV! NEWS</t>
  </si>
  <si>
    <t>GLOBONEWS</t>
  </si>
  <si>
    <t>GLOBO NEWS EM PAUTA</t>
  </si>
  <si>
    <t>JORNAL DAS DEZ P</t>
  </si>
  <si>
    <t>SANTOS</t>
  </si>
  <si>
    <t>CAMPINAS</t>
  </si>
  <si>
    <t>RIBEIRÃO PRETO</t>
  </si>
  <si>
    <t>SÃO JOSÉ DOS CAMPOS</t>
  </si>
  <si>
    <t>CNN BRASIL</t>
  </si>
  <si>
    <t>CNN PRIME TIME P</t>
  </si>
  <si>
    <t>RECORD NEWS</t>
  </si>
  <si>
    <t>JORNAL RECORD NEWS</t>
  </si>
  <si>
    <t>BAND NEWS</t>
  </si>
  <si>
    <t>JOR BANDNEWS 2ED NOT</t>
  </si>
  <si>
    <t>SEG À DOM 05H00-24H00</t>
  </si>
  <si>
    <t>SOBRECAPA EYEPATCH - 2 PÁGINAS</t>
  </si>
  <si>
    <t>PÁGINA SIMPLES (24,6 X 38,7)</t>
  </si>
  <si>
    <t>CAPA PROMO - 2 PÁGINAS</t>
  </si>
  <si>
    <t>SOBRECAPA FALSA ESPECIAL</t>
  </si>
  <si>
    <t>SOBRECAPA 2 PÁGINAS</t>
  </si>
  <si>
    <t>SOBRECAPA - ESPAGUETE CAPA JORNAL</t>
  </si>
  <si>
    <t>1 PUBLI EDITORIAL</t>
  </si>
  <si>
    <t>SAÕ PAULO</t>
  </si>
  <si>
    <t>SAÕ PAULO CAPITAL</t>
  </si>
  <si>
    <t>BAND CAMPINAS</t>
  </si>
  <si>
    <t>BAND PAULISTA</t>
  </si>
  <si>
    <t>BAND VALE TAUBATÉ</t>
  </si>
  <si>
    <t>SP3 - SBT RIBEIRÃO PRETO</t>
  </si>
  <si>
    <t>SP1 - SBT SÃO PAULO</t>
  </si>
  <si>
    <t>SP5 - TV SOROCABA - SBT SOROCABA</t>
  </si>
  <si>
    <t>SP2 - SBT JAÚ</t>
  </si>
  <si>
    <t>SP6 - TV I ARAÇATUBA - SBT ARAÇATUBA</t>
  </si>
  <si>
    <t>SP7 - SBT SÃO JOSÉ DOS CAMPOS</t>
  </si>
  <si>
    <t>SP9 - REDE VTV - SBT SANTOS/CAMPINAS</t>
  </si>
  <si>
    <t>FRANCA</t>
  </si>
  <si>
    <t>BAURU</t>
  </si>
  <si>
    <t>SÃO JOSÉ DO RIO PRETO</t>
  </si>
  <si>
    <t>ADSTREAM</t>
  </si>
  <si>
    <t>TV CULTURA</t>
  </si>
  <si>
    <t>TV GAZETA</t>
  </si>
  <si>
    <t>60"</t>
  </si>
  <si>
    <t>BANDNEWS</t>
  </si>
  <si>
    <t>RESUMO DE MEIOS - SÃO PAULO ESTADO</t>
  </si>
  <si>
    <t>JORNAL NACIONAL - PRIMEIRISSIMA</t>
  </si>
  <si>
    <t>TT TV PAGA</t>
  </si>
  <si>
    <t>TV PAGA</t>
  </si>
  <si>
    <t>TOTAL GERAL CAMPANHA ESCASSEZ HIDRICA - CRÍTICO | SPE</t>
  </si>
  <si>
    <t>UTILIZAÇÃO DE SALDO DE PACOTES</t>
  </si>
  <si>
    <t>RESUMO DE MEIOS - SÃO PAULO CAPITAL</t>
  </si>
  <si>
    <t>TOTAL GERAL CAMPANHA ESCASSEZ HIDRICA - CRÍTICO | SP1</t>
  </si>
  <si>
    <t>SITE - 970X150px (super banner 2), um anúncio 300x250 (banner single) e um anúncio 728 x 90 (super banner 1 )</t>
  </si>
  <si>
    <t>PLATAFORMA</t>
  </si>
  <si>
    <t>DESKTOP E MOBILE</t>
  </si>
  <si>
    <t>TIPO DE MÍDIA</t>
  </si>
  <si>
    <t>ENTREGA</t>
  </si>
  <si>
    <t>PERÍODO</t>
  </si>
  <si>
    <t>VALOR TABELA</t>
  </si>
  <si>
    <t>DESCONTO %</t>
  </si>
  <si>
    <t>VALOR NEGOCIADO TOTAL</t>
  </si>
  <si>
    <t>VALOR LIQUIDO</t>
  </si>
  <si>
    <t>SALDO PACOTE</t>
  </si>
  <si>
    <t>TOTAL A SER FATURADO</t>
  </si>
  <si>
    <t>TARGET AS ABCDE 25+ (32MM)</t>
  </si>
  <si>
    <t>COBERTURA</t>
  </si>
  <si>
    <t>ALCANCE</t>
  </si>
  <si>
    <t>FREQUÊNCIA</t>
  </si>
  <si>
    <t>IMPACTOS</t>
  </si>
  <si>
    <t>SPE:</t>
  </si>
  <si>
    <t>SP1:</t>
  </si>
  <si>
    <t>TARGET AS ABCDE 25+ (14MM)</t>
  </si>
  <si>
    <t>V5</t>
  </si>
  <si>
    <t>Inclusão da veiculação de TV aberta e fechada</t>
  </si>
  <si>
    <t>JORNAL HOJE</t>
  </si>
  <si>
    <t>BOM DIA PRACA</t>
  </si>
  <si>
    <t>BOM DIA BRASIL</t>
  </si>
  <si>
    <t>PRACA TV 2 ED SAB</t>
  </si>
  <si>
    <t>DETALHE</t>
  </si>
  <si>
    <t>EMISSORA</t>
  </si>
  <si>
    <t>INSERÇÕES</t>
  </si>
  <si>
    <t>INVESTIMENTO</t>
  </si>
  <si>
    <t>% AUDIÊNCIA</t>
  </si>
  <si>
    <t>% INVESTIMENTO</t>
  </si>
  <si>
    <t>V6</t>
  </si>
  <si>
    <t>Ajuste conforme inserções de TV encaixadas</t>
  </si>
  <si>
    <t>CIDADE ALERTA ED SAB</t>
  </si>
  <si>
    <t>60'' - SOLUCOES SP</t>
  </si>
  <si>
    <t>30'' - SOLUCOES SP 01 DE 05</t>
  </si>
  <si>
    <t>SP1 - SÃO PAULO - TV GLOBO</t>
  </si>
  <si>
    <t>SP1 - BAND SÃO PAULO</t>
  </si>
  <si>
    <t>SAO - RECORD TV SÃO PAULO</t>
  </si>
  <si>
    <t>REDE TV SÃO PAULO</t>
  </si>
  <si>
    <t>GLOBOEXPRESS</t>
  </si>
  <si>
    <t>*Gex compra para entrar JNAC</t>
  </si>
  <si>
    <t>V7</t>
  </si>
  <si>
    <t>Atualização do plano conforme o veiculado de janeiro.</t>
  </si>
  <si>
    <t>Janeiro</t>
  </si>
  <si>
    <t>Fevereiro</t>
  </si>
  <si>
    <t>SEÇÃO 3 - SBT DIGITAL - SIMULCAST, FAST, VOD</t>
  </si>
  <si>
    <t>SBT DIGITAL</t>
  </si>
  <si>
    <t>SÃO BERNARDO DO CAMPO</t>
  </si>
  <si>
    <t>JORNAL ABCD</t>
  </si>
  <si>
    <t>V8</t>
  </si>
  <si>
    <t>Atualização conforme realizado de fevereiro.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</si>
</sst>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-[$R$-416]\ * #,##0.00_-;\-[$R$-416]\ * #,##0.00_-;_-[$R$-416]\ * &quot;-&quot;??_-;_-@_-"/>
    <numFmt numFmtId="165" formatCode="_(&quot;R$ &quot;* #,##0.00_);_(&quot;R$ &quot;* \(#,##0.00\);_(&quot;R$ &quot;* &quot;-&quot;??_);_(@_)"/>
    <numFmt numFmtId="166" formatCode="_(* #,##0.00_);_(* \(#,##0.00\);_(* &quot;-&quot;??_);_(@_)"/>
    <numFmt numFmtId="167" formatCode="_(&quot;R$&quot;* #,##0.00_);_(&quot;R$&quot;* \(#,##0.00\);_(&quot;R$&quot;* &quot;-&quot;??_);_(@_)"/>
    <numFmt numFmtId="168" formatCode="_(&quot;R$&quot;* #,##0_);_(&quot;R$&quot;* \(#,##0\);_(&quot;R$&quot;* &quot;-&quot;??_);_(@_)"/>
    <numFmt numFmtId="169" formatCode="_-* #,##0_-;\-* #,##0_-;_-* &quot;-&quot;??_-;_-@_-"/>
    <numFmt numFmtId="170" formatCode="#,##0_ ;\-#,##0\ "/>
    <numFmt numFmtId="171" formatCode="0.000%"/>
    <numFmt numFmtId="172" formatCode="dd/mm/yy;@"/>
    <numFmt numFmtId="173" formatCode="0.0%"/>
    <numFmt numFmtId="174" formatCode="#,##0;[Red]#,##0"/>
    <numFmt numFmtId="175" formatCode="d/m/yy;@"/>
    <numFmt numFmtId="176" formatCode="&quot;R$&quot;\ #,##0.00"/>
    <numFmt numFmtId="177" formatCode="[$R$ -416]#,##0.00"/>
    <numFmt numFmtId="178" formatCode="0.0"/>
    <numFmt numFmtId="179" formatCode="_-* #,##0.0_-;\-* #,##0.0_-;_-* &quot;-&quot;??_-;_-@_-"/>
    <numFmt numFmtId="180" formatCode="_-&quot;R$&quot;\ * #,##0_-;\-&quot;R$&quot;\ * #,##0_-;_-&quot;R$&quot;\ * &quot;-&quot;??_-;_-@_-"/>
    <numFmt numFmtId="181" formatCode="_(* #,##0_);_(* \(#,##0\);_(* &quot;-&quot;??_);_(@_)"/>
  </numFmts>
  <fonts count="62" x14ac:knownFonts="1">
    <font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theme="0"/>
      <name val="Tahoma"/>
      <family val="2"/>
    </font>
    <font>
      <sz val="8"/>
      <name val="Tahoma"/>
      <family val="2"/>
    </font>
    <font>
      <b/>
      <u/>
      <sz val="8"/>
      <name val="Tahoma"/>
      <family val="2"/>
    </font>
    <font>
      <b/>
      <sz val="8"/>
      <name val="Tahoma"/>
      <family val="2"/>
    </font>
    <font>
      <b/>
      <sz val="8"/>
      <color theme="0" tint="-0.499984740745262"/>
      <name val="Tahoma"/>
      <family val="2"/>
    </font>
    <font>
      <b/>
      <sz val="8"/>
      <color rgb="FF808080"/>
      <name val="Tahoma"/>
      <family val="2"/>
    </font>
    <font>
      <sz val="8"/>
      <color theme="0"/>
      <name val="Tahoma"/>
      <family val="2"/>
    </font>
    <font>
      <sz val="12"/>
      <color theme="1"/>
      <name val="Aptos Narrow"/>
      <family val="2"/>
      <scheme val="minor"/>
    </font>
    <font>
      <sz val="11"/>
      <color indexed="8"/>
      <name val="Calibri"/>
      <family val="2"/>
    </font>
    <font>
      <b/>
      <sz val="9"/>
      <name val="Tahoma"/>
      <family val="2"/>
    </font>
    <font>
      <b/>
      <sz val="8"/>
      <color rgb="FFFF0000"/>
      <name val="Tahoma"/>
      <family val="2"/>
    </font>
    <font>
      <sz val="8"/>
      <color theme="1"/>
      <name val="Tahoma"/>
      <family val="2"/>
    </font>
    <font>
      <b/>
      <sz val="9"/>
      <color theme="0"/>
      <name val="Tahoma"/>
      <family val="2"/>
    </font>
    <font>
      <sz val="7"/>
      <name val="Tahoma"/>
      <family val="2"/>
    </font>
    <font>
      <b/>
      <i/>
      <u/>
      <sz val="8"/>
      <name val="Tahoma"/>
      <family val="2"/>
    </font>
    <font>
      <sz val="7"/>
      <color theme="1" tint="0.499984740745262"/>
      <name val="Tahoma"/>
      <family val="2"/>
    </font>
    <font>
      <sz val="8"/>
      <color theme="5"/>
      <name val="Tahoma"/>
      <family val="2"/>
    </font>
    <font>
      <b/>
      <sz val="8"/>
      <color theme="1"/>
      <name val="Tahoma"/>
      <family val="2"/>
    </font>
    <font>
      <sz val="9"/>
      <name val="Tahoma"/>
      <family val="2"/>
    </font>
    <font>
      <sz val="9"/>
      <name val="Arial"/>
      <family val="2"/>
    </font>
    <font>
      <b/>
      <sz val="8"/>
      <color theme="5"/>
      <name val="Tahoma"/>
      <family val="2"/>
    </font>
    <font>
      <sz val="7"/>
      <color theme="1"/>
      <name val="Tahoma"/>
      <family val="2"/>
    </font>
    <font>
      <sz val="11"/>
      <name val="Tahoma"/>
      <family val="2"/>
    </font>
    <font>
      <b/>
      <sz val="11"/>
      <color indexed="8"/>
      <name val="Tahoma"/>
      <family val="2"/>
    </font>
    <font>
      <b/>
      <sz val="11"/>
      <color indexed="9"/>
      <name val="Tahoma"/>
      <family val="2"/>
    </font>
    <font>
      <b/>
      <sz val="11"/>
      <color theme="1" tint="0.34998626667073579"/>
      <name val="Tahoma"/>
      <family val="2"/>
    </font>
    <font>
      <b/>
      <sz val="11"/>
      <name val="Tahoma"/>
      <family val="2"/>
    </font>
    <font>
      <sz val="11"/>
      <color theme="1" tint="0.34998626667073579"/>
      <name val="Tahoma"/>
      <family val="2"/>
    </font>
    <font>
      <sz val="11"/>
      <color indexed="8"/>
      <name val="Tahoma"/>
      <family val="2"/>
    </font>
    <font>
      <sz val="11"/>
      <color theme="1"/>
      <name val="Tahoma"/>
      <family val="2"/>
    </font>
    <font>
      <sz val="10"/>
      <name val="Arial"/>
      <family val="2"/>
    </font>
    <font>
      <sz val="8"/>
      <color theme="0" tint="-0.499984740745262"/>
      <name val="Tahoma"/>
      <family val="2"/>
    </font>
    <font>
      <b/>
      <sz val="12"/>
      <name val="Tahoma"/>
      <family val="2"/>
    </font>
    <font>
      <b/>
      <u/>
      <sz val="8"/>
      <color theme="0"/>
      <name val="Tahoma"/>
      <family val="2"/>
    </font>
    <font>
      <b/>
      <sz val="12"/>
      <color theme="1"/>
      <name val="Aptos"/>
      <family val="2"/>
    </font>
    <font>
      <b/>
      <sz val="7"/>
      <color rgb="FFC00000"/>
      <name val="Tahoma"/>
      <family val="2"/>
    </font>
    <font>
      <b/>
      <sz val="8"/>
      <color theme="0"/>
      <name val="Arial"/>
      <family val="2"/>
    </font>
    <font>
      <b/>
      <sz val="10"/>
      <name val="Arial"/>
      <family val="2"/>
    </font>
    <font>
      <b/>
      <sz val="16"/>
      <name val="Tahoma"/>
      <family val="2"/>
    </font>
    <font>
      <sz val="6"/>
      <color theme="1" tint="0.499984740745262"/>
      <name val="Tahoma"/>
      <family val="2"/>
    </font>
    <font>
      <b/>
      <sz val="7"/>
      <name val="Tahoma"/>
      <family val="2"/>
    </font>
    <font>
      <sz val="11"/>
      <color theme="1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b/>
      <sz val="11"/>
      <color theme="0"/>
      <name val="Calibri"/>
      <family val="2"/>
    </font>
    <font>
      <sz val="8"/>
      <color theme="1" tint="0.499984740745262"/>
      <name val="Tahoma"/>
      <family val="2"/>
    </font>
    <font>
      <sz val="7"/>
      <color theme="1" tint="0.34998626667073579"/>
      <name val="Tahoma"/>
      <family val="2"/>
    </font>
    <font>
      <sz val="10"/>
      <color theme="0"/>
      <name val="Arial"/>
      <family val="2"/>
    </font>
    <font>
      <sz val="8"/>
      <color theme="0" tint="-0.249977111117893"/>
      <name val="Tahoma"/>
      <family val="2"/>
    </font>
    <font>
      <sz val="11"/>
      <name val="Calibri"/>
      <family val="2"/>
    </font>
    <font>
      <sz val="8"/>
      <color theme="2" tint="-0.499984740745262"/>
      <name val="Tahoma"/>
      <family val="2"/>
    </font>
    <font>
      <sz val="8"/>
      <color theme="2" tint="-0.499984740745262"/>
      <name val="Aptos Narrow"/>
      <family val="2"/>
      <scheme val="minor"/>
    </font>
    <font>
      <b/>
      <sz val="8"/>
      <color indexed="9"/>
      <name val="Tahoma"/>
      <family val="2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rgb="FF000000"/>
        <bgColor rgb="FFD9E1F2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6" tint="0.79998168889431442"/>
        <bgColor indexed="64"/>
      </patternFill>
    </fill>
  </fills>
  <borders count="4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indexed="64"/>
      </bottom>
      <diagonal/>
    </border>
    <border>
      <left style="thin">
        <color theme="0"/>
      </left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indexed="64"/>
      </left>
      <right style="thin">
        <color theme="1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theme="1"/>
      </right>
      <top/>
      <bottom/>
      <diagonal/>
    </border>
    <border>
      <left style="thin">
        <color indexed="64"/>
      </left>
      <right style="thin">
        <color theme="1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theme="1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/>
      <top style="thin">
        <color rgb="FF000000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2"/>
      </left>
      <right/>
      <top/>
      <bottom/>
      <diagonal/>
    </border>
    <border>
      <left style="thin">
        <color theme="2"/>
      </left>
      <right/>
      <top style="thin">
        <color theme="2"/>
      </top>
      <bottom/>
      <diagonal/>
    </border>
    <border>
      <left style="thin">
        <color theme="2"/>
      </left>
      <right/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/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theme="1"/>
      </bottom>
      <diagonal/>
    </border>
  </borders>
  <cellStyleXfs count="23">
    <xf numFmtId="0" fontId="0" fillId="0" borderId="0"/>
    <xf numFmtId="43" fontId="13" fillId="0" borderId="0" applyFont="0" applyFill="0" applyBorder="0" applyAlignment="0" applyProtection="0"/>
    <xf numFmtId="44" fontId="13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/>
    <xf numFmtId="0" fontId="4" fillId="0" borderId="0"/>
    <xf numFmtId="43" fontId="14" fillId="0" borderId="0" applyFont="0" applyFill="0" applyBorder="0" applyAlignment="0" applyProtection="0"/>
    <xf numFmtId="165" fontId="4" fillId="0" borderId="0" applyFont="0" applyFill="0" applyBorder="0" applyAlignment="0" applyProtection="0"/>
    <xf numFmtId="9" fontId="4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3" fillId="0" borderId="0"/>
    <xf numFmtId="4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2" fillId="0" borderId="0"/>
    <xf numFmtId="0" fontId="4" fillId="0" borderId="0"/>
    <xf numFmtId="0" fontId="4" fillId="0" borderId="0"/>
    <xf numFmtId="0" fontId="36" fillId="0" borderId="0"/>
    <xf numFmtId="43" fontId="36" fillId="0" borderId="0" applyFont="0" applyFill="0" applyBorder="0" applyAlignment="0" applyProtection="0"/>
    <xf numFmtId="9" fontId="13" fillId="0" borderId="0" applyFont="0" applyFill="0" applyBorder="0" applyAlignment="0" applyProtection="0"/>
    <xf numFmtId="0" fontId="4" fillId="0" borderId="0" applyNumberFormat="0" applyFill="0" applyBorder="0" applyAlignment="0" applyProtection="0"/>
    <xf numFmtId="0" fontId="1" fillId="0" borderId="0"/>
    <xf numFmtId="44" fontId="1" fillId="0" borderId="0" applyFont="0" applyFill="0" applyBorder="0" applyAlignment="0" applyProtection="0"/>
    <xf numFmtId="165" fontId="1" fillId="0" borderId="0" applyFont="0" applyFill="0" applyBorder="0" applyAlignment="0" applyProtection="0"/>
  </cellStyleXfs>
  <cellXfs count="669">
    <xf numFmtId="0" fontId="0" fillId="0" borderId="0" xfId="0"/>
    <xf numFmtId="0" fontId="4" fillId="0" borderId="0" xfId="4"/>
    <xf numFmtId="0" fontId="7" fillId="0" borderId="0" xfId="4" applyFont="1"/>
    <xf numFmtId="0" fontId="8" fillId="0" borderId="0" xfId="4" applyFont="1" applyAlignment="1">
      <alignment horizontal="center" vertical="center" wrapText="1"/>
    </xf>
    <xf numFmtId="0" fontId="9" fillId="0" borderId="0" xfId="4" applyFont="1" applyAlignment="1">
      <alignment horizontal="center" vertical="center"/>
    </xf>
    <xf numFmtId="0" fontId="10" fillId="3" borderId="0" xfId="5" applyFont="1" applyFill="1" applyAlignment="1">
      <alignment horizontal="left"/>
    </xf>
    <xf numFmtId="0" fontId="11" fillId="3" borderId="0" xfId="4" applyFont="1" applyFill="1" applyAlignment="1">
      <alignment horizontal="left"/>
    </xf>
    <xf numFmtId="0" fontId="6" fillId="2" borderId="3" xfId="5" applyFont="1" applyFill="1" applyBorder="1" applyAlignment="1">
      <alignment horizontal="center" vertical="center"/>
    </xf>
    <xf numFmtId="0" fontId="6" fillId="4" borderId="3" xfId="5" applyFont="1" applyFill="1" applyBorder="1" applyAlignment="1">
      <alignment horizontal="center" vertical="center"/>
    </xf>
    <xf numFmtId="165" fontId="7" fillId="0" borderId="10" xfId="7" applyFont="1" applyFill="1" applyBorder="1" applyAlignment="1">
      <alignment vertical="center" wrapText="1"/>
    </xf>
    <xf numFmtId="165" fontId="7" fillId="0" borderId="0" xfId="7" applyFont="1" applyFill="1" applyBorder="1" applyAlignment="1">
      <alignment vertical="center" wrapText="1"/>
    </xf>
    <xf numFmtId="0" fontId="15" fillId="5" borderId="1" xfId="5" applyFont="1" applyFill="1" applyBorder="1" applyAlignment="1">
      <alignment horizontal="center" vertical="center" wrapText="1"/>
    </xf>
    <xf numFmtId="0" fontId="15" fillId="0" borderId="1" xfId="5" applyFont="1" applyBorder="1" applyAlignment="1">
      <alignment horizontal="center" vertical="center" wrapText="1"/>
    </xf>
    <xf numFmtId="0" fontId="15" fillId="6" borderId="1" xfId="5" applyFont="1" applyFill="1" applyBorder="1" applyAlignment="1">
      <alignment horizontal="center" vertical="center" wrapText="1"/>
    </xf>
    <xf numFmtId="0" fontId="7" fillId="0" borderId="12" xfId="8" applyNumberFormat="1" applyFont="1" applyFill="1" applyBorder="1" applyAlignment="1">
      <alignment horizontal="center" vertical="center" wrapText="1"/>
    </xf>
    <xf numFmtId="165" fontId="7" fillId="0" borderId="15" xfId="7" applyFont="1" applyBorder="1" applyAlignment="1">
      <alignment horizontal="center" vertical="center" wrapText="1"/>
    </xf>
    <xf numFmtId="9" fontId="7" fillId="0" borderId="12" xfId="8" applyFont="1" applyFill="1" applyBorder="1" applyAlignment="1">
      <alignment horizontal="center" vertical="center" wrapText="1"/>
    </xf>
    <xf numFmtId="165" fontId="7" fillId="0" borderId="12" xfId="7" applyFont="1" applyFill="1" applyBorder="1" applyAlignment="1">
      <alignment horizontal="center" vertical="center" wrapText="1"/>
    </xf>
    <xf numFmtId="165" fontId="7" fillId="0" borderId="12" xfId="7" applyFont="1" applyFill="1" applyBorder="1" applyAlignment="1">
      <alignment vertical="center" wrapText="1"/>
    </xf>
    <xf numFmtId="9" fontId="7" fillId="0" borderId="15" xfId="8" applyFont="1" applyFill="1" applyBorder="1" applyAlignment="1">
      <alignment horizontal="center" vertical="center" wrapText="1"/>
    </xf>
    <xf numFmtId="165" fontId="7" fillId="0" borderId="15" xfId="7" applyFont="1" applyFill="1" applyBorder="1" applyAlignment="1">
      <alignment horizontal="center" vertical="center" wrapText="1"/>
    </xf>
    <xf numFmtId="165" fontId="7" fillId="0" borderId="15" xfId="7" applyFont="1" applyFill="1" applyBorder="1" applyAlignment="1">
      <alignment vertical="center" wrapText="1"/>
    </xf>
    <xf numFmtId="165" fontId="7" fillId="0" borderId="15" xfId="7" applyFont="1" applyBorder="1" applyAlignment="1">
      <alignment vertical="center" wrapText="1"/>
    </xf>
    <xf numFmtId="165" fontId="7" fillId="0" borderId="1" xfId="7" applyFont="1" applyFill="1" applyBorder="1" applyAlignment="1">
      <alignment vertical="center" wrapText="1"/>
    </xf>
    <xf numFmtId="165" fontId="7" fillId="0" borderId="17" xfId="7" applyFont="1" applyFill="1" applyBorder="1" applyAlignment="1">
      <alignment vertical="center" wrapText="1"/>
    </xf>
    <xf numFmtId="167" fontId="6" fillId="2" borderId="17" xfId="7" applyNumberFormat="1" applyFont="1" applyFill="1" applyBorder="1" applyAlignment="1">
      <alignment horizontal="left" vertical="center"/>
    </xf>
    <xf numFmtId="167" fontId="6" fillId="2" borderId="17" xfId="7" applyNumberFormat="1" applyFont="1" applyFill="1" applyBorder="1" applyAlignment="1">
      <alignment horizontal="center" vertical="center"/>
    </xf>
    <xf numFmtId="0" fontId="6" fillId="2" borderId="7" xfId="5" applyFont="1" applyFill="1" applyBorder="1" applyAlignment="1">
      <alignment horizontal="center" vertical="center"/>
    </xf>
    <xf numFmtId="0" fontId="7" fillId="0" borderId="0" xfId="5" applyFont="1"/>
    <xf numFmtId="0" fontId="9" fillId="0" borderId="0" xfId="5" applyFont="1" applyAlignment="1">
      <alignment horizontal="center" vertical="center"/>
    </xf>
    <xf numFmtId="0" fontId="7" fillId="0" borderId="0" xfId="5" applyFont="1" applyAlignment="1">
      <alignment horizontal="center" vertical="center"/>
    </xf>
    <xf numFmtId="43" fontId="7" fillId="0" borderId="0" xfId="5" applyNumberFormat="1" applyFont="1"/>
    <xf numFmtId="0" fontId="9" fillId="0" borderId="0" xfId="5" applyFont="1" applyAlignment="1">
      <alignment vertical="center"/>
    </xf>
    <xf numFmtId="0" fontId="6" fillId="2" borderId="4" xfId="5" applyFont="1" applyFill="1" applyBorder="1" applyAlignment="1">
      <alignment horizontal="center" vertical="center"/>
    </xf>
    <xf numFmtId="0" fontId="7" fillId="0" borderId="13" xfId="5" applyFont="1" applyBorder="1" applyAlignment="1">
      <alignment horizontal="center" vertical="center"/>
    </xf>
    <xf numFmtId="0" fontId="7" fillId="0" borderId="12" xfId="5" applyFont="1" applyBorder="1" applyAlignment="1">
      <alignment horizontal="center" vertical="center"/>
    </xf>
    <xf numFmtId="0" fontId="9" fillId="0" borderId="15" xfId="5" applyFont="1" applyBorder="1" applyAlignment="1">
      <alignment horizontal="center" vertical="center" wrapText="1"/>
    </xf>
    <xf numFmtId="0" fontId="7" fillId="0" borderId="15" xfId="5" applyFont="1" applyBorder="1" applyAlignment="1">
      <alignment horizontal="center" vertical="center"/>
    </xf>
    <xf numFmtId="0" fontId="7" fillId="0" borderId="16" xfId="5" applyFont="1" applyBorder="1" applyAlignment="1">
      <alignment horizontal="center" vertical="center"/>
    </xf>
    <xf numFmtId="0" fontId="9" fillId="0" borderId="16" xfId="5" applyFont="1" applyBorder="1" applyAlignment="1">
      <alignment horizontal="center" vertical="center" wrapText="1"/>
    </xf>
    <xf numFmtId="0" fontId="6" fillId="2" borderId="17" xfId="5" applyFont="1" applyFill="1" applyBorder="1" applyAlignment="1">
      <alignment horizontal="center" vertical="center"/>
    </xf>
    <xf numFmtId="0" fontId="9" fillId="0" borderId="12" xfId="5" applyFont="1" applyBorder="1" applyAlignment="1">
      <alignment horizontal="center" vertical="center" wrapText="1"/>
    </xf>
    <xf numFmtId="0" fontId="7" fillId="0" borderId="15" xfId="5" applyFont="1" applyBorder="1" applyAlignment="1">
      <alignment horizontal="left" vertical="center" wrapText="1"/>
    </xf>
    <xf numFmtId="0" fontId="7" fillId="0" borderId="0" xfId="5" applyFont="1" applyAlignment="1">
      <alignment vertical="center"/>
    </xf>
    <xf numFmtId="0" fontId="9" fillId="0" borderId="15" xfId="5" applyFont="1" applyBorder="1" applyAlignment="1">
      <alignment horizontal="center" vertical="center"/>
    </xf>
    <xf numFmtId="0" fontId="4" fillId="0" borderId="0" xfId="5"/>
    <xf numFmtId="43" fontId="7" fillId="0" borderId="0" xfId="5" applyNumberFormat="1" applyFont="1" applyAlignment="1">
      <alignment horizontal="center"/>
    </xf>
    <xf numFmtId="169" fontId="7" fillId="0" borderId="0" xfId="1" applyNumberFormat="1" applyFont="1" applyAlignment="1">
      <alignment horizontal="center"/>
    </xf>
    <xf numFmtId="170" fontId="7" fillId="0" borderId="0" xfId="5" applyNumberFormat="1" applyFont="1" applyAlignment="1">
      <alignment horizontal="center" vertical="center"/>
    </xf>
    <xf numFmtId="169" fontId="7" fillId="0" borderId="0" xfId="1" applyNumberFormat="1" applyFont="1"/>
    <xf numFmtId="0" fontId="19" fillId="0" borderId="0" xfId="5" applyFont="1"/>
    <xf numFmtId="0" fontId="8" fillId="0" borderId="0" xfId="5" applyFont="1" applyAlignment="1">
      <alignment horizontal="left" vertical="center"/>
    </xf>
    <xf numFmtId="165" fontId="7" fillId="0" borderId="0" xfId="5" applyNumberFormat="1" applyFont="1"/>
    <xf numFmtId="3" fontId="9" fillId="0" borderId="0" xfId="5" applyNumberFormat="1" applyFont="1" applyAlignment="1">
      <alignment horizontal="center" vertical="center"/>
    </xf>
    <xf numFmtId="0" fontId="11" fillId="3" borderId="0" xfId="5" applyFont="1" applyFill="1" applyAlignment="1">
      <alignment horizontal="left"/>
    </xf>
    <xf numFmtId="43" fontId="6" fillId="0" borderId="0" xfId="6" applyFont="1" applyFill="1" applyBorder="1" applyAlignment="1">
      <alignment horizontal="center" vertical="center" wrapText="1"/>
    </xf>
    <xf numFmtId="0" fontId="6" fillId="0" borderId="0" xfId="5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5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  <xf numFmtId="43" fontId="6" fillId="0" borderId="0" xfId="6" applyFont="1" applyAlignment="1">
      <alignment horizontal="center" vertical="center" wrapText="1"/>
    </xf>
    <xf numFmtId="169" fontId="6" fillId="0" borderId="0" xfId="1" applyNumberFormat="1" applyFont="1" applyAlignment="1">
      <alignment horizontal="center" vertical="center" wrapText="1"/>
    </xf>
    <xf numFmtId="170" fontId="6" fillId="0" borderId="0" xfId="6" applyNumberFormat="1" applyFont="1" applyAlignment="1">
      <alignment horizontal="center" vertical="center" wrapText="1"/>
    </xf>
    <xf numFmtId="0" fontId="7" fillId="0" borderId="12" xfId="5" applyFont="1" applyBorder="1"/>
    <xf numFmtId="0" fontId="9" fillId="0" borderId="12" xfId="0" applyFont="1" applyBorder="1" applyAlignment="1">
      <alignment horizontal="left" vertical="center" wrapText="1"/>
    </xf>
    <xf numFmtId="0" fontId="15" fillId="5" borderId="1" xfId="4" applyFont="1" applyFill="1" applyBorder="1" applyAlignment="1">
      <alignment horizontal="center" vertical="center" wrapText="1"/>
    </xf>
    <xf numFmtId="0" fontId="15" fillId="6" borderId="1" xfId="4" applyFont="1" applyFill="1" applyBorder="1" applyAlignment="1">
      <alignment horizontal="center" vertical="center" wrapText="1"/>
    </xf>
    <xf numFmtId="3" fontId="7" fillId="0" borderId="12" xfId="8" applyNumberFormat="1" applyFont="1" applyBorder="1" applyAlignment="1">
      <alignment horizontal="center" vertical="center" wrapText="1"/>
    </xf>
    <xf numFmtId="165" fontId="7" fillId="0" borderId="12" xfId="7" applyFont="1" applyBorder="1" applyAlignment="1">
      <alignment vertical="center" wrapText="1"/>
    </xf>
    <xf numFmtId="9" fontId="7" fillId="0" borderId="12" xfId="3" applyFont="1" applyBorder="1" applyAlignment="1">
      <alignment horizontal="center" vertical="center" wrapText="1"/>
    </xf>
    <xf numFmtId="165" fontId="7" fillId="0" borderId="22" xfId="7" applyFont="1" applyBorder="1" applyAlignment="1">
      <alignment vertical="center" wrapText="1"/>
    </xf>
    <xf numFmtId="165" fontId="7" fillId="0" borderId="22" xfId="7" applyFont="1" applyBorder="1" applyAlignment="1">
      <alignment horizontal="center" vertical="center" wrapText="1"/>
    </xf>
    <xf numFmtId="169" fontId="7" fillId="0" borderId="22" xfId="1" applyNumberFormat="1" applyFont="1" applyBorder="1" applyAlignment="1">
      <alignment horizontal="center" vertical="center" wrapText="1"/>
    </xf>
    <xf numFmtId="170" fontId="7" fillId="0" borderId="22" xfId="7" applyNumberFormat="1" applyFont="1" applyBorder="1" applyAlignment="1">
      <alignment horizontal="center" vertical="center" wrapText="1"/>
    </xf>
    <xf numFmtId="169" fontId="7" fillId="0" borderId="22" xfId="1" applyNumberFormat="1" applyFont="1" applyBorder="1" applyAlignment="1">
      <alignment vertical="center" wrapText="1"/>
    </xf>
    <xf numFmtId="169" fontId="7" fillId="0" borderId="13" xfId="1" applyNumberFormat="1" applyFont="1" applyBorder="1" applyAlignment="1">
      <alignment vertical="center" wrapText="1"/>
    </xf>
    <xf numFmtId="169" fontId="7" fillId="0" borderId="12" xfId="1" applyNumberFormat="1" applyFont="1" applyBorder="1" applyAlignment="1">
      <alignment vertical="center" wrapText="1"/>
    </xf>
    <xf numFmtId="0" fontId="9" fillId="0" borderId="12" xfId="5" applyFont="1" applyBorder="1" applyAlignment="1">
      <alignment horizontal="center" vertical="center"/>
    </xf>
    <xf numFmtId="44" fontId="7" fillId="0" borderId="12" xfId="2" applyFont="1" applyBorder="1" applyAlignment="1">
      <alignment horizontal="center" vertical="center"/>
    </xf>
    <xf numFmtId="44" fontId="7" fillId="0" borderId="23" xfId="2" applyFont="1" applyBorder="1" applyAlignment="1">
      <alignment horizontal="center" vertical="center"/>
    </xf>
    <xf numFmtId="0" fontId="20" fillId="0" borderId="15" xfId="0" applyFont="1" applyBorder="1" applyAlignment="1">
      <alignment vertical="center"/>
    </xf>
    <xf numFmtId="0" fontId="9" fillId="0" borderId="15" xfId="0" applyFont="1" applyBorder="1" applyAlignment="1">
      <alignment horizontal="left" vertical="center" wrapText="1"/>
    </xf>
    <xf numFmtId="3" fontId="7" fillId="0" borderId="24" xfId="8" applyNumberFormat="1" applyFont="1" applyBorder="1" applyAlignment="1">
      <alignment horizontal="center" vertical="center" wrapText="1"/>
    </xf>
    <xf numFmtId="9" fontId="7" fillId="0" borderId="15" xfId="3" applyFont="1" applyBorder="1" applyAlignment="1">
      <alignment horizontal="center" vertical="center" wrapText="1"/>
    </xf>
    <xf numFmtId="165" fontId="7" fillId="0" borderId="25" xfId="7" applyFont="1" applyBorder="1" applyAlignment="1">
      <alignment vertical="center" wrapText="1"/>
    </xf>
    <xf numFmtId="165" fontId="7" fillId="0" borderId="25" xfId="7" applyFont="1" applyBorder="1" applyAlignment="1">
      <alignment horizontal="center" vertical="center" wrapText="1"/>
    </xf>
    <xf numFmtId="169" fontId="7" fillId="0" borderId="25" xfId="1" applyNumberFormat="1" applyFont="1" applyBorder="1" applyAlignment="1">
      <alignment horizontal="center" vertical="center" wrapText="1"/>
    </xf>
    <xf numFmtId="170" fontId="7" fillId="0" borderId="25" xfId="7" applyNumberFormat="1" applyFont="1" applyBorder="1" applyAlignment="1">
      <alignment horizontal="center" vertical="center" wrapText="1"/>
    </xf>
    <xf numFmtId="169" fontId="7" fillId="0" borderId="25" xfId="1" applyNumberFormat="1" applyFont="1" applyBorder="1" applyAlignment="1">
      <alignment vertical="center" wrapText="1"/>
    </xf>
    <xf numFmtId="169" fontId="7" fillId="0" borderId="16" xfId="1" applyNumberFormat="1" applyFont="1" applyBorder="1" applyAlignment="1">
      <alignment vertical="center" wrapText="1"/>
    </xf>
    <xf numFmtId="169" fontId="7" fillId="0" borderId="15" xfId="1" applyNumberFormat="1" applyFont="1" applyBorder="1" applyAlignment="1">
      <alignment vertical="center" wrapText="1"/>
    </xf>
    <xf numFmtId="44" fontId="7" fillId="0" borderId="15" xfId="2" applyFont="1" applyBorder="1" applyAlignment="1">
      <alignment horizontal="center" vertical="center"/>
    </xf>
    <xf numFmtId="44" fontId="7" fillId="0" borderId="24" xfId="2" applyFont="1" applyBorder="1" applyAlignment="1">
      <alignment horizontal="center" vertical="center"/>
    </xf>
    <xf numFmtId="0" fontId="9" fillId="7" borderId="15" xfId="0" applyFont="1" applyFill="1" applyBorder="1" applyAlignment="1">
      <alignment vertical="center"/>
    </xf>
    <xf numFmtId="0" fontId="9" fillId="0" borderId="15" xfId="0" applyFont="1" applyBorder="1" applyAlignment="1">
      <alignment horizontal="left" vertical="distributed"/>
    </xf>
    <xf numFmtId="0" fontId="9" fillId="0" borderId="15" xfId="5" applyFont="1" applyBorder="1" applyAlignment="1">
      <alignment horizontal="left" vertical="center" wrapText="1"/>
    </xf>
    <xf numFmtId="9" fontId="7" fillId="8" borderId="15" xfId="3" applyFont="1" applyFill="1" applyBorder="1" applyAlignment="1">
      <alignment horizontal="center" vertical="center" wrapText="1"/>
    </xf>
    <xf numFmtId="9" fontId="9" fillId="0" borderId="0" xfId="3" applyFont="1" applyAlignment="1">
      <alignment vertical="center"/>
    </xf>
    <xf numFmtId="9" fontId="7" fillId="0" borderId="25" xfId="3" applyFont="1" applyBorder="1" applyAlignment="1">
      <alignment vertical="center" wrapText="1"/>
    </xf>
    <xf numFmtId="2" fontId="7" fillId="0" borderId="25" xfId="7" applyNumberFormat="1" applyFont="1" applyBorder="1" applyAlignment="1">
      <alignment horizontal="center" vertical="center" wrapText="1"/>
    </xf>
    <xf numFmtId="169" fontId="5" fillId="0" borderId="0" xfId="1" applyNumberFormat="1" applyFont="1"/>
    <xf numFmtId="0" fontId="21" fillId="0" borderId="0" xfId="5" applyFont="1"/>
    <xf numFmtId="0" fontId="9" fillId="5" borderId="15" xfId="0" applyFont="1" applyFill="1" applyBorder="1" applyAlignment="1">
      <alignment vertical="center"/>
    </xf>
    <xf numFmtId="9" fontId="7" fillId="5" borderId="15" xfId="3" applyFont="1" applyFill="1" applyBorder="1" applyAlignment="1">
      <alignment horizontal="center" vertical="center" wrapText="1"/>
    </xf>
    <xf numFmtId="165" fontId="7" fillId="0" borderId="11" xfId="7" applyFont="1" applyBorder="1" applyAlignment="1">
      <alignment vertical="center" wrapText="1"/>
    </xf>
    <xf numFmtId="9" fontId="7" fillId="0" borderId="11" xfId="3" applyFont="1" applyBorder="1" applyAlignment="1">
      <alignment vertical="center" wrapText="1"/>
    </xf>
    <xf numFmtId="2" fontId="7" fillId="0" borderId="11" xfId="7" applyNumberFormat="1" applyFont="1" applyBorder="1" applyAlignment="1">
      <alignment horizontal="center" vertical="center" wrapText="1"/>
    </xf>
    <xf numFmtId="169" fontId="7" fillId="0" borderId="11" xfId="1" applyNumberFormat="1" applyFont="1" applyBorder="1" applyAlignment="1">
      <alignment horizontal="center" vertical="center" wrapText="1"/>
    </xf>
    <xf numFmtId="170" fontId="7" fillId="0" borderId="11" xfId="7" applyNumberFormat="1" applyFont="1" applyBorder="1" applyAlignment="1">
      <alignment horizontal="center" vertical="center" wrapText="1"/>
    </xf>
    <xf numFmtId="169" fontId="7" fillId="0" borderId="11" xfId="1" applyNumberFormat="1" applyFont="1" applyBorder="1" applyAlignment="1">
      <alignment vertical="center" wrapText="1"/>
    </xf>
    <xf numFmtId="169" fontId="7" fillId="0" borderId="18" xfId="1" applyNumberFormat="1" applyFont="1" applyBorder="1" applyAlignment="1">
      <alignment vertical="center" wrapText="1"/>
    </xf>
    <xf numFmtId="0" fontId="9" fillId="0" borderId="15" xfId="0" applyFont="1" applyBorder="1" applyAlignment="1">
      <alignment vertical="center"/>
    </xf>
    <xf numFmtId="9" fontId="7" fillId="5" borderId="12" xfId="3" applyFont="1" applyFill="1" applyBorder="1" applyAlignment="1">
      <alignment horizontal="center" vertical="center" wrapText="1"/>
    </xf>
    <xf numFmtId="171" fontId="7" fillId="0" borderId="0" xfId="3" applyNumberFormat="1" applyFont="1" applyFill="1" applyBorder="1" applyAlignment="1">
      <alignment vertical="center" wrapText="1"/>
    </xf>
    <xf numFmtId="165" fontId="7" fillId="0" borderId="11" xfId="7" applyFont="1" applyFill="1" applyBorder="1" applyAlignment="1">
      <alignment vertical="center" wrapText="1"/>
    </xf>
    <xf numFmtId="0" fontId="9" fillId="0" borderId="15" xfId="5" applyFont="1" applyBorder="1" applyAlignment="1">
      <alignment vertical="center" wrapText="1"/>
    </xf>
    <xf numFmtId="0" fontId="7" fillId="0" borderId="15" xfId="5" applyFont="1" applyBorder="1" applyAlignment="1">
      <alignment horizontal="left" vertical="distributed"/>
    </xf>
    <xf numFmtId="0" fontId="7" fillId="0" borderId="16" xfId="5" applyFont="1" applyBorder="1" applyAlignment="1">
      <alignment horizontal="center" vertical="center" wrapText="1"/>
    </xf>
    <xf numFmtId="0" fontId="7" fillId="0" borderId="23" xfId="8" applyNumberFormat="1" applyFont="1" applyBorder="1" applyAlignment="1">
      <alignment horizontal="center" vertical="center" wrapText="1"/>
    </xf>
    <xf numFmtId="165" fontId="7" fillId="5" borderId="12" xfId="7" applyFont="1" applyFill="1" applyBorder="1" applyAlignment="1">
      <alignment vertical="center" wrapText="1"/>
    </xf>
    <xf numFmtId="9" fontId="7" fillId="0" borderId="12" xfId="3" applyFont="1" applyBorder="1" applyAlignment="1">
      <alignment vertical="center" wrapText="1"/>
    </xf>
    <xf numFmtId="2" fontId="7" fillId="0" borderId="15" xfId="7" applyNumberFormat="1" applyFont="1" applyBorder="1" applyAlignment="1">
      <alignment horizontal="center" vertical="center" wrapText="1"/>
    </xf>
    <xf numFmtId="169" fontId="7" fillId="0" borderId="15" xfId="1" applyNumberFormat="1" applyFont="1" applyBorder="1" applyAlignment="1">
      <alignment horizontal="center" vertical="center" wrapText="1"/>
    </xf>
    <xf numFmtId="170" fontId="7" fillId="0" borderId="15" xfId="7" applyNumberFormat="1" applyFont="1" applyBorder="1" applyAlignment="1">
      <alignment horizontal="center" vertical="center" wrapText="1"/>
    </xf>
    <xf numFmtId="165" fontId="7" fillId="0" borderId="26" xfId="7" applyFont="1" applyBorder="1" applyAlignment="1">
      <alignment vertical="center" wrapText="1"/>
    </xf>
    <xf numFmtId="9" fontId="7" fillId="0" borderId="26" xfId="3" applyFont="1" applyBorder="1" applyAlignment="1">
      <alignment vertical="center" wrapText="1"/>
    </xf>
    <xf numFmtId="9" fontId="7" fillId="0" borderId="15" xfId="3" applyFont="1" applyBorder="1" applyAlignment="1">
      <alignment vertical="center" wrapText="1"/>
    </xf>
    <xf numFmtId="2" fontId="7" fillId="0" borderId="12" xfId="7" applyNumberFormat="1" applyFont="1" applyBorder="1" applyAlignment="1">
      <alignment horizontal="center" vertical="center" wrapText="1"/>
    </xf>
    <xf numFmtId="169" fontId="7" fillId="0" borderId="12" xfId="1" applyNumberFormat="1" applyFont="1" applyBorder="1" applyAlignment="1">
      <alignment horizontal="center" vertical="center" wrapText="1"/>
    </xf>
    <xf numFmtId="170" fontId="7" fillId="0" borderId="12" xfId="7" applyNumberFormat="1" applyFont="1" applyBorder="1" applyAlignment="1">
      <alignment horizontal="center" vertical="center" wrapText="1"/>
    </xf>
    <xf numFmtId="0" fontId="9" fillId="0" borderId="15" xfId="0" applyFont="1" applyBorder="1" applyAlignment="1">
      <alignment vertical="center" wrapText="1"/>
    </xf>
    <xf numFmtId="2" fontId="7" fillId="0" borderId="26" xfId="7" applyNumberFormat="1" applyFont="1" applyBorder="1" applyAlignment="1">
      <alignment horizontal="center" vertical="center" wrapText="1"/>
    </xf>
    <xf numFmtId="169" fontId="7" fillId="0" borderId="26" xfId="1" applyNumberFormat="1" applyFont="1" applyBorder="1" applyAlignment="1">
      <alignment horizontal="center" vertical="center" wrapText="1"/>
    </xf>
    <xf numFmtId="170" fontId="7" fillId="0" borderId="26" xfId="7" applyNumberFormat="1" applyFont="1" applyBorder="1" applyAlignment="1">
      <alignment horizontal="center" vertical="center" wrapText="1"/>
    </xf>
    <xf numFmtId="169" fontId="7" fillId="0" borderId="26" xfId="1" applyNumberFormat="1" applyFont="1" applyBorder="1" applyAlignment="1">
      <alignment vertical="center" wrapText="1"/>
    </xf>
    <xf numFmtId="0" fontId="9" fillId="0" borderId="11" xfId="5" applyFont="1" applyBorder="1" applyAlignment="1">
      <alignment horizontal="center" vertical="center"/>
    </xf>
    <xf numFmtId="44" fontId="7" fillId="0" borderId="11" xfId="2" applyFont="1" applyBorder="1" applyAlignment="1">
      <alignment horizontal="center" vertical="center"/>
    </xf>
    <xf numFmtId="0" fontId="7" fillId="0" borderId="11" xfId="5" applyFont="1" applyBorder="1" applyAlignment="1">
      <alignment horizontal="center" vertical="center"/>
    </xf>
    <xf numFmtId="44" fontId="7" fillId="0" borderId="27" xfId="2" applyFont="1" applyBorder="1" applyAlignment="1">
      <alignment horizontal="center" vertical="center"/>
    </xf>
    <xf numFmtId="0" fontId="9" fillId="2" borderId="17" xfId="5" applyFont="1" applyFill="1" applyBorder="1" applyAlignment="1">
      <alignment horizontal="center" vertical="center"/>
    </xf>
    <xf numFmtId="3" fontId="6" fillId="2" borderId="17" xfId="5" applyNumberFormat="1" applyFont="1" applyFill="1" applyBorder="1" applyAlignment="1">
      <alignment horizontal="center" vertical="center"/>
    </xf>
    <xf numFmtId="167" fontId="6" fillId="2" borderId="17" xfId="7" applyNumberFormat="1" applyFont="1" applyFill="1" applyBorder="1" applyAlignment="1">
      <alignment vertical="center"/>
    </xf>
    <xf numFmtId="9" fontId="6" fillId="2" borderId="17" xfId="3" applyFont="1" applyFill="1" applyBorder="1" applyAlignment="1">
      <alignment vertical="center"/>
    </xf>
    <xf numFmtId="167" fontId="6" fillId="2" borderId="10" xfId="7" applyNumberFormat="1" applyFont="1" applyFill="1" applyBorder="1" applyAlignment="1">
      <alignment horizontal="center" vertical="center"/>
    </xf>
    <xf numFmtId="169" fontId="6" fillId="2" borderId="10" xfId="1" applyNumberFormat="1" applyFont="1" applyFill="1" applyBorder="1" applyAlignment="1">
      <alignment horizontal="center" vertical="center"/>
    </xf>
    <xf numFmtId="170" fontId="6" fillId="2" borderId="10" xfId="7" applyNumberFormat="1" applyFont="1" applyFill="1" applyBorder="1" applyAlignment="1">
      <alignment horizontal="center" vertical="center"/>
    </xf>
    <xf numFmtId="169" fontId="6" fillId="2" borderId="10" xfId="1" applyNumberFormat="1" applyFont="1" applyFill="1" applyBorder="1" applyAlignment="1">
      <alignment vertical="center"/>
    </xf>
    <xf numFmtId="169" fontId="6" fillId="2" borderId="17" xfId="1" applyNumberFormat="1" applyFont="1" applyFill="1" applyBorder="1" applyAlignment="1">
      <alignment vertical="center"/>
    </xf>
    <xf numFmtId="169" fontId="6" fillId="2" borderId="27" xfId="1" applyNumberFormat="1" applyFont="1" applyFill="1" applyBorder="1" applyAlignment="1">
      <alignment vertical="center"/>
    </xf>
    <xf numFmtId="165" fontId="6" fillId="2" borderId="1" xfId="7" applyFont="1" applyFill="1" applyBorder="1" applyAlignment="1">
      <alignment vertical="center" wrapText="1"/>
    </xf>
    <xf numFmtId="44" fontId="6" fillId="2" borderId="27" xfId="2" applyFont="1" applyFill="1" applyBorder="1" applyAlignment="1">
      <alignment vertical="center"/>
    </xf>
    <xf numFmtId="0" fontId="19" fillId="0" borderId="0" xfId="5" applyFont="1" applyAlignment="1">
      <alignment vertical="center"/>
    </xf>
    <xf numFmtId="0" fontId="4" fillId="0" borderId="0" xfId="5" applyAlignment="1">
      <alignment vertical="center"/>
    </xf>
    <xf numFmtId="0" fontId="4" fillId="0" borderId="15" xfId="5" applyBorder="1" applyAlignment="1">
      <alignment vertical="center"/>
    </xf>
    <xf numFmtId="0" fontId="7" fillId="0" borderId="24" xfId="8" applyNumberFormat="1" applyFont="1" applyFill="1" applyBorder="1" applyAlignment="1">
      <alignment horizontal="center" vertical="center" wrapText="1"/>
    </xf>
    <xf numFmtId="9" fontId="7" fillId="0" borderId="15" xfId="3" applyFont="1" applyFill="1" applyBorder="1" applyAlignment="1">
      <alignment vertical="center" wrapText="1"/>
    </xf>
    <xf numFmtId="165" fontId="7" fillId="0" borderId="16" xfId="7" applyFont="1" applyBorder="1" applyAlignment="1">
      <alignment horizontal="center" vertical="center" wrapText="1"/>
    </xf>
    <xf numFmtId="169" fontId="7" fillId="0" borderId="16" xfId="1" applyNumberFormat="1" applyFont="1" applyBorder="1" applyAlignment="1">
      <alignment horizontal="center" vertical="center" wrapText="1"/>
    </xf>
    <xf numFmtId="170" fontId="7" fillId="0" borderId="16" xfId="7" applyNumberFormat="1" applyFont="1" applyBorder="1" applyAlignment="1">
      <alignment horizontal="center" vertical="center" wrapText="1"/>
    </xf>
    <xf numFmtId="167" fontId="6" fillId="0" borderId="15" xfId="7" applyNumberFormat="1" applyFont="1" applyFill="1" applyBorder="1" applyAlignment="1">
      <alignment vertical="center"/>
    </xf>
    <xf numFmtId="167" fontId="6" fillId="0" borderId="0" xfId="7" applyNumberFormat="1" applyFont="1" applyFill="1" applyBorder="1" applyAlignment="1">
      <alignment vertical="center"/>
    </xf>
    <xf numFmtId="9" fontId="7" fillId="5" borderId="15" xfId="3" applyFont="1" applyFill="1" applyBorder="1" applyAlignment="1">
      <alignment vertical="center" wrapText="1"/>
    </xf>
    <xf numFmtId="0" fontId="9" fillId="5" borderId="15" xfId="5" applyFont="1" applyFill="1" applyBorder="1" applyAlignment="1">
      <alignment horizontal="left" vertical="center" wrapText="1"/>
    </xf>
    <xf numFmtId="3" fontId="7" fillId="0" borderId="24" xfId="8" applyNumberFormat="1" applyFont="1" applyFill="1" applyBorder="1" applyAlignment="1">
      <alignment horizontal="center" vertical="center" wrapText="1"/>
    </xf>
    <xf numFmtId="9" fontId="22" fillId="5" borderId="15" xfId="3" applyFont="1" applyFill="1" applyBorder="1" applyAlignment="1">
      <alignment horizontal="center" vertical="center" wrapText="1"/>
    </xf>
    <xf numFmtId="9" fontId="7" fillId="0" borderId="11" xfId="3" applyFont="1" applyFill="1" applyBorder="1" applyAlignment="1">
      <alignment vertical="center" wrapText="1"/>
    </xf>
    <xf numFmtId="165" fontId="7" fillId="0" borderId="11" xfId="7" applyFont="1" applyBorder="1" applyAlignment="1">
      <alignment horizontal="center" vertical="center" wrapText="1"/>
    </xf>
    <xf numFmtId="0" fontId="7" fillId="0" borderId="23" xfId="8" applyNumberFormat="1" applyFont="1" applyFill="1" applyBorder="1" applyAlignment="1">
      <alignment horizontal="center" vertical="center" wrapText="1"/>
    </xf>
    <xf numFmtId="165" fontId="22" fillId="5" borderId="12" xfId="7" applyFont="1" applyFill="1" applyBorder="1" applyAlignment="1">
      <alignment vertical="center" wrapText="1"/>
    </xf>
    <xf numFmtId="9" fontId="17" fillId="5" borderId="15" xfId="3" applyFont="1" applyFill="1" applyBorder="1" applyAlignment="1">
      <alignment horizontal="center" vertical="center" wrapText="1"/>
    </xf>
    <xf numFmtId="165" fontId="7" fillId="5" borderId="15" xfId="7" applyFont="1" applyFill="1" applyBorder="1" applyAlignment="1">
      <alignment vertical="center" wrapText="1"/>
    </xf>
    <xf numFmtId="9" fontId="7" fillId="0" borderId="12" xfId="3" applyFont="1" applyFill="1" applyBorder="1" applyAlignment="1">
      <alignment vertical="center" wrapText="1"/>
    </xf>
    <xf numFmtId="0" fontId="7" fillId="0" borderId="11" xfId="8" applyNumberFormat="1" applyFont="1" applyFill="1" applyBorder="1" applyAlignment="1">
      <alignment horizontal="center" vertical="center" wrapText="1"/>
    </xf>
    <xf numFmtId="3" fontId="7" fillId="0" borderId="11" xfId="8" applyNumberFormat="1" applyFont="1" applyBorder="1" applyAlignment="1">
      <alignment horizontal="center" vertical="center" wrapText="1"/>
    </xf>
    <xf numFmtId="9" fontId="7" fillId="5" borderId="11" xfId="3" applyFont="1" applyFill="1" applyBorder="1" applyAlignment="1">
      <alignment horizontal="center" vertical="center" wrapText="1"/>
    </xf>
    <xf numFmtId="3" fontId="7" fillId="0" borderId="15" xfId="8" applyNumberFormat="1" applyFont="1" applyBorder="1" applyAlignment="1">
      <alignment horizontal="center" vertical="center" wrapText="1"/>
    </xf>
    <xf numFmtId="165" fontId="7" fillId="0" borderId="16" xfId="7" applyFont="1" applyBorder="1" applyAlignment="1">
      <alignment vertical="center" wrapText="1"/>
    </xf>
    <xf numFmtId="165" fontId="7" fillId="0" borderId="28" xfId="7" applyFont="1" applyBorder="1" applyAlignment="1">
      <alignment vertical="center" wrapText="1"/>
    </xf>
    <xf numFmtId="9" fontId="7" fillId="5" borderId="28" xfId="3" applyFont="1" applyFill="1" applyBorder="1" applyAlignment="1">
      <alignment horizontal="center" vertical="center" wrapText="1"/>
    </xf>
    <xf numFmtId="165" fontId="7" fillId="0" borderId="29" xfId="7" applyFont="1" applyBorder="1" applyAlignment="1">
      <alignment vertical="center" wrapText="1"/>
    </xf>
    <xf numFmtId="9" fontId="7" fillId="0" borderId="29" xfId="3" applyFont="1" applyBorder="1" applyAlignment="1">
      <alignment vertical="center" wrapText="1"/>
    </xf>
    <xf numFmtId="1" fontId="6" fillId="2" borderId="17" xfId="1" applyNumberFormat="1" applyFont="1" applyFill="1" applyBorder="1" applyAlignment="1">
      <alignment horizontal="center" vertical="center"/>
    </xf>
    <xf numFmtId="1" fontId="6" fillId="2" borderId="27" xfId="1" applyNumberFormat="1" applyFont="1" applyFill="1" applyBorder="1" applyAlignment="1">
      <alignment horizontal="center" vertical="center"/>
    </xf>
    <xf numFmtId="0" fontId="9" fillId="5" borderId="12" xfId="5" applyFont="1" applyFill="1" applyBorder="1" applyAlignment="1">
      <alignment vertical="center" wrapText="1"/>
    </xf>
    <xf numFmtId="0" fontId="7" fillId="0" borderId="30" xfId="5" applyFont="1" applyBorder="1" applyAlignment="1">
      <alignment horizontal="left" vertical="distributed"/>
    </xf>
    <xf numFmtId="0" fontId="7" fillId="0" borderId="30" xfId="5" applyFont="1" applyBorder="1" applyAlignment="1">
      <alignment horizontal="left" vertical="center" wrapText="1"/>
    </xf>
    <xf numFmtId="0" fontId="7" fillId="0" borderId="31" xfId="5" applyFont="1" applyBorder="1" applyAlignment="1">
      <alignment horizontal="center" vertical="center" wrapText="1"/>
    </xf>
    <xf numFmtId="0" fontId="7" fillId="0" borderId="12" xfId="8" applyNumberFormat="1" applyFont="1" applyBorder="1" applyAlignment="1">
      <alignment horizontal="center" vertical="center" wrapText="1"/>
    </xf>
    <xf numFmtId="2" fontId="7" fillId="0" borderId="30" xfId="7" applyNumberFormat="1" applyFont="1" applyBorder="1" applyAlignment="1">
      <alignment horizontal="center" vertical="center" wrapText="1"/>
    </xf>
    <xf numFmtId="169" fontId="7" fillId="0" borderId="30" xfId="1" applyNumberFormat="1" applyFont="1" applyBorder="1" applyAlignment="1">
      <alignment horizontal="center" vertical="center" wrapText="1"/>
    </xf>
    <xf numFmtId="170" fontId="7" fillId="0" borderId="30" xfId="7" applyNumberFormat="1" applyFont="1" applyBorder="1" applyAlignment="1">
      <alignment horizontal="center" vertical="center" wrapText="1"/>
    </xf>
    <xf numFmtId="169" fontId="7" fillId="0" borderId="30" xfId="1" applyNumberFormat="1" applyFont="1" applyBorder="1" applyAlignment="1">
      <alignment vertical="center" wrapText="1"/>
    </xf>
    <xf numFmtId="169" fontId="7" fillId="0" borderId="31" xfId="1" applyNumberFormat="1" applyFont="1" applyBorder="1" applyAlignment="1">
      <alignment vertical="center" wrapText="1"/>
    </xf>
    <xf numFmtId="167" fontId="6" fillId="0" borderId="12" xfId="7" applyNumberFormat="1" applyFont="1" applyFill="1" applyBorder="1" applyAlignment="1">
      <alignment vertical="center"/>
    </xf>
    <xf numFmtId="44" fontId="7" fillId="0" borderId="0" xfId="2" applyFont="1" applyAlignment="1">
      <alignment horizontal="center" vertical="center"/>
    </xf>
    <xf numFmtId="9" fontId="7" fillId="0" borderId="11" xfId="3" applyFont="1" applyBorder="1" applyAlignment="1">
      <alignment horizontal="center" vertical="center" wrapText="1"/>
    </xf>
    <xf numFmtId="2" fontId="6" fillId="2" borderId="17" xfId="7" applyNumberFormat="1" applyFont="1" applyFill="1" applyBorder="1" applyAlignment="1">
      <alignment horizontal="center" vertical="center"/>
    </xf>
    <xf numFmtId="169" fontId="6" fillId="2" borderId="17" xfId="1" applyNumberFormat="1" applyFont="1" applyFill="1" applyBorder="1" applyAlignment="1">
      <alignment horizontal="center" vertical="center"/>
    </xf>
    <xf numFmtId="170" fontId="6" fillId="2" borderId="17" xfId="7" applyNumberFormat="1" applyFont="1" applyFill="1" applyBorder="1" applyAlignment="1">
      <alignment horizontal="center" vertical="center"/>
    </xf>
    <xf numFmtId="169" fontId="6" fillId="2" borderId="14" xfId="1" applyNumberFormat="1" applyFont="1" applyFill="1" applyBorder="1" applyAlignment="1">
      <alignment vertical="center"/>
    </xf>
    <xf numFmtId="165" fontId="7" fillId="0" borderId="30" xfId="7" applyFont="1" applyBorder="1" applyAlignment="1">
      <alignment vertical="center" wrapText="1"/>
    </xf>
    <xf numFmtId="2" fontId="7" fillId="0" borderId="16" xfId="7" applyNumberFormat="1" applyFont="1" applyBorder="1" applyAlignment="1">
      <alignment horizontal="center" vertical="center" wrapText="1"/>
    </xf>
    <xf numFmtId="0" fontId="9" fillId="5" borderId="15" xfId="5" applyFont="1" applyFill="1" applyBorder="1" applyAlignment="1">
      <alignment vertical="center" wrapText="1"/>
    </xf>
    <xf numFmtId="0" fontId="7" fillId="0" borderId="24" xfId="8" applyNumberFormat="1" applyFont="1" applyBorder="1" applyAlignment="1">
      <alignment horizontal="center" vertical="center" wrapText="1"/>
    </xf>
    <xf numFmtId="0" fontId="6" fillId="2" borderId="10" xfId="5" applyFont="1" applyFill="1" applyBorder="1" applyAlignment="1">
      <alignment horizontal="center" vertical="center"/>
    </xf>
    <xf numFmtId="167" fontId="6" fillId="2" borderId="10" xfId="7" applyNumberFormat="1" applyFont="1" applyFill="1" applyBorder="1" applyAlignment="1">
      <alignment vertical="center"/>
    </xf>
    <xf numFmtId="0" fontId="4" fillId="0" borderId="0" xfId="5" applyAlignment="1">
      <alignment horizontal="center"/>
    </xf>
    <xf numFmtId="169" fontId="4" fillId="0" borderId="0" xfId="1" applyNumberFormat="1" applyFont="1" applyAlignment="1">
      <alignment horizontal="center"/>
    </xf>
    <xf numFmtId="170" fontId="4" fillId="0" borderId="0" xfId="5" applyNumberFormat="1" applyAlignment="1">
      <alignment horizontal="center" vertical="center"/>
    </xf>
    <xf numFmtId="169" fontId="4" fillId="0" borderId="0" xfId="1" applyNumberFormat="1" applyFont="1"/>
    <xf numFmtId="169" fontId="4" fillId="0" borderId="24" xfId="1" applyNumberFormat="1" applyFont="1" applyBorder="1"/>
    <xf numFmtId="169" fontId="4" fillId="0" borderId="0" xfId="1" applyNumberFormat="1" applyFont="1" applyBorder="1"/>
    <xf numFmtId="164" fontId="4" fillId="0" borderId="0" xfId="5" applyNumberFormat="1"/>
    <xf numFmtId="10" fontId="4" fillId="0" borderId="0" xfId="3" applyNumberFormat="1" applyFont="1"/>
    <xf numFmtId="0" fontId="15" fillId="0" borderId="1" xfId="4" applyFont="1" applyBorder="1" applyAlignment="1">
      <alignment horizontal="center" vertical="center" wrapText="1"/>
    </xf>
    <xf numFmtId="0" fontId="6" fillId="2" borderId="5" xfId="5" applyFont="1" applyFill="1" applyBorder="1" applyAlignment="1">
      <alignment vertical="center"/>
    </xf>
    <xf numFmtId="0" fontId="6" fillId="2" borderId="6" xfId="5" applyFont="1" applyFill="1" applyBorder="1" applyAlignment="1">
      <alignment vertical="center"/>
    </xf>
    <xf numFmtId="9" fontId="7" fillId="0" borderId="15" xfId="3" applyFont="1" applyFill="1" applyBorder="1" applyAlignment="1">
      <alignment horizontal="center" vertical="center" wrapText="1"/>
    </xf>
    <xf numFmtId="0" fontId="17" fillId="0" borderId="31" xfId="5" applyFont="1" applyBorder="1" applyAlignment="1">
      <alignment horizontal="center" vertical="center" wrapText="1"/>
    </xf>
    <xf numFmtId="0" fontId="23" fillId="0" borderId="16" xfId="5" applyFont="1" applyBorder="1" applyAlignment="1">
      <alignment horizontal="center" vertical="center" wrapText="1"/>
    </xf>
    <xf numFmtId="0" fontId="16" fillId="2" borderId="17" xfId="5" applyFont="1" applyFill="1" applyBorder="1" applyAlignment="1">
      <alignment horizontal="center" vertical="center"/>
    </xf>
    <xf numFmtId="0" fontId="6" fillId="4" borderId="4" xfId="5" applyFont="1" applyFill="1" applyBorder="1" applyAlignment="1">
      <alignment horizontal="center" vertical="center"/>
    </xf>
    <xf numFmtId="0" fontId="7" fillId="0" borderId="12" xfId="5" applyFont="1" applyBorder="1" applyAlignment="1">
      <alignment horizontal="left" vertical="distributed"/>
    </xf>
    <xf numFmtId="0" fontId="17" fillId="0" borderId="13" xfId="5" applyFont="1" applyBorder="1" applyAlignment="1">
      <alignment horizontal="center" vertical="center" wrapText="1"/>
    </xf>
    <xf numFmtId="0" fontId="4" fillId="0" borderId="32" xfId="5" applyBorder="1"/>
    <xf numFmtId="0" fontId="4" fillId="0" borderId="18" xfId="5" applyBorder="1"/>
    <xf numFmtId="0" fontId="4" fillId="0" borderId="10" xfId="5" applyBorder="1"/>
    <xf numFmtId="0" fontId="9" fillId="5" borderId="13" xfId="5" applyFont="1" applyFill="1" applyBorder="1" applyAlignment="1">
      <alignment vertical="center" wrapText="1"/>
    </xf>
    <xf numFmtId="0" fontId="9" fillId="7" borderId="16" xfId="0" applyFont="1" applyFill="1" applyBorder="1" applyAlignment="1">
      <alignment vertical="center"/>
    </xf>
    <xf numFmtId="0" fontId="7" fillId="0" borderId="13" xfId="5" applyFont="1" applyBorder="1" applyAlignment="1">
      <alignment horizontal="left" vertical="center" wrapText="1"/>
    </xf>
    <xf numFmtId="0" fontId="9" fillId="0" borderId="16" xfId="5" applyFont="1" applyBorder="1" applyAlignment="1">
      <alignment horizontal="left" vertical="center" wrapText="1"/>
    </xf>
    <xf numFmtId="0" fontId="15" fillId="0" borderId="33" xfId="4" applyFont="1" applyBorder="1" applyAlignment="1">
      <alignment horizontal="center" vertical="center" wrapText="1"/>
    </xf>
    <xf numFmtId="9" fontId="7" fillId="0" borderId="16" xfId="3" applyFont="1" applyFill="1" applyBorder="1" applyAlignment="1">
      <alignment horizontal="center" vertical="center" wrapText="1"/>
    </xf>
    <xf numFmtId="0" fontId="4" fillId="0" borderId="13" xfId="5" applyBorder="1"/>
    <xf numFmtId="3" fontId="7" fillId="0" borderId="16" xfId="8" applyNumberFormat="1" applyFont="1" applyBorder="1" applyAlignment="1">
      <alignment horizontal="center" vertical="center" wrapText="1"/>
    </xf>
    <xf numFmtId="0" fontId="9" fillId="0" borderId="16" xfId="0" applyFont="1" applyBorder="1" applyAlignment="1">
      <alignment horizontal="left" vertical="center" wrapText="1"/>
    </xf>
    <xf numFmtId="0" fontId="9" fillId="0" borderId="0" xfId="5" applyFont="1" applyAlignment="1">
      <alignment horizontal="left" vertical="center" wrapText="1"/>
    </xf>
    <xf numFmtId="0" fontId="9" fillId="0" borderId="16" xfId="0" applyFont="1" applyBorder="1" applyAlignment="1">
      <alignment vertical="center"/>
    </xf>
    <xf numFmtId="0" fontId="4" fillId="0" borderId="12" xfId="5" applyBorder="1"/>
    <xf numFmtId="0" fontId="4" fillId="0" borderId="11" xfId="5" applyBorder="1"/>
    <xf numFmtId="0" fontId="4" fillId="0" borderId="15" xfId="5" applyBorder="1"/>
    <xf numFmtId="0" fontId="0" fillId="0" borderId="15" xfId="0" applyBorder="1"/>
    <xf numFmtId="44" fontId="4" fillId="0" borderId="11" xfId="5" applyNumberFormat="1" applyBorder="1"/>
    <xf numFmtId="0" fontId="5" fillId="0" borderId="0" xfId="5" applyFont="1"/>
    <xf numFmtId="169" fontId="6" fillId="2" borderId="0" xfId="1" applyNumberFormat="1" applyFont="1" applyFill="1" applyBorder="1" applyAlignment="1">
      <alignment horizontal="center" vertical="center"/>
    </xf>
    <xf numFmtId="170" fontId="6" fillId="2" borderId="0" xfId="7" applyNumberFormat="1" applyFont="1" applyFill="1" applyBorder="1" applyAlignment="1">
      <alignment horizontal="center" vertical="center"/>
    </xf>
    <xf numFmtId="169" fontId="6" fillId="2" borderId="0" xfId="1" applyNumberFormat="1" applyFont="1" applyFill="1" applyBorder="1" applyAlignment="1">
      <alignment vertical="center"/>
    </xf>
    <xf numFmtId="169" fontId="6" fillId="2" borderId="24" xfId="1" applyNumberFormat="1" applyFont="1" applyFill="1" applyBorder="1" applyAlignment="1">
      <alignment vertical="center"/>
    </xf>
    <xf numFmtId="165" fontId="6" fillId="2" borderId="11" xfId="7" applyFont="1" applyFill="1" applyBorder="1" applyAlignment="1">
      <alignment vertical="center" wrapText="1"/>
    </xf>
    <xf numFmtId="165" fontId="6" fillId="2" borderId="15" xfId="7" applyFont="1" applyFill="1" applyBorder="1" applyAlignment="1">
      <alignment vertical="center" wrapText="1"/>
    </xf>
    <xf numFmtId="9" fontId="6" fillId="2" borderId="0" xfId="3" applyFont="1" applyFill="1" applyBorder="1" applyAlignment="1">
      <alignment vertical="center"/>
    </xf>
    <xf numFmtId="0" fontId="4" fillId="0" borderId="12" xfId="5" applyBorder="1" applyAlignment="1">
      <alignment horizontal="center"/>
    </xf>
    <xf numFmtId="169" fontId="4" fillId="0" borderId="12" xfId="1" applyNumberFormat="1" applyFont="1" applyBorder="1" applyAlignment="1">
      <alignment horizontal="center"/>
    </xf>
    <xf numFmtId="170" fontId="4" fillId="0" borderId="12" xfId="5" applyNumberFormat="1" applyBorder="1" applyAlignment="1">
      <alignment horizontal="center" vertical="center"/>
    </xf>
    <xf numFmtId="169" fontId="4" fillId="0" borderId="12" xfId="1" applyNumberFormat="1" applyFont="1" applyBorder="1"/>
    <xf numFmtId="0" fontId="4" fillId="0" borderId="15" xfId="5" applyBorder="1" applyAlignment="1">
      <alignment horizontal="center"/>
    </xf>
    <xf numFmtId="169" fontId="4" fillId="0" borderId="15" xfId="1" applyNumberFormat="1" applyFont="1" applyBorder="1" applyAlignment="1">
      <alignment horizontal="center"/>
    </xf>
    <xf numFmtId="170" fontId="4" fillId="0" borderId="15" xfId="5" applyNumberFormat="1" applyBorder="1" applyAlignment="1">
      <alignment horizontal="center" vertical="center"/>
    </xf>
    <xf numFmtId="169" fontId="4" fillId="0" borderId="15" xfId="1" applyNumberFormat="1" applyFont="1" applyBorder="1"/>
    <xf numFmtId="0" fontId="4" fillId="0" borderId="11" xfId="5" applyBorder="1" applyAlignment="1">
      <alignment horizontal="center"/>
    </xf>
    <xf numFmtId="169" fontId="4" fillId="0" borderId="11" xfId="1" applyNumberFormat="1" applyFont="1" applyBorder="1" applyAlignment="1">
      <alignment horizontal="center"/>
    </xf>
    <xf numFmtId="169" fontId="4" fillId="0" borderId="11" xfId="1" applyNumberFormat="1" applyFont="1" applyBorder="1"/>
    <xf numFmtId="0" fontId="5" fillId="0" borderId="11" xfId="5" applyFont="1" applyBorder="1"/>
    <xf numFmtId="170" fontId="4" fillId="0" borderId="11" xfId="5" applyNumberFormat="1" applyBorder="1" applyAlignment="1">
      <alignment horizontal="center" vertical="center"/>
    </xf>
    <xf numFmtId="1" fontId="6" fillId="2" borderId="32" xfId="1" applyNumberFormat="1" applyFont="1" applyFill="1" applyBorder="1" applyAlignment="1">
      <alignment horizontal="center" vertical="center"/>
    </xf>
    <xf numFmtId="167" fontId="6" fillId="2" borderId="32" xfId="7" applyNumberFormat="1" applyFont="1" applyFill="1" applyBorder="1" applyAlignment="1">
      <alignment vertical="center"/>
    </xf>
    <xf numFmtId="1" fontId="6" fillId="2" borderId="24" xfId="1" applyNumberFormat="1" applyFont="1" applyFill="1" applyBorder="1" applyAlignment="1">
      <alignment horizontal="center" vertical="center"/>
    </xf>
    <xf numFmtId="0" fontId="7" fillId="0" borderId="32" xfId="5" applyFont="1" applyBorder="1" applyAlignment="1">
      <alignment horizontal="center" vertical="center"/>
    </xf>
    <xf numFmtId="0" fontId="7" fillId="0" borderId="18" xfId="5" applyFont="1" applyBorder="1" applyAlignment="1">
      <alignment horizontal="center" vertical="center"/>
    </xf>
    <xf numFmtId="0" fontId="7" fillId="0" borderId="10" xfId="5" applyFont="1" applyBorder="1" applyAlignment="1">
      <alignment horizontal="center" vertical="center"/>
    </xf>
    <xf numFmtId="0" fontId="0" fillId="0" borderId="16" xfId="0" applyBorder="1"/>
    <xf numFmtId="164" fontId="7" fillId="0" borderId="12" xfId="5" applyNumberFormat="1" applyFont="1" applyBorder="1" applyAlignment="1">
      <alignment horizontal="center" vertical="center"/>
    </xf>
    <xf numFmtId="164" fontId="7" fillId="0" borderId="15" xfId="5" applyNumberFormat="1" applyFont="1" applyBorder="1" applyAlignment="1">
      <alignment horizontal="center" vertical="center"/>
    </xf>
    <xf numFmtId="164" fontId="7" fillId="0" borderId="11" xfId="5" applyNumberFormat="1" applyFont="1" applyBorder="1" applyAlignment="1">
      <alignment horizontal="center" vertical="center"/>
    </xf>
    <xf numFmtId="164" fontId="6" fillId="2" borderId="24" xfId="2" applyNumberFormat="1" applyFont="1" applyFill="1" applyBorder="1" applyAlignment="1">
      <alignment vertical="center"/>
    </xf>
    <xf numFmtId="164" fontId="0" fillId="0" borderId="15" xfId="0" applyNumberFormat="1" applyBorder="1"/>
    <xf numFmtId="164" fontId="6" fillId="2" borderId="27" xfId="2" applyNumberFormat="1" applyFont="1" applyFill="1" applyBorder="1" applyAlignment="1">
      <alignment vertical="center"/>
    </xf>
    <xf numFmtId="0" fontId="15" fillId="0" borderId="0" xfId="5" applyFont="1" applyAlignment="1">
      <alignment vertical="center"/>
    </xf>
    <xf numFmtId="167" fontId="18" fillId="2" borderId="17" xfId="7" applyNumberFormat="1" applyFont="1" applyFill="1" applyBorder="1" applyAlignment="1">
      <alignment horizontal="left" vertical="center"/>
    </xf>
    <xf numFmtId="0" fontId="15" fillId="2" borderId="17" xfId="5" applyFont="1" applyFill="1" applyBorder="1" applyAlignment="1">
      <alignment horizontal="center" vertical="center"/>
    </xf>
    <xf numFmtId="0" fontId="18" fillId="2" borderId="17" xfId="5" applyFont="1" applyFill="1" applyBorder="1" applyAlignment="1">
      <alignment horizontal="center" vertical="center"/>
    </xf>
    <xf numFmtId="1" fontId="18" fillId="2" borderId="32" xfId="1" applyNumberFormat="1" applyFont="1" applyFill="1" applyBorder="1" applyAlignment="1">
      <alignment horizontal="center" vertical="center"/>
    </xf>
    <xf numFmtId="167" fontId="18" fillId="2" borderId="32" xfId="7" applyNumberFormat="1" applyFont="1" applyFill="1" applyBorder="1" applyAlignment="1">
      <alignment vertical="center"/>
    </xf>
    <xf numFmtId="0" fontId="24" fillId="0" borderId="0" xfId="5" applyFont="1" applyAlignment="1">
      <alignment vertical="center"/>
    </xf>
    <xf numFmtId="9" fontId="18" fillId="2" borderId="0" xfId="3" applyFont="1" applyFill="1" applyBorder="1" applyAlignment="1">
      <alignment vertical="center"/>
    </xf>
    <xf numFmtId="167" fontId="18" fillId="2" borderId="0" xfId="7" applyNumberFormat="1" applyFont="1" applyFill="1" applyBorder="1" applyAlignment="1">
      <alignment horizontal="center" vertical="center"/>
    </xf>
    <xf numFmtId="169" fontId="18" fillId="2" borderId="0" xfId="1" applyNumberFormat="1" applyFont="1" applyFill="1" applyBorder="1" applyAlignment="1">
      <alignment horizontal="center" vertical="center"/>
    </xf>
    <xf numFmtId="170" fontId="18" fillId="2" borderId="0" xfId="7" applyNumberFormat="1" applyFont="1" applyFill="1" applyBorder="1" applyAlignment="1">
      <alignment horizontal="center" vertical="center"/>
    </xf>
    <xf numFmtId="169" fontId="18" fillId="2" borderId="0" xfId="1" applyNumberFormat="1" applyFont="1" applyFill="1" applyBorder="1" applyAlignment="1">
      <alignment vertical="center"/>
    </xf>
    <xf numFmtId="169" fontId="18" fillId="2" borderId="24" xfId="1" applyNumberFormat="1" applyFont="1" applyFill="1" applyBorder="1" applyAlignment="1">
      <alignment vertical="center"/>
    </xf>
    <xf numFmtId="165" fontId="18" fillId="2" borderId="15" xfId="7" applyFont="1" applyFill="1" applyBorder="1" applyAlignment="1">
      <alignment vertical="center" wrapText="1"/>
    </xf>
    <xf numFmtId="165" fontId="24" fillId="0" borderId="0" xfId="7" applyFont="1" applyFill="1" applyBorder="1" applyAlignment="1">
      <alignment vertical="center" wrapText="1"/>
    </xf>
    <xf numFmtId="164" fontId="18" fillId="2" borderId="24" xfId="2" applyNumberFormat="1" applyFont="1" applyFill="1" applyBorder="1" applyAlignment="1">
      <alignment vertical="center"/>
    </xf>
    <xf numFmtId="1" fontId="18" fillId="2" borderId="24" xfId="1" applyNumberFormat="1" applyFont="1" applyFill="1" applyBorder="1" applyAlignment="1">
      <alignment horizontal="center" vertical="center"/>
    </xf>
    <xf numFmtId="0" fontId="25" fillId="0" borderId="0" xfId="5" applyFont="1"/>
    <xf numFmtId="9" fontId="4" fillId="0" borderId="12" xfId="3" applyFont="1" applyBorder="1"/>
    <xf numFmtId="9" fontId="4" fillId="0" borderId="15" xfId="3" applyFont="1" applyBorder="1"/>
    <xf numFmtId="9" fontId="4" fillId="0" borderId="11" xfId="3" applyFont="1" applyBorder="1"/>
    <xf numFmtId="9" fontId="0" fillId="0" borderId="15" xfId="3" applyFont="1" applyBorder="1"/>
    <xf numFmtId="9" fontId="6" fillId="2" borderId="10" xfId="3" applyFont="1" applyFill="1" applyBorder="1" applyAlignment="1">
      <alignment horizontal="center" vertical="center"/>
    </xf>
    <xf numFmtId="9" fontId="4" fillId="0" borderId="12" xfId="3" applyFont="1" applyBorder="1" applyAlignment="1">
      <alignment horizontal="center"/>
    </xf>
    <xf numFmtId="9" fontId="4" fillId="0" borderId="15" xfId="3" applyFont="1" applyBorder="1" applyAlignment="1">
      <alignment horizontal="center"/>
    </xf>
    <xf numFmtId="9" fontId="4" fillId="0" borderId="11" xfId="3" applyFont="1" applyBorder="1" applyAlignment="1">
      <alignment horizontal="center"/>
    </xf>
    <xf numFmtId="9" fontId="6" fillId="2" borderId="0" xfId="3" applyFont="1" applyFill="1" applyBorder="1" applyAlignment="1">
      <alignment horizontal="center" vertical="center"/>
    </xf>
    <xf numFmtId="9" fontId="0" fillId="0" borderId="15" xfId="3" applyFont="1" applyBorder="1" applyAlignment="1">
      <alignment horizontal="center"/>
    </xf>
    <xf numFmtId="43" fontId="6" fillId="2" borderId="0" xfId="1" applyFont="1" applyFill="1" applyBorder="1" applyAlignment="1">
      <alignment horizontal="center" vertical="center"/>
    </xf>
    <xf numFmtId="3" fontId="7" fillId="0" borderId="0" xfId="5" applyNumberFormat="1" applyFont="1" applyAlignment="1">
      <alignment horizontal="center" vertical="center"/>
    </xf>
    <xf numFmtId="3" fontId="6" fillId="2" borderId="3" xfId="5" applyNumberFormat="1" applyFont="1" applyFill="1" applyBorder="1" applyAlignment="1">
      <alignment horizontal="center" vertical="center"/>
    </xf>
    <xf numFmtId="3" fontId="7" fillId="0" borderId="12" xfId="5" applyNumberFormat="1" applyFont="1" applyBorder="1" applyAlignment="1">
      <alignment horizontal="center" vertical="center"/>
    </xf>
    <xf numFmtId="3" fontId="7" fillId="0" borderId="15" xfId="5" applyNumberFormat="1" applyFont="1" applyBorder="1" applyAlignment="1">
      <alignment horizontal="center" vertical="center"/>
    </xf>
    <xf numFmtId="3" fontId="7" fillId="0" borderId="11" xfId="5" applyNumberFormat="1" applyFont="1" applyBorder="1" applyAlignment="1">
      <alignment horizontal="center" vertical="center"/>
    </xf>
    <xf numFmtId="3" fontId="7" fillId="0" borderId="0" xfId="5" applyNumberFormat="1" applyFont="1" applyAlignment="1">
      <alignment vertical="center"/>
    </xf>
    <xf numFmtId="3" fontId="6" fillId="2" borderId="27" xfId="1" applyNumberFormat="1" applyFont="1" applyFill="1" applyBorder="1" applyAlignment="1">
      <alignment horizontal="center" vertical="center"/>
    </xf>
    <xf numFmtId="3" fontId="18" fillId="2" borderId="24" xfId="1" applyNumberFormat="1" applyFont="1" applyFill="1" applyBorder="1" applyAlignment="1">
      <alignment horizontal="center" vertical="center"/>
    </xf>
    <xf numFmtId="0" fontId="17" fillId="0" borderId="0" xfId="0" applyFont="1"/>
    <xf numFmtId="44" fontId="17" fillId="0" borderId="0" xfId="0" applyNumberFormat="1" applyFont="1"/>
    <xf numFmtId="0" fontId="17" fillId="0" borderId="0" xfId="0" applyFont="1" applyAlignment="1">
      <alignment horizontal="center" vertical="center"/>
    </xf>
    <xf numFmtId="0" fontId="17" fillId="0" borderId="0" xfId="0" applyFont="1" applyAlignment="1">
      <alignment vertical="center"/>
    </xf>
    <xf numFmtId="44" fontId="17" fillId="0" borderId="0" xfId="2" applyFont="1" applyAlignment="1">
      <alignment vertical="center"/>
    </xf>
    <xf numFmtId="44" fontId="17" fillId="0" borderId="0" xfId="0" applyNumberFormat="1" applyFont="1" applyAlignment="1">
      <alignment vertical="center"/>
    </xf>
    <xf numFmtId="9" fontId="17" fillId="0" borderId="0" xfId="3" applyFont="1" applyAlignment="1">
      <alignment horizontal="center" vertical="center"/>
    </xf>
    <xf numFmtId="0" fontId="28" fillId="9" borderId="0" xfId="5" applyFont="1" applyFill="1" applyAlignment="1">
      <alignment vertical="center"/>
    </xf>
    <xf numFmtId="0" fontId="29" fillId="9" borderId="0" xfId="5" applyFont="1" applyFill="1" applyAlignment="1">
      <alignment vertical="center"/>
    </xf>
    <xf numFmtId="0" fontId="32" fillId="9" borderId="0" xfId="5" applyFont="1" applyFill="1" applyAlignment="1">
      <alignment vertical="center"/>
    </xf>
    <xf numFmtId="0" fontId="33" fillId="9" borderId="0" xfId="5" applyFont="1" applyFill="1" applyAlignment="1">
      <alignment vertical="center"/>
    </xf>
    <xf numFmtId="0" fontId="29" fillId="9" borderId="0" xfId="5" applyFont="1" applyFill="1" applyAlignment="1">
      <alignment horizontal="center" vertical="center"/>
    </xf>
    <xf numFmtId="172" fontId="34" fillId="9" borderId="0" xfId="5" applyNumberFormat="1" applyFont="1" applyFill="1" applyAlignment="1">
      <alignment horizontal="center" vertical="center"/>
    </xf>
    <xf numFmtId="0" fontId="28" fillId="9" borderId="0" xfId="5" applyFont="1" applyFill="1" applyAlignment="1">
      <alignment horizontal="center" vertical="center"/>
    </xf>
    <xf numFmtId="172" fontId="34" fillId="9" borderId="0" xfId="5" applyNumberFormat="1" applyFont="1" applyFill="1" applyAlignment="1">
      <alignment vertical="center"/>
    </xf>
    <xf numFmtId="0" fontId="34" fillId="0" borderId="0" xfId="5" applyFont="1" applyAlignment="1">
      <alignment vertical="center"/>
    </xf>
    <xf numFmtId="0" fontId="34" fillId="0" borderId="0" xfId="5" applyFont="1" applyAlignment="1">
      <alignment horizontal="center" vertical="center"/>
    </xf>
    <xf numFmtId="17" fontId="17" fillId="0" borderId="0" xfId="0" applyNumberFormat="1" applyFont="1" applyAlignment="1">
      <alignment vertical="center"/>
    </xf>
    <xf numFmtId="44" fontId="17" fillId="5" borderId="0" xfId="0" applyNumberFormat="1" applyFont="1" applyFill="1" applyAlignment="1">
      <alignment vertical="center"/>
    </xf>
    <xf numFmtId="0" fontId="17" fillId="5" borderId="0" xfId="0" applyFont="1" applyFill="1" applyAlignment="1">
      <alignment vertical="center"/>
    </xf>
    <xf numFmtId="0" fontId="12" fillId="2" borderId="0" xfId="0" applyFont="1" applyFill="1" applyAlignment="1">
      <alignment vertical="center"/>
    </xf>
    <xf numFmtId="0" fontId="17" fillId="2" borderId="0" xfId="0" applyFont="1" applyFill="1" applyAlignment="1">
      <alignment horizontal="center" vertical="center"/>
    </xf>
    <xf numFmtId="0" fontId="17" fillId="2" borderId="0" xfId="0" applyFont="1" applyFill="1" applyAlignment="1">
      <alignment vertical="center"/>
    </xf>
    <xf numFmtId="44" fontId="12" fillId="2" borderId="0" xfId="0" applyNumberFormat="1" applyFont="1" applyFill="1" applyAlignment="1">
      <alignment vertical="center"/>
    </xf>
    <xf numFmtId="9" fontId="12" fillId="2" borderId="0" xfId="3" applyFont="1" applyFill="1" applyAlignment="1">
      <alignment horizontal="center" vertical="center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9" fontId="12" fillId="2" borderId="0" xfId="0" applyNumberFormat="1" applyFont="1" applyFill="1" applyAlignment="1">
      <alignment horizontal="center" vertical="center"/>
    </xf>
    <xf numFmtId="9" fontId="27" fillId="0" borderId="0" xfId="3" applyFont="1" applyAlignment="1">
      <alignment horizontal="center" vertical="center"/>
    </xf>
    <xf numFmtId="0" fontId="9" fillId="5" borderId="15" xfId="0" applyFont="1" applyFill="1" applyBorder="1" applyAlignment="1">
      <alignment horizontal="left" vertical="center" wrapText="1"/>
    </xf>
    <xf numFmtId="0" fontId="9" fillId="5" borderId="15" xfId="0" applyFont="1" applyFill="1" applyBorder="1" applyAlignment="1">
      <alignment horizontal="left" vertical="distributed"/>
    </xf>
    <xf numFmtId="0" fontId="7" fillId="5" borderId="15" xfId="5" applyFont="1" applyFill="1" applyBorder="1" applyAlignment="1">
      <alignment horizontal="left" vertical="distributed"/>
    </xf>
    <xf numFmtId="0" fontId="9" fillId="5" borderId="15" xfId="0" applyFont="1" applyFill="1" applyBorder="1" applyAlignment="1">
      <alignment vertical="center" wrapText="1"/>
    </xf>
    <xf numFmtId="44" fontId="17" fillId="0" borderId="0" xfId="0" applyNumberFormat="1" applyFont="1" applyAlignment="1">
      <alignment horizontal="center" vertical="center"/>
    </xf>
    <xf numFmtId="0" fontId="15" fillId="5" borderId="12" xfId="4" applyFont="1" applyFill="1" applyBorder="1" applyAlignment="1">
      <alignment horizontal="center" vertical="center" wrapText="1"/>
    </xf>
    <xf numFmtId="0" fontId="15" fillId="5" borderId="15" xfId="4" applyFont="1" applyFill="1" applyBorder="1" applyAlignment="1">
      <alignment horizontal="center" vertical="center" wrapText="1"/>
    </xf>
    <xf numFmtId="0" fontId="15" fillId="5" borderId="11" xfId="4" applyFont="1" applyFill="1" applyBorder="1" applyAlignment="1">
      <alignment horizontal="center" vertical="center" wrapText="1"/>
    </xf>
    <xf numFmtId="0" fontId="15" fillId="6" borderId="12" xfId="4" applyFont="1" applyFill="1" applyBorder="1" applyAlignment="1">
      <alignment horizontal="center" vertical="center" wrapText="1"/>
    </xf>
    <xf numFmtId="0" fontId="15" fillId="6" borderId="15" xfId="4" applyFont="1" applyFill="1" applyBorder="1" applyAlignment="1">
      <alignment horizontal="center" vertical="center" wrapText="1"/>
    </xf>
    <xf numFmtId="0" fontId="15" fillId="6" borderId="11" xfId="4" applyFont="1" applyFill="1" applyBorder="1" applyAlignment="1">
      <alignment horizontal="center" vertical="center" wrapText="1"/>
    </xf>
    <xf numFmtId="0" fontId="15" fillId="6" borderId="24" xfId="4" applyFont="1" applyFill="1" applyBorder="1" applyAlignment="1">
      <alignment horizontal="center" vertical="center" wrapText="1"/>
    </xf>
    <xf numFmtId="0" fontId="15" fillId="5" borderId="23" xfId="4" applyFont="1" applyFill="1" applyBorder="1" applyAlignment="1">
      <alignment horizontal="center" vertical="center" wrapText="1"/>
    </xf>
    <xf numFmtId="0" fontId="15" fillId="5" borderId="24" xfId="4" applyFont="1" applyFill="1" applyBorder="1" applyAlignment="1">
      <alignment horizontal="center" vertical="center" wrapText="1"/>
    </xf>
    <xf numFmtId="0" fontId="15" fillId="6" borderId="23" xfId="4" applyFont="1" applyFill="1" applyBorder="1" applyAlignment="1">
      <alignment horizontal="center" vertical="center" wrapText="1"/>
    </xf>
    <xf numFmtId="43" fontId="7" fillId="0" borderId="0" xfId="5" applyNumberFormat="1" applyFont="1" applyAlignment="1">
      <alignment horizontal="center" vertical="center"/>
    </xf>
    <xf numFmtId="9" fontId="7" fillId="0" borderId="0" xfId="18" applyFont="1"/>
    <xf numFmtId="4" fontId="7" fillId="0" borderId="0" xfId="5" applyNumberFormat="1" applyFont="1"/>
    <xf numFmtId="165" fontId="9" fillId="0" borderId="0" xfId="5" applyNumberFormat="1" applyFont="1" applyAlignment="1">
      <alignment horizontal="center" vertical="center"/>
    </xf>
    <xf numFmtId="0" fontId="32" fillId="0" borderId="0" xfId="4" applyFont="1" applyAlignment="1">
      <alignment horizontal="center" vertical="center"/>
    </xf>
    <xf numFmtId="0" fontId="38" fillId="0" borderId="0" xfId="4" applyFont="1" applyAlignment="1">
      <alignment vertical="center"/>
    </xf>
    <xf numFmtId="43" fontId="9" fillId="0" borderId="0" xfId="5" applyNumberFormat="1" applyFont="1" applyAlignment="1">
      <alignment horizontal="center" vertical="center"/>
    </xf>
    <xf numFmtId="0" fontId="9" fillId="0" borderId="0" xfId="5" applyFont="1" applyAlignment="1">
      <alignment horizontal="center"/>
    </xf>
    <xf numFmtId="0" fontId="39" fillId="0" borderId="2" xfId="5" applyFont="1" applyBorder="1" applyAlignment="1">
      <alignment vertical="center" wrapText="1"/>
    </xf>
    <xf numFmtId="0" fontId="38" fillId="0" borderId="2" xfId="4" applyFont="1" applyBorder="1" applyAlignment="1">
      <alignment vertical="center"/>
    </xf>
    <xf numFmtId="0" fontId="9" fillId="0" borderId="10" xfId="5" applyFont="1" applyBorder="1" applyAlignment="1">
      <alignment horizontal="center" vertical="center" wrapText="1"/>
    </xf>
    <xf numFmtId="0" fontId="7" fillId="0" borderId="10" xfId="5" applyFont="1" applyBorder="1" applyAlignment="1">
      <alignment horizontal="center" vertical="center" wrapText="1"/>
    </xf>
    <xf numFmtId="0" fontId="7" fillId="0" borderId="0" xfId="5" applyFont="1" applyAlignment="1">
      <alignment horizontal="center" vertical="center" wrapText="1"/>
    </xf>
    <xf numFmtId="0" fontId="6" fillId="2" borderId="10" xfId="5" applyFont="1" applyFill="1" applyBorder="1" applyAlignment="1">
      <alignment horizontal="center" vertical="center" wrapText="1"/>
    </xf>
    <xf numFmtId="0" fontId="9" fillId="0" borderId="12" xfId="5" applyFont="1" applyBorder="1" applyAlignment="1">
      <alignment vertical="center" wrapText="1"/>
    </xf>
    <xf numFmtId="0" fontId="7" fillId="0" borderId="12" xfId="5" applyFont="1" applyBorder="1" applyAlignment="1">
      <alignment horizontal="center" vertical="center" wrapText="1"/>
    </xf>
    <xf numFmtId="164" fontId="7" fillId="0" borderId="12" xfId="7" applyNumberFormat="1" applyFont="1" applyFill="1" applyBorder="1" applyAlignment="1">
      <alignment horizontal="center" vertical="center" wrapText="1"/>
    </xf>
    <xf numFmtId="3" fontId="7" fillId="0" borderId="12" xfId="5" applyNumberFormat="1" applyFont="1" applyBorder="1" applyAlignment="1">
      <alignment horizontal="center"/>
    </xf>
    <xf numFmtId="0" fontId="7" fillId="0" borderId="23" xfId="5" applyFont="1" applyBorder="1" applyAlignment="1">
      <alignment horizontal="center"/>
    </xf>
    <xf numFmtId="3" fontId="9" fillId="0" borderId="15" xfId="5" applyNumberFormat="1" applyFont="1" applyBorder="1" applyAlignment="1">
      <alignment horizontal="center" vertical="center" wrapText="1"/>
    </xf>
    <xf numFmtId="0" fontId="7" fillId="0" borderId="15" xfId="8" applyNumberFormat="1" applyFont="1" applyFill="1" applyBorder="1" applyAlignment="1">
      <alignment horizontal="center" vertical="center" wrapText="1"/>
    </xf>
    <xf numFmtId="165" fontId="7" fillId="5" borderId="15" xfId="7" applyFont="1" applyFill="1" applyBorder="1" applyAlignment="1">
      <alignment horizontal="center" vertical="center" wrapText="1"/>
    </xf>
    <xf numFmtId="164" fontId="7" fillId="5" borderId="15" xfId="7" applyNumberFormat="1" applyFont="1" applyFill="1" applyBorder="1" applyAlignment="1">
      <alignment horizontal="center" vertical="center" wrapText="1"/>
    </xf>
    <xf numFmtId="3" fontId="7" fillId="0" borderId="15" xfId="5" applyNumberFormat="1" applyFont="1" applyBorder="1" applyAlignment="1">
      <alignment horizontal="center"/>
    </xf>
    <xf numFmtId="44" fontId="7" fillId="0" borderId="24" xfId="2" applyFont="1" applyBorder="1" applyAlignment="1">
      <alignment horizontal="center"/>
    </xf>
    <xf numFmtId="4" fontId="40" fillId="0" borderId="0" xfId="0" applyNumberFormat="1" applyFont="1"/>
    <xf numFmtId="165" fontId="7" fillId="5" borderId="15" xfId="7" quotePrefix="1" applyFont="1" applyFill="1" applyBorder="1" applyAlignment="1">
      <alignment horizontal="center" vertical="center" wrapText="1"/>
    </xf>
    <xf numFmtId="164" fontId="7" fillId="5" borderId="15" xfId="7" quotePrefix="1" applyNumberFormat="1" applyFont="1" applyFill="1" applyBorder="1" applyAlignment="1">
      <alignment horizontal="center" vertical="center" wrapText="1"/>
    </xf>
    <xf numFmtId="3" fontId="7" fillId="0" borderId="15" xfId="8" applyNumberFormat="1" applyFont="1" applyFill="1" applyBorder="1" applyAlignment="1">
      <alignment horizontal="center" vertical="center" wrapText="1"/>
    </xf>
    <xf numFmtId="170" fontId="7" fillId="0" borderId="15" xfId="1" applyNumberFormat="1" applyFont="1" applyFill="1" applyBorder="1" applyAlignment="1">
      <alignment horizontal="center" vertical="center" wrapText="1"/>
    </xf>
    <xf numFmtId="164" fontId="7" fillId="5" borderId="11" xfId="7" applyNumberFormat="1" applyFont="1" applyFill="1" applyBorder="1" applyAlignment="1">
      <alignment horizontal="center" vertical="center" wrapText="1"/>
    </xf>
    <xf numFmtId="3" fontId="7" fillId="0" borderId="11" xfId="5" applyNumberFormat="1" applyFont="1" applyBorder="1" applyAlignment="1">
      <alignment horizontal="center"/>
    </xf>
    <xf numFmtId="0" fontId="7" fillId="0" borderId="27" xfId="5" applyFont="1" applyBorder="1" applyAlignment="1">
      <alignment horizontal="center"/>
    </xf>
    <xf numFmtId="0" fontId="9" fillId="0" borderId="17" xfId="5" applyFont="1" applyBorder="1" applyAlignment="1">
      <alignment horizontal="center" vertical="center" wrapText="1"/>
    </xf>
    <xf numFmtId="0" fontId="7" fillId="0" borderId="17" xfId="5" applyFont="1" applyBorder="1" applyAlignment="1">
      <alignment horizontal="center" vertical="center" wrapText="1"/>
    </xf>
    <xf numFmtId="0" fontId="15" fillId="5" borderId="17" xfId="5" applyFont="1" applyFill="1" applyBorder="1" applyAlignment="1">
      <alignment horizontal="center" vertical="center" wrapText="1"/>
    </xf>
    <xf numFmtId="170" fontId="6" fillId="2" borderId="17" xfId="5" applyNumberFormat="1" applyFont="1" applyFill="1" applyBorder="1" applyAlignment="1">
      <alignment horizontal="center" vertical="center"/>
    </xf>
    <xf numFmtId="9" fontId="6" fillId="2" borderId="17" xfId="18" applyFont="1" applyFill="1" applyBorder="1" applyAlignment="1">
      <alignment horizontal="center" vertical="center"/>
    </xf>
    <xf numFmtId="0" fontId="42" fillId="2" borderId="0" xfId="5" applyFont="1" applyFill="1" applyAlignment="1">
      <alignment horizontal="center"/>
    </xf>
    <xf numFmtId="164" fontId="6" fillId="2" borderId="17" xfId="7" applyNumberFormat="1" applyFont="1" applyFill="1" applyBorder="1" applyAlignment="1">
      <alignment horizontal="center"/>
    </xf>
    <xf numFmtId="168" fontId="43" fillId="0" borderId="0" xfId="5" applyNumberFormat="1" applyFont="1" applyAlignment="1">
      <alignment horizontal="center" wrapText="1"/>
    </xf>
    <xf numFmtId="173" fontId="44" fillId="0" borderId="0" xfId="18" applyNumberFormat="1" applyFont="1" applyFill="1" applyAlignment="1">
      <alignment horizontal="center" vertical="center"/>
    </xf>
    <xf numFmtId="0" fontId="42" fillId="2" borderId="0" xfId="5" applyFont="1" applyFill="1" applyAlignment="1">
      <alignment horizontal="center" vertical="center"/>
    </xf>
    <xf numFmtId="0" fontId="45" fillId="0" borderId="0" xfId="5" applyFont="1" applyAlignment="1">
      <alignment vertical="center"/>
    </xf>
    <xf numFmtId="173" fontId="7" fillId="0" borderId="15" xfId="8" applyNumberFormat="1" applyFont="1" applyFill="1" applyBorder="1" applyAlignment="1">
      <alignment horizontal="center" vertical="center" wrapText="1"/>
    </xf>
    <xf numFmtId="0" fontId="41" fillId="0" borderId="16" xfId="5" applyFont="1" applyBorder="1" applyAlignment="1">
      <alignment horizontal="center" vertical="center" wrapText="1"/>
    </xf>
    <xf numFmtId="169" fontId="5" fillId="0" borderId="15" xfId="1" applyNumberFormat="1" applyFont="1" applyBorder="1"/>
    <xf numFmtId="174" fontId="42" fillId="2" borderId="0" xfId="1" applyNumberFormat="1" applyFont="1" applyFill="1" applyAlignment="1">
      <alignment horizontal="center"/>
    </xf>
    <xf numFmtId="0" fontId="46" fillId="0" borderId="16" xfId="5" applyFont="1" applyBorder="1" applyAlignment="1">
      <alignment vertical="center" wrapText="1"/>
    </xf>
    <xf numFmtId="167" fontId="6" fillId="2" borderId="17" xfId="7" applyNumberFormat="1" applyFont="1" applyFill="1" applyBorder="1" applyAlignment="1"/>
    <xf numFmtId="0" fontId="47" fillId="0" borderId="0" xfId="20" applyFont="1" applyAlignment="1">
      <alignment horizontal="center" vertical="center"/>
    </xf>
    <xf numFmtId="44" fontId="47" fillId="0" borderId="0" xfId="21" applyFont="1" applyAlignment="1">
      <alignment horizontal="center" vertical="center"/>
    </xf>
    <xf numFmtId="0" fontId="48" fillId="11" borderId="1" xfId="0" applyFont="1" applyFill="1" applyBorder="1" applyAlignment="1">
      <alignment horizontal="center" vertical="center"/>
    </xf>
    <xf numFmtId="0" fontId="49" fillId="5" borderId="1" xfId="20" applyFont="1" applyFill="1" applyBorder="1" applyAlignment="1">
      <alignment horizontal="center"/>
    </xf>
    <xf numFmtId="0" fontId="49" fillId="0" borderId="1" xfId="20" applyFont="1" applyBorder="1" applyAlignment="1">
      <alignment horizontal="center"/>
    </xf>
    <xf numFmtId="165" fontId="50" fillId="5" borderId="1" xfId="22" applyFont="1" applyFill="1" applyBorder="1"/>
    <xf numFmtId="1" fontId="50" fillId="0" borderId="1" xfId="2" applyNumberFormat="1" applyFont="1" applyBorder="1" applyAlignment="1">
      <alignment horizontal="center" vertical="center"/>
    </xf>
    <xf numFmtId="44" fontId="50" fillId="0" borderId="1" xfId="2" applyFont="1" applyFill="1" applyBorder="1" applyAlignment="1">
      <alignment horizontal="center" vertical="center"/>
    </xf>
    <xf numFmtId="165" fontId="51" fillId="12" borderId="1" xfId="22" applyFont="1" applyFill="1" applyBorder="1"/>
    <xf numFmtId="1" fontId="51" fillId="12" borderId="1" xfId="22" applyNumberFormat="1" applyFont="1" applyFill="1" applyBorder="1" applyAlignment="1">
      <alignment horizontal="center"/>
    </xf>
    <xf numFmtId="0" fontId="49" fillId="12" borderId="1" xfId="20" applyFont="1" applyFill="1" applyBorder="1" applyAlignment="1">
      <alignment horizontal="center"/>
    </xf>
    <xf numFmtId="0" fontId="47" fillId="0" borderId="0" xfId="20" applyFont="1"/>
    <xf numFmtId="44" fontId="47" fillId="0" borderId="0" xfId="20" applyNumberFormat="1" applyFont="1"/>
    <xf numFmtId="0" fontId="52" fillId="2" borderId="1" xfId="20" applyFont="1" applyFill="1" applyBorder="1" applyAlignment="1">
      <alignment horizontal="left" vertical="center"/>
    </xf>
    <xf numFmtId="0" fontId="53" fillId="2" borderId="1" xfId="20" applyFont="1" applyFill="1" applyBorder="1" applyAlignment="1">
      <alignment horizontal="right" vertical="center"/>
    </xf>
    <xf numFmtId="165" fontId="53" fillId="2" borderId="1" xfId="22" applyFont="1" applyFill="1" applyBorder="1" applyAlignment="1">
      <alignment horizontal="left" vertical="center"/>
    </xf>
    <xf numFmtId="1" fontId="53" fillId="2" borderId="1" xfId="22" applyNumberFormat="1" applyFont="1" applyFill="1" applyBorder="1" applyAlignment="1">
      <alignment horizontal="center" vertical="center"/>
    </xf>
    <xf numFmtId="0" fontId="4" fillId="0" borderId="0" xfId="4" applyAlignment="1">
      <alignment horizontal="center"/>
    </xf>
    <xf numFmtId="0" fontId="5" fillId="0" borderId="0" xfId="4" applyFont="1"/>
    <xf numFmtId="0" fontId="54" fillId="0" borderId="0" xfId="4" applyFont="1"/>
    <xf numFmtId="0" fontId="7" fillId="0" borderId="0" xfId="4" applyFont="1" applyAlignment="1">
      <alignment horizontal="center"/>
    </xf>
    <xf numFmtId="0" fontId="7" fillId="0" borderId="0" xfId="4" applyFont="1" applyAlignment="1">
      <alignment horizontal="center" vertical="center"/>
    </xf>
    <xf numFmtId="164" fontId="7" fillId="0" borderId="0" xfId="4" applyNumberFormat="1" applyFont="1"/>
    <xf numFmtId="44" fontId="4" fillId="0" borderId="0" xfId="4" applyNumberFormat="1" applyAlignment="1">
      <alignment horizontal="center"/>
    </xf>
    <xf numFmtId="43" fontId="9" fillId="0" borderId="0" xfId="4" applyNumberFormat="1" applyFont="1" applyAlignment="1">
      <alignment horizontal="center" vertical="center"/>
    </xf>
    <xf numFmtId="0" fontId="9" fillId="0" borderId="0" xfId="4" applyFont="1" applyAlignment="1">
      <alignment horizontal="center"/>
    </xf>
    <xf numFmtId="164" fontId="9" fillId="0" borderId="0" xfId="4" applyNumberFormat="1" applyFont="1" applyAlignment="1">
      <alignment horizontal="center"/>
    </xf>
    <xf numFmtId="0" fontId="9" fillId="0" borderId="0" xfId="4" applyFont="1" applyAlignment="1">
      <alignment vertical="center"/>
    </xf>
    <xf numFmtId="0" fontId="6" fillId="2" borderId="3" xfId="4" applyFont="1" applyFill="1" applyBorder="1" applyAlignment="1">
      <alignment horizontal="center" vertical="center"/>
    </xf>
    <xf numFmtId="0" fontId="9" fillId="0" borderId="10" xfId="4" applyFont="1" applyBorder="1" applyAlignment="1">
      <alignment horizontal="center" vertical="center" wrapText="1"/>
    </xf>
    <xf numFmtId="0" fontId="7" fillId="0" borderId="10" xfId="4" applyFont="1" applyBorder="1" applyAlignment="1">
      <alignment horizontal="center" vertical="center" wrapText="1"/>
    </xf>
    <xf numFmtId="0" fontId="9" fillId="0" borderId="12" xfId="4" applyFont="1" applyBorder="1" applyAlignment="1">
      <alignment vertical="center" wrapText="1"/>
    </xf>
    <xf numFmtId="0" fontId="7" fillId="0" borderId="12" xfId="4" applyFont="1" applyBorder="1" applyAlignment="1">
      <alignment horizontal="center" vertical="center"/>
    </xf>
    <xf numFmtId="0" fontId="7" fillId="0" borderId="12" xfId="4" applyFont="1" applyBorder="1" applyAlignment="1">
      <alignment horizontal="center" vertical="center" wrapText="1"/>
    </xf>
    <xf numFmtId="0" fontId="7" fillId="0" borderId="13" xfId="4" applyFont="1" applyBorder="1" applyAlignment="1">
      <alignment horizontal="center" vertical="center" wrapText="1"/>
    </xf>
    <xf numFmtId="165" fontId="7" fillId="0" borderId="12" xfId="7" applyFont="1" applyBorder="1" applyAlignment="1">
      <alignment horizontal="center" vertical="center" wrapText="1"/>
    </xf>
    <xf numFmtId="178" fontId="7" fillId="0" borderId="12" xfId="7" applyNumberFormat="1" applyFont="1" applyFill="1" applyBorder="1" applyAlignment="1">
      <alignment horizontal="right" vertical="center" wrapText="1"/>
    </xf>
    <xf numFmtId="179" fontId="7" fillId="0" borderId="12" xfId="1" applyNumberFormat="1" applyFont="1" applyFill="1" applyBorder="1" applyAlignment="1">
      <alignment vertical="center" wrapText="1"/>
    </xf>
    <xf numFmtId="0" fontId="9" fillId="0" borderId="15" xfId="4" applyFont="1" applyBorder="1" applyAlignment="1">
      <alignment horizontal="center" vertical="center" wrapText="1"/>
    </xf>
    <xf numFmtId="0" fontId="9" fillId="0" borderId="0" xfId="4" applyFont="1" applyAlignment="1">
      <alignment horizontal="left" vertical="center" wrapText="1"/>
    </xf>
    <xf numFmtId="20" fontId="9" fillId="0" borderId="16" xfId="4" applyNumberFormat="1" applyFont="1" applyBorder="1" applyAlignment="1">
      <alignment horizontal="center" vertical="center" wrapText="1"/>
    </xf>
    <xf numFmtId="0" fontId="7" fillId="0" borderId="15" xfId="8" applyNumberFormat="1" applyFont="1" applyBorder="1" applyAlignment="1">
      <alignment horizontal="center" vertical="center" wrapText="1"/>
    </xf>
    <xf numFmtId="178" fontId="7" fillId="0" borderId="15" xfId="9" applyNumberFormat="1" applyFont="1" applyFill="1" applyBorder="1" applyAlignment="1">
      <alignment horizontal="right" vertical="center" wrapText="1"/>
    </xf>
    <xf numFmtId="179" fontId="7" fillId="0" borderId="15" xfId="1" applyNumberFormat="1" applyFont="1" applyFill="1" applyBorder="1" applyAlignment="1">
      <alignment vertical="center" wrapText="1"/>
    </xf>
    <xf numFmtId="180" fontId="7" fillId="0" borderId="15" xfId="2" applyNumberFormat="1" applyFont="1" applyFill="1" applyBorder="1" applyAlignment="1">
      <alignment vertical="center" wrapText="1"/>
    </xf>
    <xf numFmtId="44" fontId="9" fillId="0" borderId="37" xfId="2" applyFont="1" applyFill="1" applyBorder="1" applyAlignment="1">
      <alignment horizontal="center"/>
    </xf>
    <xf numFmtId="1" fontId="7" fillId="0" borderId="37" xfId="2" applyNumberFormat="1" applyFont="1" applyFill="1" applyBorder="1" applyAlignment="1">
      <alignment horizontal="center"/>
    </xf>
    <xf numFmtId="44" fontId="7" fillId="0" borderId="37" xfId="2" applyFont="1" applyFill="1" applyBorder="1" applyAlignment="1">
      <alignment horizontal="center"/>
    </xf>
    <xf numFmtId="9" fontId="7" fillId="0" borderId="15" xfId="8" applyFont="1" applyBorder="1" applyAlignment="1">
      <alignment horizontal="center" vertical="center" wrapText="1"/>
    </xf>
    <xf numFmtId="179" fontId="7" fillId="0" borderId="15" xfId="1" applyNumberFormat="1" applyFont="1" applyBorder="1" applyAlignment="1">
      <alignment vertical="center" wrapText="1"/>
    </xf>
    <xf numFmtId="0" fontId="55" fillId="0" borderId="0" xfId="4" applyFont="1"/>
    <xf numFmtId="0" fontId="9" fillId="0" borderId="15" xfId="4" applyFont="1" applyBorder="1" applyAlignment="1">
      <alignment horizontal="left" vertical="center" wrapText="1"/>
    </xf>
    <xf numFmtId="164" fontId="7" fillId="0" borderId="15" xfId="8" applyNumberFormat="1" applyFont="1" applyFill="1" applyBorder="1" applyAlignment="1">
      <alignment horizontal="center" vertical="center" wrapText="1"/>
    </xf>
    <xf numFmtId="0" fontId="9" fillId="0" borderId="15" xfId="4" applyFont="1" applyBorder="1" applyAlignment="1">
      <alignment horizontal="center" vertical="distributed"/>
    </xf>
    <xf numFmtId="178" fontId="7" fillId="0" borderId="15" xfId="7" applyNumberFormat="1" applyFont="1" applyFill="1" applyBorder="1" applyAlignment="1">
      <alignment horizontal="right" vertical="center" wrapText="1"/>
    </xf>
    <xf numFmtId="0" fontId="9" fillId="5" borderId="15" xfId="4" applyFont="1" applyFill="1" applyBorder="1" applyAlignment="1">
      <alignment horizontal="left" vertical="center" wrapText="1"/>
    </xf>
    <xf numFmtId="0" fontId="9" fillId="5" borderId="16" xfId="4" applyFont="1" applyFill="1" applyBorder="1" applyAlignment="1">
      <alignment horizontal="center" vertical="center" wrapText="1"/>
    </xf>
    <xf numFmtId="180" fontId="7" fillId="0" borderId="15" xfId="2" applyNumberFormat="1" applyFont="1" applyBorder="1" applyAlignment="1">
      <alignment vertical="center" wrapText="1"/>
    </xf>
    <xf numFmtId="0" fontId="9" fillId="5" borderId="0" xfId="4" applyFont="1" applyFill="1" applyAlignment="1">
      <alignment horizontal="left" vertical="center" wrapText="1"/>
    </xf>
    <xf numFmtId="0" fontId="9" fillId="0" borderId="17" xfId="4" applyFont="1" applyBorder="1" applyAlignment="1">
      <alignment horizontal="center" vertical="center" wrapText="1"/>
    </xf>
    <xf numFmtId="0" fontId="7" fillId="0" borderId="17" xfId="4" applyFont="1" applyBorder="1" applyAlignment="1">
      <alignment horizontal="center" vertical="center" wrapText="1"/>
    </xf>
    <xf numFmtId="180" fontId="4" fillId="0" borderId="0" xfId="2" applyNumberFormat="1" applyFont="1"/>
    <xf numFmtId="0" fontId="6" fillId="5" borderId="37" xfId="4" applyFont="1" applyFill="1" applyBorder="1" applyAlignment="1">
      <alignment horizontal="left"/>
    </xf>
    <xf numFmtId="1" fontId="6" fillId="5" borderId="37" xfId="2" applyNumberFormat="1" applyFont="1" applyFill="1" applyBorder="1" applyAlignment="1">
      <alignment horizontal="center"/>
    </xf>
    <xf numFmtId="44" fontId="6" fillId="5" borderId="37" xfId="2" applyFont="1" applyFill="1" applyBorder="1" applyAlignment="1">
      <alignment horizontal="center"/>
    </xf>
    <xf numFmtId="0" fontId="6" fillId="2" borderId="17" xfId="4" applyFont="1" applyFill="1" applyBorder="1" applyAlignment="1">
      <alignment horizontal="center" vertical="center"/>
    </xf>
    <xf numFmtId="1" fontId="6" fillId="2" borderId="17" xfId="7" applyNumberFormat="1" applyFont="1" applyFill="1" applyBorder="1" applyAlignment="1">
      <alignment horizontal="center" vertical="center"/>
    </xf>
    <xf numFmtId="168" fontId="6" fillId="2" borderId="17" xfId="7" applyNumberFormat="1" applyFont="1" applyFill="1" applyBorder="1" applyAlignment="1"/>
    <xf numFmtId="164" fontId="6" fillId="2" borderId="17" xfId="7" applyNumberFormat="1" applyFont="1" applyFill="1" applyBorder="1" applyAlignment="1"/>
    <xf numFmtId="168" fontId="6" fillId="2" borderId="0" xfId="7" applyNumberFormat="1" applyFont="1" applyFill="1" applyBorder="1" applyAlignment="1"/>
    <xf numFmtId="181" fontId="6" fillId="2" borderId="0" xfId="9" applyNumberFormat="1" applyFont="1" applyFill="1" applyBorder="1" applyAlignment="1"/>
    <xf numFmtId="44" fontId="6" fillId="2" borderId="0" xfId="2" applyFont="1" applyFill="1" applyBorder="1" applyAlignment="1"/>
    <xf numFmtId="1" fontId="6" fillId="2" borderId="38" xfId="2" applyNumberFormat="1" applyFont="1" applyFill="1" applyBorder="1" applyAlignment="1">
      <alignment horizontal="center"/>
    </xf>
    <xf numFmtId="44" fontId="6" fillId="2" borderId="38" xfId="2" applyFont="1" applyFill="1" applyBorder="1" applyAlignment="1">
      <alignment horizontal="center"/>
    </xf>
    <xf numFmtId="44" fontId="7" fillId="5" borderId="0" xfId="4" applyNumberFormat="1" applyFont="1" applyFill="1" applyAlignment="1">
      <alignment horizontal="center" vertical="center"/>
    </xf>
    <xf numFmtId="164" fontId="4" fillId="0" borderId="0" xfId="4" applyNumberFormat="1"/>
    <xf numFmtId="44" fontId="5" fillId="0" borderId="0" xfId="2" applyFont="1"/>
    <xf numFmtId="164" fontId="17" fillId="0" borderId="0" xfId="0" applyNumberFormat="1" applyFont="1" applyAlignment="1">
      <alignment vertical="center"/>
    </xf>
    <xf numFmtId="164" fontId="0" fillId="0" borderId="0" xfId="0" applyNumberFormat="1" applyAlignment="1">
      <alignment vertical="center"/>
    </xf>
    <xf numFmtId="0" fontId="6" fillId="2" borderId="0" xfId="4" applyFont="1" applyFill="1" applyAlignment="1">
      <alignment horizontal="center" vertical="center"/>
    </xf>
    <xf numFmtId="0" fontId="9" fillId="0" borderId="15" xfId="4" applyFont="1" applyBorder="1" applyAlignment="1">
      <alignment vertical="center" wrapText="1"/>
    </xf>
    <xf numFmtId="0" fontId="7" fillId="0" borderId="15" xfId="4" applyFont="1" applyBorder="1" applyAlignment="1">
      <alignment horizontal="center" vertical="center"/>
    </xf>
    <xf numFmtId="0" fontId="7" fillId="0" borderId="15" xfId="4" applyFont="1" applyBorder="1" applyAlignment="1">
      <alignment horizontal="center" vertical="center" wrapText="1"/>
    </xf>
    <xf numFmtId="165" fontId="7" fillId="13" borderId="15" xfId="7" applyFont="1" applyFill="1" applyBorder="1" applyAlignment="1">
      <alignment vertical="center" wrapText="1"/>
    </xf>
    <xf numFmtId="0" fontId="7" fillId="0" borderId="0" xfId="4" applyFont="1" applyAlignment="1">
      <alignment horizontal="right"/>
    </xf>
    <xf numFmtId="164" fontId="7" fillId="0" borderId="0" xfId="4" applyNumberFormat="1" applyFont="1" applyAlignment="1">
      <alignment horizontal="right"/>
    </xf>
    <xf numFmtId="0" fontId="6" fillId="2" borderId="37" xfId="4" applyFont="1" applyFill="1" applyBorder="1" applyAlignment="1">
      <alignment horizontal="center"/>
    </xf>
    <xf numFmtId="1" fontId="6" fillId="2" borderId="3" xfId="4" applyNumberFormat="1" applyFont="1" applyFill="1" applyBorder="1" applyAlignment="1">
      <alignment horizontal="center" vertical="center"/>
    </xf>
    <xf numFmtId="44" fontId="6" fillId="2" borderId="3" xfId="4" applyNumberFormat="1" applyFont="1" applyFill="1" applyBorder="1" applyAlignment="1">
      <alignment horizontal="center" vertical="center"/>
    </xf>
    <xf numFmtId="0" fontId="6" fillId="2" borderId="38" xfId="4" applyFont="1" applyFill="1" applyBorder="1" applyAlignment="1">
      <alignment horizontal="center" vertical="center"/>
    </xf>
    <xf numFmtId="0" fontId="56" fillId="0" borderId="0" xfId="4" applyFont="1" applyAlignment="1">
      <alignment horizontal="center"/>
    </xf>
    <xf numFmtId="44" fontId="56" fillId="0" borderId="0" xfId="4" applyNumberFormat="1" applyFont="1" applyAlignment="1">
      <alignment horizontal="center"/>
    </xf>
    <xf numFmtId="0" fontId="6" fillId="2" borderId="0" xfId="4" applyFont="1" applyFill="1" applyAlignment="1">
      <alignment horizontal="center"/>
    </xf>
    <xf numFmtId="44" fontId="6" fillId="2" borderId="0" xfId="4" applyNumberFormat="1" applyFont="1" applyFill="1" applyAlignment="1">
      <alignment horizontal="center"/>
    </xf>
    <xf numFmtId="0" fontId="57" fillId="0" borderId="0" xfId="4" applyFont="1" applyAlignment="1">
      <alignment horizontal="center" vertical="center"/>
    </xf>
    <xf numFmtId="0" fontId="7" fillId="0" borderId="0" xfId="4" applyFont="1" applyAlignment="1">
      <alignment vertical="center"/>
    </xf>
    <xf numFmtId="168" fontId="6" fillId="2" borderId="17" xfId="7" applyNumberFormat="1" applyFont="1" applyFill="1" applyBorder="1" applyAlignment="1">
      <alignment vertical="center"/>
    </xf>
    <xf numFmtId="164" fontId="6" fillId="2" borderId="17" xfId="7" applyNumberFormat="1" applyFont="1" applyFill="1" applyBorder="1" applyAlignment="1">
      <alignment vertical="center"/>
    </xf>
    <xf numFmtId="0" fontId="4" fillId="0" borderId="0" xfId="4" applyAlignment="1">
      <alignment vertical="center"/>
    </xf>
    <xf numFmtId="168" fontId="6" fillId="2" borderId="0" xfId="7" applyNumberFormat="1" applyFont="1" applyFill="1" applyBorder="1" applyAlignment="1">
      <alignment vertical="center"/>
    </xf>
    <xf numFmtId="181" fontId="6" fillId="2" borderId="0" xfId="9" applyNumberFormat="1" applyFont="1" applyFill="1" applyBorder="1" applyAlignment="1">
      <alignment vertical="center"/>
    </xf>
    <xf numFmtId="44" fontId="6" fillId="2" borderId="0" xfId="2" applyFont="1" applyFill="1" applyBorder="1" applyAlignment="1">
      <alignment vertical="center"/>
    </xf>
    <xf numFmtId="1" fontId="6" fillId="2" borderId="38" xfId="2" applyNumberFormat="1" applyFont="1" applyFill="1" applyBorder="1" applyAlignment="1">
      <alignment horizontal="center" vertical="center"/>
    </xf>
    <xf numFmtId="44" fontId="6" fillId="2" borderId="38" xfId="2" applyFont="1" applyFill="1" applyBorder="1" applyAlignment="1">
      <alignment horizontal="center" vertical="center"/>
    </xf>
    <xf numFmtId="0" fontId="54" fillId="0" borderId="0" xfId="4" applyFont="1" applyAlignment="1">
      <alignment vertical="center"/>
    </xf>
    <xf numFmtId="44" fontId="5" fillId="0" borderId="0" xfId="2" applyFont="1" applyAlignment="1">
      <alignment vertical="center"/>
    </xf>
    <xf numFmtId="0" fontId="4" fillId="0" borderId="0" xfId="4" applyAlignment="1">
      <alignment horizontal="center" vertical="center"/>
    </xf>
    <xf numFmtId="164" fontId="7" fillId="0" borderId="0" xfId="4" applyNumberFormat="1" applyFont="1" applyAlignment="1">
      <alignment horizontal="right" vertical="center"/>
    </xf>
    <xf numFmtId="164" fontId="7" fillId="0" borderId="0" xfId="4" applyNumberFormat="1" applyFont="1" applyAlignment="1">
      <alignment vertical="center"/>
    </xf>
    <xf numFmtId="44" fontId="6" fillId="2" borderId="0" xfId="4" applyNumberFormat="1" applyFont="1" applyFill="1" applyAlignment="1">
      <alignment horizontal="center" vertical="center"/>
    </xf>
    <xf numFmtId="44" fontId="9" fillId="0" borderId="37" xfId="2" applyFont="1" applyFill="1" applyBorder="1" applyAlignment="1">
      <alignment horizontal="center" vertical="center"/>
    </xf>
    <xf numFmtId="1" fontId="7" fillId="0" borderId="37" xfId="2" applyNumberFormat="1" applyFont="1" applyFill="1" applyBorder="1" applyAlignment="1">
      <alignment horizontal="center" vertical="center"/>
    </xf>
    <xf numFmtId="44" fontId="7" fillId="0" borderId="37" xfId="2" applyFont="1" applyFill="1" applyBorder="1" applyAlignment="1">
      <alignment horizontal="center" vertical="center"/>
    </xf>
    <xf numFmtId="0" fontId="6" fillId="2" borderId="37" xfId="4" applyFont="1" applyFill="1" applyBorder="1" applyAlignment="1">
      <alignment horizontal="center" vertical="center"/>
    </xf>
    <xf numFmtId="0" fontId="6" fillId="5" borderId="37" xfId="4" applyFont="1" applyFill="1" applyBorder="1" applyAlignment="1">
      <alignment horizontal="left" vertical="center"/>
    </xf>
    <xf numFmtId="1" fontId="6" fillId="5" borderId="37" xfId="2" applyNumberFormat="1" applyFont="1" applyFill="1" applyBorder="1" applyAlignment="1">
      <alignment horizontal="center" vertical="center"/>
    </xf>
    <xf numFmtId="44" fontId="6" fillId="5" borderId="37" xfId="2" applyFont="1" applyFill="1" applyBorder="1" applyAlignment="1">
      <alignment horizontal="center" vertical="center"/>
    </xf>
    <xf numFmtId="178" fontId="7" fillId="0" borderId="11" xfId="9" applyNumberFormat="1" applyFont="1" applyFill="1" applyBorder="1" applyAlignment="1">
      <alignment horizontal="right" vertical="center" wrapText="1"/>
    </xf>
    <xf numFmtId="179" fontId="7" fillId="0" borderId="11" xfId="1" applyNumberFormat="1" applyFont="1" applyBorder="1" applyAlignment="1">
      <alignment vertical="center" wrapText="1"/>
    </xf>
    <xf numFmtId="180" fontId="7" fillId="0" borderId="11" xfId="2" applyNumberFormat="1" applyFont="1" applyFill="1" applyBorder="1" applyAlignment="1">
      <alignment vertical="center" wrapText="1"/>
    </xf>
    <xf numFmtId="0" fontId="49" fillId="5" borderId="1" xfId="10" applyFont="1" applyFill="1" applyBorder="1" applyAlignment="1">
      <alignment horizontal="center"/>
    </xf>
    <xf numFmtId="165" fontId="58" fillId="5" borderId="1" xfId="12" applyFont="1" applyFill="1" applyBorder="1" applyAlignment="1">
      <alignment horizontal="center"/>
    </xf>
    <xf numFmtId="0" fontId="12" fillId="0" borderId="0" xfId="0" applyFont="1" applyAlignment="1">
      <alignment vertical="center"/>
    </xf>
    <xf numFmtId="44" fontId="12" fillId="0" borderId="0" xfId="0" applyNumberFormat="1" applyFont="1" applyAlignment="1">
      <alignment vertical="center"/>
    </xf>
    <xf numFmtId="9" fontId="12" fillId="0" borderId="0" xfId="0" applyNumberFormat="1" applyFont="1" applyAlignment="1">
      <alignment horizontal="center" vertical="center"/>
    </xf>
    <xf numFmtId="9" fontId="12" fillId="0" borderId="0" xfId="3" applyFont="1" applyFill="1" applyAlignment="1">
      <alignment horizontal="center" vertical="center"/>
    </xf>
    <xf numFmtId="0" fontId="10" fillId="3" borderId="0" xfId="5" applyFont="1" applyFill="1" applyAlignment="1">
      <alignment horizontal="left" vertical="center"/>
    </xf>
    <xf numFmtId="0" fontId="11" fillId="3" borderId="0" xfId="4" applyFont="1" applyFill="1" applyAlignment="1">
      <alignment horizontal="left" vertical="center"/>
    </xf>
    <xf numFmtId="0" fontId="23" fillId="0" borderId="0" xfId="0" applyFont="1" applyAlignment="1">
      <alignment vertical="center"/>
    </xf>
    <xf numFmtId="44" fontId="37" fillId="0" borderId="0" xfId="2" applyFont="1" applyAlignment="1">
      <alignment vertical="center"/>
    </xf>
    <xf numFmtId="164" fontId="37" fillId="0" borderId="0" xfId="0" applyNumberFormat="1" applyFont="1" applyAlignment="1">
      <alignment vertical="center"/>
    </xf>
    <xf numFmtId="0" fontId="12" fillId="14" borderId="0" xfId="0" applyFont="1" applyFill="1" applyAlignment="1">
      <alignment vertical="center"/>
    </xf>
    <xf numFmtId="0" fontId="12" fillId="14" borderId="0" xfId="0" applyFont="1" applyFill="1" applyAlignment="1">
      <alignment horizontal="center" vertical="center"/>
    </xf>
    <xf numFmtId="0" fontId="59" fillId="0" borderId="0" xfId="0" applyFont="1" applyAlignment="1">
      <alignment vertical="center"/>
    </xf>
    <xf numFmtId="0" fontId="60" fillId="0" borderId="0" xfId="0" applyFont="1" applyAlignment="1">
      <alignment vertical="center"/>
    </xf>
    <xf numFmtId="44" fontId="17" fillId="13" borderId="0" xfId="0" applyNumberFormat="1" applyFont="1" applyFill="1" applyAlignment="1">
      <alignment vertical="center"/>
    </xf>
    <xf numFmtId="0" fontId="12" fillId="2" borderId="0" xfId="0" applyFont="1" applyFill="1" applyAlignment="1">
      <alignment horizontal="center" vertical="center"/>
    </xf>
    <xf numFmtId="0" fontId="17" fillId="0" borderId="1" xfId="0" applyFont="1" applyBorder="1" applyAlignment="1">
      <alignment vertical="center"/>
    </xf>
    <xf numFmtId="44" fontId="17" fillId="13" borderId="1" xfId="0" applyNumberFormat="1" applyFont="1" applyFill="1" applyBorder="1" applyAlignment="1">
      <alignment vertical="center"/>
    </xf>
    <xf numFmtId="44" fontId="7" fillId="5" borderId="41" xfId="2" applyFont="1" applyFill="1" applyBorder="1" applyAlignment="1">
      <alignment horizontal="center" vertical="center"/>
    </xf>
    <xf numFmtId="9" fontId="7" fillId="0" borderId="41" xfId="3" applyFont="1" applyFill="1" applyBorder="1" applyAlignment="1">
      <alignment horizontal="center" vertical="center"/>
    </xf>
    <xf numFmtId="177" fontId="7" fillId="5" borderId="42" xfId="0" quotePrefix="1" applyNumberFormat="1" applyFont="1" applyFill="1" applyBorder="1" applyAlignment="1">
      <alignment horizontal="center" vertical="center"/>
    </xf>
    <xf numFmtId="0" fontId="61" fillId="2" borderId="3" xfId="19" applyFont="1" applyFill="1" applyBorder="1" applyAlignment="1">
      <alignment horizontal="center" vertical="center" wrapText="1"/>
    </xf>
    <xf numFmtId="175" fontId="61" fillId="2" borderId="3" xfId="19" applyNumberFormat="1" applyFont="1" applyFill="1" applyBorder="1" applyAlignment="1">
      <alignment horizontal="center" vertical="center" wrapText="1" shrinkToFit="1"/>
    </xf>
    <xf numFmtId="176" fontId="61" fillId="2" borderId="3" xfId="19" applyNumberFormat="1" applyFont="1" applyFill="1" applyBorder="1" applyAlignment="1">
      <alignment horizontal="center" vertical="center" shrinkToFit="1"/>
    </xf>
    <xf numFmtId="0" fontId="9" fillId="5" borderId="40" xfId="0" applyFont="1" applyFill="1" applyBorder="1" applyAlignment="1">
      <alignment horizontal="center" vertical="center" wrapText="1"/>
    </xf>
    <xf numFmtId="0" fontId="9" fillId="5" borderId="41" xfId="0" applyFont="1" applyFill="1" applyBorder="1" applyAlignment="1">
      <alignment horizontal="center" vertical="center" wrapText="1"/>
    </xf>
    <xf numFmtId="3" fontId="9" fillId="0" borderId="41" xfId="0" applyNumberFormat="1" applyFont="1" applyBorder="1" applyAlignment="1">
      <alignment horizontal="center" vertical="center"/>
    </xf>
    <xf numFmtId="3" fontId="9" fillId="5" borderId="41" xfId="0" applyNumberFormat="1" applyFont="1" applyFill="1" applyBorder="1" applyAlignment="1">
      <alignment horizontal="center" vertical="center"/>
    </xf>
    <xf numFmtId="0" fontId="17" fillId="0" borderId="39" xfId="0" applyFont="1" applyBorder="1" applyAlignment="1">
      <alignment vertical="center"/>
    </xf>
    <xf numFmtId="44" fontId="17" fillId="13" borderId="39" xfId="0" applyNumberFormat="1" applyFont="1" applyFill="1" applyBorder="1" applyAlignment="1">
      <alignment vertical="center"/>
    </xf>
    <xf numFmtId="0" fontId="17" fillId="5" borderId="39" xfId="0" applyFont="1" applyFill="1" applyBorder="1" applyAlignment="1">
      <alignment vertical="center"/>
    </xf>
    <xf numFmtId="44" fontId="17" fillId="5" borderId="39" xfId="0" applyNumberFormat="1" applyFont="1" applyFill="1" applyBorder="1" applyAlignment="1">
      <alignment vertical="center"/>
    </xf>
    <xf numFmtId="178" fontId="7" fillId="0" borderId="15" xfId="7" applyNumberFormat="1" applyFont="1" applyFill="1" applyBorder="1" applyAlignment="1">
      <alignment horizontal="center" vertical="center" wrapText="1"/>
    </xf>
    <xf numFmtId="178" fontId="7" fillId="0" borderId="12" xfId="7" applyNumberFormat="1" applyFont="1" applyFill="1" applyBorder="1" applyAlignment="1">
      <alignment horizontal="center" vertical="center" wrapText="1"/>
    </xf>
    <xf numFmtId="178" fontId="7" fillId="0" borderId="15" xfId="9" applyNumberFormat="1" applyFont="1" applyFill="1" applyBorder="1" applyAlignment="1">
      <alignment horizontal="center" vertical="center" wrapText="1"/>
    </xf>
    <xf numFmtId="178" fontId="7" fillId="0" borderId="43" xfId="9" applyNumberFormat="1" applyFont="1" applyFill="1" applyBorder="1" applyAlignment="1">
      <alignment horizontal="center" vertical="center" wrapText="1"/>
    </xf>
    <xf numFmtId="179" fontId="7" fillId="0" borderId="43" xfId="1" applyNumberFormat="1" applyFont="1" applyBorder="1" applyAlignment="1">
      <alignment vertical="center" wrapText="1"/>
    </xf>
    <xf numFmtId="180" fontId="7" fillId="0" borderId="43" xfId="2" applyNumberFormat="1" applyFont="1" applyFill="1" applyBorder="1" applyAlignment="1">
      <alignment vertical="center" wrapText="1"/>
    </xf>
    <xf numFmtId="179" fontId="7" fillId="0" borderId="12" xfId="1" applyNumberFormat="1" applyFont="1" applyFill="1" applyBorder="1" applyAlignment="1">
      <alignment horizontal="center" vertical="center" wrapText="1"/>
    </xf>
    <xf numFmtId="179" fontId="7" fillId="0" borderId="15" xfId="1" applyNumberFormat="1" applyFont="1" applyFill="1" applyBorder="1" applyAlignment="1">
      <alignment horizontal="center" vertical="center" wrapText="1"/>
    </xf>
    <xf numFmtId="179" fontId="7" fillId="0" borderId="15" xfId="1" applyNumberFormat="1" applyFont="1" applyBorder="1" applyAlignment="1">
      <alignment horizontal="center" vertical="center" wrapText="1"/>
    </xf>
    <xf numFmtId="179" fontId="7" fillId="0" borderId="43" xfId="1" applyNumberFormat="1" applyFont="1" applyBorder="1" applyAlignment="1">
      <alignment horizontal="center" vertical="center" wrapText="1"/>
    </xf>
    <xf numFmtId="178" fontId="7" fillId="0" borderId="43" xfId="9" applyNumberFormat="1" applyFont="1" applyFill="1" applyBorder="1" applyAlignment="1">
      <alignment horizontal="right" vertical="center" wrapText="1"/>
    </xf>
    <xf numFmtId="0" fontId="7" fillId="0" borderId="39" xfId="4" applyFont="1" applyBorder="1"/>
    <xf numFmtId="9" fontId="7" fillId="0" borderId="39" xfId="4" applyNumberFormat="1" applyFont="1" applyBorder="1"/>
    <xf numFmtId="3" fontId="7" fillId="0" borderId="39" xfId="4" applyNumberFormat="1" applyFont="1" applyBorder="1"/>
    <xf numFmtId="44" fontId="7" fillId="0" borderId="39" xfId="2" applyFont="1" applyBorder="1"/>
    <xf numFmtId="3" fontId="6" fillId="2" borderId="0" xfId="4" applyNumberFormat="1" applyFont="1" applyFill="1" applyAlignment="1">
      <alignment horizontal="center" vertical="center"/>
    </xf>
    <xf numFmtId="0" fontId="28" fillId="9" borderId="0" xfId="5" applyFont="1" applyFill="1" applyAlignment="1">
      <alignment vertical="center" wrapText="1"/>
    </xf>
    <xf numFmtId="2" fontId="7" fillId="0" borderId="15" xfId="7" applyNumberFormat="1" applyFont="1" applyFill="1" applyBorder="1" applyAlignment="1">
      <alignment horizontal="right" vertical="center" wrapText="1"/>
    </xf>
    <xf numFmtId="2" fontId="7" fillId="0" borderId="15" xfId="9" applyNumberFormat="1" applyFont="1" applyFill="1" applyBorder="1" applyAlignment="1">
      <alignment horizontal="right" vertical="center" wrapText="1"/>
    </xf>
    <xf numFmtId="44" fontId="7" fillId="0" borderId="0" xfId="4" applyNumberFormat="1" applyFont="1" applyAlignment="1">
      <alignment horizontal="center"/>
    </xf>
    <xf numFmtId="0" fontId="12" fillId="0" borderId="0" xfId="4" applyFont="1" applyAlignment="1">
      <alignment horizontal="center"/>
    </xf>
    <xf numFmtId="44" fontId="12" fillId="0" borderId="0" xfId="4" applyNumberFormat="1" applyFont="1" applyAlignment="1">
      <alignment horizontal="center"/>
    </xf>
    <xf numFmtId="44" fontId="6" fillId="2" borderId="3" xfId="2" applyFont="1" applyFill="1" applyBorder="1" applyAlignment="1">
      <alignment horizontal="center" vertical="center"/>
    </xf>
    <xf numFmtId="44" fontId="7" fillId="0" borderId="0" xfId="4" applyNumberFormat="1" applyFont="1" applyAlignment="1">
      <alignment horizontal="center" vertical="center"/>
    </xf>
    <xf numFmtId="9" fontId="7" fillId="0" borderId="0" xfId="4" applyNumberFormat="1" applyFont="1" applyAlignment="1">
      <alignment horizontal="center" vertical="center"/>
    </xf>
    <xf numFmtId="1" fontId="7" fillId="0" borderId="0" xfId="4" applyNumberFormat="1" applyFont="1" applyAlignment="1">
      <alignment horizontal="center" vertical="center"/>
    </xf>
    <xf numFmtId="0" fontId="6" fillId="2" borderId="0" xfId="4" applyFont="1" applyFill="1" applyAlignment="1">
      <alignment vertical="center"/>
    </xf>
    <xf numFmtId="44" fontId="6" fillId="2" borderId="0" xfId="4" applyNumberFormat="1" applyFont="1" applyFill="1" applyAlignment="1">
      <alignment vertical="center"/>
    </xf>
    <xf numFmtId="1" fontId="6" fillId="2" borderId="0" xfId="4" applyNumberFormat="1" applyFont="1" applyFill="1" applyAlignment="1">
      <alignment horizontal="center" vertical="center"/>
    </xf>
    <xf numFmtId="9" fontId="7" fillId="13" borderId="15" xfId="8" applyFont="1" applyFill="1" applyBorder="1" applyAlignment="1">
      <alignment horizontal="center" vertical="center" wrapText="1"/>
    </xf>
    <xf numFmtId="0" fontId="31" fillId="9" borderId="0" xfId="5" applyFont="1" applyFill="1" applyAlignment="1">
      <alignment horizontal="left" vertical="center"/>
    </xf>
    <xf numFmtId="44" fontId="9" fillId="0" borderId="0" xfId="2" applyFont="1"/>
    <xf numFmtId="43" fontId="7" fillId="0" borderId="0" xfId="4" applyNumberFormat="1" applyFont="1"/>
    <xf numFmtId="165" fontId="7" fillId="0" borderId="0" xfId="4" applyNumberFormat="1" applyFont="1" applyAlignment="1">
      <alignment horizontal="center" vertical="center"/>
    </xf>
    <xf numFmtId="43" fontId="7" fillId="0" borderId="0" xfId="4" applyNumberFormat="1" applyFont="1" applyAlignment="1">
      <alignment horizontal="center" vertical="center"/>
    </xf>
    <xf numFmtId="44" fontId="4" fillId="0" borderId="0" xfId="2" applyFont="1"/>
    <xf numFmtId="43" fontId="4" fillId="0" borderId="0" xfId="5" applyNumberFormat="1"/>
    <xf numFmtId="44" fontId="7" fillId="0" borderId="0" xfId="2" applyFont="1"/>
    <xf numFmtId="0" fontId="47" fillId="0" borderId="0" xfId="20" applyFont="1" applyAlignment="1">
      <alignment horizontal="left" vertical="center"/>
    </xf>
    <xf numFmtId="0" fontId="17" fillId="0" borderId="12" xfId="0" applyFont="1" applyBorder="1" applyAlignment="1">
      <alignment vertical="center"/>
    </xf>
    <xf numFmtId="44" fontId="17" fillId="13" borderId="0" xfId="2" applyFont="1" applyFill="1" applyAlignment="1">
      <alignment vertical="center"/>
    </xf>
    <xf numFmtId="165" fontId="7" fillId="15" borderId="15" xfId="7" applyFont="1" applyFill="1" applyBorder="1" applyAlignment="1">
      <alignment vertical="center" wrapText="1"/>
    </xf>
    <xf numFmtId="44" fontId="7" fillId="5" borderId="37" xfId="2" applyFont="1" applyFill="1" applyBorder="1" applyAlignment="1">
      <alignment horizontal="center"/>
    </xf>
    <xf numFmtId="0" fontId="34" fillId="0" borderId="0" xfId="5" applyFont="1" applyAlignment="1">
      <alignment vertical="center" wrapText="1"/>
    </xf>
    <xf numFmtId="0" fontId="34" fillId="0" borderId="0" xfId="5" applyFont="1" applyAlignment="1">
      <alignment horizontal="left" vertical="center" wrapText="1"/>
    </xf>
    <xf numFmtId="1" fontId="34" fillId="9" borderId="0" xfId="1" applyNumberFormat="1" applyFont="1" applyFill="1" applyAlignment="1">
      <alignment horizontal="center" vertical="center"/>
    </xf>
    <xf numFmtId="172" fontId="34" fillId="9" borderId="0" xfId="5" applyNumberFormat="1" applyFont="1" applyFill="1" applyAlignment="1">
      <alignment horizontal="center" vertical="center"/>
    </xf>
    <xf numFmtId="0" fontId="35" fillId="0" borderId="0" xfId="0" applyFont="1" applyAlignment="1">
      <alignment horizontal="left" vertical="center" wrapText="1"/>
    </xf>
    <xf numFmtId="0" fontId="28" fillId="9" borderId="0" xfId="5" applyFont="1" applyFill="1" applyAlignment="1">
      <alignment horizontal="left" vertical="center" wrapText="1"/>
    </xf>
    <xf numFmtId="0" fontId="28" fillId="10" borderId="0" xfId="5" applyFont="1" applyFill="1" applyAlignment="1">
      <alignment horizontal="center" vertical="center"/>
    </xf>
    <xf numFmtId="0" fontId="29" fillId="9" borderId="0" xfId="5" applyFont="1" applyFill="1" applyAlignment="1">
      <alignment horizontal="left" vertical="center"/>
    </xf>
    <xf numFmtId="0" fontId="30" fillId="10" borderId="0" xfId="5" applyFont="1" applyFill="1" applyAlignment="1">
      <alignment horizontal="center" vertical="center"/>
    </xf>
    <xf numFmtId="0" fontId="31" fillId="9" borderId="0" xfId="5" applyFont="1" applyFill="1" applyAlignment="1">
      <alignment horizontal="left" vertical="center" wrapText="1"/>
    </xf>
    <xf numFmtId="0" fontId="34" fillId="9" borderId="0" xfId="5" applyFont="1" applyFill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12" fillId="2" borderId="0" xfId="0" applyFont="1" applyFill="1" applyAlignment="1">
      <alignment horizontal="center" vertical="center"/>
    </xf>
    <xf numFmtId="17" fontId="6" fillId="2" borderId="0" xfId="0" applyNumberFormat="1" applyFont="1" applyFill="1" applyAlignment="1">
      <alignment horizontal="center" vertical="center"/>
    </xf>
    <xf numFmtId="0" fontId="6" fillId="2" borderId="3" xfId="4" applyFont="1" applyFill="1" applyBorder="1" applyAlignment="1">
      <alignment horizontal="center" vertical="center"/>
    </xf>
    <xf numFmtId="0" fontId="6" fillId="2" borderId="0" xfId="4" applyFont="1" applyFill="1" applyAlignment="1">
      <alignment horizontal="center" vertical="center"/>
    </xf>
    <xf numFmtId="43" fontId="6" fillId="2" borderId="3" xfId="6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/>
    </xf>
    <xf numFmtId="0" fontId="6" fillId="2" borderId="3" xfId="4" applyFont="1" applyFill="1" applyBorder="1" applyAlignment="1">
      <alignment horizontal="center" vertical="center" wrapText="1"/>
    </xf>
    <xf numFmtId="0" fontId="6" fillId="2" borderId="4" xfId="4" applyFont="1" applyFill="1" applyBorder="1" applyAlignment="1">
      <alignment horizontal="center" vertical="center"/>
    </xf>
    <xf numFmtId="0" fontId="6" fillId="2" borderId="8" xfId="4" applyFont="1" applyFill="1" applyBorder="1" applyAlignment="1">
      <alignment horizontal="center" vertical="center"/>
    </xf>
    <xf numFmtId="0" fontId="6" fillId="2" borderId="9" xfId="4" applyFont="1" applyFill="1" applyBorder="1" applyAlignment="1">
      <alignment horizontal="center" vertical="center"/>
    </xf>
    <xf numFmtId="0" fontId="6" fillId="2" borderId="4" xfId="4" applyFont="1" applyFill="1" applyBorder="1" applyAlignment="1">
      <alignment horizontal="center" vertical="center" wrapText="1"/>
    </xf>
    <xf numFmtId="0" fontId="6" fillId="2" borderId="8" xfId="4" applyFont="1" applyFill="1" applyBorder="1" applyAlignment="1">
      <alignment horizontal="center" vertical="center" wrapText="1"/>
    </xf>
    <xf numFmtId="0" fontId="6" fillId="2" borderId="9" xfId="4" applyFont="1" applyFill="1" applyBorder="1" applyAlignment="1">
      <alignment horizontal="center" vertical="center" wrapText="1"/>
    </xf>
    <xf numFmtId="0" fontId="6" fillId="2" borderId="5" xfId="5" applyFont="1" applyFill="1" applyBorder="1" applyAlignment="1">
      <alignment horizontal="center" vertical="center"/>
    </xf>
    <xf numFmtId="0" fontId="6" fillId="2" borderId="6" xfId="5" applyFont="1" applyFill="1" applyBorder="1" applyAlignment="1">
      <alignment horizontal="center" vertical="center"/>
    </xf>
    <xf numFmtId="0" fontId="6" fillId="2" borderId="7" xfId="5" applyFont="1" applyFill="1" applyBorder="1" applyAlignment="1">
      <alignment horizontal="center" vertical="center"/>
    </xf>
    <xf numFmtId="0" fontId="6" fillId="2" borderId="34" xfId="4" applyFont="1" applyFill="1" applyBorder="1" applyAlignment="1">
      <alignment horizontal="center" vertical="center"/>
    </xf>
    <xf numFmtId="0" fontId="6" fillId="2" borderId="35" xfId="4" applyFont="1" applyFill="1" applyBorder="1" applyAlignment="1">
      <alignment horizontal="center" vertical="center"/>
    </xf>
    <xf numFmtId="0" fontId="6" fillId="2" borderId="36" xfId="4" applyFont="1" applyFill="1" applyBorder="1" applyAlignment="1">
      <alignment horizontal="center" vertical="center"/>
    </xf>
    <xf numFmtId="43" fontId="6" fillId="2" borderId="4" xfId="6" applyFont="1" applyFill="1" applyBorder="1" applyAlignment="1">
      <alignment horizontal="center" vertical="center" wrapText="1"/>
    </xf>
    <xf numFmtId="43" fontId="6" fillId="2" borderId="8" xfId="6" applyFont="1" applyFill="1" applyBorder="1" applyAlignment="1">
      <alignment horizontal="center" vertical="center" wrapText="1"/>
    </xf>
    <xf numFmtId="43" fontId="6" fillId="2" borderId="9" xfId="6" applyFont="1" applyFill="1" applyBorder="1" applyAlignment="1">
      <alignment horizontal="center" vertical="center" wrapText="1"/>
    </xf>
    <xf numFmtId="169" fontId="6" fillId="2" borderId="3" xfId="1" applyNumberFormat="1" applyFont="1" applyFill="1" applyBorder="1" applyAlignment="1">
      <alignment horizontal="center" vertical="center" wrapText="1"/>
    </xf>
    <xf numFmtId="169" fontId="6" fillId="2" borderId="4" xfId="1" applyNumberFormat="1" applyFont="1" applyFill="1" applyBorder="1" applyAlignment="1">
      <alignment horizontal="center" vertical="center" wrapText="1"/>
    </xf>
    <xf numFmtId="0" fontId="6" fillId="2" borderId="3" xfId="5" applyFont="1" applyFill="1" applyBorder="1" applyAlignment="1">
      <alignment horizontal="center" vertical="center" wrapText="1"/>
    </xf>
    <xf numFmtId="0" fontId="6" fillId="2" borderId="4" xfId="5" applyFont="1" applyFill="1" applyBorder="1" applyAlignment="1">
      <alignment horizontal="center" vertical="center" wrapText="1"/>
    </xf>
    <xf numFmtId="0" fontId="6" fillId="2" borderId="3" xfId="5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 wrapText="1"/>
    </xf>
    <xf numFmtId="0" fontId="6" fillId="2" borderId="4" xfId="0" applyFont="1" applyFill="1" applyBorder="1" applyAlignment="1">
      <alignment horizontal="center" vertical="center" wrapText="1"/>
    </xf>
    <xf numFmtId="170" fontId="6" fillId="2" borderId="3" xfId="5" applyNumberFormat="1" applyFont="1" applyFill="1" applyBorder="1" applyAlignment="1">
      <alignment horizontal="center" vertical="center" wrapText="1"/>
    </xf>
    <xf numFmtId="170" fontId="6" fillId="2" borderId="4" xfId="5" applyNumberFormat="1" applyFont="1" applyFill="1" applyBorder="1" applyAlignment="1">
      <alignment horizontal="center" vertical="center" wrapText="1"/>
    </xf>
    <xf numFmtId="0" fontId="6" fillId="2" borderId="4" xfId="5" applyFont="1" applyFill="1" applyBorder="1" applyAlignment="1">
      <alignment horizontal="center" vertical="center"/>
    </xf>
    <xf numFmtId="0" fontId="6" fillId="2" borderId="3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169" fontId="6" fillId="2" borderId="19" xfId="1" applyNumberFormat="1" applyFont="1" applyFill="1" applyBorder="1" applyAlignment="1">
      <alignment horizontal="center" vertical="center" wrapText="1"/>
    </xf>
    <xf numFmtId="169" fontId="6" fillId="2" borderId="20" xfId="1" applyNumberFormat="1" applyFont="1" applyFill="1" applyBorder="1" applyAlignment="1">
      <alignment horizontal="center" vertical="center" wrapText="1"/>
    </xf>
    <xf numFmtId="169" fontId="6" fillId="2" borderId="21" xfId="1" applyNumberFormat="1" applyFont="1" applyFill="1" applyBorder="1" applyAlignment="1">
      <alignment horizontal="center" vertical="center" wrapText="1"/>
    </xf>
    <xf numFmtId="0" fontId="9" fillId="7" borderId="15" xfId="0" applyFont="1" applyFill="1" applyBorder="1" applyAlignment="1">
      <alignment horizontal="left" vertical="center" wrapText="1"/>
    </xf>
    <xf numFmtId="170" fontId="6" fillId="2" borderId="19" xfId="5" applyNumberFormat="1" applyFont="1" applyFill="1" applyBorder="1" applyAlignment="1">
      <alignment horizontal="center" vertical="center" wrapText="1"/>
    </xf>
    <xf numFmtId="170" fontId="6" fillId="2" borderId="20" xfId="5" applyNumberFormat="1" applyFont="1" applyFill="1" applyBorder="1" applyAlignment="1">
      <alignment horizontal="center" vertical="center" wrapText="1"/>
    </xf>
    <xf numFmtId="170" fontId="6" fillId="2" borderId="21" xfId="5" applyNumberFormat="1" applyFont="1" applyFill="1" applyBorder="1" applyAlignment="1">
      <alignment horizontal="center" vertical="center" wrapText="1"/>
    </xf>
    <xf numFmtId="165" fontId="26" fillId="0" borderId="12" xfId="7" applyFont="1" applyFill="1" applyBorder="1" applyAlignment="1">
      <alignment horizontal="center" vertical="center" wrapText="1"/>
    </xf>
    <xf numFmtId="165" fontId="26" fillId="0" borderId="15" xfId="7" applyFont="1" applyFill="1" applyBorder="1" applyAlignment="1">
      <alignment horizontal="center" vertical="center" wrapText="1"/>
    </xf>
    <xf numFmtId="165" fontId="26" fillId="0" borderId="11" xfId="7" applyFont="1" applyFill="1" applyBorder="1" applyAlignment="1">
      <alignment horizontal="center" vertical="center" wrapText="1"/>
    </xf>
    <xf numFmtId="9" fontId="7" fillId="0" borderId="15" xfId="3" applyFont="1" applyBorder="1" applyAlignment="1">
      <alignment horizontal="center" vertical="center" wrapText="1"/>
    </xf>
    <xf numFmtId="9" fontId="7" fillId="0" borderId="25" xfId="3" applyFont="1" applyBorder="1" applyAlignment="1">
      <alignment horizontal="center" vertical="center" wrapText="1"/>
    </xf>
    <xf numFmtId="0" fontId="15" fillId="0" borderId="33" xfId="5" applyFont="1" applyBorder="1" applyAlignment="1">
      <alignment horizontal="center" vertical="center" wrapText="1"/>
    </xf>
    <xf numFmtId="0" fontId="15" fillId="0" borderId="17" xfId="5" applyFont="1" applyBorder="1" applyAlignment="1">
      <alignment horizontal="center" vertical="center" wrapText="1"/>
    </xf>
    <xf numFmtId="0" fontId="15" fillId="0" borderId="14" xfId="5" applyFont="1" applyBorder="1" applyAlignment="1">
      <alignment horizontal="center" vertical="center" wrapText="1"/>
    </xf>
    <xf numFmtId="0" fontId="6" fillId="2" borderId="8" xfId="5" applyFont="1" applyFill="1" applyBorder="1" applyAlignment="1">
      <alignment horizontal="center" vertical="center" wrapText="1"/>
    </xf>
    <xf numFmtId="0" fontId="6" fillId="2" borderId="9" xfId="5" applyFont="1" applyFill="1" applyBorder="1" applyAlignment="1">
      <alignment horizontal="center" vertical="center" wrapText="1"/>
    </xf>
    <xf numFmtId="0" fontId="49" fillId="2" borderId="1" xfId="20" applyFont="1" applyFill="1" applyBorder="1" applyAlignment="1">
      <alignment horizontal="right" vertical="center"/>
    </xf>
    <xf numFmtId="44" fontId="17" fillId="5" borderId="0" xfId="2" applyFont="1" applyFill="1" applyAlignment="1">
      <alignment vertical="center"/>
    </xf>
  </cellXfs>
  <cellStyles count="23">
    <cellStyle name="=C:\WINNT\SYSTEM32\COMMAND.COM 2" xfId="19" xr:uid="{62C20835-F8D2-4C0D-B710-353D7AEB33B5}"/>
    <cellStyle name="Moeda" xfId="2" builtinId="4"/>
    <cellStyle name="Moeda 13" xfId="15" xr:uid="{AF1E0E40-909B-4888-AC3A-EDD4097FD92A}"/>
    <cellStyle name="Moeda 2" xfId="17" xr:uid="{2EFB0274-4A48-48AA-A5B3-8AFC77968D26}"/>
    <cellStyle name="Moeda 3" xfId="7" xr:uid="{4F2E1348-F317-4DF1-A29D-9C9560EE7356}"/>
    <cellStyle name="Moeda 7" xfId="12" xr:uid="{ED7FE915-A827-4141-AFEC-CCDC6A509ED8}"/>
    <cellStyle name="Moeda 7 2" xfId="22" xr:uid="{ECFAE3E3-3EB4-4013-8E3F-3CA63E3FC050}"/>
    <cellStyle name="Moeda 7 3" xfId="11" xr:uid="{85F32364-577F-44B1-82CF-7351FDB7723E}"/>
    <cellStyle name="Moeda 7 3 2" xfId="21" xr:uid="{71183A44-DCC8-4A4D-A70C-086DB9982925}"/>
    <cellStyle name="Normal" xfId="0" builtinId="0"/>
    <cellStyle name="Normal 10 2 2 2" xfId="5" xr:uid="{5DAB806B-A545-4A3D-8A8C-3558C715CFF4}"/>
    <cellStyle name="Normal 2" xfId="4" xr:uid="{DD22E96C-5388-471A-A47D-1D0AA10C25F3}"/>
    <cellStyle name="Normal 2 2 2 2 3" xfId="14" xr:uid="{A3662FE9-D964-4290-A2FA-CAF377B29B70}"/>
    <cellStyle name="Normal 3" xfId="16" xr:uid="{415CE65C-D0DC-4B93-A9D3-5B6E90A782C7}"/>
    <cellStyle name="Normal 5 4" xfId="13" xr:uid="{8173A727-1BAE-4CDA-9DAE-BA4393A03B88}"/>
    <cellStyle name="Normal 69" xfId="10" xr:uid="{F82067D5-5486-4A7D-A3B5-146AAA0D71A8}"/>
    <cellStyle name="Normal 69 2" xfId="20" xr:uid="{9F4F817F-B927-4D16-8AB0-D4E73D2F4A5A}"/>
    <cellStyle name="Porcentagem" xfId="3" builtinId="5"/>
    <cellStyle name="Porcentagem 2 2 4" xfId="18" xr:uid="{D855637D-A1A3-4C8D-8E80-0C5291C1601C}"/>
    <cellStyle name="Porcentagem 3 2" xfId="8" xr:uid="{49DAB729-EC94-463B-8EAE-B9233620F5FD}"/>
    <cellStyle name="Vírgula" xfId="1" builtinId="3"/>
    <cellStyle name="Vírgula 2" xfId="9" xr:uid="{2A7DAA06-3C72-4C8E-A46B-9EDC1BDEBCCB}"/>
    <cellStyle name="Vírgula 3" xfId="6" xr:uid="{1E18DA6B-2ECD-41E5-B083-7A6DFC776428}"/>
  </cellStyles>
  <dxfs count="135"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color theme="0"/>
      </font>
      <fill>
        <patternFill>
          <bgColor theme="3" tint="9.9948118533890809E-2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color theme="0"/>
      </font>
      <fill>
        <patternFill>
          <bgColor theme="4" tint="-0.24994659260841701"/>
        </patternFill>
      </fill>
    </dxf>
    <dxf>
      <font>
        <b/>
        <i val="0"/>
        <color theme="0"/>
      </font>
      <numFmt numFmtId="3" formatCode="#,##0"/>
      <fill>
        <patternFill>
          <bgColor theme="3" tint="0.24994659260841701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  <dxf>
      <font>
        <color theme="0"/>
      </font>
      <fill>
        <patternFill>
          <bgColor theme="4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3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2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.xml"/><Relationship Id="rId20" Type="http://schemas.openxmlformats.org/officeDocument/2006/relationships/externalLink" Target="externalLinks/externalLink5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1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38100</xdr:colOff>
      <xdr:row>0</xdr:row>
      <xdr:rowOff>142875</xdr:rowOff>
    </xdr:from>
    <xdr:ext cx="3047546" cy="1103539"/>
    <xdr:pic>
      <xdr:nvPicPr>
        <xdr:cNvPr id="2" name="Imagem 2">
          <a:extLst>
            <a:ext uri="{FF2B5EF4-FFF2-40B4-BE49-F238E27FC236}">
              <a16:creationId xmlns:a16="http://schemas.microsoft.com/office/drawing/2014/main" id="{90754E43-52E3-4DE5-A561-CD0C09C1DB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38100" y="142875"/>
          <a:ext cx="3047546" cy="110353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1481818</xdr:colOff>
      <xdr:row>4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227ABA5A-91A9-4E3C-91A9-46A97D5B572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177799</xdr:colOff>
      <xdr:row>1</xdr:row>
      <xdr:rowOff>0</xdr:rowOff>
    </xdr:from>
    <xdr:to>
      <xdr:col>1</xdr:col>
      <xdr:colOff>1481818</xdr:colOff>
      <xdr:row>4</xdr:row>
      <xdr:rowOff>127000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879B34C-ABD9-4055-A42A-5EF4102E47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77799" y="165100"/>
          <a:ext cx="1558019" cy="622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FFACA8CB-8ACE-459F-ACB3-64CD9FDE920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C0B69516-C5E4-46E3-AC36-99247551700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4DD71F1E-D659-49DA-809A-F0DFB8CA248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ED411A8B-3D4D-41CD-9A7D-16C6FA2199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6" name="Imagem 5">
          <a:extLst>
            <a:ext uri="{FF2B5EF4-FFF2-40B4-BE49-F238E27FC236}">
              <a16:creationId xmlns:a16="http://schemas.microsoft.com/office/drawing/2014/main" id="{7D24B81C-BE3A-429D-A0F5-2CA4F9AAD55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238125</xdr:colOff>
      <xdr:row>0</xdr:row>
      <xdr:rowOff>152400</xdr:rowOff>
    </xdr:from>
    <xdr:to>
      <xdr:col>1</xdr:col>
      <xdr:colOff>1079688</xdr:colOff>
      <xdr:row>3</xdr:row>
      <xdr:rowOff>60778</xdr:rowOff>
    </xdr:to>
    <xdr:pic>
      <xdr:nvPicPr>
        <xdr:cNvPr id="7" name="Imagem 6">
          <a:extLst>
            <a:ext uri="{FF2B5EF4-FFF2-40B4-BE49-F238E27FC236}">
              <a16:creationId xmlns:a16="http://schemas.microsoft.com/office/drawing/2014/main" id="{2796FFE1-7CEF-45CE-8EB9-41745D65C3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142553" cy="47352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1</xdr:colOff>
      <xdr:row>120</xdr:row>
      <xdr:rowOff>1</xdr:rowOff>
    </xdr:from>
    <xdr:to>
      <xdr:col>3</xdr:col>
      <xdr:colOff>2028341</xdr:colOff>
      <xdr:row>134</xdr:row>
      <xdr:rowOff>132546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C1914FFF-C336-3527-5200-57C3ADC66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6295" y="18855766"/>
          <a:ext cx="4594412" cy="238134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758E52E-479E-415C-9827-F52742C805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6550" cy="682668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CFCDE22B-F35F-4434-8A30-AB1FA28EC2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9E6DB92-590B-42C5-A66E-405462D40AF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050C748F-9EF9-438D-957E-EAC3C0C4D4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238125</xdr:colOff>
      <xdr:row>0</xdr:row>
      <xdr:rowOff>152400</xdr:rowOff>
    </xdr:from>
    <xdr:to>
      <xdr:col>2</xdr:col>
      <xdr:colOff>70565</xdr:colOff>
      <xdr:row>4</xdr:row>
      <xdr:rowOff>78287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5FB6F528-9AFE-42C5-AA8F-1FABA81437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673940" cy="694237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937A710E-78DD-4DCE-ADA1-BDC875F2F06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205A8D3D-5234-4DCF-8BD1-C2DE3F63C6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2" name="Imagem 1">
          <a:extLst>
            <a:ext uri="{FF2B5EF4-FFF2-40B4-BE49-F238E27FC236}">
              <a16:creationId xmlns:a16="http://schemas.microsoft.com/office/drawing/2014/main" id="{551C6082-C992-4367-B76C-5BC5674419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238125</xdr:colOff>
      <xdr:row>0</xdr:row>
      <xdr:rowOff>152400</xdr:rowOff>
    </xdr:from>
    <xdr:ext cx="1289050" cy="492125"/>
    <xdr:pic>
      <xdr:nvPicPr>
        <xdr:cNvPr id="3" name="Imagem 2">
          <a:extLst>
            <a:ext uri="{FF2B5EF4-FFF2-40B4-BE49-F238E27FC236}">
              <a16:creationId xmlns:a16="http://schemas.microsoft.com/office/drawing/2014/main" id="{F9EAFF18-0641-48CD-9B2F-A8C64965C9E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38125" y="152400"/>
          <a:ext cx="1289050" cy="49212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279913</xdr:colOff>
      <xdr:row>0</xdr:row>
      <xdr:rowOff>106634</xdr:rowOff>
    </xdr:from>
    <xdr:ext cx="1435302" cy="533853"/>
    <xdr:pic>
      <xdr:nvPicPr>
        <xdr:cNvPr id="2" name="Imagem 1">
          <a:extLst>
            <a:ext uri="{FF2B5EF4-FFF2-40B4-BE49-F238E27FC236}">
              <a16:creationId xmlns:a16="http://schemas.microsoft.com/office/drawing/2014/main" id="{F895ECF5-6354-455D-BECD-8A95187D5BC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79913" y="106634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3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" name="AutoShape 1" descr="Resultado de imagem para whirlpool logo">
          <a:extLst>
            <a:ext uri="{FF2B5EF4-FFF2-40B4-BE49-F238E27FC236}">
              <a16:creationId xmlns:a16="http://schemas.microsoft.com/office/drawing/2014/main" id="{5C4110CC-41CC-4C5D-8EDB-34E014A291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3" name="AutoShape 1" descr="Resultado de imagem para whirlpool logo">
          <a:extLst>
            <a:ext uri="{FF2B5EF4-FFF2-40B4-BE49-F238E27FC236}">
              <a16:creationId xmlns:a16="http://schemas.microsoft.com/office/drawing/2014/main" id="{7C7742D4-E7AE-4E47-90C8-CC3925F8D0CC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" name="AutoShape 1" descr="Resultado de imagem para whirlpool logo">
          <a:extLst>
            <a:ext uri="{FF2B5EF4-FFF2-40B4-BE49-F238E27FC236}">
              <a16:creationId xmlns:a16="http://schemas.microsoft.com/office/drawing/2014/main" id="{E6F12AA4-2C13-4D07-914B-AC2C609C94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" name="AutoShape 1" descr="Resultado de imagem para whirlpool logo">
          <a:extLst>
            <a:ext uri="{FF2B5EF4-FFF2-40B4-BE49-F238E27FC236}">
              <a16:creationId xmlns:a16="http://schemas.microsoft.com/office/drawing/2014/main" id="{FFF711C8-D3B2-4464-A282-2613F9B2F1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" name="AutoShape 1" descr="Resultado de imagem para whirlpool logo">
          <a:extLst>
            <a:ext uri="{FF2B5EF4-FFF2-40B4-BE49-F238E27FC236}">
              <a16:creationId xmlns:a16="http://schemas.microsoft.com/office/drawing/2014/main" id="{766BCB09-1A2E-412F-8E9F-6BE7E9556A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" name="AutoShape 1" descr="Resultado de imagem para whirlpool logo">
          <a:extLst>
            <a:ext uri="{FF2B5EF4-FFF2-40B4-BE49-F238E27FC236}">
              <a16:creationId xmlns:a16="http://schemas.microsoft.com/office/drawing/2014/main" id="{484A5B88-4652-414D-A21F-61F3CDBB34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" name="AutoShape 1" descr="Resultado de imagem para whirlpool logo">
          <a:extLst>
            <a:ext uri="{FF2B5EF4-FFF2-40B4-BE49-F238E27FC236}">
              <a16:creationId xmlns:a16="http://schemas.microsoft.com/office/drawing/2014/main" id="{84A536B0-41BA-4693-9905-8AB0B8939E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" name="AutoShape 1" descr="Resultado de imagem para whirlpool logo">
          <a:extLst>
            <a:ext uri="{FF2B5EF4-FFF2-40B4-BE49-F238E27FC236}">
              <a16:creationId xmlns:a16="http://schemas.microsoft.com/office/drawing/2014/main" id="{AAF2D94D-A5F6-44E0-8A33-0707016CA3B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" name="AutoShape 1" descr="Resultado de imagem para whirlpool logo">
          <a:extLst>
            <a:ext uri="{FF2B5EF4-FFF2-40B4-BE49-F238E27FC236}">
              <a16:creationId xmlns:a16="http://schemas.microsoft.com/office/drawing/2014/main" id="{01D64EC4-42F3-49A5-9617-3725887C7D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" name="AutoShape 1" descr="Resultado de imagem para whirlpool logo">
          <a:extLst>
            <a:ext uri="{FF2B5EF4-FFF2-40B4-BE49-F238E27FC236}">
              <a16:creationId xmlns:a16="http://schemas.microsoft.com/office/drawing/2014/main" id="{10CAC19D-45B1-4D9D-BB6D-861272D042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" name="AutoShape 1" descr="Resultado de imagem para whirlpool logo">
          <a:extLst>
            <a:ext uri="{FF2B5EF4-FFF2-40B4-BE49-F238E27FC236}">
              <a16:creationId xmlns:a16="http://schemas.microsoft.com/office/drawing/2014/main" id="{CA7B5E9C-7CB2-4995-9914-5C28E95A1A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" name="AutoShape 1" descr="Resultado de imagem para whirlpool logo">
          <a:extLst>
            <a:ext uri="{FF2B5EF4-FFF2-40B4-BE49-F238E27FC236}">
              <a16:creationId xmlns:a16="http://schemas.microsoft.com/office/drawing/2014/main" id="{7BF7EA26-C43B-43DD-ACF3-A5931B9202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" name="AutoShape 1" descr="Resultado de imagem para whirlpool logo">
          <a:extLst>
            <a:ext uri="{FF2B5EF4-FFF2-40B4-BE49-F238E27FC236}">
              <a16:creationId xmlns:a16="http://schemas.microsoft.com/office/drawing/2014/main" id="{E4BD23AA-360F-4CFC-B13A-813246851A0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" name="AutoShape 1" descr="Resultado de imagem para whirlpool logo">
          <a:extLst>
            <a:ext uri="{FF2B5EF4-FFF2-40B4-BE49-F238E27FC236}">
              <a16:creationId xmlns:a16="http://schemas.microsoft.com/office/drawing/2014/main" id="{FD02D6E1-2200-48C5-B926-3B3C6CD3468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" name="AutoShape 1" descr="Resultado de imagem para whirlpool logo">
          <a:extLst>
            <a:ext uri="{FF2B5EF4-FFF2-40B4-BE49-F238E27FC236}">
              <a16:creationId xmlns:a16="http://schemas.microsoft.com/office/drawing/2014/main" id="{E02467EE-D04B-47AD-A1F9-DFEEE20002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" name="AutoShape 1" descr="Resultado de imagem para whirlpool logo">
          <a:extLst>
            <a:ext uri="{FF2B5EF4-FFF2-40B4-BE49-F238E27FC236}">
              <a16:creationId xmlns:a16="http://schemas.microsoft.com/office/drawing/2014/main" id="{3EDA5223-F840-4073-B9E9-717C67E5AE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" name="AutoShape 1" descr="Resultado de imagem para whirlpool logo">
          <a:extLst>
            <a:ext uri="{FF2B5EF4-FFF2-40B4-BE49-F238E27FC236}">
              <a16:creationId xmlns:a16="http://schemas.microsoft.com/office/drawing/2014/main" id="{40926E63-A9DF-4946-BCE3-0B205618A8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" name="AutoShape 1" descr="Resultado de imagem para whirlpool logo">
          <a:extLst>
            <a:ext uri="{FF2B5EF4-FFF2-40B4-BE49-F238E27FC236}">
              <a16:creationId xmlns:a16="http://schemas.microsoft.com/office/drawing/2014/main" id="{3FBF46C4-0360-4614-A92D-AF9E9CF1AC8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" name="AutoShape 1" descr="Resultado de imagem para whirlpool logo">
          <a:extLst>
            <a:ext uri="{FF2B5EF4-FFF2-40B4-BE49-F238E27FC236}">
              <a16:creationId xmlns:a16="http://schemas.microsoft.com/office/drawing/2014/main" id="{D0E7B268-9499-4805-8876-F99A1758ED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" name="AutoShape 1" descr="Resultado de imagem para whirlpool logo">
          <a:extLst>
            <a:ext uri="{FF2B5EF4-FFF2-40B4-BE49-F238E27FC236}">
              <a16:creationId xmlns:a16="http://schemas.microsoft.com/office/drawing/2014/main" id="{CF12DFE9-C9E3-48C9-90CC-6E310043C6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" name="AutoShape 1" descr="Resultado de imagem para whirlpool logo">
          <a:extLst>
            <a:ext uri="{FF2B5EF4-FFF2-40B4-BE49-F238E27FC236}">
              <a16:creationId xmlns:a16="http://schemas.microsoft.com/office/drawing/2014/main" id="{CDE07CAB-F03C-4645-8868-A2747C0FDA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" name="AutoShape 1" descr="Resultado de imagem para whirlpool logo">
          <a:extLst>
            <a:ext uri="{FF2B5EF4-FFF2-40B4-BE49-F238E27FC236}">
              <a16:creationId xmlns:a16="http://schemas.microsoft.com/office/drawing/2014/main" id="{30991627-4B83-4A2F-A8AE-A4097F5431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" name="AutoShape 1" descr="Resultado de imagem para whirlpool logo">
          <a:extLst>
            <a:ext uri="{FF2B5EF4-FFF2-40B4-BE49-F238E27FC236}">
              <a16:creationId xmlns:a16="http://schemas.microsoft.com/office/drawing/2014/main" id="{BDE7BDF2-D148-46D1-9756-CD1FA6D4721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" name="AutoShape 1" descr="Resultado de imagem para whirlpool logo">
          <a:extLst>
            <a:ext uri="{FF2B5EF4-FFF2-40B4-BE49-F238E27FC236}">
              <a16:creationId xmlns:a16="http://schemas.microsoft.com/office/drawing/2014/main" id="{2B1A2FDE-52F0-46F0-9C0B-0973EA8AD1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" name="AutoShape 1" descr="Resultado de imagem para whirlpool logo">
          <a:extLst>
            <a:ext uri="{FF2B5EF4-FFF2-40B4-BE49-F238E27FC236}">
              <a16:creationId xmlns:a16="http://schemas.microsoft.com/office/drawing/2014/main" id="{BE835874-9BB3-4935-8DDA-08F64B009D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" name="AutoShape 1" descr="Resultado de imagem para whirlpool logo">
          <a:extLst>
            <a:ext uri="{FF2B5EF4-FFF2-40B4-BE49-F238E27FC236}">
              <a16:creationId xmlns:a16="http://schemas.microsoft.com/office/drawing/2014/main" id="{0511CB49-7A38-497D-A6C4-31BE289FE9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" name="AutoShape 1" descr="Resultado de imagem para whirlpool logo">
          <a:extLst>
            <a:ext uri="{FF2B5EF4-FFF2-40B4-BE49-F238E27FC236}">
              <a16:creationId xmlns:a16="http://schemas.microsoft.com/office/drawing/2014/main" id="{BCF83E0D-AF37-4D04-9669-1B97ED2CF29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29" name="AutoShape 1" descr="Resultado de imagem para whirlpool logo">
          <a:extLst>
            <a:ext uri="{FF2B5EF4-FFF2-40B4-BE49-F238E27FC236}">
              <a16:creationId xmlns:a16="http://schemas.microsoft.com/office/drawing/2014/main" id="{A631AF58-BD25-430F-BA04-E77AAE731223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" name="AutoShape 1" descr="Resultado de imagem para whirlpool logo">
          <a:extLst>
            <a:ext uri="{FF2B5EF4-FFF2-40B4-BE49-F238E27FC236}">
              <a16:creationId xmlns:a16="http://schemas.microsoft.com/office/drawing/2014/main" id="{3FED5D50-9929-41A6-A0D9-2C86A4FFA1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" name="AutoShape 1" descr="Resultado de imagem para whirlpool logo">
          <a:extLst>
            <a:ext uri="{FF2B5EF4-FFF2-40B4-BE49-F238E27FC236}">
              <a16:creationId xmlns:a16="http://schemas.microsoft.com/office/drawing/2014/main" id="{9891772B-3DFF-425F-9615-0CCB814F0E0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" name="AutoShape 1" descr="Resultado de imagem para whirlpool logo">
          <a:extLst>
            <a:ext uri="{FF2B5EF4-FFF2-40B4-BE49-F238E27FC236}">
              <a16:creationId xmlns:a16="http://schemas.microsoft.com/office/drawing/2014/main" id="{5A564D7A-3D2B-485A-B349-323F3EA95ED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" name="AutoShape 1" descr="Resultado de imagem para whirlpool logo">
          <a:extLst>
            <a:ext uri="{FF2B5EF4-FFF2-40B4-BE49-F238E27FC236}">
              <a16:creationId xmlns:a16="http://schemas.microsoft.com/office/drawing/2014/main" id="{4449FC39-5FF5-457E-8190-6550CA3265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" name="AutoShape 1" descr="Resultado de imagem para whirlpool logo">
          <a:extLst>
            <a:ext uri="{FF2B5EF4-FFF2-40B4-BE49-F238E27FC236}">
              <a16:creationId xmlns:a16="http://schemas.microsoft.com/office/drawing/2014/main" id="{C3D2385F-5B9D-4387-8E38-45794A9B863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" name="AutoShape 1" descr="Resultado de imagem para whirlpool logo">
          <a:extLst>
            <a:ext uri="{FF2B5EF4-FFF2-40B4-BE49-F238E27FC236}">
              <a16:creationId xmlns:a16="http://schemas.microsoft.com/office/drawing/2014/main" id="{CD5B92BD-C254-43A3-B79B-989B5CE367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" name="AutoShape 1" descr="Resultado de imagem para whirlpool logo">
          <a:extLst>
            <a:ext uri="{FF2B5EF4-FFF2-40B4-BE49-F238E27FC236}">
              <a16:creationId xmlns:a16="http://schemas.microsoft.com/office/drawing/2014/main" id="{B3009C9B-B20F-43A7-ABCD-C9B7973F61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" name="AutoShape 1" descr="Resultado de imagem para whirlpool logo">
          <a:extLst>
            <a:ext uri="{FF2B5EF4-FFF2-40B4-BE49-F238E27FC236}">
              <a16:creationId xmlns:a16="http://schemas.microsoft.com/office/drawing/2014/main" id="{2913D5CD-3A2D-493A-98B3-C5636347D6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" name="AutoShape 1" descr="Resultado de imagem para whirlpool logo">
          <a:extLst>
            <a:ext uri="{FF2B5EF4-FFF2-40B4-BE49-F238E27FC236}">
              <a16:creationId xmlns:a16="http://schemas.microsoft.com/office/drawing/2014/main" id="{742DDD10-0C93-4FB7-A060-01FB9D1708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" name="AutoShape 1" descr="Resultado de imagem para whirlpool logo">
          <a:extLst>
            <a:ext uri="{FF2B5EF4-FFF2-40B4-BE49-F238E27FC236}">
              <a16:creationId xmlns:a16="http://schemas.microsoft.com/office/drawing/2014/main" id="{9F9986CE-8802-4528-A9AA-C7F5C5C108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" name="AutoShape 1" descr="Resultado de imagem para whirlpool logo">
          <a:extLst>
            <a:ext uri="{FF2B5EF4-FFF2-40B4-BE49-F238E27FC236}">
              <a16:creationId xmlns:a16="http://schemas.microsoft.com/office/drawing/2014/main" id="{B13532B1-5102-41D8-A910-D2D9EA6477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" name="AutoShape 1" descr="Resultado de imagem para whirlpool logo">
          <a:extLst>
            <a:ext uri="{FF2B5EF4-FFF2-40B4-BE49-F238E27FC236}">
              <a16:creationId xmlns:a16="http://schemas.microsoft.com/office/drawing/2014/main" id="{980E974F-5EF8-4C82-B92D-6EEC1D5469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" name="AutoShape 1" descr="Resultado de imagem para whirlpool logo">
          <a:extLst>
            <a:ext uri="{FF2B5EF4-FFF2-40B4-BE49-F238E27FC236}">
              <a16:creationId xmlns:a16="http://schemas.microsoft.com/office/drawing/2014/main" id="{9D13D818-B9A7-4071-B8B0-FDE1EF6DB8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" name="AutoShape 1" descr="Resultado de imagem para whirlpool logo">
          <a:extLst>
            <a:ext uri="{FF2B5EF4-FFF2-40B4-BE49-F238E27FC236}">
              <a16:creationId xmlns:a16="http://schemas.microsoft.com/office/drawing/2014/main" id="{0E9C592A-B9A9-4268-9F0C-45BA131036C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" name="AutoShape 1" descr="Resultado de imagem para whirlpool logo">
          <a:extLst>
            <a:ext uri="{FF2B5EF4-FFF2-40B4-BE49-F238E27FC236}">
              <a16:creationId xmlns:a16="http://schemas.microsoft.com/office/drawing/2014/main" id="{B5C03319-C788-4B76-95EA-C9B1C09A1F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" name="AutoShape 1" descr="Resultado de imagem para whirlpool logo">
          <a:extLst>
            <a:ext uri="{FF2B5EF4-FFF2-40B4-BE49-F238E27FC236}">
              <a16:creationId xmlns:a16="http://schemas.microsoft.com/office/drawing/2014/main" id="{BEC973BD-7281-4089-93F5-345D22CDF0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" name="AutoShape 1" descr="Resultado de imagem para whirlpool logo">
          <a:extLst>
            <a:ext uri="{FF2B5EF4-FFF2-40B4-BE49-F238E27FC236}">
              <a16:creationId xmlns:a16="http://schemas.microsoft.com/office/drawing/2014/main" id="{7ECA6CFF-2CFE-493F-8E5A-486615BCBC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" name="AutoShape 1" descr="Resultado de imagem para whirlpool logo">
          <a:extLst>
            <a:ext uri="{FF2B5EF4-FFF2-40B4-BE49-F238E27FC236}">
              <a16:creationId xmlns:a16="http://schemas.microsoft.com/office/drawing/2014/main" id="{60034BCD-4C20-40A5-9F01-6DFB6711CD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" name="AutoShape 1" descr="Resultado de imagem para whirlpool logo">
          <a:extLst>
            <a:ext uri="{FF2B5EF4-FFF2-40B4-BE49-F238E27FC236}">
              <a16:creationId xmlns:a16="http://schemas.microsoft.com/office/drawing/2014/main" id="{849B303D-5733-41D2-840B-19BFC05509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9" name="AutoShape 1" descr="Resultado de imagem para whirlpool logo">
          <a:extLst>
            <a:ext uri="{FF2B5EF4-FFF2-40B4-BE49-F238E27FC236}">
              <a16:creationId xmlns:a16="http://schemas.microsoft.com/office/drawing/2014/main" id="{C720D093-7F0B-4469-A6BC-F4379A7151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0" name="AutoShape 1" descr="Resultado de imagem para whirlpool logo">
          <a:extLst>
            <a:ext uri="{FF2B5EF4-FFF2-40B4-BE49-F238E27FC236}">
              <a16:creationId xmlns:a16="http://schemas.microsoft.com/office/drawing/2014/main" id="{D70A4CD3-597A-4B9D-A3C9-E94A9BA66DA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" name="AutoShape 1" descr="Resultado de imagem para whirlpool logo">
          <a:extLst>
            <a:ext uri="{FF2B5EF4-FFF2-40B4-BE49-F238E27FC236}">
              <a16:creationId xmlns:a16="http://schemas.microsoft.com/office/drawing/2014/main" id="{8C1C76AA-3FFD-4B82-A59D-D27C4C1043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" name="AutoShape 1" descr="Resultado de imagem para whirlpool logo">
          <a:extLst>
            <a:ext uri="{FF2B5EF4-FFF2-40B4-BE49-F238E27FC236}">
              <a16:creationId xmlns:a16="http://schemas.microsoft.com/office/drawing/2014/main" id="{FD4A273B-04E1-455E-AD98-0D144938F5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" name="AutoShape 1" descr="Resultado de imagem para whirlpool logo">
          <a:extLst>
            <a:ext uri="{FF2B5EF4-FFF2-40B4-BE49-F238E27FC236}">
              <a16:creationId xmlns:a16="http://schemas.microsoft.com/office/drawing/2014/main" id="{32ECB5C7-A570-4618-9A28-7CD8D98880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" name="AutoShape 1" descr="Resultado de imagem para whirlpool logo">
          <a:extLst>
            <a:ext uri="{FF2B5EF4-FFF2-40B4-BE49-F238E27FC236}">
              <a16:creationId xmlns:a16="http://schemas.microsoft.com/office/drawing/2014/main" id="{B869FACC-EB20-49B2-8C08-4CDFD7A120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" name="AutoShape 1" descr="Resultado de imagem para whirlpool logo">
          <a:extLst>
            <a:ext uri="{FF2B5EF4-FFF2-40B4-BE49-F238E27FC236}">
              <a16:creationId xmlns:a16="http://schemas.microsoft.com/office/drawing/2014/main" id="{2DB6892E-6D01-451B-A004-AC65C62FB34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" name="AutoShape 1" descr="Resultado de imagem para whirlpool logo">
          <a:extLst>
            <a:ext uri="{FF2B5EF4-FFF2-40B4-BE49-F238E27FC236}">
              <a16:creationId xmlns:a16="http://schemas.microsoft.com/office/drawing/2014/main" id="{FF71D6E1-F5B8-49D3-8114-9B31EF2B6F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" name="AutoShape 1" descr="Resultado de imagem para whirlpool logo">
          <a:extLst>
            <a:ext uri="{FF2B5EF4-FFF2-40B4-BE49-F238E27FC236}">
              <a16:creationId xmlns:a16="http://schemas.microsoft.com/office/drawing/2014/main" id="{338576E0-7CB1-4A1D-AF91-5002439A7C0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" name="AutoShape 1" descr="Resultado de imagem para whirlpool logo">
          <a:extLst>
            <a:ext uri="{FF2B5EF4-FFF2-40B4-BE49-F238E27FC236}">
              <a16:creationId xmlns:a16="http://schemas.microsoft.com/office/drawing/2014/main" id="{A41EA504-86A3-423A-BA4E-C83A638444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59" name="AutoShape 1" descr="Resultado de imagem para whirlpool logo">
          <a:extLst>
            <a:ext uri="{FF2B5EF4-FFF2-40B4-BE49-F238E27FC236}">
              <a16:creationId xmlns:a16="http://schemas.microsoft.com/office/drawing/2014/main" id="{FF14B932-35BE-4F61-8C00-8933B5790AE8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" name="AutoShape 1" descr="Resultado de imagem para whirlpool logo">
          <a:extLst>
            <a:ext uri="{FF2B5EF4-FFF2-40B4-BE49-F238E27FC236}">
              <a16:creationId xmlns:a16="http://schemas.microsoft.com/office/drawing/2014/main" id="{C1AE8BCE-3ABE-45FA-8571-8515314F40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" name="AutoShape 1" descr="Resultado de imagem para whirlpool logo">
          <a:extLst>
            <a:ext uri="{FF2B5EF4-FFF2-40B4-BE49-F238E27FC236}">
              <a16:creationId xmlns:a16="http://schemas.microsoft.com/office/drawing/2014/main" id="{3627FC57-C24F-4125-9427-EC280A1094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" name="AutoShape 1" descr="Resultado de imagem para whirlpool logo">
          <a:extLst>
            <a:ext uri="{FF2B5EF4-FFF2-40B4-BE49-F238E27FC236}">
              <a16:creationId xmlns:a16="http://schemas.microsoft.com/office/drawing/2014/main" id="{4E16362C-0EF5-4652-97CF-EE5895E12B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" name="AutoShape 1" descr="Resultado de imagem para whirlpool logo">
          <a:extLst>
            <a:ext uri="{FF2B5EF4-FFF2-40B4-BE49-F238E27FC236}">
              <a16:creationId xmlns:a16="http://schemas.microsoft.com/office/drawing/2014/main" id="{4AF93CC3-8653-4A92-859D-301E6AB143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" name="AutoShape 1" descr="Resultado de imagem para whirlpool logo">
          <a:extLst>
            <a:ext uri="{FF2B5EF4-FFF2-40B4-BE49-F238E27FC236}">
              <a16:creationId xmlns:a16="http://schemas.microsoft.com/office/drawing/2014/main" id="{2806D14E-5D6E-4445-8CA3-34FA5623E7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" name="AutoShape 1" descr="Resultado de imagem para whirlpool logo">
          <a:extLst>
            <a:ext uri="{FF2B5EF4-FFF2-40B4-BE49-F238E27FC236}">
              <a16:creationId xmlns:a16="http://schemas.microsoft.com/office/drawing/2014/main" id="{EEFD7B7B-BF32-480D-AB53-873766F9109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" name="AutoShape 1" descr="Resultado de imagem para whirlpool logo">
          <a:extLst>
            <a:ext uri="{FF2B5EF4-FFF2-40B4-BE49-F238E27FC236}">
              <a16:creationId xmlns:a16="http://schemas.microsoft.com/office/drawing/2014/main" id="{10E831B8-D7F4-4E66-9187-F6EEAC7D78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" name="AutoShape 1" descr="Resultado de imagem para whirlpool logo">
          <a:extLst>
            <a:ext uri="{FF2B5EF4-FFF2-40B4-BE49-F238E27FC236}">
              <a16:creationId xmlns:a16="http://schemas.microsoft.com/office/drawing/2014/main" id="{F7A0E728-95F5-4648-A84B-876D49C27E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" name="AutoShape 1" descr="Resultado de imagem para whirlpool logo">
          <a:extLst>
            <a:ext uri="{FF2B5EF4-FFF2-40B4-BE49-F238E27FC236}">
              <a16:creationId xmlns:a16="http://schemas.microsoft.com/office/drawing/2014/main" id="{1345D0F2-059C-4145-96B1-225AB08C30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" name="AutoShape 1" descr="Resultado de imagem para whirlpool logo">
          <a:extLst>
            <a:ext uri="{FF2B5EF4-FFF2-40B4-BE49-F238E27FC236}">
              <a16:creationId xmlns:a16="http://schemas.microsoft.com/office/drawing/2014/main" id="{B3B181BD-7C4D-4F72-887D-A48C6D8359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" name="AutoShape 1" descr="Resultado de imagem para whirlpool logo">
          <a:extLst>
            <a:ext uri="{FF2B5EF4-FFF2-40B4-BE49-F238E27FC236}">
              <a16:creationId xmlns:a16="http://schemas.microsoft.com/office/drawing/2014/main" id="{DFA40FE3-3B70-4D38-BDA3-4CCF2D1F39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" name="AutoShape 1" descr="Resultado de imagem para whirlpool logo">
          <a:extLst>
            <a:ext uri="{FF2B5EF4-FFF2-40B4-BE49-F238E27FC236}">
              <a16:creationId xmlns:a16="http://schemas.microsoft.com/office/drawing/2014/main" id="{5367D90B-BC0D-4266-AA3A-ED49FC6FE0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" name="AutoShape 1" descr="Resultado de imagem para whirlpool logo">
          <a:extLst>
            <a:ext uri="{FF2B5EF4-FFF2-40B4-BE49-F238E27FC236}">
              <a16:creationId xmlns:a16="http://schemas.microsoft.com/office/drawing/2014/main" id="{9E6B40ED-8989-43FC-9F64-4F25C00FFE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" name="AutoShape 1" descr="Resultado de imagem para whirlpool logo">
          <a:extLst>
            <a:ext uri="{FF2B5EF4-FFF2-40B4-BE49-F238E27FC236}">
              <a16:creationId xmlns:a16="http://schemas.microsoft.com/office/drawing/2014/main" id="{A31AE021-5F29-41E2-8817-0421C986B5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" name="AutoShape 1" descr="Resultado de imagem para whirlpool logo">
          <a:extLst>
            <a:ext uri="{FF2B5EF4-FFF2-40B4-BE49-F238E27FC236}">
              <a16:creationId xmlns:a16="http://schemas.microsoft.com/office/drawing/2014/main" id="{9AD980F2-3875-48B5-AC0D-555EFD476B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" name="AutoShape 1" descr="Resultado de imagem para whirlpool logo">
          <a:extLst>
            <a:ext uri="{FF2B5EF4-FFF2-40B4-BE49-F238E27FC236}">
              <a16:creationId xmlns:a16="http://schemas.microsoft.com/office/drawing/2014/main" id="{D8E0E904-8060-4BC7-8506-8259DA9CFB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" name="AutoShape 1" descr="Resultado de imagem para whirlpool logo">
          <a:extLst>
            <a:ext uri="{FF2B5EF4-FFF2-40B4-BE49-F238E27FC236}">
              <a16:creationId xmlns:a16="http://schemas.microsoft.com/office/drawing/2014/main" id="{B6AD7687-E961-4BFD-9195-72186C380B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" name="AutoShape 1" descr="Resultado de imagem para whirlpool logo">
          <a:extLst>
            <a:ext uri="{FF2B5EF4-FFF2-40B4-BE49-F238E27FC236}">
              <a16:creationId xmlns:a16="http://schemas.microsoft.com/office/drawing/2014/main" id="{4752B827-7C61-4BDB-9083-D36E235350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" name="AutoShape 1" descr="Resultado de imagem para whirlpool logo">
          <a:extLst>
            <a:ext uri="{FF2B5EF4-FFF2-40B4-BE49-F238E27FC236}">
              <a16:creationId xmlns:a16="http://schemas.microsoft.com/office/drawing/2014/main" id="{97558C05-5272-48F1-9941-18AFA4C57E6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" name="AutoShape 1" descr="Resultado de imagem para whirlpool logo">
          <a:extLst>
            <a:ext uri="{FF2B5EF4-FFF2-40B4-BE49-F238E27FC236}">
              <a16:creationId xmlns:a16="http://schemas.microsoft.com/office/drawing/2014/main" id="{0400F51C-28A8-454D-975B-F198466208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" name="AutoShape 1" descr="Resultado de imagem para whirlpool logo">
          <a:extLst>
            <a:ext uri="{FF2B5EF4-FFF2-40B4-BE49-F238E27FC236}">
              <a16:creationId xmlns:a16="http://schemas.microsoft.com/office/drawing/2014/main" id="{3B7E0801-2BA9-4887-BC27-C0659CBB6C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" name="AutoShape 1" descr="Resultado de imagem para whirlpool logo">
          <a:extLst>
            <a:ext uri="{FF2B5EF4-FFF2-40B4-BE49-F238E27FC236}">
              <a16:creationId xmlns:a16="http://schemas.microsoft.com/office/drawing/2014/main" id="{656FD3E2-B464-4C7E-8863-01921F5378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" name="AutoShape 1" descr="Resultado de imagem para whirlpool logo">
          <a:extLst>
            <a:ext uri="{FF2B5EF4-FFF2-40B4-BE49-F238E27FC236}">
              <a16:creationId xmlns:a16="http://schemas.microsoft.com/office/drawing/2014/main" id="{25CDA607-22B8-4AA2-9482-2ED0F3B8AF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" name="AutoShape 1" descr="Resultado de imagem para whirlpool logo">
          <a:extLst>
            <a:ext uri="{FF2B5EF4-FFF2-40B4-BE49-F238E27FC236}">
              <a16:creationId xmlns:a16="http://schemas.microsoft.com/office/drawing/2014/main" id="{02143336-3201-4CA1-B28E-6C57854B10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" name="AutoShape 1" descr="Resultado de imagem para whirlpool logo">
          <a:extLst>
            <a:ext uri="{FF2B5EF4-FFF2-40B4-BE49-F238E27FC236}">
              <a16:creationId xmlns:a16="http://schemas.microsoft.com/office/drawing/2014/main" id="{0BF74725-A2A7-448C-88CF-6847B4A83C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85" name="AutoShape 1" descr="Resultado de imagem para whirlpool logo">
          <a:extLst>
            <a:ext uri="{FF2B5EF4-FFF2-40B4-BE49-F238E27FC236}">
              <a16:creationId xmlns:a16="http://schemas.microsoft.com/office/drawing/2014/main" id="{BC437215-CDB3-4438-A812-CA07737969B2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" name="AutoShape 1" descr="Resultado de imagem para whirlpool logo">
          <a:extLst>
            <a:ext uri="{FF2B5EF4-FFF2-40B4-BE49-F238E27FC236}">
              <a16:creationId xmlns:a16="http://schemas.microsoft.com/office/drawing/2014/main" id="{602C5141-4784-4630-9B0B-B531E1E153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" name="AutoShape 1" descr="Resultado de imagem para whirlpool logo">
          <a:extLst>
            <a:ext uri="{FF2B5EF4-FFF2-40B4-BE49-F238E27FC236}">
              <a16:creationId xmlns:a16="http://schemas.microsoft.com/office/drawing/2014/main" id="{51511E51-217E-4458-8C95-038392D068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" name="AutoShape 1" descr="Resultado de imagem para whirlpool logo">
          <a:extLst>
            <a:ext uri="{FF2B5EF4-FFF2-40B4-BE49-F238E27FC236}">
              <a16:creationId xmlns:a16="http://schemas.microsoft.com/office/drawing/2014/main" id="{009E1812-1309-4B00-AEBD-91A983508E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" name="AutoShape 1" descr="Resultado de imagem para whirlpool logo">
          <a:extLst>
            <a:ext uri="{FF2B5EF4-FFF2-40B4-BE49-F238E27FC236}">
              <a16:creationId xmlns:a16="http://schemas.microsoft.com/office/drawing/2014/main" id="{9A141F1B-2EC2-4A9E-A644-44920747663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" name="AutoShape 1" descr="Resultado de imagem para whirlpool logo">
          <a:extLst>
            <a:ext uri="{FF2B5EF4-FFF2-40B4-BE49-F238E27FC236}">
              <a16:creationId xmlns:a16="http://schemas.microsoft.com/office/drawing/2014/main" id="{1581D87F-2737-4162-AD71-DEC91BE20C6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" name="AutoShape 1" descr="Resultado de imagem para whirlpool logo">
          <a:extLst>
            <a:ext uri="{FF2B5EF4-FFF2-40B4-BE49-F238E27FC236}">
              <a16:creationId xmlns:a16="http://schemas.microsoft.com/office/drawing/2014/main" id="{1C1B6615-CA34-4FA1-B9BB-E3FEE9831C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" name="AutoShape 1" descr="Resultado de imagem para whirlpool logo">
          <a:extLst>
            <a:ext uri="{FF2B5EF4-FFF2-40B4-BE49-F238E27FC236}">
              <a16:creationId xmlns:a16="http://schemas.microsoft.com/office/drawing/2014/main" id="{492DEAFE-AA0F-4444-A077-C28CCC4D28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" name="AutoShape 1" descr="Resultado de imagem para whirlpool logo">
          <a:extLst>
            <a:ext uri="{FF2B5EF4-FFF2-40B4-BE49-F238E27FC236}">
              <a16:creationId xmlns:a16="http://schemas.microsoft.com/office/drawing/2014/main" id="{DBD0B103-63A0-405C-89B1-1890766E19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" name="AutoShape 1" descr="Resultado de imagem para whirlpool logo">
          <a:extLst>
            <a:ext uri="{FF2B5EF4-FFF2-40B4-BE49-F238E27FC236}">
              <a16:creationId xmlns:a16="http://schemas.microsoft.com/office/drawing/2014/main" id="{918172F3-C782-412F-981B-204854D7AD0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" name="AutoShape 1" descr="Resultado de imagem para whirlpool logo">
          <a:extLst>
            <a:ext uri="{FF2B5EF4-FFF2-40B4-BE49-F238E27FC236}">
              <a16:creationId xmlns:a16="http://schemas.microsoft.com/office/drawing/2014/main" id="{A217F98C-110E-4C89-859E-08459AB3A43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" name="AutoShape 1" descr="Resultado de imagem para whirlpool logo">
          <a:extLst>
            <a:ext uri="{FF2B5EF4-FFF2-40B4-BE49-F238E27FC236}">
              <a16:creationId xmlns:a16="http://schemas.microsoft.com/office/drawing/2014/main" id="{6B382B19-C94E-4385-90A4-90A0577AF2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" name="AutoShape 1" descr="Resultado de imagem para whirlpool logo">
          <a:extLst>
            <a:ext uri="{FF2B5EF4-FFF2-40B4-BE49-F238E27FC236}">
              <a16:creationId xmlns:a16="http://schemas.microsoft.com/office/drawing/2014/main" id="{D81C4E1D-7A42-4CC1-AC01-502C9299948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" name="AutoShape 1" descr="Resultado de imagem para whirlpool logo">
          <a:extLst>
            <a:ext uri="{FF2B5EF4-FFF2-40B4-BE49-F238E27FC236}">
              <a16:creationId xmlns:a16="http://schemas.microsoft.com/office/drawing/2014/main" id="{022088AA-6931-4611-A331-14CDD37019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" name="AutoShape 1" descr="Resultado de imagem para whirlpool logo">
          <a:extLst>
            <a:ext uri="{FF2B5EF4-FFF2-40B4-BE49-F238E27FC236}">
              <a16:creationId xmlns:a16="http://schemas.microsoft.com/office/drawing/2014/main" id="{5A14C3EE-BF3A-40C4-94A9-33CB331B35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0" name="AutoShape 1" descr="Resultado de imagem para whirlpool logo">
          <a:extLst>
            <a:ext uri="{FF2B5EF4-FFF2-40B4-BE49-F238E27FC236}">
              <a16:creationId xmlns:a16="http://schemas.microsoft.com/office/drawing/2014/main" id="{41353CB0-40C5-481F-86C8-48CFE0D32D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" name="AutoShape 1" descr="Resultado de imagem para whirlpool logo">
          <a:extLst>
            <a:ext uri="{FF2B5EF4-FFF2-40B4-BE49-F238E27FC236}">
              <a16:creationId xmlns:a16="http://schemas.microsoft.com/office/drawing/2014/main" id="{822A92EF-B40D-4AB2-BF3D-6198AB7814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" name="AutoShape 1" descr="Resultado de imagem para whirlpool logo">
          <a:extLst>
            <a:ext uri="{FF2B5EF4-FFF2-40B4-BE49-F238E27FC236}">
              <a16:creationId xmlns:a16="http://schemas.microsoft.com/office/drawing/2014/main" id="{FA100694-A24C-4D94-8551-1644E0DEE81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" name="AutoShape 1" descr="Resultado de imagem para whirlpool logo">
          <a:extLst>
            <a:ext uri="{FF2B5EF4-FFF2-40B4-BE49-F238E27FC236}">
              <a16:creationId xmlns:a16="http://schemas.microsoft.com/office/drawing/2014/main" id="{0968DEDF-97DA-4B61-A475-626599BC1E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" name="AutoShape 1" descr="Resultado de imagem para whirlpool logo">
          <a:extLst>
            <a:ext uri="{FF2B5EF4-FFF2-40B4-BE49-F238E27FC236}">
              <a16:creationId xmlns:a16="http://schemas.microsoft.com/office/drawing/2014/main" id="{0CE30ADA-C421-4948-9D5A-B07421CB97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" name="AutoShape 1" descr="Resultado de imagem para whirlpool logo">
          <a:extLst>
            <a:ext uri="{FF2B5EF4-FFF2-40B4-BE49-F238E27FC236}">
              <a16:creationId xmlns:a16="http://schemas.microsoft.com/office/drawing/2014/main" id="{D3A365BD-A255-424C-AF33-EB7A3AF909B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" name="AutoShape 1" descr="Resultado de imagem para whirlpool logo">
          <a:extLst>
            <a:ext uri="{FF2B5EF4-FFF2-40B4-BE49-F238E27FC236}">
              <a16:creationId xmlns:a16="http://schemas.microsoft.com/office/drawing/2014/main" id="{BDE328E8-A884-43BD-B086-8EFE686AFF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" name="AutoShape 1" descr="Resultado de imagem para whirlpool logo">
          <a:extLst>
            <a:ext uri="{FF2B5EF4-FFF2-40B4-BE49-F238E27FC236}">
              <a16:creationId xmlns:a16="http://schemas.microsoft.com/office/drawing/2014/main" id="{CC503F97-FCCB-4BD3-9275-BFED3719553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" name="AutoShape 1" descr="Resultado de imagem para whirlpool logo">
          <a:extLst>
            <a:ext uri="{FF2B5EF4-FFF2-40B4-BE49-F238E27FC236}">
              <a16:creationId xmlns:a16="http://schemas.microsoft.com/office/drawing/2014/main" id="{CA828150-1DCA-4567-9A33-2B1D90BE4D9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" name="AutoShape 1" descr="Resultado de imagem para whirlpool logo">
          <a:extLst>
            <a:ext uri="{FF2B5EF4-FFF2-40B4-BE49-F238E27FC236}">
              <a16:creationId xmlns:a16="http://schemas.microsoft.com/office/drawing/2014/main" id="{18272C12-7AFA-44AF-8EA4-DD17302959B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" name="AutoShape 1" descr="Resultado de imagem para whirlpool logo">
          <a:extLst>
            <a:ext uri="{FF2B5EF4-FFF2-40B4-BE49-F238E27FC236}">
              <a16:creationId xmlns:a16="http://schemas.microsoft.com/office/drawing/2014/main" id="{13AF1D85-4472-41DA-8CCE-D3EE4C1EB0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" name="AutoShape 1" descr="Resultado de imagem para whirlpool logo">
          <a:extLst>
            <a:ext uri="{FF2B5EF4-FFF2-40B4-BE49-F238E27FC236}">
              <a16:creationId xmlns:a16="http://schemas.microsoft.com/office/drawing/2014/main" id="{21BE6A03-1F45-4D82-B00F-2BE9BA7111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" name="AutoShape 1" descr="Resultado de imagem para whirlpool logo">
          <a:extLst>
            <a:ext uri="{FF2B5EF4-FFF2-40B4-BE49-F238E27FC236}">
              <a16:creationId xmlns:a16="http://schemas.microsoft.com/office/drawing/2014/main" id="{202D0393-E8BD-496A-9796-9B6D08F741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" name="AutoShape 1" descr="Resultado de imagem para whirlpool logo">
          <a:extLst>
            <a:ext uri="{FF2B5EF4-FFF2-40B4-BE49-F238E27FC236}">
              <a16:creationId xmlns:a16="http://schemas.microsoft.com/office/drawing/2014/main" id="{426CEB29-B694-460F-BD22-2308C28B17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" name="AutoShape 1" descr="Resultado de imagem para whirlpool logo">
          <a:extLst>
            <a:ext uri="{FF2B5EF4-FFF2-40B4-BE49-F238E27FC236}">
              <a16:creationId xmlns:a16="http://schemas.microsoft.com/office/drawing/2014/main" id="{CD9FB1D0-F672-470A-B39B-79F9B37B62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" name="AutoShape 1" descr="Resultado de imagem para whirlpool logo">
          <a:extLst>
            <a:ext uri="{FF2B5EF4-FFF2-40B4-BE49-F238E27FC236}">
              <a16:creationId xmlns:a16="http://schemas.microsoft.com/office/drawing/2014/main" id="{88525216-48B3-4B56-AB7F-ACB3517E10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" name="AutoShape 1" descr="Resultado de imagem para whirlpool logo">
          <a:extLst>
            <a:ext uri="{FF2B5EF4-FFF2-40B4-BE49-F238E27FC236}">
              <a16:creationId xmlns:a16="http://schemas.microsoft.com/office/drawing/2014/main" id="{3826F7DC-D2CC-45AE-9AA2-38F7E3FB68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" name="AutoShape 1" descr="Resultado de imagem para whirlpool logo">
          <a:extLst>
            <a:ext uri="{FF2B5EF4-FFF2-40B4-BE49-F238E27FC236}">
              <a16:creationId xmlns:a16="http://schemas.microsoft.com/office/drawing/2014/main" id="{89535121-E0E2-424B-B278-F7AA4C998C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" name="AutoShape 1" descr="Resultado de imagem para whirlpool logo">
          <a:extLst>
            <a:ext uri="{FF2B5EF4-FFF2-40B4-BE49-F238E27FC236}">
              <a16:creationId xmlns:a16="http://schemas.microsoft.com/office/drawing/2014/main" id="{C3F7BCC6-6677-4095-8683-2CFDB0CBCA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" name="AutoShape 1" descr="Resultado de imagem para whirlpool logo">
          <a:extLst>
            <a:ext uri="{FF2B5EF4-FFF2-40B4-BE49-F238E27FC236}">
              <a16:creationId xmlns:a16="http://schemas.microsoft.com/office/drawing/2014/main" id="{96B290D5-B383-4EEE-A083-D63B57051AA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" name="AutoShape 1" descr="Resultado de imagem para whirlpool logo">
          <a:extLst>
            <a:ext uri="{FF2B5EF4-FFF2-40B4-BE49-F238E27FC236}">
              <a16:creationId xmlns:a16="http://schemas.microsoft.com/office/drawing/2014/main" id="{48D7BF53-BAEE-4580-8B35-83FC52F22B5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" name="AutoShape 1" descr="Resultado de imagem para whirlpool logo">
          <a:extLst>
            <a:ext uri="{FF2B5EF4-FFF2-40B4-BE49-F238E27FC236}">
              <a16:creationId xmlns:a16="http://schemas.microsoft.com/office/drawing/2014/main" id="{6BB62CD6-07A3-400C-88CC-185063B39A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" name="AutoShape 1" descr="Resultado de imagem para whirlpool logo">
          <a:extLst>
            <a:ext uri="{FF2B5EF4-FFF2-40B4-BE49-F238E27FC236}">
              <a16:creationId xmlns:a16="http://schemas.microsoft.com/office/drawing/2014/main" id="{68584E53-270C-41B1-B86A-49D1B757A5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" name="AutoShape 1" descr="Resultado de imagem para whirlpool logo">
          <a:extLst>
            <a:ext uri="{FF2B5EF4-FFF2-40B4-BE49-F238E27FC236}">
              <a16:creationId xmlns:a16="http://schemas.microsoft.com/office/drawing/2014/main" id="{D2E65626-C60B-4CF3-833B-6B65B8BD41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" name="AutoShape 1" descr="Resultado de imagem para whirlpool logo">
          <a:extLst>
            <a:ext uri="{FF2B5EF4-FFF2-40B4-BE49-F238E27FC236}">
              <a16:creationId xmlns:a16="http://schemas.microsoft.com/office/drawing/2014/main" id="{C0DB347D-7B01-4687-A412-927D80D97C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" name="AutoShape 1" descr="Resultado de imagem para whirlpool logo">
          <a:extLst>
            <a:ext uri="{FF2B5EF4-FFF2-40B4-BE49-F238E27FC236}">
              <a16:creationId xmlns:a16="http://schemas.microsoft.com/office/drawing/2014/main" id="{4254FF4C-65DA-4CD1-A1A7-1DEFE17051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" name="AutoShape 1" descr="Resultado de imagem para whirlpool logo">
          <a:extLst>
            <a:ext uri="{FF2B5EF4-FFF2-40B4-BE49-F238E27FC236}">
              <a16:creationId xmlns:a16="http://schemas.microsoft.com/office/drawing/2014/main" id="{A6A8BC62-D5D4-43B5-ACE6-8C4D0DFD3B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" name="AutoShape 1" descr="Resultado de imagem para whirlpool logo">
          <a:extLst>
            <a:ext uri="{FF2B5EF4-FFF2-40B4-BE49-F238E27FC236}">
              <a16:creationId xmlns:a16="http://schemas.microsoft.com/office/drawing/2014/main" id="{4E4C0F01-F864-4605-B20A-1DB0CC3DDB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" name="AutoShape 1" descr="Resultado de imagem para whirlpool logo">
          <a:extLst>
            <a:ext uri="{FF2B5EF4-FFF2-40B4-BE49-F238E27FC236}">
              <a16:creationId xmlns:a16="http://schemas.microsoft.com/office/drawing/2014/main" id="{3DF82EF1-0A30-4EDA-8F10-BD2DC5EDC9F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" name="AutoShape 1" descr="Resultado de imagem para whirlpool logo">
          <a:extLst>
            <a:ext uri="{FF2B5EF4-FFF2-40B4-BE49-F238E27FC236}">
              <a16:creationId xmlns:a16="http://schemas.microsoft.com/office/drawing/2014/main" id="{BE97F1B5-BDC0-4117-B1FE-966647511F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" name="AutoShape 1" descr="Resultado de imagem para whirlpool logo">
          <a:extLst>
            <a:ext uri="{FF2B5EF4-FFF2-40B4-BE49-F238E27FC236}">
              <a16:creationId xmlns:a16="http://schemas.microsoft.com/office/drawing/2014/main" id="{6FFF3706-00BF-4781-B019-A1EDDA7F15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" name="AutoShape 1" descr="Resultado de imagem para whirlpool logo">
          <a:extLst>
            <a:ext uri="{FF2B5EF4-FFF2-40B4-BE49-F238E27FC236}">
              <a16:creationId xmlns:a16="http://schemas.microsoft.com/office/drawing/2014/main" id="{CAFC86D8-C418-4B6C-989F-103C35170A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" name="AutoShape 1" descr="Resultado de imagem para whirlpool logo">
          <a:extLst>
            <a:ext uri="{FF2B5EF4-FFF2-40B4-BE49-F238E27FC236}">
              <a16:creationId xmlns:a16="http://schemas.microsoft.com/office/drawing/2014/main" id="{C5940B10-89DC-46E0-B50D-A0AC83C2B1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" name="AutoShape 1" descr="Resultado de imagem para whirlpool logo">
          <a:extLst>
            <a:ext uri="{FF2B5EF4-FFF2-40B4-BE49-F238E27FC236}">
              <a16:creationId xmlns:a16="http://schemas.microsoft.com/office/drawing/2014/main" id="{165C15CE-10B4-4746-B8F2-E2C656F440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" name="AutoShape 1" descr="Resultado de imagem para whirlpool logo">
          <a:extLst>
            <a:ext uri="{FF2B5EF4-FFF2-40B4-BE49-F238E27FC236}">
              <a16:creationId xmlns:a16="http://schemas.microsoft.com/office/drawing/2014/main" id="{FC00A9DF-AC44-4F93-9DA0-C2DE48141E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" name="AutoShape 1" descr="Resultado de imagem para whirlpool logo">
          <a:extLst>
            <a:ext uri="{FF2B5EF4-FFF2-40B4-BE49-F238E27FC236}">
              <a16:creationId xmlns:a16="http://schemas.microsoft.com/office/drawing/2014/main" id="{4CFF7502-C0B1-4DBA-BB01-AAE844ED12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" name="AutoShape 1" descr="Resultado de imagem para whirlpool logo">
          <a:extLst>
            <a:ext uri="{FF2B5EF4-FFF2-40B4-BE49-F238E27FC236}">
              <a16:creationId xmlns:a16="http://schemas.microsoft.com/office/drawing/2014/main" id="{AF7E4FE1-B587-4351-9CCF-C5A48992279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" name="AutoShape 1" descr="Resultado de imagem para whirlpool logo">
          <a:extLst>
            <a:ext uri="{FF2B5EF4-FFF2-40B4-BE49-F238E27FC236}">
              <a16:creationId xmlns:a16="http://schemas.microsoft.com/office/drawing/2014/main" id="{61D7FD96-1F99-4771-8369-D7E26F893A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" name="AutoShape 1" descr="Resultado de imagem para whirlpool logo">
          <a:extLst>
            <a:ext uri="{FF2B5EF4-FFF2-40B4-BE49-F238E27FC236}">
              <a16:creationId xmlns:a16="http://schemas.microsoft.com/office/drawing/2014/main" id="{4EFD14C1-69D4-4796-BA1A-CEE2AFB45E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" name="AutoShape 1" descr="Resultado de imagem para whirlpool logo">
          <a:extLst>
            <a:ext uri="{FF2B5EF4-FFF2-40B4-BE49-F238E27FC236}">
              <a16:creationId xmlns:a16="http://schemas.microsoft.com/office/drawing/2014/main" id="{72B41BA9-6D90-4BA3-8F01-7AD965392FC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" name="AutoShape 1" descr="Resultado de imagem para whirlpool logo">
          <a:extLst>
            <a:ext uri="{FF2B5EF4-FFF2-40B4-BE49-F238E27FC236}">
              <a16:creationId xmlns:a16="http://schemas.microsoft.com/office/drawing/2014/main" id="{94DBF7F7-8815-4A2E-8C17-96F408F8E4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" name="AutoShape 1" descr="Resultado de imagem para whirlpool logo">
          <a:extLst>
            <a:ext uri="{FF2B5EF4-FFF2-40B4-BE49-F238E27FC236}">
              <a16:creationId xmlns:a16="http://schemas.microsoft.com/office/drawing/2014/main" id="{340E6200-9E4F-4A53-9DA6-F676236603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" name="AutoShape 1" descr="Resultado de imagem para whirlpool logo">
          <a:extLst>
            <a:ext uri="{FF2B5EF4-FFF2-40B4-BE49-F238E27FC236}">
              <a16:creationId xmlns:a16="http://schemas.microsoft.com/office/drawing/2014/main" id="{BF4809A0-AD2B-4561-835E-DCE82F4984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" name="AutoShape 1" descr="Resultado de imagem para whirlpool logo">
          <a:extLst>
            <a:ext uri="{FF2B5EF4-FFF2-40B4-BE49-F238E27FC236}">
              <a16:creationId xmlns:a16="http://schemas.microsoft.com/office/drawing/2014/main" id="{9D50F9BF-C02C-40A4-89A6-B504460C862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" name="AutoShape 1" descr="Resultado de imagem para whirlpool logo">
          <a:extLst>
            <a:ext uri="{FF2B5EF4-FFF2-40B4-BE49-F238E27FC236}">
              <a16:creationId xmlns:a16="http://schemas.microsoft.com/office/drawing/2014/main" id="{8B82B282-0AB9-4299-B0E5-16A09756D7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" name="AutoShape 1" descr="Resultado de imagem para whirlpool logo">
          <a:extLst>
            <a:ext uri="{FF2B5EF4-FFF2-40B4-BE49-F238E27FC236}">
              <a16:creationId xmlns:a16="http://schemas.microsoft.com/office/drawing/2014/main" id="{11AFDCB8-47D5-499E-8FCD-10BFE94F61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" name="AutoShape 1" descr="Resultado de imagem para whirlpool logo">
          <a:extLst>
            <a:ext uri="{FF2B5EF4-FFF2-40B4-BE49-F238E27FC236}">
              <a16:creationId xmlns:a16="http://schemas.microsoft.com/office/drawing/2014/main" id="{882486AB-D433-47DE-8671-AE2B4AF89C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" name="AutoShape 1" descr="Resultado de imagem para whirlpool logo">
          <a:extLst>
            <a:ext uri="{FF2B5EF4-FFF2-40B4-BE49-F238E27FC236}">
              <a16:creationId xmlns:a16="http://schemas.microsoft.com/office/drawing/2014/main" id="{7D547F49-BC05-4FE8-A82B-3AB6F7938E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" name="AutoShape 1" descr="Resultado de imagem para whirlpool logo">
          <a:extLst>
            <a:ext uri="{FF2B5EF4-FFF2-40B4-BE49-F238E27FC236}">
              <a16:creationId xmlns:a16="http://schemas.microsoft.com/office/drawing/2014/main" id="{987FDF07-94CA-4FF9-8962-424EC05E6B0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" name="AutoShape 1" descr="Resultado de imagem para whirlpool logo">
          <a:extLst>
            <a:ext uri="{FF2B5EF4-FFF2-40B4-BE49-F238E27FC236}">
              <a16:creationId xmlns:a16="http://schemas.microsoft.com/office/drawing/2014/main" id="{4FAB3DF7-B878-4C78-9CDC-9715D33587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" name="AutoShape 1" descr="Resultado de imagem para whirlpool logo">
          <a:extLst>
            <a:ext uri="{FF2B5EF4-FFF2-40B4-BE49-F238E27FC236}">
              <a16:creationId xmlns:a16="http://schemas.microsoft.com/office/drawing/2014/main" id="{62F8C513-5B9D-479E-B6A1-DC5F036556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1" name="AutoShape 1" descr="Resultado de imagem para whirlpool logo">
          <a:extLst>
            <a:ext uri="{FF2B5EF4-FFF2-40B4-BE49-F238E27FC236}">
              <a16:creationId xmlns:a16="http://schemas.microsoft.com/office/drawing/2014/main" id="{287DE86C-DE46-4D85-BC99-07F4C79B67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2" name="AutoShape 1" descr="Resultado de imagem para whirlpool logo">
          <a:extLst>
            <a:ext uri="{FF2B5EF4-FFF2-40B4-BE49-F238E27FC236}">
              <a16:creationId xmlns:a16="http://schemas.microsoft.com/office/drawing/2014/main" id="{C6C4B170-9B36-4BDD-A54B-928CC1591E0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3" name="AutoShape 1" descr="Resultado de imagem para whirlpool logo">
          <a:extLst>
            <a:ext uri="{FF2B5EF4-FFF2-40B4-BE49-F238E27FC236}">
              <a16:creationId xmlns:a16="http://schemas.microsoft.com/office/drawing/2014/main" id="{F78EE950-0CF1-4604-8319-AB4CD648C5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4" name="AutoShape 1" descr="Resultado de imagem para whirlpool logo">
          <a:extLst>
            <a:ext uri="{FF2B5EF4-FFF2-40B4-BE49-F238E27FC236}">
              <a16:creationId xmlns:a16="http://schemas.microsoft.com/office/drawing/2014/main" id="{65553FCE-5927-4014-86F3-4AB70099E5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5" name="AutoShape 1" descr="Resultado de imagem para whirlpool logo">
          <a:extLst>
            <a:ext uri="{FF2B5EF4-FFF2-40B4-BE49-F238E27FC236}">
              <a16:creationId xmlns:a16="http://schemas.microsoft.com/office/drawing/2014/main" id="{66093291-E24C-4376-911E-2F3DE5A999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" name="AutoShape 1" descr="Resultado de imagem para whirlpool logo">
          <a:extLst>
            <a:ext uri="{FF2B5EF4-FFF2-40B4-BE49-F238E27FC236}">
              <a16:creationId xmlns:a16="http://schemas.microsoft.com/office/drawing/2014/main" id="{BB3F0E63-1A85-4BE1-9D2E-07CFA34033B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" name="AutoShape 1" descr="Resultado de imagem para whirlpool logo">
          <a:extLst>
            <a:ext uri="{FF2B5EF4-FFF2-40B4-BE49-F238E27FC236}">
              <a16:creationId xmlns:a16="http://schemas.microsoft.com/office/drawing/2014/main" id="{C934DF92-40C0-4B82-B37C-310A40C128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8" name="AutoShape 1" descr="Resultado de imagem para whirlpool logo">
          <a:extLst>
            <a:ext uri="{FF2B5EF4-FFF2-40B4-BE49-F238E27FC236}">
              <a16:creationId xmlns:a16="http://schemas.microsoft.com/office/drawing/2014/main" id="{C7BADB2A-048B-44BF-90D3-45465DCC1B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9" name="AutoShape 1" descr="Resultado de imagem para whirlpool logo">
          <a:extLst>
            <a:ext uri="{FF2B5EF4-FFF2-40B4-BE49-F238E27FC236}">
              <a16:creationId xmlns:a16="http://schemas.microsoft.com/office/drawing/2014/main" id="{45EED23B-D205-4612-863D-0B109C09AC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0" name="AutoShape 1" descr="Resultado de imagem para whirlpool logo">
          <a:extLst>
            <a:ext uri="{FF2B5EF4-FFF2-40B4-BE49-F238E27FC236}">
              <a16:creationId xmlns:a16="http://schemas.microsoft.com/office/drawing/2014/main" id="{6BBF2B6B-CA33-43D1-832F-7EA981E155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1" name="AutoShape 1" descr="Resultado de imagem para whirlpool logo">
          <a:extLst>
            <a:ext uri="{FF2B5EF4-FFF2-40B4-BE49-F238E27FC236}">
              <a16:creationId xmlns:a16="http://schemas.microsoft.com/office/drawing/2014/main" id="{529D674E-965A-4E1C-BCED-C0B04FFD7B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2" name="AutoShape 1" descr="Resultado de imagem para whirlpool logo">
          <a:extLst>
            <a:ext uri="{FF2B5EF4-FFF2-40B4-BE49-F238E27FC236}">
              <a16:creationId xmlns:a16="http://schemas.microsoft.com/office/drawing/2014/main" id="{3C0A020E-F80D-477E-8687-BE6BE40839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3" name="AutoShape 1" descr="Resultado de imagem para whirlpool logo">
          <a:extLst>
            <a:ext uri="{FF2B5EF4-FFF2-40B4-BE49-F238E27FC236}">
              <a16:creationId xmlns:a16="http://schemas.microsoft.com/office/drawing/2014/main" id="{6109885A-6839-4801-8B2D-81D63A77F6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4" name="AutoShape 1" descr="Resultado de imagem para whirlpool logo">
          <a:extLst>
            <a:ext uri="{FF2B5EF4-FFF2-40B4-BE49-F238E27FC236}">
              <a16:creationId xmlns:a16="http://schemas.microsoft.com/office/drawing/2014/main" id="{B9BD0680-FEF8-4072-B96B-B12EC14D15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5" name="AutoShape 1" descr="Resultado de imagem para whirlpool logo">
          <a:extLst>
            <a:ext uri="{FF2B5EF4-FFF2-40B4-BE49-F238E27FC236}">
              <a16:creationId xmlns:a16="http://schemas.microsoft.com/office/drawing/2014/main" id="{DBC836B7-E5DA-4194-A1D0-C877EEC3445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6" name="AutoShape 1" descr="Resultado de imagem para whirlpool logo">
          <a:extLst>
            <a:ext uri="{FF2B5EF4-FFF2-40B4-BE49-F238E27FC236}">
              <a16:creationId xmlns:a16="http://schemas.microsoft.com/office/drawing/2014/main" id="{48B43BEA-0E83-4BAD-AE75-F2C0010A64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7" name="AutoShape 1" descr="Resultado de imagem para whirlpool logo">
          <a:extLst>
            <a:ext uri="{FF2B5EF4-FFF2-40B4-BE49-F238E27FC236}">
              <a16:creationId xmlns:a16="http://schemas.microsoft.com/office/drawing/2014/main" id="{388E4DEC-9EA4-439A-972F-C5DFFC6261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8" name="AutoShape 1" descr="Resultado de imagem para whirlpool logo">
          <a:extLst>
            <a:ext uri="{FF2B5EF4-FFF2-40B4-BE49-F238E27FC236}">
              <a16:creationId xmlns:a16="http://schemas.microsoft.com/office/drawing/2014/main" id="{7AE52A82-91A3-434D-B118-7892FAB052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" name="AutoShape 1" descr="Resultado de imagem para whirlpool logo">
          <a:extLst>
            <a:ext uri="{FF2B5EF4-FFF2-40B4-BE49-F238E27FC236}">
              <a16:creationId xmlns:a16="http://schemas.microsoft.com/office/drawing/2014/main" id="{79D1BE5D-CAE1-47CE-8152-F33E87F80C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0" name="AutoShape 1" descr="Resultado de imagem para whirlpool logo">
          <a:extLst>
            <a:ext uri="{FF2B5EF4-FFF2-40B4-BE49-F238E27FC236}">
              <a16:creationId xmlns:a16="http://schemas.microsoft.com/office/drawing/2014/main" id="{AA58A430-D3D7-4298-B4CD-6D3A9B45DD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1" name="AutoShape 1" descr="Resultado de imagem para whirlpool logo">
          <a:extLst>
            <a:ext uri="{FF2B5EF4-FFF2-40B4-BE49-F238E27FC236}">
              <a16:creationId xmlns:a16="http://schemas.microsoft.com/office/drawing/2014/main" id="{A19C3CF4-F870-4009-8C2A-B441DED5FB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2" name="AutoShape 1" descr="Resultado de imagem para whirlpool logo">
          <a:extLst>
            <a:ext uri="{FF2B5EF4-FFF2-40B4-BE49-F238E27FC236}">
              <a16:creationId xmlns:a16="http://schemas.microsoft.com/office/drawing/2014/main" id="{3D7E893A-1412-402E-9354-D4A2957087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3" name="AutoShape 1" descr="Resultado de imagem para whirlpool logo">
          <a:extLst>
            <a:ext uri="{FF2B5EF4-FFF2-40B4-BE49-F238E27FC236}">
              <a16:creationId xmlns:a16="http://schemas.microsoft.com/office/drawing/2014/main" id="{48D8317C-CCEE-4858-B1E4-1564A2D6FB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4" name="AutoShape 1" descr="Resultado de imagem para whirlpool logo">
          <a:extLst>
            <a:ext uri="{FF2B5EF4-FFF2-40B4-BE49-F238E27FC236}">
              <a16:creationId xmlns:a16="http://schemas.microsoft.com/office/drawing/2014/main" id="{ECE60BAD-1C33-46CB-AE76-E05E12D6A4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5" name="AutoShape 1" descr="Resultado de imagem para whirlpool logo">
          <a:extLst>
            <a:ext uri="{FF2B5EF4-FFF2-40B4-BE49-F238E27FC236}">
              <a16:creationId xmlns:a16="http://schemas.microsoft.com/office/drawing/2014/main" id="{5507AF81-9B13-4B23-8090-5A0307F3A8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6" name="AutoShape 1" descr="Resultado de imagem para whirlpool logo">
          <a:extLst>
            <a:ext uri="{FF2B5EF4-FFF2-40B4-BE49-F238E27FC236}">
              <a16:creationId xmlns:a16="http://schemas.microsoft.com/office/drawing/2014/main" id="{FC09D514-B463-49B7-AF4F-19587A8F19A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7" name="AutoShape 1" descr="Resultado de imagem para whirlpool logo">
          <a:extLst>
            <a:ext uri="{FF2B5EF4-FFF2-40B4-BE49-F238E27FC236}">
              <a16:creationId xmlns:a16="http://schemas.microsoft.com/office/drawing/2014/main" id="{B5F87286-A400-45B5-82CD-51D11D5B92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8" name="AutoShape 1" descr="Resultado de imagem para whirlpool logo">
          <a:extLst>
            <a:ext uri="{FF2B5EF4-FFF2-40B4-BE49-F238E27FC236}">
              <a16:creationId xmlns:a16="http://schemas.microsoft.com/office/drawing/2014/main" id="{0F9592F7-E5C9-4BFB-99DC-FAF6AF03DB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9" name="AutoShape 1" descr="Resultado de imagem para whirlpool logo">
          <a:extLst>
            <a:ext uri="{FF2B5EF4-FFF2-40B4-BE49-F238E27FC236}">
              <a16:creationId xmlns:a16="http://schemas.microsoft.com/office/drawing/2014/main" id="{0ED00F37-BC7F-4D6E-AA51-C3C6A138DA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" name="AutoShape 1" descr="Resultado de imagem para whirlpool logo">
          <a:extLst>
            <a:ext uri="{FF2B5EF4-FFF2-40B4-BE49-F238E27FC236}">
              <a16:creationId xmlns:a16="http://schemas.microsoft.com/office/drawing/2014/main" id="{8C80E8A1-76E7-4C13-917D-5EBD2E22A8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" name="AutoShape 1" descr="Resultado de imagem para whirlpool logo">
          <a:extLst>
            <a:ext uri="{FF2B5EF4-FFF2-40B4-BE49-F238E27FC236}">
              <a16:creationId xmlns:a16="http://schemas.microsoft.com/office/drawing/2014/main" id="{3BD58358-7DF1-4C0E-919F-BE4BD76DDB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" name="AutoShape 1" descr="Resultado de imagem para whirlpool logo">
          <a:extLst>
            <a:ext uri="{FF2B5EF4-FFF2-40B4-BE49-F238E27FC236}">
              <a16:creationId xmlns:a16="http://schemas.microsoft.com/office/drawing/2014/main" id="{295C7AB1-4AD4-45E7-8D48-93320CD3B0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3" name="AutoShape 1" descr="Resultado de imagem para whirlpool logo">
          <a:extLst>
            <a:ext uri="{FF2B5EF4-FFF2-40B4-BE49-F238E27FC236}">
              <a16:creationId xmlns:a16="http://schemas.microsoft.com/office/drawing/2014/main" id="{3315F12A-CC02-460E-9452-323CF7029B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4" name="AutoShape 1" descr="Resultado de imagem para whirlpool logo">
          <a:extLst>
            <a:ext uri="{FF2B5EF4-FFF2-40B4-BE49-F238E27FC236}">
              <a16:creationId xmlns:a16="http://schemas.microsoft.com/office/drawing/2014/main" id="{7C46FC49-7ED4-4BB3-8933-A9CDC1FD83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5" name="AutoShape 1" descr="Resultado de imagem para whirlpool logo">
          <a:extLst>
            <a:ext uri="{FF2B5EF4-FFF2-40B4-BE49-F238E27FC236}">
              <a16:creationId xmlns:a16="http://schemas.microsoft.com/office/drawing/2014/main" id="{5B56A353-0211-4167-8EF7-A99ADEB246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6" name="AutoShape 1" descr="Resultado de imagem para whirlpool logo">
          <a:extLst>
            <a:ext uri="{FF2B5EF4-FFF2-40B4-BE49-F238E27FC236}">
              <a16:creationId xmlns:a16="http://schemas.microsoft.com/office/drawing/2014/main" id="{99197931-CEAC-480B-AD82-930EE05D63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7" name="AutoShape 1" descr="Resultado de imagem para whirlpool logo">
          <a:extLst>
            <a:ext uri="{FF2B5EF4-FFF2-40B4-BE49-F238E27FC236}">
              <a16:creationId xmlns:a16="http://schemas.microsoft.com/office/drawing/2014/main" id="{3E7CA494-5A7A-4DDE-B225-E24659293E7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8" name="AutoShape 1" descr="Resultado de imagem para whirlpool logo">
          <a:extLst>
            <a:ext uri="{FF2B5EF4-FFF2-40B4-BE49-F238E27FC236}">
              <a16:creationId xmlns:a16="http://schemas.microsoft.com/office/drawing/2014/main" id="{548E6031-FC63-4980-86EC-DAFC97AC78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9" name="AutoShape 1" descr="Resultado de imagem para whirlpool logo">
          <a:extLst>
            <a:ext uri="{FF2B5EF4-FFF2-40B4-BE49-F238E27FC236}">
              <a16:creationId xmlns:a16="http://schemas.microsoft.com/office/drawing/2014/main" id="{2CA142B4-800B-4D9B-8969-7ED99BC1EA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0" name="AutoShape 1" descr="Resultado de imagem para whirlpool logo">
          <a:extLst>
            <a:ext uri="{FF2B5EF4-FFF2-40B4-BE49-F238E27FC236}">
              <a16:creationId xmlns:a16="http://schemas.microsoft.com/office/drawing/2014/main" id="{27F599B2-4E3A-4F4C-8691-F261D8687E8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1" name="AutoShape 1" descr="Resultado de imagem para whirlpool logo">
          <a:extLst>
            <a:ext uri="{FF2B5EF4-FFF2-40B4-BE49-F238E27FC236}">
              <a16:creationId xmlns:a16="http://schemas.microsoft.com/office/drawing/2014/main" id="{0F0C5ED2-3E49-4CD8-87B2-279E16329F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2" name="AutoShape 1" descr="Resultado de imagem para whirlpool logo">
          <a:extLst>
            <a:ext uri="{FF2B5EF4-FFF2-40B4-BE49-F238E27FC236}">
              <a16:creationId xmlns:a16="http://schemas.microsoft.com/office/drawing/2014/main" id="{F2D6BDA2-2C34-47B2-A424-374DDC367A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" name="AutoShape 1" descr="Resultado de imagem para whirlpool logo">
          <a:extLst>
            <a:ext uri="{FF2B5EF4-FFF2-40B4-BE49-F238E27FC236}">
              <a16:creationId xmlns:a16="http://schemas.microsoft.com/office/drawing/2014/main" id="{AF0C0E92-7CFB-4D8A-B2EE-DFDCA84381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" name="AutoShape 1" descr="Resultado de imagem para whirlpool logo">
          <a:extLst>
            <a:ext uri="{FF2B5EF4-FFF2-40B4-BE49-F238E27FC236}">
              <a16:creationId xmlns:a16="http://schemas.microsoft.com/office/drawing/2014/main" id="{20F2AFA7-5827-4D94-A3F4-C03B46A518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5" name="AutoShape 1" descr="Resultado de imagem para whirlpool logo">
          <a:extLst>
            <a:ext uri="{FF2B5EF4-FFF2-40B4-BE49-F238E27FC236}">
              <a16:creationId xmlns:a16="http://schemas.microsoft.com/office/drawing/2014/main" id="{A1083848-5D12-46DF-9A99-B98F1BD3DF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6" name="AutoShape 1" descr="Resultado de imagem para whirlpool logo">
          <a:extLst>
            <a:ext uri="{FF2B5EF4-FFF2-40B4-BE49-F238E27FC236}">
              <a16:creationId xmlns:a16="http://schemas.microsoft.com/office/drawing/2014/main" id="{CC4EF36C-998D-404C-96CC-0573587EA5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7" name="AutoShape 1" descr="Resultado de imagem para whirlpool logo">
          <a:extLst>
            <a:ext uri="{FF2B5EF4-FFF2-40B4-BE49-F238E27FC236}">
              <a16:creationId xmlns:a16="http://schemas.microsoft.com/office/drawing/2014/main" id="{677008A3-190B-44B7-A742-EAE303F5C2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8" name="AutoShape 1" descr="Resultado de imagem para whirlpool logo">
          <a:extLst>
            <a:ext uri="{FF2B5EF4-FFF2-40B4-BE49-F238E27FC236}">
              <a16:creationId xmlns:a16="http://schemas.microsoft.com/office/drawing/2014/main" id="{BDF4BD34-13CA-47ED-A586-51453C7159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9" name="AutoShape 1" descr="Resultado de imagem para whirlpool logo">
          <a:extLst>
            <a:ext uri="{FF2B5EF4-FFF2-40B4-BE49-F238E27FC236}">
              <a16:creationId xmlns:a16="http://schemas.microsoft.com/office/drawing/2014/main" id="{02752E25-F307-4239-A686-31404E60F3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0" name="AutoShape 1" descr="Resultado de imagem para whirlpool logo">
          <a:extLst>
            <a:ext uri="{FF2B5EF4-FFF2-40B4-BE49-F238E27FC236}">
              <a16:creationId xmlns:a16="http://schemas.microsoft.com/office/drawing/2014/main" id="{AFC68482-79BA-41C6-AFED-2648586BD7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1" name="AutoShape 1" descr="Resultado de imagem para whirlpool logo">
          <a:extLst>
            <a:ext uri="{FF2B5EF4-FFF2-40B4-BE49-F238E27FC236}">
              <a16:creationId xmlns:a16="http://schemas.microsoft.com/office/drawing/2014/main" id="{E0B890E2-B807-4F53-A522-23D9A0E3E2A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2" name="AutoShape 1" descr="Resultado de imagem para whirlpool logo">
          <a:extLst>
            <a:ext uri="{FF2B5EF4-FFF2-40B4-BE49-F238E27FC236}">
              <a16:creationId xmlns:a16="http://schemas.microsoft.com/office/drawing/2014/main" id="{92A73563-A374-43F2-BF15-99F23994ABC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3" name="AutoShape 1" descr="Resultado de imagem para whirlpool logo">
          <a:extLst>
            <a:ext uri="{FF2B5EF4-FFF2-40B4-BE49-F238E27FC236}">
              <a16:creationId xmlns:a16="http://schemas.microsoft.com/office/drawing/2014/main" id="{2732FECE-5386-4E80-A2B7-85CCCFD8C5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4" name="AutoShape 1" descr="Resultado de imagem para whirlpool logo">
          <a:extLst>
            <a:ext uri="{FF2B5EF4-FFF2-40B4-BE49-F238E27FC236}">
              <a16:creationId xmlns:a16="http://schemas.microsoft.com/office/drawing/2014/main" id="{1B6325F4-A865-40DD-9714-27DEA260020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5" name="AutoShape 1" descr="Resultado de imagem para whirlpool logo">
          <a:extLst>
            <a:ext uri="{FF2B5EF4-FFF2-40B4-BE49-F238E27FC236}">
              <a16:creationId xmlns:a16="http://schemas.microsoft.com/office/drawing/2014/main" id="{BA871F03-CEC7-4E5F-9136-2BE3F6544E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" name="AutoShape 1" descr="Resultado de imagem para whirlpool logo">
          <a:extLst>
            <a:ext uri="{FF2B5EF4-FFF2-40B4-BE49-F238E27FC236}">
              <a16:creationId xmlns:a16="http://schemas.microsoft.com/office/drawing/2014/main" id="{675769E4-6247-46D1-BDE1-5351F2F291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7" name="AutoShape 1" descr="Resultado de imagem para whirlpool logo">
          <a:extLst>
            <a:ext uri="{FF2B5EF4-FFF2-40B4-BE49-F238E27FC236}">
              <a16:creationId xmlns:a16="http://schemas.microsoft.com/office/drawing/2014/main" id="{0D074240-C8C2-495C-955B-D22E3D0C5A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8" name="AutoShape 1" descr="Resultado de imagem para whirlpool logo">
          <a:extLst>
            <a:ext uri="{FF2B5EF4-FFF2-40B4-BE49-F238E27FC236}">
              <a16:creationId xmlns:a16="http://schemas.microsoft.com/office/drawing/2014/main" id="{D1919FEC-32EC-4D94-86B6-2A37C062AF7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9" name="AutoShape 1" descr="Resultado de imagem para whirlpool logo">
          <a:extLst>
            <a:ext uri="{FF2B5EF4-FFF2-40B4-BE49-F238E27FC236}">
              <a16:creationId xmlns:a16="http://schemas.microsoft.com/office/drawing/2014/main" id="{742521D5-DAD7-4B8B-A07F-CAC0374F8A1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0" name="AutoShape 1" descr="Resultado de imagem para whirlpool logo">
          <a:extLst>
            <a:ext uri="{FF2B5EF4-FFF2-40B4-BE49-F238E27FC236}">
              <a16:creationId xmlns:a16="http://schemas.microsoft.com/office/drawing/2014/main" id="{86ECA102-1F30-48C8-B9C4-392EE56DD3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1" name="AutoShape 1" descr="Resultado de imagem para whirlpool logo">
          <a:extLst>
            <a:ext uri="{FF2B5EF4-FFF2-40B4-BE49-F238E27FC236}">
              <a16:creationId xmlns:a16="http://schemas.microsoft.com/office/drawing/2014/main" id="{07E6AF6F-AF54-483E-A983-FA22D7624B2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2" name="AutoShape 1" descr="Resultado de imagem para whirlpool logo">
          <a:extLst>
            <a:ext uri="{FF2B5EF4-FFF2-40B4-BE49-F238E27FC236}">
              <a16:creationId xmlns:a16="http://schemas.microsoft.com/office/drawing/2014/main" id="{F4492559-ADA0-4D20-8D9B-464E68E8120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3" name="AutoShape 1" descr="Resultado de imagem para whirlpool logo">
          <a:extLst>
            <a:ext uri="{FF2B5EF4-FFF2-40B4-BE49-F238E27FC236}">
              <a16:creationId xmlns:a16="http://schemas.microsoft.com/office/drawing/2014/main" id="{0AE77DD0-6A37-432A-A9C1-802A6AE2F5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4" name="AutoShape 1" descr="Resultado de imagem para whirlpool logo">
          <a:extLst>
            <a:ext uri="{FF2B5EF4-FFF2-40B4-BE49-F238E27FC236}">
              <a16:creationId xmlns:a16="http://schemas.microsoft.com/office/drawing/2014/main" id="{58BD13A6-AF2B-418C-AA08-0B2383E635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5" name="AutoShape 1" descr="Resultado de imagem para whirlpool logo">
          <a:extLst>
            <a:ext uri="{FF2B5EF4-FFF2-40B4-BE49-F238E27FC236}">
              <a16:creationId xmlns:a16="http://schemas.microsoft.com/office/drawing/2014/main" id="{410D83E1-E8EA-44AD-820C-2BF9BA1E7A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6" name="AutoShape 1" descr="Resultado de imagem para whirlpool logo">
          <a:extLst>
            <a:ext uri="{FF2B5EF4-FFF2-40B4-BE49-F238E27FC236}">
              <a16:creationId xmlns:a16="http://schemas.microsoft.com/office/drawing/2014/main" id="{CD8AA1BD-35CB-4187-8E66-2AF871079A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7" name="AutoShape 1" descr="Resultado de imagem para whirlpool logo">
          <a:extLst>
            <a:ext uri="{FF2B5EF4-FFF2-40B4-BE49-F238E27FC236}">
              <a16:creationId xmlns:a16="http://schemas.microsoft.com/office/drawing/2014/main" id="{E9A9D989-436C-45FA-A14E-6E80DA68C90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" name="AutoShape 1" descr="Resultado de imagem para whirlpool logo">
          <a:extLst>
            <a:ext uri="{FF2B5EF4-FFF2-40B4-BE49-F238E27FC236}">
              <a16:creationId xmlns:a16="http://schemas.microsoft.com/office/drawing/2014/main" id="{C501A00A-E5B1-41E3-863A-3615F52D51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" name="AutoShape 1" descr="Resultado de imagem para whirlpool logo">
          <a:extLst>
            <a:ext uri="{FF2B5EF4-FFF2-40B4-BE49-F238E27FC236}">
              <a16:creationId xmlns:a16="http://schemas.microsoft.com/office/drawing/2014/main" id="{C7BE2B39-9B9B-4F18-AACB-BF214F2594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0" name="AutoShape 1" descr="Resultado de imagem para whirlpool logo">
          <a:extLst>
            <a:ext uri="{FF2B5EF4-FFF2-40B4-BE49-F238E27FC236}">
              <a16:creationId xmlns:a16="http://schemas.microsoft.com/office/drawing/2014/main" id="{A108711E-B6A7-4A32-9197-6E7B2F2763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1" name="AutoShape 1" descr="Resultado de imagem para whirlpool logo">
          <a:extLst>
            <a:ext uri="{FF2B5EF4-FFF2-40B4-BE49-F238E27FC236}">
              <a16:creationId xmlns:a16="http://schemas.microsoft.com/office/drawing/2014/main" id="{6678606B-3AE6-4539-8E30-1BBD19690E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2" name="AutoShape 1" descr="Resultado de imagem para whirlpool logo">
          <a:extLst>
            <a:ext uri="{FF2B5EF4-FFF2-40B4-BE49-F238E27FC236}">
              <a16:creationId xmlns:a16="http://schemas.microsoft.com/office/drawing/2014/main" id="{5079B1A5-2CB7-47C2-8C25-417B7B1669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3" name="AutoShape 1" descr="Resultado de imagem para whirlpool logo">
          <a:extLst>
            <a:ext uri="{FF2B5EF4-FFF2-40B4-BE49-F238E27FC236}">
              <a16:creationId xmlns:a16="http://schemas.microsoft.com/office/drawing/2014/main" id="{91EF97F2-164E-40B6-8F38-C982D921C8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4" name="AutoShape 1" descr="Resultado de imagem para whirlpool logo">
          <a:extLst>
            <a:ext uri="{FF2B5EF4-FFF2-40B4-BE49-F238E27FC236}">
              <a16:creationId xmlns:a16="http://schemas.microsoft.com/office/drawing/2014/main" id="{9ADCC1E2-31F4-496D-BBA5-863570C44A9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5" name="AutoShape 1" descr="Resultado de imagem para whirlpool logo">
          <a:extLst>
            <a:ext uri="{FF2B5EF4-FFF2-40B4-BE49-F238E27FC236}">
              <a16:creationId xmlns:a16="http://schemas.microsoft.com/office/drawing/2014/main" id="{E42003F8-992A-4631-B999-F52B1B5320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" name="AutoShape 1" descr="Resultado de imagem para whirlpool logo">
          <a:extLst>
            <a:ext uri="{FF2B5EF4-FFF2-40B4-BE49-F238E27FC236}">
              <a16:creationId xmlns:a16="http://schemas.microsoft.com/office/drawing/2014/main" id="{7CEB64AF-B1FA-41DA-9B6D-0BC729ADC1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" name="AutoShape 1" descr="Resultado de imagem para whirlpool logo">
          <a:extLst>
            <a:ext uri="{FF2B5EF4-FFF2-40B4-BE49-F238E27FC236}">
              <a16:creationId xmlns:a16="http://schemas.microsoft.com/office/drawing/2014/main" id="{A2ADBD2F-1661-40E1-8C0C-A174CF1F21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" name="AutoShape 1" descr="Resultado de imagem para whirlpool logo">
          <a:extLst>
            <a:ext uri="{FF2B5EF4-FFF2-40B4-BE49-F238E27FC236}">
              <a16:creationId xmlns:a16="http://schemas.microsoft.com/office/drawing/2014/main" id="{CF44D643-B2EC-4253-8B32-BC3091077B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" name="AutoShape 1" descr="Resultado de imagem para whirlpool logo">
          <a:extLst>
            <a:ext uri="{FF2B5EF4-FFF2-40B4-BE49-F238E27FC236}">
              <a16:creationId xmlns:a16="http://schemas.microsoft.com/office/drawing/2014/main" id="{F2CD9934-8E08-4C6A-B37F-BEC88994F00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" name="AutoShape 1" descr="Resultado de imagem para whirlpool logo">
          <a:extLst>
            <a:ext uri="{FF2B5EF4-FFF2-40B4-BE49-F238E27FC236}">
              <a16:creationId xmlns:a16="http://schemas.microsoft.com/office/drawing/2014/main" id="{58EB2220-3E7A-49D2-9900-00CB3B82D9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" name="AutoShape 1" descr="Resultado de imagem para whirlpool logo">
          <a:extLst>
            <a:ext uri="{FF2B5EF4-FFF2-40B4-BE49-F238E27FC236}">
              <a16:creationId xmlns:a16="http://schemas.microsoft.com/office/drawing/2014/main" id="{F3502B81-1E80-43AC-BF72-8138535B28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" name="AutoShape 1" descr="Resultado de imagem para whirlpool logo">
          <a:extLst>
            <a:ext uri="{FF2B5EF4-FFF2-40B4-BE49-F238E27FC236}">
              <a16:creationId xmlns:a16="http://schemas.microsoft.com/office/drawing/2014/main" id="{F14E0E04-3207-415B-8CE8-8EA4019276F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" name="AutoShape 1" descr="Resultado de imagem para whirlpool logo">
          <a:extLst>
            <a:ext uri="{FF2B5EF4-FFF2-40B4-BE49-F238E27FC236}">
              <a16:creationId xmlns:a16="http://schemas.microsoft.com/office/drawing/2014/main" id="{F122EB73-1D0F-44C0-B2D9-91DA8696E3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" name="AutoShape 1" descr="Resultado de imagem para whirlpool logo">
          <a:extLst>
            <a:ext uri="{FF2B5EF4-FFF2-40B4-BE49-F238E27FC236}">
              <a16:creationId xmlns:a16="http://schemas.microsoft.com/office/drawing/2014/main" id="{1DEF6B37-E1C7-447C-930F-1CEFEBE14D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" name="AutoShape 1" descr="Resultado de imagem para whirlpool logo">
          <a:extLst>
            <a:ext uri="{FF2B5EF4-FFF2-40B4-BE49-F238E27FC236}">
              <a16:creationId xmlns:a16="http://schemas.microsoft.com/office/drawing/2014/main" id="{013FA08B-BBB3-4671-9699-46222AAD2B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" name="AutoShape 1" descr="Resultado de imagem para whirlpool logo">
          <a:extLst>
            <a:ext uri="{FF2B5EF4-FFF2-40B4-BE49-F238E27FC236}">
              <a16:creationId xmlns:a16="http://schemas.microsoft.com/office/drawing/2014/main" id="{6544E499-BDEC-46AB-8357-68A85B050B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" name="AutoShape 1" descr="Resultado de imagem para whirlpool logo">
          <a:extLst>
            <a:ext uri="{FF2B5EF4-FFF2-40B4-BE49-F238E27FC236}">
              <a16:creationId xmlns:a16="http://schemas.microsoft.com/office/drawing/2014/main" id="{BEF80C72-2A0D-46C3-AAF3-5C8D472E24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" name="AutoShape 1" descr="Resultado de imagem para whirlpool logo">
          <a:extLst>
            <a:ext uri="{FF2B5EF4-FFF2-40B4-BE49-F238E27FC236}">
              <a16:creationId xmlns:a16="http://schemas.microsoft.com/office/drawing/2014/main" id="{01289D5B-43FF-4E28-A1DC-B927A92961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" name="AutoShape 1" descr="Resultado de imagem para whirlpool logo">
          <a:extLst>
            <a:ext uri="{FF2B5EF4-FFF2-40B4-BE49-F238E27FC236}">
              <a16:creationId xmlns:a16="http://schemas.microsoft.com/office/drawing/2014/main" id="{E544A4B4-CD36-450A-AC59-0ECF5FA103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" name="AutoShape 1" descr="Resultado de imagem para whirlpool logo">
          <a:extLst>
            <a:ext uri="{FF2B5EF4-FFF2-40B4-BE49-F238E27FC236}">
              <a16:creationId xmlns:a16="http://schemas.microsoft.com/office/drawing/2014/main" id="{5A22AC60-2FF0-4A5D-B0EF-B48A1B656B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" name="AutoShape 1" descr="Resultado de imagem para whirlpool logo">
          <a:extLst>
            <a:ext uri="{FF2B5EF4-FFF2-40B4-BE49-F238E27FC236}">
              <a16:creationId xmlns:a16="http://schemas.microsoft.com/office/drawing/2014/main" id="{39BE5CB9-B48E-4AE7-A5B0-CCEC596665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" name="AutoShape 1" descr="Resultado de imagem para whirlpool logo">
          <a:extLst>
            <a:ext uri="{FF2B5EF4-FFF2-40B4-BE49-F238E27FC236}">
              <a16:creationId xmlns:a16="http://schemas.microsoft.com/office/drawing/2014/main" id="{AA37E9EC-378A-4A8A-9EAF-07275C3014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" name="AutoShape 1" descr="Resultado de imagem para whirlpool logo">
          <a:extLst>
            <a:ext uri="{FF2B5EF4-FFF2-40B4-BE49-F238E27FC236}">
              <a16:creationId xmlns:a16="http://schemas.microsoft.com/office/drawing/2014/main" id="{E32E3277-D304-4139-90EC-BA2C0BE89A4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" name="AutoShape 1" descr="Resultado de imagem para whirlpool logo">
          <a:extLst>
            <a:ext uri="{FF2B5EF4-FFF2-40B4-BE49-F238E27FC236}">
              <a16:creationId xmlns:a16="http://schemas.microsoft.com/office/drawing/2014/main" id="{12D730EB-DE2F-4E8F-A90E-0C889F45D6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" name="AutoShape 1" descr="Resultado de imagem para whirlpool logo">
          <a:extLst>
            <a:ext uri="{FF2B5EF4-FFF2-40B4-BE49-F238E27FC236}">
              <a16:creationId xmlns:a16="http://schemas.microsoft.com/office/drawing/2014/main" id="{1C5C7CF4-3311-4516-A88E-96A7B62B57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6" name="AutoShape 1" descr="Resultado de imagem para whirlpool logo">
          <a:extLst>
            <a:ext uri="{FF2B5EF4-FFF2-40B4-BE49-F238E27FC236}">
              <a16:creationId xmlns:a16="http://schemas.microsoft.com/office/drawing/2014/main" id="{597C4890-C8B5-47B8-87B5-A0D4EA159AB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7" name="AutoShape 1" descr="Resultado de imagem para whirlpool logo">
          <a:extLst>
            <a:ext uri="{FF2B5EF4-FFF2-40B4-BE49-F238E27FC236}">
              <a16:creationId xmlns:a16="http://schemas.microsoft.com/office/drawing/2014/main" id="{202C6A2E-231C-4393-8B69-14A32B3172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8" name="AutoShape 1" descr="Resultado de imagem para whirlpool logo">
          <a:extLst>
            <a:ext uri="{FF2B5EF4-FFF2-40B4-BE49-F238E27FC236}">
              <a16:creationId xmlns:a16="http://schemas.microsoft.com/office/drawing/2014/main" id="{197226FC-F307-4A7E-83F0-74249FFC0E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9" name="AutoShape 1" descr="Resultado de imagem para whirlpool logo">
          <a:extLst>
            <a:ext uri="{FF2B5EF4-FFF2-40B4-BE49-F238E27FC236}">
              <a16:creationId xmlns:a16="http://schemas.microsoft.com/office/drawing/2014/main" id="{677EED70-71BE-4D86-B94D-F4375F41BA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0" name="AutoShape 1" descr="Resultado de imagem para whirlpool logo">
          <a:extLst>
            <a:ext uri="{FF2B5EF4-FFF2-40B4-BE49-F238E27FC236}">
              <a16:creationId xmlns:a16="http://schemas.microsoft.com/office/drawing/2014/main" id="{8D97F2C3-A99E-47BC-80A0-9D3BA2CAAC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1" name="AutoShape 1" descr="Resultado de imagem para whirlpool logo">
          <a:extLst>
            <a:ext uri="{FF2B5EF4-FFF2-40B4-BE49-F238E27FC236}">
              <a16:creationId xmlns:a16="http://schemas.microsoft.com/office/drawing/2014/main" id="{7209B58C-D951-4620-9DF1-55A26694FF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2" name="AutoShape 1" descr="Resultado de imagem para whirlpool logo">
          <a:extLst>
            <a:ext uri="{FF2B5EF4-FFF2-40B4-BE49-F238E27FC236}">
              <a16:creationId xmlns:a16="http://schemas.microsoft.com/office/drawing/2014/main" id="{78A7E25B-AF5E-4580-9A28-EBFCA46556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3" name="AutoShape 1" descr="Resultado de imagem para whirlpool logo">
          <a:extLst>
            <a:ext uri="{FF2B5EF4-FFF2-40B4-BE49-F238E27FC236}">
              <a16:creationId xmlns:a16="http://schemas.microsoft.com/office/drawing/2014/main" id="{72C34781-50BA-4C43-B874-8BAB844D24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4" name="AutoShape 1" descr="Resultado de imagem para whirlpool logo">
          <a:extLst>
            <a:ext uri="{FF2B5EF4-FFF2-40B4-BE49-F238E27FC236}">
              <a16:creationId xmlns:a16="http://schemas.microsoft.com/office/drawing/2014/main" id="{0C05E380-9E39-4AA6-9B29-55AB6831657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5" name="AutoShape 1" descr="Resultado de imagem para whirlpool logo">
          <a:extLst>
            <a:ext uri="{FF2B5EF4-FFF2-40B4-BE49-F238E27FC236}">
              <a16:creationId xmlns:a16="http://schemas.microsoft.com/office/drawing/2014/main" id="{CD32DEF0-E519-475A-A440-08D153C558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6" name="AutoShape 1" descr="Resultado de imagem para whirlpool logo">
          <a:extLst>
            <a:ext uri="{FF2B5EF4-FFF2-40B4-BE49-F238E27FC236}">
              <a16:creationId xmlns:a16="http://schemas.microsoft.com/office/drawing/2014/main" id="{B219A7A2-BA3A-4C89-9EA0-D8AD682AB6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7" name="AutoShape 1" descr="Resultado de imagem para whirlpool logo">
          <a:extLst>
            <a:ext uri="{FF2B5EF4-FFF2-40B4-BE49-F238E27FC236}">
              <a16:creationId xmlns:a16="http://schemas.microsoft.com/office/drawing/2014/main" id="{89F392F1-60E7-49DC-9726-D2AEBFCBD2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8" name="AutoShape 1" descr="Resultado de imagem para whirlpool logo">
          <a:extLst>
            <a:ext uri="{FF2B5EF4-FFF2-40B4-BE49-F238E27FC236}">
              <a16:creationId xmlns:a16="http://schemas.microsoft.com/office/drawing/2014/main" id="{17ADB98B-A990-4970-B889-F4EEE9636A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59" name="AutoShape 1" descr="Resultado de imagem para whirlpool logo">
          <a:extLst>
            <a:ext uri="{FF2B5EF4-FFF2-40B4-BE49-F238E27FC236}">
              <a16:creationId xmlns:a16="http://schemas.microsoft.com/office/drawing/2014/main" id="{5133C92E-CF6B-4A70-9D85-8D3B309D620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0" name="AutoShape 1" descr="Resultado de imagem para whirlpool logo">
          <a:extLst>
            <a:ext uri="{FF2B5EF4-FFF2-40B4-BE49-F238E27FC236}">
              <a16:creationId xmlns:a16="http://schemas.microsoft.com/office/drawing/2014/main" id="{A35F1EAE-EAD5-4DBA-B59F-98D724EA22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1" name="AutoShape 1" descr="Resultado de imagem para whirlpool logo">
          <a:extLst>
            <a:ext uri="{FF2B5EF4-FFF2-40B4-BE49-F238E27FC236}">
              <a16:creationId xmlns:a16="http://schemas.microsoft.com/office/drawing/2014/main" id="{D8A9F0CA-8977-46BC-8536-7EF87E73A80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2" name="AutoShape 1" descr="Resultado de imagem para whirlpool logo">
          <a:extLst>
            <a:ext uri="{FF2B5EF4-FFF2-40B4-BE49-F238E27FC236}">
              <a16:creationId xmlns:a16="http://schemas.microsoft.com/office/drawing/2014/main" id="{DB870C58-5FA2-445E-8787-49272D2D734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3" name="AutoShape 1" descr="Resultado de imagem para whirlpool logo">
          <a:extLst>
            <a:ext uri="{FF2B5EF4-FFF2-40B4-BE49-F238E27FC236}">
              <a16:creationId xmlns:a16="http://schemas.microsoft.com/office/drawing/2014/main" id="{4849C649-0DCB-438F-A4A8-7403EF830D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4" name="AutoShape 1" descr="Resultado de imagem para whirlpool logo">
          <a:extLst>
            <a:ext uri="{FF2B5EF4-FFF2-40B4-BE49-F238E27FC236}">
              <a16:creationId xmlns:a16="http://schemas.microsoft.com/office/drawing/2014/main" id="{DAD48BA7-6115-4660-B041-AA3C7B49C8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5" name="AutoShape 1" descr="Resultado de imagem para whirlpool logo">
          <a:extLst>
            <a:ext uri="{FF2B5EF4-FFF2-40B4-BE49-F238E27FC236}">
              <a16:creationId xmlns:a16="http://schemas.microsoft.com/office/drawing/2014/main" id="{222E78F6-E35A-49E3-892E-4033256442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6" name="AutoShape 1" descr="Resultado de imagem para whirlpool logo">
          <a:extLst>
            <a:ext uri="{FF2B5EF4-FFF2-40B4-BE49-F238E27FC236}">
              <a16:creationId xmlns:a16="http://schemas.microsoft.com/office/drawing/2014/main" id="{396EAAD5-54E6-4277-8A6C-2CAC48CD1E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7" name="AutoShape 1" descr="Resultado de imagem para whirlpool logo">
          <a:extLst>
            <a:ext uri="{FF2B5EF4-FFF2-40B4-BE49-F238E27FC236}">
              <a16:creationId xmlns:a16="http://schemas.microsoft.com/office/drawing/2014/main" id="{D8DD7D53-FEBE-48B4-9345-F9064C531E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8" name="AutoShape 1" descr="Resultado de imagem para whirlpool logo">
          <a:extLst>
            <a:ext uri="{FF2B5EF4-FFF2-40B4-BE49-F238E27FC236}">
              <a16:creationId xmlns:a16="http://schemas.microsoft.com/office/drawing/2014/main" id="{021745DD-1845-4396-9D05-89AAF537681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69" name="AutoShape 1" descr="Resultado de imagem para whirlpool logo">
          <a:extLst>
            <a:ext uri="{FF2B5EF4-FFF2-40B4-BE49-F238E27FC236}">
              <a16:creationId xmlns:a16="http://schemas.microsoft.com/office/drawing/2014/main" id="{4366A7C1-5AA6-4BED-85BE-D2CBE5E26A0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0" name="AutoShape 1" descr="Resultado de imagem para whirlpool logo">
          <a:extLst>
            <a:ext uri="{FF2B5EF4-FFF2-40B4-BE49-F238E27FC236}">
              <a16:creationId xmlns:a16="http://schemas.microsoft.com/office/drawing/2014/main" id="{E067B875-AB36-4C17-8FDC-9F0777796B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1" name="AutoShape 1" descr="Resultado de imagem para whirlpool logo">
          <a:extLst>
            <a:ext uri="{FF2B5EF4-FFF2-40B4-BE49-F238E27FC236}">
              <a16:creationId xmlns:a16="http://schemas.microsoft.com/office/drawing/2014/main" id="{407E6FB4-1E41-43B6-A582-FFA37F7E91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272" name="AutoShape 1" descr="Resultado de imagem para whirlpool logo">
          <a:extLst>
            <a:ext uri="{FF2B5EF4-FFF2-40B4-BE49-F238E27FC236}">
              <a16:creationId xmlns:a16="http://schemas.microsoft.com/office/drawing/2014/main" id="{B87D3C0D-0A4E-4197-91F3-DFA76DB3E0B3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3" name="AutoShape 1" descr="Resultado de imagem para whirlpool logo">
          <a:extLst>
            <a:ext uri="{FF2B5EF4-FFF2-40B4-BE49-F238E27FC236}">
              <a16:creationId xmlns:a16="http://schemas.microsoft.com/office/drawing/2014/main" id="{D2B3B0E4-5C91-46C0-95F3-E0C43C86203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4" name="AutoShape 1" descr="Resultado de imagem para whirlpool logo">
          <a:extLst>
            <a:ext uri="{FF2B5EF4-FFF2-40B4-BE49-F238E27FC236}">
              <a16:creationId xmlns:a16="http://schemas.microsoft.com/office/drawing/2014/main" id="{F21A3E88-9023-433D-B62C-E6023C080B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5" name="AutoShape 1" descr="Resultado de imagem para whirlpool logo">
          <a:extLst>
            <a:ext uri="{FF2B5EF4-FFF2-40B4-BE49-F238E27FC236}">
              <a16:creationId xmlns:a16="http://schemas.microsoft.com/office/drawing/2014/main" id="{56462EA7-1545-4DD1-ADD7-9E029992A3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6" name="AutoShape 1" descr="Resultado de imagem para whirlpool logo">
          <a:extLst>
            <a:ext uri="{FF2B5EF4-FFF2-40B4-BE49-F238E27FC236}">
              <a16:creationId xmlns:a16="http://schemas.microsoft.com/office/drawing/2014/main" id="{73915655-33AD-4705-B38B-4E0183C5111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7" name="AutoShape 1" descr="Resultado de imagem para whirlpool logo">
          <a:extLst>
            <a:ext uri="{FF2B5EF4-FFF2-40B4-BE49-F238E27FC236}">
              <a16:creationId xmlns:a16="http://schemas.microsoft.com/office/drawing/2014/main" id="{D87F3299-CE37-4444-A043-0A42934B84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8" name="AutoShape 1" descr="Resultado de imagem para whirlpool logo">
          <a:extLst>
            <a:ext uri="{FF2B5EF4-FFF2-40B4-BE49-F238E27FC236}">
              <a16:creationId xmlns:a16="http://schemas.microsoft.com/office/drawing/2014/main" id="{63EA3EAD-9290-44AF-9A1D-14B6933EDF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79" name="AutoShape 1" descr="Resultado de imagem para whirlpool logo">
          <a:extLst>
            <a:ext uri="{FF2B5EF4-FFF2-40B4-BE49-F238E27FC236}">
              <a16:creationId xmlns:a16="http://schemas.microsoft.com/office/drawing/2014/main" id="{4EEFF88E-FCF2-4691-A686-7D84049B10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0" name="AutoShape 1" descr="Resultado de imagem para whirlpool logo">
          <a:extLst>
            <a:ext uri="{FF2B5EF4-FFF2-40B4-BE49-F238E27FC236}">
              <a16:creationId xmlns:a16="http://schemas.microsoft.com/office/drawing/2014/main" id="{7A26160E-0C68-458D-A47C-B5ACEA6C6AF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1" name="AutoShape 1" descr="Resultado de imagem para whirlpool logo">
          <a:extLst>
            <a:ext uri="{FF2B5EF4-FFF2-40B4-BE49-F238E27FC236}">
              <a16:creationId xmlns:a16="http://schemas.microsoft.com/office/drawing/2014/main" id="{887DAAA0-8562-42D3-A44D-EF7AB1BE3D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2" name="AutoShape 1" descr="Resultado de imagem para whirlpool logo">
          <a:extLst>
            <a:ext uri="{FF2B5EF4-FFF2-40B4-BE49-F238E27FC236}">
              <a16:creationId xmlns:a16="http://schemas.microsoft.com/office/drawing/2014/main" id="{A6E17897-6F25-4212-BEEA-12A1E6F764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3" name="AutoShape 1" descr="Resultado de imagem para whirlpool logo">
          <a:extLst>
            <a:ext uri="{FF2B5EF4-FFF2-40B4-BE49-F238E27FC236}">
              <a16:creationId xmlns:a16="http://schemas.microsoft.com/office/drawing/2014/main" id="{F3F3D0B3-C994-406B-97D4-E2FD668A5D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4" name="AutoShape 1" descr="Resultado de imagem para whirlpool logo">
          <a:extLst>
            <a:ext uri="{FF2B5EF4-FFF2-40B4-BE49-F238E27FC236}">
              <a16:creationId xmlns:a16="http://schemas.microsoft.com/office/drawing/2014/main" id="{736A51E0-C3E2-4A08-87E8-652C5958BF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5" name="AutoShape 1" descr="Resultado de imagem para whirlpool logo">
          <a:extLst>
            <a:ext uri="{FF2B5EF4-FFF2-40B4-BE49-F238E27FC236}">
              <a16:creationId xmlns:a16="http://schemas.microsoft.com/office/drawing/2014/main" id="{A34C6DC4-24E8-416E-B548-391C00F68C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6" name="AutoShape 1" descr="Resultado de imagem para whirlpool logo">
          <a:extLst>
            <a:ext uri="{FF2B5EF4-FFF2-40B4-BE49-F238E27FC236}">
              <a16:creationId xmlns:a16="http://schemas.microsoft.com/office/drawing/2014/main" id="{2FAADD3F-EA26-42AD-867A-A114BE324C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7" name="AutoShape 1" descr="Resultado de imagem para whirlpool logo">
          <a:extLst>
            <a:ext uri="{FF2B5EF4-FFF2-40B4-BE49-F238E27FC236}">
              <a16:creationId xmlns:a16="http://schemas.microsoft.com/office/drawing/2014/main" id="{D383F03E-472D-40FB-8D20-23DF78650B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8" name="AutoShape 1" descr="Resultado de imagem para whirlpool logo">
          <a:extLst>
            <a:ext uri="{FF2B5EF4-FFF2-40B4-BE49-F238E27FC236}">
              <a16:creationId xmlns:a16="http://schemas.microsoft.com/office/drawing/2014/main" id="{1D275D3F-F964-4553-ACBC-330A8153269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89" name="AutoShape 1" descr="Resultado de imagem para whirlpool logo">
          <a:extLst>
            <a:ext uri="{FF2B5EF4-FFF2-40B4-BE49-F238E27FC236}">
              <a16:creationId xmlns:a16="http://schemas.microsoft.com/office/drawing/2014/main" id="{85B992E6-2E8C-44DD-8711-AB08CF94D0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0" name="AutoShape 1" descr="Resultado de imagem para whirlpool logo">
          <a:extLst>
            <a:ext uri="{FF2B5EF4-FFF2-40B4-BE49-F238E27FC236}">
              <a16:creationId xmlns:a16="http://schemas.microsoft.com/office/drawing/2014/main" id="{77A9A130-B646-41E3-86D7-05676950E4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1" name="AutoShape 1" descr="Resultado de imagem para whirlpool logo">
          <a:extLst>
            <a:ext uri="{FF2B5EF4-FFF2-40B4-BE49-F238E27FC236}">
              <a16:creationId xmlns:a16="http://schemas.microsoft.com/office/drawing/2014/main" id="{72DC99C5-B39A-4589-86FD-44379394FC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2" name="AutoShape 1" descr="Resultado de imagem para whirlpool logo">
          <a:extLst>
            <a:ext uri="{FF2B5EF4-FFF2-40B4-BE49-F238E27FC236}">
              <a16:creationId xmlns:a16="http://schemas.microsoft.com/office/drawing/2014/main" id="{2EA7F2BC-00B7-45F8-8099-0328579F9D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3" name="AutoShape 1" descr="Resultado de imagem para whirlpool logo">
          <a:extLst>
            <a:ext uri="{FF2B5EF4-FFF2-40B4-BE49-F238E27FC236}">
              <a16:creationId xmlns:a16="http://schemas.microsoft.com/office/drawing/2014/main" id="{F9DFAF4A-BA0B-4BF9-93D3-758271BFE7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4" name="AutoShape 1" descr="Resultado de imagem para whirlpool logo">
          <a:extLst>
            <a:ext uri="{FF2B5EF4-FFF2-40B4-BE49-F238E27FC236}">
              <a16:creationId xmlns:a16="http://schemas.microsoft.com/office/drawing/2014/main" id="{703D12FE-1728-4C68-A332-D7F39A5775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5" name="AutoShape 1" descr="Resultado de imagem para whirlpool logo">
          <a:extLst>
            <a:ext uri="{FF2B5EF4-FFF2-40B4-BE49-F238E27FC236}">
              <a16:creationId xmlns:a16="http://schemas.microsoft.com/office/drawing/2014/main" id="{4773CB1F-ACE4-4C54-ABEA-160CE88AE8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6" name="AutoShape 1" descr="Resultado de imagem para whirlpool logo">
          <a:extLst>
            <a:ext uri="{FF2B5EF4-FFF2-40B4-BE49-F238E27FC236}">
              <a16:creationId xmlns:a16="http://schemas.microsoft.com/office/drawing/2014/main" id="{B147F6F7-049A-470A-8987-5DCCAA1ADD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7" name="AutoShape 1" descr="Resultado de imagem para whirlpool logo">
          <a:extLst>
            <a:ext uri="{FF2B5EF4-FFF2-40B4-BE49-F238E27FC236}">
              <a16:creationId xmlns:a16="http://schemas.microsoft.com/office/drawing/2014/main" id="{31DD0B89-1B0D-41C2-9C93-D01C283931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298" name="AutoShape 1" descr="Resultado de imagem para whirlpool logo">
          <a:extLst>
            <a:ext uri="{FF2B5EF4-FFF2-40B4-BE49-F238E27FC236}">
              <a16:creationId xmlns:a16="http://schemas.microsoft.com/office/drawing/2014/main" id="{E3EAD169-BA74-44CF-B1BE-7301C9FB851A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99" name="AutoShape 1" descr="Resultado de imagem para whirlpool logo">
          <a:extLst>
            <a:ext uri="{FF2B5EF4-FFF2-40B4-BE49-F238E27FC236}">
              <a16:creationId xmlns:a16="http://schemas.microsoft.com/office/drawing/2014/main" id="{CBF24078-D0E7-4C4A-A5F0-5A4776D7E0D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0" name="AutoShape 1" descr="Resultado de imagem para whirlpool logo">
          <a:extLst>
            <a:ext uri="{FF2B5EF4-FFF2-40B4-BE49-F238E27FC236}">
              <a16:creationId xmlns:a16="http://schemas.microsoft.com/office/drawing/2014/main" id="{52A5E922-2A36-4F33-A9FC-D0A14BA760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1" name="AutoShape 1" descr="Resultado de imagem para whirlpool logo">
          <a:extLst>
            <a:ext uri="{FF2B5EF4-FFF2-40B4-BE49-F238E27FC236}">
              <a16:creationId xmlns:a16="http://schemas.microsoft.com/office/drawing/2014/main" id="{F7A982E1-1EA7-4609-92E6-BAA1D835E2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2" name="AutoShape 1" descr="Resultado de imagem para whirlpool logo">
          <a:extLst>
            <a:ext uri="{FF2B5EF4-FFF2-40B4-BE49-F238E27FC236}">
              <a16:creationId xmlns:a16="http://schemas.microsoft.com/office/drawing/2014/main" id="{237C0082-D2CB-4E88-9F36-1F7AB02456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3" name="AutoShape 1" descr="Resultado de imagem para whirlpool logo">
          <a:extLst>
            <a:ext uri="{FF2B5EF4-FFF2-40B4-BE49-F238E27FC236}">
              <a16:creationId xmlns:a16="http://schemas.microsoft.com/office/drawing/2014/main" id="{76E8CCB6-4402-4522-8760-413C3C9DCD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4" name="AutoShape 1" descr="Resultado de imagem para whirlpool logo">
          <a:extLst>
            <a:ext uri="{FF2B5EF4-FFF2-40B4-BE49-F238E27FC236}">
              <a16:creationId xmlns:a16="http://schemas.microsoft.com/office/drawing/2014/main" id="{C0B9F785-5F07-4B50-B2F5-1FBE398AF6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5" name="AutoShape 1" descr="Resultado de imagem para whirlpool logo">
          <a:extLst>
            <a:ext uri="{FF2B5EF4-FFF2-40B4-BE49-F238E27FC236}">
              <a16:creationId xmlns:a16="http://schemas.microsoft.com/office/drawing/2014/main" id="{723F20FA-10CE-463E-B035-6B90FC8306B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6" name="AutoShape 1" descr="Resultado de imagem para whirlpool logo">
          <a:extLst>
            <a:ext uri="{FF2B5EF4-FFF2-40B4-BE49-F238E27FC236}">
              <a16:creationId xmlns:a16="http://schemas.microsoft.com/office/drawing/2014/main" id="{59FB0212-AE73-4635-8898-D223CFE166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7" name="AutoShape 1" descr="Resultado de imagem para whirlpool logo">
          <a:extLst>
            <a:ext uri="{FF2B5EF4-FFF2-40B4-BE49-F238E27FC236}">
              <a16:creationId xmlns:a16="http://schemas.microsoft.com/office/drawing/2014/main" id="{DA34F857-953B-4AAC-943B-7BDC362BC0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8" name="AutoShape 1" descr="Resultado de imagem para whirlpool logo">
          <a:extLst>
            <a:ext uri="{FF2B5EF4-FFF2-40B4-BE49-F238E27FC236}">
              <a16:creationId xmlns:a16="http://schemas.microsoft.com/office/drawing/2014/main" id="{E8D878B9-593F-4F15-924C-994F579E88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09" name="AutoShape 1" descr="Resultado de imagem para whirlpool logo">
          <a:extLst>
            <a:ext uri="{FF2B5EF4-FFF2-40B4-BE49-F238E27FC236}">
              <a16:creationId xmlns:a16="http://schemas.microsoft.com/office/drawing/2014/main" id="{565EC25F-304B-41DC-9562-56F444BC233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0" name="AutoShape 1" descr="Resultado de imagem para whirlpool logo">
          <a:extLst>
            <a:ext uri="{FF2B5EF4-FFF2-40B4-BE49-F238E27FC236}">
              <a16:creationId xmlns:a16="http://schemas.microsoft.com/office/drawing/2014/main" id="{68C4BC0D-617D-4723-A6E6-AF32411B790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1" name="AutoShape 1" descr="Resultado de imagem para whirlpool logo">
          <a:extLst>
            <a:ext uri="{FF2B5EF4-FFF2-40B4-BE49-F238E27FC236}">
              <a16:creationId xmlns:a16="http://schemas.microsoft.com/office/drawing/2014/main" id="{872D732C-A5E7-49E5-9D82-89ECEEE4C7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2" name="AutoShape 1" descr="Resultado de imagem para whirlpool logo">
          <a:extLst>
            <a:ext uri="{FF2B5EF4-FFF2-40B4-BE49-F238E27FC236}">
              <a16:creationId xmlns:a16="http://schemas.microsoft.com/office/drawing/2014/main" id="{659CD55E-79A5-4176-BB61-103FA00CBC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3" name="AutoShape 1" descr="Resultado de imagem para whirlpool logo">
          <a:extLst>
            <a:ext uri="{FF2B5EF4-FFF2-40B4-BE49-F238E27FC236}">
              <a16:creationId xmlns:a16="http://schemas.microsoft.com/office/drawing/2014/main" id="{E656ECB0-5D1E-40AE-809D-1625F57313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4" name="AutoShape 1" descr="Resultado de imagem para whirlpool logo">
          <a:extLst>
            <a:ext uri="{FF2B5EF4-FFF2-40B4-BE49-F238E27FC236}">
              <a16:creationId xmlns:a16="http://schemas.microsoft.com/office/drawing/2014/main" id="{0BC6BD8E-3D1A-4AF8-96F9-3E7AF7C898A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5" name="AutoShape 1" descr="Resultado de imagem para whirlpool logo">
          <a:extLst>
            <a:ext uri="{FF2B5EF4-FFF2-40B4-BE49-F238E27FC236}">
              <a16:creationId xmlns:a16="http://schemas.microsoft.com/office/drawing/2014/main" id="{6909A349-9F7E-4839-A108-AA533448F72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6" name="AutoShape 1" descr="Resultado de imagem para whirlpool logo">
          <a:extLst>
            <a:ext uri="{FF2B5EF4-FFF2-40B4-BE49-F238E27FC236}">
              <a16:creationId xmlns:a16="http://schemas.microsoft.com/office/drawing/2014/main" id="{6F34F79B-F4AC-4285-BBDE-A3E9554C71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7" name="AutoShape 1" descr="Resultado de imagem para whirlpool logo">
          <a:extLst>
            <a:ext uri="{FF2B5EF4-FFF2-40B4-BE49-F238E27FC236}">
              <a16:creationId xmlns:a16="http://schemas.microsoft.com/office/drawing/2014/main" id="{BE59E49D-FD9F-4712-82D4-E961759225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8" name="AutoShape 1" descr="Resultado de imagem para whirlpool logo">
          <a:extLst>
            <a:ext uri="{FF2B5EF4-FFF2-40B4-BE49-F238E27FC236}">
              <a16:creationId xmlns:a16="http://schemas.microsoft.com/office/drawing/2014/main" id="{176A4F2D-945C-4AB5-97D0-DDF9ECE38D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19" name="AutoShape 1" descr="Resultado de imagem para whirlpool logo">
          <a:extLst>
            <a:ext uri="{FF2B5EF4-FFF2-40B4-BE49-F238E27FC236}">
              <a16:creationId xmlns:a16="http://schemas.microsoft.com/office/drawing/2014/main" id="{4F98E914-B852-4D81-8731-2AD0AC5EBC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0" name="AutoShape 1" descr="Resultado de imagem para whirlpool logo">
          <a:extLst>
            <a:ext uri="{FF2B5EF4-FFF2-40B4-BE49-F238E27FC236}">
              <a16:creationId xmlns:a16="http://schemas.microsoft.com/office/drawing/2014/main" id="{B71FF0DF-3D82-4CAA-8BBA-F4BF7602C2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1" name="AutoShape 1" descr="Resultado de imagem para whirlpool logo">
          <a:extLst>
            <a:ext uri="{FF2B5EF4-FFF2-40B4-BE49-F238E27FC236}">
              <a16:creationId xmlns:a16="http://schemas.microsoft.com/office/drawing/2014/main" id="{873B0784-9295-4F35-9BC6-5D6BAEB419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2" name="AutoShape 1" descr="Resultado de imagem para whirlpool logo">
          <a:extLst>
            <a:ext uri="{FF2B5EF4-FFF2-40B4-BE49-F238E27FC236}">
              <a16:creationId xmlns:a16="http://schemas.microsoft.com/office/drawing/2014/main" id="{8C39FDF0-0BDF-4CDB-B968-D27D83F324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3" name="AutoShape 1" descr="Resultado de imagem para whirlpool logo">
          <a:extLst>
            <a:ext uri="{FF2B5EF4-FFF2-40B4-BE49-F238E27FC236}">
              <a16:creationId xmlns:a16="http://schemas.microsoft.com/office/drawing/2014/main" id="{75F0A664-BC00-4FB6-A44F-76DF9FC2DF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4" name="AutoShape 1" descr="Resultado de imagem para whirlpool logo">
          <a:extLst>
            <a:ext uri="{FF2B5EF4-FFF2-40B4-BE49-F238E27FC236}">
              <a16:creationId xmlns:a16="http://schemas.microsoft.com/office/drawing/2014/main" id="{AF612BAB-1B72-445E-96B4-42F8743F1E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5" name="AutoShape 1" descr="Resultado de imagem para whirlpool logo">
          <a:extLst>
            <a:ext uri="{FF2B5EF4-FFF2-40B4-BE49-F238E27FC236}">
              <a16:creationId xmlns:a16="http://schemas.microsoft.com/office/drawing/2014/main" id="{C7A5CE45-AEA1-474E-A2BA-CB1F8950C3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6" name="AutoShape 1" descr="Resultado de imagem para whirlpool logo">
          <a:extLst>
            <a:ext uri="{FF2B5EF4-FFF2-40B4-BE49-F238E27FC236}">
              <a16:creationId xmlns:a16="http://schemas.microsoft.com/office/drawing/2014/main" id="{A520E266-4B2E-419C-950B-9415D87619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7" name="AutoShape 1" descr="Resultado de imagem para whirlpool logo">
          <a:extLst>
            <a:ext uri="{FF2B5EF4-FFF2-40B4-BE49-F238E27FC236}">
              <a16:creationId xmlns:a16="http://schemas.microsoft.com/office/drawing/2014/main" id="{C91F25CF-A043-4CC9-8322-1F80763E03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328" name="AutoShape 1" descr="Resultado de imagem para whirlpool logo">
          <a:extLst>
            <a:ext uri="{FF2B5EF4-FFF2-40B4-BE49-F238E27FC236}">
              <a16:creationId xmlns:a16="http://schemas.microsoft.com/office/drawing/2014/main" id="{DFA12E31-71D4-40D9-B33F-18181D83C992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29" name="AutoShape 1" descr="Resultado de imagem para whirlpool logo">
          <a:extLst>
            <a:ext uri="{FF2B5EF4-FFF2-40B4-BE49-F238E27FC236}">
              <a16:creationId xmlns:a16="http://schemas.microsoft.com/office/drawing/2014/main" id="{C06EED03-EA51-4683-9717-A6C49AE4D7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0" name="AutoShape 1" descr="Resultado de imagem para whirlpool logo">
          <a:extLst>
            <a:ext uri="{FF2B5EF4-FFF2-40B4-BE49-F238E27FC236}">
              <a16:creationId xmlns:a16="http://schemas.microsoft.com/office/drawing/2014/main" id="{CE68AD6B-32E6-4ABB-87D9-C2A5D14F82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1" name="AutoShape 1" descr="Resultado de imagem para whirlpool logo">
          <a:extLst>
            <a:ext uri="{FF2B5EF4-FFF2-40B4-BE49-F238E27FC236}">
              <a16:creationId xmlns:a16="http://schemas.microsoft.com/office/drawing/2014/main" id="{61FD9806-11B7-46FF-B19F-9B9D8264BA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2" name="AutoShape 1" descr="Resultado de imagem para whirlpool logo">
          <a:extLst>
            <a:ext uri="{FF2B5EF4-FFF2-40B4-BE49-F238E27FC236}">
              <a16:creationId xmlns:a16="http://schemas.microsoft.com/office/drawing/2014/main" id="{B4E89DE2-5BB3-448D-A9E9-BE1FED08FA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3" name="AutoShape 1" descr="Resultado de imagem para whirlpool logo">
          <a:extLst>
            <a:ext uri="{FF2B5EF4-FFF2-40B4-BE49-F238E27FC236}">
              <a16:creationId xmlns:a16="http://schemas.microsoft.com/office/drawing/2014/main" id="{D4F66A8E-9ADA-41D7-87EE-A3A210E96C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4" name="AutoShape 1" descr="Resultado de imagem para whirlpool logo">
          <a:extLst>
            <a:ext uri="{FF2B5EF4-FFF2-40B4-BE49-F238E27FC236}">
              <a16:creationId xmlns:a16="http://schemas.microsoft.com/office/drawing/2014/main" id="{2AE619FF-E2D2-4BDD-B41A-483CAC095A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5" name="AutoShape 1" descr="Resultado de imagem para whirlpool logo">
          <a:extLst>
            <a:ext uri="{FF2B5EF4-FFF2-40B4-BE49-F238E27FC236}">
              <a16:creationId xmlns:a16="http://schemas.microsoft.com/office/drawing/2014/main" id="{03AD104D-AFEB-4AD5-BFA5-6433A404830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6" name="AutoShape 1" descr="Resultado de imagem para whirlpool logo">
          <a:extLst>
            <a:ext uri="{FF2B5EF4-FFF2-40B4-BE49-F238E27FC236}">
              <a16:creationId xmlns:a16="http://schemas.microsoft.com/office/drawing/2014/main" id="{78E30511-E4EF-4976-BE68-6927C73477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7" name="AutoShape 1" descr="Resultado de imagem para whirlpool logo">
          <a:extLst>
            <a:ext uri="{FF2B5EF4-FFF2-40B4-BE49-F238E27FC236}">
              <a16:creationId xmlns:a16="http://schemas.microsoft.com/office/drawing/2014/main" id="{0B3279C0-ADA6-4562-8654-3A2448152F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8" name="AutoShape 1" descr="Resultado de imagem para whirlpool logo">
          <a:extLst>
            <a:ext uri="{FF2B5EF4-FFF2-40B4-BE49-F238E27FC236}">
              <a16:creationId xmlns:a16="http://schemas.microsoft.com/office/drawing/2014/main" id="{2DB1F367-D7B3-4BAA-861F-AA30F49E637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39" name="AutoShape 1" descr="Resultado de imagem para whirlpool logo">
          <a:extLst>
            <a:ext uri="{FF2B5EF4-FFF2-40B4-BE49-F238E27FC236}">
              <a16:creationId xmlns:a16="http://schemas.microsoft.com/office/drawing/2014/main" id="{F850B73C-9518-479B-AF7B-20EF4ACDB5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0" name="AutoShape 1" descr="Resultado de imagem para whirlpool logo">
          <a:extLst>
            <a:ext uri="{FF2B5EF4-FFF2-40B4-BE49-F238E27FC236}">
              <a16:creationId xmlns:a16="http://schemas.microsoft.com/office/drawing/2014/main" id="{987012DF-7B8F-41FB-A5E3-816C2D488D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1" name="AutoShape 1" descr="Resultado de imagem para whirlpool logo">
          <a:extLst>
            <a:ext uri="{FF2B5EF4-FFF2-40B4-BE49-F238E27FC236}">
              <a16:creationId xmlns:a16="http://schemas.microsoft.com/office/drawing/2014/main" id="{83F476D2-DC29-43FA-8DB1-C802262BE6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2" name="AutoShape 1" descr="Resultado de imagem para whirlpool logo">
          <a:extLst>
            <a:ext uri="{FF2B5EF4-FFF2-40B4-BE49-F238E27FC236}">
              <a16:creationId xmlns:a16="http://schemas.microsoft.com/office/drawing/2014/main" id="{6FDECCC6-36DA-4225-95AA-D2D084DF789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3" name="AutoShape 1" descr="Resultado de imagem para whirlpool logo">
          <a:extLst>
            <a:ext uri="{FF2B5EF4-FFF2-40B4-BE49-F238E27FC236}">
              <a16:creationId xmlns:a16="http://schemas.microsoft.com/office/drawing/2014/main" id="{BECE90A0-23C5-43A6-94BF-926E4A2218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4" name="AutoShape 1" descr="Resultado de imagem para whirlpool logo">
          <a:extLst>
            <a:ext uri="{FF2B5EF4-FFF2-40B4-BE49-F238E27FC236}">
              <a16:creationId xmlns:a16="http://schemas.microsoft.com/office/drawing/2014/main" id="{90ABCF95-D428-4B70-BB5D-E0107A4460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5" name="AutoShape 1" descr="Resultado de imagem para whirlpool logo">
          <a:extLst>
            <a:ext uri="{FF2B5EF4-FFF2-40B4-BE49-F238E27FC236}">
              <a16:creationId xmlns:a16="http://schemas.microsoft.com/office/drawing/2014/main" id="{FDF8F6D2-31F7-4F01-8C17-112FE805F9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6" name="AutoShape 1" descr="Resultado de imagem para whirlpool logo">
          <a:extLst>
            <a:ext uri="{FF2B5EF4-FFF2-40B4-BE49-F238E27FC236}">
              <a16:creationId xmlns:a16="http://schemas.microsoft.com/office/drawing/2014/main" id="{B95D7DD4-5912-4DB5-9F74-B861AFF952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7" name="AutoShape 1" descr="Resultado de imagem para whirlpool logo">
          <a:extLst>
            <a:ext uri="{FF2B5EF4-FFF2-40B4-BE49-F238E27FC236}">
              <a16:creationId xmlns:a16="http://schemas.microsoft.com/office/drawing/2014/main" id="{29CC9E2D-6843-4DBD-A0D9-2F00091277F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8" name="AutoShape 1" descr="Resultado de imagem para whirlpool logo">
          <a:extLst>
            <a:ext uri="{FF2B5EF4-FFF2-40B4-BE49-F238E27FC236}">
              <a16:creationId xmlns:a16="http://schemas.microsoft.com/office/drawing/2014/main" id="{10F822B6-BACA-4EF6-A234-6E0AC987CC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49" name="AutoShape 1" descr="Resultado de imagem para whirlpool logo">
          <a:extLst>
            <a:ext uri="{FF2B5EF4-FFF2-40B4-BE49-F238E27FC236}">
              <a16:creationId xmlns:a16="http://schemas.microsoft.com/office/drawing/2014/main" id="{20F1E976-D374-4CC5-84CE-A4A7D00B5A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0" name="AutoShape 1" descr="Resultado de imagem para whirlpool logo">
          <a:extLst>
            <a:ext uri="{FF2B5EF4-FFF2-40B4-BE49-F238E27FC236}">
              <a16:creationId xmlns:a16="http://schemas.microsoft.com/office/drawing/2014/main" id="{429A69E4-CD45-411F-87B6-11F7A9A029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1" name="AutoShape 1" descr="Resultado de imagem para whirlpool logo">
          <a:extLst>
            <a:ext uri="{FF2B5EF4-FFF2-40B4-BE49-F238E27FC236}">
              <a16:creationId xmlns:a16="http://schemas.microsoft.com/office/drawing/2014/main" id="{CD41FCBA-70E5-49BB-875D-463323912E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2" name="AutoShape 1" descr="Resultado de imagem para whirlpool logo">
          <a:extLst>
            <a:ext uri="{FF2B5EF4-FFF2-40B4-BE49-F238E27FC236}">
              <a16:creationId xmlns:a16="http://schemas.microsoft.com/office/drawing/2014/main" id="{25C14596-4123-49E6-B7B1-EB081E7252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3" name="AutoShape 1" descr="Resultado de imagem para whirlpool logo">
          <a:extLst>
            <a:ext uri="{FF2B5EF4-FFF2-40B4-BE49-F238E27FC236}">
              <a16:creationId xmlns:a16="http://schemas.microsoft.com/office/drawing/2014/main" id="{8D4145D2-41E2-44B0-AD56-03282526BC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4" name="AutoShape 1" descr="Resultado de imagem para whirlpool logo">
          <a:extLst>
            <a:ext uri="{FF2B5EF4-FFF2-40B4-BE49-F238E27FC236}">
              <a16:creationId xmlns:a16="http://schemas.microsoft.com/office/drawing/2014/main" id="{A6F5ECD7-0BB5-4AD6-A6AE-DB2A20F479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5" name="AutoShape 1" descr="Resultado de imagem para whirlpool logo">
          <a:extLst>
            <a:ext uri="{FF2B5EF4-FFF2-40B4-BE49-F238E27FC236}">
              <a16:creationId xmlns:a16="http://schemas.microsoft.com/office/drawing/2014/main" id="{45DAB320-0180-4674-A45E-D358AE5D03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6" name="AutoShape 1" descr="Resultado de imagem para whirlpool logo">
          <a:extLst>
            <a:ext uri="{FF2B5EF4-FFF2-40B4-BE49-F238E27FC236}">
              <a16:creationId xmlns:a16="http://schemas.microsoft.com/office/drawing/2014/main" id="{81A37E71-EB83-4660-8E62-A1870F0737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7" name="AutoShape 1" descr="Resultado de imagem para whirlpool logo">
          <a:extLst>
            <a:ext uri="{FF2B5EF4-FFF2-40B4-BE49-F238E27FC236}">
              <a16:creationId xmlns:a16="http://schemas.microsoft.com/office/drawing/2014/main" id="{0159C3C2-D275-4A65-974C-0E3E948D0CB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8" name="AutoShape 1" descr="Resultado de imagem para whirlpool logo">
          <a:extLst>
            <a:ext uri="{FF2B5EF4-FFF2-40B4-BE49-F238E27FC236}">
              <a16:creationId xmlns:a16="http://schemas.microsoft.com/office/drawing/2014/main" id="{7D23F567-AD65-4E9D-8592-AD0EB6FF20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59" name="AutoShape 1" descr="Resultado de imagem para whirlpool logo">
          <a:extLst>
            <a:ext uri="{FF2B5EF4-FFF2-40B4-BE49-F238E27FC236}">
              <a16:creationId xmlns:a16="http://schemas.microsoft.com/office/drawing/2014/main" id="{685BA030-BB4A-4088-9FE0-9BB5DFA663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0" name="AutoShape 1" descr="Resultado de imagem para whirlpool logo">
          <a:extLst>
            <a:ext uri="{FF2B5EF4-FFF2-40B4-BE49-F238E27FC236}">
              <a16:creationId xmlns:a16="http://schemas.microsoft.com/office/drawing/2014/main" id="{265836C7-3096-4A12-8B05-7B63EC22C1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1" name="AutoShape 1" descr="Resultado de imagem para whirlpool logo">
          <a:extLst>
            <a:ext uri="{FF2B5EF4-FFF2-40B4-BE49-F238E27FC236}">
              <a16:creationId xmlns:a16="http://schemas.microsoft.com/office/drawing/2014/main" id="{551A786E-B825-469B-AA13-0790299276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2" name="AutoShape 1" descr="Resultado de imagem para whirlpool logo">
          <a:extLst>
            <a:ext uri="{FF2B5EF4-FFF2-40B4-BE49-F238E27FC236}">
              <a16:creationId xmlns:a16="http://schemas.microsoft.com/office/drawing/2014/main" id="{694C0726-91FA-47A6-AB42-4C9BF63677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3" name="AutoShape 1" descr="Resultado de imagem para whirlpool logo">
          <a:extLst>
            <a:ext uri="{FF2B5EF4-FFF2-40B4-BE49-F238E27FC236}">
              <a16:creationId xmlns:a16="http://schemas.microsoft.com/office/drawing/2014/main" id="{62DA8E96-20AA-466C-82F4-E3735E0A69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4" name="AutoShape 1" descr="Resultado de imagem para whirlpool logo">
          <a:extLst>
            <a:ext uri="{FF2B5EF4-FFF2-40B4-BE49-F238E27FC236}">
              <a16:creationId xmlns:a16="http://schemas.microsoft.com/office/drawing/2014/main" id="{AE17A542-1BCE-4980-9A00-EA74234290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5" name="AutoShape 1" descr="Resultado de imagem para whirlpool logo">
          <a:extLst>
            <a:ext uri="{FF2B5EF4-FFF2-40B4-BE49-F238E27FC236}">
              <a16:creationId xmlns:a16="http://schemas.microsoft.com/office/drawing/2014/main" id="{02B3E54C-BE34-4D48-AB42-34C81F2B81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6" name="AutoShape 1" descr="Resultado de imagem para whirlpool logo">
          <a:extLst>
            <a:ext uri="{FF2B5EF4-FFF2-40B4-BE49-F238E27FC236}">
              <a16:creationId xmlns:a16="http://schemas.microsoft.com/office/drawing/2014/main" id="{374EE4F0-BFD4-468F-9783-4FCDB1FEC3D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7" name="AutoShape 1" descr="Resultado de imagem para whirlpool logo">
          <a:extLst>
            <a:ext uri="{FF2B5EF4-FFF2-40B4-BE49-F238E27FC236}">
              <a16:creationId xmlns:a16="http://schemas.microsoft.com/office/drawing/2014/main" id="{FE6424A9-25D6-47AC-9153-8033DF93C2E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8" name="AutoShape 1" descr="Resultado de imagem para whirlpool logo">
          <a:extLst>
            <a:ext uri="{FF2B5EF4-FFF2-40B4-BE49-F238E27FC236}">
              <a16:creationId xmlns:a16="http://schemas.microsoft.com/office/drawing/2014/main" id="{65A4558E-A213-4634-AB4E-148764C95A0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69" name="AutoShape 1" descr="Resultado de imagem para whirlpool logo">
          <a:extLst>
            <a:ext uri="{FF2B5EF4-FFF2-40B4-BE49-F238E27FC236}">
              <a16:creationId xmlns:a16="http://schemas.microsoft.com/office/drawing/2014/main" id="{00B6BB74-369B-48DB-8535-BFDDF7DB54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0" name="AutoShape 1" descr="Resultado de imagem para whirlpool logo">
          <a:extLst>
            <a:ext uri="{FF2B5EF4-FFF2-40B4-BE49-F238E27FC236}">
              <a16:creationId xmlns:a16="http://schemas.microsoft.com/office/drawing/2014/main" id="{7AC43274-83B5-4A05-84F7-55444534CC0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1" name="AutoShape 1" descr="Resultado de imagem para whirlpool logo">
          <a:extLst>
            <a:ext uri="{FF2B5EF4-FFF2-40B4-BE49-F238E27FC236}">
              <a16:creationId xmlns:a16="http://schemas.microsoft.com/office/drawing/2014/main" id="{03C08CE8-5515-439E-A40B-BD53294ED3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2" name="AutoShape 1" descr="Resultado de imagem para whirlpool logo">
          <a:extLst>
            <a:ext uri="{FF2B5EF4-FFF2-40B4-BE49-F238E27FC236}">
              <a16:creationId xmlns:a16="http://schemas.microsoft.com/office/drawing/2014/main" id="{D2FF899E-C9BE-44D1-B8EE-528EAB41F8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3" name="AutoShape 1" descr="Resultado de imagem para whirlpool logo">
          <a:extLst>
            <a:ext uri="{FF2B5EF4-FFF2-40B4-BE49-F238E27FC236}">
              <a16:creationId xmlns:a16="http://schemas.microsoft.com/office/drawing/2014/main" id="{5F787864-6568-4512-9025-62AF19337DD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4" name="AutoShape 1" descr="Resultado de imagem para whirlpool logo">
          <a:extLst>
            <a:ext uri="{FF2B5EF4-FFF2-40B4-BE49-F238E27FC236}">
              <a16:creationId xmlns:a16="http://schemas.microsoft.com/office/drawing/2014/main" id="{E57BB8D5-3C38-43F1-AFB4-BF4C8D9265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5" name="AutoShape 1" descr="Resultado de imagem para whirlpool logo">
          <a:extLst>
            <a:ext uri="{FF2B5EF4-FFF2-40B4-BE49-F238E27FC236}">
              <a16:creationId xmlns:a16="http://schemas.microsoft.com/office/drawing/2014/main" id="{86CB825E-982F-4F18-ADE0-7E057394B1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6" name="AutoShape 1" descr="Resultado de imagem para whirlpool logo">
          <a:extLst>
            <a:ext uri="{FF2B5EF4-FFF2-40B4-BE49-F238E27FC236}">
              <a16:creationId xmlns:a16="http://schemas.microsoft.com/office/drawing/2014/main" id="{1B65C975-17D3-4A67-89E0-D6847CA2B3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7" name="AutoShape 1" descr="Resultado de imagem para whirlpool logo">
          <a:extLst>
            <a:ext uri="{FF2B5EF4-FFF2-40B4-BE49-F238E27FC236}">
              <a16:creationId xmlns:a16="http://schemas.microsoft.com/office/drawing/2014/main" id="{522F308D-5F1F-4D9D-A8EB-71121576E5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8" name="AutoShape 1" descr="Resultado de imagem para whirlpool logo">
          <a:extLst>
            <a:ext uri="{FF2B5EF4-FFF2-40B4-BE49-F238E27FC236}">
              <a16:creationId xmlns:a16="http://schemas.microsoft.com/office/drawing/2014/main" id="{EF53826C-4C84-4BCB-B022-691DE4F0DF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79" name="AutoShape 1" descr="Resultado de imagem para whirlpool logo">
          <a:extLst>
            <a:ext uri="{FF2B5EF4-FFF2-40B4-BE49-F238E27FC236}">
              <a16:creationId xmlns:a16="http://schemas.microsoft.com/office/drawing/2014/main" id="{53754F5E-315E-4B98-A995-F7B59EEFEA6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0" name="AutoShape 1" descr="Resultado de imagem para whirlpool logo">
          <a:extLst>
            <a:ext uri="{FF2B5EF4-FFF2-40B4-BE49-F238E27FC236}">
              <a16:creationId xmlns:a16="http://schemas.microsoft.com/office/drawing/2014/main" id="{299A7B33-A9F5-47E0-9BA2-56837BD496B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1" name="AutoShape 1" descr="Resultado de imagem para whirlpool logo">
          <a:extLst>
            <a:ext uri="{FF2B5EF4-FFF2-40B4-BE49-F238E27FC236}">
              <a16:creationId xmlns:a16="http://schemas.microsoft.com/office/drawing/2014/main" id="{0C9B6008-1AE9-4846-9CD8-53BEA63C7E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2" name="AutoShape 1" descr="Resultado de imagem para whirlpool logo">
          <a:extLst>
            <a:ext uri="{FF2B5EF4-FFF2-40B4-BE49-F238E27FC236}">
              <a16:creationId xmlns:a16="http://schemas.microsoft.com/office/drawing/2014/main" id="{0AB21DE0-2F78-4160-98F9-070C1001B1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3" name="AutoShape 1" descr="Resultado de imagem para whirlpool logo">
          <a:extLst>
            <a:ext uri="{FF2B5EF4-FFF2-40B4-BE49-F238E27FC236}">
              <a16:creationId xmlns:a16="http://schemas.microsoft.com/office/drawing/2014/main" id="{86F5060E-65FB-4CD2-A20B-20CFEC07FB1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4" name="AutoShape 1" descr="Resultado de imagem para whirlpool logo">
          <a:extLst>
            <a:ext uri="{FF2B5EF4-FFF2-40B4-BE49-F238E27FC236}">
              <a16:creationId xmlns:a16="http://schemas.microsoft.com/office/drawing/2014/main" id="{9EDE8FA3-8D5B-41BC-9C45-5986EDE4C6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5" name="AutoShape 1" descr="Resultado de imagem para whirlpool logo">
          <a:extLst>
            <a:ext uri="{FF2B5EF4-FFF2-40B4-BE49-F238E27FC236}">
              <a16:creationId xmlns:a16="http://schemas.microsoft.com/office/drawing/2014/main" id="{35C3FBEC-E453-49AA-B7CE-6BA5A3D23A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6" name="AutoShape 1" descr="Resultado de imagem para whirlpool logo">
          <a:extLst>
            <a:ext uri="{FF2B5EF4-FFF2-40B4-BE49-F238E27FC236}">
              <a16:creationId xmlns:a16="http://schemas.microsoft.com/office/drawing/2014/main" id="{BBBE81DE-93D9-4BA5-9AE0-579132D8147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7" name="AutoShape 1" descr="Resultado de imagem para whirlpool logo">
          <a:extLst>
            <a:ext uri="{FF2B5EF4-FFF2-40B4-BE49-F238E27FC236}">
              <a16:creationId xmlns:a16="http://schemas.microsoft.com/office/drawing/2014/main" id="{273A2B4E-F7F1-42F6-B944-DD236E9373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8" name="AutoShape 1" descr="Resultado de imagem para whirlpool logo">
          <a:extLst>
            <a:ext uri="{FF2B5EF4-FFF2-40B4-BE49-F238E27FC236}">
              <a16:creationId xmlns:a16="http://schemas.microsoft.com/office/drawing/2014/main" id="{C652EC8D-F678-42EA-82E1-CD3259297BA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89" name="AutoShape 1" descr="Resultado de imagem para whirlpool logo">
          <a:extLst>
            <a:ext uri="{FF2B5EF4-FFF2-40B4-BE49-F238E27FC236}">
              <a16:creationId xmlns:a16="http://schemas.microsoft.com/office/drawing/2014/main" id="{873BC24C-3522-4933-A4B1-CD918E367D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0" name="AutoShape 1" descr="Resultado de imagem para whirlpool logo">
          <a:extLst>
            <a:ext uri="{FF2B5EF4-FFF2-40B4-BE49-F238E27FC236}">
              <a16:creationId xmlns:a16="http://schemas.microsoft.com/office/drawing/2014/main" id="{8B24FD0E-0A84-4972-8C25-73BDA569D3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1" name="AutoShape 1" descr="Resultado de imagem para whirlpool logo">
          <a:extLst>
            <a:ext uri="{FF2B5EF4-FFF2-40B4-BE49-F238E27FC236}">
              <a16:creationId xmlns:a16="http://schemas.microsoft.com/office/drawing/2014/main" id="{B9B38BF3-3F00-43F2-975E-45F1D42CCC1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2" name="AutoShape 1" descr="Resultado de imagem para whirlpool logo">
          <a:extLst>
            <a:ext uri="{FF2B5EF4-FFF2-40B4-BE49-F238E27FC236}">
              <a16:creationId xmlns:a16="http://schemas.microsoft.com/office/drawing/2014/main" id="{80D06999-D925-4236-B624-35633DC0A6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3" name="AutoShape 1" descr="Resultado de imagem para whirlpool logo">
          <a:extLst>
            <a:ext uri="{FF2B5EF4-FFF2-40B4-BE49-F238E27FC236}">
              <a16:creationId xmlns:a16="http://schemas.microsoft.com/office/drawing/2014/main" id="{C810247C-38E7-4492-AE3A-3668838C40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4" name="AutoShape 1" descr="Resultado de imagem para whirlpool logo">
          <a:extLst>
            <a:ext uri="{FF2B5EF4-FFF2-40B4-BE49-F238E27FC236}">
              <a16:creationId xmlns:a16="http://schemas.microsoft.com/office/drawing/2014/main" id="{258F7212-0ED6-4FC0-9A3B-6480B99BAF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5" name="AutoShape 1" descr="Resultado de imagem para whirlpool logo">
          <a:extLst>
            <a:ext uri="{FF2B5EF4-FFF2-40B4-BE49-F238E27FC236}">
              <a16:creationId xmlns:a16="http://schemas.microsoft.com/office/drawing/2014/main" id="{7630C8FF-5E55-48F3-898D-DA880337BF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6" name="AutoShape 1" descr="Resultado de imagem para whirlpool logo">
          <a:extLst>
            <a:ext uri="{FF2B5EF4-FFF2-40B4-BE49-F238E27FC236}">
              <a16:creationId xmlns:a16="http://schemas.microsoft.com/office/drawing/2014/main" id="{6D878C42-4613-4FAA-8BB3-D4E771BB8FD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7" name="AutoShape 1" descr="Resultado de imagem para whirlpool logo">
          <a:extLst>
            <a:ext uri="{FF2B5EF4-FFF2-40B4-BE49-F238E27FC236}">
              <a16:creationId xmlns:a16="http://schemas.microsoft.com/office/drawing/2014/main" id="{BA2A1E9C-5A40-4551-A464-BD32F17F01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8" name="AutoShape 1" descr="Resultado de imagem para whirlpool logo">
          <a:extLst>
            <a:ext uri="{FF2B5EF4-FFF2-40B4-BE49-F238E27FC236}">
              <a16:creationId xmlns:a16="http://schemas.microsoft.com/office/drawing/2014/main" id="{CDFC5B6C-8A7F-4F56-8291-F41A30F817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399" name="AutoShape 1" descr="Resultado de imagem para whirlpool logo">
          <a:extLst>
            <a:ext uri="{FF2B5EF4-FFF2-40B4-BE49-F238E27FC236}">
              <a16:creationId xmlns:a16="http://schemas.microsoft.com/office/drawing/2014/main" id="{4983BADB-970B-4E26-AC9A-DE530D075B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0" name="AutoShape 1" descr="Resultado de imagem para whirlpool logo">
          <a:extLst>
            <a:ext uri="{FF2B5EF4-FFF2-40B4-BE49-F238E27FC236}">
              <a16:creationId xmlns:a16="http://schemas.microsoft.com/office/drawing/2014/main" id="{B23D932D-7EF0-4AE2-966C-98DD3F17E6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01" name="AutoShape 1" descr="Resultado de imagem para whirlpool logo">
          <a:extLst>
            <a:ext uri="{FF2B5EF4-FFF2-40B4-BE49-F238E27FC236}">
              <a16:creationId xmlns:a16="http://schemas.microsoft.com/office/drawing/2014/main" id="{308FCFB3-9347-4944-AEF4-72CBB841F6EF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2" name="AutoShape 1" descr="Resultado de imagem para whirlpool logo">
          <a:extLst>
            <a:ext uri="{FF2B5EF4-FFF2-40B4-BE49-F238E27FC236}">
              <a16:creationId xmlns:a16="http://schemas.microsoft.com/office/drawing/2014/main" id="{031D4F2C-6D7F-44CF-80DE-753B4C9330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3" name="AutoShape 1" descr="Resultado de imagem para whirlpool logo">
          <a:extLst>
            <a:ext uri="{FF2B5EF4-FFF2-40B4-BE49-F238E27FC236}">
              <a16:creationId xmlns:a16="http://schemas.microsoft.com/office/drawing/2014/main" id="{1B32BDC2-7762-43DB-BF7F-4EF75189F4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4" name="AutoShape 1" descr="Resultado de imagem para whirlpool logo">
          <a:extLst>
            <a:ext uri="{FF2B5EF4-FFF2-40B4-BE49-F238E27FC236}">
              <a16:creationId xmlns:a16="http://schemas.microsoft.com/office/drawing/2014/main" id="{CEDE00B1-EADF-4BBD-B6E7-BE18AA7FC1D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5" name="AutoShape 1" descr="Resultado de imagem para whirlpool logo">
          <a:extLst>
            <a:ext uri="{FF2B5EF4-FFF2-40B4-BE49-F238E27FC236}">
              <a16:creationId xmlns:a16="http://schemas.microsoft.com/office/drawing/2014/main" id="{237F4047-8D53-4B45-927A-2F4DDC6118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6" name="AutoShape 1" descr="Resultado de imagem para whirlpool logo">
          <a:extLst>
            <a:ext uri="{FF2B5EF4-FFF2-40B4-BE49-F238E27FC236}">
              <a16:creationId xmlns:a16="http://schemas.microsoft.com/office/drawing/2014/main" id="{5D783E08-E135-401E-9A48-3351F96AB43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7" name="AutoShape 1" descr="Resultado de imagem para whirlpool logo">
          <a:extLst>
            <a:ext uri="{FF2B5EF4-FFF2-40B4-BE49-F238E27FC236}">
              <a16:creationId xmlns:a16="http://schemas.microsoft.com/office/drawing/2014/main" id="{667651CB-F617-4FB2-B6E9-1070972C6F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8" name="AutoShape 1" descr="Resultado de imagem para whirlpool logo">
          <a:extLst>
            <a:ext uri="{FF2B5EF4-FFF2-40B4-BE49-F238E27FC236}">
              <a16:creationId xmlns:a16="http://schemas.microsoft.com/office/drawing/2014/main" id="{C9228E31-F23D-4739-8056-CF7A463ADA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09" name="AutoShape 1" descr="Resultado de imagem para whirlpool logo">
          <a:extLst>
            <a:ext uri="{FF2B5EF4-FFF2-40B4-BE49-F238E27FC236}">
              <a16:creationId xmlns:a16="http://schemas.microsoft.com/office/drawing/2014/main" id="{0BE1097B-4ADF-4A83-AA38-6B9FEDD9ED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0" name="AutoShape 1" descr="Resultado de imagem para whirlpool logo">
          <a:extLst>
            <a:ext uri="{FF2B5EF4-FFF2-40B4-BE49-F238E27FC236}">
              <a16:creationId xmlns:a16="http://schemas.microsoft.com/office/drawing/2014/main" id="{C98771B1-A75C-4774-B80C-AD1DC340C8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1" name="AutoShape 1" descr="Resultado de imagem para whirlpool logo">
          <a:extLst>
            <a:ext uri="{FF2B5EF4-FFF2-40B4-BE49-F238E27FC236}">
              <a16:creationId xmlns:a16="http://schemas.microsoft.com/office/drawing/2014/main" id="{A916013E-49F2-4902-AEAE-4FE7784362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2" name="AutoShape 1" descr="Resultado de imagem para whirlpool logo">
          <a:extLst>
            <a:ext uri="{FF2B5EF4-FFF2-40B4-BE49-F238E27FC236}">
              <a16:creationId xmlns:a16="http://schemas.microsoft.com/office/drawing/2014/main" id="{B2DCF885-EDAD-4049-BECB-25A3113896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3" name="AutoShape 1" descr="Resultado de imagem para whirlpool logo">
          <a:extLst>
            <a:ext uri="{FF2B5EF4-FFF2-40B4-BE49-F238E27FC236}">
              <a16:creationId xmlns:a16="http://schemas.microsoft.com/office/drawing/2014/main" id="{D897A241-327D-4E2A-AA46-48E5D6B9CE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4" name="AutoShape 1" descr="Resultado de imagem para whirlpool logo">
          <a:extLst>
            <a:ext uri="{FF2B5EF4-FFF2-40B4-BE49-F238E27FC236}">
              <a16:creationId xmlns:a16="http://schemas.microsoft.com/office/drawing/2014/main" id="{1CEA4D73-5D95-44DD-94A6-2D6F5556C0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5" name="AutoShape 1" descr="Resultado de imagem para whirlpool logo">
          <a:extLst>
            <a:ext uri="{FF2B5EF4-FFF2-40B4-BE49-F238E27FC236}">
              <a16:creationId xmlns:a16="http://schemas.microsoft.com/office/drawing/2014/main" id="{D9B194DE-528F-45E0-8741-0FFD9591428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6" name="AutoShape 1" descr="Resultado de imagem para whirlpool logo">
          <a:extLst>
            <a:ext uri="{FF2B5EF4-FFF2-40B4-BE49-F238E27FC236}">
              <a16:creationId xmlns:a16="http://schemas.microsoft.com/office/drawing/2014/main" id="{6D5C4445-B48B-476A-9B17-F4581F5C07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7" name="AutoShape 1" descr="Resultado de imagem para whirlpool logo">
          <a:extLst>
            <a:ext uri="{FF2B5EF4-FFF2-40B4-BE49-F238E27FC236}">
              <a16:creationId xmlns:a16="http://schemas.microsoft.com/office/drawing/2014/main" id="{4E1B1271-FB8B-49A6-A4E1-686F15D0A3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8" name="AutoShape 1" descr="Resultado de imagem para whirlpool logo">
          <a:extLst>
            <a:ext uri="{FF2B5EF4-FFF2-40B4-BE49-F238E27FC236}">
              <a16:creationId xmlns:a16="http://schemas.microsoft.com/office/drawing/2014/main" id="{70B1EB43-797F-4A77-9DFF-918B9D85619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19" name="AutoShape 1" descr="Resultado de imagem para whirlpool logo">
          <a:extLst>
            <a:ext uri="{FF2B5EF4-FFF2-40B4-BE49-F238E27FC236}">
              <a16:creationId xmlns:a16="http://schemas.microsoft.com/office/drawing/2014/main" id="{525767C3-3A6E-4333-A5DD-2022C5BF3C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0" name="AutoShape 1" descr="Resultado de imagem para whirlpool logo">
          <a:extLst>
            <a:ext uri="{FF2B5EF4-FFF2-40B4-BE49-F238E27FC236}">
              <a16:creationId xmlns:a16="http://schemas.microsoft.com/office/drawing/2014/main" id="{5B77AF12-4854-4F6B-9BE8-6277A97B7B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1" name="AutoShape 1" descr="Resultado de imagem para whirlpool logo">
          <a:extLst>
            <a:ext uri="{FF2B5EF4-FFF2-40B4-BE49-F238E27FC236}">
              <a16:creationId xmlns:a16="http://schemas.microsoft.com/office/drawing/2014/main" id="{F993FBA4-2DAC-4559-A1E2-1AFC2A112D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2" name="AutoShape 1" descr="Resultado de imagem para whirlpool logo">
          <a:extLst>
            <a:ext uri="{FF2B5EF4-FFF2-40B4-BE49-F238E27FC236}">
              <a16:creationId xmlns:a16="http://schemas.microsoft.com/office/drawing/2014/main" id="{CE6ED1D9-8F5A-46EE-B79E-906E26BA53D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3" name="AutoShape 1" descr="Resultado de imagem para whirlpool logo">
          <a:extLst>
            <a:ext uri="{FF2B5EF4-FFF2-40B4-BE49-F238E27FC236}">
              <a16:creationId xmlns:a16="http://schemas.microsoft.com/office/drawing/2014/main" id="{45819DF9-EDC7-41F7-A80F-221E4F86061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4" name="AutoShape 1" descr="Resultado de imagem para whirlpool logo">
          <a:extLst>
            <a:ext uri="{FF2B5EF4-FFF2-40B4-BE49-F238E27FC236}">
              <a16:creationId xmlns:a16="http://schemas.microsoft.com/office/drawing/2014/main" id="{9EC0624D-172C-45F9-B2DF-36D2B8792F7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5" name="AutoShape 1" descr="Resultado de imagem para whirlpool logo">
          <a:extLst>
            <a:ext uri="{FF2B5EF4-FFF2-40B4-BE49-F238E27FC236}">
              <a16:creationId xmlns:a16="http://schemas.microsoft.com/office/drawing/2014/main" id="{2FFAF0AF-16E6-4147-9BDE-93AEA36C017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6" name="AutoShape 1" descr="Resultado de imagem para whirlpool logo">
          <a:extLst>
            <a:ext uri="{FF2B5EF4-FFF2-40B4-BE49-F238E27FC236}">
              <a16:creationId xmlns:a16="http://schemas.microsoft.com/office/drawing/2014/main" id="{1A9F818D-26D7-40AD-8373-7F8EF5F1852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7" name="AutoShape 1" descr="Resultado de imagem para whirlpool logo">
          <a:extLst>
            <a:ext uri="{FF2B5EF4-FFF2-40B4-BE49-F238E27FC236}">
              <a16:creationId xmlns:a16="http://schemas.microsoft.com/office/drawing/2014/main" id="{A79646BA-3F50-4240-83C2-130D4980D8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8" name="AutoShape 1" descr="Resultado de imagem para whirlpool logo">
          <a:extLst>
            <a:ext uri="{FF2B5EF4-FFF2-40B4-BE49-F238E27FC236}">
              <a16:creationId xmlns:a16="http://schemas.microsoft.com/office/drawing/2014/main" id="{CCEC8B8F-17B4-43A7-BB81-74D94B52F7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29" name="AutoShape 1" descr="Resultado de imagem para whirlpool logo">
          <a:extLst>
            <a:ext uri="{FF2B5EF4-FFF2-40B4-BE49-F238E27FC236}">
              <a16:creationId xmlns:a16="http://schemas.microsoft.com/office/drawing/2014/main" id="{0689D570-785D-41DE-BAAD-0EBBEAADA6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0" name="AutoShape 1" descr="Resultado de imagem para whirlpool logo">
          <a:extLst>
            <a:ext uri="{FF2B5EF4-FFF2-40B4-BE49-F238E27FC236}">
              <a16:creationId xmlns:a16="http://schemas.microsoft.com/office/drawing/2014/main" id="{F9D414FA-9A2F-4FE5-AB50-496C91639F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1" name="AutoShape 1" descr="Resultado de imagem para whirlpool logo">
          <a:extLst>
            <a:ext uri="{FF2B5EF4-FFF2-40B4-BE49-F238E27FC236}">
              <a16:creationId xmlns:a16="http://schemas.microsoft.com/office/drawing/2014/main" id="{4A3AA909-E7CB-408B-99A5-CFCA3D3E2F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2" name="AutoShape 1" descr="Resultado de imagem para whirlpool logo">
          <a:extLst>
            <a:ext uri="{FF2B5EF4-FFF2-40B4-BE49-F238E27FC236}">
              <a16:creationId xmlns:a16="http://schemas.microsoft.com/office/drawing/2014/main" id="{4F8037A2-88BC-4155-97F0-1919833C48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3" name="AutoShape 1" descr="Resultado de imagem para whirlpool logo">
          <a:extLst>
            <a:ext uri="{FF2B5EF4-FFF2-40B4-BE49-F238E27FC236}">
              <a16:creationId xmlns:a16="http://schemas.microsoft.com/office/drawing/2014/main" id="{2A1DFF52-DC5B-4660-A074-3E84DA76E1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4" name="AutoShape 1" descr="Resultado de imagem para whirlpool logo">
          <a:extLst>
            <a:ext uri="{FF2B5EF4-FFF2-40B4-BE49-F238E27FC236}">
              <a16:creationId xmlns:a16="http://schemas.microsoft.com/office/drawing/2014/main" id="{BD7FE502-2617-428F-8EF0-A9528CFAB2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5" name="AutoShape 1" descr="Resultado de imagem para whirlpool logo">
          <a:extLst>
            <a:ext uri="{FF2B5EF4-FFF2-40B4-BE49-F238E27FC236}">
              <a16:creationId xmlns:a16="http://schemas.microsoft.com/office/drawing/2014/main" id="{4A5A7B4A-D599-439E-AC18-D150DA135B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6" name="AutoShape 1" descr="Resultado de imagem para whirlpool logo">
          <a:extLst>
            <a:ext uri="{FF2B5EF4-FFF2-40B4-BE49-F238E27FC236}">
              <a16:creationId xmlns:a16="http://schemas.microsoft.com/office/drawing/2014/main" id="{6B6E3B37-65FA-4447-B390-9A842FB6F3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7" name="AutoShape 1" descr="Resultado de imagem para whirlpool logo">
          <a:extLst>
            <a:ext uri="{FF2B5EF4-FFF2-40B4-BE49-F238E27FC236}">
              <a16:creationId xmlns:a16="http://schemas.microsoft.com/office/drawing/2014/main" id="{F3DC782A-30E6-4235-B5F5-D72B4E0132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8" name="AutoShape 1" descr="Resultado de imagem para whirlpool logo">
          <a:extLst>
            <a:ext uri="{FF2B5EF4-FFF2-40B4-BE49-F238E27FC236}">
              <a16:creationId xmlns:a16="http://schemas.microsoft.com/office/drawing/2014/main" id="{3BEE7917-1842-45D9-B4C5-F9677F595F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39" name="AutoShape 1" descr="Resultado de imagem para whirlpool logo">
          <a:extLst>
            <a:ext uri="{FF2B5EF4-FFF2-40B4-BE49-F238E27FC236}">
              <a16:creationId xmlns:a16="http://schemas.microsoft.com/office/drawing/2014/main" id="{5D9ABCB4-BFB9-4A46-BE13-11C267D093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0" name="AutoShape 1" descr="Resultado de imagem para whirlpool logo">
          <a:extLst>
            <a:ext uri="{FF2B5EF4-FFF2-40B4-BE49-F238E27FC236}">
              <a16:creationId xmlns:a16="http://schemas.microsoft.com/office/drawing/2014/main" id="{1F538036-3836-469A-BF4D-3FC0D05C21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1" name="AutoShape 1" descr="Resultado de imagem para whirlpool logo">
          <a:extLst>
            <a:ext uri="{FF2B5EF4-FFF2-40B4-BE49-F238E27FC236}">
              <a16:creationId xmlns:a16="http://schemas.microsoft.com/office/drawing/2014/main" id="{084B087A-CE46-4D2B-9E4A-C3F06C80A4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2" name="AutoShape 1" descr="Resultado de imagem para whirlpool logo">
          <a:extLst>
            <a:ext uri="{FF2B5EF4-FFF2-40B4-BE49-F238E27FC236}">
              <a16:creationId xmlns:a16="http://schemas.microsoft.com/office/drawing/2014/main" id="{1A15961F-1D9E-4F49-8467-E772AC5956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3" name="AutoShape 1" descr="Resultado de imagem para whirlpool logo">
          <a:extLst>
            <a:ext uri="{FF2B5EF4-FFF2-40B4-BE49-F238E27FC236}">
              <a16:creationId xmlns:a16="http://schemas.microsoft.com/office/drawing/2014/main" id="{BB714A09-C4C1-4C10-B746-A6C4AA173F0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4" name="AutoShape 1" descr="Resultado de imagem para whirlpool logo">
          <a:extLst>
            <a:ext uri="{FF2B5EF4-FFF2-40B4-BE49-F238E27FC236}">
              <a16:creationId xmlns:a16="http://schemas.microsoft.com/office/drawing/2014/main" id="{8A82B205-23CA-43AD-99E5-9948404F9C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5" name="AutoShape 1" descr="Resultado de imagem para whirlpool logo">
          <a:extLst>
            <a:ext uri="{FF2B5EF4-FFF2-40B4-BE49-F238E27FC236}">
              <a16:creationId xmlns:a16="http://schemas.microsoft.com/office/drawing/2014/main" id="{15470AA0-54BE-4656-9AA5-D92052A487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6" name="AutoShape 1" descr="Resultado de imagem para whirlpool logo">
          <a:extLst>
            <a:ext uri="{FF2B5EF4-FFF2-40B4-BE49-F238E27FC236}">
              <a16:creationId xmlns:a16="http://schemas.microsoft.com/office/drawing/2014/main" id="{C243A389-05C9-473D-B8F5-8939E1C5F9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7" name="AutoShape 1" descr="Resultado de imagem para whirlpool logo">
          <a:extLst>
            <a:ext uri="{FF2B5EF4-FFF2-40B4-BE49-F238E27FC236}">
              <a16:creationId xmlns:a16="http://schemas.microsoft.com/office/drawing/2014/main" id="{07D501E8-4BE9-42BD-A422-A53D096567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8" name="AutoShape 1" descr="Resultado de imagem para whirlpool logo">
          <a:extLst>
            <a:ext uri="{FF2B5EF4-FFF2-40B4-BE49-F238E27FC236}">
              <a16:creationId xmlns:a16="http://schemas.microsoft.com/office/drawing/2014/main" id="{B7161870-858C-4288-AC75-5B4E8F05EF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49" name="AutoShape 1" descr="Resultado de imagem para whirlpool logo">
          <a:extLst>
            <a:ext uri="{FF2B5EF4-FFF2-40B4-BE49-F238E27FC236}">
              <a16:creationId xmlns:a16="http://schemas.microsoft.com/office/drawing/2014/main" id="{5824EDC6-54C2-4A25-9BB0-7FC8BC52CA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0" name="AutoShape 1" descr="Resultado de imagem para whirlpool logo">
          <a:extLst>
            <a:ext uri="{FF2B5EF4-FFF2-40B4-BE49-F238E27FC236}">
              <a16:creationId xmlns:a16="http://schemas.microsoft.com/office/drawing/2014/main" id="{1E94A205-BDD7-4440-BEB0-F6125D2AB7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1" name="AutoShape 1" descr="Resultado de imagem para whirlpool logo">
          <a:extLst>
            <a:ext uri="{FF2B5EF4-FFF2-40B4-BE49-F238E27FC236}">
              <a16:creationId xmlns:a16="http://schemas.microsoft.com/office/drawing/2014/main" id="{880FA8A3-A48C-49D7-AED4-A5C9EDB76D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2" name="AutoShape 1" descr="Resultado de imagem para whirlpool logo">
          <a:extLst>
            <a:ext uri="{FF2B5EF4-FFF2-40B4-BE49-F238E27FC236}">
              <a16:creationId xmlns:a16="http://schemas.microsoft.com/office/drawing/2014/main" id="{8C91888F-76A0-4982-A841-AB6042B28E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3" name="AutoShape 1" descr="Resultado de imagem para whirlpool logo">
          <a:extLst>
            <a:ext uri="{FF2B5EF4-FFF2-40B4-BE49-F238E27FC236}">
              <a16:creationId xmlns:a16="http://schemas.microsoft.com/office/drawing/2014/main" id="{727C82D6-ED66-436F-A11A-97B89EE6E1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4" name="AutoShape 1" descr="Resultado de imagem para whirlpool logo">
          <a:extLst>
            <a:ext uri="{FF2B5EF4-FFF2-40B4-BE49-F238E27FC236}">
              <a16:creationId xmlns:a16="http://schemas.microsoft.com/office/drawing/2014/main" id="{E60D6522-3FCF-40F9-8A1A-AA3D6E29C69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5" name="AutoShape 1" descr="Resultado de imagem para whirlpool logo">
          <a:extLst>
            <a:ext uri="{FF2B5EF4-FFF2-40B4-BE49-F238E27FC236}">
              <a16:creationId xmlns:a16="http://schemas.microsoft.com/office/drawing/2014/main" id="{B98C055D-5CCD-4902-8939-B3E3FC0C2E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6" name="AutoShape 1" descr="Resultado de imagem para whirlpool logo">
          <a:extLst>
            <a:ext uri="{FF2B5EF4-FFF2-40B4-BE49-F238E27FC236}">
              <a16:creationId xmlns:a16="http://schemas.microsoft.com/office/drawing/2014/main" id="{BB9782BF-2E78-462F-9AEB-8BDD649C88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7" name="AutoShape 1" descr="Resultado de imagem para whirlpool logo">
          <a:extLst>
            <a:ext uri="{FF2B5EF4-FFF2-40B4-BE49-F238E27FC236}">
              <a16:creationId xmlns:a16="http://schemas.microsoft.com/office/drawing/2014/main" id="{A88EED71-D37D-4105-8CFA-FCAD445E69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8" name="AutoShape 1" descr="Resultado de imagem para whirlpool logo">
          <a:extLst>
            <a:ext uri="{FF2B5EF4-FFF2-40B4-BE49-F238E27FC236}">
              <a16:creationId xmlns:a16="http://schemas.microsoft.com/office/drawing/2014/main" id="{22C0EA73-A8C1-4DB0-A778-FD6D47B345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59" name="AutoShape 1" descr="Resultado de imagem para whirlpool logo">
          <a:extLst>
            <a:ext uri="{FF2B5EF4-FFF2-40B4-BE49-F238E27FC236}">
              <a16:creationId xmlns:a16="http://schemas.microsoft.com/office/drawing/2014/main" id="{10BD2EDD-E85F-49B3-97E7-A068980F80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0" name="AutoShape 1" descr="Resultado de imagem para whirlpool logo">
          <a:extLst>
            <a:ext uri="{FF2B5EF4-FFF2-40B4-BE49-F238E27FC236}">
              <a16:creationId xmlns:a16="http://schemas.microsoft.com/office/drawing/2014/main" id="{C7C50BDC-7FCE-414D-B235-A77001EF11F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1" name="AutoShape 1" descr="Resultado de imagem para whirlpool logo">
          <a:extLst>
            <a:ext uri="{FF2B5EF4-FFF2-40B4-BE49-F238E27FC236}">
              <a16:creationId xmlns:a16="http://schemas.microsoft.com/office/drawing/2014/main" id="{73277293-6C6B-4FFA-8D22-38FA1C40AE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2" name="AutoShape 1" descr="Resultado de imagem para whirlpool logo">
          <a:extLst>
            <a:ext uri="{FF2B5EF4-FFF2-40B4-BE49-F238E27FC236}">
              <a16:creationId xmlns:a16="http://schemas.microsoft.com/office/drawing/2014/main" id="{D7A7295E-3F15-4DF3-9F3B-01A0DDEFAB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3" name="AutoShape 1" descr="Resultado de imagem para whirlpool logo">
          <a:extLst>
            <a:ext uri="{FF2B5EF4-FFF2-40B4-BE49-F238E27FC236}">
              <a16:creationId xmlns:a16="http://schemas.microsoft.com/office/drawing/2014/main" id="{C4D5DEF0-444D-4CF9-834E-1AD75ED864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4" name="AutoShape 1" descr="Resultado de imagem para whirlpool logo">
          <a:extLst>
            <a:ext uri="{FF2B5EF4-FFF2-40B4-BE49-F238E27FC236}">
              <a16:creationId xmlns:a16="http://schemas.microsoft.com/office/drawing/2014/main" id="{ED5B0BE4-5C19-41B3-9309-64AAC6201B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5" name="AutoShape 1" descr="Resultado de imagem para whirlpool logo">
          <a:extLst>
            <a:ext uri="{FF2B5EF4-FFF2-40B4-BE49-F238E27FC236}">
              <a16:creationId xmlns:a16="http://schemas.microsoft.com/office/drawing/2014/main" id="{6FD5C6E4-36C6-4CF5-A297-5A17CBA95B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6" name="AutoShape 1" descr="Resultado de imagem para whirlpool logo">
          <a:extLst>
            <a:ext uri="{FF2B5EF4-FFF2-40B4-BE49-F238E27FC236}">
              <a16:creationId xmlns:a16="http://schemas.microsoft.com/office/drawing/2014/main" id="{46D83CF4-58D1-46E5-9B11-4A3092606F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7" name="AutoShape 1" descr="Resultado de imagem para whirlpool logo">
          <a:extLst>
            <a:ext uri="{FF2B5EF4-FFF2-40B4-BE49-F238E27FC236}">
              <a16:creationId xmlns:a16="http://schemas.microsoft.com/office/drawing/2014/main" id="{BBF8FAD0-D0F9-4B1C-8957-1C88D8821E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8" name="AutoShape 1" descr="Resultado de imagem para whirlpool logo">
          <a:extLst>
            <a:ext uri="{FF2B5EF4-FFF2-40B4-BE49-F238E27FC236}">
              <a16:creationId xmlns:a16="http://schemas.microsoft.com/office/drawing/2014/main" id="{DB160028-2CC7-42C9-B776-EFE92E7A6D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69" name="AutoShape 1" descr="Resultado de imagem para whirlpool logo">
          <a:extLst>
            <a:ext uri="{FF2B5EF4-FFF2-40B4-BE49-F238E27FC236}">
              <a16:creationId xmlns:a16="http://schemas.microsoft.com/office/drawing/2014/main" id="{0021AFB4-96C7-4A5F-8A31-24D08ED09B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0" name="AutoShape 1" descr="Resultado de imagem para whirlpool logo">
          <a:extLst>
            <a:ext uri="{FF2B5EF4-FFF2-40B4-BE49-F238E27FC236}">
              <a16:creationId xmlns:a16="http://schemas.microsoft.com/office/drawing/2014/main" id="{03575338-17A3-41D5-8A31-3121A3B4E6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1" name="AutoShape 1" descr="Resultado de imagem para whirlpool logo">
          <a:extLst>
            <a:ext uri="{FF2B5EF4-FFF2-40B4-BE49-F238E27FC236}">
              <a16:creationId xmlns:a16="http://schemas.microsoft.com/office/drawing/2014/main" id="{470F18BE-9F39-4311-B6C0-47992CE375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2" name="AutoShape 1" descr="Resultado de imagem para whirlpool logo">
          <a:extLst>
            <a:ext uri="{FF2B5EF4-FFF2-40B4-BE49-F238E27FC236}">
              <a16:creationId xmlns:a16="http://schemas.microsoft.com/office/drawing/2014/main" id="{9FBF6005-D3E6-4063-AE29-6F5447214EE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3" name="AutoShape 1" descr="Resultado de imagem para whirlpool logo">
          <a:extLst>
            <a:ext uri="{FF2B5EF4-FFF2-40B4-BE49-F238E27FC236}">
              <a16:creationId xmlns:a16="http://schemas.microsoft.com/office/drawing/2014/main" id="{8B9FC175-D944-4901-B7A5-AC0B68E72C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4" name="AutoShape 1" descr="Resultado de imagem para whirlpool logo">
          <a:extLst>
            <a:ext uri="{FF2B5EF4-FFF2-40B4-BE49-F238E27FC236}">
              <a16:creationId xmlns:a16="http://schemas.microsoft.com/office/drawing/2014/main" id="{7F8D0BCE-6137-4F7A-9986-F93DCAA881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5" name="AutoShape 1" descr="Resultado de imagem para whirlpool logo">
          <a:extLst>
            <a:ext uri="{FF2B5EF4-FFF2-40B4-BE49-F238E27FC236}">
              <a16:creationId xmlns:a16="http://schemas.microsoft.com/office/drawing/2014/main" id="{673CE5C3-135E-41AB-92BE-E83B3147A8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6" name="AutoShape 1" descr="Resultado de imagem para whirlpool logo">
          <a:extLst>
            <a:ext uri="{FF2B5EF4-FFF2-40B4-BE49-F238E27FC236}">
              <a16:creationId xmlns:a16="http://schemas.microsoft.com/office/drawing/2014/main" id="{7613B9B8-468A-4533-AFFA-4193D4D6D6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7" name="AutoShape 1" descr="Resultado de imagem para whirlpool logo">
          <a:extLst>
            <a:ext uri="{FF2B5EF4-FFF2-40B4-BE49-F238E27FC236}">
              <a16:creationId xmlns:a16="http://schemas.microsoft.com/office/drawing/2014/main" id="{F713AAA6-16F1-4C00-BC9B-0FC1D12AC1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78" name="AutoShape 1" descr="Resultado de imagem para whirlpool logo">
          <a:extLst>
            <a:ext uri="{FF2B5EF4-FFF2-40B4-BE49-F238E27FC236}">
              <a16:creationId xmlns:a16="http://schemas.microsoft.com/office/drawing/2014/main" id="{FE1121CB-1068-4B8A-B813-69E05FF2FC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479" name="AutoShape 1" descr="Resultado de imagem para whirlpool logo">
          <a:extLst>
            <a:ext uri="{FF2B5EF4-FFF2-40B4-BE49-F238E27FC236}">
              <a16:creationId xmlns:a16="http://schemas.microsoft.com/office/drawing/2014/main" id="{FA83BF3F-4A99-40D7-9BE5-D03DE6A096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0" name="AutoShape 1" descr="Resultado de imagem para whirlpool logo">
          <a:extLst>
            <a:ext uri="{FF2B5EF4-FFF2-40B4-BE49-F238E27FC236}">
              <a16:creationId xmlns:a16="http://schemas.microsoft.com/office/drawing/2014/main" id="{861AB33F-DDD8-4710-8A2E-D5DA54D1F9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1" name="AutoShape 1" descr="Resultado de imagem para whirlpool logo">
          <a:extLst>
            <a:ext uri="{FF2B5EF4-FFF2-40B4-BE49-F238E27FC236}">
              <a16:creationId xmlns:a16="http://schemas.microsoft.com/office/drawing/2014/main" id="{BC679194-32FE-4C9B-A6A4-6B0D82D354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2" name="AutoShape 1" descr="Resultado de imagem para whirlpool logo">
          <a:extLst>
            <a:ext uri="{FF2B5EF4-FFF2-40B4-BE49-F238E27FC236}">
              <a16:creationId xmlns:a16="http://schemas.microsoft.com/office/drawing/2014/main" id="{9AEF2EA7-25A2-47B4-A252-4142619A0F0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3" name="AutoShape 1" descr="Resultado de imagem para whirlpool logo">
          <a:extLst>
            <a:ext uri="{FF2B5EF4-FFF2-40B4-BE49-F238E27FC236}">
              <a16:creationId xmlns:a16="http://schemas.microsoft.com/office/drawing/2014/main" id="{0E7A60FA-CFD0-44E3-B7A9-D4B5B8A619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84" name="AutoShape 1" descr="Resultado de imagem para whirlpool logo">
          <a:extLst>
            <a:ext uri="{FF2B5EF4-FFF2-40B4-BE49-F238E27FC236}">
              <a16:creationId xmlns:a16="http://schemas.microsoft.com/office/drawing/2014/main" id="{3037865F-F066-443F-9B72-1D24B171A6BB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5" name="AutoShape 1" descr="Resultado de imagem para whirlpool logo">
          <a:extLst>
            <a:ext uri="{FF2B5EF4-FFF2-40B4-BE49-F238E27FC236}">
              <a16:creationId xmlns:a16="http://schemas.microsoft.com/office/drawing/2014/main" id="{1223A02B-45DF-4716-9F40-299309184C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6" name="AutoShape 1" descr="Resultado de imagem para whirlpool logo">
          <a:extLst>
            <a:ext uri="{FF2B5EF4-FFF2-40B4-BE49-F238E27FC236}">
              <a16:creationId xmlns:a16="http://schemas.microsoft.com/office/drawing/2014/main" id="{0749A6FA-9E8B-4506-8E6E-3F29BE0A2E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87" name="AutoShape 1" descr="Resultado de imagem para whirlpool logo">
          <a:extLst>
            <a:ext uri="{FF2B5EF4-FFF2-40B4-BE49-F238E27FC236}">
              <a16:creationId xmlns:a16="http://schemas.microsoft.com/office/drawing/2014/main" id="{769672CC-A98F-433E-84D5-3D30C9D74180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8" name="AutoShape 1" descr="Resultado de imagem para whirlpool logo">
          <a:extLst>
            <a:ext uri="{FF2B5EF4-FFF2-40B4-BE49-F238E27FC236}">
              <a16:creationId xmlns:a16="http://schemas.microsoft.com/office/drawing/2014/main" id="{7A6ADB33-A61F-4170-9106-0C2F807F23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89" name="AutoShape 1" descr="Resultado de imagem para whirlpool logo">
          <a:extLst>
            <a:ext uri="{FF2B5EF4-FFF2-40B4-BE49-F238E27FC236}">
              <a16:creationId xmlns:a16="http://schemas.microsoft.com/office/drawing/2014/main" id="{74F69BC8-7987-424C-877D-92807A8F00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90" name="AutoShape 1" descr="Resultado de imagem para whirlpool logo">
          <a:extLst>
            <a:ext uri="{FF2B5EF4-FFF2-40B4-BE49-F238E27FC236}">
              <a16:creationId xmlns:a16="http://schemas.microsoft.com/office/drawing/2014/main" id="{B94EE89F-61C7-4CA5-922A-0A9917C2D35F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91" name="AutoShape 1" descr="Resultado de imagem para whirlpool logo">
          <a:extLst>
            <a:ext uri="{FF2B5EF4-FFF2-40B4-BE49-F238E27FC236}">
              <a16:creationId xmlns:a16="http://schemas.microsoft.com/office/drawing/2014/main" id="{15DE6FE8-194E-4662-838F-10D70BAA00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92" name="AutoShape 1" descr="Resultado de imagem para whirlpool logo">
          <a:extLst>
            <a:ext uri="{FF2B5EF4-FFF2-40B4-BE49-F238E27FC236}">
              <a16:creationId xmlns:a16="http://schemas.microsoft.com/office/drawing/2014/main" id="{DDA3B7A0-07E7-473A-AE01-3527EB70AD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93" name="AutoShape 1" descr="Resultado de imagem para whirlpool logo">
          <a:extLst>
            <a:ext uri="{FF2B5EF4-FFF2-40B4-BE49-F238E27FC236}">
              <a16:creationId xmlns:a16="http://schemas.microsoft.com/office/drawing/2014/main" id="{32A8E6ED-25C4-4278-A788-8D4C65AA735A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494" name="AutoShape 1" descr="Resultado de imagem para whirlpool logo">
          <a:extLst>
            <a:ext uri="{FF2B5EF4-FFF2-40B4-BE49-F238E27FC236}">
              <a16:creationId xmlns:a16="http://schemas.microsoft.com/office/drawing/2014/main" id="{99675056-D363-4F78-8ED2-5FF01803F4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95" name="AutoShape 1" descr="Resultado de imagem para whirlpool logo">
          <a:extLst>
            <a:ext uri="{FF2B5EF4-FFF2-40B4-BE49-F238E27FC236}">
              <a16:creationId xmlns:a16="http://schemas.microsoft.com/office/drawing/2014/main" id="{CD147521-214F-4E1F-803D-5F608AD46E61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496" name="AutoShape 1" descr="Resultado de imagem para whirlpool logo">
          <a:extLst>
            <a:ext uri="{FF2B5EF4-FFF2-40B4-BE49-F238E27FC236}">
              <a16:creationId xmlns:a16="http://schemas.microsoft.com/office/drawing/2014/main" id="{AF645FD0-6542-4AA8-990A-AB0D95B6DF86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497" name="AutoShape 1" descr="Resultado de imagem para whirlpool logo">
          <a:extLst>
            <a:ext uri="{FF2B5EF4-FFF2-40B4-BE49-F238E27FC236}">
              <a16:creationId xmlns:a16="http://schemas.microsoft.com/office/drawing/2014/main" id="{E54810CF-D549-4D92-B631-F4401C5AA366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498" name="AutoShape 1" descr="Resultado de imagem para whirlpool logo">
          <a:extLst>
            <a:ext uri="{FF2B5EF4-FFF2-40B4-BE49-F238E27FC236}">
              <a16:creationId xmlns:a16="http://schemas.microsoft.com/office/drawing/2014/main" id="{AC4A7BE8-27B8-4410-B898-45F8855BFE3D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499" name="AutoShape 1" descr="Resultado de imagem para whirlpool logo">
          <a:extLst>
            <a:ext uri="{FF2B5EF4-FFF2-40B4-BE49-F238E27FC236}">
              <a16:creationId xmlns:a16="http://schemas.microsoft.com/office/drawing/2014/main" id="{76FF219A-A891-48A5-B888-AC71BA727ECD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0" name="AutoShape 1" descr="Resultado de imagem para whirlpool logo">
          <a:extLst>
            <a:ext uri="{FF2B5EF4-FFF2-40B4-BE49-F238E27FC236}">
              <a16:creationId xmlns:a16="http://schemas.microsoft.com/office/drawing/2014/main" id="{C454ED15-07C0-40DA-86A4-B599F1375C86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1" name="AutoShape 1" descr="Resultado de imagem para whirlpool logo">
          <a:extLst>
            <a:ext uri="{FF2B5EF4-FFF2-40B4-BE49-F238E27FC236}">
              <a16:creationId xmlns:a16="http://schemas.microsoft.com/office/drawing/2014/main" id="{DDCF0D3C-38D5-407A-8603-AB8522A9FCD1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2" name="AutoShape 1" descr="Resultado de imagem para whirlpool logo">
          <a:extLst>
            <a:ext uri="{FF2B5EF4-FFF2-40B4-BE49-F238E27FC236}">
              <a16:creationId xmlns:a16="http://schemas.microsoft.com/office/drawing/2014/main" id="{94DAE2B0-795A-479E-839F-D18D282A29D2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3" name="AutoShape 1" descr="Resultado de imagem para whirlpool logo">
          <a:extLst>
            <a:ext uri="{FF2B5EF4-FFF2-40B4-BE49-F238E27FC236}">
              <a16:creationId xmlns:a16="http://schemas.microsoft.com/office/drawing/2014/main" id="{B32FED18-91DB-4B19-8809-DA50D9123C4A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4" name="AutoShape 1" descr="Resultado de imagem para whirlpool logo">
          <a:extLst>
            <a:ext uri="{FF2B5EF4-FFF2-40B4-BE49-F238E27FC236}">
              <a16:creationId xmlns:a16="http://schemas.microsoft.com/office/drawing/2014/main" id="{7C760011-ED94-4D88-8468-52DF7629207B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5" name="AutoShape 1" descr="Resultado de imagem para whirlpool logo">
          <a:extLst>
            <a:ext uri="{FF2B5EF4-FFF2-40B4-BE49-F238E27FC236}">
              <a16:creationId xmlns:a16="http://schemas.microsoft.com/office/drawing/2014/main" id="{43C161E3-7BFA-4882-A0CE-D28B67019908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506" name="AutoShape 1" descr="Resultado de imagem para whirlpool logo">
          <a:extLst>
            <a:ext uri="{FF2B5EF4-FFF2-40B4-BE49-F238E27FC236}">
              <a16:creationId xmlns:a16="http://schemas.microsoft.com/office/drawing/2014/main" id="{FB8BAC26-0A2F-4E5C-B947-AEE8F7DE4EDE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07" name="AutoShape 1" descr="Resultado de imagem para whirlpool logo">
          <a:extLst>
            <a:ext uri="{FF2B5EF4-FFF2-40B4-BE49-F238E27FC236}">
              <a16:creationId xmlns:a16="http://schemas.microsoft.com/office/drawing/2014/main" id="{477994EE-4C90-4F9C-84FF-DEBC20C678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08" name="AutoShape 1" descr="Resultado de imagem para whirlpool logo">
          <a:extLst>
            <a:ext uri="{FF2B5EF4-FFF2-40B4-BE49-F238E27FC236}">
              <a16:creationId xmlns:a16="http://schemas.microsoft.com/office/drawing/2014/main" id="{0391F53B-97F1-4D45-9CF8-E8F4AA2A6A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509" name="AutoShape 1" descr="Resultado de imagem para whirlpool logo">
          <a:extLst>
            <a:ext uri="{FF2B5EF4-FFF2-40B4-BE49-F238E27FC236}">
              <a16:creationId xmlns:a16="http://schemas.microsoft.com/office/drawing/2014/main" id="{81300219-35FC-43E0-92F0-75AC818673C8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0" name="AutoShape 1" descr="Resultado de imagem para whirlpool logo">
          <a:extLst>
            <a:ext uri="{FF2B5EF4-FFF2-40B4-BE49-F238E27FC236}">
              <a16:creationId xmlns:a16="http://schemas.microsoft.com/office/drawing/2014/main" id="{1B8F32CA-0487-456C-AABB-ECF36EF37B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1" name="AutoShape 1" descr="Resultado de imagem para whirlpool logo">
          <a:extLst>
            <a:ext uri="{FF2B5EF4-FFF2-40B4-BE49-F238E27FC236}">
              <a16:creationId xmlns:a16="http://schemas.microsoft.com/office/drawing/2014/main" id="{C6DEA544-DFA8-400B-9AF6-A8B7D4C1F4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2" name="AutoShape 1" descr="Resultado de imagem para whirlpool logo">
          <a:extLst>
            <a:ext uri="{FF2B5EF4-FFF2-40B4-BE49-F238E27FC236}">
              <a16:creationId xmlns:a16="http://schemas.microsoft.com/office/drawing/2014/main" id="{AC07C49F-FA27-480A-A380-CA27200066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3" name="AutoShape 1" descr="Resultado de imagem para whirlpool logo">
          <a:extLst>
            <a:ext uri="{FF2B5EF4-FFF2-40B4-BE49-F238E27FC236}">
              <a16:creationId xmlns:a16="http://schemas.microsoft.com/office/drawing/2014/main" id="{9827B899-7B9A-4E5B-AF0F-1741FF75C9F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4" name="AutoShape 1" descr="Resultado de imagem para whirlpool logo">
          <a:extLst>
            <a:ext uri="{FF2B5EF4-FFF2-40B4-BE49-F238E27FC236}">
              <a16:creationId xmlns:a16="http://schemas.microsoft.com/office/drawing/2014/main" id="{43D90D50-B0A4-4B93-89C9-B45CF3B6E7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5" name="AutoShape 1" descr="Resultado de imagem para whirlpool logo">
          <a:extLst>
            <a:ext uri="{FF2B5EF4-FFF2-40B4-BE49-F238E27FC236}">
              <a16:creationId xmlns:a16="http://schemas.microsoft.com/office/drawing/2014/main" id="{156046D8-3187-4823-AEF0-98EB89399C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6" name="AutoShape 1" descr="Resultado de imagem para whirlpool logo">
          <a:extLst>
            <a:ext uri="{FF2B5EF4-FFF2-40B4-BE49-F238E27FC236}">
              <a16:creationId xmlns:a16="http://schemas.microsoft.com/office/drawing/2014/main" id="{24AF2A6C-E494-4CE3-80EB-B059D0C052A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7" name="AutoShape 1" descr="Resultado de imagem para whirlpool logo">
          <a:extLst>
            <a:ext uri="{FF2B5EF4-FFF2-40B4-BE49-F238E27FC236}">
              <a16:creationId xmlns:a16="http://schemas.microsoft.com/office/drawing/2014/main" id="{4B654DEF-ADA9-41C9-B38B-82E6B71216C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8" name="AutoShape 1" descr="Resultado de imagem para whirlpool logo">
          <a:extLst>
            <a:ext uri="{FF2B5EF4-FFF2-40B4-BE49-F238E27FC236}">
              <a16:creationId xmlns:a16="http://schemas.microsoft.com/office/drawing/2014/main" id="{1561B454-AD02-4DAF-A16F-5C895F06FB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19" name="AutoShape 1" descr="Resultado de imagem para whirlpool logo">
          <a:extLst>
            <a:ext uri="{FF2B5EF4-FFF2-40B4-BE49-F238E27FC236}">
              <a16:creationId xmlns:a16="http://schemas.microsoft.com/office/drawing/2014/main" id="{818621B1-A783-455E-9DE5-05C21F4648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0" name="AutoShape 1" descr="Resultado de imagem para whirlpool logo">
          <a:extLst>
            <a:ext uri="{FF2B5EF4-FFF2-40B4-BE49-F238E27FC236}">
              <a16:creationId xmlns:a16="http://schemas.microsoft.com/office/drawing/2014/main" id="{86E318F9-6EEF-47A6-9676-894861603F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1" name="AutoShape 1" descr="Resultado de imagem para whirlpool logo">
          <a:extLst>
            <a:ext uri="{FF2B5EF4-FFF2-40B4-BE49-F238E27FC236}">
              <a16:creationId xmlns:a16="http://schemas.microsoft.com/office/drawing/2014/main" id="{0D6D8A5E-8D39-400F-A594-2A353C6D5C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2" name="AutoShape 1" descr="Resultado de imagem para whirlpool logo">
          <a:extLst>
            <a:ext uri="{FF2B5EF4-FFF2-40B4-BE49-F238E27FC236}">
              <a16:creationId xmlns:a16="http://schemas.microsoft.com/office/drawing/2014/main" id="{05370D85-6A64-4826-BA4D-1C45D5D0D9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3" name="AutoShape 1" descr="Resultado de imagem para whirlpool logo">
          <a:extLst>
            <a:ext uri="{FF2B5EF4-FFF2-40B4-BE49-F238E27FC236}">
              <a16:creationId xmlns:a16="http://schemas.microsoft.com/office/drawing/2014/main" id="{F75A6D7A-8F98-44B1-A39C-26054C376E5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4" name="AutoShape 1" descr="Resultado de imagem para whirlpool logo">
          <a:extLst>
            <a:ext uri="{FF2B5EF4-FFF2-40B4-BE49-F238E27FC236}">
              <a16:creationId xmlns:a16="http://schemas.microsoft.com/office/drawing/2014/main" id="{B40ACE1A-33D0-4083-9C81-A26BF09C5B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5" name="AutoShape 1" descr="Resultado de imagem para whirlpool logo">
          <a:extLst>
            <a:ext uri="{FF2B5EF4-FFF2-40B4-BE49-F238E27FC236}">
              <a16:creationId xmlns:a16="http://schemas.microsoft.com/office/drawing/2014/main" id="{15253D8A-1686-4342-9E85-A2E852CEAAA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6" name="AutoShape 1" descr="Resultado de imagem para whirlpool logo">
          <a:extLst>
            <a:ext uri="{FF2B5EF4-FFF2-40B4-BE49-F238E27FC236}">
              <a16:creationId xmlns:a16="http://schemas.microsoft.com/office/drawing/2014/main" id="{0E533C0C-CDF1-45E9-BFCB-039FA139C4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7" name="AutoShape 1" descr="Resultado de imagem para whirlpool logo">
          <a:extLst>
            <a:ext uri="{FF2B5EF4-FFF2-40B4-BE49-F238E27FC236}">
              <a16:creationId xmlns:a16="http://schemas.microsoft.com/office/drawing/2014/main" id="{EEBC8262-9E04-47DA-9681-30D1A2C1D4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8" name="AutoShape 1" descr="Resultado de imagem para whirlpool logo">
          <a:extLst>
            <a:ext uri="{FF2B5EF4-FFF2-40B4-BE49-F238E27FC236}">
              <a16:creationId xmlns:a16="http://schemas.microsoft.com/office/drawing/2014/main" id="{11440FD9-36FF-4FB4-8076-90891818B2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29" name="AutoShape 1" descr="Resultado de imagem para whirlpool logo">
          <a:extLst>
            <a:ext uri="{FF2B5EF4-FFF2-40B4-BE49-F238E27FC236}">
              <a16:creationId xmlns:a16="http://schemas.microsoft.com/office/drawing/2014/main" id="{150EF38B-3F7F-4A81-A42C-3927C3726B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0" name="AutoShape 1" descr="Resultado de imagem para whirlpool logo">
          <a:extLst>
            <a:ext uri="{FF2B5EF4-FFF2-40B4-BE49-F238E27FC236}">
              <a16:creationId xmlns:a16="http://schemas.microsoft.com/office/drawing/2014/main" id="{47A9B4CD-A7D8-48C5-92AA-F5A8D0FD76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1" name="AutoShape 1" descr="Resultado de imagem para whirlpool logo">
          <a:extLst>
            <a:ext uri="{FF2B5EF4-FFF2-40B4-BE49-F238E27FC236}">
              <a16:creationId xmlns:a16="http://schemas.microsoft.com/office/drawing/2014/main" id="{BE5AACA7-C3AC-4BEF-BCEF-64A0251D8E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2" name="AutoShape 1" descr="Resultado de imagem para whirlpool logo">
          <a:extLst>
            <a:ext uri="{FF2B5EF4-FFF2-40B4-BE49-F238E27FC236}">
              <a16:creationId xmlns:a16="http://schemas.microsoft.com/office/drawing/2014/main" id="{29CC6652-71D4-462F-AE38-3D53A01ACD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3" name="AutoShape 1" descr="Resultado de imagem para whirlpool logo">
          <a:extLst>
            <a:ext uri="{FF2B5EF4-FFF2-40B4-BE49-F238E27FC236}">
              <a16:creationId xmlns:a16="http://schemas.microsoft.com/office/drawing/2014/main" id="{CE156E59-0B85-4F62-AF18-0F913F10BF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4" name="AutoShape 1" descr="Resultado de imagem para whirlpool logo">
          <a:extLst>
            <a:ext uri="{FF2B5EF4-FFF2-40B4-BE49-F238E27FC236}">
              <a16:creationId xmlns:a16="http://schemas.microsoft.com/office/drawing/2014/main" id="{2CDD622E-3351-47E4-91D8-C5CEFCFF64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535" name="AutoShape 1" descr="Resultado de imagem para whirlpool logo">
          <a:extLst>
            <a:ext uri="{FF2B5EF4-FFF2-40B4-BE49-F238E27FC236}">
              <a16:creationId xmlns:a16="http://schemas.microsoft.com/office/drawing/2014/main" id="{542770E2-227B-41F1-B942-93BBCF708029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6" name="AutoShape 1" descr="Resultado de imagem para whirlpool logo">
          <a:extLst>
            <a:ext uri="{FF2B5EF4-FFF2-40B4-BE49-F238E27FC236}">
              <a16:creationId xmlns:a16="http://schemas.microsoft.com/office/drawing/2014/main" id="{0EFB5022-8D17-43DF-9793-109AD92A53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7" name="AutoShape 1" descr="Resultado de imagem para whirlpool logo">
          <a:extLst>
            <a:ext uri="{FF2B5EF4-FFF2-40B4-BE49-F238E27FC236}">
              <a16:creationId xmlns:a16="http://schemas.microsoft.com/office/drawing/2014/main" id="{93888225-4A9E-4A15-8444-DD3FF6288D6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8" name="AutoShape 1" descr="Resultado de imagem para whirlpool logo">
          <a:extLst>
            <a:ext uri="{FF2B5EF4-FFF2-40B4-BE49-F238E27FC236}">
              <a16:creationId xmlns:a16="http://schemas.microsoft.com/office/drawing/2014/main" id="{2D57C872-DE8E-4F44-A93B-65DDEF3C9B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39" name="AutoShape 1" descr="Resultado de imagem para whirlpool logo">
          <a:extLst>
            <a:ext uri="{FF2B5EF4-FFF2-40B4-BE49-F238E27FC236}">
              <a16:creationId xmlns:a16="http://schemas.microsoft.com/office/drawing/2014/main" id="{0A01C819-11FE-4C5F-9C8D-25A0F6CC37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0" name="AutoShape 1" descr="Resultado de imagem para whirlpool logo">
          <a:extLst>
            <a:ext uri="{FF2B5EF4-FFF2-40B4-BE49-F238E27FC236}">
              <a16:creationId xmlns:a16="http://schemas.microsoft.com/office/drawing/2014/main" id="{C0921CDA-5260-4810-AEE5-3EE84E9DFF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1" name="AutoShape 1" descr="Resultado de imagem para whirlpool logo">
          <a:extLst>
            <a:ext uri="{FF2B5EF4-FFF2-40B4-BE49-F238E27FC236}">
              <a16:creationId xmlns:a16="http://schemas.microsoft.com/office/drawing/2014/main" id="{D9C1FC65-A7BE-49EB-8340-0B3317EE02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2" name="AutoShape 1" descr="Resultado de imagem para whirlpool logo">
          <a:extLst>
            <a:ext uri="{FF2B5EF4-FFF2-40B4-BE49-F238E27FC236}">
              <a16:creationId xmlns:a16="http://schemas.microsoft.com/office/drawing/2014/main" id="{E600F51A-A222-4785-A3F1-8CEC92DFA0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3" name="AutoShape 1" descr="Resultado de imagem para whirlpool logo">
          <a:extLst>
            <a:ext uri="{FF2B5EF4-FFF2-40B4-BE49-F238E27FC236}">
              <a16:creationId xmlns:a16="http://schemas.microsoft.com/office/drawing/2014/main" id="{66FEDA44-5768-4D3E-BEBC-DC3C3373F8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4" name="AutoShape 1" descr="Resultado de imagem para whirlpool logo">
          <a:extLst>
            <a:ext uri="{FF2B5EF4-FFF2-40B4-BE49-F238E27FC236}">
              <a16:creationId xmlns:a16="http://schemas.microsoft.com/office/drawing/2014/main" id="{6BC1D297-3E51-42C8-8570-78D508F5C3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5" name="AutoShape 1" descr="Resultado de imagem para whirlpool logo">
          <a:extLst>
            <a:ext uri="{FF2B5EF4-FFF2-40B4-BE49-F238E27FC236}">
              <a16:creationId xmlns:a16="http://schemas.microsoft.com/office/drawing/2014/main" id="{8C620BEF-7E64-493E-859C-493D94EBD2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6" name="AutoShape 1" descr="Resultado de imagem para whirlpool logo">
          <a:extLst>
            <a:ext uri="{FF2B5EF4-FFF2-40B4-BE49-F238E27FC236}">
              <a16:creationId xmlns:a16="http://schemas.microsoft.com/office/drawing/2014/main" id="{7BD77344-BFF2-4706-A93A-17F6CF95F3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7" name="AutoShape 1" descr="Resultado de imagem para whirlpool logo">
          <a:extLst>
            <a:ext uri="{FF2B5EF4-FFF2-40B4-BE49-F238E27FC236}">
              <a16:creationId xmlns:a16="http://schemas.microsoft.com/office/drawing/2014/main" id="{2984616C-9728-49B0-84F4-7907BB72BB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8" name="AutoShape 1" descr="Resultado de imagem para whirlpool logo">
          <a:extLst>
            <a:ext uri="{FF2B5EF4-FFF2-40B4-BE49-F238E27FC236}">
              <a16:creationId xmlns:a16="http://schemas.microsoft.com/office/drawing/2014/main" id="{179371CE-06F3-45F4-96A3-A4030C99FA5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49" name="AutoShape 1" descr="Resultado de imagem para whirlpool logo">
          <a:extLst>
            <a:ext uri="{FF2B5EF4-FFF2-40B4-BE49-F238E27FC236}">
              <a16:creationId xmlns:a16="http://schemas.microsoft.com/office/drawing/2014/main" id="{20EE340A-9938-418A-B221-2ED40B50BC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0" name="AutoShape 1" descr="Resultado de imagem para whirlpool logo">
          <a:extLst>
            <a:ext uri="{FF2B5EF4-FFF2-40B4-BE49-F238E27FC236}">
              <a16:creationId xmlns:a16="http://schemas.microsoft.com/office/drawing/2014/main" id="{FF3E0EDF-7335-4673-8F2B-4023C27A01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1" name="AutoShape 1" descr="Resultado de imagem para whirlpool logo">
          <a:extLst>
            <a:ext uri="{FF2B5EF4-FFF2-40B4-BE49-F238E27FC236}">
              <a16:creationId xmlns:a16="http://schemas.microsoft.com/office/drawing/2014/main" id="{E627102C-0BBA-4B7B-AC11-84D9B886D5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2" name="AutoShape 1" descr="Resultado de imagem para whirlpool logo">
          <a:extLst>
            <a:ext uri="{FF2B5EF4-FFF2-40B4-BE49-F238E27FC236}">
              <a16:creationId xmlns:a16="http://schemas.microsoft.com/office/drawing/2014/main" id="{F6A5D893-4028-42EC-B50F-0FF66E3284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3" name="AutoShape 1" descr="Resultado de imagem para whirlpool logo">
          <a:extLst>
            <a:ext uri="{FF2B5EF4-FFF2-40B4-BE49-F238E27FC236}">
              <a16:creationId xmlns:a16="http://schemas.microsoft.com/office/drawing/2014/main" id="{8D3711C4-3477-429A-A9E0-B7ED7998EA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4" name="AutoShape 1" descr="Resultado de imagem para whirlpool logo">
          <a:extLst>
            <a:ext uri="{FF2B5EF4-FFF2-40B4-BE49-F238E27FC236}">
              <a16:creationId xmlns:a16="http://schemas.microsoft.com/office/drawing/2014/main" id="{01C3FBD2-D377-4C9D-8DB5-E0A7F9A0F1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5" name="AutoShape 1" descr="Resultado de imagem para whirlpool logo">
          <a:extLst>
            <a:ext uri="{FF2B5EF4-FFF2-40B4-BE49-F238E27FC236}">
              <a16:creationId xmlns:a16="http://schemas.microsoft.com/office/drawing/2014/main" id="{FE56D5B7-77B5-4A5B-A52B-E28991A020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6" name="AutoShape 1" descr="Resultado de imagem para whirlpool logo">
          <a:extLst>
            <a:ext uri="{FF2B5EF4-FFF2-40B4-BE49-F238E27FC236}">
              <a16:creationId xmlns:a16="http://schemas.microsoft.com/office/drawing/2014/main" id="{2DCF83E8-6433-4E3D-87A0-28B8D73AA8A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7" name="AutoShape 1" descr="Resultado de imagem para whirlpool logo">
          <a:extLst>
            <a:ext uri="{FF2B5EF4-FFF2-40B4-BE49-F238E27FC236}">
              <a16:creationId xmlns:a16="http://schemas.microsoft.com/office/drawing/2014/main" id="{74FABCE3-B7EB-4862-AA2A-782DDFA499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8" name="AutoShape 1" descr="Resultado de imagem para whirlpool logo">
          <a:extLst>
            <a:ext uri="{FF2B5EF4-FFF2-40B4-BE49-F238E27FC236}">
              <a16:creationId xmlns:a16="http://schemas.microsoft.com/office/drawing/2014/main" id="{BB034DC0-D18B-4E43-99B9-6BBD81A203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59" name="AutoShape 1" descr="Resultado de imagem para whirlpool logo">
          <a:extLst>
            <a:ext uri="{FF2B5EF4-FFF2-40B4-BE49-F238E27FC236}">
              <a16:creationId xmlns:a16="http://schemas.microsoft.com/office/drawing/2014/main" id="{C128BFE0-F91A-4BA2-87D4-FF8AE5C058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0" name="AutoShape 1" descr="Resultado de imagem para whirlpool logo">
          <a:extLst>
            <a:ext uri="{FF2B5EF4-FFF2-40B4-BE49-F238E27FC236}">
              <a16:creationId xmlns:a16="http://schemas.microsoft.com/office/drawing/2014/main" id="{28332C79-C906-4F89-A1C7-53CAA75DC9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1" name="AutoShape 1" descr="Resultado de imagem para whirlpool logo">
          <a:extLst>
            <a:ext uri="{FF2B5EF4-FFF2-40B4-BE49-F238E27FC236}">
              <a16:creationId xmlns:a16="http://schemas.microsoft.com/office/drawing/2014/main" id="{E63FBAB1-B358-4A69-8BF4-137C2BEEC44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2" name="AutoShape 1" descr="Resultado de imagem para whirlpool logo">
          <a:extLst>
            <a:ext uri="{FF2B5EF4-FFF2-40B4-BE49-F238E27FC236}">
              <a16:creationId xmlns:a16="http://schemas.microsoft.com/office/drawing/2014/main" id="{D1740598-E7B4-472E-9C3A-A59C410FAE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3" name="AutoShape 1" descr="Resultado de imagem para whirlpool logo">
          <a:extLst>
            <a:ext uri="{FF2B5EF4-FFF2-40B4-BE49-F238E27FC236}">
              <a16:creationId xmlns:a16="http://schemas.microsoft.com/office/drawing/2014/main" id="{F9F1F73B-6FBB-4D9A-98CD-7663C94DA53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4" name="AutoShape 1" descr="Resultado de imagem para whirlpool logo">
          <a:extLst>
            <a:ext uri="{FF2B5EF4-FFF2-40B4-BE49-F238E27FC236}">
              <a16:creationId xmlns:a16="http://schemas.microsoft.com/office/drawing/2014/main" id="{B0AA0432-3DD1-4752-A7E6-C81165931A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565" name="AutoShape 1" descr="Resultado de imagem para whirlpool logo">
          <a:extLst>
            <a:ext uri="{FF2B5EF4-FFF2-40B4-BE49-F238E27FC236}">
              <a16:creationId xmlns:a16="http://schemas.microsoft.com/office/drawing/2014/main" id="{053208AD-02B3-4E13-B7FA-7C11E2642EA1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6" name="AutoShape 1" descr="Resultado de imagem para whirlpool logo">
          <a:extLst>
            <a:ext uri="{FF2B5EF4-FFF2-40B4-BE49-F238E27FC236}">
              <a16:creationId xmlns:a16="http://schemas.microsoft.com/office/drawing/2014/main" id="{F999F521-2457-43D6-B569-0A554B0EBE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7" name="AutoShape 1" descr="Resultado de imagem para whirlpool logo">
          <a:extLst>
            <a:ext uri="{FF2B5EF4-FFF2-40B4-BE49-F238E27FC236}">
              <a16:creationId xmlns:a16="http://schemas.microsoft.com/office/drawing/2014/main" id="{5B9F7116-4A2D-440F-A779-D556641A30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8" name="AutoShape 1" descr="Resultado de imagem para whirlpool logo">
          <a:extLst>
            <a:ext uri="{FF2B5EF4-FFF2-40B4-BE49-F238E27FC236}">
              <a16:creationId xmlns:a16="http://schemas.microsoft.com/office/drawing/2014/main" id="{A538EE47-E3AB-438F-ACE4-05BE6C77E3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69" name="AutoShape 1" descr="Resultado de imagem para whirlpool logo">
          <a:extLst>
            <a:ext uri="{FF2B5EF4-FFF2-40B4-BE49-F238E27FC236}">
              <a16:creationId xmlns:a16="http://schemas.microsoft.com/office/drawing/2014/main" id="{269AB3A9-81E2-4B90-BD5B-ECA4E97E7A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0" name="AutoShape 1" descr="Resultado de imagem para whirlpool logo">
          <a:extLst>
            <a:ext uri="{FF2B5EF4-FFF2-40B4-BE49-F238E27FC236}">
              <a16:creationId xmlns:a16="http://schemas.microsoft.com/office/drawing/2014/main" id="{25B7BD12-C001-4529-AF69-3B411D4A6EB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1" name="AutoShape 1" descr="Resultado de imagem para whirlpool logo">
          <a:extLst>
            <a:ext uri="{FF2B5EF4-FFF2-40B4-BE49-F238E27FC236}">
              <a16:creationId xmlns:a16="http://schemas.microsoft.com/office/drawing/2014/main" id="{D1106961-0256-47DE-B4D0-FE09C495D9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2" name="AutoShape 1" descr="Resultado de imagem para whirlpool logo">
          <a:extLst>
            <a:ext uri="{FF2B5EF4-FFF2-40B4-BE49-F238E27FC236}">
              <a16:creationId xmlns:a16="http://schemas.microsoft.com/office/drawing/2014/main" id="{2F1E32DC-4941-4AE1-BB51-DA9B735AC22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3" name="AutoShape 1" descr="Resultado de imagem para whirlpool logo">
          <a:extLst>
            <a:ext uri="{FF2B5EF4-FFF2-40B4-BE49-F238E27FC236}">
              <a16:creationId xmlns:a16="http://schemas.microsoft.com/office/drawing/2014/main" id="{6F5C23DB-928B-4469-BDED-6B6B49BADB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4" name="AutoShape 1" descr="Resultado de imagem para whirlpool logo">
          <a:extLst>
            <a:ext uri="{FF2B5EF4-FFF2-40B4-BE49-F238E27FC236}">
              <a16:creationId xmlns:a16="http://schemas.microsoft.com/office/drawing/2014/main" id="{200F6E42-D53B-451A-B71B-E71AAC73D0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5" name="AutoShape 1" descr="Resultado de imagem para whirlpool logo">
          <a:extLst>
            <a:ext uri="{FF2B5EF4-FFF2-40B4-BE49-F238E27FC236}">
              <a16:creationId xmlns:a16="http://schemas.microsoft.com/office/drawing/2014/main" id="{634949D2-8788-44B3-962D-416F007391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6" name="AutoShape 1" descr="Resultado de imagem para whirlpool logo">
          <a:extLst>
            <a:ext uri="{FF2B5EF4-FFF2-40B4-BE49-F238E27FC236}">
              <a16:creationId xmlns:a16="http://schemas.microsoft.com/office/drawing/2014/main" id="{809B0202-B04B-45AF-B544-7E6D2BD531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7" name="AutoShape 1" descr="Resultado de imagem para whirlpool logo">
          <a:extLst>
            <a:ext uri="{FF2B5EF4-FFF2-40B4-BE49-F238E27FC236}">
              <a16:creationId xmlns:a16="http://schemas.microsoft.com/office/drawing/2014/main" id="{B9F1FF63-4BD6-4FC5-888B-46144792A9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8" name="AutoShape 1" descr="Resultado de imagem para whirlpool logo">
          <a:extLst>
            <a:ext uri="{FF2B5EF4-FFF2-40B4-BE49-F238E27FC236}">
              <a16:creationId xmlns:a16="http://schemas.microsoft.com/office/drawing/2014/main" id="{EAE43968-2D37-475E-83D6-9F8D3D4AB9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79" name="AutoShape 1" descr="Resultado de imagem para whirlpool logo">
          <a:extLst>
            <a:ext uri="{FF2B5EF4-FFF2-40B4-BE49-F238E27FC236}">
              <a16:creationId xmlns:a16="http://schemas.microsoft.com/office/drawing/2014/main" id="{9C817580-0BCC-40D2-8373-A8EF1669FD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0" name="AutoShape 1" descr="Resultado de imagem para whirlpool logo">
          <a:extLst>
            <a:ext uri="{FF2B5EF4-FFF2-40B4-BE49-F238E27FC236}">
              <a16:creationId xmlns:a16="http://schemas.microsoft.com/office/drawing/2014/main" id="{B479416C-14C0-4A60-8B0C-6985A1F5BE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1" name="AutoShape 1" descr="Resultado de imagem para whirlpool logo">
          <a:extLst>
            <a:ext uri="{FF2B5EF4-FFF2-40B4-BE49-F238E27FC236}">
              <a16:creationId xmlns:a16="http://schemas.microsoft.com/office/drawing/2014/main" id="{0CD14230-7852-4DDD-889E-D57180B9B1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2" name="AutoShape 1" descr="Resultado de imagem para whirlpool logo">
          <a:extLst>
            <a:ext uri="{FF2B5EF4-FFF2-40B4-BE49-F238E27FC236}">
              <a16:creationId xmlns:a16="http://schemas.microsoft.com/office/drawing/2014/main" id="{A10623FE-5DC1-42AA-8508-D559A39F5A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3" name="AutoShape 1" descr="Resultado de imagem para whirlpool logo">
          <a:extLst>
            <a:ext uri="{FF2B5EF4-FFF2-40B4-BE49-F238E27FC236}">
              <a16:creationId xmlns:a16="http://schemas.microsoft.com/office/drawing/2014/main" id="{63DDD568-42AD-404E-A077-7EC5B39E8F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4" name="AutoShape 1" descr="Resultado de imagem para whirlpool logo">
          <a:extLst>
            <a:ext uri="{FF2B5EF4-FFF2-40B4-BE49-F238E27FC236}">
              <a16:creationId xmlns:a16="http://schemas.microsoft.com/office/drawing/2014/main" id="{D8A413C8-4BD8-4F5C-9C0F-5F5F255F6B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5" name="AutoShape 1" descr="Resultado de imagem para whirlpool logo">
          <a:extLst>
            <a:ext uri="{FF2B5EF4-FFF2-40B4-BE49-F238E27FC236}">
              <a16:creationId xmlns:a16="http://schemas.microsoft.com/office/drawing/2014/main" id="{1572EBC4-DD89-4F96-9827-CDF5019782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6" name="AutoShape 1" descr="Resultado de imagem para whirlpool logo">
          <a:extLst>
            <a:ext uri="{FF2B5EF4-FFF2-40B4-BE49-F238E27FC236}">
              <a16:creationId xmlns:a16="http://schemas.microsoft.com/office/drawing/2014/main" id="{B2A21A74-1BF2-45EF-A529-AC48C032BE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7" name="AutoShape 1" descr="Resultado de imagem para whirlpool logo">
          <a:extLst>
            <a:ext uri="{FF2B5EF4-FFF2-40B4-BE49-F238E27FC236}">
              <a16:creationId xmlns:a16="http://schemas.microsoft.com/office/drawing/2014/main" id="{61F104B9-7ECE-4C71-8E6A-049849ED0F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8" name="AutoShape 1" descr="Resultado de imagem para whirlpool logo">
          <a:extLst>
            <a:ext uri="{FF2B5EF4-FFF2-40B4-BE49-F238E27FC236}">
              <a16:creationId xmlns:a16="http://schemas.microsoft.com/office/drawing/2014/main" id="{DE610122-38E2-4E6C-836A-F1F045C341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89" name="AutoShape 1" descr="Resultado de imagem para whirlpool logo">
          <a:extLst>
            <a:ext uri="{FF2B5EF4-FFF2-40B4-BE49-F238E27FC236}">
              <a16:creationId xmlns:a16="http://schemas.microsoft.com/office/drawing/2014/main" id="{D12BD1D7-67DE-4904-993A-6EB86C79EA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0" name="AutoShape 1" descr="Resultado de imagem para whirlpool logo">
          <a:extLst>
            <a:ext uri="{FF2B5EF4-FFF2-40B4-BE49-F238E27FC236}">
              <a16:creationId xmlns:a16="http://schemas.microsoft.com/office/drawing/2014/main" id="{9A3BD38B-9567-44C2-AEB6-F46AF71A5D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591" name="AutoShape 1" descr="Resultado de imagem para whirlpool logo">
          <a:extLst>
            <a:ext uri="{FF2B5EF4-FFF2-40B4-BE49-F238E27FC236}">
              <a16:creationId xmlns:a16="http://schemas.microsoft.com/office/drawing/2014/main" id="{098BE336-8F07-4F8F-BBE3-8D46877D3207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2" name="AutoShape 1" descr="Resultado de imagem para whirlpool logo">
          <a:extLst>
            <a:ext uri="{FF2B5EF4-FFF2-40B4-BE49-F238E27FC236}">
              <a16:creationId xmlns:a16="http://schemas.microsoft.com/office/drawing/2014/main" id="{01AB78F1-C77B-4DEF-8302-6EDF68BFBD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3" name="AutoShape 1" descr="Resultado de imagem para whirlpool logo">
          <a:extLst>
            <a:ext uri="{FF2B5EF4-FFF2-40B4-BE49-F238E27FC236}">
              <a16:creationId xmlns:a16="http://schemas.microsoft.com/office/drawing/2014/main" id="{16688609-2D62-419A-AC29-A229FF7F53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4" name="AutoShape 1" descr="Resultado de imagem para whirlpool logo">
          <a:extLst>
            <a:ext uri="{FF2B5EF4-FFF2-40B4-BE49-F238E27FC236}">
              <a16:creationId xmlns:a16="http://schemas.microsoft.com/office/drawing/2014/main" id="{666D6DDA-A264-4FC9-907C-CF5A68CCA6D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5" name="AutoShape 1" descr="Resultado de imagem para whirlpool logo">
          <a:extLst>
            <a:ext uri="{FF2B5EF4-FFF2-40B4-BE49-F238E27FC236}">
              <a16:creationId xmlns:a16="http://schemas.microsoft.com/office/drawing/2014/main" id="{8C49BF93-7CAE-41CB-A7D3-7B996A39B4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6" name="AutoShape 1" descr="Resultado de imagem para whirlpool logo">
          <a:extLst>
            <a:ext uri="{FF2B5EF4-FFF2-40B4-BE49-F238E27FC236}">
              <a16:creationId xmlns:a16="http://schemas.microsoft.com/office/drawing/2014/main" id="{1E5B17DB-B3B4-49C2-B195-D6B7D24EDE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7" name="AutoShape 1" descr="Resultado de imagem para whirlpool logo">
          <a:extLst>
            <a:ext uri="{FF2B5EF4-FFF2-40B4-BE49-F238E27FC236}">
              <a16:creationId xmlns:a16="http://schemas.microsoft.com/office/drawing/2014/main" id="{20E601B3-7FF5-466E-8346-24A2AFF8BA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8" name="AutoShape 1" descr="Resultado de imagem para whirlpool logo">
          <a:extLst>
            <a:ext uri="{FF2B5EF4-FFF2-40B4-BE49-F238E27FC236}">
              <a16:creationId xmlns:a16="http://schemas.microsoft.com/office/drawing/2014/main" id="{D9680B13-C6B7-4C43-B436-ABB585F955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599" name="AutoShape 1" descr="Resultado de imagem para whirlpool logo">
          <a:extLst>
            <a:ext uri="{FF2B5EF4-FFF2-40B4-BE49-F238E27FC236}">
              <a16:creationId xmlns:a16="http://schemas.microsoft.com/office/drawing/2014/main" id="{4E7C61BB-274B-4545-A058-CBAB9ADED4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0" name="AutoShape 1" descr="Resultado de imagem para whirlpool logo">
          <a:extLst>
            <a:ext uri="{FF2B5EF4-FFF2-40B4-BE49-F238E27FC236}">
              <a16:creationId xmlns:a16="http://schemas.microsoft.com/office/drawing/2014/main" id="{86A6F02B-E619-4B7C-9AC6-ED7CBD8A5B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1" name="AutoShape 1" descr="Resultado de imagem para whirlpool logo">
          <a:extLst>
            <a:ext uri="{FF2B5EF4-FFF2-40B4-BE49-F238E27FC236}">
              <a16:creationId xmlns:a16="http://schemas.microsoft.com/office/drawing/2014/main" id="{75220DD2-AA71-491C-B8B2-CB2D569181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2" name="AutoShape 1" descr="Resultado de imagem para whirlpool logo">
          <a:extLst>
            <a:ext uri="{FF2B5EF4-FFF2-40B4-BE49-F238E27FC236}">
              <a16:creationId xmlns:a16="http://schemas.microsoft.com/office/drawing/2014/main" id="{75C16B4D-6372-437C-A114-882A133C89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3" name="AutoShape 1" descr="Resultado de imagem para whirlpool logo">
          <a:extLst>
            <a:ext uri="{FF2B5EF4-FFF2-40B4-BE49-F238E27FC236}">
              <a16:creationId xmlns:a16="http://schemas.microsoft.com/office/drawing/2014/main" id="{C1FCAE9A-A04A-4304-9204-396F5F8E28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4" name="AutoShape 1" descr="Resultado de imagem para whirlpool logo">
          <a:extLst>
            <a:ext uri="{FF2B5EF4-FFF2-40B4-BE49-F238E27FC236}">
              <a16:creationId xmlns:a16="http://schemas.microsoft.com/office/drawing/2014/main" id="{0DAE265A-8943-4B76-B1AB-6EB36AD8B7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5" name="AutoShape 1" descr="Resultado de imagem para whirlpool logo">
          <a:extLst>
            <a:ext uri="{FF2B5EF4-FFF2-40B4-BE49-F238E27FC236}">
              <a16:creationId xmlns:a16="http://schemas.microsoft.com/office/drawing/2014/main" id="{4583EFD3-7079-438A-AA37-A5AE91ABD8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6" name="AutoShape 1" descr="Resultado de imagem para whirlpool logo">
          <a:extLst>
            <a:ext uri="{FF2B5EF4-FFF2-40B4-BE49-F238E27FC236}">
              <a16:creationId xmlns:a16="http://schemas.microsoft.com/office/drawing/2014/main" id="{7CE193B4-7381-4F2B-84F6-F8A8102B9F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7" name="AutoShape 1" descr="Resultado de imagem para whirlpool logo">
          <a:extLst>
            <a:ext uri="{FF2B5EF4-FFF2-40B4-BE49-F238E27FC236}">
              <a16:creationId xmlns:a16="http://schemas.microsoft.com/office/drawing/2014/main" id="{05AB1C7F-E144-43C4-A095-F4C84DBD02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8" name="AutoShape 1" descr="Resultado de imagem para whirlpool logo">
          <a:extLst>
            <a:ext uri="{FF2B5EF4-FFF2-40B4-BE49-F238E27FC236}">
              <a16:creationId xmlns:a16="http://schemas.microsoft.com/office/drawing/2014/main" id="{2A94CAD3-2B00-4237-B815-83FAC99C45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09" name="AutoShape 1" descr="Resultado de imagem para whirlpool logo">
          <a:extLst>
            <a:ext uri="{FF2B5EF4-FFF2-40B4-BE49-F238E27FC236}">
              <a16:creationId xmlns:a16="http://schemas.microsoft.com/office/drawing/2014/main" id="{CF47EE36-9DC1-44C3-8177-45AB83AFF8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0" name="AutoShape 1" descr="Resultado de imagem para whirlpool logo">
          <a:extLst>
            <a:ext uri="{FF2B5EF4-FFF2-40B4-BE49-F238E27FC236}">
              <a16:creationId xmlns:a16="http://schemas.microsoft.com/office/drawing/2014/main" id="{856D9F6C-85A3-4A65-B9DF-BC970C7215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1" name="AutoShape 1" descr="Resultado de imagem para whirlpool logo">
          <a:extLst>
            <a:ext uri="{FF2B5EF4-FFF2-40B4-BE49-F238E27FC236}">
              <a16:creationId xmlns:a16="http://schemas.microsoft.com/office/drawing/2014/main" id="{A4BDCD57-7A41-4E66-99B1-6546C1CE72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2" name="AutoShape 1" descr="Resultado de imagem para whirlpool logo">
          <a:extLst>
            <a:ext uri="{FF2B5EF4-FFF2-40B4-BE49-F238E27FC236}">
              <a16:creationId xmlns:a16="http://schemas.microsoft.com/office/drawing/2014/main" id="{A2CEFB51-5714-4816-810B-23823379BB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3" name="AutoShape 1" descr="Resultado de imagem para whirlpool logo">
          <a:extLst>
            <a:ext uri="{FF2B5EF4-FFF2-40B4-BE49-F238E27FC236}">
              <a16:creationId xmlns:a16="http://schemas.microsoft.com/office/drawing/2014/main" id="{F33B0106-BD53-4ADA-A31B-D354F5F5A7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4" name="AutoShape 1" descr="Resultado de imagem para whirlpool logo">
          <a:extLst>
            <a:ext uri="{FF2B5EF4-FFF2-40B4-BE49-F238E27FC236}">
              <a16:creationId xmlns:a16="http://schemas.microsoft.com/office/drawing/2014/main" id="{C5D76FBC-1C7D-4BB8-B719-A5806B89A9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5" name="AutoShape 1" descr="Resultado de imagem para whirlpool logo">
          <a:extLst>
            <a:ext uri="{FF2B5EF4-FFF2-40B4-BE49-F238E27FC236}">
              <a16:creationId xmlns:a16="http://schemas.microsoft.com/office/drawing/2014/main" id="{9B603034-10BD-4172-A1A4-3F97FEF4BA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6" name="AutoShape 1" descr="Resultado de imagem para whirlpool logo">
          <a:extLst>
            <a:ext uri="{FF2B5EF4-FFF2-40B4-BE49-F238E27FC236}">
              <a16:creationId xmlns:a16="http://schemas.microsoft.com/office/drawing/2014/main" id="{832484A3-ACC0-40BB-ACAD-57C3AF2C6F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7" name="AutoShape 1" descr="Resultado de imagem para whirlpool logo">
          <a:extLst>
            <a:ext uri="{FF2B5EF4-FFF2-40B4-BE49-F238E27FC236}">
              <a16:creationId xmlns:a16="http://schemas.microsoft.com/office/drawing/2014/main" id="{EE3746C3-D076-4603-A688-8D44E3F4D4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8" name="AutoShape 1" descr="Resultado de imagem para whirlpool logo">
          <a:extLst>
            <a:ext uri="{FF2B5EF4-FFF2-40B4-BE49-F238E27FC236}">
              <a16:creationId xmlns:a16="http://schemas.microsoft.com/office/drawing/2014/main" id="{0127A8BD-955A-4B89-88C3-C329C15B02D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19" name="AutoShape 1" descr="Resultado de imagem para whirlpool logo">
          <a:extLst>
            <a:ext uri="{FF2B5EF4-FFF2-40B4-BE49-F238E27FC236}">
              <a16:creationId xmlns:a16="http://schemas.microsoft.com/office/drawing/2014/main" id="{A44828A0-C4C2-47A7-B863-81E7BCEDA4B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0" name="AutoShape 1" descr="Resultado de imagem para whirlpool logo">
          <a:extLst>
            <a:ext uri="{FF2B5EF4-FFF2-40B4-BE49-F238E27FC236}">
              <a16:creationId xmlns:a16="http://schemas.microsoft.com/office/drawing/2014/main" id="{185F502D-174B-45CF-9CA3-583D94D6EE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1" name="AutoShape 1" descr="Resultado de imagem para whirlpool logo">
          <a:extLst>
            <a:ext uri="{FF2B5EF4-FFF2-40B4-BE49-F238E27FC236}">
              <a16:creationId xmlns:a16="http://schemas.microsoft.com/office/drawing/2014/main" id="{4E161AB7-1279-450F-82B8-667D885E7B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2" name="AutoShape 1" descr="Resultado de imagem para whirlpool logo">
          <a:extLst>
            <a:ext uri="{FF2B5EF4-FFF2-40B4-BE49-F238E27FC236}">
              <a16:creationId xmlns:a16="http://schemas.microsoft.com/office/drawing/2014/main" id="{6244656F-8C22-4174-9C2E-F1258C6FC6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3" name="AutoShape 1" descr="Resultado de imagem para whirlpool logo">
          <a:extLst>
            <a:ext uri="{FF2B5EF4-FFF2-40B4-BE49-F238E27FC236}">
              <a16:creationId xmlns:a16="http://schemas.microsoft.com/office/drawing/2014/main" id="{7EB29381-9A95-4BF1-B531-8EE356C096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4" name="AutoShape 1" descr="Resultado de imagem para whirlpool logo">
          <a:extLst>
            <a:ext uri="{FF2B5EF4-FFF2-40B4-BE49-F238E27FC236}">
              <a16:creationId xmlns:a16="http://schemas.microsoft.com/office/drawing/2014/main" id="{F207FED9-E3BE-4418-A366-2EC4ED87DAA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5" name="AutoShape 1" descr="Resultado de imagem para whirlpool logo">
          <a:extLst>
            <a:ext uri="{FF2B5EF4-FFF2-40B4-BE49-F238E27FC236}">
              <a16:creationId xmlns:a16="http://schemas.microsoft.com/office/drawing/2014/main" id="{35E261E8-0F51-4EF5-8459-4AC84CA8AE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6" name="AutoShape 1" descr="Resultado de imagem para whirlpool logo">
          <a:extLst>
            <a:ext uri="{FF2B5EF4-FFF2-40B4-BE49-F238E27FC236}">
              <a16:creationId xmlns:a16="http://schemas.microsoft.com/office/drawing/2014/main" id="{979B79F1-B372-413B-A086-B1BAD3A811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7" name="AutoShape 1" descr="Resultado de imagem para whirlpool logo">
          <a:extLst>
            <a:ext uri="{FF2B5EF4-FFF2-40B4-BE49-F238E27FC236}">
              <a16:creationId xmlns:a16="http://schemas.microsoft.com/office/drawing/2014/main" id="{C3B74E69-7332-4695-BD55-B3B7664E3E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8" name="AutoShape 1" descr="Resultado de imagem para whirlpool logo">
          <a:extLst>
            <a:ext uri="{FF2B5EF4-FFF2-40B4-BE49-F238E27FC236}">
              <a16:creationId xmlns:a16="http://schemas.microsoft.com/office/drawing/2014/main" id="{BAFC19CC-8070-41D6-B2CE-607C3EDD3B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29" name="AutoShape 1" descr="Resultado de imagem para whirlpool logo">
          <a:extLst>
            <a:ext uri="{FF2B5EF4-FFF2-40B4-BE49-F238E27FC236}">
              <a16:creationId xmlns:a16="http://schemas.microsoft.com/office/drawing/2014/main" id="{6B7D62AA-3FCA-4EDD-955B-B897802FC50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0" name="AutoShape 1" descr="Resultado de imagem para whirlpool logo">
          <a:extLst>
            <a:ext uri="{FF2B5EF4-FFF2-40B4-BE49-F238E27FC236}">
              <a16:creationId xmlns:a16="http://schemas.microsoft.com/office/drawing/2014/main" id="{7BF95A60-DB17-4BD0-80AB-E0FD41C723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1" name="AutoShape 1" descr="Resultado de imagem para whirlpool logo">
          <a:extLst>
            <a:ext uri="{FF2B5EF4-FFF2-40B4-BE49-F238E27FC236}">
              <a16:creationId xmlns:a16="http://schemas.microsoft.com/office/drawing/2014/main" id="{62414ED2-0276-49DD-AB1B-F2BEC48593B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2" name="AutoShape 1" descr="Resultado de imagem para whirlpool logo">
          <a:extLst>
            <a:ext uri="{FF2B5EF4-FFF2-40B4-BE49-F238E27FC236}">
              <a16:creationId xmlns:a16="http://schemas.microsoft.com/office/drawing/2014/main" id="{DC1214FB-0EEC-41CA-B753-924051CA87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3" name="AutoShape 1" descr="Resultado de imagem para whirlpool logo">
          <a:extLst>
            <a:ext uri="{FF2B5EF4-FFF2-40B4-BE49-F238E27FC236}">
              <a16:creationId xmlns:a16="http://schemas.microsoft.com/office/drawing/2014/main" id="{BBC6B1E7-56B1-4265-9920-79ACA46900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4" name="AutoShape 1" descr="Resultado de imagem para whirlpool logo">
          <a:extLst>
            <a:ext uri="{FF2B5EF4-FFF2-40B4-BE49-F238E27FC236}">
              <a16:creationId xmlns:a16="http://schemas.microsoft.com/office/drawing/2014/main" id="{28FFCD53-02CD-4961-8104-1977A3D8D53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5" name="AutoShape 1" descr="Resultado de imagem para whirlpool logo">
          <a:extLst>
            <a:ext uri="{FF2B5EF4-FFF2-40B4-BE49-F238E27FC236}">
              <a16:creationId xmlns:a16="http://schemas.microsoft.com/office/drawing/2014/main" id="{58B0EDA6-E88E-4470-9DEF-108541E6FE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6" name="AutoShape 1" descr="Resultado de imagem para whirlpool logo">
          <a:extLst>
            <a:ext uri="{FF2B5EF4-FFF2-40B4-BE49-F238E27FC236}">
              <a16:creationId xmlns:a16="http://schemas.microsoft.com/office/drawing/2014/main" id="{7C8DD72B-CEA7-4F75-A9F7-B7B1F3ACFB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7" name="AutoShape 1" descr="Resultado de imagem para whirlpool logo">
          <a:extLst>
            <a:ext uri="{FF2B5EF4-FFF2-40B4-BE49-F238E27FC236}">
              <a16:creationId xmlns:a16="http://schemas.microsoft.com/office/drawing/2014/main" id="{44082912-97F2-4BC4-963D-7B59CAB709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8" name="AutoShape 1" descr="Resultado de imagem para whirlpool logo">
          <a:extLst>
            <a:ext uri="{FF2B5EF4-FFF2-40B4-BE49-F238E27FC236}">
              <a16:creationId xmlns:a16="http://schemas.microsoft.com/office/drawing/2014/main" id="{4110B182-75C3-4EDB-914B-653F67B7A8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39" name="AutoShape 1" descr="Resultado de imagem para whirlpool logo">
          <a:extLst>
            <a:ext uri="{FF2B5EF4-FFF2-40B4-BE49-F238E27FC236}">
              <a16:creationId xmlns:a16="http://schemas.microsoft.com/office/drawing/2014/main" id="{B0A4FFC6-3558-48FA-B113-FF118DC006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0" name="AutoShape 1" descr="Resultado de imagem para whirlpool logo">
          <a:extLst>
            <a:ext uri="{FF2B5EF4-FFF2-40B4-BE49-F238E27FC236}">
              <a16:creationId xmlns:a16="http://schemas.microsoft.com/office/drawing/2014/main" id="{92021D3F-81DD-4A19-924D-64797BC3EC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1" name="AutoShape 1" descr="Resultado de imagem para whirlpool logo">
          <a:extLst>
            <a:ext uri="{FF2B5EF4-FFF2-40B4-BE49-F238E27FC236}">
              <a16:creationId xmlns:a16="http://schemas.microsoft.com/office/drawing/2014/main" id="{B54F4163-B3E0-4ED0-84CD-42AB2C9C97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2" name="AutoShape 1" descr="Resultado de imagem para whirlpool logo">
          <a:extLst>
            <a:ext uri="{FF2B5EF4-FFF2-40B4-BE49-F238E27FC236}">
              <a16:creationId xmlns:a16="http://schemas.microsoft.com/office/drawing/2014/main" id="{C14F1A80-C910-4EEF-8029-2E688BFE22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3" name="AutoShape 1" descr="Resultado de imagem para whirlpool logo">
          <a:extLst>
            <a:ext uri="{FF2B5EF4-FFF2-40B4-BE49-F238E27FC236}">
              <a16:creationId xmlns:a16="http://schemas.microsoft.com/office/drawing/2014/main" id="{B7A1A4AD-9ACC-463F-B89E-D7B978B628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4" name="AutoShape 1" descr="Resultado de imagem para whirlpool logo">
          <a:extLst>
            <a:ext uri="{FF2B5EF4-FFF2-40B4-BE49-F238E27FC236}">
              <a16:creationId xmlns:a16="http://schemas.microsoft.com/office/drawing/2014/main" id="{05FCD868-764E-4DDE-B3C2-6F8303651A3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5" name="AutoShape 1" descr="Resultado de imagem para whirlpool logo">
          <a:extLst>
            <a:ext uri="{FF2B5EF4-FFF2-40B4-BE49-F238E27FC236}">
              <a16:creationId xmlns:a16="http://schemas.microsoft.com/office/drawing/2014/main" id="{7C5CB188-C5AB-4FCA-88D7-036F399B48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6" name="AutoShape 1" descr="Resultado de imagem para whirlpool logo">
          <a:extLst>
            <a:ext uri="{FF2B5EF4-FFF2-40B4-BE49-F238E27FC236}">
              <a16:creationId xmlns:a16="http://schemas.microsoft.com/office/drawing/2014/main" id="{B58DCC43-E777-4FA1-A95A-6CA249608D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7" name="AutoShape 1" descr="Resultado de imagem para whirlpool logo">
          <a:extLst>
            <a:ext uri="{FF2B5EF4-FFF2-40B4-BE49-F238E27FC236}">
              <a16:creationId xmlns:a16="http://schemas.microsoft.com/office/drawing/2014/main" id="{7554A9AA-8A4E-427A-85AA-28A33ACF50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8" name="AutoShape 1" descr="Resultado de imagem para whirlpool logo">
          <a:extLst>
            <a:ext uri="{FF2B5EF4-FFF2-40B4-BE49-F238E27FC236}">
              <a16:creationId xmlns:a16="http://schemas.microsoft.com/office/drawing/2014/main" id="{B78B7280-AE09-4464-8F67-C68944F05D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49" name="AutoShape 1" descr="Resultado de imagem para whirlpool logo">
          <a:extLst>
            <a:ext uri="{FF2B5EF4-FFF2-40B4-BE49-F238E27FC236}">
              <a16:creationId xmlns:a16="http://schemas.microsoft.com/office/drawing/2014/main" id="{4BDABC55-2012-4D57-8140-02669D914B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0" name="AutoShape 1" descr="Resultado de imagem para whirlpool logo">
          <a:extLst>
            <a:ext uri="{FF2B5EF4-FFF2-40B4-BE49-F238E27FC236}">
              <a16:creationId xmlns:a16="http://schemas.microsoft.com/office/drawing/2014/main" id="{8E9E8D32-680A-429E-A15A-7E6D1AE9C0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1" name="AutoShape 1" descr="Resultado de imagem para whirlpool logo">
          <a:extLst>
            <a:ext uri="{FF2B5EF4-FFF2-40B4-BE49-F238E27FC236}">
              <a16:creationId xmlns:a16="http://schemas.microsoft.com/office/drawing/2014/main" id="{5230A39F-234F-4EAC-9419-A32FFA570D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2" name="AutoShape 1" descr="Resultado de imagem para whirlpool logo">
          <a:extLst>
            <a:ext uri="{FF2B5EF4-FFF2-40B4-BE49-F238E27FC236}">
              <a16:creationId xmlns:a16="http://schemas.microsoft.com/office/drawing/2014/main" id="{7E4E2FF1-C312-4382-994B-466877F5EC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3" name="AutoShape 1" descr="Resultado de imagem para whirlpool logo">
          <a:extLst>
            <a:ext uri="{FF2B5EF4-FFF2-40B4-BE49-F238E27FC236}">
              <a16:creationId xmlns:a16="http://schemas.microsoft.com/office/drawing/2014/main" id="{42831890-56FC-4427-85B6-B745776278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4" name="AutoShape 1" descr="Resultado de imagem para whirlpool logo">
          <a:extLst>
            <a:ext uri="{FF2B5EF4-FFF2-40B4-BE49-F238E27FC236}">
              <a16:creationId xmlns:a16="http://schemas.microsoft.com/office/drawing/2014/main" id="{34C8A19C-B380-4DAE-B885-AC87951C9C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5" name="AutoShape 1" descr="Resultado de imagem para whirlpool logo">
          <a:extLst>
            <a:ext uri="{FF2B5EF4-FFF2-40B4-BE49-F238E27FC236}">
              <a16:creationId xmlns:a16="http://schemas.microsoft.com/office/drawing/2014/main" id="{F4AEDDE8-7A4E-4150-9093-A84F9C82B1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6" name="AutoShape 1" descr="Resultado de imagem para whirlpool logo">
          <a:extLst>
            <a:ext uri="{FF2B5EF4-FFF2-40B4-BE49-F238E27FC236}">
              <a16:creationId xmlns:a16="http://schemas.microsoft.com/office/drawing/2014/main" id="{E1BFE2D1-088C-447E-A836-1FD72DE510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7" name="AutoShape 1" descr="Resultado de imagem para whirlpool logo">
          <a:extLst>
            <a:ext uri="{FF2B5EF4-FFF2-40B4-BE49-F238E27FC236}">
              <a16:creationId xmlns:a16="http://schemas.microsoft.com/office/drawing/2014/main" id="{33B8A1C6-E2F9-4C47-90EE-C7B538E13C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8" name="AutoShape 1" descr="Resultado de imagem para whirlpool logo">
          <a:extLst>
            <a:ext uri="{FF2B5EF4-FFF2-40B4-BE49-F238E27FC236}">
              <a16:creationId xmlns:a16="http://schemas.microsoft.com/office/drawing/2014/main" id="{0BBFDDB1-80E3-4E09-A2CE-7E4D988E347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59" name="AutoShape 1" descr="Resultado de imagem para whirlpool logo">
          <a:extLst>
            <a:ext uri="{FF2B5EF4-FFF2-40B4-BE49-F238E27FC236}">
              <a16:creationId xmlns:a16="http://schemas.microsoft.com/office/drawing/2014/main" id="{3EE85ACA-4B5D-4DD2-95FF-526B21DC610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0" name="AutoShape 1" descr="Resultado de imagem para whirlpool logo">
          <a:extLst>
            <a:ext uri="{FF2B5EF4-FFF2-40B4-BE49-F238E27FC236}">
              <a16:creationId xmlns:a16="http://schemas.microsoft.com/office/drawing/2014/main" id="{3E4125B6-72F9-40D5-B646-1BAF9ECE79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1" name="AutoShape 1" descr="Resultado de imagem para whirlpool logo">
          <a:extLst>
            <a:ext uri="{FF2B5EF4-FFF2-40B4-BE49-F238E27FC236}">
              <a16:creationId xmlns:a16="http://schemas.microsoft.com/office/drawing/2014/main" id="{B2FB03BA-DA6C-4BE1-A667-B209C306D79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2" name="AutoShape 1" descr="Resultado de imagem para whirlpool logo">
          <a:extLst>
            <a:ext uri="{FF2B5EF4-FFF2-40B4-BE49-F238E27FC236}">
              <a16:creationId xmlns:a16="http://schemas.microsoft.com/office/drawing/2014/main" id="{3946D396-C067-40C8-A42C-AED1BCB4EC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3" name="AutoShape 1" descr="Resultado de imagem para whirlpool logo">
          <a:extLst>
            <a:ext uri="{FF2B5EF4-FFF2-40B4-BE49-F238E27FC236}">
              <a16:creationId xmlns:a16="http://schemas.microsoft.com/office/drawing/2014/main" id="{0CAF5805-5BE9-4593-AF64-6AC1D2881E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4" name="AutoShape 1" descr="Resultado de imagem para whirlpool logo">
          <a:extLst>
            <a:ext uri="{FF2B5EF4-FFF2-40B4-BE49-F238E27FC236}">
              <a16:creationId xmlns:a16="http://schemas.microsoft.com/office/drawing/2014/main" id="{46CE99E0-CE7B-4E6D-9D89-CCC96E1CF4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5" name="AutoShape 1" descr="Resultado de imagem para whirlpool logo">
          <a:extLst>
            <a:ext uri="{FF2B5EF4-FFF2-40B4-BE49-F238E27FC236}">
              <a16:creationId xmlns:a16="http://schemas.microsoft.com/office/drawing/2014/main" id="{5885D360-DD8D-4CD4-9744-27B75E8950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6" name="AutoShape 1" descr="Resultado de imagem para whirlpool logo">
          <a:extLst>
            <a:ext uri="{FF2B5EF4-FFF2-40B4-BE49-F238E27FC236}">
              <a16:creationId xmlns:a16="http://schemas.microsoft.com/office/drawing/2014/main" id="{BC19AE69-ADA6-4797-8DF4-B7E849A60C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7" name="AutoShape 1" descr="Resultado de imagem para whirlpool logo">
          <a:extLst>
            <a:ext uri="{FF2B5EF4-FFF2-40B4-BE49-F238E27FC236}">
              <a16:creationId xmlns:a16="http://schemas.microsoft.com/office/drawing/2014/main" id="{5428E420-8DE1-4735-9381-5BE6D86345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8" name="AutoShape 1" descr="Resultado de imagem para whirlpool logo">
          <a:extLst>
            <a:ext uri="{FF2B5EF4-FFF2-40B4-BE49-F238E27FC236}">
              <a16:creationId xmlns:a16="http://schemas.microsoft.com/office/drawing/2014/main" id="{EF55CFD9-FA01-4C5A-BEDB-FC8E53D4D8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69" name="AutoShape 1" descr="Resultado de imagem para whirlpool logo">
          <a:extLst>
            <a:ext uri="{FF2B5EF4-FFF2-40B4-BE49-F238E27FC236}">
              <a16:creationId xmlns:a16="http://schemas.microsoft.com/office/drawing/2014/main" id="{C7205041-458B-4F64-9A27-625ED904EE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0" name="AutoShape 1" descr="Resultado de imagem para whirlpool logo">
          <a:extLst>
            <a:ext uri="{FF2B5EF4-FFF2-40B4-BE49-F238E27FC236}">
              <a16:creationId xmlns:a16="http://schemas.microsoft.com/office/drawing/2014/main" id="{29A5CCA9-7C03-4B2E-A560-2BCA4EAFCD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1" name="AutoShape 1" descr="Resultado de imagem para whirlpool logo">
          <a:extLst>
            <a:ext uri="{FF2B5EF4-FFF2-40B4-BE49-F238E27FC236}">
              <a16:creationId xmlns:a16="http://schemas.microsoft.com/office/drawing/2014/main" id="{19C56CE7-A758-41F2-9800-BDBAB07425D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2" name="AutoShape 1" descr="Resultado de imagem para whirlpool logo">
          <a:extLst>
            <a:ext uri="{FF2B5EF4-FFF2-40B4-BE49-F238E27FC236}">
              <a16:creationId xmlns:a16="http://schemas.microsoft.com/office/drawing/2014/main" id="{750384F7-793F-46C4-ABC6-374A1FDEA9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3" name="AutoShape 1" descr="Resultado de imagem para whirlpool logo">
          <a:extLst>
            <a:ext uri="{FF2B5EF4-FFF2-40B4-BE49-F238E27FC236}">
              <a16:creationId xmlns:a16="http://schemas.microsoft.com/office/drawing/2014/main" id="{7A448865-AB4B-4708-BDB7-F219564418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4" name="AutoShape 1" descr="Resultado de imagem para whirlpool logo">
          <a:extLst>
            <a:ext uri="{FF2B5EF4-FFF2-40B4-BE49-F238E27FC236}">
              <a16:creationId xmlns:a16="http://schemas.microsoft.com/office/drawing/2014/main" id="{CA4B1D5A-5AF4-4386-A60A-F7A88CA897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5" name="AutoShape 1" descr="Resultado de imagem para whirlpool logo">
          <a:extLst>
            <a:ext uri="{FF2B5EF4-FFF2-40B4-BE49-F238E27FC236}">
              <a16:creationId xmlns:a16="http://schemas.microsoft.com/office/drawing/2014/main" id="{F9291498-A0D0-440F-881B-C2B5FED25E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6" name="AutoShape 1" descr="Resultado de imagem para whirlpool logo">
          <a:extLst>
            <a:ext uri="{FF2B5EF4-FFF2-40B4-BE49-F238E27FC236}">
              <a16:creationId xmlns:a16="http://schemas.microsoft.com/office/drawing/2014/main" id="{3CDAC115-B750-4874-BE31-D5AF5DE50A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7" name="AutoShape 1" descr="Resultado de imagem para whirlpool logo">
          <a:extLst>
            <a:ext uri="{FF2B5EF4-FFF2-40B4-BE49-F238E27FC236}">
              <a16:creationId xmlns:a16="http://schemas.microsoft.com/office/drawing/2014/main" id="{BC72F08D-3B86-4E84-847F-1E70E5C429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8" name="AutoShape 1" descr="Resultado de imagem para whirlpool logo">
          <a:extLst>
            <a:ext uri="{FF2B5EF4-FFF2-40B4-BE49-F238E27FC236}">
              <a16:creationId xmlns:a16="http://schemas.microsoft.com/office/drawing/2014/main" id="{FCA3192D-AA73-42EA-8573-05F7FD3EC1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79" name="AutoShape 1" descr="Resultado de imagem para whirlpool logo">
          <a:extLst>
            <a:ext uri="{FF2B5EF4-FFF2-40B4-BE49-F238E27FC236}">
              <a16:creationId xmlns:a16="http://schemas.microsoft.com/office/drawing/2014/main" id="{FE73A2D1-E62D-4DD8-BB45-085DDC5D009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0" name="AutoShape 1" descr="Resultado de imagem para whirlpool logo">
          <a:extLst>
            <a:ext uri="{FF2B5EF4-FFF2-40B4-BE49-F238E27FC236}">
              <a16:creationId xmlns:a16="http://schemas.microsoft.com/office/drawing/2014/main" id="{70619AB9-0C33-4677-A29C-38623DFA12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1" name="AutoShape 1" descr="Resultado de imagem para whirlpool logo">
          <a:extLst>
            <a:ext uri="{FF2B5EF4-FFF2-40B4-BE49-F238E27FC236}">
              <a16:creationId xmlns:a16="http://schemas.microsoft.com/office/drawing/2014/main" id="{5514ED7A-8BBD-41EB-AF32-C14C0FD8B87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2" name="AutoShape 1" descr="Resultado de imagem para whirlpool logo">
          <a:extLst>
            <a:ext uri="{FF2B5EF4-FFF2-40B4-BE49-F238E27FC236}">
              <a16:creationId xmlns:a16="http://schemas.microsoft.com/office/drawing/2014/main" id="{4E9F0317-F614-484A-A47B-EC24DF6A696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3" name="AutoShape 1" descr="Resultado de imagem para whirlpool logo">
          <a:extLst>
            <a:ext uri="{FF2B5EF4-FFF2-40B4-BE49-F238E27FC236}">
              <a16:creationId xmlns:a16="http://schemas.microsoft.com/office/drawing/2014/main" id="{BFBC258F-CC0C-460B-BC41-136053354F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4" name="AutoShape 1" descr="Resultado de imagem para whirlpool logo">
          <a:extLst>
            <a:ext uri="{FF2B5EF4-FFF2-40B4-BE49-F238E27FC236}">
              <a16:creationId xmlns:a16="http://schemas.microsoft.com/office/drawing/2014/main" id="{5CA39952-4D23-4419-9264-D2C16F4EDB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5" name="AutoShape 1" descr="Resultado de imagem para whirlpool logo">
          <a:extLst>
            <a:ext uri="{FF2B5EF4-FFF2-40B4-BE49-F238E27FC236}">
              <a16:creationId xmlns:a16="http://schemas.microsoft.com/office/drawing/2014/main" id="{ABC3DDD9-8620-4204-B0AE-09B1FDA0542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6" name="AutoShape 1" descr="Resultado de imagem para whirlpool logo">
          <a:extLst>
            <a:ext uri="{FF2B5EF4-FFF2-40B4-BE49-F238E27FC236}">
              <a16:creationId xmlns:a16="http://schemas.microsoft.com/office/drawing/2014/main" id="{4E95AEF3-23BB-411E-A53C-CFF91C7730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7" name="AutoShape 1" descr="Resultado de imagem para whirlpool logo">
          <a:extLst>
            <a:ext uri="{FF2B5EF4-FFF2-40B4-BE49-F238E27FC236}">
              <a16:creationId xmlns:a16="http://schemas.microsoft.com/office/drawing/2014/main" id="{B0EE98A4-EFC6-4480-B28F-015DEF57C1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8" name="AutoShape 1" descr="Resultado de imagem para whirlpool logo">
          <a:extLst>
            <a:ext uri="{FF2B5EF4-FFF2-40B4-BE49-F238E27FC236}">
              <a16:creationId xmlns:a16="http://schemas.microsoft.com/office/drawing/2014/main" id="{D63100A7-F8E4-4F06-ABD2-3148217538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89" name="AutoShape 1" descr="Resultado de imagem para whirlpool logo">
          <a:extLst>
            <a:ext uri="{FF2B5EF4-FFF2-40B4-BE49-F238E27FC236}">
              <a16:creationId xmlns:a16="http://schemas.microsoft.com/office/drawing/2014/main" id="{F74D1655-CC93-4EAC-9109-3FC20A3F51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0" name="AutoShape 1" descr="Resultado de imagem para whirlpool logo">
          <a:extLst>
            <a:ext uri="{FF2B5EF4-FFF2-40B4-BE49-F238E27FC236}">
              <a16:creationId xmlns:a16="http://schemas.microsoft.com/office/drawing/2014/main" id="{400C2F98-EEC2-4605-A419-B99F4A5C2ED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1" name="AutoShape 1" descr="Resultado de imagem para whirlpool logo">
          <a:extLst>
            <a:ext uri="{FF2B5EF4-FFF2-40B4-BE49-F238E27FC236}">
              <a16:creationId xmlns:a16="http://schemas.microsoft.com/office/drawing/2014/main" id="{83175D29-DF27-4BE9-98E1-F245D630AE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2" name="AutoShape 1" descr="Resultado de imagem para whirlpool logo">
          <a:extLst>
            <a:ext uri="{FF2B5EF4-FFF2-40B4-BE49-F238E27FC236}">
              <a16:creationId xmlns:a16="http://schemas.microsoft.com/office/drawing/2014/main" id="{008F6039-8C06-47B6-96CC-2BCABD2A9D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3" name="AutoShape 1" descr="Resultado de imagem para whirlpool logo">
          <a:extLst>
            <a:ext uri="{FF2B5EF4-FFF2-40B4-BE49-F238E27FC236}">
              <a16:creationId xmlns:a16="http://schemas.microsoft.com/office/drawing/2014/main" id="{60E1D1BD-63A1-4F7C-A164-B0BFDCEDB2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4" name="AutoShape 1" descr="Resultado de imagem para whirlpool logo">
          <a:extLst>
            <a:ext uri="{FF2B5EF4-FFF2-40B4-BE49-F238E27FC236}">
              <a16:creationId xmlns:a16="http://schemas.microsoft.com/office/drawing/2014/main" id="{6F2F8DEA-3557-42B2-84D9-F36D01793E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5" name="AutoShape 1" descr="Resultado de imagem para whirlpool logo">
          <a:extLst>
            <a:ext uri="{FF2B5EF4-FFF2-40B4-BE49-F238E27FC236}">
              <a16:creationId xmlns:a16="http://schemas.microsoft.com/office/drawing/2014/main" id="{67100925-5482-4EDA-8AF7-AA1DA532D7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6" name="AutoShape 1" descr="Resultado de imagem para whirlpool logo">
          <a:extLst>
            <a:ext uri="{FF2B5EF4-FFF2-40B4-BE49-F238E27FC236}">
              <a16:creationId xmlns:a16="http://schemas.microsoft.com/office/drawing/2014/main" id="{BFA45805-BB39-43EE-AE2A-E89677DBC0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7" name="AutoShape 1" descr="Resultado de imagem para whirlpool logo">
          <a:extLst>
            <a:ext uri="{FF2B5EF4-FFF2-40B4-BE49-F238E27FC236}">
              <a16:creationId xmlns:a16="http://schemas.microsoft.com/office/drawing/2014/main" id="{00AB503C-E830-4B80-8758-F13B5AEFD1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8" name="AutoShape 1" descr="Resultado de imagem para whirlpool logo">
          <a:extLst>
            <a:ext uri="{FF2B5EF4-FFF2-40B4-BE49-F238E27FC236}">
              <a16:creationId xmlns:a16="http://schemas.microsoft.com/office/drawing/2014/main" id="{3D284937-9B91-4BB8-9B05-8822C257D8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699" name="AutoShape 1" descr="Resultado de imagem para whirlpool logo">
          <a:extLst>
            <a:ext uri="{FF2B5EF4-FFF2-40B4-BE49-F238E27FC236}">
              <a16:creationId xmlns:a16="http://schemas.microsoft.com/office/drawing/2014/main" id="{9BF6E1D4-A01F-4D1A-83D9-EBBA9374AE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0" name="AutoShape 1" descr="Resultado de imagem para whirlpool logo">
          <a:extLst>
            <a:ext uri="{FF2B5EF4-FFF2-40B4-BE49-F238E27FC236}">
              <a16:creationId xmlns:a16="http://schemas.microsoft.com/office/drawing/2014/main" id="{A5CDDD54-4B2B-42E2-B791-31F8E66212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1" name="AutoShape 1" descr="Resultado de imagem para whirlpool logo">
          <a:extLst>
            <a:ext uri="{FF2B5EF4-FFF2-40B4-BE49-F238E27FC236}">
              <a16:creationId xmlns:a16="http://schemas.microsoft.com/office/drawing/2014/main" id="{7559F7F6-CACC-42B8-9A57-2C52F423C59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2" name="AutoShape 1" descr="Resultado de imagem para whirlpool logo">
          <a:extLst>
            <a:ext uri="{FF2B5EF4-FFF2-40B4-BE49-F238E27FC236}">
              <a16:creationId xmlns:a16="http://schemas.microsoft.com/office/drawing/2014/main" id="{B1EAAFFF-5A3E-4A0B-AAB3-EA2A3DE128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3" name="AutoShape 1" descr="Resultado de imagem para whirlpool logo">
          <a:extLst>
            <a:ext uri="{FF2B5EF4-FFF2-40B4-BE49-F238E27FC236}">
              <a16:creationId xmlns:a16="http://schemas.microsoft.com/office/drawing/2014/main" id="{3EA7313A-3E7C-4957-9012-55029ACFAA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4" name="AutoShape 1" descr="Resultado de imagem para whirlpool logo">
          <a:extLst>
            <a:ext uri="{FF2B5EF4-FFF2-40B4-BE49-F238E27FC236}">
              <a16:creationId xmlns:a16="http://schemas.microsoft.com/office/drawing/2014/main" id="{7641D31F-338B-4E5C-9C33-AE4CA18429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5" name="AutoShape 1" descr="Resultado de imagem para whirlpool logo">
          <a:extLst>
            <a:ext uri="{FF2B5EF4-FFF2-40B4-BE49-F238E27FC236}">
              <a16:creationId xmlns:a16="http://schemas.microsoft.com/office/drawing/2014/main" id="{D1C08F1F-2258-4BB3-A60F-680669ABC6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6" name="AutoShape 1" descr="Resultado de imagem para whirlpool logo">
          <a:extLst>
            <a:ext uri="{FF2B5EF4-FFF2-40B4-BE49-F238E27FC236}">
              <a16:creationId xmlns:a16="http://schemas.microsoft.com/office/drawing/2014/main" id="{59B8AA4F-5FF8-49EB-945A-49DD2CE282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7" name="AutoShape 1" descr="Resultado de imagem para whirlpool logo">
          <a:extLst>
            <a:ext uri="{FF2B5EF4-FFF2-40B4-BE49-F238E27FC236}">
              <a16:creationId xmlns:a16="http://schemas.microsoft.com/office/drawing/2014/main" id="{A7D8D849-884A-4DAD-A6D5-249D1D95500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8" name="AutoShape 1" descr="Resultado de imagem para whirlpool logo">
          <a:extLst>
            <a:ext uri="{FF2B5EF4-FFF2-40B4-BE49-F238E27FC236}">
              <a16:creationId xmlns:a16="http://schemas.microsoft.com/office/drawing/2014/main" id="{A8177012-6C40-4A31-BC2C-F66F95E6BEF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09" name="AutoShape 1" descr="Resultado de imagem para whirlpool logo">
          <a:extLst>
            <a:ext uri="{FF2B5EF4-FFF2-40B4-BE49-F238E27FC236}">
              <a16:creationId xmlns:a16="http://schemas.microsoft.com/office/drawing/2014/main" id="{4A3A3703-BDC1-4EEA-8A29-BA3EDB36FF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0" name="AutoShape 1" descr="Resultado de imagem para whirlpool logo">
          <a:extLst>
            <a:ext uri="{FF2B5EF4-FFF2-40B4-BE49-F238E27FC236}">
              <a16:creationId xmlns:a16="http://schemas.microsoft.com/office/drawing/2014/main" id="{8451ADE6-01F7-4265-AE55-09A31DC062F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1" name="AutoShape 1" descr="Resultado de imagem para whirlpool logo">
          <a:extLst>
            <a:ext uri="{FF2B5EF4-FFF2-40B4-BE49-F238E27FC236}">
              <a16:creationId xmlns:a16="http://schemas.microsoft.com/office/drawing/2014/main" id="{DE60191D-AEAA-497D-AD83-13C79CBDA0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2" name="AutoShape 1" descr="Resultado de imagem para whirlpool logo">
          <a:extLst>
            <a:ext uri="{FF2B5EF4-FFF2-40B4-BE49-F238E27FC236}">
              <a16:creationId xmlns:a16="http://schemas.microsoft.com/office/drawing/2014/main" id="{DEEDAC84-D649-41A4-9A26-3F58D12EF9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3" name="AutoShape 1" descr="Resultado de imagem para whirlpool logo">
          <a:extLst>
            <a:ext uri="{FF2B5EF4-FFF2-40B4-BE49-F238E27FC236}">
              <a16:creationId xmlns:a16="http://schemas.microsoft.com/office/drawing/2014/main" id="{20037447-9C5B-4268-86EE-5075A6206F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4" name="AutoShape 1" descr="Resultado de imagem para whirlpool logo">
          <a:extLst>
            <a:ext uri="{FF2B5EF4-FFF2-40B4-BE49-F238E27FC236}">
              <a16:creationId xmlns:a16="http://schemas.microsoft.com/office/drawing/2014/main" id="{96E7A167-B2C9-4BAE-B526-EC9F082E76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5" name="AutoShape 1" descr="Resultado de imagem para whirlpool logo">
          <a:extLst>
            <a:ext uri="{FF2B5EF4-FFF2-40B4-BE49-F238E27FC236}">
              <a16:creationId xmlns:a16="http://schemas.microsoft.com/office/drawing/2014/main" id="{C122B62C-4089-4F4C-8EB9-78A4AC2353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716" name="AutoShape 1" descr="Resultado de imagem para whirlpool logo">
          <a:extLst>
            <a:ext uri="{FF2B5EF4-FFF2-40B4-BE49-F238E27FC236}">
              <a16:creationId xmlns:a16="http://schemas.microsoft.com/office/drawing/2014/main" id="{00B04D35-F11D-48C3-A2EA-06AACB3E6C7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7" name="AutoShape 1" descr="Resultado de imagem para whirlpool logo">
          <a:extLst>
            <a:ext uri="{FF2B5EF4-FFF2-40B4-BE49-F238E27FC236}">
              <a16:creationId xmlns:a16="http://schemas.microsoft.com/office/drawing/2014/main" id="{74A54700-C32E-4295-8A15-9965DF689F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8" name="AutoShape 1" descr="Resultado de imagem para whirlpool logo">
          <a:extLst>
            <a:ext uri="{FF2B5EF4-FFF2-40B4-BE49-F238E27FC236}">
              <a16:creationId xmlns:a16="http://schemas.microsoft.com/office/drawing/2014/main" id="{A0C7FE09-5543-4567-8D6A-34E026FF70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19" name="AutoShape 1" descr="Resultado de imagem para whirlpool logo">
          <a:extLst>
            <a:ext uri="{FF2B5EF4-FFF2-40B4-BE49-F238E27FC236}">
              <a16:creationId xmlns:a16="http://schemas.microsoft.com/office/drawing/2014/main" id="{67A594EF-09DC-456B-BEBB-13829D5E87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0" name="AutoShape 1" descr="Resultado de imagem para whirlpool logo">
          <a:extLst>
            <a:ext uri="{FF2B5EF4-FFF2-40B4-BE49-F238E27FC236}">
              <a16:creationId xmlns:a16="http://schemas.microsoft.com/office/drawing/2014/main" id="{7ACEB7F8-FD8C-4FBE-985D-E33DE2853E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1" name="AutoShape 1" descr="Resultado de imagem para whirlpool logo">
          <a:extLst>
            <a:ext uri="{FF2B5EF4-FFF2-40B4-BE49-F238E27FC236}">
              <a16:creationId xmlns:a16="http://schemas.microsoft.com/office/drawing/2014/main" id="{98E8AE5B-D8E0-4AD5-A4A5-1C31DEF5BE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2" name="AutoShape 1" descr="Resultado de imagem para whirlpool logo">
          <a:extLst>
            <a:ext uri="{FF2B5EF4-FFF2-40B4-BE49-F238E27FC236}">
              <a16:creationId xmlns:a16="http://schemas.microsoft.com/office/drawing/2014/main" id="{AF9CB9F3-99E0-439C-B01D-10D28CA9FE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3" name="AutoShape 1" descr="Resultado de imagem para whirlpool logo">
          <a:extLst>
            <a:ext uri="{FF2B5EF4-FFF2-40B4-BE49-F238E27FC236}">
              <a16:creationId xmlns:a16="http://schemas.microsoft.com/office/drawing/2014/main" id="{8AF23243-07E0-49D5-B9A7-25B630D07E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4" name="AutoShape 1" descr="Resultado de imagem para whirlpool logo">
          <a:extLst>
            <a:ext uri="{FF2B5EF4-FFF2-40B4-BE49-F238E27FC236}">
              <a16:creationId xmlns:a16="http://schemas.microsoft.com/office/drawing/2014/main" id="{A3BD8AED-9099-47D0-AEDE-D364D3B92D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5" name="AutoShape 1" descr="Resultado de imagem para whirlpool logo">
          <a:extLst>
            <a:ext uri="{FF2B5EF4-FFF2-40B4-BE49-F238E27FC236}">
              <a16:creationId xmlns:a16="http://schemas.microsoft.com/office/drawing/2014/main" id="{ECBA7E03-8FA1-4F74-A61C-825932506B1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6" name="AutoShape 1" descr="Resultado de imagem para whirlpool logo">
          <a:extLst>
            <a:ext uri="{FF2B5EF4-FFF2-40B4-BE49-F238E27FC236}">
              <a16:creationId xmlns:a16="http://schemas.microsoft.com/office/drawing/2014/main" id="{B6179402-A3BC-4C92-8255-BCD87233AF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7" name="AutoShape 1" descr="Resultado de imagem para whirlpool logo">
          <a:extLst>
            <a:ext uri="{FF2B5EF4-FFF2-40B4-BE49-F238E27FC236}">
              <a16:creationId xmlns:a16="http://schemas.microsoft.com/office/drawing/2014/main" id="{9AFBD14A-4D9B-4017-8F20-4A35CC2D8C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8" name="AutoShape 1" descr="Resultado de imagem para whirlpool logo">
          <a:extLst>
            <a:ext uri="{FF2B5EF4-FFF2-40B4-BE49-F238E27FC236}">
              <a16:creationId xmlns:a16="http://schemas.microsoft.com/office/drawing/2014/main" id="{596A07BE-CBD2-4732-97C4-8D3494F505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29" name="AutoShape 1" descr="Resultado de imagem para whirlpool logo">
          <a:extLst>
            <a:ext uri="{FF2B5EF4-FFF2-40B4-BE49-F238E27FC236}">
              <a16:creationId xmlns:a16="http://schemas.microsoft.com/office/drawing/2014/main" id="{5F558FAE-3289-4941-A74A-1B6AF45C318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0" name="AutoShape 1" descr="Resultado de imagem para whirlpool logo">
          <a:extLst>
            <a:ext uri="{FF2B5EF4-FFF2-40B4-BE49-F238E27FC236}">
              <a16:creationId xmlns:a16="http://schemas.microsoft.com/office/drawing/2014/main" id="{44BC66D7-F2CE-46D0-A16C-B59F4EB9A80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1" name="AutoShape 1" descr="Resultado de imagem para whirlpool logo">
          <a:extLst>
            <a:ext uri="{FF2B5EF4-FFF2-40B4-BE49-F238E27FC236}">
              <a16:creationId xmlns:a16="http://schemas.microsoft.com/office/drawing/2014/main" id="{0B9F3FC8-A421-44CD-BB06-31BA553B04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2" name="AutoShape 1" descr="Resultado de imagem para whirlpool logo">
          <a:extLst>
            <a:ext uri="{FF2B5EF4-FFF2-40B4-BE49-F238E27FC236}">
              <a16:creationId xmlns:a16="http://schemas.microsoft.com/office/drawing/2014/main" id="{3AF40690-F662-4786-AB77-04EC81DFA1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3" name="AutoShape 1" descr="Resultado de imagem para whirlpool logo">
          <a:extLst>
            <a:ext uri="{FF2B5EF4-FFF2-40B4-BE49-F238E27FC236}">
              <a16:creationId xmlns:a16="http://schemas.microsoft.com/office/drawing/2014/main" id="{15493265-81E0-4774-9465-9049DE7E32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4" name="AutoShape 1" descr="Resultado de imagem para whirlpool logo">
          <a:extLst>
            <a:ext uri="{FF2B5EF4-FFF2-40B4-BE49-F238E27FC236}">
              <a16:creationId xmlns:a16="http://schemas.microsoft.com/office/drawing/2014/main" id="{E6816D50-2FA2-4233-A319-5F11367032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5" name="AutoShape 1" descr="Resultado de imagem para whirlpool logo">
          <a:extLst>
            <a:ext uri="{FF2B5EF4-FFF2-40B4-BE49-F238E27FC236}">
              <a16:creationId xmlns:a16="http://schemas.microsoft.com/office/drawing/2014/main" id="{7C1EA518-6ECF-461C-8B0C-6538058E5F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6" name="AutoShape 1" descr="Resultado de imagem para whirlpool logo">
          <a:extLst>
            <a:ext uri="{FF2B5EF4-FFF2-40B4-BE49-F238E27FC236}">
              <a16:creationId xmlns:a16="http://schemas.microsoft.com/office/drawing/2014/main" id="{0CED2870-AF8D-4861-91CE-5A11A22BFE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7" name="AutoShape 1" descr="Resultado de imagem para whirlpool logo">
          <a:extLst>
            <a:ext uri="{FF2B5EF4-FFF2-40B4-BE49-F238E27FC236}">
              <a16:creationId xmlns:a16="http://schemas.microsoft.com/office/drawing/2014/main" id="{9E8DF982-0A9F-481C-B1ED-9EA931FA262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8" name="AutoShape 1" descr="Resultado de imagem para whirlpool logo">
          <a:extLst>
            <a:ext uri="{FF2B5EF4-FFF2-40B4-BE49-F238E27FC236}">
              <a16:creationId xmlns:a16="http://schemas.microsoft.com/office/drawing/2014/main" id="{6D1FDFA9-CA5A-4BEC-BE24-2A0FF434DC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39" name="AutoShape 1" descr="Resultado de imagem para whirlpool logo">
          <a:extLst>
            <a:ext uri="{FF2B5EF4-FFF2-40B4-BE49-F238E27FC236}">
              <a16:creationId xmlns:a16="http://schemas.microsoft.com/office/drawing/2014/main" id="{0E4B44A4-DF07-4986-8440-80421BB791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0" name="AutoShape 1" descr="Resultado de imagem para whirlpool logo">
          <a:extLst>
            <a:ext uri="{FF2B5EF4-FFF2-40B4-BE49-F238E27FC236}">
              <a16:creationId xmlns:a16="http://schemas.microsoft.com/office/drawing/2014/main" id="{F73AC89C-4F62-45A6-9708-D967C0FACB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1" name="AutoShape 1" descr="Resultado de imagem para whirlpool logo">
          <a:extLst>
            <a:ext uri="{FF2B5EF4-FFF2-40B4-BE49-F238E27FC236}">
              <a16:creationId xmlns:a16="http://schemas.microsoft.com/office/drawing/2014/main" id="{40F998F8-7667-4B21-9666-C88BA10B97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2" name="AutoShape 1" descr="Resultado de imagem para whirlpool logo">
          <a:extLst>
            <a:ext uri="{FF2B5EF4-FFF2-40B4-BE49-F238E27FC236}">
              <a16:creationId xmlns:a16="http://schemas.microsoft.com/office/drawing/2014/main" id="{CCB7DB43-D6E5-4F3A-852A-1E3A46BF13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3" name="AutoShape 1" descr="Resultado de imagem para whirlpool logo">
          <a:extLst>
            <a:ext uri="{FF2B5EF4-FFF2-40B4-BE49-F238E27FC236}">
              <a16:creationId xmlns:a16="http://schemas.microsoft.com/office/drawing/2014/main" id="{2EB9C0AA-4169-43F5-A108-C5DA6EF8AD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4" name="AutoShape 1" descr="Resultado de imagem para whirlpool logo">
          <a:extLst>
            <a:ext uri="{FF2B5EF4-FFF2-40B4-BE49-F238E27FC236}">
              <a16:creationId xmlns:a16="http://schemas.microsoft.com/office/drawing/2014/main" id="{CC8ABC75-2738-4111-B4C5-D18DC5F5F5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5" name="AutoShape 1" descr="Resultado de imagem para whirlpool logo">
          <a:extLst>
            <a:ext uri="{FF2B5EF4-FFF2-40B4-BE49-F238E27FC236}">
              <a16:creationId xmlns:a16="http://schemas.microsoft.com/office/drawing/2014/main" id="{9CAB28FF-E43E-4B7C-B74B-3A5D2741F0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6" name="AutoShape 1" descr="Resultado de imagem para whirlpool logo">
          <a:extLst>
            <a:ext uri="{FF2B5EF4-FFF2-40B4-BE49-F238E27FC236}">
              <a16:creationId xmlns:a16="http://schemas.microsoft.com/office/drawing/2014/main" id="{224BD4D5-17AE-4797-A9CF-B5989C4818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7" name="AutoShape 1" descr="Resultado de imagem para whirlpool logo">
          <a:extLst>
            <a:ext uri="{FF2B5EF4-FFF2-40B4-BE49-F238E27FC236}">
              <a16:creationId xmlns:a16="http://schemas.microsoft.com/office/drawing/2014/main" id="{2DB57FFF-F995-4999-A7D8-181F4C504A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8" name="AutoShape 1" descr="Resultado de imagem para whirlpool logo">
          <a:extLst>
            <a:ext uri="{FF2B5EF4-FFF2-40B4-BE49-F238E27FC236}">
              <a16:creationId xmlns:a16="http://schemas.microsoft.com/office/drawing/2014/main" id="{FD10965D-3310-460D-A61D-4CEB90E94A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49" name="AutoShape 1" descr="Resultado de imagem para whirlpool logo">
          <a:extLst>
            <a:ext uri="{FF2B5EF4-FFF2-40B4-BE49-F238E27FC236}">
              <a16:creationId xmlns:a16="http://schemas.microsoft.com/office/drawing/2014/main" id="{8D036259-EBCC-4E05-B2CC-A322D1183C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0" name="AutoShape 1" descr="Resultado de imagem para whirlpool logo">
          <a:extLst>
            <a:ext uri="{FF2B5EF4-FFF2-40B4-BE49-F238E27FC236}">
              <a16:creationId xmlns:a16="http://schemas.microsoft.com/office/drawing/2014/main" id="{FF1097BD-D613-4176-B92E-9903601C7CE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1" name="AutoShape 1" descr="Resultado de imagem para whirlpool logo">
          <a:extLst>
            <a:ext uri="{FF2B5EF4-FFF2-40B4-BE49-F238E27FC236}">
              <a16:creationId xmlns:a16="http://schemas.microsoft.com/office/drawing/2014/main" id="{F0D9C93B-F0E5-42AB-9C9A-74E901B022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2" name="AutoShape 1" descr="Resultado de imagem para whirlpool logo">
          <a:extLst>
            <a:ext uri="{FF2B5EF4-FFF2-40B4-BE49-F238E27FC236}">
              <a16:creationId xmlns:a16="http://schemas.microsoft.com/office/drawing/2014/main" id="{09175276-6AD8-4A47-8C25-698B8B12E9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3" name="AutoShape 1" descr="Resultado de imagem para whirlpool logo">
          <a:extLst>
            <a:ext uri="{FF2B5EF4-FFF2-40B4-BE49-F238E27FC236}">
              <a16:creationId xmlns:a16="http://schemas.microsoft.com/office/drawing/2014/main" id="{0C4AAFD2-7873-4FAF-9CFE-AE2B9A0C9B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4" name="AutoShape 1" descr="Resultado de imagem para whirlpool logo">
          <a:extLst>
            <a:ext uri="{FF2B5EF4-FFF2-40B4-BE49-F238E27FC236}">
              <a16:creationId xmlns:a16="http://schemas.microsoft.com/office/drawing/2014/main" id="{B18B57D3-A482-4F7C-8D0A-D7B5B3BD83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5" name="AutoShape 1" descr="Resultado de imagem para whirlpool logo">
          <a:extLst>
            <a:ext uri="{FF2B5EF4-FFF2-40B4-BE49-F238E27FC236}">
              <a16:creationId xmlns:a16="http://schemas.microsoft.com/office/drawing/2014/main" id="{C17DA8E2-FBAD-40D1-9953-FA682C3A123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6" name="AutoShape 1" descr="Resultado de imagem para whirlpool logo">
          <a:extLst>
            <a:ext uri="{FF2B5EF4-FFF2-40B4-BE49-F238E27FC236}">
              <a16:creationId xmlns:a16="http://schemas.microsoft.com/office/drawing/2014/main" id="{D175F39A-EDCB-4132-8A90-D350F773C8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7" name="AutoShape 1" descr="Resultado de imagem para whirlpool logo">
          <a:extLst>
            <a:ext uri="{FF2B5EF4-FFF2-40B4-BE49-F238E27FC236}">
              <a16:creationId xmlns:a16="http://schemas.microsoft.com/office/drawing/2014/main" id="{F2651239-EA41-499C-9390-3076BC30C1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8" name="AutoShape 1" descr="Resultado de imagem para whirlpool logo">
          <a:extLst>
            <a:ext uri="{FF2B5EF4-FFF2-40B4-BE49-F238E27FC236}">
              <a16:creationId xmlns:a16="http://schemas.microsoft.com/office/drawing/2014/main" id="{6190ABCF-A0E7-4646-A7E2-6A3416AF4F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59" name="AutoShape 1" descr="Resultado de imagem para whirlpool logo">
          <a:extLst>
            <a:ext uri="{FF2B5EF4-FFF2-40B4-BE49-F238E27FC236}">
              <a16:creationId xmlns:a16="http://schemas.microsoft.com/office/drawing/2014/main" id="{5EFFDBC0-D522-49AA-807A-FB1E7B702B5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0" name="AutoShape 1" descr="Resultado de imagem para whirlpool logo">
          <a:extLst>
            <a:ext uri="{FF2B5EF4-FFF2-40B4-BE49-F238E27FC236}">
              <a16:creationId xmlns:a16="http://schemas.microsoft.com/office/drawing/2014/main" id="{85137368-C7E5-436A-B414-740AA622DE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1" name="AutoShape 1" descr="Resultado de imagem para whirlpool logo">
          <a:extLst>
            <a:ext uri="{FF2B5EF4-FFF2-40B4-BE49-F238E27FC236}">
              <a16:creationId xmlns:a16="http://schemas.microsoft.com/office/drawing/2014/main" id="{9FF9A21C-129B-4418-8BBD-4EB9DDBBF8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2" name="AutoShape 1" descr="Resultado de imagem para whirlpool logo">
          <a:extLst>
            <a:ext uri="{FF2B5EF4-FFF2-40B4-BE49-F238E27FC236}">
              <a16:creationId xmlns:a16="http://schemas.microsoft.com/office/drawing/2014/main" id="{1F6FD7D4-4383-49FF-91D3-2B34DD8E73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3" name="AutoShape 1" descr="Resultado de imagem para whirlpool logo">
          <a:extLst>
            <a:ext uri="{FF2B5EF4-FFF2-40B4-BE49-F238E27FC236}">
              <a16:creationId xmlns:a16="http://schemas.microsoft.com/office/drawing/2014/main" id="{3D115E5C-6471-4809-80E4-EC449BEC8D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4" name="AutoShape 1" descr="Resultado de imagem para whirlpool logo">
          <a:extLst>
            <a:ext uri="{FF2B5EF4-FFF2-40B4-BE49-F238E27FC236}">
              <a16:creationId xmlns:a16="http://schemas.microsoft.com/office/drawing/2014/main" id="{28ADC28C-0138-4E82-9555-5AE984773D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5" name="AutoShape 1" descr="Resultado de imagem para whirlpool logo">
          <a:extLst>
            <a:ext uri="{FF2B5EF4-FFF2-40B4-BE49-F238E27FC236}">
              <a16:creationId xmlns:a16="http://schemas.microsoft.com/office/drawing/2014/main" id="{08962836-9061-4DB5-904F-3D8C745746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6" name="AutoShape 1" descr="Resultado de imagem para whirlpool logo">
          <a:extLst>
            <a:ext uri="{FF2B5EF4-FFF2-40B4-BE49-F238E27FC236}">
              <a16:creationId xmlns:a16="http://schemas.microsoft.com/office/drawing/2014/main" id="{83F4B3C4-7F01-4F08-AFFA-F5546614C40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7" name="AutoShape 1" descr="Resultado de imagem para whirlpool logo">
          <a:extLst>
            <a:ext uri="{FF2B5EF4-FFF2-40B4-BE49-F238E27FC236}">
              <a16:creationId xmlns:a16="http://schemas.microsoft.com/office/drawing/2014/main" id="{57C516DE-EBBF-48CE-BEA9-C06F6E5F31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8" name="AutoShape 1" descr="Resultado de imagem para whirlpool logo">
          <a:extLst>
            <a:ext uri="{FF2B5EF4-FFF2-40B4-BE49-F238E27FC236}">
              <a16:creationId xmlns:a16="http://schemas.microsoft.com/office/drawing/2014/main" id="{D99D4F93-E75D-480B-9FCB-4F2EC38088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69" name="AutoShape 1" descr="Resultado de imagem para whirlpool logo">
          <a:extLst>
            <a:ext uri="{FF2B5EF4-FFF2-40B4-BE49-F238E27FC236}">
              <a16:creationId xmlns:a16="http://schemas.microsoft.com/office/drawing/2014/main" id="{B9F034DB-4597-47F6-B2C1-436A6E2378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0" name="AutoShape 1" descr="Resultado de imagem para whirlpool logo">
          <a:extLst>
            <a:ext uri="{FF2B5EF4-FFF2-40B4-BE49-F238E27FC236}">
              <a16:creationId xmlns:a16="http://schemas.microsoft.com/office/drawing/2014/main" id="{9E56E66D-4B12-4B2A-8C7A-4BBC82F072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1" name="AutoShape 1" descr="Resultado de imagem para whirlpool logo">
          <a:extLst>
            <a:ext uri="{FF2B5EF4-FFF2-40B4-BE49-F238E27FC236}">
              <a16:creationId xmlns:a16="http://schemas.microsoft.com/office/drawing/2014/main" id="{AD537D87-0AF2-41E0-A7E0-350C1C0EEFC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2" name="AutoShape 1" descr="Resultado de imagem para whirlpool logo">
          <a:extLst>
            <a:ext uri="{FF2B5EF4-FFF2-40B4-BE49-F238E27FC236}">
              <a16:creationId xmlns:a16="http://schemas.microsoft.com/office/drawing/2014/main" id="{EDAD8055-14DD-47E6-820F-1F2ECBCD90D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3" name="AutoShape 1" descr="Resultado de imagem para whirlpool logo">
          <a:extLst>
            <a:ext uri="{FF2B5EF4-FFF2-40B4-BE49-F238E27FC236}">
              <a16:creationId xmlns:a16="http://schemas.microsoft.com/office/drawing/2014/main" id="{A7C985BE-68C0-47EF-98D0-392BF31350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4" name="AutoShape 1" descr="Resultado de imagem para whirlpool logo">
          <a:extLst>
            <a:ext uri="{FF2B5EF4-FFF2-40B4-BE49-F238E27FC236}">
              <a16:creationId xmlns:a16="http://schemas.microsoft.com/office/drawing/2014/main" id="{6CD58654-C260-4197-BEFB-9BE9CBAA2A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5" name="AutoShape 1" descr="Resultado de imagem para whirlpool logo">
          <a:extLst>
            <a:ext uri="{FF2B5EF4-FFF2-40B4-BE49-F238E27FC236}">
              <a16:creationId xmlns:a16="http://schemas.microsoft.com/office/drawing/2014/main" id="{379102F9-3F88-4782-9A82-EFAA6B9C1B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6" name="AutoShape 1" descr="Resultado de imagem para whirlpool logo">
          <a:extLst>
            <a:ext uri="{FF2B5EF4-FFF2-40B4-BE49-F238E27FC236}">
              <a16:creationId xmlns:a16="http://schemas.microsoft.com/office/drawing/2014/main" id="{8553B18E-DCAC-46C3-925F-5B56848FD5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7" name="AutoShape 1" descr="Resultado de imagem para whirlpool logo">
          <a:extLst>
            <a:ext uri="{FF2B5EF4-FFF2-40B4-BE49-F238E27FC236}">
              <a16:creationId xmlns:a16="http://schemas.microsoft.com/office/drawing/2014/main" id="{6ADA7E54-9073-409C-B171-574132841D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778" name="AutoShape 1" descr="Resultado de imagem para whirlpool logo">
          <a:extLst>
            <a:ext uri="{FF2B5EF4-FFF2-40B4-BE49-F238E27FC236}">
              <a16:creationId xmlns:a16="http://schemas.microsoft.com/office/drawing/2014/main" id="{7CA31056-EFE7-4161-B5BE-E46D4FFAA1C0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79" name="AutoShape 1" descr="Resultado de imagem para whirlpool logo">
          <a:extLst>
            <a:ext uri="{FF2B5EF4-FFF2-40B4-BE49-F238E27FC236}">
              <a16:creationId xmlns:a16="http://schemas.microsoft.com/office/drawing/2014/main" id="{AA132360-E78B-441F-B15C-654B20DFF6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0" name="AutoShape 1" descr="Resultado de imagem para whirlpool logo">
          <a:extLst>
            <a:ext uri="{FF2B5EF4-FFF2-40B4-BE49-F238E27FC236}">
              <a16:creationId xmlns:a16="http://schemas.microsoft.com/office/drawing/2014/main" id="{E5885F0C-5044-4E4D-B32D-3FF6B91A63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1" name="AutoShape 1" descr="Resultado de imagem para whirlpool logo">
          <a:extLst>
            <a:ext uri="{FF2B5EF4-FFF2-40B4-BE49-F238E27FC236}">
              <a16:creationId xmlns:a16="http://schemas.microsoft.com/office/drawing/2014/main" id="{E79934BF-AC87-4D1F-8E02-B8405D9D80C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2" name="AutoShape 1" descr="Resultado de imagem para whirlpool logo">
          <a:extLst>
            <a:ext uri="{FF2B5EF4-FFF2-40B4-BE49-F238E27FC236}">
              <a16:creationId xmlns:a16="http://schemas.microsoft.com/office/drawing/2014/main" id="{EAC5BDFD-2DBB-41F9-B272-D949B632DC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3" name="AutoShape 1" descr="Resultado de imagem para whirlpool logo">
          <a:extLst>
            <a:ext uri="{FF2B5EF4-FFF2-40B4-BE49-F238E27FC236}">
              <a16:creationId xmlns:a16="http://schemas.microsoft.com/office/drawing/2014/main" id="{BD271A57-7A81-4A4C-9D46-A0C866C034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4" name="AutoShape 1" descr="Resultado de imagem para whirlpool logo">
          <a:extLst>
            <a:ext uri="{FF2B5EF4-FFF2-40B4-BE49-F238E27FC236}">
              <a16:creationId xmlns:a16="http://schemas.microsoft.com/office/drawing/2014/main" id="{D2148E43-2D90-4543-8F5D-E1E2EEE7EF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5" name="AutoShape 1" descr="Resultado de imagem para whirlpool logo">
          <a:extLst>
            <a:ext uri="{FF2B5EF4-FFF2-40B4-BE49-F238E27FC236}">
              <a16:creationId xmlns:a16="http://schemas.microsoft.com/office/drawing/2014/main" id="{EDF9B8AA-3A7F-4E43-B6D8-3712F0FC363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6" name="AutoShape 1" descr="Resultado de imagem para whirlpool logo">
          <a:extLst>
            <a:ext uri="{FF2B5EF4-FFF2-40B4-BE49-F238E27FC236}">
              <a16:creationId xmlns:a16="http://schemas.microsoft.com/office/drawing/2014/main" id="{D78AFC9C-D9F8-49DD-BE48-416D39CE34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7" name="AutoShape 1" descr="Resultado de imagem para whirlpool logo">
          <a:extLst>
            <a:ext uri="{FF2B5EF4-FFF2-40B4-BE49-F238E27FC236}">
              <a16:creationId xmlns:a16="http://schemas.microsoft.com/office/drawing/2014/main" id="{EE173A4A-9F57-4353-AA3C-7B475EB8A9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8" name="AutoShape 1" descr="Resultado de imagem para whirlpool logo">
          <a:extLst>
            <a:ext uri="{FF2B5EF4-FFF2-40B4-BE49-F238E27FC236}">
              <a16:creationId xmlns:a16="http://schemas.microsoft.com/office/drawing/2014/main" id="{E85C5E85-F0DB-4E7F-902C-4A4B707ACA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89" name="AutoShape 1" descr="Resultado de imagem para whirlpool logo">
          <a:extLst>
            <a:ext uri="{FF2B5EF4-FFF2-40B4-BE49-F238E27FC236}">
              <a16:creationId xmlns:a16="http://schemas.microsoft.com/office/drawing/2014/main" id="{6B6B7542-97D6-411E-8B28-FD752C4B12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0" name="AutoShape 1" descr="Resultado de imagem para whirlpool logo">
          <a:extLst>
            <a:ext uri="{FF2B5EF4-FFF2-40B4-BE49-F238E27FC236}">
              <a16:creationId xmlns:a16="http://schemas.microsoft.com/office/drawing/2014/main" id="{756B6DE3-0AEF-4C09-AA88-36286A28BC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1" name="AutoShape 1" descr="Resultado de imagem para whirlpool logo">
          <a:extLst>
            <a:ext uri="{FF2B5EF4-FFF2-40B4-BE49-F238E27FC236}">
              <a16:creationId xmlns:a16="http://schemas.microsoft.com/office/drawing/2014/main" id="{16DE5E9F-1A62-475B-94E4-4057538B83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2" name="AutoShape 1" descr="Resultado de imagem para whirlpool logo">
          <a:extLst>
            <a:ext uri="{FF2B5EF4-FFF2-40B4-BE49-F238E27FC236}">
              <a16:creationId xmlns:a16="http://schemas.microsoft.com/office/drawing/2014/main" id="{4A60DC09-F76D-430B-B852-1B0B26B131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3" name="AutoShape 1" descr="Resultado de imagem para whirlpool logo">
          <a:extLst>
            <a:ext uri="{FF2B5EF4-FFF2-40B4-BE49-F238E27FC236}">
              <a16:creationId xmlns:a16="http://schemas.microsoft.com/office/drawing/2014/main" id="{DFA034C0-A239-432F-B1FC-5258E8D21C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4" name="AutoShape 1" descr="Resultado de imagem para whirlpool logo">
          <a:extLst>
            <a:ext uri="{FF2B5EF4-FFF2-40B4-BE49-F238E27FC236}">
              <a16:creationId xmlns:a16="http://schemas.microsoft.com/office/drawing/2014/main" id="{0E18D1E7-6B02-49DD-9D83-4EC4765F50A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5" name="AutoShape 1" descr="Resultado de imagem para whirlpool logo">
          <a:extLst>
            <a:ext uri="{FF2B5EF4-FFF2-40B4-BE49-F238E27FC236}">
              <a16:creationId xmlns:a16="http://schemas.microsoft.com/office/drawing/2014/main" id="{E3AB43DE-D34F-4AE1-93F8-6084E44541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6" name="AutoShape 1" descr="Resultado de imagem para whirlpool logo">
          <a:extLst>
            <a:ext uri="{FF2B5EF4-FFF2-40B4-BE49-F238E27FC236}">
              <a16:creationId xmlns:a16="http://schemas.microsoft.com/office/drawing/2014/main" id="{DF87ABFC-F2B3-4399-B9D3-09E699F8B6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7" name="AutoShape 1" descr="Resultado de imagem para whirlpool logo">
          <a:extLst>
            <a:ext uri="{FF2B5EF4-FFF2-40B4-BE49-F238E27FC236}">
              <a16:creationId xmlns:a16="http://schemas.microsoft.com/office/drawing/2014/main" id="{7958335F-0DC9-4041-A0AB-7795B07832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8" name="AutoShape 1" descr="Resultado de imagem para whirlpool logo">
          <a:extLst>
            <a:ext uri="{FF2B5EF4-FFF2-40B4-BE49-F238E27FC236}">
              <a16:creationId xmlns:a16="http://schemas.microsoft.com/office/drawing/2014/main" id="{33D53690-0B24-4130-B8D6-9CDF1A0A406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799" name="AutoShape 1" descr="Resultado de imagem para whirlpool logo">
          <a:extLst>
            <a:ext uri="{FF2B5EF4-FFF2-40B4-BE49-F238E27FC236}">
              <a16:creationId xmlns:a16="http://schemas.microsoft.com/office/drawing/2014/main" id="{28DF87BA-6C89-43AE-8731-45104017FD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0" name="AutoShape 1" descr="Resultado de imagem para whirlpool logo">
          <a:extLst>
            <a:ext uri="{FF2B5EF4-FFF2-40B4-BE49-F238E27FC236}">
              <a16:creationId xmlns:a16="http://schemas.microsoft.com/office/drawing/2014/main" id="{3A9F27F5-05C1-4F8A-A27F-D0783C30310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1" name="AutoShape 1" descr="Resultado de imagem para whirlpool logo">
          <a:extLst>
            <a:ext uri="{FF2B5EF4-FFF2-40B4-BE49-F238E27FC236}">
              <a16:creationId xmlns:a16="http://schemas.microsoft.com/office/drawing/2014/main" id="{09AE4843-291D-41EC-A807-E3AB8C412B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2" name="AutoShape 1" descr="Resultado de imagem para whirlpool logo">
          <a:extLst>
            <a:ext uri="{FF2B5EF4-FFF2-40B4-BE49-F238E27FC236}">
              <a16:creationId xmlns:a16="http://schemas.microsoft.com/office/drawing/2014/main" id="{FB56F301-08BF-47A4-8C2D-CDCA1E3ECB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3" name="AutoShape 1" descr="Resultado de imagem para whirlpool logo">
          <a:extLst>
            <a:ext uri="{FF2B5EF4-FFF2-40B4-BE49-F238E27FC236}">
              <a16:creationId xmlns:a16="http://schemas.microsoft.com/office/drawing/2014/main" id="{999B1F4B-184B-415C-A1A5-CBEA4A09AFC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804" name="AutoShape 1" descr="Resultado de imagem para whirlpool logo">
          <a:extLst>
            <a:ext uri="{FF2B5EF4-FFF2-40B4-BE49-F238E27FC236}">
              <a16:creationId xmlns:a16="http://schemas.microsoft.com/office/drawing/2014/main" id="{BF2BCD1C-B987-40CF-A49B-DA5DD02CF577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5" name="AutoShape 1" descr="Resultado de imagem para whirlpool logo">
          <a:extLst>
            <a:ext uri="{FF2B5EF4-FFF2-40B4-BE49-F238E27FC236}">
              <a16:creationId xmlns:a16="http://schemas.microsoft.com/office/drawing/2014/main" id="{01B2ECC9-33BD-4D54-B205-9D4CB83CFC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6" name="AutoShape 1" descr="Resultado de imagem para whirlpool logo">
          <a:extLst>
            <a:ext uri="{FF2B5EF4-FFF2-40B4-BE49-F238E27FC236}">
              <a16:creationId xmlns:a16="http://schemas.microsoft.com/office/drawing/2014/main" id="{904C4B8A-2A83-4B04-B9D3-BA1709660C0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7" name="AutoShape 1" descr="Resultado de imagem para whirlpool logo">
          <a:extLst>
            <a:ext uri="{FF2B5EF4-FFF2-40B4-BE49-F238E27FC236}">
              <a16:creationId xmlns:a16="http://schemas.microsoft.com/office/drawing/2014/main" id="{43DD1CBC-C48F-40FD-B0E7-08B5960F322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8" name="AutoShape 1" descr="Resultado de imagem para whirlpool logo">
          <a:extLst>
            <a:ext uri="{FF2B5EF4-FFF2-40B4-BE49-F238E27FC236}">
              <a16:creationId xmlns:a16="http://schemas.microsoft.com/office/drawing/2014/main" id="{F3E07325-ED68-4452-948E-8C7529D1F7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09" name="AutoShape 1" descr="Resultado de imagem para whirlpool logo">
          <a:extLst>
            <a:ext uri="{FF2B5EF4-FFF2-40B4-BE49-F238E27FC236}">
              <a16:creationId xmlns:a16="http://schemas.microsoft.com/office/drawing/2014/main" id="{3DBAC426-3A35-4813-9F22-83A2A7FA8D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0" name="AutoShape 1" descr="Resultado de imagem para whirlpool logo">
          <a:extLst>
            <a:ext uri="{FF2B5EF4-FFF2-40B4-BE49-F238E27FC236}">
              <a16:creationId xmlns:a16="http://schemas.microsoft.com/office/drawing/2014/main" id="{45E0B37B-0517-4056-A4E6-C689EF0A00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1" name="AutoShape 1" descr="Resultado de imagem para whirlpool logo">
          <a:extLst>
            <a:ext uri="{FF2B5EF4-FFF2-40B4-BE49-F238E27FC236}">
              <a16:creationId xmlns:a16="http://schemas.microsoft.com/office/drawing/2014/main" id="{7EE53168-71D1-405A-A584-88D1EDD767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2" name="AutoShape 1" descr="Resultado de imagem para whirlpool logo">
          <a:extLst>
            <a:ext uri="{FF2B5EF4-FFF2-40B4-BE49-F238E27FC236}">
              <a16:creationId xmlns:a16="http://schemas.microsoft.com/office/drawing/2014/main" id="{8B7F28C4-4289-4757-B1D5-EEBB4F3506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3" name="AutoShape 1" descr="Resultado de imagem para whirlpool logo">
          <a:extLst>
            <a:ext uri="{FF2B5EF4-FFF2-40B4-BE49-F238E27FC236}">
              <a16:creationId xmlns:a16="http://schemas.microsoft.com/office/drawing/2014/main" id="{34566228-1617-41E9-A413-586A44E332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4" name="AutoShape 1" descr="Resultado de imagem para whirlpool logo">
          <a:extLst>
            <a:ext uri="{FF2B5EF4-FFF2-40B4-BE49-F238E27FC236}">
              <a16:creationId xmlns:a16="http://schemas.microsoft.com/office/drawing/2014/main" id="{262D75B6-9075-474A-BD43-531530FF78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5" name="AutoShape 1" descr="Resultado de imagem para whirlpool logo">
          <a:extLst>
            <a:ext uri="{FF2B5EF4-FFF2-40B4-BE49-F238E27FC236}">
              <a16:creationId xmlns:a16="http://schemas.microsoft.com/office/drawing/2014/main" id="{83974396-59DA-43BF-B3F0-117A432CA2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6" name="AutoShape 1" descr="Resultado de imagem para whirlpool logo">
          <a:extLst>
            <a:ext uri="{FF2B5EF4-FFF2-40B4-BE49-F238E27FC236}">
              <a16:creationId xmlns:a16="http://schemas.microsoft.com/office/drawing/2014/main" id="{928AB600-2F6C-4D97-8B39-33B435ABA4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7" name="AutoShape 1" descr="Resultado de imagem para whirlpool logo">
          <a:extLst>
            <a:ext uri="{FF2B5EF4-FFF2-40B4-BE49-F238E27FC236}">
              <a16:creationId xmlns:a16="http://schemas.microsoft.com/office/drawing/2014/main" id="{A77C6EFF-4D42-42E1-82E7-6890C717FD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8" name="AutoShape 1" descr="Resultado de imagem para whirlpool logo">
          <a:extLst>
            <a:ext uri="{FF2B5EF4-FFF2-40B4-BE49-F238E27FC236}">
              <a16:creationId xmlns:a16="http://schemas.microsoft.com/office/drawing/2014/main" id="{E7C7F5EE-5567-4283-8CFE-92AF73BFD0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19" name="AutoShape 1" descr="Resultado de imagem para whirlpool logo">
          <a:extLst>
            <a:ext uri="{FF2B5EF4-FFF2-40B4-BE49-F238E27FC236}">
              <a16:creationId xmlns:a16="http://schemas.microsoft.com/office/drawing/2014/main" id="{1B3FB909-5B1D-4FAD-BA84-8935B17CE07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0" name="AutoShape 1" descr="Resultado de imagem para whirlpool logo">
          <a:extLst>
            <a:ext uri="{FF2B5EF4-FFF2-40B4-BE49-F238E27FC236}">
              <a16:creationId xmlns:a16="http://schemas.microsoft.com/office/drawing/2014/main" id="{EA729A5F-9FFE-436B-960C-2DB021A5BE7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1" name="AutoShape 1" descr="Resultado de imagem para whirlpool logo">
          <a:extLst>
            <a:ext uri="{FF2B5EF4-FFF2-40B4-BE49-F238E27FC236}">
              <a16:creationId xmlns:a16="http://schemas.microsoft.com/office/drawing/2014/main" id="{3B13ADD0-19AE-470D-BB83-334F940A28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2" name="AutoShape 1" descr="Resultado de imagem para whirlpool logo">
          <a:extLst>
            <a:ext uri="{FF2B5EF4-FFF2-40B4-BE49-F238E27FC236}">
              <a16:creationId xmlns:a16="http://schemas.microsoft.com/office/drawing/2014/main" id="{3D4CC8E0-C281-425A-A4C8-3C05E17ACD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3" name="AutoShape 1" descr="Resultado de imagem para whirlpool logo">
          <a:extLst>
            <a:ext uri="{FF2B5EF4-FFF2-40B4-BE49-F238E27FC236}">
              <a16:creationId xmlns:a16="http://schemas.microsoft.com/office/drawing/2014/main" id="{7E4553F7-CA39-4B02-9A81-F1362C1D22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4" name="AutoShape 1" descr="Resultado de imagem para whirlpool logo">
          <a:extLst>
            <a:ext uri="{FF2B5EF4-FFF2-40B4-BE49-F238E27FC236}">
              <a16:creationId xmlns:a16="http://schemas.microsoft.com/office/drawing/2014/main" id="{C8E5AB60-2411-47B5-95B0-86A3F17533E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5" name="AutoShape 1" descr="Resultado de imagem para whirlpool logo">
          <a:extLst>
            <a:ext uri="{FF2B5EF4-FFF2-40B4-BE49-F238E27FC236}">
              <a16:creationId xmlns:a16="http://schemas.microsoft.com/office/drawing/2014/main" id="{28DE55C3-F185-47C3-8F3D-EC4149CECA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6" name="AutoShape 1" descr="Resultado de imagem para whirlpool logo">
          <a:extLst>
            <a:ext uri="{FF2B5EF4-FFF2-40B4-BE49-F238E27FC236}">
              <a16:creationId xmlns:a16="http://schemas.microsoft.com/office/drawing/2014/main" id="{D3353667-95CA-474C-9DA2-757C583DA5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7" name="AutoShape 1" descr="Resultado de imagem para whirlpool logo">
          <a:extLst>
            <a:ext uri="{FF2B5EF4-FFF2-40B4-BE49-F238E27FC236}">
              <a16:creationId xmlns:a16="http://schemas.microsoft.com/office/drawing/2014/main" id="{0C28415F-278A-46C4-9DC2-145182D642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8" name="AutoShape 1" descr="Resultado de imagem para whirlpool logo">
          <a:extLst>
            <a:ext uri="{FF2B5EF4-FFF2-40B4-BE49-F238E27FC236}">
              <a16:creationId xmlns:a16="http://schemas.microsoft.com/office/drawing/2014/main" id="{EB0843C5-8117-4E7B-A692-2A9B723E44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29" name="AutoShape 1" descr="Resultado de imagem para whirlpool logo">
          <a:extLst>
            <a:ext uri="{FF2B5EF4-FFF2-40B4-BE49-F238E27FC236}">
              <a16:creationId xmlns:a16="http://schemas.microsoft.com/office/drawing/2014/main" id="{49A4EE7B-D7F8-44E2-B274-E1DCCD2273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0" name="AutoShape 1" descr="Resultado de imagem para whirlpool logo">
          <a:extLst>
            <a:ext uri="{FF2B5EF4-FFF2-40B4-BE49-F238E27FC236}">
              <a16:creationId xmlns:a16="http://schemas.microsoft.com/office/drawing/2014/main" id="{C95BA3B3-D32C-4EA9-821E-40F9BBA055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1" name="AutoShape 1" descr="Resultado de imagem para whirlpool logo">
          <a:extLst>
            <a:ext uri="{FF2B5EF4-FFF2-40B4-BE49-F238E27FC236}">
              <a16:creationId xmlns:a16="http://schemas.microsoft.com/office/drawing/2014/main" id="{48D52608-03C2-472D-9356-FCB5C2149E2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2" name="AutoShape 1" descr="Resultado de imagem para whirlpool logo">
          <a:extLst>
            <a:ext uri="{FF2B5EF4-FFF2-40B4-BE49-F238E27FC236}">
              <a16:creationId xmlns:a16="http://schemas.microsoft.com/office/drawing/2014/main" id="{42A87B00-8C6A-4872-8117-7144EFE4B4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3" name="AutoShape 1" descr="Resultado de imagem para whirlpool logo">
          <a:extLst>
            <a:ext uri="{FF2B5EF4-FFF2-40B4-BE49-F238E27FC236}">
              <a16:creationId xmlns:a16="http://schemas.microsoft.com/office/drawing/2014/main" id="{320F7778-825E-4A67-A9B2-450EBE60007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834" name="AutoShape 1" descr="Resultado de imagem para whirlpool logo">
          <a:extLst>
            <a:ext uri="{FF2B5EF4-FFF2-40B4-BE49-F238E27FC236}">
              <a16:creationId xmlns:a16="http://schemas.microsoft.com/office/drawing/2014/main" id="{FC453316-E869-4CEC-883E-69DE91F3CCDE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5" name="AutoShape 1" descr="Resultado de imagem para whirlpool logo">
          <a:extLst>
            <a:ext uri="{FF2B5EF4-FFF2-40B4-BE49-F238E27FC236}">
              <a16:creationId xmlns:a16="http://schemas.microsoft.com/office/drawing/2014/main" id="{6735860C-6A3D-4BF3-A50C-922F9D3C7C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6" name="AutoShape 1" descr="Resultado de imagem para whirlpool logo">
          <a:extLst>
            <a:ext uri="{FF2B5EF4-FFF2-40B4-BE49-F238E27FC236}">
              <a16:creationId xmlns:a16="http://schemas.microsoft.com/office/drawing/2014/main" id="{6569B092-842A-4493-AADF-5750978E2F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7" name="AutoShape 1" descr="Resultado de imagem para whirlpool logo">
          <a:extLst>
            <a:ext uri="{FF2B5EF4-FFF2-40B4-BE49-F238E27FC236}">
              <a16:creationId xmlns:a16="http://schemas.microsoft.com/office/drawing/2014/main" id="{C96355E1-BDB7-49D2-83EC-267637001DA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8" name="AutoShape 1" descr="Resultado de imagem para whirlpool logo">
          <a:extLst>
            <a:ext uri="{FF2B5EF4-FFF2-40B4-BE49-F238E27FC236}">
              <a16:creationId xmlns:a16="http://schemas.microsoft.com/office/drawing/2014/main" id="{B7C1AA48-0A6F-4745-B70F-F4C9F3156C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39" name="AutoShape 1" descr="Resultado de imagem para whirlpool logo">
          <a:extLst>
            <a:ext uri="{FF2B5EF4-FFF2-40B4-BE49-F238E27FC236}">
              <a16:creationId xmlns:a16="http://schemas.microsoft.com/office/drawing/2014/main" id="{B9EA691B-48F6-49C3-AB44-BF32A4972D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0" name="AutoShape 1" descr="Resultado de imagem para whirlpool logo">
          <a:extLst>
            <a:ext uri="{FF2B5EF4-FFF2-40B4-BE49-F238E27FC236}">
              <a16:creationId xmlns:a16="http://schemas.microsoft.com/office/drawing/2014/main" id="{DE6C4DEB-B446-49AE-81E5-5665929CC6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1" name="AutoShape 1" descr="Resultado de imagem para whirlpool logo">
          <a:extLst>
            <a:ext uri="{FF2B5EF4-FFF2-40B4-BE49-F238E27FC236}">
              <a16:creationId xmlns:a16="http://schemas.microsoft.com/office/drawing/2014/main" id="{E7D7457F-E689-4EE1-8A23-CC2AFF76B6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2" name="AutoShape 1" descr="Resultado de imagem para whirlpool logo">
          <a:extLst>
            <a:ext uri="{FF2B5EF4-FFF2-40B4-BE49-F238E27FC236}">
              <a16:creationId xmlns:a16="http://schemas.microsoft.com/office/drawing/2014/main" id="{496A9236-1036-4D38-9C76-0DE5375AE4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3" name="AutoShape 1" descr="Resultado de imagem para whirlpool logo">
          <a:extLst>
            <a:ext uri="{FF2B5EF4-FFF2-40B4-BE49-F238E27FC236}">
              <a16:creationId xmlns:a16="http://schemas.microsoft.com/office/drawing/2014/main" id="{A4C96CCD-7935-47E2-8D0D-F0BE45272AC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4" name="AutoShape 1" descr="Resultado de imagem para whirlpool logo">
          <a:extLst>
            <a:ext uri="{FF2B5EF4-FFF2-40B4-BE49-F238E27FC236}">
              <a16:creationId xmlns:a16="http://schemas.microsoft.com/office/drawing/2014/main" id="{B4ADC60A-7B6A-4DEB-BA70-4F900E99DF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5" name="AutoShape 1" descr="Resultado de imagem para whirlpool logo">
          <a:extLst>
            <a:ext uri="{FF2B5EF4-FFF2-40B4-BE49-F238E27FC236}">
              <a16:creationId xmlns:a16="http://schemas.microsoft.com/office/drawing/2014/main" id="{EBC122D7-1D54-46D5-9EA1-BA838D7517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6" name="AutoShape 1" descr="Resultado de imagem para whirlpool logo">
          <a:extLst>
            <a:ext uri="{FF2B5EF4-FFF2-40B4-BE49-F238E27FC236}">
              <a16:creationId xmlns:a16="http://schemas.microsoft.com/office/drawing/2014/main" id="{0F62B1CE-CC4B-4441-A6B1-B40B702B55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7" name="AutoShape 1" descr="Resultado de imagem para whirlpool logo">
          <a:extLst>
            <a:ext uri="{FF2B5EF4-FFF2-40B4-BE49-F238E27FC236}">
              <a16:creationId xmlns:a16="http://schemas.microsoft.com/office/drawing/2014/main" id="{5C80A491-0938-477C-A7E1-CE9D49FD5C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8" name="AutoShape 1" descr="Resultado de imagem para whirlpool logo">
          <a:extLst>
            <a:ext uri="{FF2B5EF4-FFF2-40B4-BE49-F238E27FC236}">
              <a16:creationId xmlns:a16="http://schemas.microsoft.com/office/drawing/2014/main" id="{432A13E1-7F0C-432C-AF28-7ADD72907A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49" name="AutoShape 1" descr="Resultado de imagem para whirlpool logo">
          <a:extLst>
            <a:ext uri="{FF2B5EF4-FFF2-40B4-BE49-F238E27FC236}">
              <a16:creationId xmlns:a16="http://schemas.microsoft.com/office/drawing/2014/main" id="{6AB1154C-95BD-4294-9927-E36D3517CE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0" name="AutoShape 1" descr="Resultado de imagem para whirlpool logo">
          <a:extLst>
            <a:ext uri="{FF2B5EF4-FFF2-40B4-BE49-F238E27FC236}">
              <a16:creationId xmlns:a16="http://schemas.microsoft.com/office/drawing/2014/main" id="{841D8B6E-9B64-476C-A46E-C26C1D5862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1" name="AutoShape 1" descr="Resultado de imagem para whirlpool logo">
          <a:extLst>
            <a:ext uri="{FF2B5EF4-FFF2-40B4-BE49-F238E27FC236}">
              <a16:creationId xmlns:a16="http://schemas.microsoft.com/office/drawing/2014/main" id="{53353F83-1D47-4610-834E-F6A75C5E6D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2" name="AutoShape 1" descr="Resultado de imagem para whirlpool logo">
          <a:extLst>
            <a:ext uri="{FF2B5EF4-FFF2-40B4-BE49-F238E27FC236}">
              <a16:creationId xmlns:a16="http://schemas.microsoft.com/office/drawing/2014/main" id="{820B898A-A18B-4B39-ADDA-11B75FF020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3" name="AutoShape 1" descr="Resultado de imagem para whirlpool logo">
          <a:extLst>
            <a:ext uri="{FF2B5EF4-FFF2-40B4-BE49-F238E27FC236}">
              <a16:creationId xmlns:a16="http://schemas.microsoft.com/office/drawing/2014/main" id="{E3C67F93-2004-4135-8D25-32DF440012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4" name="AutoShape 1" descr="Resultado de imagem para whirlpool logo">
          <a:extLst>
            <a:ext uri="{FF2B5EF4-FFF2-40B4-BE49-F238E27FC236}">
              <a16:creationId xmlns:a16="http://schemas.microsoft.com/office/drawing/2014/main" id="{7BCC8B13-918F-430D-A75A-35F86DA179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5" name="AutoShape 1" descr="Resultado de imagem para whirlpool logo">
          <a:extLst>
            <a:ext uri="{FF2B5EF4-FFF2-40B4-BE49-F238E27FC236}">
              <a16:creationId xmlns:a16="http://schemas.microsoft.com/office/drawing/2014/main" id="{D66C7C46-90DB-4D01-A4C8-85875D1A141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6" name="AutoShape 1" descr="Resultado de imagem para whirlpool logo">
          <a:extLst>
            <a:ext uri="{FF2B5EF4-FFF2-40B4-BE49-F238E27FC236}">
              <a16:creationId xmlns:a16="http://schemas.microsoft.com/office/drawing/2014/main" id="{2A4FC9D0-4708-4C32-9C36-D639F730A17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7" name="AutoShape 1" descr="Resultado de imagem para whirlpool logo">
          <a:extLst>
            <a:ext uri="{FF2B5EF4-FFF2-40B4-BE49-F238E27FC236}">
              <a16:creationId xmlns:a16="http://schemas.microsoft.com/office/drawing/2014/main" id="{5EB6AB48-AE15-4C9E-B4BD-3ED596F110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8" name="AutoShape 1" descr="Resultado de imagem para whirlpool logo">
          <a:extLst>
            <a:ext uri="{FF2B5EF4-FFF2-40B4-BE49-F238E27FC236}">
              <a16:creationId xmlns:a16="http://schemas.microsoft.com/office/drawing/2014/main" id="{328F3948-8A7D-41FD-ADFA-E83415D249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59" name="AutoShape 1" descr="Resultado de imagem para whirlpool logo">
          <a:extLst>
            <a:ext uri="{FF2B5EF4-FFF2-40B4-BE49-F238E27FC236}">
              <a16:creationId xmlns:a16="http://schemas.microsoft.com/office/drawing/2014/main" id="{54785673-2D51-442F-9B94-6EF71E539A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0" name="AutoShape 1" descr="Resultado de imagem para whirlpool logo">
          <a:extLst>
            <a:ext uri="{FF2B5EF4-FFF2-40B4-BE49-F238E27FC236}">
              <a16:creationId xmlns:a16="http://schemas.microsoft.com/office/drawing/2014/main" id="{E57C320C-303B-499D-9A78-FCA0506F1A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1" name="AutoShape 1" descr="Resultado de imagem para whirlpool logo">
          <a:extLst>
            <a:ext uri="{FF2B5EF4-FFF2-40B4-BE49-F238E27FC236}">
              <a16:creationId xmlns:a16="http://schemas.microsoft.com/office/drawing/2014/main" id="{FB176E3C-51B1-437A-BAF9-8F757252D9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2" name="AutoShape 1" descr="Resultado de imagem para whirlpool logo">
          <a:extLst>
            <a:ext uri="{FF2B5EF4-FFF2-40B4-BE49-F238E27FC236}">
              <a16:creationId xmlns:a16="http://schemas.microsoft.com/office/drawing/2014/main" id="{F9173F73-3E2C-48A4-A0F1-FEEA2D9829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3" name="AutoShape 1" descr="Resultado de imagem para whirlpool logo">
          <a:extLst>
            <a:ext uri="{FF2B5EF4-FFF2-40B4-BE49-F238E27FC236}">
              <a16:creationId xmlns:a16="http://schemas.microsoft.com/office/drawing/2014/main" id="{0F86FCFE-0563-4523-A8BD-2800431BC0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4" name="AutoShape 1" descr="Resultado de imagem para whirlpool logo">
          <a:extLst>
            <a:ext uri="{FF2B5EF4-FFF2-40B4-BE49-F238E27FC236}">
              <a16:creationId xmlns:a16="http://schemas.microsoft.com/office/drawing/2014/main" id="{A74C087A-5B6B-43B5-B106-038D0B02ED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5" name="AutoShape 1" descr="Resultado de imagem para whirlpool logo">
          <a:extLst>
            <a:ext uri="{FF2B5EF4-FFF2-40B4-BE49-F238E27FC236}">
              <a16:creationId xmlns:a16="http://schemas.microsoft.com/office/drawing/2014/main" id="{A1A66B41-1450-4EEB-AD59-3F5A72D44A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6" name="AutoShape 1" descr="Resultado de imagem para whirlpool logo">
          <a:extLst>
            <a:ext uri="{FF2B5EF4-FFF2-40B4-BE49-F238E27FC236}">
              <a16:creationId xmlns:a16="http://schemas.microsoft.com/office/drawing/2014/main" id="{9EE8ABD3-D765-4F37-82DA-D2C0712A02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7" name="AutoShape 1" descr="Resultado de imagem para whirlpool logo">
          <a:extLst>
            <a:ext uri="{FF2B5EF4-FFF2-40B4-BE49-F238E27FC236}">
              <a16:creationId xmlns:a16="http://schemas.microsoft.com/office/drawing/2014/main" id="{065F5E81-DFB6-4599-A589-EF3BE3BE41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8" name="AutoShape 1" descr="Resultado de imagem para whirlpool logo">
          <a:extLst>
            <a:ext uri="{FF2B5EF4-FFF2-40B4-BE49-F238E27FC236}">
              <a16:creationId xmlns:a16="http://schemas.microsoft.com/office/drawing/2014/main" id="{61F36C84-808E-4CE3-8994-2C8CE6D32F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69" name="AutoShape 1" descr="Resultado de imagem para whirlpool logo">
          <a:extLst>
            <a:ext uri="{FF2B5EF4-FFF2-40B4-BE49-F238E27FC236}">
              <a16:creationId xmlns:a16="http://schemas.microsoft.com/office/drawing/2014/main" id="{F13FD756-5FE4-4EEC-A46F-5C6BDC651CC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0" name="AutoShape 1" descr="Resultado de imagem para whirlpool logo">
          <a:extLst>
            <a:ext uri="{FF2B5EF4-FFF2-40B4-BE49-F238E27FC236}">
              <a16:creationId xmlns:a16="http://schemas.microsoft.com/office/drawing/2014/main" id="{DFB5EBA3-3873-4F0A-B7DB-F486A8CAD0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1" name="AutoShape 1" descr="Resultado de imagem para whirlpool logo">
          <a:extLst>
            <a:ext uri="{FF2B5EF4-FFF2-40B4-BE49-F238E27FC236}">
              <a16:creationId xmlns:a16="http://schemas.microsoft.com/office/drawing/2014/main" id="{ECEB4227-29D0-426C-8EB5-8216247629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2" name="AutoShape 1" descr="Resultado de imagem para whirlpool logo">
          <a:extLst>
            <a:ext uri="{FF2B5EF4-FFF2-40B4-BE49-F238E27FC236}">
              <a16:creationId xmlns:a16="http://schemas.microsoft.com/office/drawing/2014/main" id="{C6A5C45B-E88B-47FC-B4A0-0925B95788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3" name="AutoShape 1" descr="Resultado de imagem para whirlpool logo">
          <a:extLst>
            <a:ext uri="{FF2B5EF4-FFF2-40B4-BE49-F238E27FC236}">
              <a16:creationId xmlns:a16="http://schemas.microsoft.com/office/drawing/2014/main" id="{30F5018E-0DFC-4B3D-91F6-2EC1BB3674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4" name="AutoShape 1" descr="Resultado de imagem para whirlpool logo">
          <a:extLst>
            <a:ext uri="{FF2B5EF4-FFF2-40B4-BE49-F238E27FC236}">
              <a16:creationId xmlns:a16="http://schemas.microsoft.com/office/drawing/2014/main" id="{C8E22AB1-A4FB-4389-9967-CC78437850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5" name="AutoShape 1" descr="Resultado de imagem para whirlpool logo">
          <a:extLst>
            <a:ext uri="{FF2B5EF4-FFF2-40B4-BE49-F238E27FC236}">
              <a16:creationId xmlns:a16="http://schemas.microsoft.com/office/drawing/2014/main" id="{CB0E11CA-E59E-48DB-A05A-632E1214F7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6" name="AutoShape 1" descr="Resultado de imagem para whirlpool logo">
          <a:extLst>
            <a:ext uri="{FF2B5EF4-FFF2-40B4-BE49-F238E27FC236}">
              <a16:creationId xmlns:a16="http://schemas.microsoft.com/office/drawing/2014/main" id="{DA50AB36-3FF7-41FD-85F3-A9BDC9F121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7" name="AutoShape 1" descr="Resultado de imagem para whirlpool logo">
          <a:extLst>
            <a:ext uri="{FF2B5EF4-FFF2-40B4-BE49-F238E27FC236}">
              <a16:creationId xmlns:a16="http://schemas.microsoft.com/office/drawing/2014/main" id="{0AD552B2-C839-4E51-891F-AF78D824CF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8" name="AutoShape 1" descr="Resultado de imagem para whirlpool logo">
          <a:extLst>
            <a:ext uri="{FF2B5EF4-FFF2-40B4-BE49-F238E27FC236}">
              <a16:creationId xmlns:a16="http://schemas.microsoft.com/office/drawing/2014/main" id="{0BBDBC8A-AB7A-41D2-B2BB-29CB09B260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79" name="AutoShape 1" descr="Resultado de imagem para whirlpool logo">
          <a:extLst>
            <a:ext uri="{FF2B5EF4-FFF2-40B4-BE49-F238E27FC236}">
              <a16:creationId xmlns:a16="http://schemas.microsoft.com/office/drawing/2014/main" id="{FAD3B940-7650-4DA5-A9D4-3614D491E3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0" name="AutoShape 1" descr="Resultado de imagem para whirlpool logo">
          <a:extLst>
            <a:ext uri="{FF2B5EF4-FFF2-40B4-BE49-F238E27FC236}">
              <a16:creationId xmlns:a16="http://schemas.microsoft.com/office/drawing/2014/main" id="{9EC3F5BB-99DB-4E08-B987-29C80000D70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1" name="AutoShape 1" descr="Resultado de imagem para whirlpool logo">
          <a:extLst>
            <a:ext uri="{FF2B5EF4-FFF2-40B4-BE49-F238E27FC236}">
              <a16:creationId xmlns:a16="http://schemas.microsoft.com/office/drawing/2014/main" id="{E68B4BAA-9114-448E-901E-7E210A3DAE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2" name="AutoShape 1" descr="Resultado de imagem para whirlpool logo">
          <a:extLst>
            <a:ext uri="{FF2B5EF4-FFF2-40B4-BE49-F238E27FC236}">
              <a16:creationId xmlns:a16="http://schemas.microsoft.com/office/drawing/2014/main" id="{6364B995-B623-4F23-9477-181FBCF480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3" name="AutoShape 1" descr="Resultado de imagem para whirlpool logo">
          <a:extLst>
            <a:ext uri="{FF2B5EF4-FFF2-40B4-BE49-F238E27FC236}">
              <a16:creationId xmlns:a16="http://schemas.microsoft.com/office/drawing/2014/main" id="{ABBA7D10-F3E9-40BF-9D4A-B5018C4FA7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4" name="AutoShape 1" descr="Resultado de imagem para whirlpool logo">
          <a:extLst>
            <a:ext uri="{FF2B5EF4-FFF2-40B4-BE49-F238E27FC236}">
              <a16:creationId xmlns:a16="http://schemas.microsoft.com/office/drawing/2014/main" id="{91C32DCC-9139-42A7-8455-DA4A95EB60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5" name="AutoShape 1" descr="Resultado de imagem para whirlpool logo">
          <a:extLst>
            <a:ext uri="{FF2B5EF4-FFF2-40B4-BE49-F238E27FC236}">
              <a16:creationId xmlns:a16="http://schemas.microsoft.com/office/drawing/2014/main" id="{7225DE96-6A1C-4A7F-8044-8F3CACA828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6" name="AutoShape 1" descr="Resultado de imagem para whirlpool logo">
          <a:extLst>
            <a:ext uri="{FF2B5EF4-FFF2-40B4-BE49-F238E27FC236}">
              <a16:creationId xmlns:a16="http://schemas.microsoft.com/office/drawing/2014/main" id="{32601EE3-8A27-4C51-A0BA-1D7FE85B261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7" name="AutoShape 1" descr="Resultado de imagem para whirlpool logo">
          <a:extLst>
            <a:ext uri="{FF2B5EF4-FFF2-40B4-BE49-F238E27FC236}">
              <a16:creationId xmlns:a16="http://schemas.microsoft.com/office/drawing/2014/main" id="{D86ADDA7-4276-4047-B8D1-3FC3053D57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8" name="AutoShape 1" descr="Resultado de imagem para whirlpool logo">
          <a:extLst>
            <a:ext uri="{FF2B5EF4-FFF2-40B4-BE49-F238E27FC236}">
              <a16:creationId xmlns:a16="http://schemas.microsoft.com/office/drawing/2014/main" id="{F4088F04-AA11-4C54-A0FB-82DD26F23D7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89" name="AutoShape 1" descr="Resultado de imagem para whirlpool logo">
          <a:extLst>
            <a:ext uri="{FF2B5EF4-FFF2-40B4-BE49-F238E27FC236}">
              <a16:creationId xmlns:a16="http://schemas.microsoft.com/office/drawing/2014/main" id="{559E986D-CC1B-41D8-807D-E18E1542EB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0" name="AutoShape 1" descr="Resultado de imagem para whirlpool logo">
          <a:extLst>
            <a:ext uri="{FF2B5EF4-FFF2-40B4-BE49-F238E27FC236}">
              <a16:creationId xmlns:a16="http://schemas.microsoft.com/office/drawing/2014/main" id="{E6D77436-242A-479B-BB35-D8E460136C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1" name="AutoShape 1" descr="Resultado de imagem para whirlpool logo">
          <a:extLst>
            <a:ext uri="{FF2B5EF4-FFF2-40B4-BE49-F238E27FC236}">
              <a16:creationId xmlns:a16="http://schemas.microsoft.com/office/drawing/2014/main" id="{483023E3-C188-4090-ACD6-CD930E0654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2" name="AutoShape 1" descr="Resultado de imagem para whirlpool logo">
          <a:extLst>
            <a:ext uri="{FF2B5EF4-FFF2-40B4-BE49-F238E27FC236}">
              <a16:creationId xmlns:a16="http://schemas.microsoft.com/office/drawing/2014/main" id="{D7EBDB56-4B5D-4E81-ACFF-5B066DBD32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3" name="AutoShape 1" descr="Resultado de imagem para whirlpool logo">
          <a:extLst>
            <a:ext uri="{FF2B5EF4-FFF2-40B4-BE49-F238E27FC236}">
              <a16:creationId xmlns:a16="http://schemas.microsoft.com/office/drawing/2014/main" id="{FFDC4686-FE07-410E-889D-0B265CD5E46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4" name="AutoShape 1" descr="Resultado de imagem para whirlpool logo">
          <a:extLst>
            <a:ext uri="{FF2B5EF4-FFF2-40B4-BE49-F238E27FC236}">
              <a16:creationId xmlns:a16="http://schemas.microsoft.com/office/drawing/2014/main" id="{15F0FAD8-48D7-46C6-BF36-232E1E8D6E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5" name="AutoShape 1" descr="Resultado de imagem para whirlpool logo">
          <a:extLst>
            <a:ext uri="{FF2B5EF4-FFF2-40B4-BE49-F238E27FC236}">
              <a16:creationId xmlns:a16="http://schemas.microsoft.com/office/drawing/2014/main" id="{F0C6BE12-2987-4CE6-BE7D-7F89446B80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6" name="AutoShape 1" descr="Resultado de imagem para whirlpool logo">
          <a:extLst>
            <a:ext uri="{FF2B5EF4-FFF2-40B4-BE49-F238E27FC236}">
              <a16:creationId xmlns:a16="http://schemas.microsoft.com/office/drawing/2014/main" id="{CE9FDBCA-3313-4D99-BB61-3B34B2A18A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7" name="AutoShape 1" descr="Resultado de imagem para whirlpool logo">
          <a:extLst>
            <a:ext uri="{FF2B5EF4-FFF2-40B4-BE49-F238E27FC236}">
              <a16:creationId xmlns:a16="http://schemas.microsoft.com/office/drawing/2014/main" id="{19318F43-5634-4F3A-83BB-B85C49111E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8" name="AutoShape 1" descr="Resultado de imagem para whirlpool logo">
          <a:extLst>
            <a:ext uri="{FF2B5EF4-FFF2-40B4-BE49-F238E27FC236}">
              <a16:creationId xmlns:a16="http://schemas.microsoft.com/office/drawing/2014/main" id="{A5630F96-0E3B-4B4D-B5AD-8B89831F91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899" name="AutoShape 1" descr="Resultado de imagem para whirlpool logo">
          <a:extLst>
            <a:ext uri="{FF2B5EF4-FFF2-40B4-BE49-F238E27FC236}">
              <a16:creationId xmlns:a16="http://schemas.microsoft.com/office/drawing/2014/main" id="{773B6AA8-DEFE-4519-A1CD-6DCA58AB9B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0" name="AutoShape 1" descr="Resultado de imagem para whirlpool logo">
          <a:extLst>
            <a:ext uri="{FF2B5EF4-FFF2-40B4-BE49-F238E27FC236}">
              <a16:creationId xmlns:a16="http://schemas.microsoft.com/office/drawing/2014/main" id="{D21CE91C-CB6F-4096-88C2-140B9C742C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1" name="AutoShape 1" descr="Resultado de imagem para whirlpool logo">
          <a:extLst>
            <a:ext uri="{FF2B5EF4-FFF2-40B4-BE49-F238E27FC236}">
              <a16:creationId xmlns:a16="http://schemas.microsoft.com/office/drawing/2014/main" id="{C3ECB1D1-C3A5-48BD-A11A-1C942923596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2" name="AutoShape 1" descr="Resultado de imagem para whirlpool logo">
          <a:extLst>
            <a:ext uri="{FF2B5EF4-FFF2-40B4-BE49-F238E27FC236}">
              <a16:creationId xmlns:a16="http://schemas.microsoft.com/office/drawing/2014/main" id="{FDE7DE70-27FF-4700-8912-EFAC963490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3" name="AutoShape 1" descr="Resultado de imagem para whirlpool logo">
          <a:extLst>
            <a:ext uri="{FF2B5EF4-FFF2-40B4-BE49-F238E27FC236}">
              <a16:creationId xmlns:a16="http://schemas.microsoft.com/office/drawing/2014/main" id="{D6225534-3373-4477-BBAE-4F8CF869AC5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4" name="AutoShape 1" descr="Resultado de imagem para whirlpool logo">
          <a:extLst>
            <a:ext uri="{FF2B5EF4-FFF2-40B4-BE49-F238E27FC236}">
              <a16:creationId xmlns:a16="http://schemas.microsoft.com/office/drawing/2014/main" id="{D1AB0576-C9E3-4A85-B50C-39186CD23F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5" name="AutoShape 1" descr="Resultado de imagem para whirlpool logo">
          <a:extLst>
            <a:ext uri="{FF2B5EF4-FFF2-40B4-BE49-F238E27FC236}">
              <a16:creationId xmlns:a16="http://schemas.microsoft.com/office/drawing/2014/main" id="{3548A4D3-461A-49BA-B25F-3102EF40DC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6" name="AutoShape 1" descr="Resultado de imagem para whirlpool logo">
          <a:extLst>
            <a:ext uri="{FF2B5EF4-FFF2-40B4-BE49-F238E27FC236}">
              <a16:creationId xmlns:a16="http://schemas.microsoft.com/office/drawing/2014/main" id="{1BE568C0-986F-4E93-B7B9-D6F797D3B1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907" name="AutoShape 1" descr="Resultado de imagem para whirlpool logo">
          <a:extLst>
            <a:ext uri="{FF2B5EF4-FFF2-40B4-BE49-F238E27FC236}">
              <a16:creationId xmlns:a16="http://schemas.microsoft.com/office/drawing/2014/main" id="{C54F1F18-8DA4-4BB5-B3B0-BD14C5E203CC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8" name="AutoShape 1" descr="Resultado de imagem para whirlpool logo">
          <a:extLst>
            <a:ext uri="{FF2B5EF4-FFF2-40B4-BE49-F238E27FC236}">
              <a16:creationId xmlns:a16="http://schemas.microsoft.com/office/drawing/2014/main" id="{68E35995-DB24-404D-BE53-032773EC0D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09" name="AutoShape 1" descr="Resultado de imagem para whirlpool logo">
          <a:extLst>
            <a:ext uri="{FF2B5EF4-FFF2-40B4-BE49-F238E27FC236}">
              <a16:creationId xmlns:a16="http://schemas.microsoft.com/office/drawing/2014/main" id="{DB8D361D-4219-4A00-B71C-30619F04DF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0" name="AutoShape 1" descr="Resultado de imagem para whirlpool logo">
          <a:extLst>
            <a:ext uri="{FF2B5EF4-FFF2-40B4-BE49-F238E27FC236}">
              <a16:creationId xmlns:a16="http://schemas.microsoft.com/office/drawing/2014/main" id="{044F6DBA-289B-4D33-A3F6-43E5D67EAF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1" name="AutoShape 1" descr="Resultado de imagem para whirlpool logo">
          <a:extLst>
            <a:ext uri="{FF2B5EF4-FFF2-40B4-BE49-F238E27FC236}">
              <a16:creationId xmlns:a16="http://schemas.microsoft.com/office/drawing/2014/main" id="{B0A53669-FB09-4E9D-96A6-2C2BCDB11A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2" name="AutoShape 1" descr="Resultado de imagem para whirlpool logo">
          <a:extLst>
            <a:ext uri="{FF2B5EF4-FFF2-40B4-BE49-F238E27FC236}">
              <a16:creationId xmlns:a16="http://schemas.microsoft.com/office/drawing/2014/main" id="{03E0924A-4838-4ED7-B32A-EBF48F8BCA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3" name="AutoShape 1" descr="Resultado de imagem para whirlpool logo">
          <a:extLst>
            <a:ext uri="{FF2B5EF4-FFF2-40B4-BE49-F238E27FC236}">
              <a16:creationId xmlns:a16="http://schemas.microsoft.com/office/drawing/2014/main" id="{05300569-CD6A-43CC-AF47-0A11E13B00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4" name="AutoShape 1" descr="Resultado de imagem para whirlpool logo">
          <a:extLst>
            <a:ext uri="{FF2B5EF4-FFF2-40B4-BE49-F238E27FC236}">
              <a16:creationId xmlns:a16="http://schemas.microsoft.com/office/drawing/2014/main" id="{5386BB60-C048-4E96-A095-077243B357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5" name="AutoShape 1" descr="Resultado de imagem para whirlpool logo">
          <a:extLst>
            <a:ext uri="{FF2B5EF4-FFF2-40B4-BE49-F238E27FC236}">
              <a16:creationId xmlns:a16="http://schemas.microsoft.com/office/drawing/2014/main" id="{1E3715D5-0962-4F8D-BC13-8BCF6B28CA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6" name="AutoShape 1" descr="Resultado de imagem para whirlpool logo">
          <a:extLst>
            <a:ext uri="{FF2B5EF4-FFF2-40B4-BE49-F238E27FC236}">
              <a16:creationId xmlns:a16="http://schemas.microsoft.com/office/drawing/2014/main" id="{3E9E7E5B-710C-4DA1-B039-2C56C496E70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7" name="AutoShape 1" descr="Resultado de imagem para whirlpool logo">
          <a:extLst>
            <a:ext uri="{FF2B5EF4-FFF2-40B4-BE49-F238E27FC236}">
              <a16:creationId xmlns:a16="http://schemas.microsoft.com/office/drawing/2014/main" id="{DED1602E-6DEE-414D-A314-3D88A5ABD8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8" name="AutoShape 1" descr="Resultado de imagem para whirlpool logo">
          <a:extLst>
            <a:ext uri="{FF2B5EF4-FFF2-40B4-BE49-F238E27FC236}">
              <a16:creationId xmlns:a16="http://schemas.microsoft.com/office/drawing/2014/main" id="{A348F5B6-0B04-4AAD-B78A-BD8AFEFF3B2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19" name="AutoShape 1" descr="Resultado de imagem para whirlpool logo">
          <a:extLst>
            <a:ext uri="{FF2B5EF4-FFF2-40B4-BE49-F238E27FC236}">
              <a16:creationId xmlns:a16="http://schemas.microsoft.com/office/drawing/2014/main" id="{B8424D92-116A-4D28-B995-7B41352E56E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0" name="AutoShape 1" descr="Resultado de imagem para whirlpool logo">
          <a:extLst>
            <a:ext uri="{FF2B5EF4-FFF2-40B4-BE49-F238E27FC236}">
              <a16:creationId xmlns:a16="http://schemas.microsoft.com/office/drawing/2014/main" id="{7FC4CC78-02CA-4454-95A1-A569E80B1B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1" name="AutoShape 1" descr="Resultado de imagem para whirlpool logo">
          <a:extLst>
            <a:ext uri="{FF2B5EF4-FFF2-40B4-BE49-F238E27FC236}">
              <a16:creationId xmlns:a16="http://schemas.microsoft.com/office/drawing/2014/main" id="{398E2594-3F09-481B-AF84-D43BCDB855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2" name="AutoShape 1" descr="Resultado de imagem para whirlpool logo">
          <a:extLst>
            <a:ext uri="{FF2B5EF4-FFF2-40B4-BE49-F238E27FC236}">
              <a16:creationId xmlns:a16="http://schemas.microsoft.com/office/drawing/2014/main" id="{3D0B44AE-0BDA-411E-88A6-D05303D27B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3" name="AutoShape 1" descr="Resultado de imagem para whirlpool logo">
          <a:extLst>
            <a:ext uri="{FF2B5EF4-FFF2-40B4-BE49-F238E27FC236}">
              <a16:creationId xmlns:a16="http://schemas.microsoft.com/office/drawing/2014/main" id="{EBA98316-CBBE-4C45-858C-34EA932C51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4" name="AutoShape 1" descr="Resultado de imagem para whirlpool logo">
          <a:extLst>
            <a:ext uri="{FF2B5EF4-FFF2-40B4-BE49-F238E27FC236}">
              <a16:creationId xmlns:a16="http://schemas.microsoft.com/office/drawing/2014/main" id="{83A86978-003E-4929-A383-7DA252BE46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5" name="AutoShape 1" descr="Resultado de imagem para whirlpool logo">
          <a:extLst>
            <a:ext uri="{FF2B5EF4-FFF2-40B4-BE49-F238E27FC236}">
              <a16:creationId xmlns:a16="http://schemas.microsoft.com/office/drawing/2014/main" id="{DAD545EE-B8C8-4F0A-9928-4E8CE99F53A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6" name="AutoShape 1" descr="Resultado de imagem para whirlpool logo">
          <a:extLst>
            <a:ext uri="{FF2B5EF4-FFF2-40B4-BE49-F238E27FC236}">
              <a16:creationId xmlns:a16="http://schemas.microsoft.com/office/drawing/2014/main" id="{A2CCD078-EF9F-40BC-8C2F-A4C66C733A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7" name="AutoShape 1" descr="Resultado de imagem para whirlpool logo">
          <a:extLst>
            <a:ext uri="{FF2B5EF4-FFF2-40B4-BE49-F238E27FC236}">
              <a16:creationId xmlns:a16="http://schemas.microsoft.com/office/drawing/2014/main" id="{03574F5A-16DB-4AE3-B73F-065853AA7E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8" name="AutoShape 1" descr="Resultado de imagem para whirlpool logo">
          <a:extLst>
            <a:ext uri="{FF2B5EF4-FFF2-40B4-BE49-F238E27FC236}">
              <a16:creationId xmlns:a16="http://schemas.microsoft.com/office/drawing/2014/main" id="{2A113051-B12D-4CCA-B291-2E43B2A5C5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29" name="AutoShape 1" descr="Resultado de imagem para whirlpool logo">
          <a:extLst>
            <a:ext uri="{FF2B5EF4-FFF2-40B4-BE49-F238E27FC236}">
              <a16:creationId xmlns:a16="http://schemas.microsoft.com/office/drawing/2014/main" id="{EC7A02D4-3BC0-48BF-BE53-3809EFA1F4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0" name="AutoShape 1" descr="Resultado de imagem para whirlpool logo">
          <a:extLst>
            <a:ext uri="{FF2B5EF4-FFF2-40B4-BE49-F238E27FC236}">
              <a16:creationId xmlns:a16="http://schemas.microsoft.com/office/drawing/2014/main" id="{44B1634E-C51D-443C-B064-CC72C293A5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1" name="AutoShape 1" descr="Resultado de imagem para whirlpool logo">
          <a:extLst>
            <a:ext uri="{FF2B5EF4-FFF2-40B4-BE49-F238E27FC236}">
              <a16:creationId xmlns:a16="http://schemas.microsoft.com/office/drawing/2014/main" id="{2A24E805-E824-49F8-B5B4-EFEC04EB2F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2" name="AutoShape 1" descr="Resultado de imagem para whirlpool logo">
          <a:extLst>
            <a:ext uri="{FF2B5EF4-FFF2-40B4-BE49-F238E27FC236}">
              <a16:creationId xmlns:a16="http://schemas.microsoft.com/office/drawing/2014/main" id="{3E4B8A37-36F8-471B-A63A-95E6E2F7DF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3" name="AutoShape 1" descr="Resultado de imagem para whirlpool logo">
          <a:extLst>
            <a:ext uri="{FF2B5EF4-FFF2-40B4-BE49-F238E27FC236}">
              <a16:creationId xmlns:a16="http://schemas.microsoft.com/office/drawing/2014/main" id="{295B209D-4568-47D0-8810-06CC4C2D4D7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4" name="AutoShape 1" descr="Resultado de imagem para whirlpool logo">
          <a:extLst>
            <a:ext uri="{FF2B5EF4-FFF2-40B4-BE49-F238E27FC236}">
              <a16:creationId xmlns:a16="http://schemas.microsoft.com/office/drawing/2014/main" id="{FE2CB055-79B4-46D9-B1A5-E7961DC9643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5" name="AutoShape 1" descr="Resultado de imagem para whirlpool logo">
          <a:extLst>
            <a:ext uri="{FF2B5EF4-FFF2-40B4-BE49-F238E27FC236}">
              <a16:creationId xmlns:a16="http://schemas.microsoft.com/office/drawing/2014/main" id="{66D9CD78-2951-472A-AA1F-407E96CCA1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6" name="AutoShape 1" descr="Resultado de imagem para whirlpool logo">
          <a:extLst>
            <a:ext uri="{FF2B5EF4-FFF2-40B4-BE49-F238E27FC236}">
              <a16:creationId xmlns:a16="http://schemas.microsoft.com/office/drawing/2014/main" id="{5A5C3568-5654-4773-A8DD-238D282777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7" name="AutoShape 1" descr="Resultado de imagem para whirlpool logo">
          <a:extLst>
            <a:ext uri="{FF2B5EF4-FFF2-40B4-BE49-F238E27FC236}">
              <a16:creationId xmlns:a16="http://schemas.microsoft.com/office/drawing/2014/main" id="{D0A4A949-8E54-4A6F-8576-06D0838EE8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8" name="AutoShape 1" descr="Resultado de imagem para whirlpool logo">
          <a:extLst>
            <a:ext uri="{FF2B5EF4-FFF2-40B4-BE49-F238E27FC236}">
              <a16:creationId xmlns:a16="http://schemas.microsoft.com/office/drawing/2014/main" id="{6DAE27B4-CEE7-4A3A-8D5D-8DE9FF15FD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39" name="AutoShape 1" descr="Resultado de imagem para whirlpool logo">
          <a:extLst>
            <a:ext uri="{FF2B5EF4-FFF2-40B4-BE49-F238E27FC236}">
              <a16:creationId xmlns:a16="http://schemas.microsoft.com/office/drawing/2014/main" id="{F6AB9ECD-136A-4EEE-9B7C-F3169E63AB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0" name="AutoShape 1" descr="Resultado de imagem para whirlpool logo">
          <a:extLst>
            <a:ext uri="{FF2B5EF4-FFF2-40B4-BE49-F238E27FC236}">
              <a16:creationId xmlns:a16="http://schemas.microsoft.com/office/drawing/2014/main" id="{229423EF-4C79-4A00-A7F9-D3DFFA151F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1" name="AutoShape 1" descr="Resultado de imagem para whirlpool logo">
          <a:extLst>
            <a:ext uri="{FF2B5EF4-FFF2-40B4-BE49-F238E27FC236}">
              <a16:creationId xmlns:a16="http://schemas.microsoft.com/office/drawing/2014/main" id="{57A94EBE-18C4-4127-85C4-117D159FF6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2" name="AutoShape 1" descr="Resultado de imagem para whirlpool logo">
          <a:extLst>
            <a:ext uri="{FF2B5EF4-FFF2-40B4-BE49-F238E27FC236}">
              <a16:creationId xmlns:a16="http://schemas.microsoft.com/office/drawing/2014/main" id="{F5357CD7-96D0-42F1-910C-90458967A9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3" name="AutoShape 1" descr="Resultado de imagem para whirlpool logo">
          <a:extLst>
            <a:ext uri="{FF2B5EF4-FFF2-40B4-BE49-F238E27FC236}">
              <a16:creationId xmlns:a16="http://schemas.microsoft.com/office/drawing/2014/main" id="{A2F4ED34-DA5D-4726-A27A-D34EAB259AB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4" name="AutoShape 1" descr="Resultado de imagem para whirlpool logo">
          <a:extLst>
            <a:ext uri="{FF2B5EF4-FFF2-40B4-BE49-F238E27FC236}">
              <a16:creationId xmlns:a16="http://schemas.microsoft.com/office/drawing/2014/main" id="{E03652D4-12D3-4474-9AFA-7647333CDD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5" name="AutoShape 1" descr="Resultado de imagem para whirlpool logo">
          <a:extLst>
            <a:ext uri="{FF2B5EF4-FFF2-40B4-BE49-F238E27FC236}">
              <a16:creationId xmlns:a16="http://schemas.microsoft.com/office/drawing/2014/main" id="{D1830B73-D4E2-494E-BC3D-203CEE0CD8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6" name="AutoShape 1" descr="Resultado de imagem para whirlpool logo">
          <a:extLst>
            <a:ext uri="{FF2B5EF4-FFF2-40B4-BE49-F238E27FC236}">
              <a16:creationId xmlns:a16="http://schemas.microsoft.com/office/drawing/2014/main" id="{2BFDBB04-496B-4DEA-AE13-12A42E3BBB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7" name="AutoShape 1" descr="Resultado de imagem para whirlpool logo">
          <a:extLst>
            <a:ext uri="{FF2B5EF4-FFF2-40B4-BE49-F238E27FC236}">
              <a16:creationId xmlns:a16="http://schemas.microsoft.com/office/drawing/2014/main" id="{AC8EF2B3-92E8-4BF5-943D-930AD94BC2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8" name="AutoShape 1" descr="Resultado de imagem para whirlpool logo">
          <a:extLst>
            <a:ext uri="{FF2B5EF4-FFF2-40B4-BE49-F238E27FC236}">
              <a16:creationId xmlns:a16="http://schemas.microsoft.com/office/drawing/2014/main" id="{05BC7A91-A20F-4845-BFF0-5C42B95972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49" name="AutoShape 1" descr="Resultado de imagem para whirlpool logo">
          <a:extLst>
            <a:ext uri="{FF2B5EF4-FFF2-40B4-BE49-F238E27FC236}">
              <a16:creationId xmlns:a16="http://schemas.microsoft.com/office/drawing/2014/main" id="{BC465453-A6F4-4EBE-B375-5A01132AA5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0" name="AutoShape 1" descr="Resultado de imagem para whirlpool logo">
          <a:extLst>
            <a:ext uri="{FF2B5EF4-FFF2-40B4-BE49-F238E27FC236}">
              <a16:creationId xmlns:a16="http://schemas.microsoft.com/office/drawing/2014/main" id="{A59EC14F-ED5F-428F-9082-74BB1DF449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1" name="AutoShape 1" descr="Resultado de imagem para whirlpool logo">
          <a:extLst>
            <a:ext uri="{FF2B5EF4-FFF2-40B4-BE49-F238E27FC236}">
              <a16:creationId xmlns:a16="http://schemas.microsoft.com/office/drawing/2014/main" id="{6FCB6CB6-7910-437A-BC78-2E0A80395B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2" name="AutoShape 1" descr="Resultado de imagem para whirlpool logo">
          <a:extLst>
            <a:ext uri="{FF2B5EF4-FFF2-40B4-BE49-F238E27FC236}">
              <a16:creationId xmlns:a16="http://schemas.microsoft.com/office/drawing/2014/main" id="{DE6B3B1D-C794-4335-9B4E-48FA1B9A1C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3" name="AutoShape 1" descr="Resultado de imagem para whirlpool logo">
          <a:extLst>
            <a:ext uri="{FF2B5EF4-FFF2-40B4-BE49-F238E27FC236}">
              <a16:creationId xmlns:a16="http://schemas.microsoft.com/office/drawing/2014/main" id="{43381D2F-FA8F-445D-959A-D8DB4A4544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4" name="AutoShape 1" descr="Resultado de imagem para whirlpool logo">
          <a:extLst>
            <a:ext uri="{FF2B5EF4-FFF2-40B4-BE49-F238E27FC236}">
              <a16:creationId xmlns:a16="http://schemas.microsoft.com/office/drawing/2014/main" id="{09E4FF17-55C1-4DC6-A198-9CD06A5870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5" name="AutoShape 1" descr="Resultado de imagem para whirlpool logo">
          <a:extLst>
            <a:ext uri="{FF2B5EF4-FFF2-40B4-BE49-F238E27FC236}">
              <a16:creationId xmlns:a16="http://schemas.microsoft.com/office/drawing/2014/main" id="{D63BAADC-AEFD-4388-A281-3ED8FBE1C0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6" name="AutoShape 1" descr="Resultado de imagem para whirlpool logo">
          <a:extLst>
            <a:ext uri="{FF2B5EF4-FFF2-40B4-BE49-F238E27FC236}">
              <a16:creationId xmlns:a16="http://schemas.microsoft.com/office/drawing/2014/main" id="{BA3F7C25-964E-41BE-933A-142ACE5DD8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7" name="AutoShape 1" descr="Resultado de imagem para whirlpool logo">
          <a:extLst>
            <a:ext uri="{FF2B5EF4-FFF2-40B4-BE49-F238E27FC236}">
              <a16:creationId xmlns:a16="http://schemas.microsoft.com/office/drawing/2014/main" id="{0E12C254-84C0-4501-80D7-268BE9E3D1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8" name="AutoShape 1" descr="Resultado de imagem para whirlpool logo">
          <a:extLst>
            <a:ext uri="{FF2B5EF4-FFF2-40B4-BE49-F238E27FC236}">
              <a16:creationId xmlns:a16="http://schemas.microsoft.com/office/drawing/2014/main" id="{69B659A9-C0F0-486E-8F09-6F2EF8BD92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59" name="AutoShape 1" descr="Resultado de imagem para whirlpool logo">
          <a:extLst>
            <a:ext uri="{FF2B5EF4-FFF2-40B4-BE49-F238E27FC236}">
              <a16:creationId xmlns:a16="http://schemas.microsoft.com/office/drawing/2014/main" id="{2ECAFF33-7E86-4BB4-8292-66F7FDF143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0" name="AutoShape 1" descr="Resultado de imagem para whirlpool logo">
          <a:extLst>
            <a:ext uri="{FF2B5EF4-FFF2-40B4-BE49-F238E27FC236}">
              <a16:creationId xmlns:a16="http://schemas.microsoft.com/office/drawing/2014/main" id="{C27022A8-3A9D-429E-8246-82F7E7D8C0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1" name="AutoShape 1" descr="Resultado de imagem para whirlpool logo">
          <a:extLst>
            <a:ext uri="{FF2B5EF4-FFF2-40B4-BE49-F238E27FC236}">
              <a16:creationId xmlns:a16="http://schemas.microsoft.com/office/drawing/2014/main" id="{C1CED41A-8441-4826-9D7A-EDE1EB2EEA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2" name="AutoShape 1" descr="Resultado de imagem para whirlpool logo">
          <a:extLst>
            <a:ext uri="{FF2B5EF4-FFF2-40B4-BE49-F238E27FC236}">
              <a16:creationId xmlns:a16="http://schemas.microsoft.com/office/drawing/2014/main" id="{F3D5A278-B123-48BF-B293-617478B5D1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3" name="AutoShape 1" descr="Resultado de imagem para whirlpool logo">
          <a:extLst>
            <a:ext uri="{FF2B5EF4-FFF2-40B4-BE49-F238E27FC236}">
              <a16:creationId xmlns:a16="http://schemas.microsoft.com/office/drawing/2014/main" id="{9D5C0B15-FE3D-4BE7-B37C-5EF76FDA0F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4" name="AutoShape 1" descr="Resultado de imagem para whirlpool logo">
          <a:extLst>
            <a:ext uri="{FF2B5EF4-FFF2-40B4-BE49-F238E27FC236}">
              <a16:creationId xmlns:a16="http://schemas.microsoft.com/office/drawing/2014/main" id="{EECD5A35-BFC6-417E-9EBA-E2ED490104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5" name="AutoShape 1" descr="Resultado de imagem para whirlpool logo">
          <a:extLst>
            <a:ext uri="{FF2B5EF4-FFF2-40B4-BE49-F238E27FC236}">
              <a16:creationId xmlns:a16="http://schemas.microsoft.com/office/drawing/2014/main" id="{FCC1D835-C20F-4404-A796-8E210FB25C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6" name="AutoShape 1" descr="Resultado de imagem para whirlpool logo">
          <a:extLst>
            <a:ext uri="{FF2B5EF4-FFF2-40B4-BE49-F238E27FC236}">
              <a16:creationId xmlns:a16="http://schemas.microsoft.com/office/drawing/2014/main" id="{2F350346-9128-4767-97D0-CA018EA9A5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7" name="AutoShape 1" descr="Resultado de imagem para whirlpool logo">
          <a:extLst>
            <a:ext uri="{FF2B5EF4-FFF2-40B4-BE49-F238E27FC236}">
              <a16:creationId xmlns:a16="http://schemas.microsoft.com/office/drawing/2014/main" id="{88E40545-2301-4BAC-BFC9-0DD532CDE5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8" name="AutoShape 1" descr="Resultado de imagem para whirlpool logo">
          <a:extLst>
            <a:ext uri="{FF2B5EF4-FFF2-40B4-BE49-F238E27FC236}">
              <a16:creationId xmlns:a16="http://schemas.microsoft.com/office/drawing/2014/main" id="{AAF8A408-2D6E-481A-97FF-DB2F61782A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69" name="AutoShape 1" descr="Resultado de imagem para whirlpool logo">
          <a:extLst>
            <a:ext uri="{FF2B5EF4-FFF2-40B4-BE49-F238E27FC236}">
              <a16:creationId xmlns:a16="http://schemas.microsoft.com/office/drawing/2014/main" id="{F10472E5-A6DD-455A-97E6-B536F4B5778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0" name="AutoShape 1" descr="Resultado de imagem para whirlpool logo">
          <a:extLst>
            <a:ext uri="{FF2B5EF4-FFF2-40B4-BE49-F238E27FC236}">
              <a16:creationId xmlns:a16="http://schemas.microsoft.com/office/drawing/2014/main" id="{319BC475-11BF-4E10-B6EB-208087B9EE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1" name="AutoShape 1" descr="Resultado de imagem para whirlpool logo">
          <a:extLst>
            <a:ext uri="{FF2B5EF4-FFF2-40B4-BE49-F238E27FC236}">
              <a16:creationId xmlns:a16="http://schemas.microsoft.com/office/drawing/2014/main" id="{C85B747B-5985-443C-9E5E-D40C855249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2" name="AutoShape 1" descr="Resultado de imagem para whirlpool logo">
          <a:extLst>
            <a:ext uri="{FF2B5EF4-FFF2-40B4-BE49-F238E27FC236}">
              <a16:creationId xmlns:a16="http://schemas.microsoft.com/office/drawing/2014/main" id="{701807A8-9E37-4DD9-AC65-0F8D89922A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3" name="AutoShape 1" descr="Resultado de imagem para whirlpool logo">
          <a:extLst>
            <a:ext uri="{FF2B5EF4-FFF2-40B4-BE49-F238E27FC236}">
              <a16:creationId xmlns:a16="http://schemas.microsoft.com/office/drawing/2014/main" id="{E0CAFE03-CC40-4D46-B33B-5E6DFFC8EC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4" name="AutoShape 1" descr="Resultado de imagem para whirlpool logo">
          <a:extLst>
            <a:ext uri="{FF2B5EF4-FFF2-40B4-BE49-F238E27FC236}">
              <a16:creationId xmlns:a16="http://schemas.microsoft.com/office/drawing/2014/main" id="{16B30EA7-DFB0-40F7-8535-2287446AD0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5" name="AutoShape 1" descr="Resultado de imagem para whirlpool logo">
          <a:extLst>
            <a:ext uri="{FF2B5EF4-FFF2-40B4-BE49-F238E27FC236}">
              <a16:creationId xmlns:a16="http://schemas.microsoft.com/office/drawing/2014/main" id="{D08CCE10-D72C-405C-97C1-751F601C4D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6" name="AutoShape 1" descr="Resultado de imagem para whirlpool logo">
          <a:extLst>
            <a:ext uri="{FF2B5EF4-FFF2-40B4-BE49-F238E27FC236}">
              <a16:creationId xmlns:a16="http://schemas.microsoft.com/office/drawing/2014/main" id="{9DF2B369-AE8D-4273-8873-8406624C99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7" name="AutoShape 1" descr="Resultado de imagem para whirlpool logo">
          <a:extLst>
            <a:ext uri="{FF2B5EF4-FFF2-40B4-BE49-F238E27FC236}">
              <a16:creationId xmlns:a16="http://schemas.microsoft.com/office/drawing/2014/main" id="{22F6D7CA-0587-41A8-B6CA-E91730FCF7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8" name="AutoShape 1" descr="Resultado de imagem para whirlpool logo">
          <a:extLst>
            <a:ext uri="{FF2B5EF4-FFF2-40B4-BE49-F238E27FC236}">
              <a16:creationId xmlns:a16="http://schemas.microsoft.com/office/drawing/2014/main" id="{9F1656D0-8C04-4984-9933-F0BED651FB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79" name="AutoShape 1" descr="Resultado de imagem para whirlpool logo">
          <a:extLst>
            <a:ext uri="{FF2B5EF4-FFF2-40B4-BE49-F238E27FC236}">
              <a16:creationId xmlns:a16="http://schemas.microsoft.com/office/drawing/2014/main" id="{0D899A46-1F92-4F34-90E2-F6E68275B0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0" name="AutoShape 1" descr="Resultado de imagem para whirlpool logo">
          <a:extLst>
            <a:ext uri="{FF2B5EF4-FFF2-40B4-BE49-F238E27FC236}">
              <a16:creationId xmlns:a16="http://schemas.microsoft.com/office/drawing/2014/main" id="{4B55A4B5-25CF-41FF-B765-DB14819CAC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1" name="AutoShape 1" descr="Resultado de imagem para whirlpool logo">
          <a:extLst>
            <a:ext uri="{FF2B5EF4-FFF2-40B4-BE49-F238E27FC236}">
              <a16:creationId xmlns:a16="http://schemas.microsoft.com/office/drawing/2014/main" id="{CAE6989E-62E4-43AE-8FAE-8E6848958D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2" name="AutoShape 1" descr="Resultado de imagem para whirlpool logo">
          <a:extLst>
            <a:ext uri="{FF2B5EF4-FFF2-40B4-BE49-F238E27FC236}">
              <a16:creationId xmlns:a16="http://schemas.microsoft.com/office/drawing/2014/main" id="{1F273AD0-A12A-4A52-AC9C-70866EB6A0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3" name="AutoShape 1" descr="Resultado de imagem para whirlpool logo">
          <a:extLst>
            <a:ext uri="{FF2B5EF4-FFF2-40B4-BE49-F238E27FC236}">
              <a16:creationId xmlns:a16="http://schemas.microsoft.com/office/drawing/2014/main" id="{E933493B-09DF-4D78-907E-05C5476E76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4" name="AutoShape 1" descr="Resultado de imagem para whirlpool logo">
          <a:extLst>
            <a:ext uri="{FF2B5EF4-FFF2-40B4-BE49-F238E27FC236}">
              <a16:creationId xmlns:a16="http://schemas.microsoft.com/office/drawing/2014/main" id="{B7CDA4D6-F706-49F0-ADCA-C4EE43E0C5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985" name="AutoShape 1" descr="Resultado de imagem para whirlpool logo">
          <a:extLst>
            <a:ext uri="{FF2B5EF4-FFF2-40B4-BE49-F238E27FC236}">
              <a16:creationId xmlns:a16="http://schemas.microsoft.com/office/drawing/2014/main" id="{80834648-453B-49A1-AE29-8E12DC9D5F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6" name="AutoShape 1" descr="Resultado de imagem para whirlpool logo">
          <a:extLst>
            <a:ext uri="{FF2B5EF4-FFF2-40B4-BE49-F238E27FC236}">
              <a16:creationId xmlns:a16="http://schemas.microsoft.com/office/drawing/2014/main" id="{E1A19159-2680-4422-B9EF-24DA3D271F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7" name="AutoShape 1" descr="Resultado de imagem para whirlpool logo">
          <a:extLst>
            <a:ext uri="{FF2B5EF4-FFF2-40B4-BE49-F238E27FC236}">
              <a16:creationId xmlns:a16="http://schemas.microsoft.com/office/drawing/2014/main" id="{D13184B9-73BA-4ED6-99DD-1E52872147B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8" name="AutoShape 1" descr="Resultado de imagem para whirlpool logo">
          <a:extLst>
            <a:ext uri="{FF2B5EF4-FFF2-40B4-BE49-F238E27FC236}">
              <a16:creationId xmlns:a16="http://schemas.microsoft.com/office/drawing/2014/main" id="{1DED4F23-6EC7-4A17-87F5-1869731726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89" name="AutoShape 1" descr="Resultado de imagem para whirlpool logo">
          <a:extLst>
            <a:ext uri="{FF2B5EF4-FFF2-40B4-BE49-F238E27FC236}">
              <a16:creationId xmlns:a16="http://schemas.microsoft.com/office/drawing/2014/main" id="{80BA238C-65CD-4BAF-A620-A005A043DE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990" name="AutoShape 1" descr="Resultado de imagem para whirlpool logo">
          <a:extLst>
            <a:ext uri="{FF2B5EF4-FFF2-40B4-BE49-F238E27FC236}">
              <a16:creationId xmlns:a16="http://schemas.microsoft.com/office/drawing/2014/main" id="{691769FD-42C6-427D-983F-82459DAED3F8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1" name="AutoShape 1" descr="Resultado de imagem para whirlpool logo">
          <a:extLst>
            <a:ext uri="{FF2B5EF4-FFF2-40B4-BE49-F238E27FC236}">
              <a16:creationId xmlns:a16="http://schemas.microsoft.com/office/drawing/2014/main" id="{C3B8D95C-0600-4FB2-A4F8-7E42204F7B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2" name="AutoShape 1" descr="Resultado de imagem para whirlpool logo">
          <a:extLst>
            <a:ext uri="{FF2B5EF4-FFF2-40B4-BE49-F238E27FC236}">
              <a16:creationId xmlns:a16="http://schemas.microsoft.com/office/drawing/2014/main" id="{69C3DF7F-2FDB-4571-9F78-170EE5E9B5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993" name="AutoShape 1" descr="Resultado de imagem para whirlpool logo">
          <a:extLst>
            <a:ext uri="{FF2B5EF4-FFF2-40B4-BE49-F238E27FC236}">
              <a16:creationId xmlns:a16="http://schemas.microsoft.com/office/drawing/2014/main" id="{18DA719C-4E51-4376-A876-2A6CDA02F946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4" name="AutoShape 1" descr="Resultado de imagem para whirlpool logo">
          <a:extLst>
            <a:ext uri="{FF2B5EF4-FFF2-40B4-BE49-F238E27FC236}">
              <a16:creationId xmlns:a16="http://schemas.microsoft.com/office/drawing/2014/main" id="{1A648EA6-90F9-4260-B901-C9F514829F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5" name="AutoShape 1" descr="Resultado de imagem para whirlpool logo">
          <a:extLst>
            <a:ext uri="{FF2B5EF4-FFF2-40B4-BE49-F238E27FC236}">
              <a16:creationId xmlns:a16="http://schemas.microsoft.com/office/drawing/2014/main" id="{F8217D14-5D71-40C9-B1ED-3EF22F0CED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996" name="AutoShape 1" descr="Resultado de imagem para whirlpool logo">
          <a:extLst>
            <a:ext uri="{FF2B5EF4-FFF2-40B4-BE49-F238E27FC236}">
              <a16:creationId xmlns:a16="http://schemas.microsoft.com/office/drawing/2014/main" id="{561D7A95-070B-41C8-8FBA-E181FAEAE34C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7" name="AutoShape 1" descr="Resultado de imagem para whirlpool logo">
          <a:extLst>
            <a:ext uri="{FF2B5EF4-FFF2-40B4-BE49-F238E27FC236}">
              <a16:creationId xmlns:a16="http://schemas.microsoft.com/office/drawing/2014/main" id="{284C4508-E201-43DC-9317-FE2079C315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998" name="AutoShape 1" descr="Resultado de imagem para whirlpool logo">
          <a:extLst>
            <a:ext uri="{FF2B5EF4-FFF2-40B4-BE49-F238E27FC236}">
              <a16:creationId xmlns:a16="http://schemas.microsoft.com/office/drawing/2014/main" id="{CA64C56C-3E26-4FCB-B227-32A0084715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999" name="AutoShape 1" descr="Resultado de imagem para whirlpool logo">
          <a:extLst>
            <a:ext uri="{FF2B5EF4-FFF2-40B4-BE49-F238E27FC236}">
              <a16:creationId xmlns:a16="http://schemas.microsoft.com/office/drawing/2014/main" id="{C8D86E62-E5B7-48A1-91C8-78EF1B58E7B5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00" name="AutoShape 1" descr="Resultado de imagem para whirlpool logo">
          <a:extLst>
            <a:ext uri="{FF2B5EF4-FFF2-40B4-BE49-F238E27FC236}">
              <a16:creationId xmlns:a16="http://schemas.microsoft.com/office/drawing/2014/main" id="{9A6A5B3B-7996-419A-988A-6E36E4D4F9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01" name="AutoShape 1" descr="Resultado de imagem para whirlpool logo">
          <a:extLst>
            <a:ext uri="{FF2B5EF4-FFF2-40B4-BE49-F238E27FC236}">
              <a16:creationId xmlns:a16="http://schemas.microsoft.com/office/drawing/2014/main" id="{5063B305-FF8F-49F7-BDE2-E1BDBBB6B275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02" name="AutoShape 1" descr="Resultado de imagem para whirlpool logo">
          <a:extLst>
            <a:ext uri="{FF2B5EF4-FFF2-40B4-BE49-F238E27FC236}">
              <a16:creationId xmlns:a16="http://schemas.microsoft.com/office/drawing/2014/main" id="{86483BB5-6493-4851-B962-B04D18E351E0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3" name="AutoShape 1" descr="Resultado de imagem para whirlpool logo">
          <a:extLst>
            <a:ext uri="{FF2B5EF4-FFF2-40B4-BE49-F238E27FC236}">
              <a16:creationId xmlns:a16="http://schemas.microsoft.com/office/drawing/2014/main" id="{4B451AB0-3B6F-418E-BE4C-E4D8E056C6A9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4" name="AutoShape 1" descr="Resultado de imagem para whirlpool logo">
          <a:extLst>
            <a:ext uri="{FF2B5EF4-FFF2-40B4-BE49-F238E27FC236}">
              <a16:creationId xmlns:a16="http://schemas.microsoft.com/office/drawing/2014/main" id="{E13FE817-33F3-429E-B595-BEFCE985504A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5" name="AutoShape 1" descr="Resultado de imagem para whirlpool logo">
          <a:extLst>
            <a:ext uri="{FF2B5EF4-FFF2-40B4-BE49-F238E27FC236}">
              <a16:creationId xmlns:a16="http://schemas.microsoft.com/office/drawing/2014/main" id="{E61E7554-D074-429A-BC31-4D7CDEB76587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6" name="AutoShape 1" descr="Resultado de imagem para whirlpool logo">
          <a:extLst>
            <a:ext uri="{FF2B5EF4-FFF2-40B4-BE49-F238E27FC236}">
              <a16:creationId xmlns:a16="http://schemas.microsoft.com/office/drawing/2014/main" id="{BDA55BC7-2C01-4EB4-86BB-67A6F03A71BC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7" name="AutoShape 1" descr="Resultado de imagem para whirlpool logo">
          <a:extLst>
            <a:ext uri="{FF2B5EF4-FFF2-40B4-BE49-F238E27FC236}">
              <a16:creationId xmlns:a16="http://schemas.microsoft.com/office/drawing/2014/main" id="{4C4CE707-6A1D-4789-92F8-B977E4993DE0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8" name="AutoShape 1" descr="Resultado de imagem para whirlpool logo">
          <a:extLst>
            <a:ext uri="{FF2B5EF4-FFF2-40B4-BE49-F238E27FC236}">
              <a16:creationId xmlns:a16="http://schemas.microsoft.com/office/drawing/2014/main" id="{9444E8B4-E685-4DAE-8721-B10AA1BF90C0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09" name="AutoShape 1" descr="Resultado de imagem para whirlpool logo">
          <a:extLst>
            <a:ext uri="{FF2B5EF4-FFF2-40B4-BE49-F238E27FC236}">
              <a16:creationId xmlns:a16="http://schemas.microsoft.com/office/drawing/2014/main" id="{D5628399-F032-49AF-A09F-E1878A735595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10" name="AutoShape 1" descr="Resultado de imagem para whirlpool logo">
          <a:extLst>
            <a:ext uri="{FF2B5EF4-FFF2-40B4-BE49-F238E27FC236}">
              <a16:creationId xmlns:a16="http://schemas.microsoft.com/office/drawing/2014/main" id="{B016BF7F-D29E-493F-9AD8-8AEF27495550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11" name="AutoShape 1" descr="Resultado de imagem para whirlpool logo">
          <a:extLst>
            <a:ext uri="{FF2B5EF4-FFF2-40B4-BE49-F238E27FC236}">
              <a16:creationId xmlns:a16="http://schemas.microsoft.com/office/drawing/2014/main" id="{6939701A-CF86-495E-955E-1E05FB4439A7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012" name="AutoShape 1" descr="Resultado de imagem para whirlpool logo">
          <a:extLst>
            <a:ext uri="{FF2B5EF4-FFF2-40B4-BE49-F238E27FC236}">
              <a16:creationId xmlns:a16="http://schemas.microsoft.com/office/drawing/2014/main" id="{15BD36AC-715E-495F-810E-51622F378557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3" name="AutoShape 1" descr="Resultado de imagem para whirlpool logo">
          <a:extLst>
            <a:ext uri="{FF2B5EF4-FFF2-40B4-BE49-F238E27FC236}">
              <a16:creationId xmlns:a16="http://schemas.microsoft.com/office/drawing/2014/main" id="{FD471A7B-6A3E-40BF-BE50-32A971E1B5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4" name="AutoShape 1" descr="Resultado de imagem para whirlpool logo">
          <a:extLst>
            <a:ext uri="{FF2B5EF4-FFF2-40B4-BE49-F238E27FC236}">
              <a16:creationId xmlns:a16="http://schemas.microsoft.com/office/drawing/2014/main" id="{6E8CAC4C-211F-47EB-A9D2-89F7F03D3F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15" name="AutoShape 1" descr="Resultado de imagem para whirlpool logo">
          <a:extLst>
            <a:ext uri="{FF2B5EF4-FFF2-40B4-BE49-F238E27FC236}">
              <a16:creationId xmlns:a16="http://schemas.microsoft.com/office/drawing/2014/main" id="{457C1362-B893-460E-93A7-ABD62E77684E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6" name="AutoShape 1" descr="Resultado de imagem para whirlpool logo">
          <a:extLst>
            <a:ext uri="{FF2B5EF4-FFF2-40B4-BE49-F238E27FC236}">
              <a16:creationId xmlns:a16="http://schemas.microsoft.com/office/drawing/2014/main" id="{19FC3617-9717-4867-91E6-FA7047658D7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7" name="AutoShape 1" descr="Resultado de imagem para whirlpool logo">
          <a:extLst>
            <a:ext uri="{FF2B5EF4-FFF2-40B4-BE49-F238E27FC236}">
              <a16:creationId xmlns:a16="http://schemas.microsoft.com/office/drawing/2014/main" id="{665D0F50-DB9F-402A-9CF6-F58A311E8CB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8" name="AutoShape 1" descr="Resultado de imagem para whirlpool logo">
          <a:extLst>
            <a:ext uri="{FF2B5EF4-FFF2-40B4-BE49-F238E27FC236}">
              <a16:creationId xmlns:a16="http://schemas.microsoft.com/office/drawing/2014/main" id="{DC57D0F7-0042-43FD-9704-547F950B7A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19" name="AutoShape 1" descr="Resultado de imagem para whirlpool logo">
          <a:extLst>
            <a:ext uri="{FF2B5EF4-FFF2-40B4-BE49-F238E27FC236}">
              <a16:creationId xmlns:a16="http://schemas.microsoft.com/office/drawing/2014/main" id="{453A345A-F7DB-4372-8679-DB4F58D03BC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0" name="AutoShape 1" descr="Resultado de imagem para whirlpool logo">
          <a:extLst>
            <a:ext uri="{FF2B5EF4-FFF2-40B4-BE49-F238E27FC236}">
              <a16:creationId xmlns:a16="http://schemas.microsoft.com/office/drawing/2014/main" id="{A314286A-824F-44E3-84B4-F2B0901285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1" name="AutoShape 1" descr="Resultado de imagem para whirlpool logo">
          <a:extLst>
            <a:ext uri="{FF2B5EF4-FFF2-40B4-BE49-F238E27FC236}">
              <a16:creationId xmlns:a16="http://schemas.microsoft.com/office/drawing/2014/main" id="{52ACE1B2-CFEB-4BD0-AB62-DD409FA30E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2" name="AutoShape 1" descr="Resultado de imagem para whirlpool logo">
          <a:extLst>
            <a:ext uri="{FF2B5EF4-FFF2-40B4-BE49-F238E27FC236}">
              <a16:creationId xmlns:a16="http://schemas.microsoft.com/office/drawing/2014/main" id="{FCBECCDE-2FC2-4601-AF38-2B805633C8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3" name="AutoShape 1" descr="Resultado de imagem para whirlpool logo">
          <a:extLst>
            <a:ext uri="{FF2B5EF4-FFF2-40B4-BE49-F238E27FC236}">
              <a16:creationId xmlns:a16="http://schemas.microsoft.com/office/drawing/2014/main" id="{A673F3A7-7B75-4B80-AEB5-F4A2AF4234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4" name="AutoShape 1" descr="Resultado de imagem para whirlpool logo">
          <a:extLst>
            <a:ext uri="{FF2B5EF4-FFF2-40B4-BE49-F238E27FC236}">
              <a16:creationId xmlns:a16="http://schemas.microsoft.com/office/drawing/2014/main" id="{822DE6BE-DDF9-47B6-8502-168BDE6B609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5" name="AutoShape 1" descr="Resultado de imagem para whirlpool logo">
          <a:extLst>
            <a:ext uri="{FF2B5EF4-FFF2-40B4-BE49-F238E27FC236}">
              <a16:creationId xmlns:a16="http://schemas.microsoft.com/office/drawing/2014/main" id="{0C30736D-C4E1-4B70-A457-BE548F3D93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6" name="AutoShape 1" descr="Resultado de imagem para whirlpool logo">
          <a:extLst>
            <a:ext uri="{FF2B5EF4-FFF2-40B4-BE49-F238E27FC236}">
              <a16:creationId xmlns:a16="http://schemas.microsoft.com/office/drawing/2014/main" id="{197E818F-FC02-4380-823B-BBC76E04AC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7" name="AutoShape 1" descr="Resultado de imagem para whirlpool logo">
          <a:extLst>
            <a:ext uri="{FF2B5EF4-FFF2-40B4-BE49-F238E27FC236}">
              <a16:creationId xmlns:a16="http://schemas.microsoft.com/office/drawing/2014/main" id="{3F6847D8-478C-4DF2-8E77-7947EF140A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8" name="AutoShape 1" descr="Resultado de imagem para whirlpool logo">
          <a:extLst>
            <a:ext uri="{FF2B5EF4-FFF2-40B4-BE49-F238E27FC236}">
              <a16:creationId xmlns:a16="http://schemas.microsoft.com/office/drawing/2014/main" id="{32D9B1D0-94B8-41CC-8AC9-346694A7D7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29" name="AutoShape 1" descr="Resultado de imagem para whirlpool logo">
          <a:extLst>
            <a:ext uri="{FF2B5EF4-FFF2-40B4-BE49-F238E27FC236}">
              <a16:creationId xmlns:a16="http://schemas.microsoft.com/office/drawing/2014/main" id="{06083EBB-2A39-4A59-B9C0-9FEC124061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0" name="AutoShape 1" descr="Resultado de imagem para whirlpool logo">
          <a:extLst>
            <a:ext uri="{FF2B5EF4-FFF2-40B4-BE49-F238E27FC236}">
              <a16:creationId xmlns:a16="http://schemas.microsoft.com/office/drawing/2014/main" id="{A7C3CC95-D9B8-4D04-B099-7BD716A883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1" name="AutoShape 1" descr="Resultado de imagem para whirlpool logo">
          <a:extLst>
            <a:ext uri="{FF2B5EF4-FFF2-40B4-BE49-F238E27FC236}">
              <a16:creationId xmlns:a16="http://schemas.microsoft.com/office/drawing/2014/main" id="{29C8DB24-B7D4-4821-B325-58391C1188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2" name="AutoShape 1" descr="Resultado de imagem para whirlpool logo">
          <a:extLst>
            <a:ext uri="{FF2B5EF4-FFF2-40B4-BE49-F238E27FC236}">
              <a16:creationId xmlns:a16="http://schemas.microsoft.com/office/drawing/2014/main" id="{5EE9E4A5-262E-4814-ABEE-FEAB8CBF8C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3" name="AutoShape 1" descr="Resultado de imagem para whirlpool logo">
          <a:extLst>
            <a:ext uri="{FF2B5EF4-FFF2-40B4-BE49-F238E27FC236}">
              <a16:creationId xmlns:a16="http://schemas.microsoft.com/office/drawing/2014/main" id="{BAD2DACF-1B47-4D51-A5B2-5A4D5D060E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4" name="AutoShape 1" descr="Resultado de imagem para whirlpool logo">
          <a:extLst>
            <a:ext uri="{FF2B5EF4-FFF2-40B4-BE49-F238E27FC236}">
              <a16:creationId xmlns:a16="http://schemas.microsoft.com/office/drawing/2014/main" id="{D0C07319-ADB0-4C3A-A629-D239665C998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5" name="AutoShape 1" descr="Resultado de imagem para whirlpool logo">
          <a:extLst>
            <a:ext uri="{FF2B5EF4-FFF2-40B4-BE49-F238E27FC236}">
              <a16:creationId xmlns:a16="http://schemas.microsoft.com/office/drawing/2014/main" id="{17E58EC3-E9E6-4867-9397-0245DF7677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6" name="AutoShape 1" descr="Resultado de imagem para whirlpool logo">
          <a:extLst>
            <a:ext uri="{FF2B5EF4-FFF2-40B4-BE49-F238E27FC236}">
              <a16:creationId xmlns:a16="http://schemas.microsoft.com/office/drawing/2014/main" id="{BA80887B-F846-450F-965B-0B8348D35A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7" name="AutoShape 1" descr="Resultado de imagem para whirlpool logo">
          <a:extLst>
            <a:ext uri="{FF2B5EF4-FFF2-40B4-BE49-F238E27FC236}">
              <a16:creationId xmlns:a16="http://schemas.microsoft.com/office/drawing/2014/main" id="{BDAEC1C5-651D-49A7-A8E1-AB1882C7E96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8" name="AutoShape 1" descr="Resultado de imagem para whirlpool logo">
          <a:extLst>
            <a:ext uri="{FF2B5EF4-FFF2-40B4-BE49-F238E27FC236}">
              <a16:creationId xmlns:a16="http://schemas.microsoft.com/office/drawing/2014/main" id="{A084C8E5-4B86-4A12-AD31-0C391E899E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39" name="AutoShape 1" descr="Resultado de imagem para whirlpool logo">
          <a:extLst>
            <a:ext uri="{FF2B5EF4-FFF2-40B4-BE49-F238E27FC236}">
              <a16:creationId xmlns:a16="http://schemas.microsoft.com/office/drawing/2014/main" id="{04C6C08D-593F-4404-A7A0-6AF5200B4B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0" name="AutoShape 1" descr="Resultado de imagem para whirlpool logo">
          <a:extLst>
            <a:ext uri="{FF2B5EF4-FFF2-40B4-BE49-F238E27FC236}">
              <a16:creationId xmlns:a16="http://schemas.microsoft.com/office/drawing/2014/main" id="{8E51BDC6-C9F4-4DB0-9539-F5566064D2A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41" name="AutoShape 1" descr="Resultado de imagem para whirlpool logo">
          <a:extLst>
            <a:ext uri="{FF2B5EF4-FFF2-40B4-BE49-F238E27FC236}">
              <a16:creationId xmlns:a16="http://schemas.microsoft.com/office/drawing/2014/main" id="{23EF0A0B-A3C0-4308-92BE-46B49AB940BC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2" name="AutoShape 1" descr="Resultado de imagem para whirlpool logo">
          <a:extLst>
            <a:ext uri="{FF2B5EF4-FFF2-40B4-BE49-F238E27FC236}">
              <a16:creationId xmlns:a16="http://schemas.microsoft.com/office/drawing/2014/main" id="{BF060A81-7D6D-403B-B5C1-4BE7CBC0C7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3" name="AutoShape 1" descr="Resultado de imagem para whirlpool logo">
          <a:extLst>
            <a:ext uri="{FF2B5EF4-FFF2-40B4-BE49-F238E27FC236}">
              <a16:creationId xmlns:a16="http://schemas.microsoft.com/office/drawing/2014/main" id="{DF3FF7B1-093D-4085-9476-CDED5592D3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4" name="AutoShape 1" descr="Resultado de imagem para whirlpool logo">
          <a:extLst>
            <a:ext uri="{FF2B5EF4-FFF2-40B4-BE49-F238E27FC236}">
              <a16:creationId xmlns:a16="http://schemas.microsoft.com/office/drawing/2014/main" id="{14E1435E-43AE-4262-B5AB-20E15339000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5" name="AutoShape 1" descr="Resultado de imagem para whirlpool logo">
          <a:extLst>
            <a:ext uri="{FF2B5EF4-FFF2-40B4-BE49-F238E27FC236}">
              <a16:creationId xmlns:a16="http://schemas.microsoft.com/office/drawing/2014/main" id="{DDDB54C3-7707-4594-9370-D5C51B3E9A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6" name="AutoShape 1" descr="Resultado de imagem para whirlpool logo">
          <a:extLst>
            <a:ext uri="{FF2B5EF4-FFF2-40B4-BE49-F238E27FC236}">
              <a16:creationId xmlns:a16="http://schemas.microsoft.com/office/drawing/2014/main" id="{EF8D0533-BD05-494A-B3F0-AE39627C3B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7" name="AutoShape 1" descr="Resultado de imagem para whirlpool logo">
          <a:extLst>
            <a:ext uri="{FF2B5EF4-FFF2-40B4-BE49-F238E27FC236}">
              <a16:creationId xmlns:a16="http://schemas.microsoft.com/office/drawing/2014/main" id="{07F78630-8377-4B86-B224-6BADD8A57F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8" name="AutoShape 1" descr="Resultado de imagem para whirlpool logo">
          <a:extLst>
            <a:ext uri="{FF2B5EF4-FFF2-40B4-BE49-F238E27FC236}">
              <a16:creationId xmlns:a16="http://schemas.microsoft.com/office/drawing/2014/main" id="{9396296D-6CBE-4CA9-95F0-2EE5A8BF56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49" name="AutoShape 1" descr="Resultado de imagem para whirlpool logo">
          <a:extLst>
            <a:ext uri="{FF2B5EF4-FFF2-40B4-BE49-F238E27FC236}">
              <a16:creationId xmlns:a16="http://schemas.microsoft.com/office/drawing/2014/main" id="{CBB8E39E-9B3E-436E-9FF0-CAB7CF1388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0" name="AutoShape 1" descr="Resultado de imagem para whirlpool logo">
          <a:extLst>
            <a:ext uri="{FF2B5EF4-FFF2-40B4-BE49-F238E27FC236}">
              <a16:creationId xmlns:a16="http://schemas.microsoft.com/office/drawing/2014/main" id="{25A3C9D5-1DDA-4B26-BEEB-94A141D694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1" name="AutoShape 1" descr="Resultado de imagem para whirlpool logo">
          <a:extLst>
            <a:ext uri="{FF2B5EF4-FFF2-40B4-BE49-F238E27FC236}">
              <a16:creationId xmlns:a16="http://schemas.microsoft.com/office/drawing/2014/main" id="{15EBE05B-6485-4A31-AA42-0E67BBE039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2" name="AutoShape 1" descr="Resultado de imagem para whirlpool logo">
          <a:extLst>
            <a:ext uri="{FF2B5EF4-FFF2-40B4-BE49-F238E27FC236}">
              <a16:creationId xmlns:a16="http://schemas.microsoft.com/office/drawing/2014/main" id="{055052BD-D3ED-4AAB-94E5-5B73D5B2C6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3" name="AutoShape 1" descr="Resultado de imagem para whirlpool logo">
          <a:extLst>
            <a:ext uri="{FF2B5EF4-FFF2-40B4-BE49-F238E27FC236}">
              <a16:creationId xmlns:a16="http://schemas.microsoft.com/office/drawing/2014/main" id="{946FA630-3C2A-43D3-8A03-FC069A8B16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4" name="AutoShape 1" descr="Resultado de imagem para whirlpool logo">
          <a:extLst>
            <a:ext uri="{FF2B5EF4-FFF2-40B4-BE49-F238E27FC236}">
              <a16:creationId xmlns:a16="http://schemas.microsoft.com/office/drawing/2014/main" id="{895E7EBB-90E9-46D8-86D8-3C33F79790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5" name="AutoShape 1" descr="Resultado de imagem para whirlpool logo">
          <a:extLst>
            <a:ext uri="{FF2B5EF4-FFF2-40B4-BE49-F238E27FC236}">
              <a16:creationId xmlns:a16="http://schemas.microsoft.com/office/drawing/2014/main" id="{9027EDC1-6F01-46C5-A35B-23933396A0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6" name="AutoShape 1" descr="Resultado de imagem para whirlpool logo">
          <a:extLst>
            <a:ext uri="{FF2B5EF4-FFF2-40B4-BE49-F238E27FC236}">
              <a16:creationId xmlns:a16="http://schemas.microsoft.com/office/drawing/2014/main" id="{36919E25-7CB8-4566-9114-9EED0F11A2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7" name="AutoShape 1" descr="Resultado de imagem para whirlpool logo">
          <a:extLst>
            <a:ext uri="{FF2B5EF4-FFF2-40B4-BE49-F238E27FC236}">
              <a16:creationId xmlns:a16="http://schemas.microsoft.com/office/drawing/2014/main" id="{16CBF8F0-2EA9-464E-91F0-14C113F916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8" name="AutoShape 1" descr="Resultado de imagem para whirlpool logo">
          <a:extLst>
            <a:ext uri="{FF2B5EF4-FFF2-40B4-BE49-F238E27FC236}">
              <a16:creationId xmlns:a16="http://schemas.microsoft.com/office/drawing/2014/main" id="{5D4B998F-376B-4714-ABE5-896D58B3C1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59" name="AutoShape 1" descr="Resultado de imagem para whirlpool logo">
          <a:extLst>
            <a:ext uri="{FF2B5EF4-FFF2-40B4-BE49-F238E27FC236}">
              <a16:creationId xmlns:a16="http://schemas.microsoft.com/office/drawing/2014/main" id="{A8B11AD0-E4D9-44CA-996D-4AC54D193A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0" name="AutoShape 1" descr="Resultado de imagem para whirlpool logo">
          <a:extLst>
            <a:ext uri="{FF2B5EF4-FFF2-40B4-BE49-F238E27FC236}">
              <a16:creationId xmlns:a16="http://schemas.microsoft.com/office/drawing/2014/main" id="{63BA3F34-938D-4D73-B852-8D4B1C9036B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1" name="AutoShape 1" descr="Resultado de imagem para whirlpool logo">
          <a:extLst>
            <a:ext uri="{FF2B5EF4-FFF2-40B4-BE49-F238E27FC236}">
              <a16:creationId xmlns:a16="http://schemas.microsoft.com/office/drawing/2014/main" id="{5182064B-1D78-4CF3-B7F4-05400B2430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2" name="AutoShape 1" descr="Resultado de imagem para whirlpool logo">
          <a:extLst>
            <a:ext uri="{FF2B5EF4-FFF2-40B4-BE49-F238E27FC236}">
              <a16:creationId xmlns:a16="http://schemas.microsoft.com/office/drawing/2014/main" id="{5AF5A80D-9E0E-4BE0-A4F2-B678D5B869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3" name="AutoShape 1" descr="Resultado de imagem para whirlpool logo">
          <a:extLst>
            <a:ext uri="{FF2B5EF4-FFF2-40B4-BE49-F238E27FC236}">
              <a16:creationId xmlns:a16="http://schemas.microsoft.com/office/drawing/2014/main" id="{3B733E68-00A5-4766-B651-F76F3957433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4" name="AutoShape 1" descr="Resultado de imagem para whirlpool logo">
          <a:extLst>
            <a:ext uri="{FF2B5EF4-FFF2-40B4-BE49-F238E27FC236}">
              <a16:creationId xmlns:a16="http://schemas.microsoft.com/office/drawing/2014/main" id="{BBC421F8-7468-4838-B4DA-F06ECFC543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5" name="AutoShape 1" descr="Resultado de imagem para whirlpool logo">
          <a:extLst>
            <a:ext uri="{FF2B5EF4-FFF2-40B4-BE49-F238E27FC236}">
              <a16:creationId xmlns:a16="http://schemas.microsoft.com/office/drawing/2014/main" id="{1E0C6170-8E76-4EAD-9347-603D7FDE9FC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6" name="AutoShape 1" descr="Resultado de imagem para whirlpool logo">
          <a:extLst>
            <a:ext uri="{FF2B5EF4-FFF2-40B4-BE49-F238E27FC236}">
              <a16:creationId xmlns:a16="http://schemas.microsoft.com/office/drawing/2014/main" id="{8F175B21-E1F6-414A-82A7-BA85199035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7" name="AutoShape 1" descr="Resultado de imagem para whirlpool logo">
          <a:extLst>
            <a:ext uri="{FF2B5EF4-FFF2-40B4-BE49-F238E27FC236}">
              <a16:creationId xmlns:a16="http://schemas.microsoft.com/office/drawing/2014/main" id="{01C9E260-9FB5-45A1-BF21-7509C0EBAA8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8" name="AutoShape 1" descr="Resultado de imagem para whirlpool logo">
          <a:extLst>
            <a:ext uri="{FF2B5EF4-FFF2-40B4-BE49-F238E27FC236}">
              <a16:creationId xmlns:a16="http://schemas.microsoft.com/office/drawing/2014/main" id="{0944B794-601A-4302-A2D5-EC0BAA68A4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69" name="AutoShape 1" descr="Resultado de imagem para whirlpool logo">
          <a:extLst>
            <a:ext uri="{FF2B5EF4-FFF2-40B4-BE49-F238E27FC236}">
              <a16:creationId xmlns:a16="http://schemas.microsoft.com/office/drawing/2014/main" id="{E1C3D113-43C8-4C9B-9DA1-E036772CD1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0" name="AutoShape 1" descr="Resultado de imagem para whirlpool logo">
          <a:extLst>
            <a:ext uri="{FF2B5EF4-FFF2-40B4-BE49-F238E27FC236}">
              <a16:creationId xmlns:a16="http://schemas.microsoft.com/office/drawing/2014/main" id="{545D1487-D05A-4CB0-9C1F-48ADECB1B5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71" name="AutoShape 1" descr="Resultado de imagem para whirlpool logo">
          <a:extLst>
            <a:ext uri="{FF2B5EF4-FFF2-40B4-BE49-F238E27FC236}">
              <a16:creationId xmlns:a16="http://schemas.microsoft.com/office/drawing/2014/main" id="{24E1AA19-607C-4788-91A5-1456215ECED1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2" name="AutoShape 1" descr="Resultado de imagem para whirlpool logo">
          <a:extLst>
            <a:ext uri="{FF2B5EF4-FFF2-40B4-BE49-F238E27FC236}">
              <a16:creationId xmlns:a16="http://schemas.microsoft.com/office/drawing/2014/main" id="{727B1F1C-FF7C-4CB5-8341-6A4FCBE10D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3" name="AutoShape 1" descr="Resultado de imagem para whirlpool logo">
          <a:extLst>
            <a:ext uri="{FF2B5EF4-FFF2-40B4-BE49-F238E27FC236}">
              <a16:creationId xmlns:a16="http://schemas.microsoft.com/office/drawing/2014/main" id="{63079A18-01FD-4699-9AF9-BECAA02388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4" name="AutoShape 1" descr="Resultado de imagem para whirlpool logo">
          <a:extLst>
            <a:ext uri="{FF2B5EF4-FFF2-40B4-BE49-F238E27FC236}">
              <a16:creationId xmlns:a16="http://schemas.microsoft.com/office/drawing/2014/main" id="{BD109A68-6130-42FC-99AC-E8C415BC20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5" name="AutoShape 1" descr="Resultado de imagem para whirlpool logo">
          <a:extLst>
            <a:ext uri="{FF2B5EF4-FFF2-40B4-BE49-F238E27FC236}">
              <a16:creationId xmlns:a16="http://schemas.microsoft.com/office/drawing/2014/main" id="{0621574D-9222-41B6-9395-86D90F9D06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6" name="AutoShape 1" descr="Resultado de imagem para whirlpool logo">
          <a:extLst>
            <a:ext uri="{FF2B5EF4-FFF2-40B4-BE49-F238E27FC236}">
              <a16:creationId xmlns:a16="http://schemas.microsoft.com/office/drawing/2014/main" id="{708FE633-CEBD-4B3A-8CA1-137CED179F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7" name="AutoShape 1" descr="Resultado de imagem para whirlpool logo">
          <a:extLst>
            <a:ext uri="{FF2B5EF4-FFF2-40B4-BE49-F238E27FC236}">
              <a16:creationId xmlns:a16="http://schemas.microsoft.com/office/drawing/2014/main" id="{063E3EE8-38D3-449F-9261-0A212932E1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8" name="AutoShape 1" descr="Resultado de imagem para whirlpool logo">
          <a:extLst>
            <a:ext uri="{FF2B5EF4-FFF2-40B4-BE49-F238E27FC236}">
              <a16:creationId xmlns:a16="http://schemas.microsoft.com/office/drawing/2014/main" id="{CA53DD1C-6A10-4112-84E2-7200C6FA80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79" name="AutoShape 1" descr="Resultado de imagem para whirlpool logo">
          <a:extLst>
            <a:ext uri="{FF2B5EF4-FFF2-40B4-BE49-F238E27FC236}">
              <a16:creationId xmlns:a16="http://schemas.microsoft.com/office/drawing/2014/main" id="{353A0EA8-338E-462E-9873-DAB8F5E42C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0" name="AutoShape 1" descr="Resultado de imagem para whirlpool logo">
          <a:extLst>
            <a:ext uri="{FF2B5EF4-FFF2-40B4-BE49-F238E27FC236}">
              <a16:creationId xmlns:a16="http://schemas.microsoft.com/office/drawing/2014/main" id="{E045F4B7-DD28-4853-A145-BBA2BE74509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1" name="AutoShape 1" descr="Resultado de imagem para whirlpool logo">
          <a:extLst>
            <a:ext uri="{FF2B5EF4-FFF2-40B4-BE49-F238E27FC236}">
              <a16:creationId xmlns:a16="http://schemas.microsoft.com/office/drawing/2014/main" id="{A348B2F3-AE10-495A-8642-FD615C4172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2" name="AutoShape 1" descr="Resultado de imagem para whirlpool logo">
          <a:extLst>
            <a:ext uri="{FF2B5EF4-FFF2-40B4-BE49-F238E27FC236}">
              <a16:creationId xmlns:a16="http://schemas.microsoft.com/office/drawing/2014/main" id="{A511AFB8-6BF4-40D5-B143-DBBF060E63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3" name="AutoShape 1" descr="Resultado de imagem para whirlpool logo">
          <a:extLst>
            <a:ext uri="{FF2B5EF4-FFF2-40B4-BE49-F238E27FC236}">
              <a16:creationId xmlns:a16="http://schemas.microsoft.com/office/drawing/2014/main" id="{D44949EC-BC7A-4153-BB0A-1FF499A0D0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4" name="AutoShape 1" descr="Resultado de imagem para whirlpool logo">
          <a:extLst>
            <a:ext uri="{FF2B5EF4-FFF2-40B4-BE49-F238E27FC236}">
              <a16:creationId xmlns:a16="http://schemas.microsoft.com/office/drawing/2014/main" id="{626AEAEB-DE7D-49C4-B223-AED2B3BCEC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5" name="AutoShape 1" descr="Resultado de imagem para whirlpool logo">
          <a:extLst>
            <a:ext uri="{FF2B5EF4-FFF2-40B4-BE49-F238E27FC236}">
              <a16:creationId xmlns:a16="http://schemas.microsoft.com/office/drawing/2014/main" id="{ECA819A4-744E-4BBD-A3F6-5C30F2C7F51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6" name="AutoShape 1" descr="Resultado de imagem para whirlpool logo">
          <a:extLst>
            <a:ext uri="{FF2B5EF4-FFF2-40B4-BE49-F238E27FC236}">
              <a16:creationId xmlns:a16="http://schemas.microsoft.com/office/drawing/2014/main" id="{395D6995-DDEC-487A-AF76-46B96E88DA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7" name="AutoShape 1" descr="Resultado de imagem para whirlpool logo">
          <a:extLst>
            <a:ext uri="{FF2B5EF4-FFF2-40B4-BE49-F238E27FC236}">
              <a16:creationId xmlns:a16="http://schemas.microsoft.com/office/drawing/2014/main" id="{FE7DA503-4B61-453F-9BC0-5119190FDA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8" name="AutoShape 1" descr="Resultado de imagem para whirlpool logo">
          <a:extLst>
            <a:ext uri="{FF2B5EF4-FFF2-40B4-BE49-F238E27FC236}">
              <a16:creationId xmlns:a16="http://schemas.microsoft.com/office/drawing/2014/main" id="{EB7AF7B0-E7BA-4125-82A6-02EA40C38C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89" name="AutoShape 1" descr="Resultado de imagem para whirlpool logo">
          <a:extLst>
            <a:ext uri="{FF2B5EF4-FFF2-40B4-BE49-F238E27FC236}">
              <a16:creationId xmlns:a16="http://schemas.microsoft.com/office/drawing/2014/main" id="{92338D43-ED71-46D5-95A9-82837846BE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0" name="AutoShape 1" descr="Resultado de imagem para whirlpool logo">
          <a:extLst>
            <a:ext uri="{FF2B5EF4-FFF2-40B4-BE49-F238E27FC236}">
              <a16:creationId xmlns:a16="http://schemas.microsoft.com/office/drawing/2014/main" id="{BA575CC8-0E69-4ACA-9C7B-C41AEEB617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1" name="AutoShape 1" descr="Resultado de imagem para whirlpool logo">
          <a:extLst>
            <a:ext uri="{FF2B5EF4-FFF2-40B4-BE49-F238E27FC236}">
              <a16:creationId xmlns:a16="http://schemas.microsoft.com/office/drawing/2014/main" id="{AB6DBC95-6F17-4384-B560-BAF63908A5D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2" name="AutoShape 1" descr="Resultado de imagem para whirlpool logo">
          <a:extLst>
            <a:ext uri="{FF2B5EF4-FFF2-40B4-BE49-F238E27FC236}">
              <a16:creationId xmlns:a16="http://schemas.microsoft.com/office/drawing/2014/main" id="{D8212ADF-679F-448B-861A-3E2D10187F9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3" name="AutoShape 1" descr="Resultado de imagem para whirlpool logo">
          <a:extLst>
            <a:ext uri="{FF2B5EF4-FFF2-40B4-BE49-F238E27FC236}">
              <a16:creationId xmlns:a16="http://schemas.microsoft.com/office/drawing/2014/main" id="{CDC8D638-AE5B-4126-B943-4150299F8E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4" name="AutoShape 1" descr="Resultado de imagem para whirlpool logo">
          <a:extLst>
            <a:ext uri="{FF2B5EF4-FFF2-40B4-BE49-F238E27FC236}">
              <a16:creationId xmlns:a16="http://schemas.microsoft.com/office/drawing/2014/main" id="{F2FD6068-B513-48F4-80B5-3D20FD0F5A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5" name="AutoShape 1" descr="Resultado de imagem para whirlpool logo">
          <a:extLst>
            <a:ext uri="{FF2B5EF4-FFF2-40B4-BE49-F238E27FC236}">
              <a16:creationId xmlns:a16="http://schemas.microsoft.com/office/drawing/2014/main" id="{07F477D4-694E-4B59-A3FF-754B53A650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6" name="AutoShape 1" descr="Resultado de imagem para whirlpool logo">
          <a:extLst>
            <a:ext uri="{FF2B5EF4-FFF2-40B4-BE49-F238E27FC236}">
              <a16:creationId xmlns:a16="http://schemas.microsoft.com/office/drawing/2014/main" id="{1257DEA6-EB67-4E07-B420-C5327549A8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097" name="AutoShape 1" descr="Resultado de imagem para whirlpool logo">
          <a:extLst>
            <a:ext uri="{FF2B5EF4-FFF2-40B4-BE49-F238E27FC236}">
              <a16:creationId xmlns:a16="http://schemas.microsoft.com/office/drawing/2014/main" id="{49FA5BD3-43BA-493E-A23D-8058C0FD404B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8" name="AutoShape 1" descr="Resultado de imagem para whirlpool logo">
          <a:extLst>
            <a:ext uri="{FF2B5EF4-FFF2-40B4-BE49-F238E27FC236}">
              <a16:creationId xmlns:a16="http://schemas.microsoft.com/office/drawing/2014/main" id="{B2734B35-48FD-47CC-B6F4-82F4D1641A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099" name="AutoShape 1" descr="Resultado de imagem para whirlpool logo">
          <a:extLst>
            <a:ext uri="{FF2B5EF4-FFF2-40B4-BE49-F238E27FC236}">
              <a16:creationId xmlns:a16="http://schemas.microsoft.com/office/drawing/2014/main" id="{5E38B198-0312-4481-A869-FCB45BDD75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0" name="AutoShape 1" descr="Resultado de imagem para whirlpool logo">
          <a:extLst>
            <a:ext uri="{FF2B5EF4-FFF2-40B4-BE49-F238E27FC236}">
              <a16:creationId xmlns:a16="http://schemas.microsoft.com/office/drawing/2014/main" id="{4F029643-6B1A-44F6-B16C-81BFE28205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1" name="AutoShape 1" descr="Resultado de imagem para whirlpool logo">
          <a:extLst>
            <a:ext uri="{FF2B5EF4-FFF2-40B4-BE49-F238E27FC236}">
              <a16:creationId xmlns:a16="http://schemas.microsoft.com/office/drawing/2014/main" id="{14BC6578-5902-46E7-98EA-3F75ABCB4E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2" name="AutoShape 1" descr="Resultado de imagem para whirlpool logo">
          <a:extLst>
            <a:ext uri="{FF2B5EF4-FFF2-40B4-BE49-F238E27FC236}">
              <a16:creationId xmlns:a16="http://schemas.microsoft.com/office/drawing/2014/main" id="{AAE65215-70D8-4F23-B8CB-2F65DF7CEF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3" name="AutoShape 1" descr="Resultado de imagem para whirlpool logo">
          <a:extLst>
            <a:ext uri="{FF2B5EF4-FFF2-40B4-BE49-F238E27FC236}">
              <a16:creationId xmlns:a16="http://schemas.microsoft.com/office/drawing/2014/main" id="{CB8736CC-6F6C-4B79-9331-9F29625D70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4" name="AutoShape 1" descr="Resultado de imagem para whirlpool logo">
          <a:extLst>
            <a:ext uri="{FF2B5EF4-FFF2-40B4-BE49-F238E27FC236}">
              <a16:creationId xmlns:a16="http://schemas.microsoft.com/office/drawing/2014/main" id="{476E511B-FF70-4570-9A48-916CA95D1A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5" name="AutoShape 1" descr="Resultado de imagem para whirlpool logo">
          <a:extLst>
            <a:ext uri="{FF2B5EF4-FFF2-40B4-BE49-F238E27FC236}">
              <a16:creationId xmlns:a16="http://schemas.microsoft.com/office/drawing/2014/main" id="{F546188C-10EF-47FE-90E6-DF594794DA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6" name="AutoShape 1" descr="Resultado de imagem para whirlpool logo">
          <a:extLst>
            <a:ext uri="{FF2B5EF4-FFF2-40B4-BE49-F238E27FC236}">
              <a16:creationId xmlns:a16="http://schemas.microsoft.com/office/drawing/2014/main" id="{720B7AF2-1B0E-4515-9F94-DFA4D095D9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7" name="AutoShape 1" descr="Resultado de imagem para whirlpool logo">
          <a:extLst>
            <a:ext uri="{FF2B5EF4-FFF2-40B4-BE49-F238E27FC236}">
              <a16:creationId xmlns:a16="http://schemas.microsoft.com/office/drawing/2014/main" id="{681778AF-117A-4637-96A9-D14DE9FBAA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8" name="AutoShape 1" descr="Resultado de imagem para whirlpool logo">
          <a:extLst>
            <a:ext uri="{FF2B5EF4-FFF2-40B4-BE49-F238E27FC236}">
              <a16:creationId xmlns:a16="http://schemas.microsoft.com/office/drawing/2014/main" id="{9EAB54FA-B6A8-4B90-B272-85DC6154D7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09" name="AutoShape 1" descr="Resultado de imagem para whirlpool logo">
          <a:extLst>
            <a:ext uri="{FF2B5EF4-FFF2-40B4-BE49-F238E27FC236}">
              <a16:creationId xmlns:a16="http://schemas.microsoft.com/office/drawing/2014/main" id="{46918736-C1FE-4FDD-B83A-A64990D391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0" name="AutoShape 1" descr="Resultado de imagem para whirlpool logo">
          <a:extLst>
            <a:ext uri="{FF2B5EF4-FFF2-40B4-BE49-F238E27FC236}">
              <a16:creationId xmlns:a16="http://schemas.microsoft.com/office/drawing/2014/main" id="{89898128-3EBB-4E1A-8A73-F4E651E16F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1" name="AutoShape 1" descr="Resultado de imagem para whirlpool logo">
          <a:extLst>
            <a:ext uri="{FF2B5EF4-FFF2-40B4-BE49-F238E27FC236}">
              <a16:creationId xmlns:a16="http://schemas.microsoft.com/office/drawing/2014/main" id="{D55F42A7-803D-4E25-8FC6-4563456867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2" name="AutoShape 1" descr="Resultado de imagem para whirlpool logo">
          <a:extLst>
            <a:ext uri="{FF2B5EF4-FFF2-40B4-BE49-F238E27FC236}">
              <a16:creationId xmlns:a16="http://schemas.microsoft.com/office/drawing/2014/main" id="{CC35CB91-9FB4-46CC-8F94-7B7A9C578A1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3" name="AutoShape 1" descr="Resultado de imagem para whirlpool logo">
          <a:extLst>
            <a:ext uri="{FF2B5EF4-FFF2-40B4-BE49-F238E27FC236}">
              <a16:creationId xmlns:a16="http://schemas.microsoft.com/office/drawing/2014/main" id="{9965A3A1-2C98-41B0-9F64-50400D82DB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4" name="AutoShape 1" descr="Resultado de imagem para whirlpool logo">
          <a:extLst>
            <a:ext uri="{FF2B5EF4-FFF2-40B4-BE49-F238E27FC236}">
              <a16:creationId xmlns:a16="http://schemas.microsoft.com/office/drawing/2014/main" id="{69096A7F-4A97-4E97-AC43-7692BD96DE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5" name="AutoShape 1" descr="Resultado de imagem para whirlpool logo">
          <a:extLst>
            <a:ext uri="{FF2B5EF4-FFF2-40B4-BE49-F238E27FC236}">
              <a16:creationId xmlns:a16="http://schemas.microsoft.com/office/drawing/2014/main" id="{9530DC31-B592-4B96-961F-1393ADE31B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6" name="AutoShape 1" descr="Resultado de imagem para whirlpool logo">
          <a:extLst>
            <a:ext uri="{FF2B5EF4-FFF2-40B4-BE49-F238E27FC236}">
              <a16:creationId xmlns:a16="http://schemas.microsoft.com/office/drawing/2014/main" id="{2E44E0E3-686B-4A92-BAF4-9FA4690411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7" name="AutoShape 1" descr="Resultado de imagem para whirlpool logo">
          <a:extLst>
            <a:ext uri="{FF2B5EF4-FFF2-40B4-BE49-F238E27FC236}">
              <a16:creationId xmlns:a16="http://schemas.microsoft.com/office/drawing/2014/main" id="{16EB5F4C-6FAF-4A2C-A670-709135AE22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8" name="AutoShape 1" descr="Resultado de imagem para whirlpool logo">
          <a:extLst>
            <a:ext uri="{FF2B5EF4-FFF2-40B4-BE49-F238E27FC236}">
              <a16:creationId xmlns:a16="http://schemas.microsoft.com/office/drawing/2014/main" id="{CEE482A2-6DF0-4BB0-B5DF-8D356E83C8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19" name="AutoShape 1" descr="Resultado de imagem para whirlpool logo">
          <a:extLst>
            <a:ext uri="{FF2B5EF4-FFF2-40B4-BE49-F238E27FC236}">
              <a16:creationId xmlns:a16="http://schemas.microsoft.com/office/drawing/2014/main" id="{A945F1D9-F949-40E5-A40B-293920D612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0" name="AutoShape 1" descr="Resultado de imagem para whirlpool logo">
          <a:extLst>
            <a:ext uri="{FF2B5EF4-FFF2-40B4-BE49-F238E27FC236}">
              <a16:creationId xmlns:a16="http://schemas.microsoft.com/office/drawing/2014/main" id="{37CF4787-051D-4E91-9C71-77E3C7238C7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1" name="AutoShape 1" descr="Resultado de imagem para whirlpool logo">
          <a:extLst>
            <a:ext uri="{FF2B5EF4-FFF2-40B4-BE49-F238E27FC236}">
              <a16:creationId xmlns:a16="http://schemas.microsoft.com/office/drawing/2014/main" id="{5935271D-E0DC-4655-A736-79325F073B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2" name="AutoShape 1" descr="Resultado de imagem para whirlpool logo">
          <a:extLst>
            <a:ext uri="{FF2B5EF4-FFF2-40B4-BE49-F238E27FC236}">
              <a16:creationId xmlns:a16="http://schemas.microsoft.com/office/drawing/2014/main" id="{CF1AA4B4-32C0-4A9C-BCF1-B1C79062F5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3" name="AutoShape 1" descr="Resultado de imagem para whirlpool logo">
          <a:extLst>
            <a:ext uri="{FF2B5EF4-FFF2-40B4-BE49-F238E27FC236}">
              <a16:creationId xmlns:a16="http://schemas.microsoft.com/office/drawing/2014/main" id="{AA1E4468-E98E-4CA1-9371-0B031455AF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4" name="AutoShape 1" descr="Resultado de imagem para whirlpool logo">
          <a:extLst>
            <a:ext uri="{FF2B5EF4-FFF2-40B4-BE49-F238E27FC236}">
              <a16:creationId xmlns:a16="http://schemas.microsoft.com/office/drawing/2014/main" id="{EBFA88E7-557B-4EC7-B694-71568159CA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5" name="AutoShape 1" descr="Resultado de imagem para whirlpool logo">
          <a:extLst>
            <a:ext uri="{FF2B5EF4-FFF2-40B4-BE49-F238E27FC236}">
              <a16:creationId xmlns:a16="http://schemas.microsoft.com/office/drawing/2014/main" id="{ABFDCB92-35AA-4B5A-B809-60862F9113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6" name="AutoShape 1" descr="Resultado de imagem para whirlpool logo">
          <a:extLst>
            <a:ext uri="{FF2B5EF4-FFF2-40B4-BE49-F238E27FC236}">
              <a16:creationId xmlns:a16="http://schemas.microsoft.com/office/drawing/2014/main" id="{3929AF5A-0F55-4BCE-932D-CFB1154642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7" name="AutoShape 1" descr="Resultado de imagem para whirlpool logo">
          <a:extLst>
            <a:ext uri="{FF2B5EF4-FFF2-40B4-BE49-F238E27FC236}">
              <a16:creationId xmlns:a16="http://schemas.microsoft.com/office/drawing/2014/main" id="{D50F3BC9-6FAA-4A06-A15C-9102743194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8" name="AutoShape 1" descr="Resultado de imagem para whirlpool logo">
          <a:extLst>
            <a:ext uri="{FF2B5EF4-FFF2-40B4-BE49-F238E27FC236}">
              <a16:creationId xmlns:a16="http://schemas.microsoft.com/office/drawing/2014/main" id="{2B32AC65-3327-49B8-9AD8-016EEC8732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29" name="AutoShape 1" descr="Resultado de imagem para whirlpool logo">
          <a:extLst>
            <a:ext uri="{FF2B5EF4-FFF2-40B4-BE49-F238E27FC236}">
              <a16:creationId xmlns:a16="http://schemas.microsoft.com/office/drawing/2014/main" id="{49C76E46-CB38-4E55-85B7-FCA6E1E81C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0" name="AutoShape 1" descr="Resultado de imagem para whirlpool logo">
          <a:extLst>
            <a:ext uri="{FF2B5EF4-FFF2-40B4-BE49-F238E27FC236}">
              <a16:creationId xmlns:a16="http://schemas.microsoft.com/office/drawing/2014/main" id="{F37ED551-6985-452C-A15C-344772ADC2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1" name="AutoShape 1" descr="Resultado de imagem para whirlpool logo">
          <a:extLst>
            <a:ext uri="{FF2B5EF4-FFF2-40B4-BE49-F238E27FC236}">
              <a16:creationId xmlns:a16="http://schemas.microsoft.com/office/drawing/2014/main" id="{E33C05BC-EC46-4704-B3CF-272A2144CA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2" name="AutoShape 1" descr="Resultado de imagem para whirlpool logo">
          <a:extLst>
            <a:ext uri="{FF2B5EF4-FFF2-40B4-BE49-F238E27FC236}">
              <a16:creationId xmlns:a16="http://schemas.microsoft.com/office/drawing/2014/main" id="{3CAA0DBE-0F94-4160-8E34-06CAA1AE2C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3" name="AutoShape 1" descr="Resultado de imagem para whirlpool logo">
          <a:extLst>
            <a:ext uri="{FF2B5EF4-FFF2-40B4-BE49-F238E27FC236}">
              <a16:creationId xmlns:a16="http://schemas.microsoft.com/office/drawing/2014/main" id="{ECA5C98E-4ABE-47F7-9E54-0E1E32B902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4" name="AutoShape 1" descr="Resultado de imagem para whirlpool logo">
          <a:extLst>
            <a:ext uri="{FF2B5EF4-FFF2-40B4-BE49-F238E27FC236}">
              <a16:creationId xmlns:a16="http://schemas.microsoft.com/office/drawing/2014/main" id="{CA119211-7636-4DA0-A37E-7FBC39EB43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5" name="AutoShape 1" descr="Resultado de imagem para whirlpool logo">
          <a:extLst>
            <a:ext uri="{FF2B5EF4-FFF2-40B4-BE49-F238E27FC236}">
              <a16:creationId xmlns:a16="http://schemas.microsoft.com/office/drawing/2014/main" id="{DB56E9D9-8F16-43EC-878B-B3C76F7FCF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6" name="AutoShape 1" descr="Resultado de imagem para whirlpool logo">
          <a:extLst>
            <a:ext uri="{FF2B5EF4-FFF2-40B4-BE49-F238E27FC236}">
              <a16:creationId xmlns:a16="http://schemas.microsoft.com/office/drawing/2014/main" id="{7441E1B8-7299-49A0-BF7D-B29D643719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7" name="AutoShape 1" descr="Resultado de imagem para whirlpool logo">
          <a:extLst>
            <a:ext uri="{FF2B5EF4-FFF2-40B4-BE49-F238E27FC236}">
              <a16:creationId xmlns:a16="http://schemas.microsoft.com/office/drawing/2014/main" id="{51325CE7-B96C-4481-A0CA-2FB047F14A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8" name="AutoShape 1" descr="Resultado de imagem para whirlpool logo">
          <a:extLst>
            <a:ext uri="{FF2B5EF4-FFF2-40B4-BE49-F238E27FC236}">
              <a16:creationId xmlns:a16="http://schemas.microsoft.com/office/drawing/2014/main" id="{381A0FB7-A7E0-4974-ADAC-7792AF0570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39" name="AutoShape 1" descr="Resultado de imagem para whirlpool logo">
          <a:extLst>
            <a:ext uri="{FF2B5EF4-FFF2-40B4-BE49-F238E27FC236}">
              <a16:creationId xmlns:a16="http://schemas.microsoft.com/office/drawing/2014/main" id="{D3448399-24F4-4DB0-BEBE-A3BC2BB9C7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0" name="AutoShape 1" descr="Resultado de imagem para whirlpool logo">
          <a:extLst>
            <a:ext uri="{FF2B5EF4-FFF2-40B4-BE49-F238E27FC236}">
              <a16:creationId xmlns:a16="http://schemas.microsoft.com/office/drawing/2014/main" id="{D731B069-3283-49F1-B34A-232EE7727A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1" name="AutoShape 1" descr="Resultado de imagem para whirlpool logo">
          <a:extLst>
            <a:ext uri="{FF2B5EF4-FFF2-40B4-BE49-F238E27FC236}">
              <a16:creationId xmlns:a16="http://schemas.microsoft.com/office/drawing/2014/main" id="{EEE35525-2B35-45E8-A7AC-782C1FDF56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2" name="AutoShape 1" descr="Resultado de imagem para whirlpool logo">
          <a:extLst>
            <a:ext uri="{FF2B5EF4-FFF2-40B4-BE49-F238E27FC236}">
              <a16:creationId xmlns:a16="http://schemas.microsoft.com/office/drawing/2014/main" id="{AFD570C5-0FF7-4566-B69B-CFF5DF3C053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3" name="AutoShape 1" descr="Resultado de imagem para whirlpool logo">
          <a:extLst>
            <a:ext uri="{FF2B5EF4-FFF2-40B4-BE49-F238E27FC236}">
              <a16:creationId xmlns:a16="http://schemas.microsoft.com/office/drawing/2014/main" id="{5A7FF904-FDA0-453E-A797-79289E4B09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4" name="AutoShape 1" descr="Resultado de imagem para whirlpool logo">
          <a:extLst>
            <a:ext uri="{FF2B5EF4-FFF2-40B4-BE49-F238E27FC236}">
              <a16:creationId xmlns:a16="http://schemas.microsoft.com/office/drawing/2014/main" id="{597C8295-0793-4F36-ACAA-53335C0E96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5" name="AutoShape 1" descr="Resultado de imagem para whirlpool logo">
          <a:extLst>
            <a:ext uri="{FF2B5EF4-FFF2-40B4-BE49-F238E27FC236}">
              <a16:creationId xmlns:a16="http://schemas.microsoft.com/office/drawing/2014/main" id="{19EADE3D-FBE0-4332-9028-2296EDCE5A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6" name="AutoShape 1" descr="Resultado de imagem para whirlpool logo">
          <a:extLst>
            <a:ext uri="{FF2B5EF4-FFF2-40B4-BE49-F238E27FC236}">
              <a16:creationId xmlns:a16="http://schemas.microsoft.com/office/drawing/2014/main" id="{39E15976-926F-496C-B1F9-24BDAC790B4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7" name="AutoShape 1" descr="Resultado de imagem para whirlpool logo">
          <a:extLst>
            <a:ext uri="{FF2B5EF4-FFF2-40B4-BE49-F238E27FC236}">
              <a16:creationId xmlns:a16="http://schemas.microsoft.com/office/drawing/2014/main" id="{B9069E53-7413-4A64-A26C-5F23EA691D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8" name="AutoShape 1" descr="Resultado de imagem para whirlpool logo">
          <a:extLst>
            <a:ext uri="{FF2B5EF4-FFF2-40B4-BE49-F238E27FC236}">
              <a16:creationId xmlns:a16="http://schemas.microsoft.com/office/drawing/2014/main" id="{CC88CFE6-1D52-4445-B8EB-7E2F3BFD2D4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49" name="AutoShape 1" descr="Resultado de imagem para whirlpool logo">
          <a:extLst>
            <a:ext uri="{FF2B5EF4-FFF2-40B4-BE49-F238E27FC236}">
              <a16:creationId xmlns:a16="http://schemas.microsoft.com/office/drawing/2014/main" id="{B26017A3-CC79-4996-B734-407B05C8F6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0" name="AutoShape 1" descr="Resultado de imagem para whirlpool logo">
          <a:extLst>
            <a:ext uri="{FF2B5EF4-FFF2-40B4-BE49-F238E27FC236}">
              <a16:creationId xmlns:a16="http://schemas.microsoft.com/office/drawing/2014/main" id="{B00B1CDA-9CDF-48DB-A235-9ACA5CE68A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1" name="AutoShape 1" descr="Resultado de imagem para whirlpool logo">
          <a:extLst>
            <a:ext uri="{FF2B5EF4-FFF2-40B4-BE49-F238E27FC236}">
              <a16:creationId xmlns:a16="http://schemas.microsoft.com/office/drawing/2014/main" id="{7D0DFA9D-E0CE-4280-9BBB-2C74790F610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2" name="AutoShape 1" descr="Resultado de imagem para whirlpool logo">
          <a:extLst>
            <a:ext uri="{FF2B5EF4-FFF2-40B4-BE49-F238E27FC236}">
              <a16:creationId xmlns:a16="http://schemas.microsoft.com/office/drawing/2014/main" id="{3A0CFCC5-9306-44ED-BD04-01BAA61AB4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3" name="AutoShape 1" descr="Resultado de imagem para whirlpool logo">
          <a:extLst>
            <a:ext uri="{FF2B5EF4-FFF2-40B4-BE49-F238E27FC236}">
              <a16:creationId xmlns:a16="http://schemas.microsoft.com/office/drawing/2014/main" id="{6146E1F3-7465-4AED-854D-096D1837EA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4" name="AutoShape 1" descr="Resultado de imagem para whirlpool logo">
          <a:extLst>
            <a:ext uri="{FF2B5EF4-FFF2-40B4-BE49-F238E27FC236}">
              <a16:creationId xmlns:a16="http://schemas.microsoft.com/office/drawing/2014/main" id="{63C64AB7-E054-476C-AD1F-945F34B6CE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5" name="AutoShape 1" descr="Resultado de imagem para whirlpool logo">
          <a:extLst>
            <a:ext uri="{FF2B5EF4-FFF2-40B4-BE49-F238E27FC236}">
              <a16:creationId xmlns:a16="http://schemas.microsoft.com/office/drawing/2014/main" id="{83107229-C220-4A18-91F8-8D28968F4B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6" name="AutoShape 1" descr="Resultado de imagem para whirlpool logo">
          <a:extLst>
            <a:ext uri="{FF2B5EF4-FFF2-40B4-BE49-F238E27FC236}">
              <a16:creationId xmlns:a16="http://schemas.microsoft.com/office/drawing/2014/main" id="{1AA5D795-ABA6-41FD-A6D0-658161CD7B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7" name="AutoShape 1" descr="Resultado de imagem para whirlpool logo">
          <a:extLst>
            <a:ext uri="{FF2B5EF4-FFF2-40B4-BE49-F238E27FC236}">
              <a16:creationId xmlns:a16="http://schemas.microsoft.com/office/drawing/2014/main" id="{59E81226-7C28-4960-9591-10CD00CBA1C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8" name="AutoShape 1" descr="Resultado de imagem para whirlpool logo">
          <a:extLst>
            <a:ext uri="{FF2B5EF4-FFF2-40B4-BE49-F238E27FC236}">
              <a16:creationId xmlns:a16="http://schemas.microsoft.com/office/drawing/2014/main" id="{E7A822AB-5836-4C91-905C-6994FBA78E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59" name="AutoShape 1" descr="Resultado de imagem para whirlpool logo">
          <a:extLst>
            <a:ext uri="{FF2B5EF4-FFF2-40B4-BE49-F238E27FC236}">
              <a16:creationId xmlns:a16="http://schemas.microsoft.com/office/drawing/2014/main" id="{BB352639-D509-4ED8-B6F8-62C1753BDC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0" name="AutoShape 1" descr="Resultado de imagem para whirlpool logo">
          <a:extLst>
            <a:ext uri="{FF2B5EF4-FFF2-40B4-BE49-F238E27FC236}">
              <a16:creationId xmlns:a16="http://schemas.microsoft.com/office/drawing/2014/main" id="{91EED1AF-8430-4880-80CE-CFC35DD0D6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1" name="AutoShape 1" descr="Resultado de imagem para whirlpool logo">
          <a:extLst>
            <a:ext uri="{FF2B5EF4-FFF2-40B4-BE49-F238E27FC236}">
              <a16:creationId xmlns:a16="http://schemas.microsoft.com/office/drawing/2014/main" id="{9394384D-BA5D-4129-92FE-37E3E395B5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2" name="AutoShape 1" descr="Resultado de imagem para whirlpool logo">
          <a:extLst>
            <a:ext uri="{FF2B5EF4-FFF2-40B4-BE49-F238E27FC236}">
              <a16:creationId xmlns:a16="http://schemas.microsoft.com/office/drawing/2014/main" id="{8EE09C0B-1763-4D8F-8D06-A42F992A0E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3" name="AutoShape 1" descr="Resultado de imagem para whirlpool logo">
          <a:extLst>
            <a:ext uri="{FF2B5EF4-FFF2-40B4-BE49-F238E27FC236}">
              <a16:creationId xmlns:a16="http://schemas.microsoft.com/office/drawing/2014/main" id="{0AB53616-401C-4877-8993-E9DCA4846FD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4" name="AutoShape 1" descr="Resultado de imagem para whirlpool logo">
          <a:extLst>
            <a:ext uri="{FF2B5EF4-FFF2-40B4-BE49-F238E27FC236}">
              <a16:creationId xmlns:a16="http://schemas.microsoft.com/office/drawing/2014/main" id="{81E76C67-111F-4A0F-AD85-36D93E1E32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5" name="AutoShape 1" descr="Resultado de imagem para whirlpool logo">
          <a:extLst>
            <a:ext uri="{FF2B5EF4-FFF2-40B4-BE49-F238E27FC236}">
              <a16:creationId xmlns:a16="http://schemas.microsoft.com/office/drawing/2014/main" id="{B91353CE-2C12-4CE3-B0F2-A4A839C5F40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6" name="AutoShape 1" descr="Resultado de imagem para whirlpool logo">
          <a:extLst>
            <a:ext uri="{FF2B5EF4-FFF2-40B4-BE49-F238E27FC236}">
              <a16:creationId xmlns:a16="http://schemas.microsoft.com/office/drawing/2014/main" id="{FE1107DB-9F0C-4A6A-81FD-73BD7B5F29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7" name="AutoShape 1" descr="Resultado de imagem para whirlpool logo">
          <a:extLst>
            <a:ext uri="{FF2B5EF4-FFF2-40B4-BE49-F238E27FC236}">
              <a16:creationId xmlns:a16="http://schemas.microsoft.com/office/drawing/2014/main" id="{5D6D04AB-6736-4B1A-A5CD-91091967A1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8" name="AutoShape 1" descr="Resultado de imagem para whirlpool logo">
          <a:extLst>
            <a:ext uri="{FF2B5EF4-FFF2-40B4-BE49-F238E27FC236}">
              <a16:creationId xmlns:a16="http://schemas.microsoft.com/office/drawing/2014/main" id="{C03DACA4-0B6D-4593-B559-2787D7752C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69" name="AutoShape 1" descr="Resultado de imagem para whirlpool logo">
          <a:extLst>
            <a:ext uri="{FF2B5EF4-FFF2-40B4-BE49-F238E27FC236}">
              <a16:creationId xmlns:a16="http://schemas.microsoft.com/office/drawing/2014/main" id="{F567CE9E-83EB-4162-91C4-3AD085BA61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0" name="AutoShape 1" descr="Resultado de imagem para whirlpool logo">
          <a:extLst>
            <a:ext uri="{FF2B5EF4-FFF2-40B4-BE49-F238E27FC236}">
              <a16:creationId xmlns:a16="http://schemas.microsoft.com/office/drawing/2014/main" id="{312DC379-8643-45EF-B422-C9558371A0D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1" name="AutoShape 1" descr="Resultado de imagem para whirlpool logo">
          <a:extLst>
            <a:ext uri="{FF2B5EF4-FFF2-40B4-BE49-F238E27FC236}">
              <a16:creationId xmlns:a16="http://schemas.microsoft.com/office/drawing/2014/main" id="{E82FE8A1-857E-4A5E-B60D-94E1FE748C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2" name="AutoShape 1" descr="Resultado de imagem para whirlpool logo">
          <a:extLst>
            <a:ext uri="{FF2B5EF4-FFF2-40B4-BE49-F238E27FC236}">
              <a16:creationId xmlns:a16="http://schemas.microsoft.com/office/drawing/2014/main" id="{2D3CD82B-910C-4117-9151-0BEF891CC3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3" name="AutoShape 1" descr="Resultado de imagem para whirlpool logo">
          <a:extLst>
            <a:ext uri="{FF2B5EF4-FFF2-40B4-BE49-F238E27FC236}">
              <a16:creationId xmlns:a16="http://schemas.microsoft.com/office/drawing/2014/main" id="{E9E16631-0A1C-445A-8344-435845A737A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4" name="AutoShape 1" descr="Resultado de imagem para whirlpool logo">
          <a:extLst>
            <a:ext uri="{FF2B5EF4-FFF2-40B4-BE49-F238E27FC236}">
              <a16:creationId xmlns:a16="http://schemas.microsoft.com/office/drawing/2014/main" id="{1077324C-D9BD-45B0-8655-49F9E91842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5" name="AutoShape 1" descr="Resultado de imagem para whirlpool logo">
          <a:extLst>
            <a:ext uri="{FF2B5EF4-FFF2-40B4-BE49-F238E27FC236}">
              <a16:creationId xmlns:a16="http://schemas.microsoft.com/office/drawing/2014/main" id="{01340D1D-23CC-48A8-BC59-09A7673199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6" name="AutoShape 1" descr="Resultado de imagem para whirlpool logo">
          <a:extLst>
            <a:ext uri="{FF2B5EF4-FFF2-40B4-BE49-F238E27FC236}">
              <a16:creationId xmlns:a16="http://schemas.microsoft.com/office/drawing/2014/main" id="{F0C00A83-707A-464A-8A21-F2EC2AC272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7" name="AutoShape 1" descr="Resultado de imagem para whirlpool logo">
          <a:extLst>
            <a:ext uri="{FF2B5EF4-FFF2-40B4-BE49-F238E27FC236}">
              <a16:creationId xmlns:a16="http://schemas.microsoft.com/office/drawing/2014/main" id="{ED6B7691-9196-4778-83E7-4A6BD4E32A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8" name="AutoShape 1" descr="Resultado de imagem para whirlpool logo">
          <a:extLst>
            <a:ext uri="{FF2B5EF4-FFF2-40B4-BE49-F238E27FC236}">
              <a16:creationId xmlns:a16="http://schemas.microsoft.com/office/drawing/2014/main" id="{25A46F87-FB81-4A6C-B51D-5A2E18F7FC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79" name="AutoShape 1" descr="Resultado de imagem para whirlpool logo">
          <a:extLst>
            <a:ext uri="{FF2B5EF4-FFF2-40B4-BE49-F238E27FC236}">
              <a16:creationId xmlns:a16="http://schemas.microsoft.com/office/drawing/2014/main" id="{D6486276-B439-436F-BACE-90813B43A9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0" name="AutoShape 1" descr="Resultado de imagem para whirlpool logo">
          <a:extLst>
            <a:ext uri="{FF2B5EF4-FFF2-40B4-BE49-F238E27FC236}">
              <a16:creationId xmlns:a16="http://schemas.microsoft.com/office/drawing/2014/main" id="{3ACA5F22-E245-4F1A-A869-5AB9F1E00EB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1" name="AutoShape 1" descr="Resultado de imagem para whirlpool logo">
          <a:extLst>
            <a:ext uri="{FF2B5EF4-FFF2-40B4-BE49-F238E27FC236}">
              <a16:creationId xmlns:a16="http://schemas.microsoft.com/office/drawing/2014/main" id="{11D2DF77-AFEC-4504-A56F-A1A88EA73D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2" name="AutoShape 1" descr="Resultado de imagem para whirlpool logo">
          <a:extLst>
            <a:ext uri="{FF2B5EF4-FFF2-40B4-BE49-F238E27FC236}">
              <a16:creationId xmlns:a16="http://schemas.microsoft.com/office/drawing/2014/main" id="{9B0DA41C-435B-4EC5-8DBF-2461E2477A5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3" name="AutoShape 1" descr="Resultado de imagem para whirlpool logo">
          <a:extLst>
            <a:ext uri="{FF2B5EF4-FFF2-40B4-BE49-F238E27FC236}">
              <a16:creationId xmlns:a16="http://schemas.microsoft.com/office/drawing/2014/main" id="{AB5B40E7-1650-4266-9CA5-0A749C3260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4" name="AutoShape 1" descr="Resultado de imagem para whirlpool logo">
          <a:extLst>
            <a:ext uri="{FF2B5EF4-FFF2-40B4-BE49-F238E27FC236}">
              <a16:creationId xmlns:a16="http://schemas.microsoft.com/office/drawing/2014/main" id="{5C9DE8BB-140B-448C-BA3B-9925027E4D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5" name="AutoShape 1" descr="Resultado de imagem para whirlpool logo">
          <a:extLst>
            <a:ext uri="{FF2B5EF4-FFF2-40B4-BE49-F238E27FC236}">
              <a16:creationId xmlns:a16="http://schemas.microsoft.com/office/drawing/2014/main" id="{74C9A649-0417-41B6-8313-D13265E9F68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6" name="AutoShape 1" descr="Resultado de imagem para whirlpool logo">
          <a:extLst>
            <a:ext uri="{FF2B5EF4-FFF2-40B4-BE49-F238E27FC236}">
              <a16:creationId xmlns:a16="http://schemas.microsoft.com/office/drawing/2014/main" id="{9AD2698C-4EB1-41F5-86B6-B8A2E92F1E0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7" name="AutoShape 1" descr="Resultado de imagem para whirlpool logo">
          <a:extLst>
            <a:ext uri="{FF2B5EF4-FFF2-40B4-BE49-F238E27FC236}">
              <a16:creationId xmlns:a16="http://schemas.microsoft.com/office/drawing/2014/main" id="{D8998E38-9051-47FB-A0B7-D0D0B1D550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8" name="AutoShape 1" descr="Resultado de imagem para whirlpool logo">
          <a:extLst>
            <a:ext uri="{FF2B5EF4-FFF2-40B4-BE49-F238E27FC236}">
              <a16:creationId xmlns:a16="http://schemas.microsoft.com/office/drawing/2014/main" id="{137ADF74-3AF6-4FBB-B4E8-9B3F63F7B3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89" name="AutoShape 1" descr="Resultado de imagem para whirlpool logo">
          <a:extLst>
            <a:ext uri="{FF2B5EF4-FFF2-40B4-BE49-F238E27FC236}">
              <a16:creationId xmlns:a16="http://schemas.microsoft.com/office/drawing/2014/main" id="{B47F9638-9AB6-4D63-95CC-E2B1017F01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0" name="AutoShape 1" descr="Resultado de imagem para whirlpool logo">
          <a:extLst>
            <a:ext uri="{FF2B5EF4-FFF2-40B4-BE49-F238E27FC236}">
              <a16:creationId xmlns:a16="http://schemas.microsoft.com/office/drawing/2014/main" id="{1B6A9892-F343-4B75-9C86-5153653CBA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1" name="AutoShape 1" descr="Resultado de imagem para whirlpool logo">
          <a:extLst>
            <a:ext uri="{FF2B5EF4-FFF2-40B4-BE49-F238E27FC236}">
              <a16:creationId xmlns:a16="http://schemas.microsoft.com/office/drawing/2014/main" id="{2672EFE2-75AF-46C9-BDAE-27435184D8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2" name="AutoShape 1" descr="Resultado de imagem para whirlpool logo">
          <a:extLst>
            <a:ext uri="{FF2B5EF4-FFF2-40B4-BE49-F238E27FC236}">
              <a16:creationId xmlns:a16="http://schemas.microsoft.com/office/drawing/2014/main" id="{BD924ED1-7FD5-4C26-8257-233A9FC3E3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3" name="AutoShape 1" descr="Resultado de imagem para whirlpool logo">
          <a:extLst>
            <a:ext uri="{FF2B5EF4-FFF2-40B4-BE49-F238E27FC236}">
              <a16:creationId xmlns:a16="http://schemas.microsoft.com/office/drawing/2014/main" id="{5D0ECBC4-9C4C-4E67-8738-A42A6DAFC2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4" name="AutoShape 1" descr="Resultado de imagem para whirlpool logo">
          <a:extLst>
            <a:ext uri="{FF2B5EF4-FFF2-40B4-BE49-F238E27FC236}">
              <a16:creationId xmlns:a16="http://schemas.microsoft.com/office/drawing/2014/main" id="{28223C08-77CB-4E73-B9D1-F9F8941C236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5" name="AutoShape 1" descr="Resultado de imagem para whirlpool logo">
          <a:extLst>
            <a:ext uri="{FF2B5EF4-FFF2-40B4-BE49-F238E27FC236}">
              <a16:creationId xmlns:a16="http://schemas.microsoft.com/office/drawing/2014/main" id="{9C790BC1-27B3-4908-9093-91D147D5FDF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6" name="AutoShape 1" descr="Resultado de imagem para whirlpool logo">
          <a:extLst>
            <a:ext uri="{FF2B5EF4-FFF2-40B4-BE49-F238E27FC236}">
              <a16:creationId xmlns:a16="http://schemas.microsoft.com/office/drawing/2014/main" id="{5B12FF29-6368-4120-B6CD-50EBCE0A9F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7" name="AutoShape 1" descr="Resultado de imagem para whirlpool logo">
          <a:extLst>
            <a:ext uri="{FF2B5EF4-FFF2-40B4-BE49-F238E27FC236}">
              <a16:creationId xmlns:a16="http://schemas.microsoft.com/office/drawing/2014/main" id="{1534956C-2667-44CD-98E1-6E4273F462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8" name="AutoShape 1" descr="Resultado de imagem para whirlpool logo">
          <a:extLst>
            <a:ext uri="{FF2B5EF4-FFF2-40B4-BE49-F238E27FC236}">
              <a16:creationId xmlns:a16="http://schemas.microsoft.com/office/drawing/2014/main" id="{C638CD57-23B7-4DB8-B11E-F82E7D613D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199" name="AutoShape 1" descr="Resultado de imagem para whirlpool logo">
          <a:extLst>
            <a:ext uri="{FF2B5EF4-FFF2-40B4-BE49-F238E27FC236}">
              <a16:creationId xmlns:a16="http://schemas.microsoft.com/office/drawing/2014/main" id="{8CCF5484-5DF2-460C-BE11-513F06D55F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0" name="AutoShape 1" descr="Resultado de imagem para whirlpool logo">
          <a:extLst>
            <a:ext uri="{FF2B5EF4-FFF2-40B4-BE49-F238E27FC236}">
              <a16:creationId xmlns:a16="http://schemas.microsoft.com/office/drawing/2014/main" id="{B0DEF8C8-B924-44AB-9997-39DB852A26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1" name="AutoShape 1" descr="Resultado de imagem para whirlpool logo">
          <a:extLst>
            <a:ext uri="{FF2B5EF4-FFF2-40B4-BE49-F238E27FC236}">
              <a16:creationId xmlns:a16="http://schemas.microsoft.com/office/drawing/2014/main" id="{4EBFEBE4-1DEA-47BC-B181-06107B4090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2" name="AutoShape 1" descr="Resultado de imagem para whirlpool logo">
          <a:extLst>
            <a:ext uri="{FF2B5EF4-FFF2-40B4-BE49-F238E27FC236}">
              <a16:creationId xmlns:a16="http://schemas.microsoft.com/office/drawing/2014/main" id="{C0B85786-21DE-4D2B-B2E1-ACBF229112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3" name="AutoShape 1" descr="Resultado de imagem para whirlpool logo">
          <a:extLst>
            <a:ext uri="{FF2B5EF4-FFF2-40B4-BE49-F238E27FC236}">
              <a16:creationId xmlns:a16="http://schemas.microsoft.com/office/drawing/2014/main" id="{B0815FBC-BD0C-4D2D-9DF3-1D6A76EF563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4" name="AutoShape 1" descr="Resultado de imagem para whirlpool logo">
          <a:extLst>
            <a:ext uri="{FF2B5EF4-FFF2-40B4-BE49-F238E27FC236}">
              <a16:creationId xmlns:a16="http://schemas.microsoft.com/office/drawing/2014/main" id="{F184AC2C-E879-44B5-9B36-78293697EF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5" name="AutoShape 1" descr="Resultado de imagem para whirlpool logo">
          <a:extLst>
            <a:ext uri="{FF2B5EF4-FFF2-40B4-BE49-F238E27FC236}">
              <a16:creationId xmlns:a16="http://schemas.microsoft.com/office/drawing/2014/main" id="{477EBEB9-BF68-404E-9C99-3295BC4646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6" name="AutoShape 1" descr="Resultado de imagem para whirlpool logo">
          <a:extLst>
            <a:ext uri="{FF2B5EF4-FFF2-40B4-BE49-F238E27FC236}">
              <a16:creationId xmlns:a16="http://schemas.microsoft.com/office/drawing/2014/main" id="{1097DB0C-83C7-42A6-A7E7-3961799055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7" name="AutoShape 1" descr="Resultado de imagem para whirlpool logo">
          <a:extLst>
            <a:ext uri="{FF2B5EF4-FFF2-40B4-BE49-F238E27FC236}">
              <a16:creationId xmlns:a16="http://schemas.microsoft.com/office/drawing/2014/main" id="{90ECC5D6-F6A7-4770-AB10-73693506EE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8" name="AutoShape 1" descr="Resultado de imagem para whirlpool logo">
          <a:extLst>
            <a:ext uri="{FF2B5EF4-FFF2-40B4-BE49-F238E27FC236}">
              <a16:creationId xmlns:a16="http://schemas.microsoft.com/office/drawing/2014/main" id="{DE74A64B-13AC-469F-9D40-2C25231DF5E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09" name="AutoShape 1" descr="Resultado de imagem para whirlpool logo">
          <a:extLst>
            <a:ext uri="{FF2B5EF4-FFF2-40B4-BE49-F238E27FC236}">
              <a16:creationId xmlns:a16="http://schemas.microsoft.com/office/drawing/2014/main" id="{09025697-DDB5-4FD7-8653-538094312A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0" name="AutoShape 1" descr="Resultado de imagem para whirlpool logo">
          <a:extLst>
            <a:ext uri="{FF2B5EF4-FFF2-40B4-BE49-F238E27FC236}">
              <a16:creationId xmlns:a16="http://schemas.microsoft.com/office/drawing/2014/main" id="{93A358E4-3ABA-4D01-8B5D-070A8EAB39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1" name="AutoShape 1" descr="Resultado de imagem para whirlpool logo">
          <a:extLst>
            <a:ext uri="{FF2B5EF4-FFF2-40B4-BE49-F238E27FC236}">
              <a16:creationId xmlns:a16="http://schemas.microsoft.com/office/drawing/2014/main" id="{91288707-64A8-429E-BEFD-809DEA3A6A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2" name="AutoShape 1" descr="Resultado de imagem para whirlpool logo">
          <a:extLst>
            <a:ext uri="{FF2B5EF4-FFF2-40B4-BE49-F238E27FC236}">
              <a16:creationId xmlns:a16="http://schemas.microsoft.com/office/drawing/2014/main" id="{4AAC6227-EC73-4057-A099-75D1DDE4B7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3" name="AutoShape 1" descr="Resultado de imagem para whirlpool logo">
          <a:extLst>
            <a:ext uri="{FF2B5EF4-FFF2-40B4-BE49-F238E27FC236}">
              <a16:creationId xmlns:a16="http://schemas.microsoft.com/office/drawing/2014/main" id="{6DAD76EE-EC98-433E-8ED7-E5D48367B88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4" name="AutoShape 1" descr="Resultado de imagem para whirlpool logo">
          <a:extLst>
            <a:ext uri="{FF2B5EF4-FFF2-40B4-BE49-F238E27FC236}">
              <a16:creationId xmlns:a16="http://schemas.microsoft.com/office/drawing/2014/main" id="{00114C55-49D4-4F5D-BDBD-59B33E7680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5" name="AutoShape 1" descr="Resultado de imagem para whirlpool logo">
          <a:extLst>
            <a:ext uri="{FF2B5EF4-FFF2-40B4-BE49-F238E27FC236}">
              <a16:creationId xmlns:a16="http://schemas.microsoft.com/office/drawing/2014/main" id="{5D42F08B-3ED5-4D75-93DC-E049F5B1F2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6" name="AutoShape 1" descr="Resultado de imagem para whirlpool logo">
          <a:extLst>
            <a:ext uri="{FF2B5EF4-FFF2-40B4-BE49-F238E27FC236}">
              <a16:creationId xmlns:a16="http://schemas.microsoft.com/office/drawing/2014/main" id="{6D6CA81C-F99F-4EEA-A2F3-86FA1402A9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7" name="AutoShape 1" descr="Resultado de imagem para whirlpool logo">
          <a:extLst>
            <a:ext uri="{FF2B5EF4-FFF2-40B4-BE49-F238E27FC236}">
              <a16:creationId xmlns:a16="http://schemas.microsoft.com/office/drawing/2014/main" id="{55EC0736-18CD-4DAC-80FB-C98C918F2F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8" name="AutoShape 1" descr="Resultado de imagem para whirlpool logo">
          <a:extLst>
            <a:ext uri="{FF2B5EF4-FFF2-40B4-BE49-F238E27FC236}">
              <a16:creationId xmlns:a16="http://schemas.microsoft.com/office/drawing/2014/main" id="{1C9B1C3E-24F4-492B-B0ED-8D8B9EF6ACD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19" name="AutoShape 1" descr="Resultado de imagem para whirlpool logo">
          <a:extLst>
            <a:ext uri="{FF2B5EF4-FFF2-40B4-BE49-F238E27FC236}">
              <a16:creationId xmlns:a16="http://schemas.microsoft.com/office/drawing/2014/main" id="{A3856253-8CB2-4F00-B37F-50448D2EA5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0" name="AutoShape 1" descr="Resultado de imagem para whirlpool logo">
          <a:extLst>
            <a:ext uri="{FF2B5EF4-FFF2-40B4-BE49-F238E27FC236}">
              <a16:creationId xmlns:a16="http://schemas.microsoft.com/office/drawing/2014/main" id="{6A2C3DFF-36FC-4D5B-85B3-67307A006B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1" name="AutoShape 1" descr="Resultado de imagem para whirlpool logo">
          <a:extLst>
            <a:ext uri="{FF2B5EF4-FFF2-40B4-BE49-F238E27FC236}">
              <a16:creationId xmlns:a16="http://schemas.microsoft.com/office/drawing/2014/main" id="{4B728B34-6A96-488F-B8EC-91DA7C33F5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222" name="AutoShape 1" descr="Resultado de imagem para whirlpool logo">
          <a:extLst>
            <a:ext uri="{FF2B5EF4-FFF2-40B4-BE49-F238E27FC236}">
              <a16:creationId xmlns:a16="http://schemas.microsoft.com/office/drawing/2014/main" id="{BE5A2367-6FD3-4DF3-8CA8-537B93A408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3" name="AutoShape 1" descr="Resultado de imagem para whirlpool logo">
          <a:extLst>
            <a:ext uri="{FF2B5EF4-FFF2-40B4-BE49-F238E27FC236}">
              <a16:creationId xmlns:a16="http://schemas.microsoft.com/office/drawing/2014/main" id="{068FA964-E040-401C-B786-29ADD79EA9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4" name="AutoShape 1" descr="Resultado de imagem para whirlpool logo">
          <a:extLst>
            <a:ext uri="{FF2B5EF4-FFF2-40B4-BE49-F238E27FC236}">
              <a16:creationId xmlns:a16="http://schemas.microsoft.com/office/drawing/2014/main" id="{39C6324B-B30D-430E-AB19-A1539A847F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5" name="AutoShape 1" descr="Resultado de imagem para whirlpool logo">
          <a:extLst>
            <a:ext uri="{FF2B5EF4-FFF2-40B4-BE49-F238E27FC236}">
              <a16:creationId xmlns:a16="http://schemas.microsoft.com/office/drawing/2014/main" id="{C395A02F-62F6-48F4-824A-F9FA03FC26B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6" name="AutoShape 1" descr="Resultado de imagem para whirlpool logo">
          <a:extLst>
            <a:ext uri="{FF2B5EF4-FFF2-40B4-BE49-F238E27FC236}">
              <a16:creationId xmlns:a16="http://schemas.microsoft.com/office/drawing/2014/main" id="{931E9EE2-3C78-4895-A852-E233DF0338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7" name="AutoShape 1" descr="Resultado de imagem para whirlpool logo">
          <a:extLst>
            <a:ext uri="{FF2B5EF4-FFF2-40B4-BE49-F238E27FC236}">
              <a16:creationId xmlns:a16="http://schemas.microsoft.com/office/drawing/2014/main" id="{9BF239B5-183A-4C55-B400-6B1309C5E8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8" name="AutoShape 1" descr="Resultado de imagem para whirlpool logo">
          <a:extLst>
            <a:ext uri="{FF2B5EF4-FFF2-40B4-BE49-F238E27FC236}">
              <a16:creationId xmlns:a16="http://schemas.microsoft.com/office/drawing/2014/main" id="{230BDA45-CCB9-4D83-85FE-1C50AF05C3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29" name="AutoShape 1" descr="Resultado de imagem para whirlpool logo">
          <a:extLst>
            <a:ext uri="{FF2B5EF4-FFF2-40B4-BE49-F238E27FC236}">
              <a16:creationId xmlns:a16="http://schemas.microsoft.com/office/drawing/2014/main" id="{02D07950-08AD-4F16-9DE2-73864C22BF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0" name="AutoShape 1" descr="Resultado de imagem para whirlpool logo">
          <a:extLst>
            <a:ext uri="{FF2B5EF4-FFF2-40B4-BE49-F238E27FC236}">
              <a16:creationId xmlns:a16="http://schemas.microsoft.com/office/drawing/2014/main" id="{E2F0BFF5-CEFE-415A-AC64-D230AFDB3B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1" name="AutoShape 1" descr="Resultado de imagem para whirlpool logo">
          <a:extLst>
            <a:ext uri="{FF2B5EF4-FFF2-40B4-BE49-F238E27FC236}">
              <a16:creationId xmlns:a16="http://schemas.microsoft.com/office/drawing/2014/main" id="{8D8C9992-890B-46BC-9D83-80589722A4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2" name="AutoShape 1" descr="Resultado de imagem para whirlpool logo">
          <a:extLst>
            <a:ext uri="{FF2B5EF4-FFF2-40B4-BE49-F238E27FC236}">
              <a16:creationId xmlns:a16="http://schemas.microsoft.com/office/drawing/2014/main" id="{0DCEA150-791C-4E35-8962-0EEA7D4A16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3" name="AutoShape 1" descr="Resultado de imagem para whirlpool logo">
          <a:extLst>
            <a:ext uri="{FF2B5EF4-FFF2-40B4-BE49-F238E27FC236}">
              <a16:creationId xmlns:a16="http://schemas.microsoft.com/office/drawing/2014/main" id="{E3A25D47-BAED-40D4-8BCE-CE3194DC30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4" name="AutoShape 1" descr="Resultado de imagem para whirlpool logo">
          <a:extLst>
            <a:ext uri="{FF2B5EF4-FFF2-40B4-BE49-F238E27FC236}">
              <a16:creationId xmlns:a16="http://schemas.microsoft.com/office/drawing/2014/main" id="{003614B8-BB9B-4B77-8B0F-F985FF52837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5" name="AutoShape 1" descr="Resultado de imagem para whirlpool logo">
          <a:extLst>
            <a:ext uri="{FF2B5EF4-FFF2-40B4-BE49-F238E27FC236}">
              <a16:creationId xmlns:a16="http://schemas.microsoft.com/office/drawing/2014/main" id="{5D5B36E4-B016-4A00-AA8A-CE0D913151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6" name="AutoShape 1" descr="Resultado de imagem para whirlpool logo">
          <a:extLst>
            <a:ext uri="{FF2B5EF4-FFF2-40B4-BE49-F238E27FC236}">
              <a16:creationId xmlns:a16="http://schemas.microsoft.com/office/drawing/2014/main" id="{F5753381-DFA8-49F9-A275-17D613852E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7" name="AutoShape 1" descr="Resultado de imagem para whirlpool logo">
          <a:extLst>
            <a:ext uri="{FF2B5EF4-FFF2-40B4-BE49-F238E27FC236}">
              <a16:creationId xmlns:a16="http://schemas.microsoft.com/office/drawing/2014/main" id="{6AF6FB1A-4376-42F7-A733-61A6606D8C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8" name="AutoShape 1" descr="Resultado de imagem para whirlpool logo">
          <a:extLst>
            <a:ext uri="{FF2B5EF4-FFF2-40B4-BE49-F238E27FC236}">
              <a16:creationId xmlns:a16="http://schemas.microsoft.com/office/drawing/2014/main" id="{6B3677C4-B193-416A-B7C1-BC442A473F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39" name="AutoShape 1" descr="Resultado de imagem para whirlpool logo">
          <a:extLst>
            <a:ext uri="{FF2B5EF4-FFF2-40B4-BE49-F238E27FC236}">
              <a16:creationId xmlns:a16="http://schemas.microsoft.com/office/drawing/2014/main" id="{5BDCEFB0-03B5-4957-9C10-A030ACF103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0" name="AutoShape 1" descr="Resultado de imagem para whirlpool logo">
          <a:extLst>
            <a:ext uri="{FF2B5EF4-FFF2-40B4-BE49-F238E27FC236}">
              <a16:creationId xmlns:a16="http://schemas.microsoft.com/office/drawing/2014/main" id="{6F942990-ABD5-4DDB-A54F-7AD2B2A635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1" name="AutoShape 1" descr="Resultado de imagem para whirlpool logo">
          <a:extLst>
            <a:ext uri="{FF2B5EF4-FFF2-40B4-BE49-F238E27FC236}">
              <a16:creationId xmlns:a16="http://schemas.microsoft.com/office/drawing/2014/main" id="{B8270F4E-57FA-4CCA-8408-436333E283B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2" name="AutoShape 1" descr="Resultado de imagem para whirlpool logo">
          <a:extLst>
            <a:ext uri="{FF2B5EF4-FFF2-40B4-BE49-F238E27FC236}">
              <a16:creationId xmlns:a16="http://schemas.microsoft.com/office/drawing/2014/main" id="{EE7817FB-D7B5-4600-9DC5-8BBA4F32C50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3" name="AutoShape 1" descr="Resultado de imagem para whirlpool logo">
          <a:extLst>
            <a:ext uri="{FF2B5EF4-FFF2-40B4-BE49-F238E27FC236}">
              <a16:creationId xmlns:a16="http://schemas.microsoft.com/office/drawing/2014/main" id="{EC3BF0DF-C29F-4112-B020-9E41075095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4" name="AutoShape 1" descr="Resultado de imagem para whirlpool logo">
          <a:extLst>
            <a:ext uri="{FF2B5EF4-FFF2-40B4-BE49-F238E27FC236}">
              <a16:creationId xmlns:a16="http://schemas.microsoft.com/office/drawing/2014/main" id="{6111094B-051E-4360-B86E-8DBFA55528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5" name="AutoShape 1" descr="Resultado de imagem para whirlpool logo">
          <a:extLst>
            <a:ext uri="{FF2B5EF4-FFF2-40B4-BE49-F238E27FC236}">
              <a16:creationId xmlns:a16="http://schemas.microsoft.com/office/drawing/2014/main" id="{EABD9D5F-AA94-4918-8B52-674049B192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6" name="AutoShape 1" descr="Resultado de imagem para whirlpool logo">
          <a:extLst>
            <a:ext uri="{FF2B5EF4-FFF2-40B4-BE49-F238E27FC236}">
              <a16:creationId xmlns:a16="http://schemas.microsoft.com/office/drawing/2014/main" id="{64B28E61-B052-4056-828D-F732E288F49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7" name="AutoShape 1" descr="Resultado de imagem para whirlpool logo">
          <a:extLst>
            <a:ext uri="{FF2B5EF4-FFF2-40B4-BE49-F238E27FC236}">
              <a16:creationId xmlns:a16="http://schemas.microsoft.com/office/drawing/2014/main" id="{713D50B5-AC84-451C-909A-C54E54B461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8" name="AutoShape 1" descr="Resultado de imagem para whirlpool logo">
          <a:extLst>
            <a:ext uri="{FF2B5EF4-FFF2-40B4-BE49-F238E27FC236}">
              <a16:creationId xmlns:a16="http://schemas.microsoft.com/office/drawing/2014/main" id="{AD62FCEA-6AAE-406F-8B05-2324692151F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49" name="AutoShape 1" descr="Resultado de imagem para whirlpool logo">
          <a:extLst>
            <a:ext uri="{FF2B5EF4-FFF2-40B4-BE49-F238E27FC236}">
              <a16:creationId xmlns:a16="http://schemas.microsoft.com/office/drawing/2014/main" id="{57F98E68-8015-4983-9CA2-18A38393A5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0" name="AutoShape 1" descr="Resultado de imagem para whirlpool logo">
          <a:extLst>
            <a:ext uri="{FF2B5EF4-FFF2-40B4-BE49-F238E27FC236}">
              <a16:creationId xmlns:a16="http://schemas.microsoft.com/office/drawing/2014/main" id="{1DC74711-73D9-4139-AD98-D80D68CB854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1" name="AutoShape 1" descr="Resultado de imagem para whirlpool logo">
          <a:extLst>
            <a:ext uri="{FF2B5EF4-FFF2-40B4-BE49-F238E27FC236}">
              <a16:creationId xmlns:a16="http://schemas.microsoft.com/office/drawing/2014/main" id="{80452028-BE35-44C6-8D8A-72E5134C08B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2" name="AutoShape 1" descr="Resultado de imagem para whirlpool logo">
          <a:extLst>
            <a:ext uri="{FF2B5EF4-FFF2-40B4-BE49-F238E27FC236}">
              <a16:creationId xmlns:a16="http://schemas.microsoft.com/office/drawing/2014/main" id="{D3662883-8A82-433D-B904-1E15FCE90A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3" name="AutoShape 1" descr="Resultado de imagem para whirlpool logo">
          <a:extLst>
            <a:ext uri="{FF2B5EF4-FFF2-40B4-BE49-F238E27FC236}">
              <a16:creationId xmlns:a16="http://schemas.microsoft.com/office/drawing/2014/main" id="{822DEAAF-03A1-45CA-BE59-7E077BA7C4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4" name="AutoShape 1" descr="Resultado de imagem para whirlpool logo">
          <a:extLst>
            <a:ext uri="{FF2B5EF4-FFF2-40B4-BE49-F238E27FC236}">
              <a16:creationId xmlns:a16="http://schemas.microsoft.com/office/drawing/2014/main" id="{EC68701B-A0FC-4257-A738-5ED1A08F18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5" name="AutoShape 1" descr="Resultado de imagem para whirlpool logo">
          <a:extLst>
            <a:ext uri="{FF2B5EF4-FFF2-40B4-BE49-F238E27FC236}">
              <a16:creationId xmlns:a16="http://schemas.microsoft.com/office/drawing/2014/main" id="{1178456F-E860-446D-AA9C-57344DA3ED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6" name="AutoShape 1" descr="Resultado de imagem para whirlpool logo">
          <a:extLst>
            <a:ext uri="{FF2B5EF4-FFF2-40B4-BE49-F238E27FC236}">
              <a16:creationId xmlns:a16="http://schemas.microsoft.com/office/drawing/2014/main" id="{2BC5AB32-9B31-4D3F-AD23-B9C27E847D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7" name="AutoShape 1" descr="Resultado de imagem para whirlpool logo">
          <a:extLst>
            <a:ext uri="{FF2B5EF4-FFF2-40B4-BE49-F238E27FC236}">
              <a16:creationId xmlns:a16="http://schemas.microsoft.com/office/drawing/2014/main" id="{008F1276-D1F9-4DED-B105-C05635ABA9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8" name="AutoShape 1" descr="Resultado de imagem para whirlpool logo">
          <a:extLst>
            <a:ext uri="{FF2B5EF4-FFF2-40B4-BE49-F238E27FC236}">
              <a16:creationId xmlns:a16="http://schemas.microsoft.com/office/drawing/2014/main" id="{B781B7B3-54E4-45AF-89DD-FC21599B62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59" name="AutoShape 1" descr="Resultado de imagem para whirlpool logo">
          <a:extLst>
            <a:ext uri="{FF2B5EF4-FFF2-40B4-BE49-F238E27FC236}">
              <a16:creationId xmlns:a16="http://schemas.microsoft.com/office/drawing/2014/main" id="{82AD7762-E2F6-440B-B5A2-DFE0953C31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0" name="AutoShape 1" descr="Resultado de imagem para whirlpool logo">
          <a:extLst>
            <a:ext uri="{FF2B5EF4-FFF2-40B4-BE49-F238E27FC236}">
              <a16:creationId xmlns:a16="http://schemas.microsoft.com/office/drawing/2014/main" id="{633211EB-0688-4FE9-8D13-54C9C21112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1" name="AutoShape 1" descr="Resultado de imagem para whirlpool logo">
          <a:extLst>
            <a:ext uri="{FF2B5EF4-FFF2-40B4-BE49-F238E27FC236}">
              <a16:creationId xmlns:a16="http://schemas.microsoft.com/office/drawing/2014/main" id="{9207549F-BF48-41B0-B0FD-7E45B114BAD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2" name="AutoShape 1" descr="Resultado de imagem para whirlpool logo">
          <a:extLst>
            <a:ext uri="{FF2B5EF4-FFF2-40B4-BE49-F238E27FC236}">
              <a16:creationId xmlns:a16="http://schemas.microsoft.com/office/drawing/2014/main" id="{CD23D95C-308F-4A00-9744-D5DE82865C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3" name="AutoShape 1" descr="Resultado de imagem para whirlpool logo">
          <a:extLst>
            <a:ext uri="{FF2B5EF4-FFF2-40B4-BE49-F238E27FC236}">
              <a16:creationId xmlns:a16="http://schemas.microsoft.com/office/drawing/2014/main" id="{54220286-2474-4B31-B356-960F357CFF9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4" name="AutoShape 1" descr="Resultado de imagem para whirlpool logo">
          <a:extLst>
            <a:ext uri="{FF2B5EF4-FFF2-40B4-BE49-F238E27FC236}">
              <a16:creationId xmlns:a16="http://schemas.microsoft.com/office/drawing/2014/main" id="{66E99927-3E2C-4B2D-9C22-3AEEA92F8A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5" name="AutoShape 1" descr="Resultado de imagem para whirlpool logo">
          <a:extLst>
            <a:ext uri="{FF2B5EF4-FFF2-40B4-BE49-F238E27FC236}">
              <a16:creationId xmlns:a16="http://schemas.microsoft.com/office/drawing/2014/main" id="{1C20A58D-6323-4035-A347-DF99B9803B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6" name="AutoShape 1" descr="Resultado de imagem para whirlpool logo">
          <a:extLst>
            <a:ext uri="{FF2B5EF4-FFF2-40B4-BE49-F238E27FC236}">
              <a16:creationId xmlns:a16="http://schemas.microsoft.com/office/drawing/2014/main" id="{CAFFA134-75D8-4147-8E8F-417C62FA2B4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7" name="AutoShape 1" descr="Resultado de imagem para whirlpool logo">
          <a:extLst>
            <a:ext uri="{FF2B5EF4-FFF2-40B4-BE49-F238E27FC236}">
              <a16:creationId xmlns:a16="http://schemas.microsoft.com/office/drawing/2014/main" id="{941A4937-2E97-41FA-8DA9-2A71C58A926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8" name="AutoShape 1" descr="Resultado de imagem para whirlpool logo">
          <a:extLst>
            <a:ext uri="{FF2B5EF4-FFF2-40B4-BE49-F238E27FC236}">
              <a16:creationId xmlns:a16="http://schemas.microsoft.com/office/drawing/2014/main" id="{21084B45-73A4-42A5-97D9-2A00B65B51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69" name="AutoShape 1" descr="Resultado de imagem para whirlpool logo">
          <a:extLst>
            <a:ext uri="{FF2B5EF4-FFF2-40B4-BE49-F238E27FC236}">
              <a16:creationId xmlns:a16="http://schemas.microsoft.com/office/drawing/2014/main" id="{EB938111-E3DA-42F2-B09A-03182EC380A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0" name="AutoShape 1" descr="Resultado de imagem para whirlpool logo">
          <a:extLst>
            <a:ext uri="{FF2B5EF4-FFF2-40B4-BE49-F238E27FC236}">
              <a16:creationId xmlns:a16="http://schemas.microsoft.com/office/drawing/2014/main" id="{E5379F06-5033-41C9-A216-EA97BA8BB8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1" name="AutoShape 1" descr="Resultado de imagem para whirlpool logo">
          <a:extLst>
            <a:ext uri="{FF2B5EF4-FFF2-40B4-BE49-F238E27FC236}">
              <a16:creationId xmlns:a16="http://schemas.microsoft.com/office/drawing/2014/main" id="{ED80CC6A-20A9-44DC-9B7A-A77885D464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2" name="AutoShape 1" descr="Resultado de imagem para whirlpool logo">
          <a:extLst>
            <a:ext uri="{FF2B5EF4-FFF2-40B4-BE49-F238E27FC236}">
              <a16:creationId xmlns:a16="http://schemas.microsoft.com/office/drawing/2014/main" id="{AC58B937-3BBB-49EA-84CB-CFA945F0A5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3" name="AutoShape 1" descr="Resultado de imagem para whirlpool logo">
          <a:extLst>
            <a:ext uri="{FF2B5EF4-FFF2-40B4-BE49-F238E27FC236}">
              <a16:creationId xmlns:a16="http://schemas.microsoft.com/office/drawing/2014/main" id="{8361DF43-3059-48F1-9B08-84F8E46548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4" name="AutoShape 1" descr="Resultado de imagem para whirlpool logo">
          <a:extLst>
            <a:ext uri="{FF2B5EF4-FFF2-40B4-BE49-F238E27FC236}">
              <a16:creationId xmlns:a16="http://schemas.microsoft.com/office/drawing/2014/main" id="{5F3033C5-5883-4690-ACC5-0E0F185403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5" name="AutoShape 1" descr="Resultado de imagem para whirlpool logo">
          <a:extLst>
            <a:ext uri="{FF2B5EF4-FFF2-40B4-BE49-F238E27FC236}">
              <a16:creationId xmlns:a16="http://schemas.microsoft.com/office/drawing/2014/main" id="{36C52A74-FAD9-431D-9F44-D6D6D1F7B3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6" name="AutoShape 1" descr="Resultado de imagem para whirlpool logo">
          <a:extLst>
            <a:ext uri="{FF2B5EF4-FFF2-40B4-BE49-F238E27FC236}">
              <a16:creationId xmlns:a16="http://schemas.microsoft.com/office/drawing/2014/main" id="{8D0C1637-EB06-4166-A277-8313DE3847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7" name="AutoShape 1" descr="Resultado de imagem para whirlpool logo">
          <a:extLst>
            <a:ext uri="{FF2B5EF4-FFF2-40B4-BE49-F238E27FC236}">
              <a16:creationId xmlns:a16="http://schemas.microsoft.com/office/drawing/2014/main" id="{FA604DC2-7156-4F57-AB23-08A57DB764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8" name="AutoShape 1" descr="Resultado de imagem para whirlpool logo">
          <a:extLst>
            <a:ext uri="{FF2B5EF4-FFF2-40B4-BE49-F238E27FC236}">
              <a16:creationId xmlns:a16="http://schemas.microsoft.com/office/drawing/2014/main" id="{FDF58DA8-FF81-4319-8D1B-3D6FC8DC9A6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79" name="AutoShape 1" descr="Resultado de imagem para whirlpool logo">
          <a:extLst>
            <a:ext uri="{FF2B5EF4-FFF2-40B4-BE49-F238E27FC236}">
              <a16:creationId xmlns:a16="http://schemas.microsoft.com/office/drawing/2014/main" id="{571B80E7-DAD5-4E60-9589-3A138E64A9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0" name="AutoShape 1" descr="Resultado de imagem para whirlpool logo">
          <a:extLst>
            <a:ext uri="{FF2B5EF4-FFF2-40B4-BE49-F238E27FC236}">
              <a16:creationId xmlns:a16="http://schemas.microsoft.com/office/drawing/2014/main" id="{5CAFF1E2-70AB-4F60-AF21-D9DBE74C70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1" name="AutoShape 1" descr="Resultado de imagem para whirlpool logo">
          <a:extLst>
            <a:ext uri="{FF2B5EF4-FFF2-40B4-BE49-F238E27FC236}">
              <a16:creationId xmlns:a16="http://schemas.microsoft.com/office/drawing/2014/main" id="{33ED9933-3A4D-459F-B4A7-76E9CC4C12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2" name="AutoShape 1" descr="Resultado de imagem para whirlpool logo">
          <a:extLst>
            <a:ext uri="{FF2B5EF4-FFF2-40B4-BE49-F238E27FC236}">
              <a16:creationId xmlns:a16="http://schemas.microsoft.com/office/drawing/2014/main" id="{318B046A-8533-44E2-80A1-CC6003183B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3" name="AutoShape 1" descr="Resultado de imagem para whirlpool logo">
          <a:extLst>
            <a:ext uri="{FF2B5EF4-FFF2-40B4-BE49-F238E27FC236}">
              <a16:creationId xmlns:a16="http://schemas.microsoft.com/office/drawing/2014/main" id="{88854A6B-6941-404C-B8BF-EF00214D13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284" name="AutoShape 1" descr="Resultado de imagem para whirlpool logo">
          <a:extLst>
            <a:ext uri="{FF2B5EF4-FFF2-40B4-BE49-F238E27FC236}">
              <a16:creationId xmlns:a16="http://schemas.microsoft.com/office/drawing/2014/main" id="{1F082969-F78B-48DD-8CAD-B504355BA325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5" name="AutoShape 1" descr="Resultado de imagem para whirlpool logo">
          <a:extLst>
            <a:ext uri="{FF2B5EF4-FFF2-40B4-BE49-F238E27FC236}">
              <a16:creationId xmlns:a16="http://schemas.microsoft.com/office/drawing/2014/main" id="{28FDB8D9-64F9-46E4-A052-D6FE77C4C6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6" name="AutoShape 1" descr="Resultado de imagem para whirlpool logo">
          <a:extLst>
            <a:ext uri="{FF2B5EF4-FFF2-40B4-BE49-F238E27FC236}">
              <a16:creationId xmlns:a16="http://schemas.microsoft.com/office/drawing/2014/main" id="{C4D8717A-2C6F-4C1D-B64C-6A19609635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7" name="AutoShape 1" descr="Resultado de imagem para whirlpool logo">
          <a:extLst>
            <a:ext uri="{FF2B5EF4-FFF2-40B4-BE49-F238E27FC236}">
              <a16:creationId xmlns:a16="http://schemas.microsoft.com/office/drawing/2014/main" id="{F461578D-8262-4B08-A046-A797EA67DA4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8" name="AutoShape 1" descr="Resultado de imagem para whirlpool logo">
          <a:extLst>
            <a:ext uri="{FF2B5EF4-FFF2-40B4-BE49-F238E27FC236}">
              <a16:creationId xmlns:a16="http://schemas.microsoft.com/office/drawing/2014/main" id="{D1B63460-03E3-4455-B75B-F47DA33C7A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89" name="AutoShape 1" descr="Resultado de imagem para whirlpool logo">
          <a:extLst>
            <a:ext uri="{FF2B5EF4-FFF2-40B4-BE49-F238E27FC236}">
              <a16:creationId xmlns:a16="http://schemas.microsoft.com/office/drawing/2014/main" id="{751E4EC7-6D5F-4454-960D-69B905A29F2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0" name="AutoShape 1" descr="Resultado de imagem para whirlpool logo">
          <a:extLst>
            <a:ext uri="{FF2B5EF4-FFF2-40B4-BE49-F238E27FC236}">
              <a16:creationId xmlns:a16="http://schemas.microsoft.com/office/drawing/2014/main" id="{3C5129DA-43F4-41BF-8A22-D6F64AA222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1" name="AutoShape 1" descr="Resultado de imagem para whirlpool logo">
          <a:extLst>
            <a:ext uri="{FF2B5EF4-FFF2-40B4-BE49-F238E27FC236}">
              <a16:creationId xmlns:a16="http://schemas.microsoft.com/office/drawing/2014/main" id="{4C93783E-7E87-4588-A57E-8B59045D775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2" name="AutoShape 1" descr="Resultado de imagem para whirlpool logo">
          <a:extLst>
            <a:ext uri="{FF2B5EF4-FFF2-40B4-BE49-F238E27FC236}">
              <a16:creationId xmlns:a16="http://schemas.microsoft.com/office/drawing/2014/main" id="{9907A24F-1F39-420B-B198-8E8B0B388D6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3" name="AutoShape 1" descr="Resultado de imagem para whirlpool logo">
          <a:extLst>
            <a:ext uri="{FF2B5EF4-FFF2-40B4-BE49-F238E27FC236}">
              <a16:creationId xmlns:a16="http://schemas.microsoft.com/office/drawing/2014/main" id="{3FEDC172-1A5A-4690-8B43-0928FD9521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4" name="AutoShape 1" descr="Resultado de imagem para whirlpool logo">
          <a:extLst>
            <a:ext uri="{FF2B5EF4-FFF2-40B4-BE49-F238E27FC236}">
              <a16:creationId xmlns:a16="http://schemas.microsoft.com/office/drawing/2014/main" id="{09BA9A87-10C7-426C-980A-77A3E528E40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5" name="AutoShape 1" descr="Resultado de imagem para whirlpool logo">
          <a:extLst>
            <a:ext uri="{FF2B5EF4-FFF2-40B4-BE49-F238E27FC236}">
              <a16:creationId xmlns:a16="http://schemas.microsoft.com/office/drawing/2014/main" id="{F261E2BB-CF86-40B3-82E7-E7B47927F4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6" name="AutoShape 1" descr="Resultado de imagem para whirlpool logo">
          <a:extLst>
            <a:ext uri="{FF2B5EF4-FFF2-40B4-BE49-F238E27FC236}">
              <a16:creationId xmlns:a16="http://schemas.microsoft.com/office/drawing/2014/main" id="{A0313C54-662A-4F8B-9353-7DF18B6BF5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7" name="AutoShape 1" descr="Resultado de imagem para whirlpool logo">
          <a:extLst>
            <a:ext uri="{FF2B5EF4-FFF2-40B4-BE49-F238E27FC236}">
              <a16:creationId xmlns:a16="http://schemas.microsoft.com/office/drawing/2014/main" id="{DFC6EBF2-7856-4A24-818F-145D49B58CC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8" name="AutoShape 1" descr="Resultado de imagem para whirlpool logo">
          <a:extLst>
            <a:ext uri="{FF2B5EF4-FFF2-40B4-BE49-F238E27FC236}">
              <a16:creationId xmlns:a16="http://schemas.microsoft.com/office/drawing/2014/main" id="{CAA17FD4-7601-4BFC-B60D-4DA36EF099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299" name="AutoShape 1" descr="Resultado de imagem para whirlpool logo">
          <a:extLst>
            <a:ext uri="{FF2B5EF4-FFF2-40B4-BE49-F238E27FC236}">
              <a16:creationId xmlns:a16="http://schemas.microsoft.com/office/drawing/2014/main" id="{23826498-BA61-47E0-98FC-DCEE9F6EA0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0" name="AutoShape 1" descr="Resultado de imagem para whirlpool logo">
          <a:extLst>
            <a:ext uri="{FF2B5EF4-FFF2-40B4-BE49-F238E27FC236}">
              <a16:creationId xmlns:a16="http://schemas.microsoft.com/office/drawing/2014/main" id="{57BBA01E-0986-4605-AB91-38F00592EF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1" name="AutoShape 1" descr="Resultado de imagem para whirlpool logo">
          <a:extLst>
            <a:ext uri="{FF2B5EF4-FFF2-40B4-BE49-F238E27FC236}">
              <a16:creationId xmlns:a16="http://schemas.microsoft.com/office/drawing/2014/main" id="{B4CBDC93-A313-4194-834B-D009D65CCBD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2" name="AutoShape 1" descr="Resultado de imagem para whirlpool logo">
          <a:extLst>
            <a:ext uri="{FF2B5EF4-FFF2-40B4-BE49-F238E27FC236}">
              <a16:creationId xmlns:a16="http://schemas.microsoft.com/office/drawing/2014/main" id="{D5BC7DA4-F841-42FB-938A-329CCB6310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3" name="AutoShape 1" descr="Resultado de imagem para whirlpool logo">
          <a:extLst>
            <a:ext uri="{FF2B5EF4-FFF2-40B4-BE49-F238E27FC236}">
              <a16:creationId xmlns:a16="http://schemas.microsoft.com/office/drawing/2014/main" id="{29E7BEAC-A896-4CB8-A236-61D302CBA6F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4" name="AutoShape 1" descr="Resultado de imagem para whirlpool logo">
          <a:extLst>
            <a:ext uri="{FF2B5EF4-FFF2-40B4-BE49-F238E27FC236}">
              <a16:creationId xmlns:a16="http://schemas.microsoft.com/office/drawing/2014/main" id="{2D5D3FEF-EACE-47A4-A908-6556B9E000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5" name="AutoShape 1" descr="Resultado de imagem para whirlpool logo">
          <a:extLst>
            <a:ext uri="{FF2B5EF4-FFF2-40B4-BE49-F238E27FC236}">
              <a16:creationId xmlns:a16="http://schemas.microsoft.com/office/drawing/2014/main" id="{1C60F2CF-4A1E-486B-AB3F-026ABA1ABB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6" name="AutoShape 1" descr="Resultado de imagem para whirlpool logo">
          <a:extLst>
            <a:ext uri="{FF2B5EF4-FFF2-40B4-BE49-F238E27FC236}">
              <a16:creationId xmlns:a16="http://schemas.microsoft.com/office/drawing/2014/main" id="{E2BC5F52-E3F0-4573-94AE-95A708F5D0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7" name="AutoShape 1" descr="Resultado de imagem para whirlpool logo">
          <a:extLst>
            <a:ext uri="{FF2B5EF4-FFF2-40B4-BE49-F238E27FC236}">
              <a16:creationId xmlns:a16="http://schemas.microsoft.com/office/drawing/2014/main" id="{54C7F42B-3976-4724-8146-F53B85DF50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8" name="AutoShape 1" descr="Resultado de imagem para whirlpool logo">
          <a:extLst>
            <a:ext uri="{FF2B5EF4-FFF2-40B4-BE49-F238E27FC236}">
              <a16:creationId xmlns:a16="http://schemas.microsoft.com/office/drawing/2014/main" id="{A354FE92-F1FD-4ECB-9467-EA9246EE25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09" name="AutoShape 1" descr="Resultado de imagem para whirlpool logo">
          <a:extLst>
            <a:ext uri="{FF2B5EF4-FFF2-40B4-BE49-F238E27FC236}">
              <a16:creationId xmlns:a16="http://schemas.microsoft.com/office/drawing/2014/main" id="{30509760-7E0A-4F54-A6D8-3EEA0FAC5BB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310" name="AutoShape 1" descr="Resultado de imagem para whirlpool logo">
          <a:extLst>
            <a:ext uri="{FF2B5EF4-FFF2-40B4-BE49-F238E27FC236}">
              <a16:creationId xmlns:a16="http://schemas.microsoft.com/office/drawing/2014/main" id="{F5DE38CA-7184-42A7-BEB5-ED77375E258F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1" name="AutoShape 1" descr="Resultado de imagem para whirlpool logo">
          <a:extLst>
            <a:ext uri="{FF2B5EF4-FFF2-40B4-BE49-F238E27FC236}">
              <a16:creationId xmlns:a16="http://schemas.microsoft.com/office/drawing/2014/main" id="{496552C2-9AFE-4943-933C-314E5C385D6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2" name="AutoShape 1" descr="Resultado de imagem para whirlpool logo">
          <a:extLst>
            <a:ext uri="{FF2B5EF4-FFF2-40B4-BE49-F238E27FC236}">
              <a16:creationId xmlns:a16="http://schemas.microsoft.com/office/drawing/2014/main" id="{331C618B-3F5F-40A9-A1A2-09F4CA3EBFF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3" name="AutoShape 1" descr="Resultado de imagem para whirlpool logo">
          <a:extLst>
            <a:ext uri="{FF2B5EF4-FFF2-40B4-BE49-F238E27FC236}">
              <a16:creationId xmlns:a16="http://schemas.microsoft.com/office/drawing/2014/main" id="{CF048BEF-8326-4AE9-BDC1-630A4467568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4" name="AutoShape 1" descr="Resultado de imagem para whirlpool logo">
          <a:extLst>
            <a:ext uri="{FF2B5EF4-FFF2-40B4-BE49-F238E27FC236}">
              <a16:creationId xmlns:a16="http://schemas.microsoft.com/office/drawing/2014/main" id="{141A61D8-2BED-4989-B526-CD50D06040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5" name="AutoShape 1" descr="Resultado de imagem para whirlpool logo">
          <a:extLst>
            <a:ext uri="{FF2B5EF4-FFF2-40B4-BE49-F238E27FC236}">
              <a16:creationId xmlns:a16="http://schemas.microsoft.com/office/drawing/2014/main" id="{29B2F921-4738-44E8-A27E-D380985311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6" name="AutoShape 1" descr="Resultado de imagem para whirlpool logo">
          <a:extLst>
            <a:ext uri="{FF2B5EF4-FFF2-40B4-BE49-F238E27FC236}">
              <a16:creationId xmlns:a16="http://schemas.microsoft.com/office/drawing/2014/main" id="{2038AE34-B65B-4CD5-B2E8-B079B07E88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7" name="AutoShape 1" descr="Resultado de imagem para whirlpool logo">
          <a:extLst>
            <a:ext uri="{FF2B5EF4-FFF2-40B4-BE49-F238E27FC236}">
              <a16:creationId xmlns:a16="http://schemas.microsoft.com/office/drawing/2014/main" id="{79EDE214-CCC9-44E5-839B-758D14C90B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8" name="AutoShape 1" descr="Resultado de imagem para whirlpool logo">
          <a:extLst>
            <a:ext uri="{FF2B5EF4-FFF2-40B4-BE49-F238E27FC236}">
              <a16:creationId xmlns:a16="http://schemas.microsoft.com/office/drawing/2014/main" id="{FCA725D1-47A4-42F5-B120-0A0B1002B8D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19" name="AutoShape 1" descr="Resultado de imagem para whirlpool logo">
          <a:extLst>
            <a:ext uri="{FF2B5EF4-FFF2-40B4-BE49-F238E27FC236}">
              <a16:creationId xmlns:a16="http://schemas.microsoft.com/office/drawing/2014/main" id="{34696AB7-851A-4581-8C90-EAC855FE508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0" name="AutoShape 1" descr="Resultado de imagem para whirlpool logo">
          <a:extLst>
            <a:ext uri="{FF2B5EF4-FFF2-40B4-BE49-F238E27FC236}">
              <a16:creationId xmlns:a16="http://schemas.microsoft.com/office/drawing/2014/main" id="{65631DAF-4497-4D87-8741-33008F5353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1" name="AutoShape 1" descr="Resultado de imagem para whirlpool logo">
          <a:extLst>
            <a:ext uri="{FF2B5EF4-FFF2-40B4-BE49-F238E27FC236}">
              <a16:creationId xmlns:a16="http://schemas.microsoft.com/office/drawing/2014/main" id="{7873F93B-F94E-4466-805D-C75B527DE6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2" name="AutoShape 1" descr="Resultado de imagem para whirlpool logo">
          <a:extLst>
            <a:ext uri="{FF2B5EF4-FFF2-40B4-BE49-F238E27FC236}">
              <a16:creationId xmlns:a16="http://schemas.microsoft.com/office/drawing/2014/main" id="{6781D0A9-1211-474E-ADC8-3262156AD5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3" name="AutoShape 1" descr="Resultado de imagem para whirlpool logo">
          <a:extLst>
            <a:ext uri="{FF2B5EF4-FFF2-40B4-BE49-F238E27FC236}">
              <a16:creationId xmlns:a16="http://schemas.microsoft.com/office/drawing/2014/main" id="{E3D73918-0117-482E-966A-53EC6D9B67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4" name="AutoShape 1" descr="Resultado de imagem para whirlpool logo">
          <a:extLst>
            <a:ext uri="{FF2B5EF4-FFF2-40B4-BE49-F238E27FC236}">
              <a16:creationId xmlns:a16="http://schemas.microsoft.com/office/drawing/2014/main" id="{E35EF130-0298-464B-94D1-9ED6388E4E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5" name="AutoShape 1" descr="Resultado de imagem para whirlpool logo">
          <a:extLst>
            <a:ext uri="{FF2B5EF4-FFF2-40B4-BE49-F238E27FC236}">
              <a16:creationId xmlns:a16="http://schemas.microsoft.com/office/drawing/2014/main" id="{9CE7C5BC-3BAA-411B-BA12-62E4F3D6D72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6" name="AutoShape 1" descr="Resultado de imagem para whirlpool logo">
          <a:extLst>
            <a:ext uri="{FF2B5EF4-FFF2-40B4-BE49-F238E27FC236}">
              <a16:creationId xmlns:a16="http://schemas.microsoft.com/office/drawing/2014/main" id="{08186EC3-8DD8-4601-81FE-E116233EA6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7" name="AutoShape 1" descr="Resultado de imagem para whirlpool logo">
          <a:extLst>
            <a:ext uri="{FF2B5EF4-FFF2-40B4-BE49-F238E27FC236}">
              <a16:creationId xmlns:a16="http://schemas.microsoft.com/office/drawing/2014/main" id="{74119282-70AD-44B8-992E-32A63A696C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8" name="AutoShape 1" descr="Resultado de imagem para whirlpool logo">
          <a:extLst>
            <a:ext uri="{FF2B5EF4-FFF2-40B4-BE49-F238E27FC236}">
              <a16:creationId xmlns:a16="http://schemas.microsoft.com/office/drawing/2014/main" id="{F85E8879-4757-438F-9113-927AB02A94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29" name="AutoShape 1" descr="Resultado de imagem para whirlpool logo">
          <a:extLst>
            <a:ext uri="{FF2B5EF4-FFF2-40B4-BE49-F238E27FC236}">
              <a16:creationId xmlns:a16="http://schemas.microsoft.com/office/drawing/2014/main" id="{E3F1A5AD-8BA7-4619-B008-A12BEAB0AF3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0" name="AutoShape 1" descr="Resultado de imagem para whirlpool logo">
          <a:extLst>
            <a:ext uri="{FF2B5EF4-FFF2-40B4-BE49-F238E27FC236}">
              <a16:creationId xmlns:a16="http://schemas.microsoft.com/office/drawing/2014/main" id="{0172A698-2C54-47B4-9C51-D62BD35F48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1" name="AutoShape 1" descr="Resultado de imagem para whirlpool logo">
          <a:extLst>
            <a:ext uri="{FF2B5EF4-FFF2-40B4-BE49-F238E27FC236}">
              <a16:creationId xmlns:a16="http://schemas.microsoft.com/office/drawing/2014/main" id="{442E5A9C-E259-40E8-9516-E1985BA3ADC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2" name="AutoShape 1" descr="Resultado de imagem para whirlpool logo">
          <a:extLst>
            <a:ext uri="{FF2B5EF4-FFF2-40B4-BE49-F238E27FC236}">
              <a16:creationId xmlns:a16="http://schemas.microsoft.com/office/drawing/2014/main" id="{7697AC28-032E-4785-A368-8A93E801EF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3" name="AutoShape 1" descr="Resultado de imagem para whirlpool logo">
          <a:extLst>
            <a:ext uri="{FF2B5EF4-FFF2-40B4-BE49-F238E27FC236}">
              <a16:creationId xmlns:a16="http://schemas.microsoft.com/office/drawing/2014/main" id="{CA3F2C51-E81A-4B7E-840D-02A388DEA8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4" name="AutoShape 1" descr="Resultado de imagem para whirlpool logo">
          <a:extLst>
            <a:ext uri="{FF2B5EF4-FFF2-40B4-BE49-F238E27FC236}">
              <a16:creationId xmlns:a16="http://schemas.microsoft.com/office/drawing/2014/main" id="{1CF6352A-805A-44A7-A10A-C58DCE9758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5" name="AutoShape 1" descr="Resultado de imagem para whirlpool logo">
          <a:extLst>
            <a:ext uri="{FF2B5EF4-FFF2-40B4-BE49-F238E27FC236}">
              <a16:creationId xmlns:a16="http://schemas.microsoft.com/office/drawing/2014/main" id="{365E1126-E0A3-4F5A-9294-33A9F32DF3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6" name="AutoShape 1" descr="Resultado de imagem para whirlpool logo">
          <a:extLst>
            <a:ext uri="{FF2B5EF4-FFF2-40B4-BE49-F238E27FC236}">
              <a16:creationId xmlns:a16="http://schemas.microsoft.com/office/drawing/2014/main" id="{BDE69835-116E-4746-9960-65EE24E56F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7" name="AutoShape 1" descr="Resultado de imagem para whirlpool logo">
          <a:extLst>
            <a:ext uri="{FF2B5EF4-FFF2-40B4-BE49-F238E27FC236}">
              <a16:creationId xmlns:a16="http://schemas.microsoft.com/office/drawing/2014/main" id="{11693EE0-5D65-4E19-BA11-3D14B6CE0D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8" name="AutoShape 1" descr="Resultado de imagem para whirlpool logo">
          <a:extLst>
            <a:ext uri="{FF2B5EF4-FFF2-40B4-BE49-F238E27FC236}">
              <a16:creationId xmlns:a16="http://schemas.microsoft.com/office/drawing/2014/main" id="{576C3186-80DC-4C78-A2BC-5D56535954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39" name="AutoShape 1" descr="Resultado de imagem para whirlpool logo">
          <a:extLst>
            <a:ext uri="{FF2B5EF4-FFF2-40B4-BE49-F238E27FC236}">
              <a16:creationId xmlns:a16="http://schemas.microsoft.com/office/drawing/2014/main" id="{DC2CEB78-2DD8-43AA-B437-BF52ADDA68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340" name="AutoShape 1" descr="Resultado de imagem para whirlpool logo">
          <a:extLst>
            <a:ext uri="{FF2B5EF4-FFF2-40B4-BE49-F238E27FC236}">
              <a16:creationId xmlns:a16="http://schemas.microsoft.com/office/drawing/2014/main" id="{BC6BE2F5-10D7-496A-9C4D-BE69306F0940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1" name="AutoShape 1" descr="Resultado de imagem para whirlpool logo">
          <a:extLst>
            <a:ext uri="{FF2B5EF4-FFF2-40B4-BE49-F238E27FC236}">
              <a16:creationId xmlns:a16="http://schemas.microsoft.com/office/drawing/2014/main" id="{CFCC1E60-E62C-4D8A-A98D-A3F441DC98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2" name="AutoShape 1" descr="Resultado de imagem para whirlpool logo">
          <a:extLst>
            <a:ext uri="{FF2B5EF4-FFF2-40B4-BE49-F238E27FC236}">
              <a16:creationId xmlns:a16="http://schemas.microsoft.com/office/drawing/2014/main" id="{F2D564B5-A051-4A1A-A6CD-321F042FC80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3" name="AutoShape 1" descr="Resultado de imagem para whirlpool logo">
          <a:extLst>
            <a:ext uri="{FF2B5EF4-FFF2-40B4-BE49-F238E27FC236}">
              <a16:creationId xmlns:a16="http://schemas.microsoft.com/office/drawing/2014/main" id="{F64425AD-A179-4887-BF5C-99BA373663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4" name="AutoShape 1" descr="Resultado de imagem para whirlpool logo">
          <a:extLst>
            <a:ext uri="{FF2B5EF4-FFF2-40B4-BE49-F238E27FC236}">
              <a16:creationId xmlns:a16="http://schemas.microsoft.com/office/drawing/2014/main" id="{41D80ECA-84F5-4361-8EA3-7E4A10A8F1E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5" name="AutoShape 1" descr="Resultado de imagem para whirlpool logo">
          <a:extLst>
            <a:ext uri="{FF2B5EF4-FFF2-40B4-BE49-F238E27FC236}">
              <a16:creationId xmlns:a16="http://schemas.microsoft.com/office/drawing/2014/main" id="{582ED918-D270-4AA1-8AE9-030F0BA29E6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6" name="AutoShape 1" descr="Resultado de imagem para whirlpool logo">
          <a:extLst>
            <a:ext uri="{FF2B5EF4-FFF2-40B4-BE49-F238E27FC236}">
              <a16:creationId xmlns:a16="http://schemas.microsoft.com/office/drawing/2014/main" id="{24B58B3A-D8EA-4AC5-B161-EDA1D0E445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7" name="AutoShape 1" descr="Resultado de imagem para whirlpool logo">
          <a:extLst>
            <a:ext uri="{FF2B5EF4-FFF2-40B4-BE49-F238E27FC236}">
              <a16:creationId xmlns:a16="http://schemas.microsoft.com/office/drawing/2014/main" id="{39964AAB-9610-4F30-8893-F1DB7064D51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8" name="AutoShape 1" descr="Resultado de imagem para whirlpool logo">
          <a:extLst>
            <a:ext uri="{FF2B5EF4-FFF2-40B4-BE49-F238E27FC236}">
              <a16:creationId xmlns:a16="http://schemas.microsoft.com/office/drawing/2014/main" id="{6D9059DE-C2F6-4EF7-9AE8-6A6C2D4F5B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49" name="AutoShape 1" descr="Resultado de imagem para whirlpool logo">
          <a:extLst>
            <a:ext uri="{FF2B5EF4-FFF2-40B4-BE49-F238E27FC236}">
              <a16:creationId xmlns:a16="http://schemas.microsoft.com/office/drawing/2014/main" id="{CE19DA5F-6749-4AE8-B3FA-E02A60831AC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0" name="AutoShape 1" descr="Resultado de imagem para whirlpool logo">
          <a:extLst>
            <a:ext uri="{FF2B5EF4-FFF2-40B4-BE49-F238E27FC236}">
              <a16:creationId xmlns:a16="http://schemas.microsoft.com/office/drawing/2014/main" id="{C8A8DFDD-1D03-45E6-9CD1-55E587A8FBF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1" name="AutoShape 1" descr="Resultado de imagem para whirlpool logo">
          <a:extLst>
            <a:ext uri="{FF2B5EF4-FFF2-40B4-BE49-F238E27FC236}">
              <a16:creationId xmlns:a16="http://schemas.microsoft.com/office/drawing/2014/main" id="{9C317915-D124-461A-A95D-D9716C52B5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2" name="AutoShape 1" descr="Resultado de imagem para whirlpool logo">
          <a:extLst>
            <a:ext uri="{FF2B5EF4-FFF2-40B4-BE49-F238E27FC236}">
              <a16:creationId xmlns:a16="http://schemas.microsoft.com/office/drawing/2014/main" id="{7E1AC71E-076D-4BF6-BC76-37737B0A7A8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3" name="AutoShape 1" descr="Resultado de imagem para whirlpool logo">
          <a:extLst>
            <a:ext uri="{FF2B5EF4-FFF2-40B4-BE49-F238E27FC236}">
              <a16:creationId xmlns:a16="http://schemas.microsoft.com/office/drawing/2014/main" id="{A75F2CE2-85C0-4359-8728-C7493EF9D5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4" name="AutoShape 1" descr="Resultado de imagem para whirlpool logo">
          <a:extLst>
            <a:ext uri="{FF2B5EF4-FFF2-40B4-BE49-F238E27FC236}">
              <a16:creationId xmlns:a16="http://schemas.microsoft.com/office/drawing/2014/main" id="{03C7E69D-B499-4D06-96A1-7435243F73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5" name="AutoShape 1" descr="Resultado de imagem para whirlpool logo">
          <a:extLst>
            <a:ext uri="{FF2B5EF4-FFF2-40B4-BE49-F238E27FC236}">
              <a16:creationId xmlns:a16="http://schemas.microsoft.com/office/drawing/2014/main" id="{D2D950F2-FD92-4DFE-AC2F-BF6DC2AC7B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6" name="AutoShape 1" descr="Resultado de imagem para whirlpool logo">
          <a:extLst>
            <a:ext uri="{FF2B5EF4-FFF2-40B4-BE49-F238E27FC236}">
              <a16:creationId xmlns:a16="http://schemas.microsoft.com/office/drawing/2014/main" id="{94E1B9AB-F372-4402-BC66-D50F2E3BE1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7" name="AutoShape 1" descr="Resultado de imagem para whirlpool logo">
          <a:extLst>
            <a:ext uri="{FF2B5EF4-FFF2-40B4-BE49-F238E27FC236}">
              <a16:creationId xmlns:a16="http://schemas.microsoft.com/office/drawing/2014/main" id="{45939606-FB0E-4C17-AFE8-CA32C6C59F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8" name="AutoShape 1" descr="Resultado de imagem para whirlpool logo">
          <a:extLst>
            <a:ext uri="{FF2B5EF4-FFF2-40B4-BE49-F238E27FC236}">
              <a16:creationId xmlns:a16="http://schemas.microsoft.com/office/drawing/2014/main" id="{958A91F2-977C-4314-8F87-E6E60A9D56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59" name="AutoShape 1" descr="Resultado de imagem para whirlpool logo">
          <a:extLst>
            <a:ext uri="{FF2B5EF4-FFF2-40B4-BE49-F238E27FC236}">
              <a16:creationId xmlns:a16="http://schemas.microsoft.com/office/drawing/2014/main" id="{59954A6F-3771-4422-AD6F-236AF9927F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0" name="AutoShape 1" descr="Resultado de imagem para whirlpool logo">
          <a:extLst>
            <a:ext uri="{FF2B5EF4-FFF2-40B4-BE49-F238E27FC236}">
              <a16:creationId xmlns:a16="http://schemas.microsoft.com/office/drawing/2014/main" id="{D224A14A-2CAE-48B3-838B-792FF0E29F5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1" name="AutoShape 1" descr="Resultado de imagem para whirlpool logo">
          <a:extLst>
            <a:ext uri="{FF2B5EF4-FFF2-40B4-BE49-F238E27FC236}">
              <a16:creationId xmlns:a16="http://schemas.microsoft.com/office/drawing/2014/main" id="{15D9CA1C-6F0A-441A-A110-81E95516356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2" name="AutoShape 1" descr="Resultado de imagem para whirlpool logo">
          <a:extLst>
            <a:ext uri="{FF2B5EF4-FFF2-40B4-BE49-F238E27FC236}">
              <a16:creationId xmlns:a16="http://schemas.microsoft.com/office/drawing/2014/main" id="{1CFA4631-D79D-4116-B6CC-A9DD4F9664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3" name="AutoShape 1" descr="Resultado de imagem para whirlpool logo">
          <a:extLst>
            <a:ext uri="{FF2B5EF4-FFF2-40B4-BE49-F238E27FC236}">
              <a16:creationId xmlns:a16="http://schemas.microsoft.com/office/drawing/2014/main" id="{4A6B6CE4-6C71-45B4-A135-1931467F3F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4" name="AutoShape 1" descr="Resultado de imagem para whirlpool logo">
          <a:extLst>
            <a:ext uri="{FF2B5EF4-FFF2-40B4-BE49-F238E27FC236}">
              <a16:creationId xmlns:a16="http://schemas.microsoft.com/office/drawing/2014/main" id="{2CB564D6-0585-4FE7-A1D4-C584FC0605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5" name="AutoShape 1" descr="Resultado de imagem para whirlpool logo">
          <a:extLst>
            <a:ext uri="{FF2B5EF4-FFF2-40B4-BE49-F238E27FC236}">
              <a16:creationId xmlns:a16="http://schemas.microsoft.com/office/drawing/2014/main" id="{785E0C0A-74A3-4DA6-9A87-5F53940825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6" name="AutoShape 1" descr="Resultado de imagem para whirlpool logo">
          <a:extLst>
            <a:ext uri="{FF2B5EF4-FFF2-40B4-BE49-F238E27FC236}">
              <a16:creationId xmlns:a16="http://schemas.microsoft.com/office/drawing/2014/main" id="{EAA28AD7-44EC-43BF-8521-64D3035349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7" name="AutoShape 1" descr="Resultado de imagem para whirlpool logo">
          <a:extLst>
            <a:ext uri="{FF2B5EF4-FFF2-40B4-BE49-F238E27FC236}">
              <a16:creationId xmlns:a16="http://schemas.microsoft.com/office/drawing/2014/main" id="{920990A9-55C2-46C8-BA49-E7BA81B1E3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8" name="AutoShape 1" descr="Resultado de imagem para whirlpool logo">
          <a:extLst>
            <a:ext uri="{FF2B5EF4-FFF2-40B4-BE49-F238E27FC236}">
              <a16:creationId xmlns:a16="http://schemas.microsoft.com/office/drawing/2014/main" id="{2E1D10A2-2212-42C2-980C-BD0237BEB6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69" name="AutoShape 1" descr="Resultado de imagem para whirlpool logo">
          <a:extLst>
            <a:ext uri="{FF2B5EF4-FFF2-40B4-BE49-F238E27FC236}">
              <a16:creationId xmlns:a16="http://schemas.microsoft.com/office/drawing/2014/main" id="{079A25C2-735A-44F7-A691-C788D821E8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0" name="AutoShape 1" descr="Resultado de imagem para whirlpool logo">
          <a:extLst>
            <a:ext uri="{FF2B5EF4-FFF2-40B4-BE49-F238E27FC236}">
              <a16:creationId xmlns:a16="http://schemas.microsoft.com/office/drawing/2014/main" id="{47CA5814-D06D-4E89-AC54-64519FD896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1" name="AutoShape 1" descr="Resultado de imagem para whirlpool logo">
          <a:extLst>
            <a:ext uri="{FF2B5EF4-FFF2-40B4-BE49-F238E27FC236}">
              <a16:creationId xmlns:a16="http://schemas.microsoft.com/office/drawing/2014/main" id="{7F589FF3-EDE5-49C6-8F37-DC77146AE3A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2" name="AutoShape 1" descr="Resultado de imagem para whirlpool logo">
          <a:extLst>
            <a:ext uri="{FF2B5EF4-FFF2-40B4-BE49-F238E27FC236}">
              <a16:creationId xmlns:a16="http://schemas.microsoft.com/office/drawing/2014/main" id="{44E45CDD-432C-4077-B556-65015AC381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3" name="AutoShape 1" descr="Resultado de imagem para whirlpool logo">
          <a:extLst>
            <a:ext uri="{FF2B5EF4-FFF2-40B4-BE49-F238E27FC236}">
              <a16:creationId xmlns:a16="http://schemas.microsoft.com/office/drawing/2014/main" id="{28BBBF8E-90B8-4B4A-BB80-E3D167A646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4" name="AutoShape 1" descr="Resultado de imagem para whirlpool logo">
          <a:extLst>
            <a:ext uri="{FF2B5EF4-FFF2-40B4-BE49-F238E27FC236}">
              <a16:creationId xmlns:a16="http://schemas.microsoft.com/office/drawing/2014/main" id="{72EED131-ACE6-4DFD-A832-08F248D2BE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5" name="AutoShape 1" descr="Resultado de imagem para whirlpool logo">
          <a:extLst>
            <a:ext uri="{FF2B5EF4-FFF2-40B4-BE49-F238E27FC236}">
              <a16:creationId xmlns:a16="http://schemas.microsoft.com/office/drawing/2014/main" id="{0A18F99E-0399-4898-856F-4DC46FB0E5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6" name="AutoShape 1" descr="Resultado de imagem para whirlpool logo">
          <a:extLst>
            <a:ext uri="{FF2B5EF4-FFF2-40B4-BE49-F238E27FC236}">
              <a16:creationId xmlns:a16="http://schemas.microsoft.com/office/drawing/2014/main" id="{75F4962E-2521-45E4-B07C-01AE7E4936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7" name="AutoShape 1" descr="Resultado de imagem para whirlpool logo">
          <a:extLst>
            <a:ext uri="{FF2B5EF4-FFF2-40B4-BE49-F238E27FC236}">
              <a16:creationId xmlns:a16="http://schemas.microsoft.com/office/drawing/2014/main" id="{BE6B27FC-AA1A-478E-B531-0F4BAF5027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8" name="AutoShape 1" descr="Resultado de imagem para whirlpool logo">
          <a:extLst>
            <a:ext uri="{FF2B5EF4-FFF2-40B4-BE49-F238E27FC236}">
              <a16:creationId xmlns:a16="http://schemas.microsoft.com/office/drawing/2014/main" id="{2B7B071A-4406-4D2C-8207-5B3D7B5DD1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79" name="AutoShape 1" descr="Resultado de imagem para whirlpool logo">
          <a:extLst>
            <a:ext uri="{FF2B5EF4-FFF2-40B4-BE49-F238E27FC236}">
              <a16:creationId xmlns:a16="http://schemas.microsoft.com/office/drawing/2014/main" id="{02DBE7E3-2915-4EC3-9B8F-D0EE1BF6C3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0" name="AutoShape 1" descr="Resultado de imagem para whirlpool logo">
          <a:extLst>
            <a:ext uri="{FF2B5EF4-FFF2-40B4-BE49-F238E27FC236}">
              <a16:creationId xmlns:a16="http://schemas.microsoft.com/office/drawing/2014/main" id="{95F350A7-EC4D-4CAB-8D95-F03EDD042F3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1" name="AutoShape 1" descr="Resultado de imagem para whirlpool logo">
          <a:extLst>
            <a:ext uri="{FF2B5EF4-FFF2-40B4-BE49-F238E27FC236}">
              <a16:creationId xmlns:a16="http://schemas.microsoft.com/office/drawing/2014/main" id="{5D7BD5AE-4CBF-42E7-9981-D1E32E4EB3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2" name="AutoShape 1" descr="Resultado de imagem para whirlpool logo">
          <a:extLst>
            <a:ext uri="{FF2B5EF4-FFF2-40B4-BE49-F238E27FC236}">
              <a16:creationId xmlns:a16="http://schemas.microsoft.com/office/drawing/2014/main" id="{94BB8932-C9A8-4D3C-BEC8-E4969065440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3" name="AutoShape 1" descr="Resultado de imagem para whirlpool logo">
          <a:extLst>
            <a:ext uri="{FF2B5EF4-FFF2-40B4-BE49-F238E27FC236}">
              <a16:creationId xmlns:a16="http://schemas.microsoft.com/office/drawing/2014/main" id="{384F5EB2-F461-4C95-9BC5-8F06766F5D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4" name="AutoShape 1" descr="Resultado de imagem para whirlpool logo">
          <a:extLst>
            <a:ext uri="{FF2B5EF4-FFF2-40B4-BE49-F238E27FC236}">
              <a16:creationId xmlns:a16="http://schemas.microsoft.com/office/drawing/2014/main" id="{1FA797F5-FDAF-4E36-9D91-6620EEEB11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5" name="AutoShape 1" descr="Resultado de imagem para whirlpool logo">
          <a:extLst>
            <a:ext uri="{FF2B5EF4-FFF2-40B4-BE49-F238E27FC236}">
              <a16:creationId xmlns:a16="http://schemas.microsoft.com/office/drawing/2014/main" id="{32B9C6AB-C3F5-48D1-AB52-31B3C832C8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6" name="AutoShape 1" descr="Resultado de imagem para whirlpool logo">
          <a:extLst>
            <a:ext uri="{FF2B5EF4-FFF2-40B4-BE49-F238E27FC236}">
              <a16:creationId xmlns:a16="http://schemas.microsoft.com/office/drawing/2014/main" id="{D783993A-9A19-43D6-8635-3026BC971C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7" name="AutoShape 1" descr="Resultado de imagem para whirlpool logo">
          <a:extLst>
            <a:ext uri="{FF2B5EF4-FFF2-40B4-BE49-F238E27FC236}">
              <a16:creationId xmlns:a16="http://schemas.microsoft.com/office/drawing/2014/main" id="{0FCB5F1C-964A-4B81-A19B-1F23025A6A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8" name="AutoShape 1" descr="Resultado de imagem para whirlpool logo">
          <a:extLst>
            <a:ext uri="{FF2B5EF4-FFF2-40B4-BE49-F238E27FC236}">
              <a16:creationId xmlns:a16="http://schemas.microsoft.com/office/drawing/2014/main" id="{0D498A07-4FA5-47F0-8E2B-5F5EB47039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89" name="AutoShape 1" descr="Resultado de imagem para whirlpool logo">
          <a:extLst>
            <a:ext uri="{FF2B5EF4-FFF2-40B4-BE49-F238E27FC236}">
              <a16:creationId xmlns:a16="http://schemas.microsoft.com/office/drawing/2014/main" id="{09B2D982-3BD1-4066-AE5C-9D7311650A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0" name="AutoShape 1" descr="Resultado de imagem para whirlpool logo">
          <a:extLst>
            <a:ext uri="{FF2B5EF4-FFF2-40B4-BE49-F238E27FC236}">
              <a16:creationId xmlns:a16="http://schemas.microsoft.com/office/drawing/2014/main" id="{0CA5F41B-AB7B-49CD-A2D9-489CDCB496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1" name="AutoShape 1" descr="Resultado de imagem para whirlpool logo">
          <a:extLst>
            <a:ext uri="{FF2B5EF4-FFF2-40B4-BE49-F238E27FC236}">
              <a16:creationId xmlns:a16="http://schemas.microsoft.com/office/drawing/2014/main" id="{49E5D84F-66C9-4F1F-A26E-60C5E78F2C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2" name="AutoShape 1" descr="Resultado de imagem para whirlpool logo">
          <a:extLst>
            <a:ext uri="{FF2B5EF4-FFF2-40B4-BE49-F238E27FC236}">
              <a16:creationId xmlns:a16="http://schemas.microsoft.com/office/drawing/2014/main" id="{6AA1CCFE-AECF-4BB4-BF8D-43D264C38D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3" name="AutoShape 1" descr="Resultado de imagem para whirlpool logo">
          <a:extLst>
            <a:ext uri="{FF2B5EF4-FFF2-40B4-BE49-F238E27FC236}">
              <a16:creationId xmlns:a16="http://schemas.microsoft.com/office/drawing/2014/main" id="{16FE5F60-B78A-40E5-BB5D-778636081E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4" name="AutoShape 1" descr="Resultado de imagem para whirlpool logo">
          <a:extLst>
            <a:ext uri="{FF2B5EF4-FFF2-40B4-BE49-F238E27FC236}">
              <a16:creationId xmlns:a16="http://schemas.microsoft.com/office/drawing/2014/main" id="{3214986F-5EB3-4759-AAC3-1EF94CA0168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5" name="AutoShape 1" descr="Resultado de imagem para whirlpool logo">
          <a:extLst>
            <a:ext uri="{FF2B5EF4-FFF2-40B4-BE49-F238E27FC236}">
              <a16:creationId xmlns:a16="http://schemas.microsoft.com/office/drawing/2014/main" id="{07E0F15F-9945-4A3B-BEE0-1F6070E1E46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6" name="AutoShape 1" descr="Resultado de imagem para whirlpool logo">
          <a:extLst>
            <a:ext uri="{FF2B5EF4-FFF2-40B4-BE49-F238E27FC236}">
              <a16:creationId xmlns:a16="http://schemas.microsoft.com/office/drawing/2014/main" id="{E54B4C39-E75A-4C6C-9D5B-7A768E050C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7" name="AutoShape 1" descr="Resultado de imagem para whirlpool logo">
          <a:extLst>
            <a:ext uri="{FF2B5EF4-FFF2-40B4-BE49-F238E27FC236}">
              <a16:creationId xmlns:a16="http://schemas.microsoft.com/office/drawing/2014/main" id="{67A8A48E-0295-4FB2-BEC0-A06EDF3911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8" name="AutoShape 1" descr="Resultado de imagem para whirlpool logo">
          <a:extLst>
            <a:ext uri="{FF2B5EF4-FFF2-40B4-BE49-F238E27FC236}">
              <a16:creationId xmlns:a16="http://schemas.microsoft.com/office/drawing/2014/main" id="{99F498B8-4B71-45AA-BC38-2F01A30E3D8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399" name="AutoShape 1" descr="Resultado de imagem para whirlpool logo">
          <a:extLst>
            <a:ext uri="{FF2B5EF4-FFF2-40B4-BE49-F238E27FC236}">
              <a16:creationId xmlns:a16="http://schemas.microsoft.com/office/drawing/2014/main" id="{C6397C00-33E3-443C-8326-B6BFD49401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0" name="AutoShape 1" descr="Resultado de imagem para whirlpool logo">
          <a:extLst>
            <a:ext uri="{FF2B5EF4-FFF2-40B4-BE49-F238E27FC236}">
              <a16:creationId xmlns:a16="http://schemas.microsoft.com/office/drawing/2014/main" id="{665FA8EF-B7EA-4257-924E-0BAA8B8924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1" name="AutoShape 1" descr="Resultado de imagem para whirlpool logo">
          <a:extLst>
            <a:ext uri="{FF2B5EF4-FFF2-40B4-BE49-F238E27FC236}">
              <a16:creationId xmlns:a16="http://schemas.microsoft.com/office/drawing/2014/main" id="{38070C92-C51A-4BE7-9F33-52D796FAC1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2" name="AutoShape 1" descr="Resultado de imagem para whirlpool logo">
          <a:extLst>
            <a:ext uri="{FF2B5EF4-FFF2-40B4-BE49-F238E27FC236}">
              <a16:creationId xmlns:a16="http://schemas.microsoft.com/office/drawing/2014/main" id="{ECF9168D-020C-49E6-85F1-FDA9397B528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3" name="AutoShape 1" descr="Resultado de imagem para whirlpool logo">
          <a:extLst>
            <a:ext uri="{FF2B5EF4-FFF2-40B4-BE49-F238E27FC236}">
              <a16:creationId xmlns:a16="http://schemas.microsoft.com/office/drawing/2014/main" id="{4B3B6C74-0D09-4BFA-BA2D-D9AB2D0762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4" name="AutoShape 1" descr="Resultado de imagem para whirlpool logo">
          <a:extLst>
            <a:ext uri="{FF2B5EF4-FFF2-40B4-BE49-F238E27FC236}">
              <a16:creationId xmlns:a16="http://schemas.microsoft.com/office/drawing/2014/main" id="{1CD11186-88A2-4371-A670-90C6F6B546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5" name="AutoShape 1" descr="Resultado de imagem para whirlpool logo">
          <a:extLst>
            <a:ext uri="{FF2B5EF4-FFF2-40B4-BE49-F238E27FC236}">
              <a16:creationId xmlns:a16="http://schemas.microsoft.com/office/drawing/2014/main" id="{15D65EAC-D560-40F8-BA9F-B512FFA7EE9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6" name="AutoShape 1" descr="Resultado de imagem para whirlpool logo">
          <a:extLst>
            <a:ext uri="{FF2B5EF4-FFF2-40B4-BE49-F238E27FC236}">
              <a16:creationId xmlns:a16="http://schemas.microsoft.com/office/drawing/2014/main" id="{5C013456-98C9-4164-88F1-3D9CB6D173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7" name="AutoShape 1" descr="Resultado de imagem para whirlpool logo">
          <a:extLst>
            <a:ext uri="{FF2B5EF4-FFF2-40B4-BE49-F238E27FC236}">
              <a16:creationId xmlns:a16="http://schemas.microsoft.com/office/drawing/2014/main" id="{9530F041-1F54-40B7-A358-21C639FCD1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8" name="AutoShape 1" descr="Resultado de imagem para whirlpool logo">
          <a:extLst>
            <a:ext uri="{FF2B5EF4-FFF2-40B4-BE49-F238E27FC236}">
              <a16:creationId xmlns:a16="http://schemas.microsoft.com/office/drawing/2014/main" id="{E141D4E1-9787-4054-B858-0CAC012F62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09" name="AutoShape 1" descr="Resultado de imagem para whirlpool logo">
          <a:extLst>
            <a:ext uri="{FF2B5EF4-FFF2-40B4-BE49-F238E27FC236}">
              <a16:creationId xmlns:a16="http://schemas.microsoft.com/office/drawing/2014/main" id="{7CEEFB36-6CB7-4300-B52B-51F15632253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0" name="AutoShape 1" descr="Resultado de imagem para whirlpool logo">
          <a:extLst>
            <a:ext uri="{FF2B5EF4-FFF2-40B4-BE49-F238E27FC236}">
              <a16:creationId xmlns:a16="http://schemas.microsoft.com/office/drawing/2014/main" id="{BCC12E79-D989-4CD4-8959-9DDECF222B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1" name="AutoShape 1" descr="Resultado de imagem para whirlpool logo">
          <a:extLst>
            <a:ext uri="{FF2B5EF4-FFF2-40B4-BE49-F238E27FC236}">
              <a16:creationId xmlns:a16="http://schemas.microsoft.com/office/drawing/2014/main" id="{69860D10-457A-4AE9-919A-8DF48945CD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2" name="AutoShape 1" descr="Resultado de imagem para whirlpool logo">
          <a:extLst>
            <a:ext uri="{FF2B5EF4-FFF2-40B4-BE49-F238E27FC236}">
              <a16:creationId xmlns:a16="http://schemas.microsoft.com/office/drawing/2014/main" id="{9AE959D4-2C46-4FFA-89E5-F9D0EAF42A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413" name="AutoShape 1" descr="Resultado de imagem para whirlpool logo">
          <a:extLst>
            <a:ext uri="{FF2B5EF4-FFF2-40B4-BE49-F238E27FC236}">
              <a16:creationId xmlns:a16="http://schemas.microsoft.com/office/drawing/2014/main" id="{0E4C4E3F-5F0A-48D6-8E38-58B0A067AB1A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4" name="AutoShape 1" descr="Resultado de imagem para whirlpool logo">
          <a:extLst>
            <a:ext uri="{FF2B5EF4-FFF2-40B4-BE49-F238E27FC236}">
              <a16:creationId xmlns:a16="http://schemas.microsoft.com/office/drawing/2014/main" id="{55B09B53-E901-44EF-BFAC-B04AEE1E3F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5" name="AutoShape 1" descr="Resultado de imagem para whirlpool logo">
          <a:extLst>
            <a:ext uri="{FF2B5EF4-FFF2-40B4-BE49-F238E27FC236}">
              <a16:creationId xmlns:a16="http://schemas.microsoft.com/office/drawing/2014/main" id="{213C0816-A47E-48B5-83B1-8B19E4CAF0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6" name="AutoShape 1" descr="Resultado de imagem para whirlpool logo">
          <a:extLst>
            <a:ext uri="{FF2B5EF4-FFF2-40B4-BE49-F238E27FC236}">
              <a16:creationId xmlns:a16="http://schemas.microsoft.com/office/drawing/2014/main" id="{31DC34B7-4FC2-4CBA-BE31-A34FBF682CE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7" name="AutoShape 1" descr="Resultado de imagem para whirlpool logo">
          <a:extLst>
            <a:ext uri="{FF2B5EF4-FFF2-40B4-BE49-F238E27FC236}">
              <a16:creationId xmlns:a16="http://schemas.microsoft.com/office/drawing/2014/main" id="{EC14A6CF-0720-4474-B876-F98C1899AF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8" name="AutoShape 1" descr="Resultado de imagem para whirlpool logo">
          <a:extLst>
            <a:ext uri="{FF2B5EF4-FFF2-40B4-BE49-F238E27FC236}">
              <a16:creationId xmlns:a16="http://schemas.microsoft.com/office/drawing/2014/main" id="{0CA8525B-B127-4B04-A935-A9FD39B857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19" name="AutoShape 1" descr="Resultado de imagem para whirlpool logo">
          <a:extLst>
            <a:ext uri="{FF2B5EF4-FFF2-40B4-BE49-F238E27FC236}">
              <a16:creationId xmlns:a16="http://schemas.microsoft.com/office/drawing/2014/main" id="{A3AB7DEC-5B32-477B-82BC-67F99CCA2A3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0" name="AutoShape 1" descr="Resultado de imagem para whirlpool logo">
          <a:extLst>
            <a:ext uri="{FF2B5EF4-FFF2-40B4-BE49-F238E27FC236}">
              <a16:creationId xmlns:a16="http://schemas.microsoft.com/office/drawing/2014/main" id="{E4B51B03-00FA-45C3-9858-061CFCEB8BA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1" name="AutoShape 1" descr="Resultado de imagem para whirlpool logo">
          <a:extLst>
            <a:ext uri="{FF2B5EF4-FFF2-40B4-BE49-F238E27FC236}">
              <a16:creationId xmlns:a16="http://schemas.microsoft.com/office/drawing/2014/main" id="{A963B58A-C59B-4A63-9DA3-201BB0FD6A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2" name="AutoShape 1" descr="Resultado de imagem para whirlpool logo">
          <a:extLst>
            <a:ext uri="{FF2B5EF4-FFF2-40B4-BE49-F238E27FC236}">
              <a16:creationId xmlns:a16="http://schemas.microsoft.com/office/drawing/2014/main" id="{9A9128BC-4365-4306-8026-F26B221039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3" name="AutoShape 1" descr="Resultado de imagem para whirlpool logo">
          <a:extLst>
            <a:ext uri="{FF2B5EF4-FFF2-40B4-BE49-F238E27FC236}">
              <a16:creationId xmlns:a16="http://schemas.microsoft.com/office/drawing/2014/main" id="{76BD596B-F06B-409B-A731-AC4F0DA9F1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4" name="AutoShape 1" descr="Resultado de imagem para whirlpool logo">
          <a:extLst>
            <a:ext uri="{FF2B5EF4-FFF2-40B4-BE49-F238E27FC236}">
              <a16:creationId xmlns:a16="http://schemas.microsoft.com/office/drawing/2014/main" id="{55486A3F-D10D-40A4-B363-B025A2E80B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5" name="AutoShape 1" descr="Resultado de imagem para whirlpool logo">
          <a:extLst>
            <a:ext uri="{FF2B5EF4-FFF2-40B4-BE49-F238E27FC236}">
              <a16:creationId xmlns:a16="http://schemas.microsoft.com/office/drawing/2014/main" id="{F8000AE0-3DD1-4FE5-BDBA-433922CF124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6" name="AutoShape 1" descr="Resultado de imagem para whirlpool logo">
          <a:extLst>
            <a:ext uri="{FF2B5EF4-FFF2-40B4-BE49-F238E27FC236}">
              <a16:creationId xmlns:a16="http://schemas.microsoft.com/office/drawing/2014/main" id="{E1E1B492-69BE-4D37-9404-263F88138F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7" name="AutoShape 1" descr="Resultado de imagem para whirlpool logo">
          <a:extLst>
            <a:ext uri="{FF2B5EF4-FFF2-40B4-BE49-F238E27FC236}">
              <a16:creationId xmlns:a16="http://schemas.microsoft.com/office/drawing/2014/main" id="{EA02005A-EEC7-4906-A26A-D19392DFF4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8" name="AutoShape 1" descr="Resultado de imagem para whirlpool logo">
          <a:extLst>
            <a:ext uri="{FF2B5EF4-FFF2-40B4-BE49-F238E27FC236}">
              <a16:creationId xmlns:a16="http://schemas.microsoft.com/office/drawing/2014/main" id="{6E79E633-56BC-4D14-A610-F9473C849F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29" name="AutoShape 1" descr="Resultado de imagem para whirlpool logo">
          <a:extLst>
            <a:ext uri="{FF2B5EF4-FFF2-40B4-BE49-F238E27FC236}">
              <a16:creationId xmlns:a16="http://schemas.microsoft.com/office/drawing/2014/main" id="{9323F9E7-233D-4B27-BE22-9C6D143DF39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0" name="AutoShape 1" descr="Resultado de imagem para whirlpool logo">
          <a:extLst>
            <a:ext uri="{FF2B5EF4-FFF2-40B4-BE49-F238E27FC236}">
              <a16:creationId xmlns:a16="http://schemas.microsoft.com/office/drawing/2014/main" id="{DE043226-F5A2-4E74-B9E1-FAD07CED62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1" name="AutoShape 1" descr="Resultado de imagem para whirlpool logo">
          <a:extLst>
            <a:ext uri="{FF2B5EF4-FFF2-40B4-BE49-F238E27FC236}">
              <a16:creationId xmlns:a16="http://schemas.microsoft.com/office/drawing/2014/main" id="{CFF95A32-B539-40B4-B4C3-8CA3D65D4E7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2" name="AutoShape 1" descr="Resultado de imagem para whirlpool logo">
          <a:extLst>
            <a:ext uri="{FF2B5EF4-FFF2-40B4-BE49-F238E27FC236}">
              <a16:creationId xmlns:a16="http://schemas.microsoft.com/office/drawing/2014/main" id="{BB5B24DC-1CAF-41CF-9D22-80C9412E87D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3" name="AutoShape 1" descr="Resultado de imagem para whirlpool logo">
          <a:extLst>
            <a:ext uri="{FF2B5EF4-FFF2-40B4-BE49-F238E27FC236}">
              <a16:creationId xmlns:a16="http://schemas.microsoft.com/office/drawing/2014/main" id="{1C28D30E-D64B-4B82-B0B7-745F7F6A01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4" name="AutoShape 1" descr="Resultado de imagem para whirlpool logo">
          <a:extLst>
            <a:ext uri="{FF2B5EF4-FFF2-40B4-BE49-F238E27FC236}">
              <a16:creationId xmlns:a16="http://schemas.microsoft.com/office/drawing/2014/main" id="{12201C5D-4572-4878-A91D-AA617068067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5" name="AutoShape 1" descr="Resultado de imagem para whirlpool logo">
          <a:extLst>
            <a:ext uri="{FF2B5EF4-FFF2-40B4-BE49-F238E27FC236}">
              <a16:creationId xmlns:a16="http://schemas.microsoft.com/office/drawing/2014/main" id="{66D9F807-9437-43A9-9FEA-45E549CF24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6" name="AutoShape 1" descr="Resultado de imagem para whirlpool logo">
          <a:extLst>
            <a:ext uri="{FF2B5EF4-FFF2-40B4-BE49-F238E27FC236}">
              <a16:creationId xmlns:a16="http://schemas.microsoft.com/office/drawing/2014/main" id="{750AE624-5F3F-4D19-BDB9-FA8414C7920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7" name="AutoShape 1" descr="Resultado de imagem para whirlpool logo">
          <a:extLst>
            <a:ext uri="{FF2B5EF4-FFF2-40B4-BE49-F238E27FC236}">
              <a16:creationId xmlns:a16="http://schemas.microsoft.com/office/drawing/2014/main" id="{A50825E9-CD6E-4ABF-BBD0-B38E12254C6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8" name="AutoShape 1" descr="Resultado de imagem para whirlpool logo">
          <a:extLst>
            <a:ext uri="{FF2B5EF4-FFF2-40B4-BE49-F238E27FC236}">
              <a16:creationId xmlns:a16="http://schemas.microsoft.com/office/drawing/2014/main" id="{81332FEE-585C-491D-AD6C-53C15EBD2E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39" name="AutoShape 1" descr="Resultado de imagem para whirlpool logo">
          <a:extLst>
            <a:ext uri="{FF2B5EF4-FFF2-40B4-BE49-F238E27FC236}">
              <a16:creationId xmlns:a16="http://schemas.microsoft.com/office/drawing/2014/main" id="{EB1065AD-FB99-4A6A-AB3A-05DE4A994B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0" name="AutoShape 1" descr="Resultado de imagem para whirlpool logo">
          <a:extLst>
            <a:ext uri="{FF2B5EF4-FFF2-40B4-BE49-F238E27FC236}">
              <a16:creationId xmlns:a16="http://schemas.microsoft.com/office/drawing/2014/main" id="{E32EADCA-1AEB-4B09-857F-060D397655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1" name="AutoShape 1" descr="Resultado de imagem para whirlpool logo">
          <a:extLst>
            <a:ext uri="{FF2B5EF4-FFF2-40B4-BE49-F238E27FC236}">
              <a16:creationId xmlns:a16="http://schemas.microsoft.com/office/drawing/2014/main" id="{84FECE88-7AF1-42FC-9839-4322DBA70D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2" name="AutoShape 1" descr="Resultado de imagem para whirlpool logo">
          <a:extLst>
            <a:ext uri="{FF2B5EF4-FFF2-40B4-BE49-F238E27FC236}">
              <a16:creationId xmlns:a16="http://schemas.microsoft.com/office/drawing/2014/main" id="{A9087C73-F7D5-4117-8BBF-1409410B9D1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3" name="AutoShape 1" descr="Resultado de imagem para whirlpool logo">
          <a:extLst>
            <a:ext uri="{FF2B5EF4-FFF2-40B4-BE49-F238E27FC236}">
              <a16:creationId xmlns:a16="http://schemas.microsoft.com/office/drawing/2014/main" id="{2F0B1906-37A9-4133-944F-A4154A9CDC0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4" name="AutoShape 1" descr="Resultado de imagem para whirlpool logo">
          <a:extLst>
            <a:ext uri="{FF2B5EF4-FFF2-40B4-BE49-F238E27FC236}">
              <a16:creationId xmlns:a16="http://schemas.microsoft.com/office/drawing/2014/main" id="{F8B0EFAB-FCB5-4F55-B7AB-4F43EABD93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5" name="AutoShape 1" descr="Resultado de imagem para whirlpool logo">
          <a:extLst>
            <a:ext uri="{FF2B5EF4-FFF2-40B4-BE49-F238E27FC236}">
              <a16:creationId xmlns:a16="http://schemas.microsoft.com/office/drawing/2014/main" id="{6584ACB1-4906-4593-877A-E416A075DE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6" name="AutoShape 1" descr="Resultado de imagem para whirlpool logo">
          <a:extLst>
            <a:ext uri="{FF2B5EF4-FFF2-40B4-BE49-F238E27FC236}">
              <a16:creationId xmlns:a16="http://schemas.microsoft.com/office/drawing/2014/main" id="{E6A14F13-9FD3-425E-8CD4-16FC97B36D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7" name="AutoShape 1" descr="Resultado de imagem para whirlpool logo">
          <a:extLst>
            <a:ext uri="{FF2B5EF4-FFF2-40B4-BE49-F238E27FC236}">
              <a16:creationId xmlns:a16="http://schemas.microsoft.com/office/drawing/2014/main" id="{7A26F39C-BEE6-4CB5-A634-A8FA6F69D12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8" name="AutoShape 1" descr="Resultado de imagem para whirlpool logo">
          <a:extLst>
            <a:ext uri="{FF2B5EF4-FFF2-40B4-BE49-F238E27FC236}">
              <a16:creationId xmlns:a16="http://schemas.microsoft.com/office/drawing/2014/main" id="{E5025DA0-28EC-4576-9FA3-D21B345687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49" name="AutoShape 1" descr="Resultado de imagem para whirlpool logo">
          <a:extLst>
            <a:ext uri="{FF2B5EF4-FFF2-40B4-BE49-F238E27FC236}">
              <a16:creationId xmlns:a16="http://schemas.microsoft.com/office/drawing/2014/main" id="{42C418B1-EE95-405E-9E5D-669CDCE8A2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0" name="AutoShape 1" descr="Resultado de imagem para whirlpool logo">
          <a:extLst>
            <a:ext uri="{FF2B5EF4-FFF2-40B4-BE49-F238E27FC236}">
              <a16:creationId xmlns:a16="http://schemas.microsoft.com/office/drawing/2014/main" id="{3F923FAE-E9C9-4A1C-AEE6-18781C08C9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1" name="AutoShape 1" descr="Resultado de imagem para whirlpool logo">
          <a:extLst>
            <a:ext uri="{FF2B5EF4-FFF2-40B4-BE49-F238E27FC236}">
              <a16:creationId xmlns:a16="http://schemas.microsoft.com/office/drawing/2014/main" id="{62984AE6-786B-40AB-82FE-DD87CA03AA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2" name="AutoShape 1" descr="Resultado de imagem para whirlpool logo">
          <a:extLst>
            <a:ext uri="{FF2B5EF4-FFF2-40B4-BE49-F238E27FC236}">
              <a16:creationId xmlns:a16="http://schemas.microsoft.com/office/drawing/2014/main" id="{95FE0A0F-3529-4B8E-9FB2-5883ECB017B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3" name="AutoShape 1" descr="Resultado de imagem para whirlpool logo">
          <a:extLst>
            <a:ext uri="{FF2B5EF4-FFF2-40B4-BE49-F238E27FC236}">
              <a16:creationId xmlns:a16="http://schemas.microsoft.com/office/drawing/2014/main" id="{82BFD542-667E-4517-BCBD-150DF9C3D8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4" name="AutoShape 1" descr="Resultado de imagem para whirlpool logo">
          <a:extLst>
            <a:ext uri="{FF2B5EF4-FFF2-40B4-BE49-F238E27FC236}">
              <a16:creationId xmlns:a16="http://schemas.microsoft.com/office/drawing/2014/main" id="{D4D35159-6CAB-43E9-98C9-0A58DC72A25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5" name="AutoShape 1" descr="Resultado de imagem para whirlpool logo">
          <a:extLst>
            <a:ext uri="{FF2B5EF4-FFF2-40B4-BE49-F238E27FC236}">
              <a16:creationId xmlns:a16="http://schemas.microsoft.com/office/drawing/2014/main" id="{02713A46-C709-41F9-8BC5-22480B8E9D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6" name="AutoShape 1" descr="Resultado de imagem para whirlpool logo">
          <a:extLst>
            <a:ext uri="{FF2B5EF4-FFF2-40B4-BE49-F238E27FC236}">
              <a16:creationId xmlns:a16="http://schemas.microsoft.com/office/drawing/2014/main" id="{EC4F4081-D011-4A07-8C20-FCEFD8F605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7" name="AutoShape 1" descr="Resultado de imagem para whirlpool logo">
          <a:extLst>
            <a:ext uri="{FF2B5EF4-FFF2-40B4-BE49-F238E27FC236}">
              <a16:creationId xmlns:a16="http://schemas.microsoft.com/office/drawing/2014/main" id="{C4CCDC41-E3B1-463C-B4EA-F1F2B7BE67C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8" name="AutoShape 1" descr="Resultado de imagem para whirlpool logo">
          <a:extLst>
            <a:ext uri="{FF2B5EF4-FFF2-40B4-BE49-F238E27FC236}">
              <a16:creationId xmlns:a16="http://schemas.microsoft.com/office/drawing/2014/main" id="{C164AB86-85FF-4EEF-A18E-926EE08108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59" name="AutoShape 1" descr="Resultado de imagem para whirlpool logo">
          <a:extLst>
            <a:ext uri="{FF2B5EF4-FFF2-40B4-BE49-F238E27FC236}">
              <a16:creationId xmlns:a16="http://schemas.microsoft.com/office/drawing/2014/main" id="{B98BD06C-E962-42D3-92D2-C1DFE2BFE2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0" name="AutoShape 1" descr="Resultado de imagem para whirlpool logo">
          <a:extLst>
            <a:ext uri="{FF2B5EF4-FFF2-40B4-BE49-F238E27FC236}">
              <a16:creationId xmlns:a16="http://schemas.microsoft.com/office/drawing/2014/main" id="{B84B7805-48FF-4EB7-8841-FF0905F6C0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1" name="AutoShape 1" descr="Resultado de imagem para whirlpool logo">
          <a:extLst>
            <a:ext uri="{FF2B5EF4-FFF2-40B4-BE49-F238E27FC236}">
              <a16:creationId xmlns:a16="http://schemas.microsoft.com/office/drawing/2014/main" id="{77A864D7-4C4C-4E9E-9D86-8C0FEF155A8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2" name="AutoShape 1" descr="Resultado de imagem para whirlpool logo">
          <a:extLst>
            <a:ext uri="{FF2B5EF4-FFF2-40B4-BE49-F238E27FC236}">
              <a16:creationId xmlns:a16="http://schemas.microsoft.com/office/drawing/2014/main" id="{D0E4BFDF-8823-4B57-A725-70449DB3CF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3" name="AutoShape 1" descr="Resultado de imagem para whirlpool logo">
          <a:extLst>
            <a:ext uri="{FF2B5EF4-FFF2-40B4-BE49-F238E27FC236}">
              <a16:creationId xmlns:a16="http://schemas.microsoft.com/office/drawing/2014/main" id="{AEA6118B-0457-4E44-8F42-1567D00EE5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4" name="AutoShape 1" descr="Resultado de imagem para whirlpool logo">
          <a:extLst>
            <a:ext uri="{FF2B5EF4-FFF2-40B4-BE49-F238E27FC236}">
              <a16:creationId xmlns:a16="http://schemas.microsoft.com/office/drawing/2014/main" id="{BAC634A1-F861-4D61-AF42-CDB1BDBE27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5" name="AutoShape 1" descr="Resultado de imagem para whirlpool logo">
          <a:extLst>
            <a:ext uri="{FF2B5EF4-FFF2-40B4-BE49-F238E27FC236}">
              <a16:creationId xmlns:a16="http://schemas.microsoft.com/office/drawing/2014/main" id="{49176B05-7843-45AB-9C36-8E839B5657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6" name="AutoShape 1" descr="Resultado de imagem para whirlpool logo">
          <a:extLst>
            <a:ext uri="{FF2B5EF4-FFF2-40B4-BE49-F238E27FC236}">
              <a16:creationId xmlns:a16="http://schemas.microsoft.com/office/drawing/2014/main" id="{04024841-BE6F-4A80-939B-5519571D9B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7" name="AutoShape 1" descr="Resultado de imagem para whirlpool logo">
          <a:extLst>
            <a:ext uri="{FF2B5EF4-FFF2-40B4-BE49-F238E27FC236}">
              <a16:creationId xmlns:a16="http://schemas.microsoft.com/office/drawing/2014/main" id="{390E70AD-EB5D-49B9-A383-7EA2561210C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8" name="AutoShape 1" descr="Resultado de imagem para whirlpool logo">
          <a:extLst>
            <a:ext uri="{FF2B5EF4-FFF2-40B4-BE49-F238E27FC236}">
              <a16:creationId xmlns:a16="http://schemas.microsoft.com/office/drawing/2014/main" id="{590585F1-5AFE-43EF-B596-3EA4AC6B00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69" name="AutoShape 1" descr="Resultado de imagem para whirlpool logo">
          <a:extLst>
            <a:ext uri="{FF2B5EF4-FFF2-40B4-BE49-F238E27FC236}">
              <a16:creationId xmlns:a16="http://schemas.microsoft.com/office/drawing/2014/main" id="{C8AD2C00-F4FD-4E0E-9B11-12769E5E089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0" name="AutoShape 1" descr="Resultado de imagem para whirlpool logo">
          <a:extLst>
            <a:ext uri="{FF2B5EF4-FFF2-40B4-BE49-F238E27FC236}">
              <a16:creationId xmlns:a16="http://schemas.microsoft.com/office/drawing/2014/main" id="{A2421EC6-3E49-47E1-B70E-5EF55FC923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1" name="AutoShape 1" descr="Resultado de imagem para whirlpool logo">
          <a:extLst>
            <a:ext uri="{FF2B5EF4-FFF2-40B4-BE49-F238E27FC236}">
              <a16:creationId xmlns:a16="http://schemas.microsoft.com/office/drawing/2014/main" id="{4A04A9BF-F313-4BCF-8C96-3A631D7774E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2" name="AutoShape 1" descr="Resultado de imagem para whirlpool logo">
          <a:extLst>
            <a:ext uri="{FF2B5EF4-FFF2-40B4-BE49-F238E27FC236}">
              <a16:creationId xmlns:a16="http://schemas.microsoft.com/office/drawing/2014/main" id="{1613875C-ABFE-4AF9-A821-6D06BFDAB3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3" name="AutoShape 1" descr="Resultado de imagem para whirlpool logo">
          <a:extLst>
            <a:ext uri="{FF2B5EF4-FFF2-40B4-BE49-F238E27FC236}">
              <a16:creationId xmlns:a16="http://schemas.microsoft.com/office/drawing/2014/main" id="{91A1B824-8085-4463-AF83-AB7884F34F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4" name="AutoShape 1" descr="Resultado de imagem para whirlpool logo">
          <a:extLst>
            <a:ext uri="{FF2B5EF4-FFF2-40B4-BE49-F238E27FC236}">
              <a16:creationId xmlns:a16="http://schemas.microsoft.com/office/drawing/2014/main" id="{57CD90DE-87CA-40BF-97B9-CDBC4CC17DB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5" name="AutoShape 1" descr="Resultado de imagem para whirlpool logo">
          <a:extLst>
            <a:ext uri="{FF2B5EF4-FFF2-40B4-BE49-F238E27FC236}">
              <a16:creationId xmlns:a16="http://schemas.microsoft.com/office/drawing/2014/main" id="{60FAA672-DAF1-475A-B37D-63F811D2B1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6" name="AutoShape 1" descr="Resultado de imagem para whirlpool logo">
          <a:extLst>
            <a:ext uri="{FF2B5EF4-FFF2-40B4-BE49-F238E27FC236}">
              <a16:creationId xmlns:a16="http://schemas.microsoft.com/office/drawing/2014/main" id="{2C91BCCB-B739-44F9-8BC4-1A1EE87D746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7" name="AutoShape 1" descr="Resultado de imagem para whirlpool logo">
          <a:extLst>
            <a:ext uri="{FF2B5EF4-FFF2-40B4-BE49-F238E27FC236}">
              <a16:creationId xmlns:a16="http://schemas.microsoft.com/office/drawing/2014/main" id="{BAE4EA7F-0C89-4FE8-96D4-38EBD5B296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8" name="AutoShape 1" descr="Resultado de imagem para whirlpool logo">
          <a:extLst>
            <a:ext uri="{FF2B5EF4-FFF2-40B4-BE49-F238E27FC236}">
              <a16:creationId xmlns:a16="http://schemas.microsoft.com/office/drawing/2014/main" id="{8B92B6DE-F8F1-44EE-B5C1-EA6D96D1EFF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79" name="AutoShape 1" descr="Resultado de imagem para whirlpool logo">
          <a:extLst>
            <a:ext uri="{FF2B5EF4-FFF2-40B4-BE49-F238E27FC236}">
              <a16:creationId xmlns:a16="http://schemas.microsoft.com/office/drawing/2014/main" id="{EA37950E-4097-4771-A63B-660B6ACC3A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0" name="AutoShape 1" descr="Resultado de imagem para whirlpool logo">
          <a:extLst>
            <a:ext uri="{FF2B5EF4-FFF2-40B4-BE49-F238E27FC236}">
              <a16:creationId xmlns:a16="http://schemas.microsoft.com/office/drawing/2014/main" id="{D8C83695-55F9-44EB-9F64-0B6B5A136A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1" name="AutoShape 1" descr="Resultado de imagem para whirlpool logo">
          <a:extLst>
            <a:ext uri="{FF2B5EF4-FFF2-40B4-BE49-F238E27FC236}">
              <a16:creationId xmlns:a16="http://schemas.microsoft.com/office/drawing/2014/main" id="{5B20C534-C95A-4007-99EC-A541DAAF41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2" name="AutoShape 1" descr="Resultado de imagem para whirlpool logo">
          <a:extLst>
            <a:ext uri="{FF2B5EF4-FFF2-40B4-BE49-F238E27FC236}">
              <a16:creationId xmlns:a16="http://schemas.microsoft.com/office/drawing/2014/main" id="{CC0B3760-5C0A-4C7B-8FC4-7308CB4750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3" name="AutoShape 1" descr="Resultado de imagem para whirlpool logo">
          <a:extLst>
            <a:ext uri="{FF2B5EF4-FFF2-40B4-BE49-F238E27FC236}">
              <a16:creationId xmlns:a16="http://schemas.microsoft.com/office/drawing/2014/main" id="{B3EB5872-621A-47DA-81D9-0B38685DD8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4" name="AutoShape 1" descr="Resultado de imagem para whirlpool logo">
          <a:extLst>
            <a:ext uri="{FF2B5EF4-FFF2-40B4-BE49-F238E27FC236}">
              <a16:creationId xmlns:a16="http://schemas.microsoft.com/office/drawing/2014/main" id="{909ABB41-8279-4354-B65F-9F67E5A46A3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5" name="AutoShape 1" descr="Resultado de imagem para whirlpool logo">
          <a:extLst>
            <a:ext uri="{FF2B5EF4-FFF2-40B4-BE49-F238E27FC236}">
              <a16:creationId xmlns:a16="http://schemas.microsoft.com/office/drawing/2014/main" id="{63BBD6FD-C68E-48C9-92A5-099C55A2188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6" name="AutoShape 1" descr="Resultado de imagem para whirlpool logo">
          <a:extLst>
            <a:ext uri="{FF2B5EF4-FFF2-40B4-BE49-F238E27FC236}">
              <a16:creationId xmlns:a16="http://schemas.microsoft.com/office/drawing/2014/main" id="{406005B9-B655-464F-A542-CD67D50F29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7" name="AutoShape 1" descr="Resultado de imagem para whirlpool logo">
          <a:extLst>
            <a:ext uri="{FF2B5EF4-FFF2-40B4-BE49-F238E27FC236}">
              <a16:creationId xmlns:a16="http://schemas.microsoft.com/office/drawing/2014/main" id="{0F3675AD-E45A-415D-B591-1D9434FC87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8" name="AutoShape 1" descr="Resultado de imagem para whirlpool logo">
          <a:extLst>
            <a:ext uri="{FF2B5EF4-FFF2-40B4-BE49-F238E27FC236}">
              <a16:creationId xmlns:a16="http://schemas.microsoft.com/office/drawing/2014/main" id="{8CB1A53F-FC51-4290-ABB9-2602D17BBB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89" name="AutoShape 1" descr="Resultado de imagem para whirlpool logo">
          <a:extLst>
            <a:ext uri="{FF2B5EF4-FFF2-40B4-BE49-F238E27FC236}">
              <a16:creationId xmlns:a16="http://schemas.microsoft.com/office/drawing/2014/main" id="{EA1608E3-EBF0-407B-AE71-61459E99F8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0" name="AutoShape 1" descr="Resultado de imagem para whirlpool logo">
          <a:extLst>
            <a:ext uri="{FF2B5EF4-FFF2-40B4-BE49-F238E27FC236}">
              <a16:creationId xmlns:a16="http://schemas.microsoft.com/office/drawing/2014/main" id="{21FFDE63-2CBC-44B8-A211-3F09F40A404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491" name="AutoShape 1" descr="Resultado de imagem para whirlpool logo">
          <a:extLst>
            <a:ext uri="{FF2B5EF4-FFF2-40B4-BE49-F238E27FC236}">
              <a16:creationId xmlns:a16="http://schemas.microsoft.com/office/drawing/2014/main" id="{9B3EAF26-DF08-445C-A18F-6A05535B43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2" name="AutoShape 1" descr="Resultado de imagem para whirlpool logo">
          <a:extLst>
            <a:ext uri="{FF2B5EF4-FFF2-40B4-BE49-F238E27FC236}">
              <a16:creationId xmlns:a16="http://schemas.microsoft.com/office/drawing/2014/main" id="{446EF049-F740-4A60-A8DF-D29BC167BA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3" name="AutoShape 1" descr="Resultado de imagem para whirlpool logo">
          <a:extLst>
            <a:ext uri="{FF2B5EF4-FFF2-40B4-BE49-F238E27FC236}">
              <a16:creationId xmlns:a16="http://schemas.microsoft.com/office/drawing/2014/main" id="{80437516-07B7-4B40-A676-D52BBC9BDD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4" name="AutoShape 1" descr="Resultado de imagem para whirlpool logo">
          <a:extLst>
            <a:ext uri="{FF2B5EF4-FFF2-40B4-BE49-F238E27FC236}">
              <a16:creationId xmlns:a16="http://schemas.microsoft.com/office/drawing/2014/main" id="{41DA20D2-5A42-4AFF-A454-69F3E9937C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5" name="AutoShape 1" descr="Resultado de imagem para whirlpool logo">
          <a:extLst>
            <a:ext uri="{FF2B5EF4-FFF2-40B4-BE49-F238E27FC236}">
              <a16:creationId xmlns:a16="http://schemas.microsoft.com/office/drawing/2014/main" id="{17355681-6C0A-4F7D-87F5-6E6ABE2CEB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496" name="AutoShape 1" descr="Resultado de imagem para whirlpool logo">
          <a:extLst>
            <a:ext uri="{FF2B5EF4-FFF2-40B4-BE49-F238E27FC236}">
              <a16:creationId xmlns:a16="http://schemas.microsoft.com/office/drawing/2014/main" id="{69A59314-F6D8-4F37-B11E-C900EFDE61EA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7" name="AutoShape 1" descr="Resultado de imagem para whirlpool logo">
          <a:extLst>
            <a:ext uri="{FF2B5EF4-FFF2-40B4-BE49-F238E27FC236}">
              <a16:creationId xmlns:a16="http://schemas.microsoft.com/office/drawing/2014/main" id="{47F25801-77D7-4537-8400-22D41B0C6D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498" name="AutoShape 1" descr="Resultado de imagem para whirlpool logo">
          <a:extLst>
            <a:ext uri="{FF2B5EF4-FFF2-40B4-BE49-F238E27FC236}">
              <a16:creationId xmlns:a16="http://schemas.microsoft.com/office/drawing/2014/main" id="{16FE1972-6622-4E7F-9C73-34F1E928C3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499" name="AutoShape 1" descr="Resultado de imagem para whirlpool logo">
          <a:extLst>
            <a:ext uri="{FF2B5EF4-FFF2-40B4-BE49-F238E27FC236}">
              <a16:creationId xmlns:a16="http://schemas.microsoft.com/office/drawing/2014/main" id="{0DD86768-6743-47AB-8EF6-625F76696840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0" name="AutoShape 1" descr="Resultado de imagem para whirlpool logo">
          <a:extLst>
            <a:ext uri="{FF2B5EF4-FFF2-40B4-BE49-F238E27FC236}">
              <a16:creationId xmlns:a16="http://schemas.microsoft.com/office/drawing/2014/main" id="{4BA25533-05E0-4E3F-A589-37BD45A72D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1" name="AutoShape 1" descr="Resultado de imagem para whirlpool logo">
          <a:extLst>
            <a:ext uri="{FF2B5EF4-FFF2-40B4-BE49-F238E27FC236}">
              <a16:creationId xmlns:a16="http://schemas.microsoft.com/office/drawing/2014/main" id="{CCC0A63C-C7B7-48BE-B235-791E2C65A88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502" name="AutoShape 1" descr="Resultado de imagem para whirlpool logo">
          <a:extLst>
            <a:ext uri="{FF2B5EF4-FFF2-40B4-BE49-F238E27FC236}">
              <a16:creationId xmlns:a16="http://schemas.microsoft.com/office/drawing/2014/main" id="{7E59C5F7-F67F-4DC1-B341-CB6A7A8BA315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3" name="AutoShape 1" descr="Resultado de imagem para whirlpool logo">
          <a:extLst>
            <a:ext uri="{FF2B5EF4-FFF2-40B4-BE49-F238E27FC236}">
              <a16:creationId xmlns:a16="http://schemas.microsoft.com/office/drawing/2014/main" id="{70FCA5F9-2D29-40BC-BF4E-70F172A42C4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4" name="AutoShape 1" descr="Resultado de imagem para whirlpool logo">
          <a:extLst>
            <a:ext uri="{FF2B5EF4-FFF2-40B4-BE49-F238E27FC236}">
              <a16:creationId xmlns:a16="http://schemas.microsoft.com/office/drawing/2014/main" id="{43E0AB87-D0C8-4501-A6F3-F77C64C9579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505" name="AutoShape 1" descr="Resultado de imagem para whirlpool logo">
          <a:extLst>
            <a:ext uri="{FF2B5EF4-FFF2-40B4-BE49-F238E27FC236}">
              <a16:creationId xmlns:a16="http://schemas.microsoft.com/office/drawing/2014/main" id="{6592BCF4-7B65-4AEB-9796-668ACDF90905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06" name="AutoShape 1" descr="Resultado de imagem para whirlpool logo">
          <a:extLst>
            <a:ext uri="{FF2B5EF4-FFF2-40B4-BE49-F238E27FC236}">
              <a16:creationId xmlns:a16="http://schemas.microsoft.com/office/drawing/2014/main" id="{7F784E75-E91F-4F7D-985B-E24DF7A132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507" name="AutoShape 1" descr="Resultado de imagem para whirlpool logo">
          <a:extLst>
            <a:ext uri="{FF2B5EF4-FFF2-40B4-BE49-F238E27FC236}">
              <a16:creationId xmlns:a16="http://schemas.microsoft.com/office/drawing/2014/main" id="{F5192954-3E07-4A1B-AC2B-501668EA5E46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3</xdr:col>
      <xdr:colOff>2502330</xdr:colOff>
      <xdr:row>6</xdr:row>
      <xdr:rowOff>0</xdr:rowOff>
    </xdr:from>
    <xdr:ext cx="304800" cy="295765"/>
    <xdr:sp macro="" textlink="">
      <xdr:nvSpPr>
        <xdr:cNvPr id="1508" name="AutoShape 1" descr="Resultado de imagem para whirlpool logo">
          <a:extLst>
            <a:ext uri="{FF2B5EF4-FFF2-40B4-BE49-F238E27FC236}">
              <a16:creationId xmlns:a16="http://schemas.microsoft.com/office/drawing/2014/main" id="{62B01F12-97CB-4703-9F29-4857A2EC2A2B}"/>
            </a:ext>
          </a:extLst>
        </xdr:cNvPr>
        <xdr:cNvSpPr>
          <a:spLocks noChangeAspect="1" noChangeArrowheads="1"/>
        </xdr:cNvSpPr>
      </xdr:nvSpPr>
      <xdr:spPr bwMode="auto">
        <a:xfrm>
          <a:off x="61980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09" name="AutoShape 1" descr="Resultado de imagem para whirlpool logo">
          <a:extLst>
            <a:ext uri="{FF2B5EF4-FFF2-40B4-BE49-F238E27FC236}">
              <a16:creationId xmlns:a16="http://schemas.microsoft.com/office/drawing/2014/main" id="{AF61CDE5-A06F-4DAD-B7DC-73E4F32A2373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0" name="AutoShape 1" descr="Resultado de imagem para whirlpool logo">
          <a:extLst>
            <a:ext uri="{FF2B5EF4-FFF2-40B4-BE49-F238E27FC236}">
              <a16:creationId xmlns:a16="http://schemas.microsoft.com/office/drawing/2014/main" id="{76998286-9774-4F29-9ACA-481CCC140947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1" name="AutoShape 1" descr="Resultado de imagem para whirlpool logo">
          <a:extLst>
            <a:ext uri="{FF2B5EF4-FFF2-40B4-BE49-F238E27FC236}">
              <a16:creationId xmlns:a16="http://schemas.microsoft.com/office/drawing/2014/main" id="{84A01A10-39E6-490E-8C84-F395EA1E8F74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2" name="AutoShape 1" descr="Resultado de imagem para whirlpool logo">
          <a:extLst>
            <a:ext uri="{FF2B5EF4-FFF2-40B4-BE49-F238E27FC236}">
              <a16:creationId xmlns:a16="http://schemas.microsoft.com/office/drawing/2014/main" id="{DB62A07B-228A-4189-8F1D-6206CDE69C53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3" name="AutoShape 1" descr="Resultado de imagem para whirlpool logo">
          <a:extLst>
            <a:ext uri="{FF2B5EF4-FFF2-40B4-BE49-F238E27FC236}">
              <a16:creationId xmlns:a16="http://schemas.microsoft.com/office/drawing/2014/main" id="{F1CE1D8F-FAF2-40D8-A559-870A58C2C85E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4" name="AutoShape 1" descr="Resultado de imagem para whirlpool logo">
          <a:extLst>
            <a:ext uri="{FF2B5EF4-FFF2-40B4-BE49-F238E27FC236}">
              <a16:creationId xmlns:a16="http://schemas.microsoft.com/office/drawing/2014/main" id="{3391BD13-4014-4949-853F-6CDCE67D7390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5" name="AutoShape 1" descr="Resultado de imagem para whirlpool logo">
          <a:extLst>
            <a:ext uri="{FF2B5EF4-FFF2-40B4-BE49-F238E27FC236}">
              <a16:creationId xmlns:a16="http://schemas.microsoft.com/office/drawing/2014/main" id="{80B15281-B676-45C1-815F-361D416249EC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6" name="AutoShape 1" descr="Resultado de imagem para whirlpool logo">
          <a:extLst>
            <a:ext uri="{FF2B5EF4-FFF2-40B4-BE49-F238E27FC236}">
              <a16:creationId xmlns:a16="http://schemas.microsoft.com/office/drawing/2014/main" id="{91A0972F-41D3-4A72-92F8-8F199230C6B9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7" name="AutoShape 1" descr="Resultado de imagem para whirlpool logo">
          <a:extLst>
            <a:ext uri="{FF2B5EF4-FFF2-40B4-BE49-F238E27FC236}">
              <a16:creationId xmlns:a16="http://schemas.microsoft.com/office/drawing/2014/main" id="{B16DE6B3-82E9-456C-9316-520031ACB3E2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2502330</xdr:colOff>
      <xdr:row>6</xdr:row>
      <xdr:rowOff>0</xdr:rowOff>
    </xdr:from>
    <xdr:ext cx="304800" cy="295765"/>
    <xdr:sp macro="" textlink="">
      <xdr:nvSpPr>
        <xdr:cNvPr id="1518" name="AutoShape 1" descr="Resultado de imagem para whirlpool logo">
          <a:extLst>
            <a:ext uri="{FF2B5EF4-FFF2-40B4-BE49-F238E27FC236}">
              <a16:creationId xmlns:a16="http://schemas.microsoft.com/office/drawing/2014/main" id="{2ABEB272-3584-452E-BB29-BFA96572CEB2}"/>
            </a:ext>
          </a:extLst>
        </xdr:cNvPr>
        <xdr:cNvSpPr>
          <a:spLocks noChangeAspect="1" noChangeArrowheads="1"/>
        </xdr:cNvSpPr>
      </xdr:nvSpPr>
      <xdr:spPr bwMode="auto">
        <a:xfrm>
          <a:off x="806493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19" name="AutoShape 1" descr="Resultado de imagem para whirlpool logo">
          <a:extLst>
            <a:ext uri="{FF2B5EF4-FFF2-40B4-BE49-F238E27FC236}">
              <a16:creationId xmlns:a16="http://schemas.microsoft.com/office/drawing/2014/main" id="{9362CC61-5EBC-42CD-88E4-7AE0DE1E31C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20" name="AutoShape 1" descr="Resultado de imagem para whirlpool logo">
          <a:extLst>
            <a:ext uri="{FF2B5EF4-FFF2-40B4-BE49-F238E27FC236}">
              <a16:creationId xmlns:a16="http://schemas.microsoft.com/office/drawing/2014/main" id="{571E29DA-6E2C-4365-B3AC-83CC3E2E04E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1" name="AutoShape 1" descr="Resultado de imagem para whirlpool logo">
          <a:extLst>
            <a:ext uri="{FF2B5EF4-FFF2-40B4-BE49-F238E27FC236}">
              <a16:creationId xmlns:a16="http://schemas.microsoft.com/office/drawing/2014/main" id="{EFB21EA6-2B05-4461-BC5D-CB692A322BB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2" name="AutoShape 1" descr="Resultado de imagem para whirlpool logo">
          <a:extLst>
            <a:ext uri="{FF2B5EF4-FFF2-40B4-BE49-F238E27FC236}">
              <a16:creationId xmlns:a16="http://schemas.microsoft.com/office/drawing/2014/main" id="{6AF8D7DD-85BC-436E-A811-2B61ADB6DA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3" name="AutoShape 1" descr="Resultado de imagem para whirlpool logo">
          <a:extLst>
            <a:ext uri="{FF2B5EF4-FFF2-40B4-BE49-F238E27FC236}">
              <a16:creationId xmlns:a16="http://schemas.microsoft.com/office/drawing/2014/main" id="{7AFB6681-4B28-4330-9152-779AC571AC7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24" name="AutoShape 1" descr="Resultado de imagem para whirlpool logo">
          <a:extLst>
            <a:ext uri="{FF2B5EF4-FFF2-40B4-BE49-F238E27FC236}">
              <a16:creationId xmlns:a16="http://schemas.microsoft.com/office/drawing/2014/main" id="{1C489EBC-81AA-4092-BC34-7927BA8E686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5" name="AutoShape 1" descr="Resultado de imagem para whirlpool logo">
          <a:extLst>
            <a:ext uri="{FF2B5EF4-FFF2-40B4-BE49-F238E27FC236}">
              <a16:creationId xmlns:a16="http://schemas.microsoft.com/office/drawing/2014/main" id="{DC779C28-BFDD-4CE6-99F2-AD0FABB5F51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26" name="AutoShape 1" descr="Resultado de imagem para whirlpool logo">
          <a:extLst>
            <a:ext uri="{FF2B5EF4-FFF2-40B4-BE49-F238E27FC236}">
              <a16:creationId xmlns:a16="http://schemas.microsoft.com/office/drawing/2014/main" id="{351E94B8-D69D-42FC-8B4A-F7922B21F0B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7" name="AutoShape 1" descr="Resultado de imagem para whirlpool logo">
          <a:extLst>
            <a:ext uri="{FF2B5EF4-FFF2-40B4-BE49-F238E27FC236}">
              <a16:creationId xmlns:a16="http://schemas.microsoft.com/office/drawing/2014/main" id="{D8A6A550-FBB1-49CE-B05C-6C2B5959A98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28" name="AutoShape 1" descr="Resultado de imagem para whirlpool logo">
          <a:extLst>
            <a:ext uri="{FF2B5EF4-FFF2-40B4-BE49-F238E27FC236}">
              <a16:creationId xmlns:a16="http://schemas.microsoft.com/office/drawing/2014/main" id="{E2C7BA78-2161-4B3A-8332-0DAE0D019E5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29" name="AutoShape 1" descr="Resultado de imagem para whirlpool logo">
          <a:extLst>
            <a:ext uri="{FF2B5EF4-FFF2-40B4-BE49-F238E27FC236}">
              <a16:creationId xmlns:a16="http://schemas.microsoft.com/office/drawing/2014/main" id="{912DB47C-A045-4B1D-A81D-8E0E79E56A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30" name="AutoShape 1" descr="Resultado de imagem para whirlpool logo">
          <a:extLst>
            <a:ext uri="{FF2B5EF4-FFF2-40B4-BE49-F238E27FC236}">
              <a16:creationId xmlns:a16="http://schemas.microsoft.com/office/drawing/2014/main" id="{79018117-6331-4DA0-A8D1-B4568919A3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1" name="AutoShape 1" descr="Resultado de imagem para whirlpool logo">
          <a:extLst>
            <a:ext uri="{FF2B5EF4-FFF2-40B4-BE49-F238E27FC236}">
              <a16:creationId xmlns:a16="http://schemas.microsoft.com/office/drawing/2014/main" id="{C0D3AE69-A68D-4779-9D3D-BA18723439E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32" name="AutoShape 1" descr="Resultado de imagem para whirlpool logo">
          <a:extLst>
            <a:ext uri="{FF2B5EF4-FFF2-40B4-BE49-F238E27FC236}">
              <a16:creationId xmlns:a16="http://schemas.microsoft.com/office/drawing/2014/main" id="{A95DEE9F-08F8-4825-8469-1571DA131D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3" name="AutoShape 1" descr="Resultado de imagem para whirlpool logo">
          <a:extLst>
            <a:ext uri="{FF2B5EF4-FFF2-40B4-BE49-F238E27FC236}">
              <a16:creationId xmlns:a16="http://schemas.microsoft.com/office/drawing/2014/main" id="{CCA3044B-A356-4EB9-AAD7-446CA107726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34" name="AutoShape 1" descr="Resultado de imagem para whirlpool logo">
          <a:extLst>
            <a:ext uri="{FF2B5EF4-FFF2-40B4-BE49-F238E27FC236}">
              <a16:creationId xmlns:a16="http://schemas.microsoft.com/office/drawing/2014/main" id="{476B9E62-29C5-438D-ADDB-8E6B7942301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5" name="AutoShape 1" descr="Resultado de imagem para whirlpool logo">
          <a:extLst>
            <a:ext uri="{FF2B5EF4-FFF2-40B4-BE49-F238E27FC236}">
              <a16:creationId xmlns:a16="http://schemas.microsoft.com/office/drawing/2014/main" id="{8EB584B4-A300-4E24-8352-0D867ACCF95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6" name="AutoShape 1" descr="Resultado de imagem para whirlpool logo">
          <a:extLst>
            <a:ext uri="{FF2B5EF4-FFF2-40B4-BE49-F238E27FC236}">
              <a16:creationId xmlns:a16="http://schemas.microsoft.com/office/drawing/2014/main" id="{0BCC7B14-04F9-42B6-BE99-6D2EF34CEA5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37" name="AutoShape 1" descr="Resultado de imagem para whirlpool logo">
          <a:extLst>
            <a:ext uri="{FF2B5EF4-FFF2-40B4-BE49-F238E27FC236}">
              <a16:creationId xmlns:a16="http://schemas.microsoft.com/office/drawing/2014/main" id="{A618EB26-FF16-495B-A4AF-1CAD6658AF3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8" name="AutoShape 1" descr="Resultado de imagem para whirlpool logo">
          <a:extLst>
            <a:ext uri="{FF2B5EF4-FFF2-40B4-BE49-F238E27FC236}">
              <a16:creationId xmlns:a16="http://schemas.microsoft.com/office/drawing/2014/main" id="{26665298-B75B-42D2-9E69-AB6190E58A9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39" name="AutoShape 1" descr="Resultado de imagem para whirlpool logo">
          <a:extLst>
            <a:ext uri="{FF2B5EF4-FFF2-40B4-BE49-F238E27FC236}">
              <a16:creationId xmlns:a16="http://schemas.microsoft.com/office/drawing/2014/main" id="{F220443D-99BB-44A6-A430-E4D8AFB3E7E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0" name="AutoShape 1" descr="Resultado de imagem para whirlpool logo">
          <a:extLst>
            <a:ext uri="{FF2B5EF4-FFF2-40B4-BE49-F238E27FC236}">
              <a16:creationId xmlns:a16="http://schemas.microsoft.com/office/drawing/2014/main" id="{421C86D6-C236-4FC0-8145-262C28827E8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41" name="AutoShape 1" descr="Resultado de imagem para whirlpool logo">
          <a:extLst>
            <a:ext uri="{FF2B5EF4-FFF2-40B4-BE49-F238E27FC236}">
              <a16:creationId xmlns:a16="http://schemas.microsoft.com/office/drawing/2014/main" id="{5825CC1E-D013-407E-80FA-BC904413C51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2" name="AutoShape 1" descr="Resultado de imagem para whirlpool logo">
          <a:extLst>
            <a:ext uri="{FF2B5EF4-FFF2-40B4-BE49-F238E27FC236}">
              <a16:creationId xmlns:a16="http://schemas.microsoft.com/office/drawing/2014/main" id="{3E6C189B-19B8-4735-A12F-99563EA4DAE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43" name="AutoShape 1" descr="Resultado de imagem para whirlpool logo">
          <a:extLst>
            <a:ext uri="{FF2B5EF4-FFF2-40B4-BE49-F238E27FC236}">
              <a16:creationId xmlns:a16="http://schemas.microsoft.com/office/drawing/2014/main" id="{5D756F6E-A4BD-40E1-9AA4-EDDF8D4F2B9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4" name="AutoShape 1" descr="Resultado de imagem para whirlpool logo">
          <a:extLst>
            <a:ext uri="{FF2B5EF4-FFF2-40B4-BE49-F238E27FC236}">
              <a16:creationId xmlns:a16="http://schemas.microsoft.com/office/drawing/2014/main" id="{EC30D05C-47B3-4C4E-8607-19361212F05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45" name="AutoShape 1" descr="Resultado de imagem para whirlpool logo">
          <a:extLst>
            <a:ext uri="{FF2B5EF4-FFF2-40B4-BE49-F238E27FC236}">
              <a16:creationId xmlns:a16="http://schemas.microsoft.com/office/drawing/2014/main" id="{334355C5-BB21-4917-B9B4-051E406EF36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6" name="AutoShape 1" descr="Resultado de imagem para whirlpool logo">
          <a:extLst>
            <a:ext uri="{FF2B5EF4-FFF2-40B4-BE49-F238E27FC236}">
              <a16:creationId xmlns:a16="http://schemas.microsoft.com/office/drawing/2014/main" id="{CE11F1AC-35BC-4E8A-825E-B8B650C1D9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47" name="AutoShape 1" descr="Resultado de imagem para whirlpool logo">
          <a:extLst>
            <a:ext uri="{FF2B5EF4-FFF2-40B4-BE49-F238E27FC236}">
              <a16:creationId xmlns:a16="http://schemas.microsoft.com/office/drawing/2014/main" id="{C7AB7D28-E13C-47E4-8EAC-8DB8570FFEA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8" name="AutoShape 1" descr="Resultado de imagem para whirlpool logo">
          <a:extLst>
            <a:ext uri="{FF2B5EF4-FFF2-40B4-BE49-F238E27FC236}">
              <a16:creationId xmlns:a16="http://schemas.microsoft.com/office/drawing/2014/main" id="{03E5D84E-31DF-4E51-82B6-E433D028139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49" name="AutoShape 1" descr="Resultado de imagem para whirlpool logo">
          <a:extLst>
            <a:ext uri="{FF2B5EF4-FFF2-40B4-BE49-F238E27FC236}">
              <a16:creationId xmlns:a16="http://schemas.microsoft.com/office/drawing/2014/main" id="{F9E58ED4-7ECA-4560-A31E-74FDCCC1430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50" name="AutoShape 1" descr="Resultado de imagem para whirlpool logo">
          <a:extLst>
            <a:ext uri="{FF2B5EF4-FFF2-40B4-BE49-F238E27FC236}">
              <a16:creationId xmlns:a16="http://schemas.microsoft.com/office/drawing/2014/main" id="{93A87F19-F76D-4E18-9D6E-60254E1C7AA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51" name="AutoShape 1" descr="Resultado de imagem para whirlpool logo">
          <a:extLst>
            <a:ext uri="{FF2B5EF4-FFF2-40B4-BE49-F238E27FC236}">
              <a16:creationId xmlns:a16="http://schemas.microsoft.com/office/drawing/2014/main" id="{1C64947D-16A5-48B8-9799-DE3493956F7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52" name="AutoShape 1" descr="Resultado de imagem para whirlpool logo">
          <a:extLst>
            <a:ext uri="{FF2B5EF4-FFF2-40B4-BE49-F238E27FC236}">
              <a16:creationId xmlns:a16="http://schemas.microsoft.com/office/drawing/2014/main" id="{58293494-266E-42A9-B0B3-52E91B68FCD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53" name="AutoShape 1" descr="Resultado de imagem para whirlpool logo">
          <a:extLst>
            <a:ext uri="{FF2B5EF4-FFF2-40B4-BE49-F238E27FC236}">
              <a16:creationId xmlns:a16="http://schemas.microsoft.com/office/drawing/2014/main" id="{11EE1B14-31BC-44BA-A592-6B51909E5D3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554" name="AutoShape 1" descr="Resultado de imagem para whirlpool logo">
          <a:extLst>
            <a:ext uri="{FF2B5EF4-FFF2-40B4-BE49-F238E27FC236}">
              <a16:creationId xmlns:a16="http://schemas.microsoft.com/office/drawing/2014/main" id="{A5AFE7DC-D3D1-4BD4-8D07-DF78B507E1A8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555" name="AutoShape 1" descr="Resultado de imagem para whirlpool logo">
          <a:extLst>
            <a:ext uri="{FF2B5EF4-FFF2-40B4-BE49-F238E27FC236}">
              <a16:creationId xmlns:a16="http://schemas.microsoft.com/office/drawing/2014/main" id="{F7800DE7-FC88-458A-87E2-64DB4869072D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556" name="AutoShape 1" descr="Resultado de imagem para whirlpool logo">
          <a:extLst>
            <a:ext uri="{FF2B5EF4-FFF2-40B4-BE49-F238E27FC236}">
              <a16:creationId xmlns:a16="http://schemas.microsoft.com/office/drawing/2014/main" id="{04951034-362B-43F3-B1DB-93EE56BF4B4E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557" name="AutoShape 1" descr="Resultado de imagem para whirlpool logo">
          <a:extLst>
            <a:ext uri="{FF2B5EF4-FFF2-40B4-BE49-F238E27FC236}">
              <a16:creationId xmlns:a16="http://schemas.microsoft.com/office/drawing/2014/main" id="{E03A5180-C903-403C-B167-A1A7561CDC50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558" name="AutoShape 1" descr="Resultado de imagem para whirlpool logo">
          <a:extLst>
            <a:ext uri="{FF2B5EF4-FFF2-40B4-BE49-F238E27FC236}">
              <a16:creationId xmlns:a16="http://schemas.microsoft.com/office/drawing/2014/main" id="{1EA58390-B538-4846-A881-C266BE838995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559" name="AutoShape 1" descr="Resultado de imagem para whirlpool logo">
          <a:extLst>
            <a:ext uri="{FF2B5EF4-FFF2-40B4-BE49-F238E27FC236}">
              <a16:creationId xmlns:a16="http://schemas.microsoft.com/office/drawing/2014/main" id="{E851E8D4-963F-40AC-A317-6BF0007349A3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560" name="AutoShape 1" descr="Resultado de imagem para whirlpool logo">
          <a:extLst>
            <a:ext uri="{FF2B5EF4-FFF2-40B4-BE49-F238E27FC236}">
              <a16:creationId xmlns:a16="http://schemas.microsoft.com/office/drawing/2014/main" id="{D2BA6F3F-68DD-4300-B95A-136DBA4E4D5E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561" name="AutoShape 1" descr="Resultado de imagem para whirlpool logo">
          <a:extLst>
            <a:ext uri="{FF2B5EF4-FFF2-40B4-BE49-F238E27FC236}">
              <a16:creationId xmlns:a16="http://schemas.microsoft.com/office/drawing/2014/main" id="{2B2D8A01-64FC-4CCC-A26C-C6BFD198A61A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2" name="AutoShape 1" descr="Resultado de imagem para whirlpool logo">
          <a:extLst>
            <a:ext uri="{FF2B5EF4-FFF2-40B4-BE49-F238E27FC236}">
              <a16:creationId xmlns:a16="http://schemas.microsoft.com/office/drawing/2014/main" id="{D9F20F8F-6BEA-4004-8DC7-8D4025586C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63" name="AutoShape 1" descr="Resultado de imagem para whirlpool logo">
          <a:extLst>
            <a:ext uri="{FF2B5EF4-FFF2-40B4-BE49-F238E27FC236}">
              <a16:creationId xmlns:a16="http://schemas.microsoft.com/office/drawing/2014/main" id="{4F36B3A0-48FB-4012-BAD5-A3204568A2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4" name="AutoShape 1" descr="Resultado de imagem para whirlpool logo">
          <a:extLst>
            <a:ext uri="{FF2B5EF4-FFF2-40B4-BE49-F238E27FC236}">
              <a16:creationId xmlns:a16="http://schemas.microsoft.com/office/drawing/2014/main" id="{366B0200-E798-4245-BD09-0D621F3D86B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5" name="AutoShape 1" descr="Resultado de imagem para whirlpool logo">
          <a:extLst>
            <a:ext uri="{FF2B5EF4-FFF2-40B4-BE49-F238E27FC236}">
              <a16:creationId xmlns:a16="http://schemas.microsoft.com/office/drawing/2014/main" id="{79BE6CC7-5780-4FB2-87D4-F89CFE9A097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6" name="AutoShape 1" descr="Resultado de imagem para whirlpool logo">
          <a:extLst>
            <a:ext uri="{FF2B5EF4-FFF2-40B4-BE49-F238E27FC236}">
              <a16:creationId xmlns:a16="http://schemas.microsoft.com/office/drawing/2014/main" id="{65224711-0E83-471D-9E7B-21A3225518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67" name="AutoShape 1" descr="Resultado de imagem para whirlpool logo">
          <a:extLst>
            <a:ext uri="{FF2B5EF4-FFF2-40B4-BE49-F238E27FC236}">
              <a16:creationId xmlns:a16="http://schemas.microsoft.com/office/drawing/2014/main" id="{156C5EE8-54A9-4B45-911B-832A3F59BF4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68" name="AutoShape 1" descr="Resultado de imagem para whirlpool logo">
          <a:extLst>
            <a:ext uri="{FF2B5EF4-FFF2-40B4-BE49-F238E27FC236}">
              <a16:creationId xmlns:a16="http://schemas.microsoft.com/office/drawing/2014/main" id="{FE7141FB-B37E-4B31-9C6F-552150BA74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69" name="AutoShape 1" descr="Resultado de imagem para whirlpool logo">
          <a:extLst>
            <a:ext uri="{FF2B5EF4-FFF2-40B4-BE49-F238E27FC236}">
              <a16:creationId xmlns:a16="http://schemas.microsoft.com/office/drawing/2014/main" id="{D1FF7446-5FCA-4D60-AAF7-5DF059F2CB4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0" name="AutoShape 1" descr="Resultado de imagem para whirlpool logo">
          <a:extLst>
            <a:ext uri="{FF2B5EF4-FFF2-40B4-BE49-F238E27FC236}">
              <a16:creationId xmlns:a16="http://schemas.microsoft.com/office/drawing/2014/main" id="{4E368828-4168-417C-8F49-E8BBDF520A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71" name="AutoShape 1" descr="Resultado de imagem para whirlpool logo">
          <a:extLst>
            <a:ext uri="{FF2B5EF4-FFF2-40B4-BE49-F238E27FC236}">
              <a16:creationId xmlns:a16="http://schemas.microsoft.com/office/drawing/2014/main" id="{1CACEB36-1C9C-4BD9-B9E6-42446B8B4B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2" name="AutoShape 1" descr="Resultado de imagem para whirlpool logo">
          <a:extLst>
            <a:ext uri="{FF2B5EF4-FFF2-40B4-BE49-F238E27FC236}">
              <a16:creationId xmlns:a16="http://schemas.microsoft.com/office/drawing/2014/main" id="{11647802-94F2-4E25-8FA5-B6BBDEA2F2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73" name="AutoShape 1" descr="Resultado de imagem para whirlpool logo">
          <a:extLst>
            <a:ext uri="{FF2B5EF4-FFF2-40B4-BE49-F238E27FC236}">
              <a16:creationId xmlns:a16="http://schemas.microsoft.com/office/drawing/2014/main" id="{C50DB836-671C-420F-852A-5CE3F676680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4" name="AutoShape 1" descr="Resultado de imagem para whirlpool logo">
          <a:extLst>
            <a:ext uri="{FF2B5EF4-FFF2-40B4-BE49-F238E27FC236}">
              <a16:creationId xmlns:a16="http://schemas.microsoft.com/office/drawing/2014/main" id="{7C41686B-5F54-42A3-BB01-F7D9FD4C06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5" name="AutoShape 1" descr="Resultado de imagem para whirlpool logo">
          <a:extLst>
            <a:ext uri="{FF2B5EF4-FFF2-40B4-BE49-F238E27FC236}">
              <a16:creationId xmlns:a16="http://schemas.microsoft.com/office/drawing/2014/main" id="{3DFF31F8-08EE-4713-AE7A-7CE5C9D4E5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6" name="AutoShape 1" descr="Resultado de imagem para whirlpool logo">
          <a:extLst>
            <a:ext uri="{FF2B5EF4-FFF2-40B4-BE49-F238E27FC236}">
              <a16:creationId xmlns:a16="http://schemas.microsoft.com/office/drawing/2014/main" id="{4DCEA607-A535-4838-8AE6-31B34EAA7A1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77" name="AutoShape 1" descr="Resultado de imagem para whirlpool logo">
          <a:extLst>
            <a:ext uri="{FF2B5EF4-FFF2-40B4-BE49-F238E27FC236}">
              <a16:creationId xmlns:a16="http://schemas.microsoft.com/office/drawing/2014/main" id="{9810571D-4209-4146-94D2-306438E2434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578" name="AutoShape 1" descr="Resultado de imagem para whirlpool logo">
          <a:extLst>
            <a:ext uri="{FF2B5EF4-FFF2-40B4-BE49-F238E27FC236}">
              <a16:creationId xmlns:a16="http://schemas.microsoft.com/office/drawing/2014/main" id="{60A7C92A-F5F7-43D0-8082-E89A98261B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579" name="AutoShape 1" descr="Resultado de imagem para whirlpool logo">
          <a:extLst>
            <a:ext uri="{FF2B5EF4-FFF2-40B4-BE49-F238E27FC236}">
              <a16:creationId xmlns:a16="http://schemas.microsoft.com/office/drawing/2014/main" id="{7068EA14-525C-4350-8C13-EF83DFD9C7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0" name="AutoShape 1" descr="Resultado de imagem para whirlpool logo">
          <a:extLst>
            <a:ext uri="{FF2B5EF4-FFF2-40B4-BE49-F238E27FC236}">
              <a16:creationId xmlns:a16="http://schemas.microsoft.com/office/drawing/2014/main" id="{DE7536D0-B821-40BA-BA3C-62EB41CF6E3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81" name="AutoShape 1" descr="Resultado de imagem para whirlpool logo">
          <a:extLst>
            <a:ext uri="{FF2B5EF4-FFF2-40B4-BE49-F238E27FC236}">
              <a16:creationId xmlns:a16="http://schemas.microsoft.com/office/drawing/2014/main" id="{D01E614E-1872-4D9F-A562-DC902013771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2" name="AutoShape 1" descr="Resultado de imagem para whirlpool logo">
          <a:extLst>
            <a:ext uri="{FF2B5EF4-FFF2-40B4-BE49-F238E27FC236}">
              <a16:creationId xmlns:a16="http://schemas.microsoft.com/office/drawing/2014/main" id="{72B9AB56-CCA8-4943-842D-F5A348C3DE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3" name="AutoShape 1" descr="Resultado de imagem para whirlpool logo">
          <a:extLst>
            <a:ext uri="{FF2B5EF4-FFF2-40B4-BE49-F238E27FC236}">
              <a16:creationId xmlns:a16="http://schemas.microsoft.com/office/drawing/2014/main" id="{373A9101-3DB9-48EC-B365-EAB7F33C570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4" name="AutoShape 1" descr="Resultado de imagem para whirlpool logo">
          <a:extLst>
            <a:ext uri="{FF2B5EF4-FFF2-40B4-BE49-F238E27FC236}">
              <a16:creationId xmlns:a16="http://schemas.microsoft.com/office/drawing/2014/main" id="{2A3F77D0-A55D-4911-BEE8-E2B9A336D14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85" name="AutoShape 1" descr="Resultado de imagem para whirlpool logo">
          <a:extLst>
            <a:ext uri="{FF2B5EF4-FFF2-40B4-BE49-F238E27FC236}">
              <a16:creationId xmlns:a16="http://schemas.microsoft.com/office/drawing/2014/main" id="{853A369C-D937-4A89-B340-C248755030B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6" name="AutoShape 1" descr="Resultado de imagem para whirlpool logo">
          <a:extLst>
            <a:ext uri="{FF2B5EF4-FFF2-40B4-BE49-F238E27FC236}">
              <a16:creationId xmlns:a16="http://schemas.microsoft.com/office/drawing/2014/main" id="{75E3CFBE-5812-414E-A5F1-B6558045C9E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87" name="AutoShape 1" descr="Resultado de imagem para whirlpool logo">
          <a:extLst>
            <a:ext uri="{FF2B5EF4-FFF2-40B4-BE49-F238E27FC236}">
              <a16:creationId xmlns:a16="http://schemas.microsoft.com/office/drawing/2014/main" id="{D75710FE-97CA-4D09-8466-F8CD128DF6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88" name="AutoShape 1" descr="Resultado de imagem para whirlpool logo">
          <a:extLst>
            <a:ext uri="{FF2B5EF4-FFF2-40B4-BE49-F238E27FC236}">
              <a16:creationId xmlns:a16="http://schemas.microsoft.com/office/drawing/2014/main" id="{C016B55E-793E-49A5-B23E-73216D6F079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89" name="AutoShape 1" descr="Resultado de imagem para whirlpool logo">
          <a:extLst>
            <a:ext uri="{FF2B5EF4-FFF2-40B4-BE49-F238E27FC236}">
              <a16:creationId xmlns:a16="http://schemas.microsoft.com/office/drawing/2014/main" id="{72D2F914-1EF7-4138-B0FB-B161FB880EC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0" name="AutoShape 1" descr="Resultado de imagem para whirlpool logo">
          <a:extLst>
            <a:ext uri="{FF2B5EF4-FFF2-40B4-BE49-F238E27FC236}">
              <a16:creationId xmlns:a16="http://schemas.microsoft.com/office/drawing/2014/main" id="{D6ABE403-0BD6-4771-A908-5A3A13C89A4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91" name="AutoShape 1" descr="Resultado de imagem para whirlpool logo">
          <a:extLst>
            <a:ext uri="{FF2B5EF4-FFF2-40B4-BE49-F238E27FC236}">
              <a16:creationId xmlns:a16="http://schemas.microsoft.com/office/drawing/2014/main" id="{81314071-963B-44E0-B116-F2EFC66D0A7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2" name="AutoShape 1" descr="Resultado de imagem para whirlpool logo">
          <a:extLst>
            <a:ext uri="{FF2B5EF4-FFF2-40B4-BE49-F238E27FC236}">
              <a16:creationId xmlns:a16="http://schemas.microsoft.com/office/drawing/2014/main" id="{6A4E6332-5874-4932-9574-06C06134549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93" name="AutoShape 1" descr="Resultado de imagem para whirlpool logo">
          <a:extLst>
            <a:ext uri="{FF2B5EF4-FFF2-40B4-BE49-F238E27FC236}">
              <a16:creationId xmlns:a16="http://schemas.microsoft.com/office/drawing/2014/main" id="{EAD34BB7-2C1B-4DCA-9983-65012B91325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4" name="AutoShape 1" descr="Resultado de imagem para whirlpool logo">
          <a:extLst>
            <a:ext uri="{FF2B5EF4-FFF2-40B4-BE49-F238E27FC236}">
              <a16:creationId xmlns:a16="http://schemas.microsoft.com/office/drawing/2014/main" id="{D94629B7-DBEA-4FF5-A67F-2646D1C8EFE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5" name="AutoShape 1" descr="Resultado de imagem para whirlpool logo">
          <a:extLst>
            <a:ext uri="{FF2B5EF4-FFF2-40B4-BE49-F238E27FC236}">
              <a16:creationId xmlns:a16="http://schemas.microsoft.com/office/drawing/2014/main" id="{5264D536-3A00-4E06-B659-E52A88324C7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96" name="AutoShape 1" descr="Resultado de imagem para whirlpool logo">
          <a:extLst>
            <a:ext uri="{FF2B5EF4-FFF2-40B4-BE49-F238E27FC236}">
              <a16:creationId xmlns:a16="http://schemas.microsoft.com/office/drawing/2014/main" id="{00CE291D-7434-4C3A-8081-32C5BF6AAC7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7" name="AutoShape 1" descr="Resultado de imagem para whirlpool logo">
          <a:extLst>
            <a:ext uri="{FF2B5EF4-FFF2-40B4-BE49-F238E27FC236}">
              <a16:creationId xmlns:a16="http://schemas.microsoft.com/office/drawing/2014/main" id="{24F1639F-8E6E-42BA-9D15-E3016604067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598" name="AutoShape 1" descr="Resultado de imagem para whirlpool logo">
          <a:extLst>
            <a:ext uri="{FF2B5EF4-FFF2-40B4-BE49-F238E27FC236}">
              <a16:creationId xmlns:a16="http://schemas.microsoft.com/office/drawing/2014/main" id="{F7655D4C-BE58-47B7-BB24-74B5BCA074F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599" name="AutoShape 1" descr="Resultado de imagem para whirlpool logo">
          <a:extLst>
            <a:ext uri="{FF2B5EF4-FFF2-40B4-BE49-F238E27FC236}">
              <a16:creationId xmlns:a16="http://schemas.microsoft.com/office/drawing/2014/main" id="{76185737-25C8-4BCC-9D42-8C30FA47E47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0" name="AutoShape 1" descr="Resultado de imagem para whirlpool logo">
          <a:extLst>
            <a:ext uri="{FF2B5EF4-FFF2-40B4-BE49-F238E27FC236}">
              <a16:creationId xmlns:a16="http://schemas.microsoft.com/office/drawing/2014/main" id="{894739C4-17DB-4318-935F-5761C916421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01" name="AutoShape 1" descr="Resultado de imagem para whirlpool logo">
          <a:extLst>
            <a:ext uri="{FF2B5EF4-FFF2-40B4-BE49-F238E27FC236}">
              <a16:creationId xmlns:a16="http://schemas.microsoft.com/office/drawing/2014/main" id="{175E6003-F8CB-412F-9E91-296F6A12604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2" name="AutoShape 1" descr="Resultado de imagem para whirlpool logo">
          <a:extLst>
            <a:ext uri="{FF2B5EF4-FFF2-40B4-BE49-F238E27FC236}">
              <a16:creationId xmlns:a16="http://schemas.microsoft.com/office/drawing/2014/main" id="{E4EE412D-8B27-4A9B-BACC-94DE498699C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03" name="AutoShape 1" descr="Resultado de imagem para whirlpool logo">
          <a:extLst>
            <a:ext uri="{FF2B5EF4-FFF2-40B4-BE49-F238E27FC236}">
              <a16:creationId xmlns:a16="http://schemas.microsoft.com/office/drawing/2014/main" id="{93C50645-CB3B-45A7-B8E5-445554FF6B0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4" name="AutoShape 1" descr="Resultado de imagem para whirlpool logo">
          <a:extLst>
            <a:ext uri="{FF2B5EF4-FFF2-40B4-BE49-F238E27FC236}">
              <a16:creationId xmlns:a16="http://schemas.microsoft.com/office/drawing/2014/main" id="{97EB88DF-11F0-4A92-8BE0-BDB9607603A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5" name="AutoShape 1" descr="Resultado de imagem para whirlpool logo">
          <a:extLst>
            <a:ext uri="{FF2B5EF4-FFF2-40B4-BE49-F238E27FC236}">
              <a16:creationId xmlns:a16="http://schemas.microsoft.com/office/drawing/2014/main" id="{A3A2C550-5ACA-4C8E-9C57-6B88EC7CA35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06" name="AutoShape 1" descr="Resultado de imagem para whirlpool logo">
          <a:extLst>
            <a:ext uri="{FF2B5EF4-FFF2-40B4-BE49-F238E27FC236}">
              <a16:creationId xmlns:a16="http://schemas.microsoft.com/office/drawing/2014/main" id="{65AA5907-05E6-4BB2-8989-B2B8324B84B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7" name="AutoShape 1" descr="Resultado de imagem para whirlpool logo">
          <a:extLst>
            <a:ext uri="{FF2B5EF4-FFF2-40B4-BE49-F238E27FC236}">
              <a16:creationId xmlns:a16="http://schemas.microsoft.com/office/drawing/2014/main" id="{449E6161-2634-47BE-BE2C-D7075BDB783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08" name="AutoShape 1" descr="Resultado de imagem para whirlpool logo">
          <a:extLst>
            <a:ext uri="{FF2B5EF4-FFF2-40B4-BE49-F238E27FC236}">
              <a16:creationId xmlns:a16="http://schemas.microsoft.com/office/drawing/2014/main" id="{AC088514-F6F1-4143-8333-B5DE7CA0A4E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09" name="AutoShape 1" descr="Resultado de imagem para whirlpool logo">
          <a:extLst>
            <a:ext uri="{FF2B5EF4-FFF2-40B4-BE49-F238E27FC236}">
              <a16:creationId xmlns:a16="http://schemas.microsoft.com/office/drawing/2014/main" id="{4531AF87-D46B-4F09-ABBE-C44DE065356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0" name="AutoShape 1" descr="Resultado de imagem para whirlpool logo">
          <a:extLst>
            <a:ext uri="{FF2B5EF4-FFF2-40B4-BE49-F238E27FC236}">
              <a16:creationId xmlns:a16="http://schemas.microsoft.com/office/drawing/2014/main" id="{4515739A-DCE2-49E6-BADC-3E053480816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11" name="AutoShape 1" descr="Resultado de imagem para whirlpool logo">
          <a:extLst>
            <a:ext uri="{FF2B5EF4-FFF2-40B4-BE49-F238E27FC236}">
              <a16:creationId xmlns:a16="http://schemas.microsoft.com/office/drawing/2014/main" id="{F3A43EEB-0B4A-4F58-873D-F6A4AD04F7A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2" name="AutoShape 1" descr="Resultado de imagem para whirlpool logo">
          <a:extLst>
            <a:ext uri="{FF2B5EF4-FFF2-40B4-BE49-F238E27FC236}">
              <a16:creationId xmlns:a16="http://schemas.microsoft.com/office/drawing/2014/main" id="{FF6669A0-3D1F-46F0-8139-9CBAF708936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3" name="AutoShape 1" descr="Resultado de imagem para whirlpool logo">
          <a:extLst>
            <a:ext uri="{FF2B5EF4-FFF2-40B4-BE49-F238E27FC236}">
              <a16:creationId xmlns:a16="http://schemas.microsoft.com/office/drawing/2014/main" id="{A13E9E3D-F749-4C45-AA9F-1654F4F2EB5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14" name="AutoShape 1" descr="Resultado de imagem para whirlpool logo">
          <a:extLst>
            <a:ext uri="{FF2B5EF4-FFF2-40B4-BE49-F238E27FC236}">
              <a16:creationId xmlns:a16="http://schemas.microsoft.com/office/drawing/2014/main" id="{299FDAB5-E106-426D-A2F8-3BA3CEA1B5E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5" name="AutoShape 1" descr="Resultado de imagem para whirlpool logo">
          <a:extLst>
            <a:ext uri="{FF2B5EF4-FFF2-40B4-BE49-F238E27FC236}">
              <a16:creationId xmlns:a16="http://schemas.microsoft.com/office/drawing/2014/main" id="{F83F7645-CAB3-4940-8C6C-3E7D08E00D9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16" name="AutoShape 1" descr="Resultado de imagem para whirlpool logo">
          <a:extLst>
            <a:ext uri="{FF2B5EF4-FFF2-40B4-BE49-F238E27FC236}">
              <a16:creationId xmlns:a16="http://schemas.microsoft.com/office/drawing/2014/main" id="{C85AF3B0-C7AC-4F3D-880E-55CE425368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7" name="AutoShape 1" descr="Resultado de imagem para whirlpool logo">
          <a:extLst>
            <a:ext uri="{FF2B5EF4-FFF2-40B4-BE49-F238E27FC236}">
              <a16:creationId xmlns:a16="http://schemas.microsoft.com/office/drawing/2014/main" id="{E04E899D-EB1C-4CEC-9287-662603D03F2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18" name="AutoShape 1" descr="Resultado de imagem para whirlpool logo">
          <a:extLst>
            <a:ext uri="{FF2B5EF4-FFF2-40B4-BE49-F238E27FC236}">
              <a16:creationId xmlns:a16="http://schemas.microsoft.com/office/drawing/2014/main" id="{AA555463-0E0E-417E-9294-143596365E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19" name="AutoShape 1" descr="Resultado de imagem para whirlpool logo">
          <a:extLst>
            <a:ext uri="{FF2B5EF4-FFF2-40B4-BE49-F238E27FC236}">
              <a16:creationId xmlns:a16="http://schemas.microsoft.com/office/drawing/2014/main" id="{03E348C7-793D-44FC-AA17-6E1CAD5B0AE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0" name="AutoShape 1" descr="Resultado de imagem para whirlpool logo">
          <a:extLst>
            <a:ext uri="{FF2B5EF4-FFF2-40B4-BE49-F238E27FC236}">
              <a16:creationId xmlns:a16="http://schemas.microsoft.com/office/drawing/2014/main" id="{4CB7666D-C486-43F8-8EAD-ABB3CF5FAF6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21" name="AutoShape 1" descr="Resultado de imagem para whirlpool logo">
          <a:extLst>
            <a:ext uri="{FF2B5EF4-FFF2-40B4-BE49-F238E27FC236}">
              <a16:creationId xmlns:a16="http://schemas.microsoft.com/office/drawing/2014/main" id="{2843BAAB-E679-4F29-AAF3-B5DAAFDB7E8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2" name="AutoShape 1" descr="Resultado de imagem para whirlpool logo">
          <a:extLst>
            <a:ext uri="{FF2B5EF4-FFF2-40B4-BE49-F238E27FC236}">
              <a16:creationId xmlns:a16="http://schemas.microsoft.com/office/drawing/2014/main" id="{ECF56FFF-4659-45E2-8FAA-FA215594343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3" name="AutoShape 1" descr="Resultado de imagem para whirlpool logo">
          <a:extLst>
            <a:ext uri="{FF2B5EF4-FFF2-40B4-BE49-F238E27FC236}">
              <a16:creationId xmlns:a16="http://schemas.microsoft.com/office/drawing/2014/main" id="{E46B309E-6E6E-4041-A33D-778FEAED2A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24" name="AutoShape 1" descr="Resultado de imagem para whirlpool logo">
          <a:extLst>
            <a:ext uri="{FF2B5EF4-FFF2-40B4-BE49-F238E27FC236}">
              <a16:creationId xmlns:a16="http://schemas.microsoft.com/office/drawing/2014/main" id="{96DB7591-A64A-4038-B18D-C13393B3C38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5" name="AutoShape 1" descr="Resultado de imagem para whirlpool logo">
          <a:extLst>
            <a:ext uri="{FF2B5EF4-FFF2-40B4-BE49-F238E27FC236}">
              <a16:creationId xmlns:a16="http://schemas.microsoft.com/office/drawing/2014/main" id="{17D4525E-CA23-4680-BB7B-6118A90FA44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26" name="AutoShape 1" descr="Resultado de imagem para whirlpool logo">
          <a:extLst>
            <a:ext uri="{FF2B5EF4-FFF2-40B4-BE49-F238E27FC236}">
              <a16:creationId xmlns:a16="http://schemas.microsoft.com/office/drawing/2014/main" id="{45341BBC-F8A2-4585-9910-DBAE2DE8B9A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7" name="AutoShape 1" descr="Resultado de imagem para whirlpool logo">
          <a:extLst>
            <a:ext uri="{FF2B5EF4-FFF2-40B4-BE49-F238E27FC236}">
              <a16:creationId xmlns:a16="http://schemas.microsoft.com/office/drawing/2014/main" id="{D0693ED0-A8B4-4B92-A7B8-A0DF237818E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28" name="AutoShape 1" descr="Resultado de imagem para whirlpool logo">
          <a:extLst>
            <a:ext uri="{FF2B5EF4-FFF2-40B4-BE49-F238E27FC236}">
              <a16:creationId xmlns:a16="http://schemas.microsoft.com/office/drawing/2014/main" id="{2AAE1B18-4D6A-4891-83E2-698A5CD34C4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29" name="AutoShape 1" descr="Resultado de imagem para whirlpool logo">
          <a:extLst>
            <a:ext uri="{FF2B5EF4-FFF2-40B4-BE49-F238E27FC236}">
              <a16:creationId xmlns:a16="http://schemas.microsoft.com/office/drawing/2014/main" id="{4B88C41A-8DCB-4E33-927D-AC78190E2AA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0" name="AutoShape 1" descr="Resultado de imagem para whirlpool logo">
          <a:extLst>
            <a:ext uri="{FF2B5EF4-FFF2-40B4-BE49-F238E27FC236}">
              <a16:creationId xmlns:a16="http://schemas.microsoft.com/office/drawing/2014/main" id="{6D47DA91-D699-40EA-BA56-C96206ED432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1" name="AutoShape 1" descr="Resultado de imagem para whirlpool logo">
          <a:extLst>
            <a:ext uri="{FF2B5EF4-FFF2-40B4-BE49-F238E27FC236}">
              <a16:creationId xmlns:a16="http://schemas.microsoft.com/office/drawing/2014/main" id="{66FA0435-15BD-4C4B-8582-CD6D2F3A9C9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32" name="AutoShape 1" descr="Resultado de imagem para whirlpool logo">
          <a:extLst>
            <a:ext uri="{FF2B5EF4-FFF2-40B4-BE49-F238E27FC236}">
              <a16:creationId xmlns:a16="http://schemas.microsoft.com/office/drawing/2014/main" id="{0FA347BD-F799-4C03-AB08-06473FFC86F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3" name="AutoShape 1" descr="Resultado de imagem para whirlpool logo">
          <a:extLst>
            <a:ext uri="{FF2B5EF4-FFF2-40B4-BE49-F238E27FC236}">
              <a16:creationId xmlns:a16="http://schemas.microsoft.com/office/drawing/2014/main" id="{F376959B-7F43-448D-B4BB-FB5FF18AACA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34" name="AutoShape 1" descr="Resultado de imagem para whirlpool logo">
          <a:extLst>
            <a:ext uri="{FF2B5EF4-FFF2-40B4-BE49-F238E27FC236}">
              <a16:creationId xmlns:a16="http://schemas.microsoft.com/office/drawing/2014/main" id="{891B26D6-D02E-48B1-AB8C-E0315B8699B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5" name="AutoShape 1" descr="Resultado de imagem para whirlpool logo">
          <a:extLst>
            <a:ext uri="{FF2B5EF4-FFF2-40B4-BE49-F238E27FC236}">
              <a16:creationId xmlns:a16="http://schemas.microsoft.com/office/drawing/2014/main" id="{94B1D848-B8E7-4661-A022-CA2CCC88CB1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36" name="AutoShape 1" descr="Resultado de imagem para whirlpool logo">
          <a:extLst>
            <a:ext uri="{FF2B5EF4-FFF2-40B4-BE49-F238E27FC236}">
              <a16:creationId xmlns:a16="http://schemas.microsoft.com/office/drawing/2014/main" id="{C23960B5-BB13-4463-B4C2-3CAC6F6E3DD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7" name="AutoShape 1" descr="Resultado de imagem para whirlpool logo">
          <a:extLst>
            <a:ext uri="{FF2B5EF4-FFF2-40B4-BE49-F238E27FC236}">
              <a16:creationId xmlns:a16="http://schemas.microsoft.com/office/drawing/2014/main" id="{444A89E4-B85A-45D1-AD96-750CF62A71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38" name="AutoShape 1" descr="Resultado de imagem para whirlpool logo">
          <a:extLst>
            <a:ext uri="{FF2B5EF4-FFF2-40B4-BE49-F238E27FC236}">
              <a16:creationId xmlns:a16="http://schemas.microsoft.com/office/drawing/2014/main" id="{D2C42509-444F-4910-8801-338FF513520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39" name="AutoShape 1" descr="Resultado de imagem para whirlpool logo">
          <a:extLst>
            <a:ext uri="{FF2B5EF4-FFF2-40B4-BE49-F238E27FC236}">
              <a16:creationId xmlns:a16="http://schemas.microsoft.com/office/drawing/2014/main" id="{28268E6E-A31F-4887-95AA-028BADA42F6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0" name="AutoShape 1" descr="Resultado de imagem para whirlpool logo">
          <a:extLst>
            <a:ext uri="{FF2B5EF4-FFF2-40B4-BE49-F238E27FC236}">
              <a16:creationId xmlns:a16="http://schemas.microsoft.com/office/drawing/2014/main" id="{18BA340C-8D8E-4EBE-B251-D8D3F9D184C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1" name="AutoShape 1" descr="Resultado de imagem para whirlpool logo">
          <a:extLst>
            <a:ext uri="{FF2B5EF4-FFF2-40B4-BE49-F238E27FC236}">
              <a16:creationId xmlns:a16="http://schemas.microsoft.com/office/drawing/2014/main" id="{25921232-FDE0-4160-A090-BA5996DBA7E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42" name="AutoShape 1" descr="Resultado de imagem para whirlpool logo">
          <a:extLst>
            <a:ext uri="{FF2B5EF4-FFF2-40B4-BE49-F238E27FC236}">
              <a16:creationId xmlns:a16="http://schemas.microsoft.com/office/drawing/2014/main" id="{F4DB0426-9364-4091-BE5C-F6A36FA2DEE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3" name="AutoShape 1" descr="Resultado de imagem para whirlpool logo">
          <a:extLst>
            <a:ext uri="{FF2B5EF4-FFF2-40B4-BE49-F238E27FC236}">
              <a16:creationId xmlns:a16="http://schemas.microsoft.com/office/drawing/2014/main" id="{413D9552-2441-4DA0-AF0F-19D022A4645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44" name="AutoShape 1" descr="Resultado de imagem para whirlpool logo">
          <a:extLst>
            <a:ext uri="{FF2B5EF4-FFF2-40B4-BE49-F238E27FC236}">
              <a16:creationId xmlns:a16="http://schemas.microsoft.com/office/drawing/2014/main" id="{75FFCE8F-E29E-4B4D-8F85-1F1B0B66E96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5" name="AutoShape 1" descr="Resultado de imagem para whirlpool logo">
          <a:extLst>
            <a:ext uri="{FF2B5EF4-FFF2-40B4-BE49-F238E27FC236}">
              <a16:creationId xmlns:a16="http://schemas.microsoft.com/office/drawing/2014/main" id="{FB5A14A8-ED39-41D0-AA71-E66CF1A9BE0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6" name="AutoShape 1" descr="Resultado de imagem para whirlpool logo">
          <a:extLst>
            <a:ext uri="{FF2B5EF4-FFF2-40B4-BE49-F238E27FC236}">
              <a16:creationId xmlns:a16="http://schemas.microsoft.com/office/drawing/2014/main" id="{AD3C544E-FF77-4AE2-A003-39C1321CEE9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7" name="AutoShape 1" descr="Resultado de imagem para whirlpool logo">
          <a:extLst>
            <a:ext uri="{FF2B5EF4-FFF2-40B4-BE49-F238E27FC236}">
              <a16:creationId xmlns:a16="http://schemas.microsoft.com/office/drawing/2014/main" id="{B000F8E3-B3BA-4A05-9B35-CE26BE1CDED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48" name="AutoShape 1" descr="Resultado de imagem para whirlpool logo">
          <a:extLst>
            <a:ext uri="{FF2B5EF4-FFF2-40B4-BE49-F238E27FC236}">
              <a16:creationId xmlns:a16="http://schemas.microsoft.com/office/drawing/2014/main" id="{749AC17F-2BC3-42C4-BB05-86406B51C3E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49" name="AutoShape 1" descr="Resultado de imagem para whirlpool logo">
          <a:extLst>
            <a:ext uri="{FF2B5EF4-FFF2-40B4-BE49-F238E27FC236}">
              <a16:creationId xmlns:a16="http://schemas.microsoft.com/office/drawing/2014/main" id="{391CA1A9-A763-45E1-80D3-2EB8621B413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50" name="AutoShape 1" descr="Resultado de imagem para whirlpool logo">
          <a:extLst>
            <a:ext uri="{FF2B5EF4-FFF2-40B4-BE49-F238E27FC236}">
              <a16:creationId xmlns:a16="http://schemas.microsoft.com/office/drawing/2014/main" id="{A971993E-137C-4C85-9158-DDEC5D6FAF5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51" name="AutoShape 1" descr="Resultado de imagem para whirlpool logo">
          <a:extLst>
            <a:ext uri="{FF2B5EF4-FFF2-40B4-BE49-F238E27FC236}">
              <a16:creationId xmlns:a16="http://schemas.microsoft.com/office/drawing/2014/main" id="{BFBBAAAA-74CF-4A38-BB46-687663B37C8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52" name="AutoShape 1" descr="Resultado de imagem para whirlpool logo">
          <a:extLst>
            <a:ext uri="{FF2B5EF4-FFF2-40B4-BE49-F238E27FC236}">
              <a16:creationId xmlns:a16="http://schemas.microsoft.com/office/drawing/2014/main" id="{00847733-4D38-467D-81AB-18E4681A27A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53" name="AutoShape 1" descr="Resultado de imagem para whirlpool logo">
          <a:extLst>
            <a:ext uri="{FF2B5EF4-FFF2-40B4-BE49-F238E27FC236}">
              <a16:creationId xmlns:a16="http://schemas.microsoft.com/office/drawing/2014/main" id="{60A4D0EE-C289-4354-8592-12C9B0CCB91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54" name="AutoShape 1" descr="Resultado de imagem para whirlpool logo">
          <a:extLst>
            <a:ext uri="{FF2B5EF4-FFF2-40B4-BE49-F238E27FC236}">
              <a16:creationId xmlns:a16="http://schemas.microsoft.com/office/drawing/2014/main" id="{9687E7F1-D443-4ACC-BCAC-9140A8B470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55" name="AutoShape 1" descr="Resultado de imagem para whirlpool logo">
          <a:extLst>
            <a:ext uri="{FF2B5EF4-FFF2-40B4-BE49-F238E27FC236}">
              <a16:creationId xmlns:a16="http://schemas.microsoft.com/office/drawing/2014/main" id="{1DBC5972-977E-4956-B8CE-50D337063E1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56" name="AutoShape 1" descr="Resultado de imagem para whirlpool logo">
          <a:extLst>
            <a:ext uri="{FF2B5EF4-FFF2-40B4-BE49-F238E27FC236}">
              <a16:creationId xmlns:a16="http://schemas.microsoft.com/office/drawing/2014/main" id="{364A9722-2B64-4BC0-B4C9-835180B9C48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57" name="AutoShape 1" descr="Resultado de imagem para whirlpool logo">
          <a:extLst>
            <a:ext uri="{FF2B5EF4-FFF2-40B4-BE49-F238E27FC236}">
              <a16:creationId xmlns:a16="http://schemas.microsoft.com/office/drawing/2014/main" id="{28F92231-CFDF-4903-9A90-924DBF53C25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58" name="AutoShape 1" descr="Resultado de imagem para whirlpool logo">
          <a:extLst>
            <a:ext uri="{FF2B5EF4-FFF2-40B4-BE49-F238E27FC236}">
              <a16:creationId xmlns:a16="http://schemas.microsoft.com/office/drawing/2014/main" id="{341CB9DA-5B0A-4731-A37B-6DB6E096BEC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59" name="AutoShape 1" descr="Resultado de imagem para whirlpool logo">
          <a:extLst>
            <a:ext uri="{FF2B5EF4-FFF2-40B4-BE49-F238E27FC236}">
              <a16:creationId xmlns:a16="http://schemas.microsoft.com/office/drawing/2014/main" id="{32F3535A-5E0A-40FD-AC30-DDBD4B45D2F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0" name="AutoShape 1" descr="Resultado de imagem para whirlpool logo">
          <a:extLst>
            <a:ext uri="{FF2B5EF4-FFF2-40B4-BE49-F238E27FC236}">
              <a16:creationId xmlns:a16="http://schemas.microsoft.com/office/drawing/2014/main" id="{7CFE7E82-A703-4ED0-AADA-4B27715EE2D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61" name="AutoShape 1" descr="Resultado de imagem para whirlpool logo">
          <a:extLst>
            <a:ext uri="{FF2B5EF4-FFF2-40B4-BE49-F238E27FC236}">
              <a16:creationId xmlns:a16="http://schemas.microsoft.com/office/drawing/2014/main" id="{B1213FCD-82DB-44C5-ACA2-71BBAF74413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2" name="AutoShape 1" descr="Resultado de imagem para whirlpool logo">
          <a:extLst>
            <a:ext uri="{FF2B5EF4-FFF2-40B4-BE49-F238E27FC236}">
              <a16:creationId xmlns:a16="http://schemas.microsoft.com/office/drawing/2014/main" id="{E9F5E91D-D501-4AA8-84F5-698EF2D3312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3" name="AutoShape 1" descr="Resultado de imagem para whirlpool logo">
          <a:extLst>
            <a:ext uri="{FF2B5EF4-FFF2-40B4-BE49-F238E27FC236}">
              <a16:creationId xmlns:a16="http://schemas.microsoft.com/office/drawing/2014/main" id="{E9A20C90-7BC3-4CF7-8ECB-085CADBEB29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4" name="AutoShape 1" descr="Resultado de imagem para whirlpool logo">
          <a:extLst>
            <a:ext uri="{FF2B5EF4-FFF2-40B4-BE49-F238E27FC236}">
              <a16:creationId xmlns:a16="http://schemas.microsoft.com/office/drawing/2014/main" id="{22E28DAF-0528-4EE4-A0F8-23D13ADB8E8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65" name="AutoShape 1" descr="Resultado de imagem para whirlpool logo">
          <a:extLst>
            <a:ext uri="{FF2B5EF4-FFF2-40B4-BE49-F238E27FC236}">
              <a16:creationId xmlns:a16="http://schemas.microsoft.com/office/drawing/2014/main" id="{C97FFB3C-3E7E-4D27-BACE-1B6F72DCCA6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6" name="AutoShape 1" descr="Resultado de imagem para whirlpool logo">
          <a:extLst>
            <a:ext uri="{FF2B5EF4-FFF2-40B4-BE49-F238E27FC236}">
              <a16:creationId xmlns:a16="http://schemas.microsoft.com/office/drawing/2014/main" id="{D8232829-A8B8-4E35-8401-BDD12481450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67" name="AutoShape 1" descr="Resultado de imagem para whirlpool logo">
          <a:extLst>
            <a:ext uri="{FF2B5EF4-FFF2-40B4-BE49-F238E27FC236}">
              <a16:creationId xmlns:a16="http://schemas.microsoft.com/office/drawing/2014/main" id="{AA3E5B60-44E0-482B-A084-8CB7D4BE467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68" name="AutoShape 1" descr="Resultado de imagem para whirlpool logo">
          <a:extLst>
            <a:ext uri="{FF2B5EF4-FFF2-40B4-BE49-F238E27FC236}">
              <a16:creationId xmlns:a16="http://schemas.microsoft.com/office/drawing/2014/main" id="{EABA546E-F842-4FC6-97DC-C3BC7F0E82E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69" name="AutoShape 1" descr="Resultado de imagem para whirlpool logo">
          <a:extLst>
            <a:ext uri="{FF2B5EF4-FFF2-40B4-BE49-F238E27FC236}">
              <a16:creationId xmlns:a16="http://schemas.microsoft.com/office/drawing/2014/main" id="{0E27F972-10E3-4423-AEC5-39C44E9D923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70" name="AutoShape 1" descr="Resultado de imagem para whirlpool logo">
          <a:extLst>
            <a:ext uri="{FF2B5EF4-FFF2-40B4-BE49-F238E27FC236}">
              <a16:creationId xmlns:a16="http://schemas.microsoft.com/office/drawing/2014/main" id="{1ABED927-8978-4FBE-A729-FA824D19820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71" name="AutoShape 1" descr="Resultado de imagem para whirlpool logo">
          <a:extLst>
            <a:ext uri="{FF2B5EF4-FFF2-40B4-BE49-F238E27FC236}">
              <a16:creationId xmlns:a16="http://schemas.microsoft.com/office/drawing/2014/main" id="{721FEB2B-46D3-41DD-AB59-FE5EAD047A4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72" name="AutoShape 1" descr="Resultado de imagem para whirlpool logo">
          <a:extLst>
            <a:ext uri="{FF2B5EF4-FFF2-40B4-BE49-F238E27FC236}">
              <a16:creationId xmlns:a16="http://schemas.microsoft.com/office/drawing/2014/main" id="{919CD821-F31F-4CE7-8706-42EA7ECDC12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73" name="AutoShape 1" descr="Resultado de imagem para whirlpool logo">
          <a:extLst>
            <a:ext uri="{FF2B5EF4-FFF2-40B4-BE49-F238E27FC236}">
              <a16:creationId xmlns:a16="http://schemas.microsoft.com/office/drawing/2014/main" id="{C14A77D9-B78B-4206-AF96-F964363D87A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74" name="AutoShape 1" descr="Resultado de imagem para whirlpool logo">
          <a:extLst>
            <a:ext uri="{FF2B5EF4-FFF2-40B4-BE49-F238E27FC236}">
              <a16:creationId xmlns:a16="http://schemas.microsoft.com/office/drawing/2014/main" id="{3CB9C126-B58B-419B-9F04-0443F883E6C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75" name="AutoShape 1" descr="Resultado de imagem para whirlpool logo">
          <a:extLst>
            <a:ext uri="{FF2B5EF4-FFF2-40B4-BE49-F238E27FC236}">
              <a16:creationId xmlns:a16="http://schemas.microsoft.com/office/drawing/2014/main" id="{ABAF8513-18B7-4D29-AA3A-662E38FFFBE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676" name="AutoShape 1" descr="Resultado de imagem para whirlpool logo">
          <a:extLst>
            <a:ext uri="{FF2B5EF4-FFF2-40B4-BE49-F238E27FC236}">
              <a16:creationId xmlns:a16="http://schemas.microsoft.com/office/drawing/2014/main" id="{5B339FBB-5429-4C61-99C5-23BB5EE2464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677" name="AutoShape 1" descr="Resultado de imagem para whirlpool logo">
          <a:extLst>
            <a:ext uri="{FF2B5EF4-FFF2-40B4-BE49-F238E27FC236}">
              <a16:creationId xmlns:a16="http://schemas.microsoft.com/office/drawing/2014/main" id="{65982D19-4665-4A63-8663-A95014AD1EB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678" name="AutoShape 1" descr="Resultado de imagem para whirlpool logo">
          <a:extLst>
            <a:ext uri="{FF2B5EF4-FFF2-40B4-BE49-F238E27FC236}">
              <a16:creationId xmlns:a16="http://schemas.microsoft.com/office/drawing/2014/main" id="{D6C87251-04D0-44EB-8947-6B4A4E0F5D46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679" name="AutoShape 1" descr="Resultado de imagem para whirlpool logo">
          <a:extLst>
            <a:ext uri="{FF2B5EF4-FFF2-40B4-BE49-F238E27FC236}">
              <a16:creationId xmlns:a16="http://schemas.microsoft.com/office/drawing/2014/main" id="{D640E1BB-92DB-4C0E-BD82-C61BE3A911A6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680" name="AutoShape 1" descr="Resultado de imagem para whirlpool logo">
          <a:extLst>
            <a:ext uri="{FF2B5EF4-FFF2-40B4-BE49-F238E27FC236}">
              <a16:creationId xmlns:a16="http://schemas.microsoft.com/office/drawing/2014/main" id="{B91DD51E-4B33-4B7D-9095-89B1F662E277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681" name="AutoShape 1" descr="Resultado de imagem para whirlpool logo">
          <a:extLst>
            <a:ext uri="{FF2B5EF4-FFF2-40B4-BE49-F238E27FC236}">
              <a16:creationId xmlns:a16="http://schemas.microsoft.com/office/drawing/2014/main" id="{49246CA7-05F6-422D-BDEE-4E19C713A5F2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682" name="AutoShape 1" descr="Resultado de imagem para whirlpool logo">
          <a:extLst>
            <a:ext uri="{FF2B5EF4-FFF2-40B4-BE49-F238E27FC236}">
              <a16:creationId xmlns:a16="http://schemas.microsoft.com/office/drawing/2014/main" id="{798D8CF6-228C-47DE-A751-A68538336AD5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683" name="AutoShape 1" descr="Resultado de imagem para whirlpool logo">
          <a:extLst>
            <a:ext uri="{FF2B5EF4-FFF2-40B4-BE49-F238E27FC236}">
              <a16:creationId xmlns:a16="http://schemas.microsoft.com/office/drawing/2014/main" id="{52492B47-A3A5-448D-AAD6-500FFFE6AA2E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1684" name="AutoShape 1" descr="Resultado de imagem para whirlpool logo">
          <a:extLst>
            <a:ext uri="{FF2B5EF4-FFF2-40B4-BE49-F238E27FC236}">
              <a16:creationId xmlns:a16="http://schemas.microsoft.com/office/drawing/2014/main" id="{A8DEC9B1-D1C7-4456-BDDE-AA3C320862F1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1685" name="AutoShape 1" descr="Resultado de imagem para whirlpool logo">
          <a:extLst>
            <a:ext uri="{FF2B5EF4-FFF2-40B4-BE49-F238E27FC236}">
              <a16:creationId xmlns:a16="http://schemas.microsoft.com/office/drawing/2014/main" id="{48713F0A-18E5-4B03-A1A7-158BB09A8B46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86" name="AutoShape 1" descr="Resultado de imagem para whirlpool logo">
          <a:extLst>
            <a:ext uri="{FF2B5EF4-FFF2-40B4-BE49-F238E27FC236}">
              <a16:creationId xmlns:a16="http://schemas.microsoft.com/office/drawing/2014/main" id="{3C96D2B8-A54D-42BA-8E87-C00304F83C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687" name="AutoShape 1" descr="Resultado de imagem para whirlpool logo">
          <a:extLst>
            <a:ext uri="{FF2B5EF4-FFF2-40B4-BE49-F238E27FC236}">
              <a16:creationId xmlns:a16="http://schemas.microsoft.com/office/drawing/2014/main" id="{EC5EB7D8-4BBE-4186-B415-628D20A502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88" name="AutoShape 1" descr="Resultado de imagem para whirlpool logo">
          <a:extLst>
            <a:ext uri="{FF2B5EF4-FFF2-40B4-BE49-F238E27FC236}">
              <a16:creationId xmlns:a16="http://schemas.microsoft.com/office/drawing/2014/main" id="{14294D15-2DD0-4F49-AFC5-1E448F758E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89" name="AutoShape 1" descr="Resultado de imagem para whirlpool logo">
          <a:extLst>
            <a:ext uri="{FF2B5EF4-FFF2-40B4-BE49-F238E27FC236}">
              <a16:creationId xmlns:a16="http://schemas.microsoft.com/office/drawing/2014/main" id="{01927DAC-7E93-4FCF-B8CA-EE919365A7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0" name="AutoShape 1" descr="Resultado de imagem para whirlpool logo">
          <a:extLst>
            <a:ext uri="{FF2B5EF4-FFF2-40B4-BE49-F238E27FC236}">
              <a16:creationId xmlns:a16="http://schemas.microsoft.com/office/drawing/2014/main" id="{3446EDE8-A279-45EE-B30B-B8D71B29655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691" name="AutoShape 1" descr="Resultado de imagem para whirlpool logo">
          <a:extLst>
            <a:ext uri="{FF2B5EF4-FFF2-40B4-BE49-F238E27FC236}">
              <a16:creationId xmlns:a16="http://schemas.microsoft.com/office/drawing/2014/main" id="{2EF31E1C-A993-455C-93C4-EC36B23006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2" name="AutoShape 1" descr="Resultado de imagem para whirlpool logo">
          <a:extLst>
            <a:ext uri="{FF2B5EF4-FFF2-40B4-BE49-F238E27FC236}">
              <a16:creationId xmlns:a16="http://schemas.microsoft.com/office/drawing/2014/main" id="{40C620A7-F386-416C-8415-A288BC8698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693" name="AutoShape 1" descr="Resultado de imagem para whirlpool logo">
          <a:extLst>
            <a:ext uri="{FF2B5EF4-FFF2-40B4-BE49-F238E27FC236}">
              <a16:creationId xmlns:a16="http://schemas.microsoft.com/office/drawing/2014/main" id="{97689BC3-7559-4EEE-97DD-1EC40BC6C6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4" name="AutoShape 1" descr="Resultado de imagem para whirlpool logo">
          <a:extLst>
            <a:ext uri="{FF2B5EF4-FFF2-40B4-BE49-F238E27FC236}">
              <a16:creationId xmlns:a16="http://schemas.microsoft.com/office/drawing/2014/main" id="{519F56B9-62EA-4E97-B4FB-C75276F5BB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695" name="AutoShape 1" descr="Resultado de imagem para whirlpool logo">
          <a:extLst>
            <a:ext uri="{FF2B5EF4-FFF2-40B4-BE49-F238E27FC236}">
              <a16:creationId xmlns:a16="http://schemas.microsoft.com/office/drawing/2014/main" id="{5F550E14-6464-478B-A80D-562AEDD90A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6" name="AutoShape 1" descr="Resultado de imagem para whirlpool logo">
          <a:extLst>
            <a:ext uri="{FF2B5EF4-FFF2-40B4-BE49-F238E27FC236}">
              <a16:creationId xmlns:a16="http://schemas.microsoft.com/office/drawing/2014/main" id="{9DE2319B-FCB1-4B64-8E09-CFEF907A89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697" name="AutoShape 1" descr="Resultado de imagem para whirlpool logo">
          <a:extLst>
            <a:ext uri="{FF2B5EF4-FFF2-40B4-BE49-F238E27FC236}">
              <a16:creationId xmlns:a16="http://schemas.microsoft.com/office/drawing/2014/main" id="{A8AF1E94-E274-4309-831E-B99CA91E5A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8" name="AutoShape 1" descr="Resultado de imagem para whirlpool logo">
          <a:extLst>
            <a:ext uri="{FF2B5EF4-FFF2-40B4-BE49-F238E27FC236}">
              <a16:creationId xmlns:a16="http://schemas.microsoft.com/office/drawing/2014/main" id="{19D09112-00A0-4F49-9F6B-E8A11F9826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699" name="AutoShape 1" descr="Resultado de imagem para whirlpool logo">
          <a:extLst>
            <a:ext uri="{FF2B5EF4-FFF2-40B4-BE49-F238E27FC236}">
              <a16:creationId xmlns:a16="http://schemas.microsoft.com/office/drawing/2014/main" id="{32F5BC8B-31E8-4A65-900A-95F09429B5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00" name="AutoShape 1" descr="Resultado de imagem para whirlpool logo">
          <a:extLst>
            <a:ext uri="{FF2B5EF4-FFF2-40B4-BE49-F238E27FC236}">
              <a16:creationId xmlns:a16="http://schemas.microsoft.com/office/drawing/2014/main" id="{9B29CC77-2AEA-40F7-95BB-6787E420E7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701" name="AutoShape 1" descr="Resultado de imagem para whirlpool logo">
          <a:extLst>
            <a:ext uri="{FF2B5EF4-FFF2-40B4-BE49-F238E27FC236}">
              <a16:creationId xmlns:a16="http://schemas.microsoft.com/office/drawing/2014/main" id="{E6DAC4E2-7B60-4C6D-8F8B-471DC97D2B2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702" name="AutoShape 1" descr="Resultado de imagem para whirlpool logo">
          <a:extLst>
            <a:ext uri="{FF2B5EF4-FFF2-40B4-BE49-F238E27FC236}">
              <a16:creationId xmlns:a16="http://schemas.microsoft.com/office/drawing/2014/main" id="{8C95C4EF-763D-4E92-B185-FF68DC27850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703" name="AutoShape 1" descr="Resultado de imagem para whirlpool logo">
          <a:extLst>
            <a:ext uri="{FF2B5EF4-FFF2-40B4-BE49-F238E27FC236}">
              <a16:creationId xmlns:a16="http://schemas.microsoft.com/office/drawing/2014/main" id="{A5BE5B2C-922E-44AF-A39A-CAFE05E156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04" name="AutoShape 1" descr="Resultado de imagem para whirlpool logo">
          <a:extLst>
            <a:ext uri="{FF2B5EF4-FFF2-40B4-BE49-F238E27FC236}">
              <a16:creationId xmlns:a16="http://schemas.microsoft.com/office/drawing/2014/main" id="{5CCCC003-9D59-42B7-9B9E-13E1A7DB262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05" name="AutoShape 1" descr="Resultado de imagem para whirlpool logo">
          <a:extLst>
            <a:ext uri="{FF2B5EF4-FFF2-40B4-BE49-F238E27FC236}">
              <a16:creationId xmlns:a16="http://schemas.microsoft.com/office/drawing/2014/main" id="{3E75DED3-EC9C-4D96-8734-4F342D2058F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06" name="AutoShape 1" descr="Resultado de imagem para whirlpool logo">
          <a:extLst>
            <a:ext uri="{FF2B5EF4-FFF2-40B4-BE49-F238E27FC236}">
              <a16:creationId xmlns:a16="http://schemas.microsoft.com/office/drawing/2014/main" id="{1BF6BE06-6317-44F3-B224-7D0FFBFE3B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07" name="AutoShape 1" descr="Resultado de imagem para whirlpool logo">
          <a:extLst>
            <a:ext uri="{FF2B5EF4-FFF2-40B4-BE49-F238E27FC236}">
              <a16:creationId xmlns:a16="http://schemas.microsoft.com/office/drawing/2014/main" id="{66298341-7FE8-4427-9273-1F18E2D2055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08" name="AutoShape 1" descr="Resultado de imagem para whirlpool logo">
          <a:extLst>
            <a:ext uri="{FF2B5EF4-FFF2-40B4-BE49-F238E27FC236}">
              <a16:creationId xmlns:a16="http://schemas.microsoft.com/office/drawing/2014/main" id="{61CC4C81-2A47-4F78-BFCB-DAB902C13CD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09" name="AutoShape 1" descr="Resultado de imagem para whirlpool logo">
          <a:extLst>
            <a:ext uri="{FF2B5EF4-FFF2-40B4-BE49-F238E27FC236}">
              <a16:creationId xmlns:a16="http://schemas.microsoft.com/office/drawing/2014/main" id="{3206FBF6-3A51-42E5-9821-6C6E89CB7AC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0" name="AutoShape 1" descr="Resultado de imagem para whirlpool logo">
          <a:extLst>
            <a:ext uri="{FF2B5EF4-FFF2-40B4-BE49-F238E27FC236}">
              <a16:creationId xmlns:a16="http://schemas.microsoft.com/office/drawing/2014/main" id="{EAC87614-F4BB-4E35-A102-2B0917F37B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11" name="AutoShape 1" descr="Resultado de imagem para whirlpool logo">
          <a:extLst>
            <a:ext uri="{FF2B5EF4-FFF2-40B4-BE49-F238E27FC236}">
              <a16:creationId xmlns:a16="http://schemas.microsoft.com/office/drawing/2014/main" id="{D16D47CB-9D1B-4D21-90CD-D8B7B2FC05E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2" name="AutoShape 1" descr="Resultado de imagem para whirlpool logo">
          <a:extLst>
            <a:ext uri="{FF2B5EF4-FFF2-40B4-BE49-F238E27FC236}">
              <a16:creationId xmlns:a16="http://schemas.microsoft.com/office/drawing/2014/main" id="{003D470C-5839-48E4-9DD9-77E50DB08DE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13" name="AutoShape 1" descr="Resultado de imagem para whirlpool logo">
          <a:extLst>
            <a:ext uri="{FF2B5EF4-FFF2-40B4-BE49-F238E27FC236}">
              <a16:creationId xmlns:a16="http://schemas.microsoft.com/office/drawing/2014/main" id="{83DFC65E-9836-4875-B44E-4AD7451A584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4" name="AutoShape 1" descr="Resultado de imagem para whirlpool logo">
          <a:extLst>
            <a:ext uri="{FF2B5EF4-FFF2-40B4-BE49-F238E27FC236}">
              <a16:creationId xmlns:a16="http://schemas.microsoft.com/office/drawing/2014/main" id="{04E4343D-43E6-4CF8-8A35-ACE1F58EBB4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15" name="AutoShape 1" descr="Resultado de imagem para whirlpool logo">
          <a:extLst>
            <a:ext uri="{FF2B5EF4-FFF2-40B4-BE49-F238E27FC236}">
              <a16:creationId xmlns:a16="http://schemas.microsoft.com/office/drawing/2014/main" id="{C1B836BC-1EEA-473C-B29D-1B7BB1DD778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6" name="AutoShape 1" descr="Resultado de imagem para whirlpool logo">
          <a:extLst>
            <a:ext uri="{FF2B5EF4-FFF2-40B4-BE49-F238E27FC236}">
              <a16:creationId xmlns:a16="http://schemas.microsoft.com/office/drawing/2014/main" id="{4125D9DB-D5BD-4F79-BCAA-0A5AE7E1C43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17" name="AutoShape 1" descr="Resultado de imagem para whirlpool logo">
          <a:extLst>
            <a:ext uri="{FF2B5EF4-FFF2-40B4-BE49-F238E27FC236}">
              <a16:creationId xmlns:a16="http://schemas.microsoft.com/office/drawing/2014/main" id="{9954AC98-7075-42BF-9400-13A8E980EC0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8" name="AutoShape 1" descr="Resultado de imagem para whirlpool logo">
          <a:extLst>
            <a:ext uri="{FF2B5EF4-FFF2-40B4-BE49-F238E27FC236}">
              <a16:creationId xmlns:a16="http://schemas.microsoft.com/office/drawing/2014/main" id="{7CD395AB-7BC8-4C37-A1C6-3301AFC371A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19" name="AutoShape 1" descr="Resultado de imagem para whirlpool logo">
          <a:extLst>
            <a:ext uri="{FF2B5EF4-FFF2-40B4-BE49-F238E27FC236}">
              <a16:creationId xmlns:a16="http://schemas.microsoft.com/office/drawing/2014/main" id="{98D1522B-EB3C-44C6-AC6A-60B349932B7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20" name="AutoShape 1" descr="Resultado de imagem para whirlpool logo">
          <a:extLst>
            <a:ext uri="{FF2B5EF4-FFF2-40B4-BE49-F238E27FC236}">
              <a16:creationId xmlns:a16="http://schemas.microsoft.com/office/drawing/2014/main" id="{166D5A75-DB10-40C9-A09C-B9247AFA3CA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1" name="AutoShape 1" descr="Resultado de imagem para whirlpool logo">
          <a:extLst>
            <a:ext uri="{FF2B5EF4-FFF2-40B4-BE49-F238E27FC236}">
              <a16:creationId xmlns:a16="http://schemas.microsoft.com/office/drawing/2014/main" id="{75B0BC88-6943-4E74-82C0-F997B462A6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2" name="AutoShape 1" descr="Resultado de imagem para whirlpool logo">
          <a:extLst>
            <a:ext uri="{FF2B5EF4-FFF2-40B4-BE49-F238E27FC236}">
              <a16:creationId xmlns:a16="http://schemas.microsoft.com/office/drawing/2014/main" id="{DF3AC496-26E4-42C1-8490-57D76FBAB23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23" name="AutoShape 1" descr="Resultado de imagem para whirlpool logo">
          <a:extLst>
            <a:ext uri="{FF2B5EF4-FFF2-40B4-BE49-F238E27FC236}">
              <a16:creationId xmlns:a16="http://schemas.microsoft.com/office/drawing/2014/main" id="{FD2E8BEB-B625-4319-A46D-8CCE4C1B648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4" name="AutoShape 1" descr="Resultado de imagem para whirlpool logo">
          <a:extLst>
            <a:ext uri="{FF2B5EF4-FFF2-40B4-BE49-F238E27FC236}">
              <a16:creationId xmlns:a16="http://schemas.microsoft.com/office/drawing/2014/main" id="{9235998F-FA0C-4BE0-9E3F-142221691F6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25" name="AutoShape 1" descr="Resultado de imagem para whirlpool logo">
          <a:extLst>
            <a:ext uri="{FF2B5EF4-FFF2-40B4-BE49-F238E27FC236}">
              <a16:creationId xmlns:a16="http://schemas.microsoft.com/office/drawing/2014/main" id="{D9FB9CF2-667C-4D0B-ADAD-3A97B55773A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6" name="AutoShape 1" descr="Resultado de imagem para whirlpool logo">
          <a:extLst>
            <a:ext uri="{FF2B5EF4-FFF2-40B4-BE49-F238E27FC236}">
              <a16:creationId xmlns:a16="http://schemas.microsoft.com/office/drawing/2014/main" id="{3082DD67-1609-46A3-9E79-DCACEE7C554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27" name="AutoShape 1" descr="Resultado de imagem para whirlpool logo">
          <a:extLst>
            <a:ext uri="{FF2B5EF4-FFF2-40B4-BE49-F238E27FC236}">
              <a16:creationId xmlns:a16="http://schemas.microsoft.com/office/drawing/2014/main" id="{E39773C7-F38B-4825-AC30-6ACECA6685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8" name="AutoShape 1" descr="Resultado de imagem para whirlpool logo">
          <a:extLst>
            <a:ext uri="{FF2B5EF4-FFF2-40B4-BE49-F238E27FC236}">
              <a16:creationId xmlns:a16="http://schemas.microsoft.com/office/drawing/2014/main" id="{74FF48F0-D24B-4D02-9904-3A4C043AEB0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29" name="AutoShape 1" descr="Resultado de imagem para whirlpool logo">
          <a:extLst>
            <a:ext uri="{FF2B5EF4-FFF2-40B4-BE49-F238E27FC236}">
              <a16:creationId xmlns:a16="http://schemas.microsoft.com/office/drawing/2014/main" id="{F6772E0A-63A7-4E8F-841C-3043B32F3B9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30" name="AutoShape 1" descr="Resultado de imagem para whirlpool logo">
          <a:extLst>
            <a:ext uri="{FF2B5EF4-FFF2-40B4-BE49-F238E27FC236}">
              <a16:creationId xmlns:a16="http://schemas.microsoft.com/office/drawing/2014/main" id="{1C8954EC-C182-4760-9D5C-55459FE48A9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1" name="AutoShape 1" descr="Resultado de imagem para whirlpool logo">
          <a:extLst>
            <a:ext uri="{FF2B5EF4-FFF2-40B4-BE49-F238E27FC236}">
              <a16:creationId xmlns:a16="http://schemas.microsoft.com/office/drawing/2014/main" id="{834C0016-C9E2-43C8-A749-EF3D3AA200F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2" name="AutoShape 1" descr="Resultado de imagem para whirlpool logo">
          <a:extLst>
            <a:ext uri="{FF2B5EF4-FFF2-40B4-BE49-F238E27FC236}">
              <a16:creationId xmlns:a16="http://schemas.microsoft.com/office/drawing/2014/main" id="{F91E3FC7-9BD7-492C-B4A7-64058D90B12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33" name="AutoShape 1" descr="Resultado de imagem para whirlpool logo">
          <a:extLst>
            <a:ext uri="{FF2B5EF4-FFF2-40B4-BE49-F238E27FC236}">
              <a16:creationId xmlns:a16="http://schemas.microsoft.com/office/drawing/2014/main" id="{C5834F2D-7527-489C-8F3F-D086A0A577E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4" name="AutoShape 1" descr="Resultado de imagem para whirlpool logo">
          <a:extLst>
            <a:ext uri="{FF2B5EF4-FFF2-40B4-BE49-F238E27FC236}">
              <a16:creationId xmlns:a16="http://schemas.microsoft.com/office/drawing/2014/main" id="{938C52F8-2B2A-4646-A4C1-F68AB2C9A3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35" name="AutoShape 1" descr="Resultado de imagem para whirlpool logo">
          <a:extLst>
            <a:ext uri="{FF2B5EF4-FFF2-40B4-BE49-F238E27FC236}">
              <a16:creationId xmlns:a16="http://schemas.microsoft.com/office/drawing/2014/main" id="{CF7CC980-1099-409E-B0C5-1489B8F2DC8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6" name="AutoShape 1" descr="Resultado de imagem para whirlpool logo">
          <a:extLst>
            <a:ext uri="{FF2B5EF4-FFF2-40B4-BE49-F238E27FC236}">
              <a16:creationId xmlns:a16="http://schemas.microsoft.com/office/drawing/2014/main" id="{A3E275B5-703C-4D1B-9F49-3BCBCA26B44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7" name="AutoShape 1" descr="Resultado de imagem para whirlpool logo">
          <a:extLst>
            <a:ext uri="{FF2B5EF4-FFF2-40B4-BE49-F238E27FC236}">
              <a16:creationId xmlns:a16="http://schemas.microsoft.com/office/drawing/2014/main" id="{FC10F892-9DAB-476F-9CCF-3A596491BB1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38" name="AutoShape 1" descr="Resultado de imagem para whirlpool logo">
          <a:extLst>
            <a:ext uri="{FF2B5EF4-FFF2-40B4-BE49-F238E27FC236}">
              <a16:creationId xmlns:a16="http://schemas.microsoft.com/office/drawing/2014/main" id="{A5D7D365-777C-4244-B785-812631542D8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39" name="AutoShape 1" descr="Resultado de imagem para whirlpool logo">
          <a:extLst>
            <a:ext uri="{FF2B5EF4-FFF2-40B4-BE49-F238E27FC236}">
              <a16:creationId xmlns:a16="http://schemas.microsoft.com/office/drawing/2014/main" id="{561E0373-143F-422D-B5B0-FD37C5C552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40" name="AutoShape 1" descr="Resultado de imagem para whirlpool logo">
          <a:extLst>
            <a:ext uri="{FF2B5EF4-FFF2-40B4-BE49-F238E27FC236}">
              <a16:creationId xmlns:a16="http://schemas.microsoft.com/office/drawing/2014/main" id="{24C5390E-9F26-4413-805C-8977475FF46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1" name="AutoShape 1" descr="Resultado de imagem para whirlpool logo">
          <a:extLst>
            <a:ext uri="{FF2B5EF4-FFF2-40B4-BE49-F238E27FC236}">
              <a16:creationId xmlns:a16="http://schemas.microsoft.com/office/drawing/2014/main" id="{948E5BE5-1F16-4C1D-874C-19F6E108A88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2" name="AutoShape 1" descr="Resultado de imagem para whirlpool logo">
          <a:extLst>
            <a:ext uri="{FF2B5EF4-FFF2-40B4-BE49-F238E27FC236}">
              <a16:creationId xmlns:a16="http://schemas.microsoft.com/office/drawing/2014/main" id="{2F85D43F-BB25-4D3C-963D-98F2109A51A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43" name="AutoShape 1" descr="Resultado de imagem para whirlpool logo">
          <a:extLst>
            <a:ext uri="{FF2B5EF4-FFF2-40B4-BE49-F238E27FC236}">
              <a16:creationId xmlns:a16="http://schemas.microsoft.com/office/drawing/2014/main" id="{AE7F7B49-1E42-46F7-A02D-DB2EE3BFD6E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4" name="AutoShape 1" descr="Resultado de imagem para whirlpool logo">
          <a:extLst>
            <a:ext uri="{FF2B5EF4-FFF2-40B4-BE49-F238E27FC236}">
              <a16:creationId xmlns:a16="http://schemas.microsoft.com/office/drawing/2014/main" id="{E32658A2-D9E1-41C4-8BF4-EB7EBCFEFBE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45" name="AutoShape 1" descr="Resultado de imagem para whirlpool logo">
          <a:extLst>
            <a:ext uri="{FF2B5EF4-FFF2-40B4-BE49-F238E27FC236}">
              <a16:creationId xmlns:a16="http://schemas.microsoft.com/office/drawing/2014/main" id="{6BFDC3A3-902E-4D87-86F9-F3069763189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6" name="AutoShape 1" descr="Resultado de imagem para whirlpool logo">
          <a:extLst>
            <a:ext uri="{FF2B5EF4-FFF2-40B4-BE49-F238E27FC236}">
              <a16:creationId xmlns:a16="http://schemas.microsoft.com/office/drawing/2014/main" id="{2492D73B-7348-48D1-866B-3C259E06C66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7" name="AutoShape 1" descr="Resultado de imagem para whirlpool logo">
          <a:extLst>
            <a:ext uri="{FF2B5EF4-FFF2-40B4-BE49-F238E27FC236}">
              <a16:creationId xmlns:a16="http://schemas.microsoft.com/office/drawing/2014/main" id="{2A84D6AB-7F02-4E42-B64B-A4721F2DF45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48" name="AutoShape 1" descr="Resultado de imagem para whirlpool logo">
          <a:extLst>
            <a:ext uri="{FF2B5EF4-FFF2-40B4-BE49-F238E27FC236}">
              <a16:creationId xmlns:a16="http://schemas.microsoft.com/office/drawing/2014/main" id="{9E0F287D-0CB6-4632-BE57-0F3B7271BBD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49" name="AutoShape 1" descr="Resultado de imagem para whirlpool logo">
          <a:extLst>
            <a:ext uri="{FF2B5EF4-FFF2-40B4-BE49-F238E27FC236}">
              <a16:creationId xmlns:a16="http://schemas.microsoft.com/office/drawing/2014/main" id="{34DE3E12-97F3-4223-AF64-52D4928D62B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50" name="AutoShape 1" descr="Resultado de imagem para whirlpool logo">
          <a:extLst>
            <a:ext uri="{FF2B5EF4-FFF2-40B4-BE49-F238E27FC236}">
              <a16:creationId xmlns:a16="http://schemas.microsoft.com/office/drawing/2014/main" id="{8B31C89A-EA78-4839-AD07-A84B020C6F3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1" name="AutoShape 1" descr="Resultado de imagem para whirlpool logo">
          <a:extLst>
            <a:ext uri="{FF2B5EF4-FFF2-40B4-BE49-F238E27FC236}">
              <a16:creationId xmlns:a16="http://schemas.microsoft.com/office/drawing/2014/main" id="{592C74BC-7659-4008-979F-97BC208207B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2" name="AutoShape 1" descr="Resultado de imagem para whirlpool logo">
          <a:extLst>
            <a:ext uri="{FF2B5EF4-FFF2-40B4-BE49-F238E27FC236}">
              <a16:creationId xmlns:a16="http://schemas.microsoft.com/office/drawing/2014/main" id="{5D168C94-1092-4DBD-8AF6-6F3BD294FE1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3" name="AutoShape 1" descr="Resultado de imagem para whirlpool logo">
          <a:extLst>
            <a:ext uri="{FF2B5EF4-FFF2-40B4-BE49-F238E27FC236}">
              <a16:creationId xmlns:a16="http://schemas.microsoft.com/office/drawing/2014/main" id="{9A02F9B6-5ABC-4181-8D97-67720F1E5DB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54" name="AutoShape 1" descr="Resultado de imagem para whirlpool logo">
          <a:extLst>
            <a:ext uri="{FF2B5EF4-FFF2-40B4-BE49-F238E27FC236}">
              <a16:creationId xmlns:a16="http://schemas.microsoft.com/office/drawing/2014/main" id="{106FD0CE-1698-4848-928F-B9E55330478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5" name="AutoShape 1" descr="Resultado de imagem para whirlpool logo">
          <a:extLst>
            <a:ext uri="{FF2B5EF4-FFF2-40B4-BE49-F238E27FC236}">
              <a16:creationId xmlns:a16="http://schemas.microsoft.com/office/drawing/2014/main" id="{6D4A83FD-6B98-4120-9ED6-4F066FA2F84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56" name="AutoShape 1" descr="Resultado de imagem para whirlpool logo">
          <a:extLst>
            <a:ext uri="{FF2B5EF4-FFF2-40B4-BE49-F238E27FC236}">
              <a16:creationId xmlns:a16="http://schemas.microsoft.com/office/drawing/2014/main" id="{233DD375-D9CC-4318-BCD1-1C989EB31EA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7" name="AutoShape 1" descr="Resultado de imagem para whirlpool logo">
          <a:extLst>
            <a:ext uri="{FF2B5EF4-FFF2-40B4-BE49-F238E27FC236}">
              <a16:creationId xmlns:a16="http://schemas.microsoft.com/office/drawing/2014/main" id="{194D6B65-B4E6-4E0E-95C9-283671619EB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58" name="AutoShape 1" descr="Resultado de imagem para whirlpool logo">
          <a:extLst>
            <a:ext uri="{FF2B5EF4-FFF2-40B4-BE49-F238E27FC236}">
              <a16:creationId xmlns:a16="http://schemas.microsoft.com/office/drawing/2014/main" id="{1E48ED78-8F46-4110-B28D-842B21D74C4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59" name="AutoShape 1" descr="Resultado de imagem para whirlpool logo">
          <a:extLst>
            <a:ext uri="{FF2B5EF4-FFF2-40B4-BE49-F238E27FC236}">
              <a16:creationId xmlns:a16="http://schemas.microsoft.com/office/drawing/2014/main" id="{CA7319B5-4E19-40FF-8D95-A7F309536EC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60" name="AutoShape 1" descr="Resultado de imagem para whirlpool logo">
          <a:extLst>
            <a:ext uri="{FF2B5EF4-FFF2-40B4-BE49-F238E27FC236}">
              <a16:creationId xmlns:a16="http://schemas.microsoft.com/office/drawing/2014/main" id="{9BDB0D13-92ED-40DA-8D36-FFDC8FC6E9D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1" name="AutoShape 1" descr="Resultado de imagem para whirlpool logo">
          <a:extLst>
            <a:ext uri="{FF2B5EF4-FFF2-40B4-BE49-F238E27FC236}">
              <a16:creationId xmlns:a16="http://schemas.microsoft.com/office/drawing/2014/main" id="{2E5D6528-1ED0-4F5E-9DE7-CCA9AB65C8E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2" name="AutoShape 1" descr="Resultado de imagem para whirlpool logo">
          <a:extLst>
            <a:ext uri="{FF2B5EF4-FFF2-40B4-BE49-F238E27FC236}">
              <a16:creationId xmlns:a16="http://schemas.microsoft.com/office/drawing/2014/main" id="{D7D8E2A9-E57B-452F-83C4-FB165D99A3C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3" name="AutoShape 1" descr="Resultado de imagem para whirlpool logo">
          <a:extLst>
            <a:ext uri="{FF2B5EF4-FFF2-40B4-BE49-F238E27FC236}">
              <a16:creationId xmlns:a16="http://schemas.microsoft.com/office/drawing/2014/main" id="{AA7F80C1-CFFD-4AC9-A86F-FB16FCB31F3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64" name="AutoShape 1" descr="Resultado de imagem para whirlpool logo">
          <a:extLst>
            <a:ext uri="{FF2B5EF4-FFF2-40B4-BE49-F238E27FC236}">
              <a16:creationId xmlns:a16="http://schemas.microsoft.com/office/drawing/2014/main" id="{5BBB1226-D0A3-45F2-B3E6-9B9C0F99D8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5" name="AutoShape 1" descr="Resultado de imagem para whirlpool logo">
          <a:extLst>
            <a:ext uri="{FF2B5EF4-FFF2-40B4-BE49-F238E27FC236}">
              <a16:creationId xmlns:a16="http://schemas.microsoft.com/office/drawing/2014/main" id="{6D42275C-B7EB-4EE3-9EC1-AC8103AF09A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66" name="AutoShape 1" descr="Resultado de imagem para whirlpool logo">
          <a:extLst>
            <a:ext uri="{FF2B5EF4-FFF2-40B4-BE49-F238E27FC236}">
              <a16:creationId xmlns:a16="http://schemas.microsoft.com/office/drawing/2014/main" id="{5F499E8F-0175-4CDB-9FA3-AE8A492301C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7" name="AutoShape 1" descr="Resultado de imagem para whirlpool logo">
          <a:extLst>
            <a:ext uri="{FF2B5EF4-FFF2-40B4-BE49-F238E27FC236}">
              <a16:creationId xmlns:a16="http://schemas.microsoft.com/office/drawing/2014/main" id="{DF211687-5BAD-48D3-845E-6E0B232649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68" name="AutoShape 1" descr="Resultado de imagem para whirlpool logo">
          <a:extLst>
            <a:ext uri="{FF2B5EF4-FFF2-40B4-BE49-F238E27FC236}">
              <a16:creationId xmlns:a16="http://schemas.microsoft.com/office/drawing/2014/main" id="{58ECDA12-88E7-4457-8C16-1CF00AB5BD3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69" name="AutoShape 1" descr="Resultado de imagem para whirlpool logo">
          <a:extLst>
            <a:ext uri="{FF2B5EF4-FFF2-40B4-BE49-F238E27FC236}">
              <a16:creationId xmlns:a16="http://schemas.microsoft.com/office/drawing/2014/main" id="{79ABF710-7DB7-433E-AFE3-60CC1CB7C2A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0" name="AutoShape 1" descr="Resultado de imagem para whirlpool logo">
          <a:extLst>
            <a:ext uri="{FF2B5EF4-FFF2-40B4-BE49-F238E27FC236}">
              <a16:creationId xmlns:a16="http://schemas.microsoft.com/office/drawing/2014/main" id="{7DDBEC23-C4CA-40CD-9269-DEBD03B5B82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1" name="AutoShape 1" descr="Resultado de imagem para whirlpool logo">
          <a:extLst>
            <a:ext uri="{FF2B5EF4-FFF2-40B4-BE49-F238E27FC236}">
              <a16:creationId xmlns:a16="http://schemas.microsoft.com/office/drawing/2014/main" id="{7A5C3C13-99B3-4756-8715-1222301A49C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72" name="AutoShape 1" descr="Resultado de imagem para whirlpool logo">
          <a:extLst>
            <a:ext uri="{FF2B5EF4-FFF2-40B4-BE49-F238E27FC236}">
              <a16:creationId xmlns:a16="http://schemas.microsoft.com/office/drawing/2014/main" id="{B8B2BBB0-0814-48C0-B4FF-A3D49D91927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3" name="AutoShape 1" descr="Resultado de imagem para whirlpool logo">
          <a:extLst>
            <a:ext uri="{FF2B5EF4-FFF2-40B4-BE49-F238E27FC236}">
              <a16:creationId xmlns:a16="http://schemas.microsoft.com/office/drawing/2014/main" id="{9BCA1F6E-E4D1-42C2-BE74-8B6F2AD3F43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74" name="AutoShape 1" descr="Resultado de imagem para whirlpool logo">
          <a:extLst>
            <a:ext uri="{FF2B5EF4-FFF2-40B4-BE49-F238E27FC236}">
              <a16:creationId xmlns:a16="http://schemas.microsoft.com/office/drawing/2014/main" id="{EAE6008D-0EA3-4266-B875-B6E29BFCB78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5" name="AutoShape 1" descr="Resultado de imagem para whirlpool logo">
          <a:extLst>
            <a:ext uri="{FF2B5EF4-FFF2-40B4-BE49-F238E27FC236}">
              <a16:creationId xmlns:a16="http://schemas.microsoft.com/office/drawing/2014/main" id="{FC273995-6FCA-4E24-B5C4-372F6116F6C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76" name="AutoShape 1" descr="Resultado de imagem para whirlpool logo">
          <a:extLst>
            <a:ext uri="{FF2B5EF4-FFF2-40B4-BE49-F238E27FC236}">
              <a16:creationId xmlns:a16="http://schemas.microsoft.com/office/drawing/2014/main" id="{866DD8D8-9322-4457-91D8-39E295E3BA6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7" name="AutoShape 1" descr="Resultado de imagem para whirlpool logo">
          <a:extLst>
            <a:ext uri="{FF2B5EF4-FFF2-40B4-BE49-F238E27FC236}">
              <a16:creationId xmlns:a16="http://schemas.microsoft.com/office/drawing/2014/main" id="{1037D512-A9D2-4873-A101-FCF3D25C952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78" name="AutoShape 1" descr="Resultado de imagem para whirlpool logo">
          <a:extLst>
            <a:ext uri="{FF2B5EF4-FFF2-40B4-BE49-F238E27FC236}">
              <a16:creationId xmlns:a16="http://schemas.microsoft.com/office/drawing/2014/main" id="{19285F21-8940-4D78-929A-43B01F13806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79" name="AutoShape 1" descr="Resultado de imagem para whirlpool logo">
          <a:extLst>
            <a:ext uri="{FF2B5EF4-FFF2-40B4-BE49-F238E27FC236}">
              <a16:creationId xmlns:a16="http://schemas.microsoft.com/office/drawing/2014/main" id="{0461662D-5F21-4696-B12D-FBC465DEE46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80" name="AutoShape 1" descr="Resultado de imagem para whirlpool logo">
          <a:extLst>
            <a:ext uri="{FF2B5EF4-FFF2-40B4-BE49-F238E27FC236}">
              <a16:creationId xmlns:a16="http://schemas.microsoft.com/office/drawing/2014/main" id="{3787E7AC-6E04-41A0-BF08-75D8D382C78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1" name="AutoShape 1" descr="Resultado de imagem para whirlpool logo">
          <a:extLst>
            <a:ext uri="{FF2B5EF4-FFF2-40B4-BE49-F238E27FC236}">
              <a16:creationId xmlns:a16="http://schemas.microsoft.com/office/drawing/2014/main" id="{57AEB7F4-D073-46C4-9AA7-19373231417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82" name="AutoShape 1" descr="Resultado de imagem para whirlpool logo">
          <a:extLst>
            <a:ext uri="{FF2B5EF4-FFF2-40B4-BE49-F238E27FC236}">
              <a16:creationId xmlns:a16="http://schemas.microsoft.com/office/drawing/2014/main" id="{01F245B5-5B0B-4B5E-AAE6-3D5F52AEFA4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3" name="AutoShape 1" descr="Resultado de imagem para whirlpool logo">
          <a:extLst>
            <a:ext uri="{FF2B5EF4-FFF2-40B4-BE49-F238E27FC236}">
              <a16:creationId xmlns:a16="http://schemas.microsoft.com/office/drawing/2014/main" id="{526BBBDB-915E-4464-AC87-4A03359516C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4" name="AutoShape 1" descr="Resultado de imagem para whirlpool logo">
          <a:extLst>
            <a:ext uri="{FF2B5EF4-FFF2-40B4-BE49-F238E27FC236}">
              <a16:creationId xmlns:a16="http://schemas.microsoft.com/office/drawing/2014/main" id="{3F332A3A-2F4C-42B1-9A5A-E841C22C411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85" name="AutoShape 1" descr="Resultado de imagem para whirlpool logo">
          <a:extLst>
            <a:ext uri="{FF2B5EF4-FFF2-40B4-BE49-F238E27FC236}">
              <a16:creationId xmlns:a16="http://schemas.microsoft.com/office/drawing/2014/main" id="{FB0EAD87-7F82-4908-86A6-5144E4CD14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6" name="AutoShape 1" descr="Resultado de imagem para whirlpool logo">
          <a:extLst>
            <a:ext uri="{FF2B5EF4-FFF2-40B4-BE49-F238E27FC236}">
              <a16:creationId xmlns:a16="http://schemas.microsoft.com/office/drawing/2014/main" id="{8B9D5D12-F599-4828-B635-72868B5ABC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7" name="AutoShape 1" descr="Resultado de imagem para whirlpool logo">
          <a:extLst>
            <a:ext uri="{FF2B5EF4-FFF2-40B4-BE49-F238E27FC236}">
              <a16:creationId xmlns:a16="http://schemas.microsoft.com/office/drawing/2014/main" id="{FD6F7221-EADB-4519-9D4E-E1B395CE937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88" name="AutoShape 1" descr="Resultado de imagem para whirlpool logo">
          <a:extLst>
            <a:ext uri="{FF2B5EF4-FFF2-40B4-BE49-F238E27FC236}">
              <a16:creationId xmlns:a16="http://schemas.microsoft.com/office/drawing/2014/main" id="{AACECF90-9907-4561-977B-FDAF8B59618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89" name="AutoShape 1" descr="Resultado de imagem para whirlpool logo">
          <a:extLst>
            <a:ext uri="{FF2B5EF4-FFF2-40B4-BE49-F238E27FC236}">
              <a16:creationId xmlns:a16="http://schemas.microsoft.com/office/drawing/2014/main" id="{1194C47E-4AAC-42E5-A9C3-307F0094902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0" name="AutoShape 1" descr="Resultado de imagem para whirlpool logo">
          <a:extLst>
            <a:ext uri="{FF2B5EF4-FFF2-40B4-BE49-F238E27FC236}">
              <a16:creationId xmlns:a16="http://schemas.microsoft.com/office/drawing/2014/main" id="{8E710DDE-554C-4219-8B10-F81237919BF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91" name="AutoShape 1" descr="Resultado de imagem para whirlpool logo">
          <a:extLst>
            <a:ext uri="{FF2B5EF4-FFF2-40B4-BE49-F238E27FC236}">
              <a16:creationId xmlns:a16="http://schemas.microsoft.com/office/drawing/2014/main" id="{1B2ED321-8B02-4BB2-8BAA-2C1EC94F810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2" name="AutoShape 1" descr="Resultado de imagem para whirlpool logo">
          <a:extLst>
            <a:ext uri="{FF2B5EF4-FFF2-40B4-BE49-F238E27FC236}">
              <a16:creationId xmlns:a16="http://schemas.microsoft.com/office/drawing/2014/main" id="{5214D9B4-DF2F-400C-8514-0A7C867284B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93" name="AutoShape 1" descr="Resultado de imagem para whirlpool logo">
          <a:extLst>
            <a:ext uri="{FF2B5EF4-FFF2-40B4-BE49-F238E27FC236}">
              <a16:creationId xmlns:a16="http://schemas.microsoft.com/office/drawing/2014/main" id="{0A97C622-D276-4445-A860-BB54E2939CE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4" name="AutoShape 1" descr="Resultado de imagem para whirlpool logo">
          <a:extLst>
            <a:ext uri="{FF2B5EF4-FFF2-40B4-BE49-F238E27FC236}">
              <a16:creationId xmlns:a16="http://schemas.microsoft.com/office/drawing/2014/main" id="{68914FC8-C2B9-49ED-82AE-41A488937B9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95" name="AutoShape 1" descr="Resultado de imagem para whirlpool logo">
          <a:extLst>
            <a:ext uri="{FF2B5EF4-FFF2-40B4-BE49-F238E27FC236}">
              <a16:creationId xmlns:a16="http://schemas.microsoft.com/office/drawing/2014/main" id="{9928FC3B-E949-403A-BAC2-79B235FCA17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6" name="AutoShape 1" descr="Resultado de imagem para whirlpool logo">
          <a:extLst>
            <a:ext uri="{FF2B5EF4-FFF2-40B4-BE49-F238E27FC236}">
              <a16:creationId xmlns:a16="http://schemas.microsoft.com/office/drawing/2014/main" id="{2ABCECC2-8F94-43DF-A719-B7A4E3E1340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7" name="AutoShape 1" descr="Resultado de imagem para whirlpool logo">
          <a:extLst>
            <a:ext uri="{FF2B5EF4-FFF2-40B4-BE49-F238E27FC236}">
              <a16:creationId xmlns:a16="http://schemas.microsoft.com/office/drawing/2014/main" id="{50143692-6335-45FD-AF9F-EEAD76953D7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798" name="AutoShape 1" descr="Resultado de imagem para whirlpool logo">
          <a:extLst>
            <a:ext uri="{FF2B5EF4-FFF2-40B4-BE49-F238E27FC236}">
              <a16:creationId xmlns:a16="http://schemas.microsoft.com/office/drawing/2014/main" id="{3A22FD9B-7225-4A2C-A556-D889E6F3384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799" name="AutoShape 1" descr="Resultado de imagem para whirlpool logo">
          <a:extLst>
            <a:ext uri="{FF2B5EF4-FFF2-40B4-BE49-F238E27FC236}">
              <a16:creationId xmlns:a16="http://schemas.microsoft.com/office/drawing/2014/main" id="{54EC0D0E-A1AF-407A-A643-2C6DC361093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00" name="AutoShape 1" descr="Resultado de imagem para whirlpool logo">
          <a:extLst>
            <a:ext uri="{FF2B5EF4-FFF2-40B4-BE49-F238E27FC236}">
              <a16:creationId xmlns:a16="http://schemas.microsoft.com/office/drawing/2014/main" id="{6DF2E2D9-A152-4BE2-9D2B-B1F2DCE850D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01" name="AutoShape 1" descr="Resultado de imagem para whirlpool logo">
          <a:extLst>
            <a:ext uri="{FF2B5EF4-FFF2-40B4-BE49-F238E27FC236}">
              <a16:creationId xmlns:a16="http://schemas.microsoft.com/office/drawing/2014/main" id="{E1483094-B0E4-4920-AF1C-C4964B59B3E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2" name="AutoShape 1" descr="Resultado de imagem para whirlpool logo">
          <a:extLst>
            <a:ext uri="{FF2B5EF4-FFF2-40B4-BE49-F238E27FC236}">
              <a16:creationId xmlns:a16="http://schemas.microsoft.com/office/drawing/2014/main" id="{F5594BCF-834D-44B3-AE75-33F80F3837E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03" name="AutoShape 1" descr="Resultado de imagem para whirlpool logo">
          <a:extLst>
            <a:ext uri="{FF2B5EF4-FFF2-40B4-BE49-F238E27FC236}">
              <a16:creationId xmlns:a16="http://schemas.microsoft.com/office/drawing/2014/main" id="{72296982-DD68-41A5-8C84-0A481D50F6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4" name="AutoShape 1" descr="Resultado de imagem para whirlpool logo">
          <a:extLst>
            <a:ext uri="{FF2B5EF4-FFF2-40B4-BE49-F238E27FC236}">
              <a16:creationId xmlns:a16="http://schemas.microsoft.com/office/drawing/2014/main" id="{06DFFC13-F839-49F2-901E-DE8324219C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5" name="AutoShape 1" descr="Resultado de imagem para whirlpool logo">
          <a:extLst>
            <a:ext uri="{FF2B5EF4-FFF2-40B4-BE49-F238E27FC236}">
              <a16:creationId xmlns:a16="http://schemas.microsoft.com/office/drawing/2014/main" id="{F530F001-16D9-4EA3-98F5-C4D909AE95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6" name="AutoShape 1" descr="Resultado de imagem para whirlpool logo">
          <a:extLst>
            <a:ext uri="{FF2B5EF4-FFF2-40B4-BE49-F238E27FC236}">
              <a16:creationId xmlns:a16="http://schemas.microsoft.com/office/drawing/2014/main" id="{577769F7-6A60-4990-B6C0-D64EE683EE7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07" name="AutoShape 1" descr="Resultado de imagem para whirlpool logo">
          <a:extLst>
            <a:ext uri="{FF2B5EF4-FFF2-40B4-BE49-F238E27FC236}">
              <a16:creationId xmlns:a16="http://schemas.microsoft.com/office/drawing/2014/main" id="{CA29BC7C-61A0-4CDC-BC4A-9DC81D7566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08" name="AutoShape 1" descr="Resultado de imagem para whirlpool logo">
          <a:extLst>
            <a:ext uri="{FF2B5EF4-FFF2-40B4-BE49-F238E27FC236}">
              <a16:creationId xmlns:a16="http://schemas.microsoft.com/office/drawing/2014/main" id="{871B2A4D-3C52-4C05-9576-0B14AA894C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09" name="AutoShape 1" descr="Resultado de imagem para whirlpool logo">
          <a:extLst>
            <a:ext uri="{FF2B5EF4-FFF2-40B4-BE49-F238E27FC236}">
              <a16:creationId xmlns:a16="http://schemas.microsoft.com/office/drawing/2014/main" id="{D95E706E-7796-4465-8A8B-BBC8583134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0" name="AutoShape 1" descr="Resultado de imagem para whirlpool logo">
          <a:extLst>
            <a:ext uri="{FF2B5EF4-FFF2-40B4-BE49-F238E27FC236}">
              <a16:creationId xmlns:a16="http://schemas.microsoft.com/office/drawing/2014/main" id="{24C0ACFF-3504-4AE7-A827-E9F1E81956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11" name="AutoShape 1" descr="Resultado de imagem para whirlpool logo">
          <a:extLst>
            <a:ext uri="{FF2B5EF4-FFF2-40B4-BE49-F238E27FC236}">
              <a16:creationId xmlns:a16="http://schemas.microsoft.com/office/drawing/2014/main" id="{5927FC77-89F9-494C-825A-8E17130E26D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2" name="AutoShape 1" descr="Resultado de imagem para whirlpool logo">
          <a:extLst>
            <a:ext uri="{FF2B5EF4-FFF2-40B4-BE49-F238E27FC236}">
              <a16:creationId xmlns:a16="http://schemas.microsoft.com/office/drawing/2014/main" id="{38282EF5-218F-41CB-A29F-988227343C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3" name="AutoShape 1" descr="Resultado de imagem para whirlpool logo">
          <a:extLst>
            <a:ext uri="{FF2B5EF4-FFF2-40B4-BE49-F238E27FC236}">
              <a16:creationId xmlns:a16="http://schemas.microsoft.com/office/drawing/2014/main" id="{C60D70CA-C53E-4E8D-98FD-D6EFEF2756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4" name="AutoShape 1" descr="Resultado de imagem para whirlpool logo">
          <a:extLst>
            <a:ext uri="{FF2B5EF4-FFF2-40B4-BE49-F238E27FC236}">
              <a16:creationId xmlns:a16="http://schemas.microsoft.com/office/drawing/2014/main" id="{D5BF9B7F-FC28-4226-96A7-87FBA935DE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15" name="AutoShape 1" descr="Resultado de imagem para whirlpool logo">
          <a:extLst>
            <a:ext uri="{FF2B5EF4-FFF2-40B4-BE49-F238E27FC236}">
              <a16:creationId xmlns:a16="http://schemas.microsoft.com/office/drawing/2014/main" id="{F3831214-F4EE-4C8F-8873-C3394ED90B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6" name="AutoShape 1" descr="Resultado de imagem para whirlpool logo">
          <a:extLst>
            <a:ext uri="{FF2B5EF4-FFF2-40B4-BE49-F238E27FC236}">
              <a16:creationId xmlns:a16="http://schemas.microsoft.com/office/drawing/2014/main" id="{4A9673C1-8DE6-4419-AA25-570E8367A1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17" name="AutoShape 1" descr="Resultado de imagem para whirlpool logo">
          <a:extLst>
            <a:ext uri="{FF2B5EF4-FFF2-40B4-BE49-F238E27FC236}">
              <a16:creationId xmlns:a16="http://schemas.microsoft.com/office/drawing/2014/main" id="{43C8E834-9E03-43E0-B57B-F44A77907F0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18" name="AutoShape 1" descr="Resultado de imagem para whirlpool logo">
          <a:extLst>
            <a:ext uri="{FF2B5EF4-FFF2-40B4-BE49-F238E27FC236}">
              <a16:creationId xmlns:a16="http://schemas.microsoft.com/office/drawing/2014/main" id="{833D6DFF-79E5-4142-9C89-7265553E73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19" name="AutoShape 1" descr="Resultado de imagem para whirlpool logo">
          <a:extLst>
            <a:ext uri="{FF2B5EF4-FFF2-40B4-BE49-F238E27FC236}">
              <a16:creationId xmlns:a16="http://schemas.microsoft.com/office/drawing/2014/main" id="{0C7C9C8B-17B6-4BEF-99F6-F7E0099F178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0" name="AutoShape 1" descr="Resultado de imagem para whirlpool logo">
          <a:extLst>
            <a:ext uri="{FF2B5EF4-FFF2-40B4-BE49-F238E27FC236}">
              <a16:creationId xmlns:a16="http://schemas.microsoft.com/office/drawing/2014/main" id="{E39AC3F7-9BFB-4A6C-ADBC-393F9BEF851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21" name="AutoShape 1" descr="Resultado de imagem para whirlpool logo">
          <a:extLst>
            <a:ext uri="{FF2B5EF4-FFF2-40B4-BE49-F238E27FC236}">
              <a16:creationId xmlns:a16="http://schemas.microsoft.com/office/drawing/2014/main" id="{35A03C04-4983-4957-8B7A-B6EF516808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2" name="AutoShape 1" descr="Resultado de imagem para whirlpool logo">
          <a:extLst>
            <a:ext uri="{FF2B5EF4-FFF2-40B4-BE49-F238E27FC236}">
              <a16:creationId xmlns:a16="http://schemas.microsoft.com/office/drawing/2014/main" id="{30C31E87-2A2E-4E0A-B9E8-94796D1072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3" name="AutoShape 1" descr="Resultado de imagem para whirlpool logo">
          <a:extLst>
            <a:ext uri="{FF2B5EF4-FFF2-40B4-BE49-F238E27FC236}">
              <a16:creationId xmlns:a16="http://schemas.microsoft.com/office/drawing/2014/main" id="{21C1AF86-5852-4AD6-A1BE-34764F6E0DE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4" name="AutoShape 1" descr="Resultado de imagem para whirlpool logo">
          <a:extLst>
            <a:ext uri="{FF2B5EF4-FFF2-40B4-BE49-F238E27FC236}">
              <a16:creationId xmlns:a16="http://schemas.microsoft.com/office/drawing/2014/main" id="{EE3E1128-3D5F-47F4-AF1F-5FDE217B38E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25" name="AutoShape 1" descr="Resultado de imagem para whirlpool logo">
          <a:extLst>
            <a:ext uri="{FF2B5EF4-FFF2-40B4-BE49-F238E27FC236}">
              <a16:creationId xmlns:a16="http://schemas.microsoft.com/office/drawing/2014/main" id="{FC3CC606-F8DD-4AC0-B047-34797C78FA6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826" name="AutoShape 1" descr="Resultado de imagem para whirlpool logo">
          <a:extLst>
            <a:ext uri="{FF2B5EF4-FFF2-40B4-BE49-F238E27FC236}">
              <a16:creationId xmlns:a16="http://schemas.microsoft.com/office/drawing/2014/main" id="{2D5F97EC-5660-4606-9FB5-39D4A23DCA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827" name="AutoShape 1" descr="Resultado de imagem para whirlpool logo">
          <a:extLst>
            <a:ext uri="{FF2B5EF4-FFF2-40B4-BE49-F238E27FC236}">
              <a16:creationId xmlns:a16="http://schemas.microsoft.com/office/drawing/2014/main" id="{DFAC77DF-7100-4AA6-BBBE-A6E9A364CC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28" name="AutoShape 1" descr="Resultado de imagem para whirlpool logo">
          <a:extLst>
            <a:ext uri="{FF2B5EF4-FFF2-40B4-BE49-F238E27FC236}">
              <a16:creationId xmlns:a16="http://schemas.microsoft.com/office/drawing/2014/main" id="{6B6E8C85-B274-4570-98B8-953C941C707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29" name="AutoShape 1" descr="Resultado de imagem para whirlpool logo">
          <a:extLst>
            <a:ext uri="{FF2B5EF4-FFF2-40B4-BE49-F238E27FC236}">
              <a16:creationId xmlns:a16="http://schemas.microsoft.com/office/drawing/2014/main" id="{8F242598-E97D-4121-B538-F2248E20A48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0" name="AutoShape 1" descr="Resultado de imagem para whirlpool logo">
          <a:extLst>
            <a:ext uri="{FF2B5EF4-FFF2-40B4-BE49-F238E27FC236}">
              <a16:creationId xmlns:a16="http://schemas.microsoft.com/office/drawing/2014/main" id="{5F59397C-08F6-4D53-9076-AC06B992A52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1" name="AutoShape 1" descr="Resultado de imagem para whirlpool logo">
          <a:extLst>
            <a:ext uri="{FF2B5EF4-FFF2-40B4-BE49-F238E27FC236}">
              <a16:creationId xmlns:a16="http://schemas.microsoft.com/office/drawing/2014/main" id="{097B0255-8B4E-4D29-9F33-4B1494F235D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2" name="AutoShape 1" descr="Resultado de imagem para whirlpool logo">
          <a:extLst>
            <a:ext uri="{FF2B5EF4-FFF2-40B4-BE49-F238E27FC236}">
              <a16:creationId xmlns:a16="http://schemas.microsoft.com/office/drawing/2014/main" id="{30F433C2-9966-4DEF-A852-85AA08D093B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33" name="AutoShape 1" descr="Resultado de imagem para whirlpool logo">
          <a:extLst>
            <a:ext uri="{FF2B5EF4-FFF2-40B4-BE49-F238E27FC236}">
              <a16:creationId xmlns:a16="http://schemas.microsoft.com/office/drawing/2014/main" id="{B10E17C4-0C1E-48E3-881F-2B81522ECA3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4" name="AutoShape 1" descr="Resultado de imagem para whirlpool logo">
          <a:extLst>
            <a:ext uri="{FF2B5EF4-FFF2-40B4-BE49-F238E27FC236}">
              <a16:creationId xmlns:a16="http://schemas.microsoft.com/office/drawing/2014/main" id="{2CD9B2BC-ED09-4B2D-8846-84EB1C6938F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35" name="AutoShape 1" descr="Resultado de imagem para whirlpool logo">
          <a:extLst>
            <a:ext uri="{FF2B5EF4-FFF2-40B4-BE49-F238E27FC236}">
              <a16:creationId xmlns:a16="http://schemas.microsoft.com/office/drawing/2014/main" id="{6D813964-BD63-46A5-B57F-2FBB8447AE8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6" name="AutoShape 1" descr="Resultado de imagem para whirlpool logo">
          <a:extLst>
            <a:ext uri="{FF2B5EF4-FFF2-40B4-BE49-F238E27FC236}">
              <a16:creationId xmlns:a16="http://schemas.microsoft.com/office/drawing/2014/main" id="{617106BF-74FA-44C2-9B78-EC594D1AE3F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37" name="AutoShape 1" descr="Resultado de imagem para whirlpool logo">
          <a:extLst>
            <a:ext uri="{FF2B5EF4-FFF2-40B4-BE49-F238E27FC236}">
              <a16:creationId xmlns:a16="http://schemas.microsoft.com/office/drawing/2014/main" id="{69C7C14B-2796-4A41-8295-D4B63D06437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38" name="AutoShape 1" descr="Resultado de imagem para whirlpool logo">
          <a:extLst>
            <a:ext uri="{FF2B5EF4-FFF2-40B4-BE49-F238E27FC236}">
              <a16:creationId xmlns:a16="http://schemas.microsoft.com/office/drawing/2014/main" id="{5A108F2F-D97A-4EC1-8623-CFD65CF4359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39" name="AutoShape 1" descr="Resultado de imagem para whirlpool logo">
          <a:extLst>
            <a:ext uri="{FF2B5EF4-FFF2-40B4-BE49-F238E27FC236}">
              <a16:creationId xmlns:a16="http://schemas.microsoft.com/office/drawing/2014/main" id="{DB6ECEB2-9381-4820-9E72-DC768B513B3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0" name="AutoShape 1" descr="Resultado de imagem para whirlpool logo">
          <a:extLst>
            <a:ext uri="{FF2B5EF4-FFF2-40B4-BE49-F238E27FC236}">
              <a16:creationId xmlns:a16="http://schemas.microsoft.com/office/drawing/2014/main" id="{FB3CF4DC-2057-492B-BBA8-EA81FE13538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41" name="AutoShape 1" descr="Resultado de imagem para whirlpool logo">
          <a:extLst>
            <a:ext uri="{FF2B5EF4-FFF2-40B4-BE49-F238E27FC236}">
              <a16:creationId xmlns:a16="http://schemas.microsoft.com/office/drawing/2014/main" id="{77952C08-F89F-4D20-B8EC-1D3FE8036FE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2" name="AutoShape 1" descr="Resultado de imagem para whirlpool logo">
          <a:extLst>
            <a:ext uri="{FF2B5EF4-FFF2-40B4-BE49-F238E27FC236}">
              <a16:creationId xmlns:a16="http://schemas.microsoft.com/office/drawing/2014/main" id="{6C78B533-B547-472F-9541-E504E42A665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3" name="AutoShape 1" descr="Resultado de imagem para whirlpool logo">
          <a:extLst>
            <a:ext uri="{FF2B5EF4-FFF2-40B4-BE49-F238E27FC236}">
              <a16:creationId xmlns:a16="http://schemas.microsoft.com/office/drawing/2014/main" id="{57E22354-E530-42CB-B578-E44AF4CC134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44" name="AutoShape 1" descr="Resultado de imagem para whirlpool logo">
          <a:extLst>
            <a:ext uri="{FF2B5EF4-FFF2-40B4-BE49-F238E27FC236}">
              <a16:creationId xmlns:a16="http://schemas.microsoft.com/office/drawing/2014/main" id="{B7271658-0507-4AA9-8D16-567383A62EF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5" name="AutoShape 1" descr="Resultado de imagem para whirlpool logo">
          <a:extLst>
            <a:ext uri="{FF2B5EF4-FFF2-40B4-BE49-F238E27FC236}">
              <a16:creationId xmlns:a16="http://schemas.microsoft.com/office/drawing/2014/main" id="{15AA7B2A-ADB1-4B94-9BE3-EFAAC70CC81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6" name="AutoShape 1" descr="Resultado de imagem para whirlpool logo">
          <a:extLst>
            <a:ext uri="{FF2B5EF4-FFF2-40B4-BE49-F238E27FC236}">
              <a16:creationId xmlns:a16="http://schemas.microsoft.com/office/drawing/2014/main" id="{2A81EAA4-52C0-4B24-84C3-B0A57051727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47" name="AutoShape 1" descr="Resultado de imagem para whirlpool logo">
          <a:extLst>
            <a:ext uri="{FF2B5EF4-FFF2-40B4-BE49-F238E27FC236}">
              <a16:creationId xmlns:a16="http://schemas.microsoft.com/office/drawing/2014/main" id="{838A4746-1AA9-4506-B695-6671B7D6D46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48" name="AutoShape 1" descr="Resultado de imagem para whirlpool logo">
          <a:extLst>
            <a:ext uri="{FF2B5EF4-FFF2-40B4-BE49-F238E27FC236}">
              <a16:creationId xmlns:a16="http://schemas.microsoft.com/office/drawing/2014/main" id="{EA748353-B996-4277-86CA-85905115583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49" name="AutoShape 1" descr="Resultado de imagem para whirlpool logo">
          <a:extLst>
            <a:ext uri="{FF2B5EF4-FFF2-40B4-BE49-F238E27FC236}">
              <a16:creationId xmlns:a16="http://schemas.microsoft.com/office/drawing/2014/main" id="{A03B5E71-057C-4556-897B-D72742C896C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0" name="AutoShape 1" descr="Resultado de imagem para whirlpool logo">
          <a:extLst>
            <a:ext uri="{FF2B5EF4-FFF2-40B4-BE49-F238E27FC236}">
              <a16:creationId xmlns:a16="http://schemas.microsoft.com/office/drawing/2014/main" id="{FA132FFB-AFD1-4342-A623-7F2AC87BB9F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51" name="AutoShape 1" descr="Resultado de imagem para whirlpool logo">
          <a:extLst>
            <a:ext uri="{FF2B5EF4-FFF2-40B4-BE49-F238E27FC236}">
              <a16:creationId xmlns:a16="http://schemas.microsoft.com/office/drawing/2014/main" id="{6AE725AF-F13B-4C54-90CD-C02093A2D07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2" name="AutoShape 1" descr="Resultado de imagem para whirlpool logo">
          <a:extLst>
            <a:ext uri="{FF2B5EF4-FFF2-40B4-BE49-F238E27FC236}">
              <a16:creationId xmlns:a16="http://schemas.microsoft.com/office/drawing/2014/main" id="{6A05F5E8-43FE-4897-ACC7-4F3B58CB448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3" name="AutoShape 1" descr="Resultado de imagem para whirlpool logo">
          <a:extLst>
            <a:ext uri="{FF2B5EF4-FFF2-40B4-BE49-F238E27FC236}">
              <a16:creationId xmlns:a16="http://schemas.microsoft.com/office/drawing/2014/main" id="{DB7171F0-1EF8-4C92-A93F-0EDFB96BE20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54" name="AutoShape 1" descr="Resultado de imagem para whirlpool logo">
          <a:extLst>
            <a:ext uri="{FF2B5EF4-FFF2-40B4-BE49-F238E27FC236}">
              <a16:creationId xmlns:a16="http://schemas.microsoft.com/office/drawing/2014/main" id="{2D125643-0FF0-486D-939C-9E7448AF8A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5" name="AutoShape 1" descr="Resultado de imagem para whirlpool logo">
          <a:extLst>
            <a:ext uri="{FF2B5EF4-FFF2-40B4-BE49-F238E27FC236}">
              <a16:creationId xmlns:a16="http://schemas.microsoft.com/office/drawing/2014/main" id="{2CA9EF6B-2C39-4617-B785-B634A354F9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6" name="AutoShape 1" descr="Resultado de imagem para whirlpool logo">
          <a:extLst>
            <a:ext uri="{FF2B5EF4-FFF2-40B4-BE49-F238E27FC236}">
              <a16:creationId xmlns:a16="http://schemas.microsoft.com/office/drawing/2014/main" id="{9C1A8AE8-E35D-4116-8E43-39C3BCC15BE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57" name="AutoShape 1" descr="Resultado de imagem para whirlpool logo">
          <a:extLst>
            <a:ext uri="{FF2B5EF4-FFF2-40B4-BE49-F238E27FC236}">
              <a16:creationId xmlns:a16="http://schemas.microsoft.com/office/drawing/2014/main" id="{70FF077A-28CA-41F0-9F43-9AB14FC6EDD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58" name="AutoShape 1" descr="Resultado de imagem para whirlpool logo">
          <a:extLst>
            <a:ext uri="{FF2B5EF4-FFF2-40B4-BE49-F238E27FC236}">
              <a16:creationId xmlns:a16="http://schemas.microsoft.com/office/drawing/2014/main" id="{869462A3-BA92-4027-88C8-C6E691792B7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59" name="AutoShape 1" descr="Resultado de imagem para whirlpool logo">
          <a:extLst>
            <a:ext uri="{FF2B5EF4-FFF2-40B4-BE49-F238E27FC236}">
              <a16:creationId xmlns:a16="http://schemas.microsoft.com/office/drawing/2014/main" id="{92100B94-3554-4567-8394-13B6DB5B3EB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0" name="AutoShape 1" descr="Resultado de imagem para whirlpool logo">
          <a:extLst>
            <a:ext uri="{FF2B5EF4-FFF2-40B4-BE49-F238E27FC236}">
              <a16:creationId xmlns:a16="http://schemas.microsoft.com/office/drawing/2014/main" id="{8F9DADAB-1B0D-4F1B-8E31-96121ACEC1B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1" name="AutoShape 1" descr="Resultado de imagem para whirlpool logo">
          <a:extLst>
            <a:ext uri="{FF2B5EF4-FFF2-40B4-BE49-F238E27FC236}">
              <a16:creationId xmlns:a16="http://schemas.microsoft.com/office/drawing/2014/main" id="{07ED2A6B-9D56-49DB-9E94-EC53AC689DF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62" name="AutoShape 1" descr="Resultado de imagem para whirlpool logo">
          <a:extLst>
            <a:ext uri="{FF2B5EF4-FFF2-40B4-BE49-F238E27FC236}">
              <a16:creationId xmlns:a16="http://schemas.microsoft.com/office/drawing/2014/main" id="{B380CEF3-FF42-4199-ACC0-65B735EA34B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3" name="AutoShape 1" descr="Resultado de imagem para whirlpool logo">
          <a:extLst>
            <a:ext uri="{FF2B5EF4-FFF2-40B4-BE49-F238E27FC236}">
              <a16:creationId xmlns:a16="http://schemas.microsoft.com/office/drawing/2014/main" id="{15D23D50-3E36-41F8-AA5B-1E224331D24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64" name="AutoShape 1" descr="Resultado de imagem para whirlpool logo">
          <a:extLst>
            <a:ext uri="{FF2B5EF4-FFF2-40B4-BE49-F238E27FC236}">
              <a16:creationId xmlns:a16="http://schemas.microsoft.com/office/drawing/2014/main" id="{D369FFE3-96AB-4CA3-B8CC-0F60997DF9A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5" name="AutoShape 1" descr="Resultado de imagem para whirlpool logo">
          <a:extLst>
            <a:ext uri="{FF2B5EF4-FFF2-40B4-BE49-F238E27FC236}">
              <a16:creationId xmlns:a16="http://schemas.microsoft.com/office/drawing/2014/main" id="{D29D2D07-EC47-4666-A735-73FF17AADCF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6" name="AutoShape 1" descr="Resultado de imagem para whirlpool logo">
          <a:extLst>
            <a:ext uri="{FF2B5EF4-FFF2-40B4-BE49-F238E27FC236}">
              <a16:creationId xmlns:a16="http://schemas.microsoft.com/office/drawing/2014/main" id="{E75C67FB-8DE0-47BD-A688-727FB72B362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67" name="AutoShape 1" descr="Resultado de imagem para whirlpool logo">
          <a:extLst>
            <a:ext uri="{FF2B5EF4-FFF2-40B4-BE49-F238E27FC236}">
              <a16:creationId xmlns:a16="http://schemas.microsoft.com/office/drawing/2014/main" id="{C123BCBF-9621-457F-8F4C-3BCDCFCC0CC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68" name="AutoShape 1" descr="Resultado de imagem para whirlpool logo">
          <a:extLst>
            <a:ext uri="{FF2B5EF4-FFF2-40B4-BE49-F238E27FC236}">
              <a16:creationId xmlns:a16="http://schemas.microsoft.com/office/drawing/2014/main" id="{F455EC24-0F10-47B4-BF16-14D9175D76D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69" name="AutoShape 1" descr="Resultado de imagem para whirlpool logo">
          <a:extLst>
            <a:ext uri="{FF2B5EF4-FFF2-40B4-BE49-F238E27FC236}">
              <a16:creationId xmlns:a16="http://schemas.microsoft.com/office/drawing/2014/main" id="{72BD4580-526B-4CE0-A25B-69DFA222456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0" name="AutoShape 1" descr="Resultado de imagem para whirlpool logo">
          <a:extLst>
            <a:ext uri="{FF2B5EF4-FFF2-40B4-BE49-F238E27FC236}">
              <a16:creationId xmlns:a16="http://schemas.microsoft.com/office/drawing/2014/main" id="{49CAD24F-A100-44A0-87C1-2A5ABBBB34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1" name="AutoShape 1" descr="Resultado de imagem para whirlpool logo">
          <a:extLst>
            <a:ext uri="{FF2B5EF4-FFF2-40B4-BE49-F238E27FC236}">
              <a16:creationId xmlns:a16="http://schemas.microsoft.com/office/drawing/2014/main" id="{375C9DD4-FF72-4F5E-B832-A660AE76932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72" name="AutoShape 1" descr="Resultado de imagem para whirlpool logo">
          <a:extLst>
            <a:ext uri="{FF2B5EF4-FFF2-40B4-BE49-F238E27FC236}">
              <a16:creationId xmlns:a16="http://schemas.microsoft.com/office/drawing/2014/main" id="{C0C0C1EA-5778-4F8A-90D7-241DACF109E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3" name="AutoShape 1" descr="Resultado de imagem para whirlpool logo">
          <a:extLst>
            <a:ext uri="{FF2B5EF4-FFF2-40B4-BE49-F238E27FC236}">
              <a16:creationId xmlns:a16="http://schemas.microsoft.com/office/drawing/2014/main" id="{36604B34-425F-4C8C-BCE5-9E44BBA6311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74" name="AutoShape 1" descr="Resultado de imagem para whirlpool logo">
          <a:extLst>
            <a:ext uri="{FF2B5EF4-FFF2-40B4-BE49-F238E27FC236}">
              <a16:creationId xmlns:a16="http://schemas.microsoft.com/office/drawing/2014/main" id="{E4F53F68-2B72-4047-A6E8-D130073C0F0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5" name="AutoShape 1" descr="Resultado de imagem para whirlpool logo">
          <a:extLst>
            <a:ext uri="{FF2B5EF4-FFF2-40B4-BE49-F238E27FC236}">
              <a16:creationId xmlns:a16="http://schemas.microsoft.com/office/drawing/2014/main" id="{DD171A57-2A17-4036-A6EF-195A946600C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6" name="AutoShape 1" descr="Resultado de imagem para whirlpool logo">
          <a:extLst>
            <a:ext uri="{FF2B5EF4-FFF2-40B4-BE49-F238E27FC236}">
              <a16:creationId xmlns:a16="http://schemas.microsoft.com/office/drawing/2014/main" id="{85748CAC-4D56-4592-9090-2CEC88D8CC8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7" name="AutoShape 1" descr="Resultado de imagem para whirlpool logo">
          <a:extLst>
            <a:ext uri="{FF2B5EF4-FFF2-40B4-BE49-F238E27FC236}">
              <a16:creationId xmlns:a16="http://schemas.microsoft.com/office/drawing/2014/main" id="{1590D212-CAEF-4D10-9245-5DE7AE9B4D7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78" name="AutoShape 1" descr="Resultado de imagem para whirlpool logo">
          <a:extLst>
            <a:ext uri="{FF2B5EF4-FFF2-40B4-BE49-F238E27FC236}">
              <a16:creationId xmlns:a16="http://schemas.microsoft.com/office/drawing/2014/main" id="{4630C84A-714B-4DA3-ABE4-83CCA5180C1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79" name="AutoShape 1" descr="Resultado de imagem para whirlpool logo">
          <a:extLst>
            <a:ext uri="{FF2B5EF4-FFF2-40B4-BE49-F238E27FC236}">
              <a16:creationId xmlns:a16="http://schemas.microsoft.com/office/drawing/2014/main" id="{1DC2819F-7B01-4FC1-93F6-1759C816A99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80" name="AutoShape 1" descr="Resultado de imagem para whirlpool logo">
          <a:extLst>
            <a:ext uri="{FF2B5EF4-FFF2-40B4-BE49-F238E27FC236}">
              <a16:creationId xmlns:a16="http://schemas.microsoft.com/office/drawing/2014/main" id="{F4C0A1E3-486F-4F98-9870-21EF447C5DD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1" name="AutoShape 1" descr="Resultado de imagem para whirlpool logo">
          <a:extLst>
            <a:ext uri="{FF2B5EF4-FFF2-40B4-BE49-F238E27FC236}">
              <a16:creationId xmlns:a16="http://schemas.microsoft.com/office/drawing/2014/main" id="{312C94EF-1A0F-4727-B455-F29E66D52EC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82" name="AutoShape 1" descr="Resultado de imagem para whirlpool logo">
          <a:extLst>
            <a:ext uri="{FF2B5EF4-FFF2-40B4-BE49-F238E27FC236}">
              <a16:creationId xmlns:a16="http://schemas.microsoft.com/office/drawing/2014/main" id="{97D26753-C309-47EC-A3D2-2778740837D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3" name="AutoShape 1" descr="Resultado de imagem para whirlpool logo">
          <a:extLst>
            <a:ext uri="{FF2B5EF4-FFF2-40B4-BE49-F238E27FC236}">
              <a16:creationId xmlns:a16="http://schemas.microsoft.com/office/drawing/2014/main" id="{FF48D964-6CB4-4DAD-9C7A-53152370120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84" name="AutoShape 1" descr="Resultado de imagem para whirlpool logo">
          <a:extLst>
            <a:ext uri="{FF2B5EF4-FFF2-40B4-BE49-F238E27FC236}">
              <a16:creationId xmlns:a16="http://schemas.microsoft.com/office/drawing/2014/main" id="{FFEC634B-F1E9-44F0-828B-67C894A61FE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5" name="AutoShape 1" descr="Resultado de imagem para whirlpool logo">
          <a:extLst>
            <a:ext uri="{FF2B5EF4-FFF2-40B4-BE49-F238E27FC236}">
              <a16:creationId xmlns:a16="http://schemas.microsoft.com/office/drawing/2014/main" id="{D20D2104-7A68-4FB8-B338-4AC95736160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6" name="AutoShape 1" descr="Resultado de imagem para whirlpool logo">
          <a:extLst>
            <a:ext uri="{FF2B5EF4-FFF2-40B4-BE49-F238E27FC236}">
              <a16:creationId xmlns:a16="http://schemas.microsoft.com/office/drawing/2014/main" id="{F25AE762-5AFE-4250-9551-08710CD6268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7" name="AutoShape 1" descr="Resultado de imagem para whirlpool logo">
          <a:extLst>
            <a:ext uri="{FF2B5EF4-FFF2-40B4-BE49-F238E27FC236}">
              <a16:creationId xmlns:a16="http://schemas.microsoft.com/office/drawing/2014/main" id="{15C8524C-FBB3-42A7-B6DB-2B62048813E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88" name="AutoShape 1" descr="Resultado de imagem para whirlpool logo">
          <a:extLst>
            <a:ext uri="{FF2B5EF4-FFF2-40B4-BE49-F238E27FC236}">
              <a16:creationId xmlns:a16="http://schemas.microsoft.com/office/drawing/2014/main" id="{230A6600-4C2C-43D8-A6A2-B5D811B543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89" name="AutoShape 1" descr="Resultado de imagem para whirlpool logo">
          <a:extLst>
            <a:ext uri="{FF2B5EF4-FFF2-40B4-BE49-F238E27FC236}">
              <a16:creationId xmlns:a16="http://schemas.microsoft.com/office/drawing/2014/main" id="{44BEA4B2-E8FE-4046-A273-BCDD3F715FA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90" name="AutoShape 1" descr="Resultado de imagem para whirlpool logo">
          <a:extLst>
            <a:ext uri="{FF2B5EF4-FFF2-40B4-BE49-F238E27FC236}">
              <a16:creationId xmlns:a16="http://schemas.microsoft.com/office/drawing/2014/main" id="{029E6D0C-65F1-4876-854F-0323B130C54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1" name="AutoShape 1" descr="Resultado de imagem para whirlpool logo">
          <a:extLst>
            <a:ext uri="{FF2B5EF4-FFF2-40B4-BE49-F238E27FC236}">
              <a16:creationId xmlns:a16="http://schemas.microsoft.com/office/drawing/2014/main" id="{0046D7E1-55F0-4979-8A03-F489813FA0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2" name="AutoShape 1" descr="Resultado de imagem para whirlpool logo">
          <a:extLst>
            <a:ext uri="{FF2B5EF4-FFF2-40B4-BE49-F238E27FC236}">
              <a16:creationId xmlns:a16="http://schemas.microsoft.com/office/drawing/2014/main" id="{BBE5C3C6-90E0-481E-AB57-BB888D2AC4A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3" name="AutoShape 1" descr="Resultado de imagem para whirlpool logo">
          <a:extLst>
            <a:ext uri="{FF2B5EF4-FFF2-40B4-BE49-F238E27FC236}">
              <a16:creationId xmlns:a16="http://schemas.microsoft.com/office/drawing/2014/main" id="{EDADDBFC-B9C2-4407-A490-7564DB56B49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94" name="AutoShape 1" descr="Resultado de imagem para whirlpool logo">
          <a:extLst>
            <a:ext uri="{FF2B5EF4-FFF2-40B4-BE49-F238E27FC236}">
              <a16:creationId xmlns:a16="http://schemas.microsoft.com/office/drawing/2014/main" id="{3B2B02CC-64C6-488B-A2A5-51B1916A7C7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5" name="AutoShape 1" descr="Resultado de imagem para whirlpool logo">
          <a:extLst>
            <a:ext uri="{FF2B5EF4-FFF2-40B4-BE49-F238E27FC236}">
              <a16:creationId xmlns:a16="http://schemas.microsoft.com/office/drawing/2014/main" id="{000541A4-E81F-4411-8D58-4B763EAF906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96" name="AutoShape 1" descr="Resultado de imagem para whirlpool logo">
          <a:extLst>
            <a:ext uri="{FF2B5EF4-FFF2-40B4-BE49-F238E27FC236}">
              <a16:creationId xmlns:a16="http://schemas.microsoft.com/office/drawing/2014/main" id="{37BA0150-65EA-4067-B9E5-CA2B6772E2A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7" name="AutoShape 1" descr="Resultado de imagem para whirlpool logo">
          <a:extLst>
            <a:ext uri="{FF2B5EF4-FFF2-40B4-BE49-F238E27FC236}">
              <a16:creationId xmlns:a16="http://schemas.microsoft.com/office/drawing/2014/main" id="{B8839A57-3384-4881-B16C-47DB4D55C61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898" name="AutoShape 1" descr="Resultado de imagem para whirlpool logo">
          <a:extLst>
            <a:ext uri="{FF2B5EF4-FFF2-40B4-BE49-F238E27FC236}">
              <a16:creationId xmlns:a16="http://schemas.microsoft.com/office/drawing/2014/main" id="{C0A798C5-491F-4B61-8352-E3D346A16FB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899" name="AutoShape 1" descr="Resultado de imagem para whirlpool logo">
          <a:extLst>
            <a:ext uri="{FF2B5EF4-FFF2-40B4-BE49-F238E27FC236}">
              <a16:creationId xmlns:a16="http://schemas.microsoft.com/office/drawing/2014/main" id="{66095A94-C912-464D-8F4D-83EB9D27E9C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00" name="AutoShape 1" descr="Resultado de imagem para whirlpool logo">
          <a:extLst>
            <a:ext uri="{FF2B5EF4-FFF2-40B4-BE49-F238E27FC236}">
              <a16:creationId xmlns:a16="http://schemas.microsoft.com/office/drawing/2014/main" id="{DC53570F-0473-4672-9828-8D03D0F8793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1" name="AutoShape 1" descr="Resultado de imagem para whirlpool logo">
          <a:extLst>
            <a:ext uri="{FF2B5EF4-FFF2-40B4-BE49-F238E27FC236}">
              <a16:creationId xmlns:a16="http://schemas.microsoft.com/office/drawing/2014/main" id="{990AD768-52FB-4279-8507-DF6F63971B7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02" name="AutoShape 1" descr="Resultado de imagem para whirlpool logo">
          <a:extLst>
            <a:ext uri="{FF2B5EF4-FFF2-40B4-BE49-F238E27FC236}">
              <a16:creationId xmlns:a16="http://schemas.microsoft.com/office/drawing/2014/main" id="{6ED6862F-066D-4B6C-B0E7-5D241DD8741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3" name="AutoShape 1" descr="Resultado de imagem para whirlpool logo">
          <a:extLst>
            <a:ext uri="{FF2B5EF4-FFF2-40B4-BE49-F238E27FC236}">
              <a16:creationId xmlns:a16="http://schemas.microsoft.com/office/drawing/2014/main" id="{A989329D-5952-4214-8339-4A9ACB25E0D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04" name="AutoShape 1" descr="Resultado de imagem para whirlpool logo">
          <a:extLst>
            <a:ext uri="{FF2B5EF4-FFF2-40B4-BE49-F238E27FC236}">
              <a16:creationId xmlns:a16="http://schemas.microsoft.com/office/drawing/2014/main" id="{5255E76A-5C7D-4117-AC5F-DA55D4664D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5" name="AutoShape 1" descr="Resultado de imagem para whirlpool logo">
          <a:extLst>
            <a:ext uri="{FF2B5EF4-FFF2-40B4-BE49-F238E27FC236}">
              <a16:creationId xmlns:a16="http://schemas.microsoft.com/office/drawing/2014/main" id="{B8C110C1-3C7E-4F54-A603-A51A98FBBF1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6" name="AutoShape 1" descr="Resultado de imagem para whirlpool logo">
          <a:extLst>
            <a:ext uri="{FF2B5EF4-FFF2-40B4-BE49-F238E27FC236}">
              <a16:creationId xmlns:a16="http://schemas.microsoft.com/office/drawing/2014/main" id="{861F3DE9-5546-4BB6-A380-92F34709169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07" name="AutoShape 1" descr="Resultado de imagem para whirlpool logo">
          <a:extLst>
            <a:ext uri="{FF2B5EF4-FFF2-40B4-BE49-F238E27FC236}">
              <a16:creationId xmlns:a16="http://schemas.microsoft.com/office/drawing/2014/main" id="{F9D33584-908B-4E75-A361-6AE0D7E2F19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8" name="AutoShape 1" descr="Resultado de imagem para whirlpool logo">
          <a:extLst>
            <a:ext uri="{FF2B5EF4-FFF2-40B4-BE49-F238E27FC236}">
              <a16:creationId xmlns:a16="http://schemas.microsoft.com/office/drawing/2014/main" id="{C67396B7-6C53-482D-9CBF-B56383762CE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09" name="AutoShape 1" descr="Resultado de imagem para whirlpool logo">
          <a:extLst>
            <a:ext uri="{FF2B5EF4-FFF2-40B4-BE49-F238E27FC236}">
              <a16:creationId xmlns:a16="http://schemas.microsoft.com/office/drawing/2014/main" id="{880FD5BB-AEFE-433A-9A37-8CA4317F347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0" name="AutoShape 1" descr="Resultado de imagem para whirlpool logo">
          <a:extLst>
            <a:ext uri="{FF2B5EF4-FFF2-40B4-BE49-F238E27FC236}">
              <a16:creationId xmlns:a16="http://schemas.microsoft.com/office/drawing/2014/main" id="{9D1B7FA6-4E34-4983-8A16-C33F3E7800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11" name="AutoShape 1" descr="Resultado de imagem para whirlpool logo">
          <a:extLst>
            <a:ext uri="{FF2B5EF4-FFF2-40B4-BE49-F238E27FC236}">
              <a16:creationId xmlns:a16="http://schemas.microsoft.com/office/drawing/2014/main" id="{311697DE-31AC-4F75-9D17-41EBBE8CC6B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2" name="AutoShape 1" descr="Resultado de imagem para whirlpool logo">
          <a:extLst>
            <a:ext uri="{FF2B5EF4-FFF2-40B4-BE49-F238E27FC236}">
              <a16:creationId xmlns:a16="http://schemas.microsoft.com/office/drawing/2014/main" id="{36782BED-B2D8-4DF3-AD50-C21AA061511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13" name="AutoShape 1" descr="Resultado de imagem para whirlpool logo">
          <a:extLst>
            <a:ext uri="{FF2B5EF4-FFF2-40B4-BE49-F238E27FC236}">
              <a16:creationId xmlns:a16="http://schemas.microsoft.com/office/drawing/2014/main" id="{EA304937-BC07-4941-A29D-2272BBBCEB0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4" name="AutoShape 1" descr="Resultado de imagem para whirlpool logo">
          <a:extLst>
            <a:ext uri="{FF2B5EF4-FFF2-40B4-BE49-F238E27FC236}">
              <a16:creationId xmlns:a16="http://schemas.microsoft.com/office/drawing/2014/main" id="{AE370BBE-690A-4D37-A202-1E80D6144E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15" name="AutoShape 1" descr="Resultado de imagem para whirlpool logo">
          <a:extLst>
            <a:ext uri="{FF2B5EF4-FFF2-40B4-BE49-F238E27FC236}">
              <a16:creationId xmlns:a16="http://schemas.microsoft.com/office/drawing/2014/main" id="{1FBDDB52-86C9-49E1-B7B9-8EAB2DA3037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6" name="AutoShape 1" descr="Resultado de imagem para whirlpool logo">
          <a:extLst>
            <a:ext uri="{FF2B5EF4-FFF2-40B4-BE49-F238E27FC236}">
              <a16:creationId xmlns:a16="http://schemas.microsoft.com/office/drawing/2014/main" id="{667BDE50-B17B-4BCC-BB44-5CC3345F5EE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17" name="AutoShape 1" descr="Resultado de imagem para whirlpool logo">
          <a:extLst>
            <a:ext uri="{FF2B5EF4-FFF2-40B4-BE49-F238E27FC236}">
              <a16:creationId xmlns:a16="http://schemas.microsoft.com/office/drawing/2014/main" id="{4E0768B6-C944-48AD-845E-74676965B8D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8" name="AutoShape 1" descr="Resultado de imagem para whirlpool logo">
          <a:extLst>
            <a:ext uri="{FF2B5EF4-FFF2-40B4-BE49-F238E27FC236}">
              <a16:creationId xmlns:a16="http://schemas.microsoft.com/office/drawing/2014/main" id="{6D71BC1A-DE0E-4350-BBDB-A6BC351E1D1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19" name="AutoShape 1" descr="Resultado de imagem para whirlpool logo">
          <a:extLst>
            <a:ext uri="{FF2B5EF4-FFF2-40B4-BE49-F238E27FC236}">
              <a16:creationId xmlns:a16="http://schemas.microsoft.com/office/drawing/2014/main" id="{D4CC8CDF-6A7A-4094-A7DD-CE78A81E53A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20" name="AutoShape 1" descr="Resultado de imagem para whirlpool logo">
          <a:extLst>
            <a:ext uri="{FF2B5EF4-FFF2-40B4-BE49-F238E27FC236}">
              <a16:creationId xmlns:a16="http://schemas.microsoft.com/office/drawing/2014/main" id="{BBB372AC-646B-43F3-823E-2B40CAD353A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21" name="AutoShape 1" descr="Resultado de imagem para whirlpool logo">
          <a:extLst>
            <a:ext uri="{FF2B5EF4-FFF2-40B4-BE49-F238E27FC236}">
              <a16:creationId xmlns:a16="http://schemas.microsoft.com/office/drawing/2014/main" id="{12DA5C61-6AF6-4656-A602-ECEC11ECD30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22" name="AutoShape 1" descr="Resultado de imagem para whirlpool logo">
          <a:extLst>
            <a:ext uri="{FF2B5EF4-FFF2-40B4-BE49-F238E27FC236}">
              <a16:creationId xmlns:a16="http://schemas.microsoft.com/office/drawing/2014/main" id="{910873AB-4BE7-46DA-8A14-C6A26F7EE01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23" name="AutoShape 1" descr="Resultado de imagem para whirlpool logo">
          <a:extLst>
            <a:ext uri="{FF2B5EF4-FFF2-40B4-BE49-F238E27FC236}">
              <a16:creationId xmlns:a16="http://schemas.microsoft.com/office/drawing/2014/main" id="{5E5A04AC-BFBE-4561-8949-BC45DE9FE31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24" name="AutoShape 1" descr="Resultado de imagem para whirlpool logo">
          <a:extLst>
            <a:ext uri="{FF2B5EF4-FFF2-40B4-BE49-F238E27FC236}">
              <a16:creationId xmlns:a16="http://schemas.microsoft.com/office/drawing/2014/main" id="{9075ADD5-B446-4CC5-A0C6-DE40685261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25" name="AutoShape 1" descr="Resultado de imagem para whirlpool logo">
          <a:extLst>
            <a:ext uri="{FF2B5EF4-FFF2-40B4-BE49-F238E27FC236}">
              <a16:creationId xmlns:a16="http://schemas.microsoft.com/office/drawing/2014/main" id="{576A9894-308C-46C9-93A6-F88437F066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26" name="AutoShape 1" descr="Resultado de imagem para whirlpool logo">
          <a:extLst>
            <a:ext uri="{FF2B5EF4-FFF2-40B4-BE49-F238E27FC236}">
              <a16:creationId xmlns:a16="http://schemas.microsoft.com/office/drawing/2014/main" id="{ACB1F451-559C-4F09-BEB2-7F53B9DEB4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27" name="AutoShape 1" descr="Resultado de imagem para whirlpool logo">
          <a:extLst>
            <a:ext uri="{FF2B5EF4-FFF2-40B4-BE49-F238E27FC236}">
              <a16:creationId xmlns:a16="http://schemas.microsoft.com/office/drawing/2014/main" id="{86BE1238-EDB6-4529-946C-ECE5C184AA3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28" name="AutoShape 1" descr="Resultado de imagem para whirlpool logo">
          <a:extLst>
            <a:ext uri="{FF2B5EF4-FFF2-40B4-BE49-F238E27FC236}">
              <a16:creationId xmlns:a16="http://schemas.microsoft.com/office/drawing/2014/main" id="{27EDDF0B-BCE1-47BD-AD58-BCB19D23A0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29" name="AutoShape 1" descr="Resultado de imagem para whirlpool logo">
          <a:extLst>
            <a:ext uri="{FF2B5EF4-FFF2-40B4-BE49-F238E27FC236}">
              <a16:creationId xmlns:a16="http://schemas.microsoft.com/office/drawing/2014/main" id="{8F6F88C1-4884-4019-B348-BDB11F44CCA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0" name="AutoShape 1" descr="Resultado de imagem para whirlpool logo">
          <a:extLst>
            <a:ext uri="{FF2B5EF4-FFF2-40B4-BE49-F238E27FC236}">
              <a16:creationId xmlns:a16="http://schemas.microsoft.com/office/drawing/2014/main" id="{824987BB-805C-4D08-B117-D1CA81AA73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31" name="AutoShape 1" descr="Resultado de imagem para whirlpool logo">
          <a:extLst>
            <a:ext uri="{FF2B5EF4-FFF2-40B4-BE49-F238E27FC236}">
              <a16:creationId xmlns:a16="http://schemas.microsoft.com/office/drawing/2014/main" id="{288871FA-7A79-4A70-A6D9-F340C81F9E3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2" name="AutoShape 1" descr="Resultado de imagem para whirlpool logo">
          <a:extLst>
            <a:ext uri="{FF2B5EF4-FFF2-40B4-BE49-F238E27FC236}">
              <a16:creationId xmlns:a16="http://schemas.microsoft.com/office/drawing/2014/main" id="{B5023E23-54AF-4B72-B287-91AAC4C202B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33" name="AutoShape 1" descr="Resultado de imagem para whirlpool logo">
          <a:extLst>
            <a:ext uri="{FF2B5EF4-FFF2-40B4-BE49-F238E27FC236}">
              <a16:creationId xmlns:a16="http://schemas.microsoft.com/office/drawing/2014/main" id="{C5F74555-F227-48F3-9C0A-5B2EB0CA55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4" name="AutoShape 1" descr="Resultado de imagem para whirlpool logo">
          <a:extLst>
            <a:ext uri="{FF2B5EF4-FFF2-40B4-BE49-F238E27FC236}">
              <a16:creationId xmlns:a16="http://schemas.microsoft.com/office/drawing/2014/main" id="{B058A472-8980-48D1-B70E-66341FF3DB6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5" name="AutoShape 1" descr="Resultado de imagem para whirlpool logo">
          <a:extLst>
            <a:ext uri="{FF2B5EF4-FFF2-40B4-BE49-F238E27FC236}">
              <a16:creationId xmlns:a16="http://schemas.microsoft.com/office/drawing/2014/main" id="{177E3DE2-BCFC-4260-903E-F8843F60A5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6" name="AutoShape 1" descr="Resultado de imagem para whirlpool logo">
          <a:extLst>
            <a:ext uri="{FF2B5EF4-FFF2-40B4-BE49-F238E27FC236}">
              <a16:creationId xmlns:a16="http://schemas.microsoft.com/office/drawing/2014/main" id="{35C53F3A-4702-4DB2-A998-9A4368A75D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37" name="AutoShape 1" descr="Resultado de imagem para whirlpool logo">
          <a:extLst>
            <a:ext uri="{FF2B5EF4-FFF2-40B4-BE49-F238E27FC236}">
              <a16:creationId xmlns:a16="http://schemas.microsoft.com/office/drawing/2014/main" id="{11847BC3-D713-467F-94F9-51A27C8D74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38" name="AutoShape 1" descr="Resultado de imagem para whirlpool logo">
          <a:extLst>
            <a:ext uri="{FF2B5EF4-FFF2-40B4-BE49-F238E27FC236}">
              <a16:creationId xmlns:a16="http://schemas.microsoft.com/office/drawing/2014/main" id="{884686BA-25E1-47C0-BA6A-22D55525CED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39" name="AutoShape 1" descr="Resultado de imagem para whirlpool logo">
          <a:extLst>
            <a:ext uri="{FF2B5EF4-FFF2-40B4-BE49-F238E27FC236}">
              <a16:creationId xmlns:a16="http://schemas.microsoft.com/office/drawing/2014/main" id="{1A9E1A82-738A-4573-9A1B-74BBC696B6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0" name="AutoShape 1" descr="Resultado de imagem para whirlpool logo">
          <a:extLst>
            <a:ext uri="{FF2B5EF4-FFF2-40B4-BE49-F238E27FC236}">
              <a16:creationId xmlns:a16="http://schemas.microsoft.com/office/drawing/2014/main" id="{00E3B9EE-1704-43EB-A786-E89E5824CCA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41" name="AutoShape 1" descr="Resultado de imagem para whirlpool logo">
          <a:extLst>
            <a:ext uri="{FF2B5EF4-FFF2-40B4-BE49-F238E27FC236}">
              <a16:creationId xmlns:a16="http://schemas.microsoft.com/office/drawing/2014/main" id="{90C2B081-C197-428C-AE37-AF6F60E3C30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2" name="AutoShape 1" descr="Resultado de imagem para whirlpool logo">
          <a:extLst>
            <a:ext uri="{FF2B5EF4-FFF2-40B4-BE49-F238E27FC236}">
              <a16:creationId xmlns:a16="http://schemas.microsoft.com/office/drawing/2014/main" id="{0DF0B4B4-16E1-498A-BC10-3A674C79FA3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43" name="AutoShape 1" descr="Resultado de imagem para whirlpool logo">
          <a:extLst>
            <a:ext uri="{FF2B5EF4-FFF2-40B4-BE49-F238E27FC236}">
              <a16:creationId xmlns:a16="http://schemas.microsoft.com/office/drawing/2014/main" id="{CB77A8FD-DE68-4317-9224-BD5F3B93405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4" name="AutoShape 1" descr="Resultado de imagem para whirlpool logo">
          <a:extLst>
            <a:ext uri="{FF2B5EF4-FFF2-40B4-BE49-F238E27FC236}">
              <a16:creationId xmlns:a16="http://schemas.microsoft.com/office/drawing/2014/main" id="{BCDAA481-C0C7-4991-85F9-CB91E536D6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5" name="AutoShape 1" descr="Resultado de imagem para whirlpool logo">
          <a:extLst>
            <a:ext uri="{FF2B5EF4-FFF2-40B4-BE49-F238E27FC236}">
              <a16:creationId xmlns:a16="http://schemas.microsoft.com/office/drawing/2014/main" id="{94110491-6E64-4A35-BC7E-9B0095F6C5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6" name="AutoShape 1" descr="Resultado de imagem para whirlpool logo">
          <a:extLst>
            <a:ext uri="{FF2B5EF4-FFF2-40B4-BE49-F238E27FC236}">
              <a16:creationId xmlns:a16="http://schemas.microsoft.com/office/drawing/2014/main" id="{EB45E182-E7A4-4D8E-8F83-6A68E5E7D0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47" name="AutoShape 1" descr="Resultado de imagem para whirlpool logo">
          <a:extLst>
            <a:ext uri="{FF2B5EF4-FFF2-40B4-BE49-F238E27FC236}">
              <a16:creationId xmlns:a16="http://schemas.microsoft.com/office/drawing/2014/main" id="{CE147E62-EC3C-42CE-8DA1-FD8A3FCCE4F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1948" name="AutoShape 1" descr="Resultado de imagem para whirlpool logo">
          <a:extLst>
            <a:ext uri="{FF2B5EF4-FFF2-40B4-BE49-F238E27FC236}">
              <a16:creationId xmlns:a16="http://schemas.microsoft.com/office/drawing/2014/main" id="{789DADCB-1C89-4B0A-ACAC-9548B4A548E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1949" name="AutoShape 1" descr="Resultado de imagem para whirlpool logo">
          <a:extLst>
            <a:ext uri="{FF2B5EF4-FFF2-40B4-BE49-F238E27FC236}">
              <a16:creationId xmlns:a16="http://schemas.microsoft.com/office/drawing/2014/main" id="{2C01F940-072D-48C8-93E2-0AB8DD18583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0" name="AutoShape 1" descr="Resultado de imagem para whirlpool logo">
          <a:extLst>
            <a:ext uri="{FF2B5EF4-FFF2-40B4-BE49-F238E27FC236}">
              <a16:creationId xmlns:a16="http://schemas.microsoft.com/office/drawing/2014/main" id="{E0B13684-C161-406D-8CA2-8506B88A817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51" name="AutoShape 1" descr="Resultado de imagem para whirlpool logo">
          <a:extLst>
            <a:ext uri="{FF2B5EF4-FFF2-40B4-BE49-F238E27FC236}">
              <a16:creationId xmlns:a16="http://schemas.microsoft.com/office/drawing/2014/main" id="{634EE623-7564-4F53-82BF-A246F0F8F1A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2" name="AutoShape 1" descr="Resultado de imagem para whirlpool logo">
          <a:extLst>
            <a:ext uri="{FF2B5EF4-FFF2-40B4-BE49-F238E27FC236}">
              <a16:creationId xmlns:a16="http://schemas.microsoft.com/office/drawing/2014/main" id="{20918B49-56B1-4D49-9C2A-C1A09C2C0B4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3" name="AutoShape 1" descr="Resultado de imagem para whirlpool logo">
          <a:extLst>
            <a:ext uri="{FF2B5EF4-FFF2-40B4-BE49-F238E27FC236}">
              <a16:creationId xmlns:a16="http://schemas.microsoft.com/office/drawing/2014/main" id="{FF67E9FF-C803-4BA6-AFBE-A13D9A08479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4" name="AutoShape 1" descr="Resultado de imagem para whirlpool logo">
          <a:extLst>
            <a:ext uri="{FF2B5EF4-FFF2-40B4-BE49-F238E27FC236}">
              <a16:creationId xmlns:a16="http://schemas.microsoft.com/office/drawing/2014/main" id="{DBA3E761-227A-4AE6-A583-14F0D01FF64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55" name="AutoShape 1" descr="Resultado de imagem para whirlpool logo">
          <a:extLst>
            <a:ext uri="{FF2B5EF4-FFF2-40B4-BE49-F238E27FC236}">
              <a16:creationId xmlns:a16="http://schemas.microsoft.com/office/drawing/2014/main" id="{2FA4BE2F-57B4-466A-AB0E-06B34E69594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6" name="AutoShape 1" descr="Resultado de imagem para whirlpool logo">
          <a:extLst>
            <a:ext uri="{FF2B5EF4-FFF2-40B4-BE49-F238E27FC236}">
              <a16:creationId xmlns:a16="http://schemas.microsoft.com/office/drawing/2014/main" id="{1889353F-784A-4AD4-9C73-9E7CA2A77CD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57" name="AutoShape 1" descr="Resultado de imagem para whirlpool logo">
          <a:extLst>
            <a:ext uri="{FF2B5EF4-FFF2-40B4-BE49-F238E27FC236}">
              <a16:creationId xmlns:a16="http://schemas.microsoft.com/office/drawing/2014/main" id="{03718FA9-D6BA-4C82-97BA-B86C9F3FA63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58" name="AutoShape 1" descr="Resultado de imagem para whirlpool logo">
          <a:extLst>
            <a:ext uri="{FF2B5EF4-FFF2-40B4-BE49-F238E27FC236}">
              <a16:creationId xmlns:a16="http://schemas.microsoft.com/office/drawing/2014/main" id="{9601BD8E-C4AB-490A-AFFA-1CA43379C0F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59" name="AutoShape 1" descr="Resultado de imagem para whirlpool logo">
          <a:extLst>
            <a:ext uri="{FF2B5EF4-FFF2-40B4-BE49-F238E27FC236}">
              <a16:creationId xmlns:a16="http://schemas.microsoft.com/office/drawing/2014/main" id="{8FED803D-98BB-4A17-BB1B-7B6DD277E56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0" name="AutoShape 1" descr="Resultado de imagem para whirlpool logo">
          <a:extLst>
            <a:ext uri="{FF2B5EF4-FFF2-40B4-BE49-F238E27FC236}">
              <a16:creationId xmlns:a16="http://schemas.microsoft.com/office/drawing/2014/main" id="{B590C6DC-DA68-4D63-A02A-A736FA32259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61" name="AutoShape 1" descr="Resultado de imagem para whirlpool logo">
          <a:extLst>
            <a:ext uri="{FF2B5EF4-FFF2-40B4-BE49-F238E27FC236}">
              <a16:creationId xmlns:a16="http://schemas.microsoft.com/office/drawing/2014/main" id="{2C198B98-269F-405F-BE76-7F7A04EFF18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2" name="AutoShape 1" descr="Resultado de imagem para whirlpool logo">
          <a:extLst>
            <a:ext uri="{FF2B5EF4-FFF2-40B4-BE49-F238E27FC236}">
              <a16:creationId xmlns:a16="http://schemas.microsoft.com/office/drawing/2014/main" id="{70E9E909-CB3D-4E34-ACAB-D5BDC0CA5BF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63" name="AutoShape 1" descr="Resultado de imagem para whirlpool logo">
          <a:extLst>
            <a:ext uri="{FF2B5EF4-FFF2-40B4-BE49-F238E27FC236}">
              <a16:creationId xmlns:a16="http://schemas.microsoft.com/office/drawing/2014/main" id="{70BDF75D-5403-4029-AEFE-39D9C04AACE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4" name="AutoShape 1" descr="Resultado de imagem para whirlpool logo">
          <a:extLst>
            <a:ext uri="{FF2B5EF4-FFF2-40B4-BE49-F238E27FC236}">
              <a16:creationId xmlns:a16="http://schemas.microsoft.com/office/drawing/2014/main" id="{29020D88-4091-4301-A4BD-5E213486B75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5" name="AutoShape 1" descr="Resultado de imagem para whirlpool logo">
          <a:extLst>
            <a:ext uri="{FF2B5EF4-FFF2-40B4-BE49-F238E27FC236}">
              <a16:creationId xmlns:a16="http://schemas.microsoft.com/office/drawing/2014/main" id="{1B3F2D15-DFBE-4A70-9695-097E423F6D5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66" name="AutoShape 1" descr="Resultado de imagem para whirlpool logo">
          <a:extLst>
            <a:ext uri="{FF2B5EF4-FFF2-40B4-BE49-F238E27FC236}">
              <a16:creationId xmlns:a16="http://schemas.microsoft.com/office/drawing/2014/main" id="{93DB366D-4856-4D1E-8F17-79037F0BCBF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7" name="AutoShape 1" descr="Resultado de imagem para whirlpool logo">
          <a:extLst>
            <a:ext uri="{FF2B5EF4-FFF2-40B4-BE49-F238E27FC236}">
              <a16:creationId xmlns:a16="http://schemas.microsoft.com/office/drawing/2014/main" id="{6F8BD46A-B0A4-47AF-93A5-EFECB787360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68" name="AutoShape 1" descr="Resultado de imagem para whirlpool logo">
          <a:extLst>
            <a:ext uri="{FF2B5EF4-FFF2-40B4-BE49-F238E27FC236}">
              <a16:creationId xmlns:a16="http://schemas.microsoft.com/office/drawing/2014/main" id="{53F3810A-A179-483F-BF4D-0232FEB8D3C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69" name="AutoShape 1" descr="Resultado de imagem para whirlpool logo">
          <a:extLst>
            <a:ext uri="{FF2B5EF4-FFF2-40B4-BE49-F238E27FC236}">
              <a16:creationId xmlns:a16="http://schemas.microsoft.com/office/drawing/2014/main" id="{6490E4A7-C57B-474A-AF86-663DD471806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0" name="AutoShape 1" descr="Resultado de imagem para whirlpool logo">
          <a:extLst>
            <a:ext uri="{FF2B5EF4-FFF2-40B4-BE49-F238E27FC236}">
              <a16:creationId xmlns:a16="http://schemas.microsoft.com/office/drawing/2014/main" id="{172BF0BE-604F-4E42-AEC6-F70B78B1C6A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71" name="AutoShape 1" descr="Resultado de imagem para whirlpool logo">
          <a:extLst>
            <a:ext uri="{FF2B5EF4-FFF2-40B4-BE49-F238E27FC236}">
              <a16:creationId xmlns:a16="http://schemas.microsoft.com/office/drawing/2014/main" id="{94BF75FB-E7C7-4225-82E0-C6B79F9EECF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2" name="AutoShape 1" descr="Resultado de imagem para whirlpool logo">
          <a:extLst>
            <a:ext uri="{FF2B5EF4-FFF2-40B4-BE49-F238E27FC236}">
              <a16:creationId xmlns:a16="http://schemas.microsoft.com/office/drawing/2014/main" id="{666EAEC2-1548-4E11-861D-978867F4CFE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73" name="AutoShape 1" descr="Resultado de imagem para whirlpool logo">
          <a:extLst>
            <a:ext uri="{FF2B5EF4-FFF2-40B4-BE49-F238E27FC236}">
              <a16:creationId xmlns:a16="http://schemas.microsoft.com/office/drawing/2014/main" id="{547838CF-DBA8-41B5-A636-6D05DD4F9CE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4" name="AutoShape 1" descr="Resultado de imagem para whirlpool logo">
          <a:extLst>
            <a:ext uri="{FF2B5EF4-FFF2-40B4-BE49-F238E27FC236}">
              <a16:creationId xmlns:a16="http://schemas.microsoft.com/office/drawing/2014/main" id="{76719D7C-A5D4-4F2C-B27D-D0E5F63744E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5" name="AutoShape 1" descr="Resultado de imagem para whirlpool logo">
          <a:extLst>
            <a:ext uri="{FF2B5EF4-FFF2-40B4-BE49-F238E27FC236}">
              <a16:creationId xmlns:a16="http://schemas.microsoft.com/office/drawing/2014/main" id="{9DEB8924-CD53-4246-95AA-46D2D5A9ADF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76" name="AutoShape 1" descr="Resultado de imagem para whirlpool logo">
          <a:extLst>
            <a:ext uri="{FF2B5EF4-FFF2-40B4-BE49-F238E27FC236}">
              <a16:creationId xmlns:a16="http://schemas.microsoft.com/office/drawing/2014/main" id="{367FE294-9506-4520-A27A-65F0108B6DC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7" name="AutoShape 1" descr="Resultado de imagem para whirlpool logo">
          <a:extLst>
            <a:ext uri="{FF2B5EF4-FFF2-40B4-BE49-F238E27FC236}">
              <a16:creationId xmlns:a16="http://schemas.microsoft.com/office/drawing/2014/main" id="{B19C04DA-2E36-4F1C-95BC-C96EC585EAB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78" name="AutoShape 1" descr="Resultado de imagem para whirlpool logo">
          <a:extLst>
            <a:ext uri="{FF2B5EF4-FFF2-40B4-BE49-F238E27FC236}">
              <a16:creationId xmlns:a16="http://schemas.microsoft.com/office/drawing/2014/main" id="{85C01FB7-1B57-4B45-B0DC-6D5575BF01E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79" name="AutoShape 1" descr="Resultado de imagem para whirlpool logo">
          <a:extLst>
            <a:ext uri="{FF2B5EF4-FFF2-40B4-BE49-F238E27FC236}">
              <a16:creationId xmlns:a16="http://schemas.microsoft.com/office/drawing/2014/main" id="{062D2814-761F-4259-AFA5-037701A4A66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0" name="AutoShape 1" descr="Resultado de imagem para whirlpool logo">
          <a:extLst>
            <a:ext uri="{FF2B5EF4-FFF2-40B4-BE49-F238E27FC236}">
              <a16:creationId xmlns:a16="http://schemas.microsoft.com/office/drawing/2014/main" id="{EE01DF8B-C1F5-4E0C-B631-53468AB99E5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81" name="AutoShape 1" descr="Resultado de imagem para whirlpool logo">
          <a:extLst>
            <a:ext uri="{FF2B5EF4-FFF2-40B4-BE49-F238E27FC236}">
              <a16:creationId xmlns:a16="http://schemas.microsoft.com/office/drawing/2014/main" id="{A8E4F62B-957F-432A-A900-9F975D1B403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2" name="AutoShape 1" descr="Resultado de imagem para whirlpool logo">
          <a:extLst>
            <a:ext uri="{FF2B5EF4-FFF2-40B4-BE49-F238E27FC236}">
              <a16:creationId xmlns:a16="http://schemas.microsoft.com/office/drawing/2014/main" id="{EC3B3D38-FDA5-4FEF-AB77-5593AD45069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3" name="AutoShape 1" descr="Resultado de imagem para whirlpool logo">
          <a:extLst>
            <a:ext uri="{FF2B5EF4-FFF2-40B4-BE49-F238E27FC236}">
              <a16:creationId xmlns:a16="http://schemas.microsoft.com/office/drawing/2014/main" id="{87512E6A-54C5-47EA-A7A1-FC48E92296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84" name="AutoShape 1" descr="Resultado de imagem para whirlpool logo">
          <a:extLst>
            <a:ext uri="{FF2B5EF4-FFF2-40B4-BE49-F238E27FC236}">
              <a16:creationId xmlns:a16="http://schemas.microsoft.com/office/drawing/2014/main" id="{A7336DEA-E1CA-46B0-84FC-6934020124C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5" name="AutoShape 1" descr="Resultado de imagem para whirlpool logo">
          <a:extLst>
            <a:ext uri="{FF2B5EF4-FFF2-40B4-BE49-F238E27FC236}">
              <a16:creationId xmlns:a16="http://schemas.microsoft.com/office/drawing/2014/main" id="{B7F769EC-07A9-4FC2-AC82-3235EF77A26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86" name="AutoShape 1" descr="Resultado de imagem para whirlpool logo">
          <a:extLst>
            <a:ext uri="{FF2B5EF4-FFF2-40B4-BE49-F238E27FC236}">
              <a16:creationId xmlns:a16="http://schemas.microsoft.com/office/drawing/2014/main" id="{7B8E02B1-126D-4DE6-8D51-38F2F82170C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7" name="AutoShape 1" descr="Resultado de imagem para whirlpool logo">
          <a:extLst>
            <a:ext uri="{FF2B5EF4-FFF2-40B4-BE49-F238E27FC236}">
              <a16:creationId xmlns:a16="http://schemas.microsoft.com/office/drawing/2014/main" id="{84A5920A-F0B3-4467-8BB5-A192B3BF355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88" name="AutoShape 1" descr="Resultado de imagem para whirlpool logo">
          <a:extLst>
            <a:ext uri="{FF2B5EF4-FFF2-40B4-BE49-F238E27FC236}">
              <a16:creationId xmlns:a16="http://schemas.microsoft.com/office/drawing/2014/main" id="{B2D20B82-2C0F-481D-883A-ECC856EB5C0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89" name="AutoShape 1" descr="Resultado de imagem para whirlpool logo">
          <a:extLst>
            <a:ext uri="{FF2B5EF4-FFF2-40B4-BE49-F238E27FC236}">
              <a16:creationId xmlns:a16="http://schemas.microsoft.com/office/drawing/2014/main" id="{A37CC629-2FE7-4DCE-B3E8-8B84CBE247A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0" name="AutoShape 1" descr="Resultado de imagem para whirlpool logo">
          <a:extLst>
            <a:ext uri="{FF2B5EF4-FFF2-40B4-BE49-F238E27FC236}">
              <a16:creationId xmlns:a16="http://schemas.microsoft.com/office/drawing/2014/main" id="{4FD5EC61-2C1E-4F37-A6EC-AA7139E432A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91" name="AutoShape 1" descr="Resultado de imagem para whirlpool logo">
          <a:extLst>
            <a:ext uri="{FF2B5EF4-FFF2-40B4-BE49-F238E27FC236}">
              <a16:creationId xmlns:a16="http://schemas.microsoft.com/office/drawing/2014/main" id="{1B89CED6-8AF1-4AC5-B64E-FEF038B9B0D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2" name="AutoShape 1" descr="Resultado de imagem para whirlpool logo">
          <a:extLst>
            <a:ext uri="{FF2B5EF4-FFF2-40B4-BE49-F238E27FC236}">
              <a16:creationId xmlns:a16="http://schemas.microsoft.com/office/drawing/2014/main" id="{F0ADC0B6-128C-42A8-927E-A90C770B001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3" name="AutoShape 1" descr="Resultado de imagem para whirlpool logo">
          <a:extLst>
            <a:ext uri="{FF2B5EF4-FFF2-40B4-BE49-F238E27FC236}">
              <a16:creationId xmlns:a16="http://schemas.microsoft.com/office/drawing/2014/main" id="{433F42DB-486B-4F95-93A0-426B24CF6BF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94" name="AutoShape 1" descr="Resultado de imagem para whirlpool logo">
          <a:extLst>
            <a:ext uri="{FF2B5EF4-FFF2-40B4-BE49-F238E27FC236}">
              <a16:creationId xmlns:a16="http://schemas.microsoft.com/office/drawing/2014/main" id="{4B84051F-C0D6-441C-9593-AF7B63370EE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5" name="AutoShape 1" descr="Resultado de imagem para whirlpool logo">
          <a:extLst>
            <a:ext uri="{FF2B5EF4-FFF2-40B4-BE49-F238E27FC236}">
              <a16:creationId xmlns:a16="http://schemas.microsoft.com/office/drawing/2014/main" id="{B0CEB084-E310-4A60-9B40-AC7657C0623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1996" name="AutoShape 1" descr="Resultado de imagem para whirlpool logo">
          <a:extLst>
            <a:ext uri="{FF2B5EF4-FFF2-40B4-BE49-F238E27FC236}">
              <a16:creationId xmlns:a16="http://schemas.microsoft.com/office/drawing/2014/main" id="{4AB0815C-27C7-48D0-A0B2-43FAE5890A0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7" name="AutoShape 1" descr="Resultado de imagem para whirlpool logo">
          <a:extLst>
            <a:ext uri="{FF2B5EF4-FFF2-40B4-BE49-F238E27FC236}">
              <a16:creationId xmlns:a16="http://schemas.microsoft.com/office/drawing/2014/main" id="{E3A17A47-28C9-4AB2-9408-3C0FA1DDCDF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8" name="AutoShape 1" descr="Resultado de imagem para whirlpool logo">
          <a:extLst>
            <a:ext uri="{FF2B5EF4-FFF2-40B4-BE49-F238E27FC236}">
              <a16:creationId xmlns:a16="http://schemas.microsoft.com/office/drawing/2014/main" id="{6AB6BB7D-6490-4068-8DA2-84DDFA029BB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1999" name="AutoShape 1" descr="Resultado de imagem para whirlpool logo">
          <a:extLst>
            <a:ext uri="{FF2B5EF4-FFF2-40B4-BE49-F238E27FC236}">
              <a16:creationId xmlns:a16="http://schemas.microsoft.com/office/drawing/2014/main" id="{7D3C60CC-C7F5-4C48-A68B-7CF5B15E8E6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00" name="AutoShape 1" descr="Resultado de imagem para whirlpool logo">
          <a:extLst>
            <a:ext uri="{FF2B5EF4-FFF2-40B4-BE49-F238E27FC236}">
              <a16:creationId xmlns:a16="http://schemas.microsoft.com/office/drawing/2014/main" id="{3E46FC45-232E-4CEC-B115-74966C70191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1" name="AutoShape 1" descr="Resultado de imagem para whirlpool logo">
          <a:extLst>
            <a:ext uri="{FF2B5EF4-FFF2-40B4-BE49-F238E27FC236}">
              <a16:creationId xmlns:a16="http://schemas.microsoft.com/office/drawing/2014/main" id="{32429408-18AB-4EF6-854D-6608E781A8C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02" name="AutoShape 1" descr="Resultado de imagem para whirlpool logo">
          <a:extLst>
            <a:ext uri="{FF2B5EF4-FFF2-40B4-BE49-F238E27FC236}">
              <a16:creationId xmlns:a16="http://schemas.microsoft.com/office/drawing/2014/main" id="{0E4CB8D7-1608-45ED-A1F2-D4A6FE17DF6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3" name="AutoShape 1" descr="Resultado de imagem para whirlpool logo">
          <a:extLst>
            <a:ext uri="{FF2B5EF4-FFF2-40B4-BE49-F238E27FC236}">
              <a16:creationId xmlns:a16="http://schemas.microsoft.com/office/drawing/2014/main" id="{6D6A1CCA-B752-40AB-8A98-4332307B76E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04" name="AutoShape 1" descr="Resultado de imagem para whirlpool logo">
          <a:extLst>
            <a:ext uri="{FF2B5EF4-FFF2-40B4-BE49-F238E27FC236}">
              <a16:creationId xmlns:a16="http://schemas.microsoft.com/office/drawing/2014/main" id="{2F35EE17-4C56-48E1-A12E-92EDAC046E3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5" name="AutoShape 1" descr="Resultado de imagem para whirlpool logo">
          <a:extLst>
            <a:ext uri="{FF2B5EF4-FFF2-40B4-BE49-F238E27FC236}">
              <a16:creationId xmlns:a16="http://schemas.microsoft.com/office/drawing/2014/main" id="{02C2CD98-BFCD-4B5B-9025-0CA34407907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06" name="AutoShape 1" descr="Resultado de imagem para whirlpool logo">
          <a:extLst>
            <a:ext uri="{FF2B5EF4-FFF2-40B4-BE49-F238E27FC236}">
              <a16:creationId xmlns:a16="http://schemas.microsoft.com/office/drawing/2014/main" id="{FFDCE99C-6B2F-417C-918E-FB029960F1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7" name="AutoShape 1" descr="Resultado de imagem para whirlpool logo">
          <a:extLst>
            <a:ext uri="{FF2B5EF4-FFF2-40B4-BE49-F238E27FC236}">
              <a16:creationId xmlns:a16="http://schemas.microsoft.com/office/drawing/2014/main" id="{4508506B-0259-4DA7-92EC-17301C48C84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8" name="AutoShape 1" descr="Resultado de imagem para whirlpool logo">
          <a:extLst>
            <a:ext uri="{FF2B5EF4-FFF2-40B4-BE49-F238E27FC236}">
              <a16:creationId xmlns:a16="http://schemas.microsoft.com/office/drawing/2014/main" id="{B83C2C66-5BF9-4108-9ECD-B171F6BB521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09" name="AutoShape 1" descr="Resultado de imagem para whirlpool logo">
          <a:extLst>
            <a:ext uri="{FF2B5EF4-FFF2-40B4-BE49-F238E27FC236}">
              <a16:creationId xmlns:a16="http://schemas.microsoft.com/office/drawing/2014/main" id="{E2A37611-1E29-4A4B-ACF8-85889D20E3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10" name="AutoShape 1" descr="Resultado de imagem para whirlpool logo">
          <a:extLst>
            <a:ext uri="{FF2B5EF4-FFF2-40B4-BE49-F238E27FC236}">
              <a16:creationId xmlns:a16="http://schemas.microsoft.com/office/drawing/2014/main" id="{D2F3ACBD-FD72-4B83-8FA4-0E9830AF785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1" name="AutoShape 1" descr="Resultado de imagem para whirlpool logo">
          <a:extLst>
            <a:ext uri="{FF2B5EF4-FFF2-40B4-BE49-F238E27FC236}">
              <a16:creationId xmlns:a16="http://schemas.microsoft.com/office/drawing/2014/main" id="{6D1EA255-CC72-46DC-8FC7-845D1B24BC4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12" name="AutoShape 1" descr="Resultado de imagem para whirlpool logo">
          <a:extLst>
            <a:ext uri="{FF2B5EF4-FFF2-40B4-BE49-F238E27FC236}">
              <a16:creationId xmlns:a16="http://schemas.microsoft.com/office/drawing/2014/main" id="{31B1B3DF-D3C1-4D1E-9DAA-AA6E4369AF3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3" name="AutoShape 1" descr="Resultado de imagem para whirlpool logo">
          <a:extLst>
            <a:ext uri="{FF2B5EF4-FFF2-40B4-BE49-F238E27FC236}">
              <a16:creationId xmlns:a16="http://schemas.microsoft.com/office/drawing/2014/main" id="{4EDF705E-6363-466D-B6D4-08CC546D253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14" name="AutoShape 1" descr="Resultado de imagem para whirlpool logo">
          <a:extLst>
            <a:ext uri="{FF2B5EF4-FFF2-40B4-BE49-F238E27FC236}">
              <a16:creationId xmlns:a16="http://schemas.microsoft.com/office/drawing/2014/main" id="{69152CF8-121D-4C90-9C84-11320329621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5" name="AutoShape 1" descr="Resultado de imagem para whirlpool logo">
          <a:extLst>
            <a:ext uri="{FF2B5EF4-FFF2-40B4-BE49-F238E27FC236}">
              <a16:creationId xmlns:a16="http://schemas.microsoft.com/office/drawing/2014/main" id="{3317E65C-4666-4603-8570-ACCF1865AD5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16" name="AutoShape 1" descr="Resultado de imagem para whirlpool logo">
          <a:extLst>
            <a:ext uri="{FF2B5EF4-FFF2-40B4-BE49-F238E27FC236}">
              <a16:creationId xmlns:a16="http://schemas.microsoft.com/office/drawing/2014/main" id="{31015FAB-D059-4692-82B3-743B6EFD9CD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7" name="AutoShape 1" descr="Resultado de imagem para whirlpool logo">
          <a:extLst>
            <a:ext uri="{FF2B5EF4-FFF2-40B4-BE49-F238E27FC236}">
              <a16:creationId xmlns:a16="http://schemas.microsoft.com/office/drawing/2014/main" id="{C1D07B6F-0917-4399-BAAE-49EF66B2C3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8" name="AutoShape 1" descr="Resultado de imagem para whirlpool logo">
          <a:extLst>
            <a:ext uri="{FF2B5EF4-FFF2-40B4-BE49-F238E27FC236}">
              <a16:creationId xmlns:a16="http://schemas.microsoft.com/office/drawing/2014/main" id="{E321404C-6F9F-4B43-8D87-6988DF448FD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19" name="AutoShape 1" descr="Resultado de imagem para whirlpool logo">
          <a:extLst>
            <a:ext uri="{FF2B5EF4-FFF2-40B4-BE49-F238E27FC236}">
              <a16:creationId xmlns:a16="http://schemas.microsoft.com/office/drawing/2014/main" id="{513BD206-10F0-4C9F-8744-3DA93D68B1B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20" name="AutoShape 1" descr="Resultado de imagem para whirlpool logo">
          <a:extLst>
            <a:ext uri="{FF2B5EF4-FFF2-40B4-BE49-F238E27FC236}">
              <a16:creationId xmlns:a16="http://schemas.microsoft.com/office/drawing/2014/main" id="{173EB1CF-F14B-4BB8-9C5E-F49B8FC7AB7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21" name="AutoShape 1" descr="Resultado de imagem para whirlpool logo">
          <a:extLst>
            <a:ext uri="{FF2B5EF4-FFF2-40B4-BE49-F238E27FC236}">
              <a16:creationId xmlns:a16="http://schemas.microsoft.com/office/drawing/2014/main" id="{190256D7-A2F9-4FA3-B2F0-CF22DD8F114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22" name="AutoShape 1" descr="Resultado de imagem para whirlpool logo">
          <a:extLst>
            <a:ext uri="{FF2B5EF4-FFF2-40B4-BE49-F238E27FC236}">
              <a16:creationId xmlns:a16="http://schemas.microsoft.com/office/drawing/2014/main" id="{D8BD1E5C-0D12-4C41-8AAF-F5B8989B176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23" name="AutoShape 1" descr="Resultado de imagem para whirlpool logo">
          <a:extLst>
            <a:ext uri="{FF2B5EF4-FFF2-40B4-BE49-F238E27FC236}">
              <a16:creationId xmlns:a16="http://schemas.microsoft.com/office/drawing/2014/main" id="{93C3C8D6-0596-45C5-B14D-E5FEEF7F8D2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24" name="AutoShape 1" descr="Resultado de imagem para whirlpool logo">
          <a:extLst>
            <a:ext uri="{FF2B5EF4-FFF2-40B4-BE49-F238E27FC236}">
              <a16:creationId xmlns:a16="http://schemas.microsoft.com/office/drawing/2014/main" id="{EAAD2479-CA23-485B-BDEC-530D06CA894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25" name="AutoShape 1" descr="Resultado de imagem para whirlpool logo">
          <a:extLst>
            <a:ext uri="{FF2B5EF4-FFF2-40B4-BE49-F238E27FC236}">
              <a16:creationId xmlns:a16="http://schemas.microsoft.com/office/drawing/2014/main" id="{C41DAF06-A8C5-414F-8767-C62E14B37EE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26" name="AutoShape 1" descr="Resultado de imagem para whirlpool logo">
          <a:extLst>
            <a:ext uri="{FF2B5EF4-FFF2-40B4-BE49-F238E27FC236}">
              <a16:creationId xmlns:a16="http://schemas.microsoft.com/office/drawing/2014/main" id="{1B842FAD-F707-459C-A932-50893B4CA67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27" name="AutoShape 1" descr="Resultado de imagem para whirlpool logo">
          <a:extLst>
            <a:ext uri="{FF2B5EF4-FFF2-40B4-BE49-F238E27FC236}">
              <a16:creationId xmlns:a16="http://schemas.microsoft.com/office/drawing/2014/main" id="{26189124-32B6-47FD-AE48-0B6B8F357F4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28" name="AutoShape 1" descr="Resultado de imagem para whirlpool logo">
          <a:extLst>
            <a:ext uri="{FF2B5EF4-FFF2-40B4-BE49-F238E27FC236}">
              <a16:creationId xmlns:a16="http://schemas.microsoft.com/office/drawing/2014/main" id="{FF32804C-E0DD-4756-AC92-779A5350A97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29" name="AutoShape 1" descr="Resultado de imagem para whirlpool logo">
          <a:extLst>
            <a:ext uri="{FF2B5EF4-FFF2-40B4-BE49-F238E27FC236}">
              <a16:creationId xmlns:a16="http://schemas.microsoft.com/office/drawing/2014/main" id="{5DA689BE-D4C9-4935-9759-F10C69C7000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30" name="AutoShape 1" descr="Resultado de imagem para whirlpool logo">
          <a:extLst>
            <a:ext uri="{FF2B5EF4-FFF2-40B4-BE49-F238E27FC236}">
              <a16:creationId xmlns:a16="http://schemas.microsoft.com/office/drawing/2014/main" id="{5BE608B0-FB45-4E9A-99B4-C3C62323556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1" name="AutoShape 1" descr="Resultado de imagem para whirlpool logo">
          <a:extLst>
            <a:ext uri="{FF2B5EF4-FFF2-40B4-BE49-F238E27FC236}">
              <a16:creationId xmlns:a16="http://schemas.microsoft.com/office/drawing/2014/main" id="{478AD980-EC0F-44EB-9ECA-59E7B9B01CB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2" name="AutoShape 1" descr="Resultado de imagem para whirlpool logo">
          <a:extLst>
            <a:ext uri="{FF2B5EF4-FFF2-40B4-BE49-F238E27FC236}">
              <a16:creationId xmlns:a16="http://schemas.microsoft.com/office/drawing/2014/main" id="{EF2853EE-A3EC-48F6-9CE4-278AA5039F7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33" name="AutoShape 1" descr="Resultado de imagem para whirlpool logo">
          <a:extLst>
            <a:ext uri="{FF2B5EF4-FFF2-40B4-BE49-F238E27FC236}">
              <a16:creationId xmlns:a16="http://schemas.microsoft.com/office/drawing/2014/main" id="{7BA62EDC-E40F-45EA-B95D-7E164156108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4" name="AutoShape 1" descr="Resultado de imagem para whirlpool logo">
          <a:extLst>
            <a:ext uri="{FF2B5EF4-FFF2-40B4-BE49-F238E27FC236}">
              <a16:creationId xmlns:a16="http://schemas.microsoft.com/office/drawing/2014/main" id="{075DF29B-E015-4EF7-B88C-FFA13CC7E99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5" name="AutoShape 1" descr="Resultado de imagem para whirlpool logo">
          <a:extLst>
            <a:ext uri="{FF2B5EF4-FFF2-40B4-BE49-F238E27FC236}">
              <a16:creationId xmlns:a16="http://schemas.microsoft.com/office/drawing/2014/main" id="{73B4B359-B45A-46F0-8656-0EC589A538F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6" name="AutoShape 1" descr="Resultado de imagem para whirlpool logo">
          <a:extLst>
            <a:ext uri="{FF2B5EF4-FFF2-40B4-BE49-F238E27FC236}">
              <a16:creationId xmlns:a16="http://schemas.microsoft.com/office/drawing/2014/main" id="{824C5CEB-ED09-4774-8857-0D784A12309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37" name="AutoShape 1" descr="Resultado de imagem para whirlpool logo">
          <a:extLst>
            <a:ext uri="{FF2B5EF4-FFF2-40B4-BE49-F238E27FC236}">
              <a16:creationId xmlns:a16="http://schemas.microsoft.com/office/drawing/2014/main" id="{BA1F1440-EAA9-4354-9C7B-1D712F72B1C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38" name="AutoShape 1" descr="Resultado de imagem para whirlpool logo">
          <a:extLst>
            <a:ext uri="{FF2B5EF4-FFF2-40B4-BE49-F238E27FC236}">
              <a16:creationId xmlns:a16="http://schemas.microsoft.com/office/drawing/2014/main" id="{B952A308-29B8-4ADC-B5DA-7DFB356271F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39" name="AutoShape 1" descr="Resultado de imagem para whirlpool logo">
          <a:extLst>
            <a:ext uri="{FF2B5EF4-FFF2-40B4-BE49-F238E27FC236}">
              <a16:creationId xmlns:a16="http://schemas.microsoft.com/office/drawing/2014/main" id="{F52EBF57-C4FE-4ED8-8F6F-336BDA09C53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0" name="AutoShape 1" descr="Resultado de imagem para whirlpool logo">
          <a:extLst>
            <a:ext uri="{FF2B5EF4-FFF2-40B4-BE49-F238E27FC236}">
              <a16:creationId xmlns:a16="http://schemas.microsoft.com/office/drawing/2014/main" id="{5B340955-FEC6-4FB5-AA0F-9CEDF626FB2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41" name="AutoShape 1" descr="Resultado de imagem para whirlpool logo">
          <a:extLst>
            <a:ext uri="{FF2B5EF4-FFF2-40B4-BE49-F238E27FC236}">
              <a16:creationId xmlns:a16="http://schemas.microsoft.com/office/drawing/2014/main" id="{B5E719D0-EDA8-4664-AD27-36B645F7CF8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2" name="AutoShape 1" descr="Resultado de imagem para whirlpool logo">
          <a:extLst>
            <a:ext uri="{FF2B5EF4-FFF2-40B4-BE49-F238E27FC236}">
              <a16:creationId xmlns:a16="http://schemas.microsoft.com/office/drawing/2014/main" id="{F7490183-4960-4261-B84E-73BF22B3C17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43" name="AutoShape 1" descr="Resultado de imagem para whirlpool logo">
          <a:extLst>
            <a:ext uri="{FF2B5EF4-FFF2-40B4-BE49-F238E27FC236}">
              <a16:creationId xmlns:a16="http://schemas.microsoft.com/office/drawing/2014/main" id="{7DD09081-2FD6-4194-8E92-BA2EE06CE65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4" name="AutoShape 1" descr="Resultado de imagem para whirlpool logo">
          <a:extLst>
            <a:ext uri="{FF2B5EF4-FFF2-40B4-BE49-F238E27FC236}">
              <a16:creationId xmlns:a16="http://schemas.microsoft.com/office/drawing/2014/main" id="{130E778E-1E93-48BD-B4B2-CB4AB9D416F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5" name="AutoShape 1" descr="Resultado de imagem para whirlpool logo">
          <a:extLst>
            <a:ext uri="{FF2B5EF4-FFF2-40B4-BE49-F238E27FC236}">
              <a16:creationId xmlns:a16="http://schemas.microsoft.com/office/drawing/2014/main" id="{EFCD740E-BF35-4394-BA0A-220C506C6AE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6" name="AutoShape 1" descr="Resultado de imagem para whirlpool logo">
          <a:extLst>
            <a:ext uri="{FF2B5EF4-FFF2-40B4-BE49-F238E27FC236}">
              <a16:creationId xmlns:a16="http://schemas.microsoft.com/office/drawing/2014/main" id="{8EC42236-E7F5-4DAF-91FA-95D0CE27D08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47" name="AutoShape 1" descr="Resultado de imagem para whirlpool logo">
          <a:extLst>
            <a:ext uri="{FF2B5EF4-FFF2-40B4-BE49-F238E27FC236}">
              <a16:creationId xmlns:a16="http://schemas.microsoft.com/office/drawing/2014/main" id="{F9D5E796-6424-42E7-BE43-4AAD33258A6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48" name="AutoShape 1" descr="Resultado de imagem para whirlpool logo">
          <a:extLst>
            <a:ext uri="{FF2B5EF4-FFF2-40B4-BE49-F238E27FC236}">
              <a16:creationId xmlns:a16="http://schemas.microsoft.com/office/drawing/2014/main" id="{75710383-84EE-4ED2-8EB7-77CBD7042A3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49" name="AutoShape 1" descr="Resultado de imagem para whirlpool logo">
          <a:extLst>
            <a:ext uri="{FF2B5EF4-FFF2-40B4-BE49-F238E27FC236}">
              <a16:creationId xmlns:a16="http://schemas.microsoft.com/office/drawing/2014/main" id="{481698CC-D88A-42FD-8E35-B72885F92C6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050" name="AutoShape 1" descr="Resultado de imagem para whirlpool logo">
          <a:extLst>
            <a:ext uri="{FF2B5EF4-FFF2-40B4-BE49-F238E27FC236}">
              <a16:creationId xmlns:a16="http://schemas.microsoft.com/office/drawing/2014/main" id="{D4AA57BB-68DF-4C1A-9148-6A4CE07BE290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051" name="AutoShape 1" descr="Resultado de imagem para whirlpool logo">
          <a:extLst>
            <a:ext uri="{FF2B5EF4-FFF2-40B4-BE49-F238E27FC236}">
              <a16:creationId xmlns:a16="http://schemas.microsoft.com/office/drawing/2014/main" id="{68D93ACA-8751-438D-BD81-E5BACD5E6C12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052" name="AutoShape 1" descr="Resultado de imagem para whirlpool logo">
          <a:extLst>
            <a:ext uri="{FF2B5EF4-FFF2-40B4-BE49-F238E27FC236}">
              <a16:creationId xmlns:a16="http://schemas.microsoft.com/office/drawing/2014/main" id="{5EF42947-ECB8-4DC4-B2F4-5CDC09F6C5D4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053" name="AutoShape 1" descr="Resultado de imagem para whirlpool logo">
          <a:extLst>
            <a:ext uri="{FF2B5EF4-FFF2-40B4-BE49-F238E27FC236}">
              <a16:creationId xmlns:a16="http://schemas.microsoft.com/office/drawing/2014/main" id="{B97410D9-6D0D-423B-B9A7-CA3DB881008F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054" name="AutoShape 1" descr="Resultado de imagem para whirlpool logo">
          <a:extLst>
            <a:ext uri="{FF2B5EF4-FFF2-40B4-BE49-F238E27FC236}">
              <a16:creationId xmlns:a16="http://schemas.microsoft.com/office/drawing/2014/main" id="{6B90A42F-75FD-4C03-9E33-D299533106AD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055" name="AutoShape 1" descr="Resultado de imagem para whirlpool logo">
          <a:extLst>
            <a:ext uri="{FF2B5EF4-FFF2-40B4-BE49-F238E27FC236}">
              <a16:creationId xmlns:a16="http://schemas.microsoft.com/office/drawing/2014/main" id="{BC817B09-6930-45C3-8E86-CD9C9A379FB6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056" name="AutoShape 1" descr="Resultado de imagem para whirlpool logo">
          <a:extLst>
            <a:ext uri="{FF2B5EF4-FFF2-40B4-BE49-F238E27FC236}">
              <a16:creationId xmlns:a16="http://schemas.microsoft.com/office/drawing/2014/main" id="{3F753E1A-14B3-4EC6-983C-40FFEF5A8EC7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057" name="AutoShape 1" descr="Resultado de imagem para whirlpool logo">
          <a:extLst>
            <a:ext uri="{FF2B5EF4-FFF2-40B4-BE49-F238E27FC236}">
              <a16:creationId xmlns:a16="http://schemas.microsoft.com/office/drawing/2014/main" id="{7437A308-AA77-4A44-ACA0-F187E773BC6C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58" name="AutoShape 1" descr="Resultado de imagem para whirlpool logo">
          <a:extLst>
            <a:ext uri="{FF2B5EF4-FFF2-40B4-BE49-F238E27FC236}">
              <a16:creationId xmlns:a16="http://schemas.microsoft.com/office/drawing/2014/main" id="{88259ED9-FF2F-4A91-B4C9-3D39C00D75C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59" name="AutoShape 1" descr="Resultado de imagem para whirlpool logo">
          <a:extLst>
            <a:ext uri="{FF2B5EF4-FFF2-40B4-BE49-F238E27FC236}">
              <a16:creationId xmlns:a16="http://schemas.microsoft.com/office/drawing/2014/main" id="{D6D11367-1D8F-4911-B9DA-F24A2927B9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0" name="AutoShape 1" descr="Resultado de imagem para whirlpool logo">
          <a:extLst>
            <a:ext uri="{FF2B5EF4-FFF2-40B4-BE49-F238E27FC236}">
              <a16:creationId xmlns:a16="http://schemas.microsoft.com/office/drawing/2014/main" id="{2C1C5D20-1405-4608-99AE-7D72DAC5F0C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1" name="AutoShape 1" descr="Resultado de imagem para whirlpool logo">
          <a:extLst>
            <a:ext uri="{FF2B5EF4-FFF2-40B4-BE49-F238E27FC236}">
              <a16:creationId xmlns:a16="http://schemas.microsoft.com/office/drawing/2014/main" id="{DD4E2F5F-DF19-4F9E-BDE1-546F66DDEDC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2" name="AutoShape 1" descr="Resultado de imagem para whirlpool logo">
          <a:extLst>
            <a:ext uri="{FF2B5EF4-FFF2-40B4-BE49-F238E27FC236}">
              <a16:creationId xmlns:a16="http://schemas.microsoft.com/office/drawing/2014/main" id="{D8199E6A-BD0C-4157-9A01-3AD69659546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63" name="AutoShape 1" descr="Resultado de imagem para whirlpool logo">
          <a:extLst>
            <a:ext uri="{FF2B5EF4-FFF2-40B4-BE49-F238E27FC236}">
              <a16:creationId xmlns:a16="http://schemas.microsoft.com/office/drawing/2014/main" id="{EBF58192-D014-45AD-93B7-9C41BE04A5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4" name="AutoShape 1" descr="Resultado de imagem para whirlpool logo">
          <a:extLst>
            <a:ext uri="{FF2B5EF4-FFF2-40B4-BE49-F238E27FC236}">
              <a16:creationId xmlns:a16="http://schemas.microsoft.com/office/drawing/2014/main" id="{674E2B9C-918A-40D6-9639-1FEC10F2F9C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65" name="AutoShape 1" descr="Resultado de imagem para whirlpool logo">
          <a:extLst>
            <a:ext uri="{FF2B5EF4-FFF2-40B4-BE49-F238E27FC236}">
              <a16:creationId xmlns:a16="http://schemas.microsoft.com/office/drawing/2014/main" id="{A7B9A870-58F9-4EA1-B6C4-34E086DEDF2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6" name="AutoShape 1" descr="Resultado de imagem para whirlpool logo">
          <a:extLst>
            <a:ext uri="{FF2B5EF4-FFF2-40B4-BE49-F238E27FC236}">
              <a16:creationId xmlns:a16="http://schemas.microsoft.com/office/drawing/2014/main" id="{A7EEF83D-AA7B-4FC9-A180-92B33F78FE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67" name="AutoShape 1" descr="Resultado de imagem para whirlpool logo">
          <a:extLst>
            <a:ext uri="{FF2B5EF4-FFF2-40B4-BE49-F238E27FC236}">
              <a16:creationId xmlns:a16="http://schemas.microsoft.com/office/drawing/2014/main" id="{DBD6F599-9916-4F01-96D6-6CDE17138B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68" name="AutoShape 1" descr="Resultado de imagem para whirlpool logo">
          <a:extLst>
            <a:ext uri="{FF2B5EF4-FFF2-40B4-BE49-F238E27FC236}">
              <a16:creationId xmlns:a16="http://schemas.microsoft.com/office/drawing/2014/main" id="{3C87153F-6A4A-4D6B-9710-67B369D8F7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69" name="AutoShape 1" descr="Resultado de imagem para whirlpool logo">
          <a:extLst>
            <a:ext uri="{FF2B5EF4-FFF2-40B4-BE49-F238E27FC236}">
              <a16:creationId xmlns:a16="http://schemas.microsoft.com/office/drawing/2014/main" id="{7F1BCBD1-C3A4-4485-849A-5E1B4243087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70" name="AutoShape 1" descr="Resultado de imagem para whirlpool logo">
          <a:extLst>
            <a:ext uri="{FF2B5EF4-FFF2-40B4-BE49-F238E27FC236}">
              <a16:creationId xmlns:a16="http://schemas.microsoft.com/office/drawing/2014/main" id="{360E5600-14F3-495B-938D-E912E9FC55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71" name="AutoShape 1" descr="Resultado de imagem para whirlpool logo">
          <a:extLst>
            <a:ext uri="{FF2B5EF4-FFF2-40B4-BE49-F238E27FC236}">
              <a16:creationId xmlns:a16="http://schemas.microsoft.com/office/drawing/2014/main" id="{5A550E8A-BD22-48B4-849E-CEC712D7137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72" name="AutoShape 1" descr="Resultado de imagem para whirlpool logo">
          <a:extLst>
            <a:ext uri="{FF2B5EF4-FFF2-40B4-BE49-F238E27FC236}">
              <a16:creationId xmlns:a16="http://schemas.microsoft.com/office/drawing/2014/main" id="{DB5E6A35-B5CD-4BC8-9AEA-135B7680E7F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73" name="AutoShape 1" descr="Resultado de imagem para whirlpool logo">
          <a:extLst>
            <a:ext uri="{FF2B5EF4-FFF2-40B4-BE49-F238E27FC236}">
              <a16:creationId xmlns:a16="http://schemas.microsoft.com/office/drawing/2014/main" id="{18015FF6-E3D3-44AF-B31D-28EAA520AC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074" name="AutoShape 1" descr="Resultado de imagem para whirlpool logo">
          <a:extLst>
            <a:ext uri="{FF2B5EF4-FFF2-40B4-BE49-F238E27FC236}">
              <a16:creationId xmlns:a16="http://schemas.microsoft.com/office/drawing/2014/main" id="{09A6BD9D-CDAF-406D-A587-7D9EB10807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075" name="AutoShape 1" descr="Resultado de imagem para whirlpool logo">
          <a:extLst>
            <a:ext uri="{FF2B5EF4-FFF2-40B4-BE49-F238E27FC236}">
              <a16:creationId xmlns:a16="http://schemas.microsoft.com/office/drawing/2014/main" id="{AE5E999C-A6A3-4150-A365-3CD39B4998B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76" name="AutoShape 1" descr="Resultado de imagem para whirlpool logo">
          <a:extLst>
            <a:ext uri="{FF2B5EF4-FFF2-40B4-BE49-F238E27FC236}">
              <a16:creationId xmlns:a16="http://schemas.microsoft.com/office/drawing/2014/main" id="{C386641D-005B-47B0-BB36-CEC51C68C60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77" name="AutoShape 1" descr="Resultado de imagem para whirlpool logo">
          <a:extLst>
            <a:ext uri="{FF2B5EF4-FFF2-40B4-BE49-F238E27FC236}">
              <a16:creationId xmlns:a16="http://schemas.microsoft.com/office/drawing/2014/main" id="{3B4F9238-AF90-4029-880E-E29E7CB9063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78" name="AutoShape 1" descr="Resultado de imagem para whirlpool logo">
          <a:extLst>
            <a:ext uri="{FF2B5EF4-FFF2-40B4-BE49-F238E27FC236}">
              <a16:creationId xmlns:a16="http://schemas.microsoft.com/office/drawing/2014/main" id="{28A92232-DFB4-4367-9066-63512DAAEE0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79" name="AutoShape 1" descr="Resultado de imagem para whirlpool logo">
          <a:extLst>
            <a:ext uri="{FF2B5EF4-FFF2-40B4-BE49-F238E27FC236}">
              <a16:creationId xmlns:a16="http://schemas.microsoft.com/office/drawing/2014/main" id="{C83A0EBE-E335-417F-874C-C29F603DF0D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80" name="AutoShape 1" descr="Resultado de imagem para whirlpool logo">
          <a:extLst>
            <a:ext uri="{FF2B5EF4-FFF2-40B4-BE49-F238E27FC236}">
              <a16:creationId xmlns:a16="http://schemas.microsoft.com/office/drawing/2014/main" id="{1FBE2D1D-11D6-428D-942F-EE4CBEC464E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81" name="AutoShape 1" descr="Resultado de imagem para whirlpool logo">
          <a:extLst>
            <a:ext uri="{FF2B5EF4-FFF2-40B4-BE49-F238E27FC236}">
              <a16:creationId xmlns:a16="http://schemas.microsoft.com/office/drawing/2014/main" id="{8B0313D2-48BC-4865-9990-145A2273BD5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82" name="AutoShape 1" descr="Resultado de imagem para whirlpool logo">
          <a:extLst>
            <a:ext uri="{FF2B5EF4-FFF2-40B4-BE49-F238E27FC236}">
              <a16:creationId xmlns:a16="http://schemas.microsoft.com/office/drawing/2014/main" id="{EBACBC0F-8477-4F01-A8FE-3A8E78A7234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83" name="AutoShape 1" descr="Resultado de imagem para whirlpool logo">
          <a:extLst>
            <a:ext uri="{FF2B5EF4-FFF2-40B4-BE49-F238E27FC236}">
              <a16:creationId xmlns:a16="http://schemas.microsoft.com/office/drawing/2014/main" id="{8C388357-2270-4E76-B19C-C684600804F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84" name="AutoShape 1" descr="Resultado de imagem para whirlpool logo">
          <a:extLst>
            <a:ext uri="{FF2B5EF4-FFF2-40B4-BE49-F238E27FC236}">
              <a16:creationId xmlns:a16="http://schemas.microsoft.com/office/drawing/2014/main" id="{471F376D-5196-48DC-94C3-0A125688E0B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85" name="AutoShape 1" descr="Resultado de imagem para whirlpool logo">
          <a:extLst>
            <a:ext uri="{FF2B5EF4-FFF2-40B4-BE49-F238E27FC236}">
              <a16:creationId xmlns:a16="http://schemas.microsoft.com/office/drawing/2014/main" id="{F4DAD93F-594E-4A89-9704-B190A266B22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86" name="AutoShape 1" descr="Resultado de imagem para whirlpool logo">
          <a:extLst>
            <a:ext uri="{FF2B5EF4-FFF2-40B4-BE49-F238E27FC236}">
              <a16:creationId xmlns:a16="http://schemas.microsoft.com/office/drawing/2014/main" id="{8AFB7B3A-CED9-4A71-AD76-1480C93D2F1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87" name="AutoShape 1" descr="Resultado de imagem para whirlpool logo">
          <a:extLst>
            <a:ext uri="{FF2B5EF4-FFF2-40B4-BE49-F238E27FC236}">
              <a16:creationId xmlns:a16="http://schemas.microsoft.com/office/drawing/2014/main" id="{4CEE52DB-B37A-4983-B2C7-815486510C1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88" name="AutoShape 1" descr="Resultado de imagem para whirlpool logo">
          <a:extLst>
            <a:ext uri="{FF2B5EF4-FFF2-40B4-BE49-F238E27FC236}">
              <a16:creationId xmlns:a16="http://schemas.microsoft.com/office/drawing/2014/main" id="{A1685FA6-D1EF-47EA-8A5B-CD1B31EBD23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89" name="AutoShape 1" descr="Resultado de imagem para whirlpool logo">
          <a:extLst>
            <a:ext uri="{FF2B5EF4-FFF2-40B4-BE49-F238E27FC236}">
              <a16:creationId xmlns:a16="http://schemas.microsoft.com/office/drawing/2014/main" id="{4409E0D6-A6E4-46DB-82FF-32FCE800ACA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0" name="AutoShape 1" descr="Resultado de imagem para whirlpool logo">
          <a:extLst>
            <a:ext uri="{FF2B5EF4-FFF2-40B4-BE49-F238E27FC236}">
              <a16:creationId xmlns:a16="http://schemas.microsoft.com/office/drawing/2014/main" id="{5FD8F831-F57A-44EA-A5DC-01E3773E541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1" name="AutoShape 1" descr="Resultado de imagem para whirlpool logo">
          <a:extLst>
            <a:ext uri="{FF2B5EF4-FFF2-40B4-BE49-F238E27FC236}">
              <a16:creationId xmlns:a16="http://schemas.microsoft.com/office/drawing/2014/main" id="{A530FB9F-E6FD-4292-BF7D-FCF609D4618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92" name="AutoShape 1" descr="Resultado de imagem para whirlpool logo">
          <a:extLst>
            <a:ext uri="{FF2B5EF4-FFF2-40B4-BE49-F238E27FC236}">
              <a16:creationId xmlns:a16="http://schemas.microsoft.com/office/drawing/2014/main" id="{203B3C23-3447-4208-BB8E-9909379E071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3" name="AutoShape 1" descr="Resultado de imagem para whirlpool logo">
          <a:extLst>
            <a:ext uri="{FF2B5EF4-FFF2-40B4-BE49-F238E27FC236}">
              <a16:creationId xmlns:a16="http://schemas.microsoft.com/office/drawing/2014/main" id="{70245E7F-8377-48C3-ACFB-0B5F58F6BE9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4" name="AutoShape 1" descr="Resultado de imagem para whirlpool logo">
          <a:extLst>
            <a:ext uri="{FF2B5EF4-FFF2-40B4-BE49-F238E27FC236}">
              <a16:creationId xmlns:a16="http://schemas.microsoft.com/office/drawing/2014/main" id="{5FE8718C-C61F-4F4F-A567-83316983220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95" name="AutoShape 1" descr="Resultado de imagem para whirlpool logo">
          <a:extLst>
            <a:ext uri="{FF2B5EF4-FFF2-40B4-BE49-F238E27FC236}">
              <a16:creationId xmlns:a16="http://schemas.microsoft.com/office/drawing/2014/main" id="{BA897038-A653-40F3-86A3-25849D3ECDF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6" name="AutoShape 1" descr="Resultado de imagem para whirlpool logo">
          <a:extLst>
            <a:ext uri="{FF2B5EF4-FFF2-40B4-BE49-F238E27FC236}">
              <a16:creationId xmlns:a16="http://schemas.microsoft.com/office/drawing/2014/main" id="{111ABAF0-D52A-474F-94B5-AE3FD0031E8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97" name="AutoShape 1" descr="Resultado de imagem para whirlpool logo">
          <a:extLst>
            <a:ext uri="{FF2B5EF4-FFF2-40B4-BE49-F238E27FC236}">
              <a16:creationId xmlns:a16="http://schemas.microsoft.com/office/drawing/2014/main" id="{5E52A9B3-AB78-4CE6-81A4-4B2015889F9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098" name="AutoShape 1" descr="Resultado de imagem para whirlpool logo">
          <a:extLst>
            <a:ext uri="{FF2B5EF4-FFF2-40B4-BE49-F238E27FC236}">
              <a16:creationId xmlns:a16="http://schemas.microsoft.com/office/drawing/2014/main" id="{D43CCFCC-2AEF-49EE-8766-1B02190FF92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099" name="AutoShape 1" descr="Resultado de imagem para whirlpool logo">
          <a:extLst>
            <a:ext uri="{FF2B5EF4-FFF2-40B4-BE49-F238E27FC236}">
              <a16:creationId xmlns:a16="http://schemas.microsoft.com/office/drawing/2014/main" id="{FD9C19F1-4997-4FED-AF33-6FED484C29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0" name="AutoShape 1" descr="Resultado de imagem para whirlpool logo">
          <a:extLst>
            <a:ext uri="{FF2B5EF4-FFF2-40B4-BE49-F238E27FC236}">
              <a16:creationId xmlns:a16="http://schemas.microsoft.com/office/drawing/2014/main" id="{9BE8E70A-A61D-4C2F-A81C-03B5BA41777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1" name="AutoShape 1" descr="Resultado de imagem para whirlpool logo">
          <a:extLst>
            <a:ext uri="{FF2B5EF4-FFF2-40B4-BE49-F238E27FC236}">
              <a16:creationId xmlns:a16="http://schemas.microsoft.com/office/drawing/2014/main" id="{87EC67C9-0B5B-45D1-A55B-B3131385FF2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02" name="AutoShape 1" descr="Resultado de imagem para whirlpool logo">
          <a:extLst>
            <a:ext uri="{FF2B5EF4-FFF2-40B4-BE49-F238E27FC236}">
              <a16:creationId xmlns:a16="http://schemas.microsoft.com/office/drawing/2014/main" id="{D4F3F03D-24EE-4861-B4BF-7A400506E9C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3" name="AutoShape 1" descr="Resultado de imagem para whirlpool logo">
          <a:extLst>
            <a:ext uri="{FF2B5EF4-FFF2-40B4-BE49-F238E27FC236}">
              <a16:creationId xmlns:a16="http://schemas.microsoft.com/office/drawing/2014/main" id="{A71E27ED-C50D-4878-9A64-04C505AFD9C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4" name="AutoShape 1" descr="Resultado de imagem para whirlpool logo">
          <a:extLst>
            <a:ext uri="{FF2B5EF4-FFF2-40B4-BE49-F238E27FC236}">
              <a16:creationId xmlns:a16="http://schemas.microsoft.com/office/drawing/2014/main" id="{D022E0FB-7D8F-46B7-B6CD-F90E85332BE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05" name="AutoShape 1" descr="Resultado de imagem para whirlpool logo">
          <a:extLst>
            <a:ext uri="{FF2B5EF4-FFF2-40B4-BE49-F238E27FC236}">
              <a16:creationId xmlns:a16="http://schemas.microsoft.com/office/drawing/2014/main" id="{72C84BCD-5808-4BB6-9101-FCA0D295034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6" name="AutoShape 1" descr="Resultado de imagem para whirlpool logo">
          <a:extLst>
            <a:ext uri="{FF2B5EF4-FFF2-40B4-BE49-F238E27FC236}">
              <a16:creationId xmlns:a16="http://schemas.microsoft.com/office/drawing/2014/main" id="{53699027-AB3C-4CD4-A015-BB0E0A4758F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07" name="AutoShape 1" descr="Resultado de imagem para whirlpool logo">
          <a:extLst>
            <a:ext uri="{FF2B5EF4-FFF2-40B4-BE49-F238E27FC236}">
              <a16:creationId xmlns:a16="http://schemas.microsoft.com/office/drawing/2014/main" id="{3F038403-4832-4050-AD06-C97B69F6A68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8" name="AutoShape 1" descr="Resultado de imagem para whirlpool logo">
          <a:extLst>
            <a:ext uri="{FF2B5EF4-FFF2-40B4-BE49-F238E27FC236}">
              <a16:creationId xmlns:a16="http://schemas.microsoft.com/office/drawing/2014/main" id="{30CEC496-A495-4F7A-95C0-6754C46DA0F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09" name="AutoShape 1" descr="Resultado de imagem para whirlpool logo">
          <a:extLst>
            <a:ext uri="{FF2B5EF4-FFF2-40B4-BE49-F238E27FC236}">
              <a16:creationId xmlns:a16="http://schemas.microsoft.com/office/drawing/2014/main" id="{DFF8E2F0-1A51-4F43-8950-42D374D464B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10" name="AutoShape 1" descr="Resultado de imagem para whirlpool logo">
          <a:extLst>
            <a:ext uri="{FF2B5EF4-FFF2-40B4-BE49-F238E27FC236}">
              <a16:creationId xmlns:a16="http://schemas.microsoft.com/office/drawing/2014/main" id="{ACC61C37-DC38-4D1E-949B-B8FEBC270B9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1" name="AutoShape 1" descr="Resultado de imagem para whirlpool logo">
          <a:extLst>
            <a:ext uri="{FF2B5EF4-FFF2-40B4-BE49-F238E27FC236}">
              <a16:creationId xmlns:a16="http://schemas.microsoft.com/office/drawing/2014/main" id="{BAB1EE66-792B-4590-9291-0662BE61B4A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12" name="AutoShape 1" descr="Resultado de imagem para whirlpool logo">
          <a:extLst>
            <a:ext uri="{FF2B5EF4-FFF2-40B4-BE49-F238E27FC236}">
              <a16:creationId xmlns:a16="http://schemas.microsoft.com/office/drawing/2014/main" id="{92B34C01-16D8-43F3-B3CB-09BA8181758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3" name="AutoShape 1" descr="Resultado de imagem para whirlpool logo">
          <a:extLst>
            <a:ext uri="{FF2B5EF4-FFF2-40B4-BE49-F238E27FC236}">
              <a16:creationId xmlns:a16="http://schemas.microsoft.com/office/drawing/2014/main" id="{9E75B28E-A416-4FBD-855C-EC5A1D5E8E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4" name="AutoShape 1" descr="Resultado de imagem para whirlpool logo">
          <a:extLst>
            <a:ext uri="{FF2B5EF4-FFF2-40B4-BE49-F238E27FC236}">
              <a16:creationId xmlns:a16="http://schemas.microsoft.com/office/drawing/2014/main" id="{2E904A91-1B71-439F-A8A8-A7172A16A5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15" name="AutoShape 1" descr="Resultado de imagem para whirlpool logo">
          <a:extLst>
            <a:ext uri="{FF2B5EF4-FFF2-40B4-BE49-F238E27FC236}">
              <a16:creationId xmlns:a16="http://schemas.microsoft.com/office/drawing/2014/main" id="{F04C3650-9A82-46E0-B10C-B294A0E27FC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6" name="AutoShape 1" descr="Resultado de imagem para whirlpool logo">
          <a:extLst>
            <a:ext uri="{FF2B5EF4-FFF2-40B4-BE49-F238E27FC236}">
              <a16:creationId xmlns:a16="http://schemas.microsoft.com/office/drawing/2014/main" id="{B7D09EC1-4FC4-447F-AA4B-667FB4B598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17" name="AutoShape 1" descr="Resultado de imagem para whirlpool logo">
          <a:extLst>
            <a:ext uri="{FF2B5EF4-FFF2-40B4-BE49-F238E27FC236}">
              <a16:creationId xmlns:a16="http://schemas.microsoft.com/office/drawing/2014/main" id="{835B3092-8869-4F3D-96DA-101E720FFA0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8" name="AutoShape 1" descr="Resultado de imagem para whirlpool logo">
          <a:extLst>
            <a:ext uri="{FF2B5EF4-FFF2-40B4-BE49-F238E27FC236}">
              <a16:creationId xmlns:a16="http://schemas.microsoft.com/office/drawing/2014/main" id="{EEBC5581-A12F-4418-9622-54809D22201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19" name="AutoShape 1" descr="Resultado de imagem para whirlpool logo">
          <a:extLst>
            <a:ext uri="{FF2B5EF4-FFF2-40B4-BE49-F238E27FC236}">
              <a16:creationId xmlns:a16="http://schemas.microsoft.com/office/drawing/2014/main" id="{E4E37E40-5D66-4230-9ADD-776E99B7999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20" name="AutoShape 1" descr="Resultado de imagem para whirlpool logo">
          <a:extLst>
            <a:ext uri="{FF2B5EF4-FFF2-40B4-BE49-F238E27FC236}">
              <a16:creationId xmlns:a16="http://schemas.microsoft.com/office/drawing/2014/main" id="{451CFED1-60B3-4FBB-817C-DF14648CD0D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1" name="AutoShape 1" descr="Resultado de imagem para whirlpool logo">
          <a:extLst>
            <a:ext uri="{FF2B5EF4-FFF2-40B4-BE49-F238E27FC236}">
              <a16:creationId xmlns:a16="http://schemas.microsoft.com/office/drawing/2014/main" id="{7049274D-DB44-4E99-BE0E-C41A91FA4A1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22" name="AutoShape 1" descr="Resultado de imagem para whirlpool logo">
          <a:extLst>
            <a:ext uri="{FF2B5EF4-FFF2-40B4-BE49-F238E27FC236}">
              <a16:creationId xmlns:a16="http://schemas.microsoft.com/office/drawing/2014/main" id="{4E4F838A-951C-4E26-AF3F-736E80AC760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3" name="AutoShape 1" descr="Resultado de imagem para whirlpool logo">
          <a:extLst>
            <a:ext uri="{FF2B5EF4-FFF2-40B4-BE49-F238E27FC236}">
              <a16:creationId xmlns:a16="http://schemas.microsoft.com/office/drawing/2014/main" id="{15A9804F-5E1D-486D-BC93-4500DE6A993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4" name="AutoShape 1" descr="Resultado de imagem para whirlpool logo">
          <a:extLst>
            <a:ext uri="{FF2B5EF4-FFF2-40B4-BE49-F238E27FC236}">
              <a16:creationId xmlns:a16="http://schemas.microsoft.com/office/drawing/2014/main" id="{D0D1EFF8-B3FE-4E8D-9BB8-0D67BCEC38B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5" name="AutoShape 1" descr="Resultado de imagem para whirlpool logo">
          <a:extLst>
            <a:ext uri="{FF2B5EF4-FFF2-40B4-BE49-F238E27FC236}">
              <a16:creationId xmlns:a16="http://schemas.microsoft.com/office/drawing/2014/main" id="{CAF225B9-0A44-4833-A3B1-716390A61F4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26" name="AutoShape 1" descr="Resultado de imagem para whirlpool logo">
          <a:extLst>
            <a:ext uri="{FF2B5EF4-FFF2-40B4-BE49-F238E27FC236}">
              <a16:creationId xmlns:a16="http://schemas.microsoft.com/office/drawing/2014/main" id="{FA17E5AA-F2FA-491F-ACB3-B51E2250F6D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7" name="AutoShape 1" descr="Resultado de imagem para whirlpool logo">
          <a:extLst>
            <a:ext uri="{FF2B5EF4-FFF2-40B4-BE49-F238E27FC236}">
              <a16:creationId xmlns:a16="http://schemas.microsoft.com/office/drawing/2014/main" id="{CAB21D13-D7B7-4391-A1CE-0EE3323A8F5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28" name="AutoShape 1" descr="Resultado de imagem para whirlpool logo">
          <a:extLst>
            <a:ext uri="{FF2B5EF4-FFF2-40B4-BE49-F238E27FC236}">
              <a16:creationId xmlns:a16="http://schemas.microsoft.com/office/drawing/2014/main" id="{9659CBFF-0D08-4AF3-B2E2-E29AE98FF4D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29" name="AutoShape 1" descr="Resultado de imagem para whirlpool logo">
          <a:extLst>
            <a:ext uri="{FF2B5EF4-FFF2-40B4-BE49-F238E27FC236}">
              <a16:creationId xmlns:a16="http://schemas.microsoft.com/office/drawing/2014/main" id="{20A5F704-71D3-484C-A219-E449C27541E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30" name="AutoShape 1" descr="Resultado de imagem para whirlpool logo">
          <a:extLst>
            <a:ext uri="{FF2B5EF4-FFF2-40B4-BE49-F238E27FC236}">
              <a16:creationId xmlns:a16="http://schemas.microsoft.com/office/drawing/2014/main" id="{119B7013-D08B-4372-94B0-7328EF99F8E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1" name="AutoShape 1" descr="Resultado de imagem para whirlpool logo">
          <a:extLst>
            <a:ext uri="{FF2B5EF4-FFF2-40B4-BE49-F238E27FC236}">
              <a16:creationId xmlns:a16="http://schemas.microsoft.com/office/drawing/2014/main" id="{0636DAF0-21F1-4357-B8BB-86834B3F1B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32" name="AutoShape 1" descr="Resultado de imagem para whirlpool logo">
          <a:extLst>
            <a:ext uri="{FF2B5EF4-FFF2-40B4-BE49-F238E27FC236}">
              <a16:creationId xmlns:a16="http://schemas.microsoft.com/office/drawing/2014/main" id="{7FEABB9F-B829-47C1-8751-4BB31B5E1D1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3" name="AutoShape 1" descr="Resultado de imagem para whirlpool logo">
          <a:extLst>
            <a:ext uri="{FF2B5EF4-FFF2-40B4-BE49-F238E27FC236}">
              <a16:creationId xmlns:a16="http://schemas.microsoft.com/office/drawing/2014/main" id="{70069525-9945-47DD-904B-7A7EB9EBCC0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4" name="AutoShape 1" descr="Resultado de imagem para whirlpool logo">
          <a:extLst>
            <a:ext uri="{FF2B5EF4-FFF2-40B4-BE49-F238E27FC236}">
              <a16:creationId xmlns:a16="http://schemas.microsoft.com/office/drawing/2014/main" id="{2E3D897C-E3CA-4A3C-88AD-AD9C593E70E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5" name="AutoShape 1" descr="Resultado de imagem para whirlpool logo">
          <a:extLst>
            <a:ext uri="{FF2B5EF4-FFF2-40B4-BE49-F238E27FC236}">
              <a16:creationId xmlns:a16="http://schemas.microsoft.com/office/drawing/2014/main" id="{5313E5B0-EDF1-483C-BAD6-BC34556FD21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36" name="AutoShape 1" descr="Resultado de imagem para whirlpool logo">
          <a:extLst>
            <a:ext uri="{FF2B5EF4-FFF2-40B4-BE49-F238E27FC236}">
              <a16:creationId xmlns:a16="http://schemas.microsoft.com/office/drawing/2014/main" id="{709ADE88-0305-49D9-83F5-02DF36EE8FE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7" name="AutoShape 1" descr="Resultado de imagem para whirlpool logo">
          <a:extLst>
            <a:ext uri="{FF2B5EF4-FFF2-40B4-BE49-F238E27FC236}">
              <a16:creationId xmlns:a16="http://schemas.microsoft.com/office/drawing/2014/main" id="{62D42B28-1D90-4F2F-97D4-1849D8D0AC0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38" name="AutoShape 1" descr="Resultado de imagem para whirlpool logo">
          <a:extLst>
            <a:ext uri="{FF2B5EF4-FFF2-40B4-BE49-F238E27FC236}">
              <a16:creationId xmlns:a16="http://schemas.microsoft.com/office/drawing/2014/main" id="{378E3BAF-C934-4CD6-B85B-0FC318BDDB8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39" name="AutoShape 1" descr="Resultado de imagem para whirlpool logo">
          <a:extLst>
            <a:ext uri="{FF2B5EF4-FFF2-40B4-BE49-F238E27FC236}">
              <a16:creationId xmlns:a16="http://schemas.microsoft.com/office/drawing/2014/main" id="{7475F053-E360-4C95-8B76-B04AD34D977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0" name="AutoShape 1" descr="Resultado de imagem para whirlpool logo">
          <a:extLst>
            <a:ext uri="{FF2B5EF4-FFF2-40B4-BE49-F238E27FC236}">
              <a16:creationId xmlns:a16="http://schemas.microsoft.com/office/drawing/2014/main" id="{76F848D2-960B-44D8-8C23-BC591864FCA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1" name="AutoShape 1" descr="Resultado de imagem para whirlpool logo">
          <a:extLst>
            <a:ext uri="{FF2B5EF4-FFF2-40B4-BE49-F238E27FC236}">
              <a16:creationId xmlns:a16="http://schemas.microsoft.com/office/drawing/2014/main" id="{43F5B0DC-887A-4EC7-94D1-F990E174D36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42" name="AutoShape 1" descr="Resultado de imagem para whirlpool logo">
          <a:extLst>
            <a:ext uri="{FF2B5EF4-FFF2-40B4-BE49-F238E27FC236}">
              <a16:creationId xmlns:a16="http://schemas.microsoft.com/office/drawing/2014/main" id="{A2FCFE04-4D87-4426-9829-A0502FDB75D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3" name="AutoShape 1" descr="Resultado de imagem para whirlpool logo">
          <a:extLst>
            <a:ext uri="{FF2B5EF4-FFF2-40B4-BE49-F238E27FC236}">
              <a16:creationId xmlns:a16="http://schemas.microsoft.com/office/drawing/2014/main" id="{33E05CE7-FFE5-4B6F-BC41-F0ABD067670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44" name="AutoShape 1" descr="Resultado de imagem para whirlpool logo">
          <a:extLst>
            <a:ext uri="{FF2B5EF4-FFF2-40B4-BE49-F238E27FC236}">
              <a16:creationId xmlns:a16="http://schemas.microsoft.com/office/drawing/2014/main" id="{3338B383-7E80-4D8D-9906-EBC2BF93752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5" name="AutoShape 1" descr="Resultado de imagem para whirlpool logo">
          <a:extLst>
            <a:ext uri="{FF2B5EF4-FFF2-40B4-BE49-F238E27FC236}">
              <a16:creationId xmlns:a16="http://schemas.microsoft.com/office/drawing/2014/main" id="{8F51C59C-1303-435B-885B-209A6D55EF5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46" name="AutoShape 1" descr="Resultado de imagem para whirlpool logo">
          <a:extLst>
            <a:ext uri="{FF2B5EF4-FFF2-40B4-BE49-F238E27FC236}">
              <a16:creationId xmlns:a16="http://schemas.microsoft.com/office/drawing/2014/main" id="{119D1A42-E1C0-49AA-A8BC-276D59AF455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7" name="AutoShape 1" descr="Resultado de imagem para whirlpool logo">
          <a:extLst>
            <a:ext uri="{FF2B5EF4-FFF2-40B4-BE49-F238E27FC236}">
              <a16:creationId xmlns:a16="http://schemas.microsoft.com/office/drawing/2014/main" id="{70453B10-50CF-466B-AC03-88EB0FB0D20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48" name="AutoShape 1" descr="Resultado de imagem para whirlpool logo">
          <a:extLst>
            <a:ext uri="{FF2B5EF4-FFF2-40B4-BE49-F238E27FC236}">
              <a16:creationId xmlns:a16="http://schemas.microsoft.com/office/drawing/2014/main" id="{0FFC5D42-8077-454A-B246-A857AE20468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49" name="AutoShape 1" descr="Resultado de imagem para whirlpool logo">
          <a:extLst>
            <a:ext uri="{FF2B5EF4-FFF2-40B4-BE49-F238E27FC236}">
              <a16:creationId xmlns:a16="http://schemas.microsoft.com/office/drawing/2014/main" id="{91B10DD4-B262-4F32-9095-5E03F6FF642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50" name="AutoShape 1" descr="Resultado de imagem para whirlpool logo">
          <a:extLst>
            <a:ext uri="{FF2B5EF4-FFF2-40B4-BE49-F238E27FC236}">
              <a16:creationId xmlns:a16="http://schemas.microsoft.com/office/drawing/2014/main" id="{0C772276-9BCC-408C-A4E3-8D736E1A7C2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1" name="AutoShape 1" descr="Resultado de imagem para whirlpool logo">
          <a:extLst>
            <a:ext uri="{FF2B5EF4-FFF2-40B4-BE49-F238E27FC236}">
              <a16:creationId xmlns:a16="http://schemas.microsoft.com/office/drawing/2014/main" id="{3782DC69-CAF7-405C-A8CB-CA928AD4160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52" name="AutoShape 1" descr="Resultado de imagem para whirlpool logo">
          <a:extLst>
            <a:ext uri="{FF2B5EF4-FFF2-40B4-BE49-F238E27FC236}">
              <a16:creationId xmlns:a16="http://schemas.microsoft.com/office/drawing/2014/main" id="{53534CDD-F64F-43E2-A97B-D1C756CA28EA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3" name="AutoShape 1" descr="Resultado de imagem para whirlpool logo">
          <a:extLst>
            <a:ext uri="{FF2B5EF4-FFF2-40B4-BE49-F238E27FC236}">
              <a16:creationId xmlns:a16="http://schemas.microsoft.com/office/drawing/2014/main" id="{BB54CD47-B2D6-4247-9C9A-3F675D3B5E2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4" name="AutoShape 1" descr="Resultado de imagem para whirlpool logo">
          <a:extLst>
            <a:ext uri="{FF2B5EF4-FFF2-40B4-BE49-F238E27FC236}">
              <a16:creationId xmlns:a16="http://schemas.microsoft.com/office/drawing/2014/main" id="{FBB09B12-C8FD-4764-8E53-D714095F26B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55" name="AutoShape 1" descr="Resultado de imagem para whirlpool logo">
          <a:extLst>
            <a:ext uri="{FF2B5EF4-FFF2-40B4-BE49-F238E27FC236}">
              <a16:creationId xmlns:a16="http://schemas.microsoft.com/office/drawing/2014/main" id="{A015EACF-1CE2-4F56-95D8-A9BB81BA7B1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6" name="AutoShape 1" descr="Resultado de imagem para whirlpool logo">
          <a:extLst>
            <a:ext uri="{FF2B5EF4-FFF2-40B4-BE49-F238E27FC236}">
              <a16:creationId xmlns:a16="http://schemas.microsoft.com/office/drawing/2014/main" id="{087B0A5C-3102-435B-B332-ED95A17A358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7" name="AutoShape 1" descr="Resultado de imagem para whirlpool logo">
          <a:extLst>
            <a:ext uri="{FF2B5EF4-FFF2-40B4-BE49-F238E27FC236}">
              <a16:creationId xmlns:a16="http://schemas.microsoft.com/office/drawing/2014/main" id="{C5A26CC4-7180-4528-9FA2-8FD144ED472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58" name="AutoShape 1" descr="Resultado de imagem para whirlpool logo">
          <a:extLst>
            <a:ext uri="{FF2B5EF4-FFF2-40B4-BE49-F238E27FC236}">
              <a16:creationId xmlns:a16="http://schemas.microsoft.com/office/drawing/2014/main" id="{6C99C180-941F-477E-88FD-D18B7CE6B2A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59" name="AutoShape 1" descr="Resultado de imagem para whirlpool logo">
          <a:extLst>
            <a:ext uri="{FF2B5EF4-FFF2-40B4-BE49-F238E27FC236}">
              <a16:creationId xmlns:a16="http://schemas.microsoft.com/office/drawing/2014/main" id="{81E0B85E-1331-4EC0-8159-C14A7EC5C90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0" name="AutoShape 1" descr="Resultado de imagem para whirlpool logo">
          <a:extLst>
            <a:ext uri="{FF2B5EF4-FFF2-40B4-BE49-F238E27FC236}">
              <a16:creationId xmlns:a16="http://schemas.microsoft.com/office/drawing/2014/main" id="{FD02D603-EDE5-41AB-ADD8-1BD36B86FC5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61" name="AutoShape 1" descr="Resultado de imagem para whirlpool logo">
          <a:extLst>
            <a:ext uri="{FF2B5EF4-FFF2-40B4-BE49-F238E27FC236}">
              <a16:creationId xmlns:a16="http://schemas.microsoft.com/office/drawing/2014/main" id="{0360DAB8-62A7-4FDD-AC9C-853226B7FE3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2" name="AutoShape 1" descr="Resultado de imagem para whirlpool logo">
          <a:extLst>
            <a:ext uri="{FF2B5EF4-FFF2-40B4-BE49-F238E27FC236}">
              <a16:creationId xmlns:a16="http://schemas.microsoft.com/office/drawing/2014/main" id="{F046DD8E-C5DE-4097-A4BD-1DEBC1ACCFB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63" name="AutoShape 1" descr="Resultado de imagem para whirlpool logo">
          <a:extLst>
            <a:ext uri="{FF2B5EF4-FFF2-40B4-BE49-F238E27FC236}">
              <a16:creationId xmlns:a16="http://schemas.microsoft.com/office/drawing/2014/main" id="{2052AD42-DB42-41BB-B107-8EC99FE87A4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4" name="AutoShape 1" descr="Resultado de imagem para whirlpool logo">
          <a:extLst>
            <a:ext uri="{FF2B5EF4-FFF2-40B4-BE49-F238E27FC236}">
              <a16:creationId xmlns:a16="http://schemas.microsoft.com/office/drawing/2014/main" id="{B91E41A6-5A11-4BD8-887C-AC26645592A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65" name="AutoShape 1" descr="Resultado de imagem para whirlpool logo">
          <a:extLst>
            <a:ext uri="{FF2B5EF4-FFF2-40B4-BE49-F238E27FC236}">
              <a16:creationId xmlns:a16="http://schemas.microsoft.com/office/drawing/2014/main" id="{1C72B2A0-6B9F-4DA8-966F-800D4F120EF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6" name="AutoShape 1" descr="Resultado de imagem para whirlpool logo">
          <a:extLst>
            <a:ext uri="{FF2B5EF4-FFF2-40B4-BE49-F238E27FC236}">
              <a16:creationId xmlns:a16="http://schemas.microsoft.com/office/drawing/2014/main" id="{0616DE94-EFD4-41DE-9638-81E25D81F13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7" name="AutoShape 1" descr="Resultado de imagem para whirlpool logo">
          <a:extLst>
            <a:ext uri="{FF2B5EF4-FFF2-40B4-BE49-F238E27FC236}">
              <a16:creationId xmlns:a16="http://schemas.microsoft.com/office/drawing/2014/main" id="{C5937AF2-EC1C-480E-A403-FC6A189A0F6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68" name="AutoShape 1" descr="Resultado de imagem para whirlpool logo">
          <a:extLst>
            <a:ext uri="{FF2B5EF4-FFF2-40B4-BE49-F238E27FC236}">
              <a16:creationId xmlns:a16="http://schemas.microsoft.com/office/drawing/2014/main" id="{6F3F76E8-3EE4-4125-A544-0D4C68A7E76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69" name="AutoShape 1" descr="Resultado de imagem para whirlpool logo">
          <a:extLst>
            <a:ext uri="{FF2B5EF4-FFF2-40B4-BE49-F238E27FC236}">
              <a16:creationId xmlns:a16="http://schemas.microsoft.com/office/drawing/2014/main" id="{B4EAC90B-8E46-43E0-8144-FF06F651030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70" name="AutoShape 1" descr="Resultado de imagem para whirlpool logo">
          <a:extLst>
            <a:ext uri="{FF2B5EF4-FFF2-40B4-BE49-F238E27FC236}">
              <a16:creationId xmlns:a16="http://schemas.microsoft.com/office/drawing/2014/main" id="{B88C84B1-3F30-44B5-944E-639611FE482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71" name="AutoShape 1" descr="Resultado de imagem para whirlpool logo">
          <a:extLst>
            <a:ext uri="{FF2B5EF4-FFF2-40B4-BE49-F238E27FC236}">
              <a16:creationId xmlns:a16="http://schemas.microsoft.com/office/drawing/2014/main" id="{78A7609A-68B3-40FC-9C47-E794C2AFB6A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172" name="AutoShape 1" descr="Resultado de imagem para whirlpool logo">
          <a:extLst>
            <a:ext uri="{FF2B5EF4-FFF2-40B4-BE49-F238E27FC236}">
              <a16:creationId xmlns:a16="http://schemas.microsoft.com/office/drawing/2014/main" id="{66A14CAA-C01F-4300-8DD8-6EEEE9C61CB6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173" name="AutoShape 1" descr="Resultado de imagem para whirlpool logo">
          <a:extLst>
            <a:ext uri="{FF2B5EF4-FFF2-40B4-BE49-F238E27FC236}">
              <a16:creationId xmlns:a16="http://schemas.microsoft.com/office/drawing/2014/main" id="{8E6341C1-588C-40D2-97CC-6AA3AAE06758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174" name="AutoShape 1" descr="Resultado de imagem para whirlpool logo">
          <a:extLst>
            <a:ext uri="{FF2B5EF4-FFF2-40B4-BE49-F238E27FC236}">
              <a16:creationId xmlns:a16="http://schemas.microsoft.com/office/drawing/2014/main" id="{E1899FA9-113F-4076-81A3-957814ED3F61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175" name="AutoShape 1" descr="Resultado de imagem para whirlpool logo">
          <a:extLst>
            <a:ext uri="{FF2B5EF4-FFF2-40B4-BE49-F238E27FC236}">
              <a16:creationId xmlns:a16="http://schemas.microsoft.com/office/drawing/2014/main" id="{8E8757D1-5412-4AE3-9CA5-F445EC02F3B4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176" name="AutoShape 1" descr="Resultado de imagem para whirlpool logo">
          <a:extLst>
            <a:ext uri="{FF2B5EF4-FFF2-40B4-BE49-F238E27FC236}">
              <a16:creationId xmlns:a16="http://schemas.microsoft.com/office/drawing/2014/main" id="{C614C596-44F1-40EF-9BC7-FB64BFFBC578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177" name="AutoShape 1" descr="Resultado de imagem para whirlpool logo">
          <a:extLst>
            <a:ext uri="{FF2B5EF4-FFF2-40B4-BE49-F238E27FC236}">
              <a16:creationId xmlns:a16="http://schemas.microsoft.com/office/drawing/2014/main" id="{555AD37E-12A0-48D0-AC6A-F394F8B041C0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5765"/>
    <xdr:sp macro="" textlink="">
      <xdr:nvSpPr>
        <xdr:cNvPr id="2178" name="AutoShape 1" descr="Resultado de imagem para whirlpool logo">
          <a:extLst>
            <a:ext uri="{FF2B5EF4-FFF2-40B4-BE49-F238E27FC236}">
              <a16:creationId xmlns:a16="http://schemas.microsoft.com/office/drawing/2014/main" id="{7FE75A50-B496-4C4A-A68A-0BA1779699DA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6</xdr:col>
      <xdr:colOff>0</xdr:colOff>
      <xdr:row>6</xdr:row>
      <xdr:rowOff>0</xdr:rowOff>
    </xdr:from>
    <xdr:ext cx="304800" cy="298265"/>
    <xdr:sp macro="" textlink="">
      <xdr:nvSpPr>
        <xdr:cNvPr id="2179" name="AutoShape 1" descr="Resultado de imagem para whirlpool logo">
          <a:extLst>
            <a:ext uri="{FF2B5EF4-FFF2-40B4-BE49-F238E27FC236}">
              <a16:creationId xmlns:a16="http://schemas.microsoft.com/office/drawing/2014/main" id="{236A128C-7A46-45DA-90AC-ECDCCF86EF1F}"/>
            </a:ext>
          </a:extLst>
        </xdr:cNvPr>
        <xdr:cNvSpPr>
          <a:spLocks noChangeAspect="1" noChangeArrowheads="1"/>
        </xdr:cNvSpPr>
      </xdr:nvSpPr>
      <xdr:spPr bwMode="auto">
        <a:xfrm>
          <a:off x="95123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0" name="AutoShape 1" descr="Resultado de imagem para whirlpool logo">
          <a:extLst>
            <a:ext uri="{FF2B5EF4-FFF2-40B4-BE49-F238E27FC236}">
              <a16:creationId xmlns:a16="http://schemas.microsoft.com/office/drawing/2014/main" id="{32DD33AB-A6BA-4AAB-99E3-7A9BC789609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81" name="AutoShape 1" descr="Resultado de imagem para whirlpool logo">
          <a:extLst>
            <a:ext uri="{FF2B5EF4-FFF2-40B4-BE49-F238E27FC236}">
              <a16:creationId xmlns:a16="http://schemas.microsoft.com/office/drawing/2014/main" id="{35F152D0-99C6-483A-8A55-942D82E77E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2" name="AutoShape 1" descr="Resultado de imagem para whirlpool logo">
          <a:extLst>
            <a:ext uri="{FF2B5EF4-FFF2-40B4-BE49-F238E27FC236}">
              <a16:creationId xmlns:a16="http://schemas.microsoft.com/office/drawing/2014/main" id="{78D22264-1012-42A4-B7DE-23905D34AF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3" name="AutoShape 1" descr="Resultado de imagem para whirlpool logo">
          <a:extLst>
            <a:ext uri="{FF2B5EF4-FFF2-40B4-BE49-F238E27FC236}">
              <a16:creationId xmlns:a16="http://schemas.microsoft.com/office/drawing/2014/main" id="{2DE73F8D-1DB7-41EE-B32F-9BBC3F35CC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4" name="AutoShape 1" descr="Resultado de imagem para whirlpool logo">
          <a:extLst>
            <a:ext uri="{FF2B5EF4-FFF2-40B4-BE49-F238E27FC236}">
              <a16:creationId xmlns:a16="http://schemas.microsoft.com/office/drawing/2014/main" id="{5C6C4B27-50CE-41ED-9F50-9BD5897BF8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85" name="AutoShape 1" descr="Resultado de imagem para whirlpool logo">
          <a:extLst>
            <a:ext uri="{FF2B5EF4-FFF2-40B4-BE49-F238E27FC236}">
              <a16:creationId xmlns:a16="http://schemas.microsoft.com/office/drawing/2014/main" id="{9FB53445-88CF-4B97-83BC-C5797BE560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6" name="AutoShape 1" descr="Resultado de imagem para whirlpool logo">
          <a:extLst>
            <a:ext uri="{FF2B5EF4-FFF2-40B4-BE49-F238E27FC236}">
              <a16:creationId xmlns:a16="http://schemas.microsoft.com/office/drawing/2014/main" id="{188775F9-2258-4E7B-86A8-009F116226E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87" name="AutoShape 1" descr="Resultado de imagem para whirlpool logo">
          <a:extLst>
            <a:ext uri="{FF2B5EF4-FFF2-40B4-BE49-F238E27FC236}">
              <a16:creationId xmlns:a16="http://schemas.microsoft.com/office/drawing/2014/main" id="{4076596F-E7B9-44F3-9E88-7C230912C64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88" name="AutoShape 1" descr="Resultado de imagem para whirlpool logo">
          <a:extLst>
            <a:ext uri="{FF2B5EF4-FFF2-40B4-BE49-F238E27FC236}">
              <a16:creationId xmlns:a16="http://schemas.microsoft.com/office/drawing/2014/main" id="{4C29A398-8E18-4C55-9715-D152778EBB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89" name="AutoShape 1" descr="Resultado de imagem para whirlpool logo">
          <a:extLst>
            <a:ext uri="{FF2B5EF4-FFF2-40B4-BE49-F238E27FC236}">
              <a16:creationId xmlns:a16="http://schemas.microsoft.com/office/drawing/2014/main" id="{8E757AED-EF83-4E31-96DA-69FF481ADB2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0" name="AutoShape 1" descr="Resultado de imagem para whirlpool logo">
          <a:extLst>
            <a:ext uri="{FF2B5EF4-FFF2-40B4-BE49-F238E27FC236}">
              <a16:creationId xmlns:a16="http://schemas.microsoft.com/office/drawing/2014/main" id="{A8E48869-C984-46FB-8213-A21AE8B257B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91" name="AutoShape 1" descr="Resultado de imagem para whirlpool logo">
          <a:extLst>
            <a:ext uri="{FF2B5EF4-FFF2-40B4-BE49-F238E27FC236}">
              <a16:creationId xmlns:a16="http://schemas.microsoft.com/office/drawing/2014/main" id="{E7A55FC3-E5CC-4980-95BF-CD163DF0EA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2" name="AutoShape 1" descr="Resultado de imagem para whirlpool logo">
          <a:extLst>
            <a:ext uri="{FF2B5EF4-FFF2-40B4-BE49-F238E27FC236}">
              <a16:creationId xmlns:a16="http://schemas.microsoft.com/office/drawing/2014/main" id="{8CF8705E-BE67-4566-BD2B-1735B28A7C9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3" name="AutoShape 1" descr="Resultado de imagem para whirlpool logo">
          <a:extLst>
            <a:ext uri="{FF2B5EF4-FFF2-40B4-BE49-F238E27FC236}">
              <a16:creationId xmlns:a16="http://schemas.microsoft.com/office/drawing/2014/main" id="{ECC007FC-540D-4A2D-AC16-768DFCC1BD7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4" name="AutoShape 1" descr="Resultado de imagem para whirlpool logo">
          <a:extLst>
            <a:ext uri="{FF2B5EF4-FFF2-40B4-BE49-F238E27FC236}">
              <a16:creationId xmlns:a16="http://schemas.microsoft.com/office/drawing/2014/main" id="{396E3EEA-A178-4F26-9CAB-61162EBD4EC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95" name="AutoShape 1" descr="Resultado de imagem para whirlpool logo">
          <a:extLst>
            <a:ext uri="{FF2B5EF4-FFF2-40B4-BE49-F238E27FC236}">
              <a16:creationId xmlns:a16="http://schemas.microsoft.com/office/drawing/2014/main" id="{36DA3530-316C-4154-9E7C-061806C9EC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196" name="AutoShape 1" descr="Resultado de imagem para whirlpool logo">
          <a:extLst>
            <a:ext uri="{FF2B5EF4-FFF2-40B4-BE49-F238E27FC236}">
              <a16:creationId xmlns:a16="http://schemas.microsoft.com/office/drawing/2014/main" id="{53287606-D4C5-44AC-B32F-130FD0F319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197" name="AutoShape 1" descr="Resultado de imagem para whirlpool logo">
          <a:extLst>
            <a:ext uri="{FF2B5EF4-FFF2-40B4-BE49-F238E27FC236}">
              <a16:creationId xmlns:a16="http://schemas.microsoft.com/office/drawing/2014/main" id="{A00B07CC-2959-4B0C-985D-28A2BA4545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198" name="AutoShape 1" descr="Resultado de imagem para whirlpool logo">
          <a:extLst>
            <a:ext uri="{FF2B5EF4-FFF2-40B4-BE49-F238E27FC236}">
              <a16:creationId xmlns:a16="http://schemas.microsoft.com/office/drawing/2014/main" id="{194172AD-C856-4BB3-A302-BA7B87E0C9D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199" name="AutoShape 1" descr="Resultado de imagem para whirlpool logo">
          <a:extLst>
            <a:ext uri="{FF2B5EF4-FFF2-40B4-BE49-F238E27FC236}">
              <a16:creationId xmlns:a16="http://schemas.microsoft.com/office/drawing/2014/main" id="{2C52E8D3-6F8B-4874-AF27-BDF52F6360F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0" name="AutoShape 1" descr="Resultado de imagem para whirlpool logo">
          <a:extLst>
            <a:ext uri="{FF2B5EF4-FFF2-40B4-BE49-F238E27FC236}">
              <a16:creationId xmlns:a16="http://schemas.microsoft.com/office/drawing/2014/main" id="{F72AAD9C-C46D-4A47-9EDD-7078F46DF11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1" name="AutoShape 1" descr="Resultado de imagem para whirlpool logo">
          <a:extLst>
            <a:ext uri="{FF2B5EF4-FFF2-40B4-BE49-F238E27FC236}">
              <a16:creationId xmlns:a16="http://schemas.microsoft.com/office/drawing/2014/main" id="{C6937292-D73D-4424-B6FD-A12BDF69E98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2" name="AutoShape 1" descr="Resultado de imagem para whirlpool logo">
          <a:extLst>
            <a:ext uri="{FF2B5EF4-FFF2-40B4-BE49-F238E27FC236}">
              <a16:creationId xmlns:a16="http://schemas.microsoft.com/office/drawing/2014/main" id="{00FB854F-EF26-4DBA-8B38-7801DEEEC83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03" name="AutoShape 1" descr="Resultado de imagem para whirlpool logo">
          <a:extLst>
            <a:ext uri="{FF2B5EF4-FFF2-40B4-BE49-F238E27FC236}">
              <a16:creationId xmlns:a16="http://schemas.microsoft.com/office/drawing/2014/main" id="{533CCD31-26BE-4751-8D84-FB0216B097A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4" name="AutoShape 1" descr="Resultado de imagem para whirlpool logo">
          <a:extLst>
            <a:ext uri="{FF2B5EF4-FFF2-40B4-BE49-F238E27FC236}">
              <a16:creationId xmlns:a16="http://schemas.microsoft.com/office/drawing/2014/main" id="{E2BE6A64-1208-4EE6-801A-7EF4F3F0BA6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05" name="AutoShape 1" descr="Resultado de imagem para whirlpool logo">
          <a:extLst>
            <a:ext uri="{FF2B5EF4-FFF2-40B4-BE49-F238E27FC236}">
              <a16:creationId xmlns:a16="http://schemas.microsoft.com/office/drawing/2014/main" id="{BC840464-1F3A-4727-9043-CD3CE4769FF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6" name="AutoShape 1" descr="Resultado de imagem para whirlpool logo">
          <a:extLst>
            <a:ext uri="{FF2B5EF4-FFF2-40B4-BE49-F238E27FC236}">
              <a16:creationId xmlns:a16="http://schemas.microsoft.com/office/drawing/2014/main" id="{F1286A5E-7F28-4E2E-A2C7-FB265989D52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07" name="AutoShape 1" descr="Resultado de imagem para whirlpool logo">
          <a:extLst>
            <a:ext uri="{FF2B5EF4-FFF2-40B4-BE49-F238E27FC236}">
              <a16:creationId xmlns:a16="http://schemas.microsoft.com/office/drawing/2014/main" id="{98ED964C-3621-487F-93EC-E918AB56374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08" name="AutoShape 1" descr="Resultado de imagem para whirlpool logo">
          <a:extLst>
            <a:ext uri="{FF2B5EF4-FFF2-40B4-BE49-F238E27FC236}">
              <a16:creationId xmlns:a16="http://schemas.microsoft.com/office/drawing/2014/main" id="{19B254A8-BC58-415C-AA7F-1585CF77FFC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09" name="AutoShape 1" descr="Resultado de imagem para whirlpool logo">
          <a:extLst>
            <a:ext uri="{FF2B5EF4-FFF2-40B4-BE49-F238E27FC236}">
              <a16:creationId xmlns:a16="http://schemas.microsoft.com/office/drawing/2014/main" id="{36FDD10E-267D-4F2B-9024-63735C235AC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0" name="AutoShape 1" descr="Resultado de imagem para whirlpool logo">
          <a:extLst>
            <a:ext uri="{FF2B5EF4-FFF2-40B4-BE49-F238E27FC236}">
              <a16:creationId xmlns:a16="http://schemas.microsoft.com/office/drawing/2014/main" id="{3E8AD940-6193-4BFA-A6F4-9C4EC1C8BED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11" name="AutoShape 1" descr="Resultado de imagem para whirlpool logo">
          <a:extLst>
            <a:ext uri="{FF2B5EF4-FFF2-40B4-BE49-F238E27FC236}">
              <a16:creationId xmlns:a16="http://schemas.microsoft.com/office/drawing/2014/main" id="{B2385592-FD3E-4274-9628-EA46958BEA6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2" name="AutoShape 1" descr="Resultado de imagem para whirlpool logo">
          <a:extLst>
            <a:ext uri="{FF2B5EF4-FFF2-40B4-BE49-F238E27FC236}">
              <a16:creationId xmlns:a16="http://schemas.microsoft.com/office/drawing/2014/main" id="{377D5657-30B3-4BCC-BC78-779F0088BC5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3" name="AutoShape 1" descr="Resultado de imagem para whirlpool logo">
          <a:extLst>
            <a:ext uri="{FF2B5EF4-FFF2-40B4-BE49-F238E27FC236}">
              <a16:creationId xmlns:a16="http://schemas.microsoft.com/office/drawing/2014/main" id="{E98D2EB9-B9B5-48F4-926E-DAA40B67BD4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14" name="AutoShape 1" descr="Resultado de imagem para whirlpool logo">
          <a:extLst>
            <a:ext uri="{FF2B5EF4-FFF2-40B4-BE49-F238E27FC236}">
              <a16:creationId xmlns:a16="http://schemas.microsoft.com/office/drawing/2014/main" id="{85EFAEE5-919F-47B3-B84E-13779081679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5" name="AutoShape 1" descr="Resultado de imagem para whirlpool logo">
          <a:extLst>
            <a:ext uri="{FF2B5EF4-FFF2-40B4-BE49-F238E27FC236}">
              <a16:creationId xmlns:a16="http://schemas.microsoft.com/office/drawing/2014/main" id="{497D8588-A919-4591-9433-18FB54A30E8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6" name="AutoShape 1" descr="Resultado de imagem para whirlpool logo">
          <a:extLst>
            <a:ext uri="{FF2B5EF4-FFF2-40B4-BE49-F238E27FC236}">
              <a16:creationId xmlns:a16="http://schemas.microsoft.com/office/drawing/2014/main" id="{78F38797-CE82-49BC-BC5F-27BE803CE53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17" name="AutoShape 1" descr="Resultado de imagem para whirlpool logo">
          <a:extLst>
            <a:ext uri="{FF2B5EF4-FFF2-40B4-BE49-F238E27FC236}">
              <a16:creationId xmlns:a16="http://schemas.microsoft.com/office/drawing/2014/main" id="{3CE483EB-6A69-40D7-BC2D-D06AF26404F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18" name="AutoShape 1" descr="Resultado de imagem para whirlpool logo">
          <a:extLst>
            <a:ext uri="{FF2B5EF4-FFF2-40B4-BE49-F238E27FC236}">
              <a16:creationId xmlns:a16="http://schemas.microsoft.com/office/drawing/2014/main" id="{238DF3AA-22A5-4333-B062-F700CB25D5B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19" name="AutoShape 1" descr="Resultado de imagem para whirlpool logo">
          <a:extLst>
            <a:ext uri="{FF2B5EF4-FFF2-40B4-BE49-F238E27FC236}">
              <a16:creationId xmlns:a16="http://schemas.microsoft.com/office/drawing/2014/main" id="{A4E3C7C4-7908-4D39-8705-5EE7305FE1A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0" name="AutoShape 1" descr="Resultado de imagem para whirlpool logo">
          <a:extLst>
            <a:ext uri="{FF2B5EF4-FFF2-40B4-BE49-F238E27FC236}">
              <a16:creationId xmlns:a16="http://schemas.microsoft.com/office/drawing/2014/main" id="{431A914D-E76B-471A-AC13-F5C96AABC5B6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21" name="AutoShape 1" descr="Resultado de imagem para whirlpool logo">
          <a:extLst>
            <a:ext uri="{FF2B5EF4-FFF2-40B4-BE49-F238E27FC236}">
              <a16:creationId xmlns:a16="http://schemas.microsoft.com/office/drawing/2014/main" id="{0735D01B-419B-448C-B8DB-5428AA1790F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2" name="AutoShape 1" descr="Resultado de imagem para whirlpool logo">
          <a:extLst>
            <a:ext uri="{FF2B5EF4-FFF2-40B4-BE49-F238E27FC236}">
              <a16:creationId xmlns:a16="http://schemas.microsoft.com/office/drawing/2014/main" id="{85C7750F-850D-4BCF-B036-DEDF62519D9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3" name="AutoShape 1" descr="Resultado de imagem para whirlpool logo">
          <a:extLst>
            <a:ext uri="{FF2B5EF4-FFF2-40B4-BE49-F238E27FC236}">
              <a16:creationId xmlns:a16="http://schemas.microsoft.com/office/drawing/2014/main" id="{58C751DE-D510-49C0-8806-B337CD993F0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24" name="AutoShape 1" descr="Resultado de imagem para whirlpool logo">
          <a:extLst>
            <a:ext uri="{FF2B5EF4-FFF2-40B4-BE49-F238E27FC236}">
              <a16:creationId xmlns:a16="http://schemas.microsoft.com/office/drawing/2014/main" id="{E593E180-C340-4980-988B-FE80F811724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5" name="AutoShape 1" descr="Resultado de imagem para whirlpool logo">
          <a:extLst>
            <a:ext uri="{FF2B5EF4-FFF2-40B4-BE49-F238E27FC236}">
              <a16:creationId xmlns:a16="http://schemas.microsoft.com/office/drawing/2014/main" id="{49A7F4BB-3F97-4D65-9659-D487D6FB642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6" name="AutoShape 1" descr="Resultado de imagem para whirlpool logo">
          <a:extLst>
            <a:ext uri="{FF2B5EF4-FFF2-40B4-BE49-F238E27FC236}">
              <a16:creationId xmlns:a16="http://schemas.microsoft.com/office/drawing/2014/main" id="{59830B97-5EF9-4081-BDCD-A5092E1E03F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27" name="AutoShape 1" descr="Resultado de imagem para whirlpool logo">
          <a:extLst>
            <a:ext uri="{FF2B5EF4-FFF2-40B4-BE49-F238E27FC236}">
              <a16:creationId xmlns:a16="http://schemas.microsoft.com/office/drawing/2014/main" id="{BBC497C3-2CE4-4776-9F30-5D594C64E9C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28" name="AutoShape 1" descr="Resultado de imagem para whirlpool logo">
          <a:extLst>
            <a:ext uri="{FF2B5EF4-FFF2-40B4-BE49-F238E27FC236}">
              <a16:creationId xmlns:a16="http://schemas.microsoft.com/office/drawing/2014/main" id="{4ECBD218-D450-4CBD-8EBB-DCD6D195A2B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29" name="AutoShape 1" descr="Resultado de imagem para whirlpool logo">
          <a:extLst>
            <a:ext uri="{FF2B5EF4-FFF2-40B4-BE49-F238E27FC236}">
              <a16:creationId xmlns:a16="http://schemas.microsoft.com/office/drawing/2014/main" id="{6A5CA45A-9F4F-4949-A86A-87212E61665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0" name="AutoShape 1" descr="Resultado de imagem para whirlpool logo">
          <a:extLst>
            <a:ext uri="{FF2B5EF4-FFF2-40B4-BE49-F238E27FC236}">
              <a16:creationId xmlns:a16="http://schemas.microsoft.com/office/drawing/2014/main" id="{0B83FF33-D7E0-4FFA-A6A1-0FF152FA3FC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1" name="AutoShape 1" descr="Resultado de imagem para whirlpool logo">
          <a:extLst>
            <a:ext uri="{FF2B5EF4-FFF2-40B4-BE49-F238E27FC236}">
              <a16:creationId xmlns:a16="http://schemas.microsoft.com/office/drawing/2014/main" id="{9224E379-4560-4A89-8F76-A1311E7734E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32" name="AutoShape 1" descr="Resultado de imagem para whirlpool logo">
          <a:extLst>
            <a:ext uri="{FF2B5EF4-FFF2-40B4-BE49-F238E27FC236}">
              <a16:creationId xmlns:a16="http://schemas.microsoft.com/office/drawing/2014/main" id="{C6AD72ED-0EBF-42D3-882B-851F4B3988B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3" name="AutoShape 1" descr="Resultado de imagem para whirlpool logo">
          <a:extLst>
            <a:ext uri="{FF2B5EF4-FFF2-40B4-BE49-F238E27FC236}">
              <a16:creationId xmlns:a16="http://schemas.microsoft.com/office/drawing/2014/main" id="{C8AA66F5-07DF-4BB5-926B-7322EA734AB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34" name="AutoShape 1" descr="Resultado de imagem para whirlpool logo">
          <a:extLst>
            <a:ext uri="{FF2B5EF4-FFF2-40B4-BE49-F238E27FC236}">
              <a16:creationId xmlns:a16="http://schemas.microsoft.com/office/drawing/2014/main" id="{C03BFCC1-71FA-468E-AAF4-0FBA1264B9D8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5" name="AutoShape 1" descr="Resultado de imagem para whirlpool logo">
          <a:extLst>
            <a:ext uri="{FF2B5EF4-FFF2-40B4-BE49-F238E27FC236}">
              <a16:creationId xmlns:a16="http://schemas.microsoft.com/office/drawing/2014/main" id="{778EF8BA-8152-46F4-8809-0C985FF8411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6" name="AutoShape 1" descr="Resultado de imagem para whirlpool logo">
          <a:extLst>
            <a:ext uri="{FF2B5EF4-FFF2-40B4-BE49-F238E27FC236}">
              <a16:creationId xmlns:a16="http://schemas.microsoft.com/office/drawing/2014/main" id="{76C456B0-5B34-4EBE-B827-F3216FED637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37" name="AutoShape 1" descr="Resultado de imagem para whirlpool logo">
          <a:extLst>
            <a:ext uri="{FF2B5EF4-FFF2-40B4-BE49-F238E27FC236}">
              <a16:creationId xmlns:a16="http://schemas.microsoft.com/office/drawing/2014/main" id="{5D1B428E-00E1-4B0F-92BE-67D8A3F1E5A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38" name="AutoShape 1" descr="Resultado de imagem para whirlpool logo">
          <a:extLst>
            <a:ext uri="{FF2B5EF4-FFF2-40B4-BE49-F238E27FC236}">
              <a16:creationId xmlns:a16="http://schemas.microsoft.com/office/drawing/2014/main" id="{1DCFDBE5-98F4-4383-BA06-0F69D84C4B1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39" name="AutoShape 1" descr="Resultado de imagem para whirlpool logo">
          <a:extLst>
            <a:ext uri="{FF2B5EF4-FFF2-40B4-BE49-F238E27FC236}">
              <a16:creationId xmlns:a16="http://schemas.microsoft.com/office/drawing/2014/main" id="{255F8B85-7075-4050-86FD-BF49A57C28CB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0" name="AutoShape 1" descr="Resultado de imagem para whirlpool logo">
          <a:extLst>
            <a:ext uri="{FF2B5EF4-FFF2-40B4-BE49-F238E27FC236}">
              <a16:creationId xmlns:a16="http://schemas.microsoft.com/office/drawing/2014/main" id="{068C0B51-F65A-4D81-9C41-7BD199DFCED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1" name="AutoShape 1" descr="Resultado de imagem para whirlpool logo">
          <a:extLst>
            <a:ext uri="{FF2B5EF4-FFF2-40B4-BE49-F238E27FC236}">
              <a16:creationId xmlns:a16="http://schemas.microsoft.com/office/drawing/2014/main" id="{9A6FFD5F-9FF2-4E4E-B81B-5CF40A55C2C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42" name="AutoShape 1" descr="Resultado de imagem para whirlpool logo">
          <a:extLst>
            <a:ext uri="{FF2B5EF4-FFF2-40B4-BE49-F238E27FC236}">
              <a16:creationId xmlns:a16="http://schemas.microsoft.com/office/drawing/2014/main" id="{E263CBA5-09C0-4751-9394-AE434681062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3" name="AutoShape 1" descr="Resultado de imagem para whirlpool logo">
          <a:extLst>
            <a:ext uri="{FF2B5EF4-FFF2-40B4-BE49-F238E27FC236}">
              <a16:creationId xmlns:a16="http://schemas.microsoft.com/office/drawing/2014/main" id="{32916DA1-D2E7-4149-B64A-F9033434170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44" name="AutoShape 1" descr="Resultado de imagem para whirlpool logo">
          <a:extLst>
            <a:ext uri="{FF2B5EF4-FFF2-40B4-BE49-F238E27FC236}">
              <a16:creationId xmlns:a16="http://schemas.microsoft.com/office/drawing/2014/main" id="{62EB8FB0-C140-4438-8A73-94D7C0BCB4E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5" name="AutoShape 1" descr="Resultado de imagem para whirlpool logo">
          <a:extLst>
            <a:ext uri="{FF2B5EF4-FFF2-40B4-BE49-F238E27FC236}">
              <a16:creationId xmlns:a16="http://schemas.microsoft.com/office/drawing/2014/main" id="{B42A8631-E539-4239-ACDA-0FA653302AC3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6" name="AutoShape 1" descr="Resultado de imagem para whirlpool logo">
          <a:extLst>
            <a:ext uri="{FF2B5EF4-FFF2-40B4-BE49-F238E27FC236}">
              <a16:creationId xmlns:a16="http://schemas.microsoft.com/office/drawing/2014/main" id="{8008AB5F-D4EE-49E3-88E2-3F49CDD587C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7" name="AutoShape 1" descr="Resultado de imagem para whirlpool logo">
          <a:extLst>
            <a:ext uri="{FF2B5EF4-FFF2-40B4-BE49-F238E27FC236}">
              <a16:creationId xmlns:a16="http://schemas.microsoft.com/office/drawing/2014/main" id="{50C810BC-C9D5-4450-A548-4A5C07722E24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48" name="AutoShape 1" descr="Resultado de imagem para whirlpool logo">
          <a:extLst>
            <a:ext uri="{FF2B5EF4-FFF2-40B4-BE49-F238E27FC236}">
              <a16:creationId xmlns:a16="http://schemas.microsoft.com/office/drawing/2014/main" id="{331963D5-CA3D-40D2-A23B-6346CC0047DC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49" name="AutoShape 1" descr="Resultado de imagem para whirlpool logo">
          <a:extLst>
            <a:ext uri="{FF2B5EF4-FFF2-40B4-BE49-F238E27FC236}">
              <a16:creationId xmlns:a16="http://schemas.microsoft.com/office/drawing/2014/main" id="{2B370C5A-1207-4FF9-81FE-67666A471929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50" name="AutoShape 1" descr="Resultado de imagem para whirlpool logo">
          <a:extLst>
            <a:ext uri="{FF2B5EF4-FFF2-40B4-BE49-F238E27FC236}">
              <a16:creationId xmlns:a16="http://schemas.microsoft.com/office/drawing/2014/main" id="{CE278F1F-A068-4299-A6B8-0F09B7D4AB8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1" name="AutoShape 1" descr="Resultado de imagem para whirlpool logo">
          <a:extLst>
            <a:ext uri="{FF2B5EF4-FFF2-40B4-BE49-F238E27FC236}">
              <a16:creationId xmlns:a16="http://schemas.microsoft.com/office/drawing/2014/main" id="{004343A5-288B-4925-A1F1-3A79404BC71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52" name="AutoShape 1" descr="Resultado de imagem para whirlpool logo">
          <a:extLst>
            <a:ext uri="{FF2B5EF4-FFF2-40B4-BE49-F238E27FC236}">
              <a16:creationId xmlns:a16="http://schemas.microsoft.com/office/drawing/2014/main" id="{0AC44F39-AAA0-4A16-96C6-6F9F4BCA2C3F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3" name="AutoShape 1" descr="Resultado de imagem para whirlpool logo">
          <a:extLst>
            <a:ext uri="{FF2B5EF4-FFF2-40B4-BE49-F238E27FC236}">
              <a16:creationId xmlns:a16="http://schemas.microsoft.com/office/drawing/2014/main" id="{038D77AC-5851-41EF-9D53-96EA611BCC00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54" name="AutoShape 1" descr="Resultado de imagem para whirlpool logo">
          <a:extLst>
            <a:ext uri="{FF2B5EF4-FFF2-40B4-BE49-F238E27FC236}">
              <a16:creationId xmlns:a16="http://schemas.microsoft.com/office/drawing/2014/main" id="{9F7CB04E-7C14-4325-AA20-833A4CC9A72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5" name="AutoShape 1" descr="Resultado de imagem para whirlpool logo">
          <a:extLst>
            <a:ext uri="{FF2B5EF4-FFF2-40B4-BE49-F238E27FC236}">
              <a16:creationId xmlns:a16="http://schemas.microsoft.com/office/drawing/2014/main" id="{32B5901B-9633-4CC8-982B-6F9956B7954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6" name="AutoShape 1" descr="Resultado de imagem para whirlpool logo">
          <a:extLst>
            <a:ext uri="{FF2B5EF4-FFF2-40B4-BE49-F238E27FC236}">
              <a16:creationId xmlns:a16="http://schemas.microsoft.com/office/drawing/2014/main" id="{2FDF611C-41A6-4901-B60F-43DCEE596DE1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7" name="AutoShape 1" descr="Resultado de imagem para whirlpool logo">
          <a:extLst>
            <a:ext uri="{FF2B5EF4-FFF2-40B4-BE49-F238E27FC236}">
              <a16:creationId xmlns:a16="http://schemas.microsoft.com/office/drawing/2014/main" id="{FB3EE3A0-32B6-4A1B-B41C-83C80AE750AE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58" name="AutoShape 1" descr="Resultado de imagem para whirlpool logo">
          <a:extLst>
            <a:ext uri="{FF2B5EF4-FFF2-40B4-BE49-F238E27FC236}">
              <a16:creationId xmlns:a16="http://schemas.microsoft.com/office/drawing/2014/main" id="{F6AFC0B3-57BE-4992-81FB-44BA23077F67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59" name="AutoShape 1" descr="Resultado de imagem para whirlpool logo">
          <a:extLst>
            <a:ext uri="{FF2B5EF4-FFF2-40B4-BE49-F238E27FC236}">
              <a16:creationId xmlns:a16="http://schemas.microsoft.com/office/drawing/2014/main" id="{B9C6E1E9-CFF3-4139-9958-87331656B4B2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8265"/>
    <xdr:sp macro="" textlink="">
      <xdr:nvSpPr>
        <xdr:cNvPr id="2260" name="AutoShape 1" descr="Resultado de imagem para whirlpool logo">
          <a:extLst>
            <a:ext uri="{FF2B5EF4-FFF2-40B4-BE49-F238E27FC236}">
              <a16:creationId xmlns:a16="http://schemas.microsoft.com/office/drawing/2014/main" id="{4277E1D2-F73E-45F7-B6A0-695112021C8D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5</xdr:col>
      <xdr:colOff>0</xdr:colOff>
      <xdr:row>6</xdr:row>
      <xdr:rowOff>0</xdr:rowOff>
    </xdr:from>
    <xdr:ext cx="304800" cy="295765"/>
    <xdr:sp macro="" textlink="">
      <xdr:nvSpPr>
        <xdr:cNvPr id="2261" name="AutoShape 1" descr="Resultado de imagem para whirlpool logo">
          <a:extLst>
            <a:ext uri="{FF2B5EF4-FFF2-40B4-BE49-F238E27FC236}">
              <a16:creationId xmlns:a16="http://schemas.microsoft.com/office/drawing/2014/main" id="{2F5C486A-1589-4C91-86B1-FAD299E98B65}"/>
            </a:ext>
          </a:extLst>
        </xdr:cNvPr>
        <xdr:cNvSpPr>
          <a:spLocks noChangeAspect="1" noChangeArrowheads="1"/>
        </xdr:cNvSpPr>
      </xdr:nvSpPr>
      <xdr:spPr bwMode="auto">
        <a:xfrm>
          <a:off x="806450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3" name="AutoShape 1" descr="Resultado de imagem para whirlpool logo">
          <a:extLst>
            <a:ext uri="{FF2B5EF4-FFF2-40B4-BE49-F238E27FC236}">
              <a16:creationId xmlns:a16="http://schemas.microsoft.com/office/drawing/2014/main" id="{44018035-2BC0-49A2-BF81-67FE82D622D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64" name="AutoShape 1" descr="Resultado de imagem para whirlpool logo">
          <a:extLst>
            <a:ext uri="{FF2B5EF4-FFF2-40B4-BE49-F238E27FC236}">
              <a16:creationId xmlns:a16="http://schemas.microsoft.com/office/drawing/2014/main" id="{8A574D19-9C4C-4EA2-8E4D-E1372DAC512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5" name="AutoShape 1" descr="Resultado de imagem para whirlpool logo">
          <a:extLst>
            <a:ext uri="{FF2B5EF4-FFF2-40B4-BE49-F238E27FC236}">
              <a16:creationId xmlns:a16="http://schemas.microsoft.com/office/drawing/2014/main" id="{492925FC-A5A7-4D84-A3FB-730C979071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6" name="AutoShape 1" descr="Resultado de imagem para whirlpool logo">
          <a:extLst>
            <a:ext uri="{FF2B5EF4-FFF2-40B4-BE49-F238E27FC236}">
              <a16:creationId xmlns:a16="http://schemas.microsoft.com/office/drawing/2014/main" id="{B5ABE2FC-9DE0-4098-BF2C-43938238764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7" name="AutoShape 1" descr="Resultado de imagem para whirlpool logo">
          <a:extLst>
            <a:ext uri="{FF2B5EF4-FFF2-40B4-BE49-F238E27FC236}">
              <a16:creationId xmlns:a16="http://schemas.microsoft.com/office/drawing/2014/main" id="{81F8F0D9-6DAC-4769-895B-3DB873F460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68" name="AutoShape 1" descr="Resultado de imagem para whirlpool logo">
          <a:extLst>
            <a:ext uri="{FF2B5EF4-FFF2-40B4-BE49-F238E27FC236}">
              <a16:creationId xmlns:a16="http://schemas.microsoft.com/office/drawing/2014/main" id="{478E210C-AE67-45F4-9BE9-65B494BC953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69" name="AutoShape 1" descr="Resultado de imagem para whirlpool logo">
          <a:extLst>
            <a:ext uri="{FF2B5EF4-FFF2-40B4-BE49-F238E27FC236}">
              <a16:creationId xmlns:a16="http://schemas.microsoft.com/office/drawing/2014/main" id="{4D08A210-24EF-49FA-BBE0-07A521D6B7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70" name="AutoShape 1" descr="Resultado de imagem para whirlpool logo">
          <a:extLst>
            <a:ext uri="{FF2B5EF4-FFF2-40B4-BE49-F238E27FC236}">
              <a16:creationId xmlns:a16="http://schemas.microsoft.com/office/drawing/2014/main" id="{17E0A94E-141B-4025-91E8-45F77F926A7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1" name="AutoShape 1" descr="Resultado de imagem para whirlpool logo">
          <a:extLst>
            <a:ext uri="{FF2B5EF4-FFF2-40B4-BE49-F238E27FC236}">
              <a16:creationId xmlns:a16="http://schemas.microsoft.com/office/drawing/2014/main" id="{68891722-4EFD-4DBA-AC02-CAA4B08AF98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72" name="AutoShape 1" descr="Resultado de imagem para whirlpool logo">
          <a:extLst>
            <a:ext uri="{FF2B5EF4-FFF2-40B4-BE49-F238E27FC236}">
              <a16:creationId xmlns:a16="http://schemas.microsoft.com/office/drawing/2014/main" id="{3379552B-28E9-4FB5-A028-0EF8829E1D5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3" name="AutoShape 1" descr="Resultado de imagem para whirlpool logo">
          <a:extLst>
            <a:ext uri="{FF2B5EF4-FFF2-40B4-BE49-F238E27FC236}">
              <a16:creationId xmlns:a16="http://schemas.microsoft.com/office/drawing/2014/main" id="{4702E6F2-E760-4A79-B250-57DD8C45AA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74" name="AutoShape 1" descr="Resultado de imagem para whirlpool logo">
          <a:extLst>
            <a:ext uri="{FF2B5EF4-FFF2-40B4-BE49-F238E27FC236}">
              <a16:creationId xmlns:a16="http://schemas.microsoft.com/office/drawing/2014/main" id="{CCF867E8-7387-477A-BB0B-716729B13AB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5" name="AutoShape 1" descr="Resultado de imagem para whirlpool logo">
          <a:extLst>
            <a:ext uri="{FF2B5EF4-FFF2-40B4-BE49-F238E27FC236}">
              <a16:creationId xmlns:a16="http://schemas.microsoft.com/office/drawing/2014/main" id="{E421F48E-91EA-447F-9260-C3AF78F65B5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76" name="AutoShape 1" descr="Resultado de imagem para whirlpool logo">
          <a:extLst>
            <a:ext uri="{FF2B5EF4-FFF2-40B4-BE49-F238E27FC236}">
              <a16:creationId xmlns:a16="http://schemas.microsoft.com/office/drawing/2014/main" id="{455C843E-E28F-49E0-B1B3-56AD4967CAF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7" name="AutoShape 1" descr="Resultado de imagem para whirlpool logo">
          <a:extLst>
            <a:ext uri="{FF2B5EF4-FFF2-40B4-BE49-F238E27FC236}">
              <a16:creationId xmlns:a16="http://schemas.microsoft.com/office/drawing/2014/main" id="{11E1B9F8-BEED-4A24-9B0B-4EC8AE89E4D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78" name="AutoShape 1" descr="Resultado de imagem para whirlpool logo">
          <a:extLst>
            <a:ext uri="{FF2B5EF4-FFF2-40B4-BE49-F238E27FC236}">
              <a16:creationId xmlns:a16="http://schemas.microsoft.com/office/drawing/2014/main" id="{391AAC67-DDAC-40D9-BB40-E1DE95C5E6F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79" name="AutoShape 1" descr="Resultado de imagem para whirlpool logo">
          <a:extLst>
            <a:ext uri="{FF2B5EF4-FFF2-40B4-BE49-F238E27FC236}">
              <a16:creationId xmlns:a16="http://schemas.microsoft.com/office/drawing/2014/main" id="{CF459178-09EB-44E6-A684-8CE2A9C21F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0" name="AutoShape 1" descr="Resultado de imagem para whirlpool logo">
          <a:extLst>
            <a:ext uri="{FF2B5EF4-FFF2-40B4-BE49-F238E27FC236}">
              <a16:creationId xmlns:a16="http://schemas.microsoft.com/office/drawing/2014/main" id="{75BB2D18-F4DC-41D6-8A05-5F016B60E1B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81" name="AutoShape 1" descr="Resultado de imagem para whirlpool logo">
          <a:extLst>
            <a:ext uri="{FF2B5EF4-FFF2-40B4-BE49-F238E27FC236}">
              <a16:creationId xmlns:a16="http://schemas.microsoft.com/office/drawing/2014/main" id="{EEC7D616-2AD9-43FE-BA47-B30E88DB03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2" name="AutoShape 1" descr="Resultado de imagem para whirlpool logo">
          <a:extLst>
            <a:ext uri="{FF2B5EF4-FFF2-40B4-BE49-F238E27FC236}">
              <a16:creationId xmlns:a16="http://schemas.microsoft.com/office/drawing/2014/main" id="{398CBF19-2021-4C4F-95C8-079C7E5AE89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3" name="AutoShape 1" descr="Resultado de imagem para whirlpool logo">
          <a:extLst>
            <a:ext uri="{FF2B5EF4-FFF2-40B4-BE49-F238E27FC236}">
              <a16:creationId xmlns:a16="http://schemas.microsoft.com/office/drawing/2014/main" id="{60915193-9E25-44AB-8B20-B824D6BDFC1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4" name="AutoShape 1" descr="Resultado de imagem para whirlpool logo">
          <a:extLst>
            <a:ext uri="{FF2B5EF4-FFF2-40B4-BE49-F238E27FC236}">
              <a16:creationId xmlns:a16="http://schemas.microsoft.com/office/drawing/2014/main" id="{CB80C9BB-81D8-4233-9280-3735CA1556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85" name="AutoShape 1" descr="Resultado de imagem para whirlpool logo">
          <a:extLst>
            <a:ext uri="{FF2B5EF4-FFF2-40B4-BE49-F238E27FC236}">
              <a16:creationId xmlns:a16="http://schemas.microsoft.com/office/drawing/2014/main" id="{F081F1F6-F851-4A8B-B39A-CF088A33FB5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6" name="AutoShape 1" descr="Resultado de imagem para whirlpool logo">
          <a:extLst>
            <a:ext uri="{FF2B5EF4-FFF2-40B4-BE49-F238E27FC236}">
              <a16:creationId xmlns:a16="http://schemas.microsoft.com/office/drawing/2014/main" id="{721FF7A1-885E-4AB1-AA88-03EF78BB2A0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87" name="AutoShape 1" descr="Resultado de imagem para whirlpool logo">
          <a:extLst>
            <a:ext uri="{FF2B5EF4-FFF2-40B4-BE49-F238E27FC236}">
              <a16:creationId xmlns:a16="http://schemas.microsoft.com/office/drawing/2014/main" id="{6AD9A756-84DC-4D69-A120-D4B7CCF5AAF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88" name="AutoShape 1" descr="Resultado de imagem para whirlpool logo">
          <a:extLst>
            <a:ext uri="{FF2B5EF4-FFF2-40B4-BE49-F238E27FC236}">
              <a16:creationId xmlns:a16="http://schemas.microsoft.com/office/drawing/2014/main" id="{9066680B-2434-4832-881A-3392AE69FB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89" name="AutoShape 1" descr="Resultado de imagem para whirlpool logo">
          <a:extLst>
            <a:ext uri="{FF2B5EF4-FFF2-40B4-BE49-F238E27FC236}">
              <a16:creationId xmlns:a16="http://schemas.microsoft.com/office/drawing/2014/main" id="{5E5A1B01-7CB6-486E-9BF2-F41DD6A337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0" name="AutoShape 1" descr="Resultado de imagem para whirlpool logo">
          <a:extLst>
            <a:ext uri="{FF2B5EF4-FFF2-40B4-BE49-F238E27FC236}">
              <a16:creationId xmlns:a16="http://schemas.microsoft.com/office/drawing/2014/main" id="{F13E59B4-305A-488A-BAEE-3AA34C65F28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91" name="AutoShape 1" descr="Resultado de imagem para whirlpool logo">
          <a:extLst>
            <a:ext uri="{FF2B5EF4-FFF2-40B4-BE49-F238E27FC236}">
              <a16:creationId xmlns:a16="http://schemas.microsoft.com/office/drawing/2014/main" id="{993B9F6B-DD45-4494-AAA2-2C226BAC9FF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2" name="AutoShape 1" descr="Resultado de imagem para whirlpool logo">
          <a:extLst>
            <a:ext uri="{FF2B5EF4-FFF2-40B4-BE49-F238E27FC236}">
              <a16:creationId xmlns:a16="http://schemas.microsoft.com/office/drawing/2014/main" id="{7EAB7194-4130-4707-A8B8-0C27D85D345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3" name="AutoShape 1" descr="Resultado de imagem para whirlpool logo">
          <a:extLst>
            <a:ext uri="{FF2B5EF4-FFF2-40B4-BE49-F238E27FC236}">
              <a16:creationId xmlns:a16="http://schemas.microsoft.com/office/drawing/2014/main" id="{177D267F-3E59-4C36-B4DD-8058FB75FA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4" name="AutoShape 1" descr="Resultado de imagem para whirlpool logo">
          <a:extLst>
            <a:ext uri="{FF2B5EF4-FFF2-40B4-BE49-F238E27FC236}">
              <a16:creationId xmlns:a16="http://schemas.microsoft.com/office/drawing/2014/main" id="{25998E28-3A8D-405B-928E-FED123418D1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95" name="AutoShape 1" descr="Resultado de imagem para whirlpool logo">
          <a:extLst>
            <a:ext uri="{FF2B5EF4-FFF2-40B4-BE49-F238E27FC236}">
              <a16:creationId xmlns:a16="http://schemas.microsoft.com/office/drawing/2014/main" id="{639ADC25-0ED6-4EE8-A4D8-6FB8A99A66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6" name="AutoShape 1" descr="Resultado de imagem para whirlpool logo">
          <a:extLst>
            <a:ext uri="{FF2B5EF4-FFF2-40B4-BE49-F238E27FC236}">
              <a16:creationId xmlns:a16="http://schemas.microsoft.com/office/drawing/2014/main" id="{A82ECCC9-DC22-43B3-8926-5483B8A27AF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97" name="AutoShape 1" descr="Resultado de imagem para whirlpool logo">
          <a:extLst>
            <a:ext uri="{FF2B5EF4-FFF2-40B4-BE49-F238E27FC236}">
              <a16:creationId xmlns:a16="http://schemas.microsoft.com/office/drawing/2014/main" id="{77137ECE-D1F9-46E5-B9CD-84843F49E23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298" name="AutoShape 1" descr="Resultado de imagem para whirlpool logo">
          <a:extLst>
            <a:ext uri="{FF2B5EF4-FFF2-40B4-BE49-F238E27FC236}">
              <a16:creationId xmlns:a16="http://schemas.microsoft.com/office/drawing/2014/main" id="{5B33F8CA-CD1C-4B4C-9370-4BE220860B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299" name="AutoShape 1" descr="Resultado de imagem para whirlpool logo">
          <a:extLst>
            <a:ext uri="{FF2B5EF4-FFF2-40B4-BE49-F238E27FC236}">
              <a16:creationId xmlns:a16="http://schemas.microsoft.com/office/drawing/2014/main" id="{FED9B37D-1A67-43A5-9A53-9EF6316F9FA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0" name="AutoShape 1" descr="Resultado de imagem para whirlpool logo">
          <a:extLst>
            <a:ext uri="{FF2B5EF4-FFF2-40B4-BE49-F238E27FC236}">
              <a16:creationId xmlns:a16="http://schemas.microsoft.com/office/drawing/2014/main" id="{11E7AAA6-E390-4D6C-97A5-ACE47133C4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1" name="AutoShape 1" descr="Resultado de imagem para whirlpool logo">
          <a:extLst>
            <a:ext uri="{FF2B5EF4-FFF2-40B4-BE49-F238E27FC236}">
              <a16:creationId xmlns:a16="http://schemas.microsoft.com/office/drawing/2014/main" id="{7E44A100-A08C-420C-A65A-F1652043F5F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2" name="AutoShape 1" descr="Resultado de imagem para whirlpool logo">
          <a:extLst>
            <a:ext uri="{FF2B5EF4-FFF2-40B4-BE49-F238E27FC236}">
              <a16:creationId xmlns:a16="http://schemas.microsoft.com/office/drawing/2014/main" id="{2C3C28AA-0480-45ED-977A-F81A119479B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03" name="AutoShape 1" descr="Resultado de imagem para whirlpool logo">
          <a:extLst>
            <a:ext uri="{FF2B5EF4-FFF2-40B4-BE49-F238E27FC236}">
              <a16:creationId xmlns:a16="http://schemas.microsoft.com/office/drawing/2014/main" id="{157D5D74-BC72-443C-97AF-366D0E8BC04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4" name="AutoShape 1" descr="Resultado de imagem para whirlpool logo">
          <a:extLst>
            <a:ext uri="{FF2B5EF4-FFF2-40B4-BE49-F238E27FC236}">
              <a16:creationId xmlns:a16="http://schemas.microsoft.com/office/drawing/2014/main" id="{C6CD1588-09D8-4ED6-BD3A-AD5D6FC43D6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05" name="AutoShape 1" descr="Resultado de imagem para whirlpool logo">
          <a:extLst>
            <a:ext uri="{FF2B5EF4-FFF2-40B4-BE49-F238E27FC236}">
              <a16:creationId xmlns:a16="http://schemas.microsoft.com/office/drawing/2014/main" id="{202501FD-3727-4687-9627-13139D9F8BF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6" name="AutoShape 1" descr="Resultado de imagem para whirlpool logo">
          <a:extLst>
            <a:ext uri="{FF2B5EF4-FFF2-40B4-BE49-F238E27FC236}">
              <a16:creationId xmlns:a16="http://schemas.microsoft.com/office/drawing/2014/main" id="{67A66924-81F1-43A0-9723-46EB8FBCDE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07" name="AutoShape 1" descr="Resultado de imagem para whirlpool logo">
          <a:extLst>
            <a:ext uri="{FF2B5EF4-FFF2-40B4-BE49-F238E27FC236}">
              <a16:creationId xmlns:a16="http://schemas.microsoft.com/office/drawing/2014/main" id="{DD6388FE-3E6B-4052-854F-5C038186ED2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08" name="AutoShape 1" descr="Resultado de imagem para whirlpool logo">
          <a:extLst>
            <a:ext uri="{FF2B5EF4-FFF2-40B4-BE49-F238E27FC236}">
              <a16:creationId xmlns:a16="http://schemas.microsoft.com/office/drawing/2014/main" id="{39511B0F-E609-4FB9-83CA-F9EA09F95A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09" name="AutoShape 1" descr="Resultado de imagem para whirlpool logo">
          <a:extLst>
            <a:ext uri="{FF2B5EF4-FFF2-40B4-BE49-F238E27FC236}">
              <a16:creationId xmlns:a16="http://schemas.microsoft.com/office/drawing/2014/main" id="{D7ECDC81-260B-4F76-A738-CE0D15084B6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0" name="AutoShape 1" descr="Resultado de imagem para whirlpool logo">
          <a:extLst>
            <a:ext uri="{FF2B5EF4-FFF2-40B4-BE49-F238E27FC236}">
              <a16:creationId xmlns:a16="http://schemas.microsoft.com/office/drawing/2014/main" id="{1ACDFF46-CB28-42A4-8CB1-0390B78ADA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11" name="AutoShape 1" descr="Resultado de imagem para whirlpool logo">
          <a:extLst>
            <a:ext uri="{FF2B5EF4-FFF2-40B4-BE49-F238E27FC236}">
              <a16:creationId xmlns:a16="http://schemas.microsoft.com/office/drawing/2014/main" id="{17C0E346-409F-4EFA-9209-3DD80787AD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2" name="AutoShape 1" descr="Resultado de imagem para whirlpool logo">
          <a:extLst>
            <a:ext uri="{FF2B5EF4-FFF2-40B4-BE49-F238E27FC236}">
              <a16:creationId xmlns:a16="http://schemas.microsoft.com/office/drawing/2014/main" id="{3944540C-C079-4AD9-8F98-ECAC6E21B9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3" name="AutoShape 1" descr="Resultado de imagem para whirlpool logo">
          <a:extLst>
            <a:ext uri="{FF2B5EF4-FFF2-40B4-BE49-F238E27FC236}">
              <a16:creationId xmlns:a16="http://schemas.microsoft.com/office/drawing/2014/main" id="{6DAF3A1A-8FEC-44FC-90BD-2B6D58C29C9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14" name="AutoShape 1" descr="Resultado de imagem para whirlpool logo">
          <a:extLst>
            <a:ext uri="{FF2B5EF4-FFF2-40B4-BE49-F238E27FC236}">
              <a16:creationId xmlns:a16="http://schemas.microsoft.com/office/drawing/2014/main" id="{66470C87-4450-41AD-AF5E-A7CDCE6703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5" name="AutoShape 1" descr="Resultado de imagem para whirlpool logo">
          <a:extLst>
            <a:ext uri="{FF2B5EF4-FFF2-40B4-BE49-F238E27FC236}">
              <a16:creationId xmlns:a16="http://schemas.microsoft.com/office/drawing/2014/main" id="{6A87B81B-217D-4E72-9BC8-52DCDD0B624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6" name="AutoShape 1" descr="Resultado de imagem para whirlpool logo">
          <a:extLst>
            <a:ext uri="{FF2B5EF4-FFF2-40B4-BE49-F238E27FC236}">
              <a16:creationId xmlns:a16="http://schemas.microsoft.com/office/drawing/2014/main" id="{5AE4C45A-C4F1-4FD1-BEEE-9953F415072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17" name="AutoShape 1" descr="Resultado de imagem para whirlpool logo">
          <a:extLst>
            <a:ext uri="{FF2B5EF4-FFF2-40B4-BE49-F238E27FC236}">
              <a16:creationId xmlns:a16="http://schemas.microsoft.com/office/drawing/2014/main" id="{B154B965-B0AE-481E-B00F-E1021EEF45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18" name="AutoShape 1" descr="Resultado de imagem para whirlpool logo">
          <a:extLst>
            <a:ext uri="{FF2B5EF4-FFF2-40B4-BE49-F238E27FC236}">
              <a16:creationId xmlns:a16="http://schemas.microsoft.com/office/drawing/2014/main" id="{B1C3A3A4-014D-40B2-975C-1FE957C5284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19" name="AutoShape 1" descr="Resultado de imagem para whirlpool logo">
          <a:extLst>
            <a:ext uri="{FF2B5EF4-FFF2-40B4-BE49-F238E27FC236}">
              <a16:creationId xmlns:a16="http://schemas.microsoft.com/office/drawing/2014/main" id="{292CEAC9-DE69-46D8-A709-4572D681A7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0" name="AutoShape 1" descr="Resultado de imagem para whirlpool logo">
          <a:extLst>
            <a:ext uri="{FF2B5EF4-FFF2-40B4-BE49-F238E27FC236}">
              <a16:creationId xmlns:a16="http://schemas.microsoft.com/office/drawing/2014/main" id="{C4C32213-E2CD-4247-956D-C48EC048F72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21" name="AutoShape 1" descr="Resultado de imagem para whirlpool logo">
          <a:extLst>
            <a:ext uri="{FF2B5EF4-FFF2-40B4-BE49-F238E27FC236}">
              <a16:creationId xmlns:a16="http://schemas.microsoft.com/office/drawing/2014/main" id="{7A3CE4D1-DBB0-45D1-9F92-FC4491B2C12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2" name="AutoShape 1" descr="Resultado de imagem para whirlpool logo">
          <a:extLst>
            <a:ext uri="{FF2B5EF4-FFF2-40B4-BE49-F238E27FC236}">
              <a16:creationId xmlns:a16="http://schemas.microsoft.com/office/drawing/2014/main" id="{40897B5B-6223-4244-94EF-5C5C298096C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3" name="AutoShape 1" descr="Resultado de imagem para whirlpool logo">
          <a:extLst>
            <a:ext uri="{FF2B5EF4-FFF2-40B4-BE49-F238E27FC236}">
              <a16:creationId xmlns:a16="http://schemas.microsoft.com/office/drawing/2014/main" id="{BC0C465D-86A7-4428-95A9-EA1ADC2C627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24" name="AutoShape 1" descr="Resultado de imagem para whirlpool logo">
          <a:extLst>
            <a:ext uri="{FF2B5EF4-FFF2-40B4-BE49-F238E27FC236}">
              <a16:creationId xmlns:a16="http://schemas.microsoft.com/office/drawing/2014/main" id="{76263855-2B08-4C20-990E-F6213BFA7B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5" name="AutoShape 1" descr="Resultado de imagem para whirlpool logo">
          <a:extLst>
            <a:ext uri="{FF2B5EF4-FFF2-40B4-BE49-F238E27FC236}">
              <a16:creationId xmlns:a16="http://schemas.microsoft.com/office/drawing/2014/main" id="{68221643-A595-4EA3-80DD-274759EB089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6" name="AutoShape 1" descr="Resultado de imagem para whirlpool logo">
          <a:extLst>
            <a:ext uri="{FF2B5EF4-FFF2-40B4-BE49-F238E27FC236}">
              <a16:creationId xmlns:a16="http://schemas.microsoft.com/office/drawing/2014/main" id="{1003F27F-D54E-4C13-8F2B-C0B725E8BA5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27" name="AutoShape 1" descr="Resultado de imagem para whirlpool logo">
          <a:extLst>
            <a:ext uri="{FF2B5EF4-FFF2-40B4-BE49-F238E27FC236}">
              <a16:creationId xmlns:a16="http://schemas.microsoft.com/office/drawing/2014/main" id="{7EA38AFB-35F5-4532-8C22-8399ECBB20F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28" name="AutoShape 1" descr="Resultado de imagem para whirlpool logo">
          <a:extLst>
            <a:ext uri="{FF2B5EF4-FFF2-40B4-BE49-F238E27FC236}">
              <a16:creationId xmlns:a16="http://schemas.microsoft.com/office/drawing/2014/main" id="{B50DF02B-2658-4ADD-BF2F-A97D4E3D08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29" name="AutoShape 1" descr="Resultado de imagem para whirlpool logo">
          <a:extLst>
            <a:ext uri="{FF2B5EF4-FFF2-40B4-BE49-F238E27FC236}">
              <a16:creationId xmlns:a16="http://schemas.microsoft.com/office/drawing/2014/main" id="{EED7B4ED-DB31-4081-829C-7CCBAD68CF5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0" name="AutoShape 1" descr="Resultado de imagem para whirlpool logo">
          <a:extLst>
            <a:ext uri="{FF2B5EF4-FFF2-40B4-BE49-F238E27FC236}">
              <a16:creationId xmlns:a16="http://schemas.microsoft.com/office/drawing/2014/main" id="{82B3E376-6E58-40F2-8160-44E3AB81ED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1" name="AutoShape 1" descr="Resultado de imagem para whirlpool logo">
          <a:extLst>
            <a:ext uri="{FF2B5EF4-FFF2-40B4-BE49-F238E27FC236}">
              <a16:creationId xmlns:a16="http://schemas.microsoft.com/office/drawing/2014/main" id="{5D3A196D-8CC1-4BCB-AF81-F79FDA7469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32" name="AutoShape 1" descr="Resultado de imagem para whirlpool logo">
          <a:extLst>
            <a:ext uri="{FF2B5EF4-FFF2-40B4-BE49-F238E27FC236}">
              <a16:creationId xmlns:a16="http://schemas.microsoft.com/office/drawing/2014/main" id="{6465E08A-3F49-4886-B196-D660C5E4A43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3" name="AutoShape 1" descr="Resultado de imagem para whirlpool logo">
          <a:extLst>
            <a:ext uri="{FF2B5EF4-FFF2-40B4-BE49-F238E27FC236}">
              <a16:creationId xmlns:a16="http://schemas.microsoft.com/office/drawing/2014/main" id="{28B7BBAE-A925-4713-ADA6-13D1A801802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34" name="AutoShape 1" descr="Resultado de imagem para whirlpool logo">
          <a:extLst>
            <a:ext uri="{FF2B5EF4-FFF2-40B4-BE49-F238E27FC236}">
              <a16:creationId xmlns:a16="http://schemas.microsoft.com/office/drawing/2014/main" id="{B5EC4D87-13BE-4EB8-8E89-F65C2F4C28C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5" name="AutoShape 1" descr="Resultado de imagem para whirlpool logo">
          <a:extLst>
            <a:ext uri="{FF2B5EF4-FFF2-40B4-BE49-F238E27FC236}">
              <a16:creationId xmlns:a16="http://schemas.microsoft.com/office/drawing/2014/main" id="{F6F5E40B-E8F3-41EF-B1BD-EA22AEDF180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6" name="AutoShape 1" descr="Resultado de imagem para whirlpool logo">
          <a:extLst>
            <a:ext uri="{FF2B5EF4-FFF2-40B4-BE49-F238E27FC236}">
              <a16:creationId xmlns:a16="http://schemas.microsoft.com/office/drawing/2014/main" id="{06ED225F-E332-44B1-8AE5-21972FD0D12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37" name="AutoShape 1" descr="Resultado de imagem para whirlpool logo">
          <a:extLst>
            <a:ext uri="{FF2B5EF4-FFF2-40B4-BE49-F238E27FC236}">
              <a16:creationId xmlns:a16="http://schemas.microsoft.com/office/drawing/2014/main" id="{C906A521-BDD5-47BB-97F3-EC9DD88932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38" name="AutoShape 1" descr="Resultado de imagem para whirlpool logo">
          <a:extLst>
            <a:ext uri="{FF2B5EF4-FFF2-40B4-BE49-F238E27FC236}">
              <a16:creationId xmlns:a16="http://schemas.microsoft.com/office/drawing/2014/main" id="{BB86374E-D5BA-495E-A63A-7DAF5C59BFF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39" name="AutoShape 1" descr="Resultado de imagem para whirlpool logo">
          <a:extLst>
            <a:ext uri="{FF2B5EF4-FFF2-40B4-BE49-F238E27FC236}">
              <a16:creationId xmlns:a16="http://schemas.microsoft.com/office/drawing/2014/main" id="{18C41C75-1299-482B-91BF-A3BBB6FA07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0" name="AutoShape 1" descr="Resultado de imagem para whirlpool logo">
          <a:extLst>
            <a:ext uri="{FF2B5EF4-FFF2-40B4-BE49-F238E27FC236}">
              <a16:creationId xmlns:a16="http://schemas.microsoft.com/office/drawing/2014/main" id="{932B12A8-912E-4512-90A4-3608904C92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1" name="AutoShape 1" descr="Resultado de imagem para whirlpool logo">
          <a:extLst>
            <a:ext uri="{FF2B5EF4-FFF2-40B4-BE49-F238E27FC236}">
              <a16:creationId xmlns:a16="http://schemas.microsoft.com/office/drawing/2014/main" id="{296EF3C2-5153-408B-AE51-2AA139F27FA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42" name="AutoShape 1" descr="Resultado de imagem para whirlpool logo">
          <a:extLst>
            <a:ext uri="{FF2B5EF4-FFF2-40B4-BE49-F238E27FC236}">
              <a16:creationId xmlns:a16="http://schemas.microsoft.com/office/drawing/2014/main" id="{FE7A375C-D398-4DC3-8C6E-52CB14B966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3" name="AutoShape 1" descr="Resultado de imagem para whirlpool logo">
          <a:extLst>
            <a:ext uri="{FF2B5EF4-FFF2-40B4-BE49-F238E27FC236}">
              <a16:creationId xmlns:a16="http://schemas.microsoft.com/office/drawing/2014/main" id="{04D28B12-CC95-409E-979A-6514327BD70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44" name="AutoShape 1" descr="Resultado de imagem para whirlpool logo">
          <a:extLst>
            <a:ext uri="{FF2B5EF4-FFF2-40B4-BE49-F238E27FC236}">
              <a16:creationId xmlns:a16="http://schemas.microsoft.com/office/drawing/2014/main" id="{116B53B8-D06B-46EB-A9D0-BC6578377D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5" name="AutoShape 1" descr="Resultado de imagem para whirlpool logo">
          <a:extLst>
            <a:ext uri="{FF2B5EF4-FFF2-40B4-BE49-F238E27FC236}">
              <a16:creationId xmlns:a16="http://schemas.microsoft.com/office/drawing/2014/main" id="{9B55DB30-47BB-43FF-9042-D1E7EC4CE3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6" name="AutoShape 1" descr="Resultado de imagem para whirlpool logo">
          <a:extLst>
            <a:ext uri="{FF2B5EF4-FFF2-40B4-BE49-F238E27FC236}">
              <a16:creationId xmlns:a16="http://schemas.microsoft.com/office/drawing/2014/main" id="{115EC870-C198-4CA1-BD4D-EEE08332F85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7" name="AutoShape 1" descr="Resultado de imagem para whirlpool logo">
          <a:extLst>
            <a:ext uri="{FF2B5EF4-FFF2-40B4-BE49-F238E27FC236}">
              <a16:creationId xmlns:a16="http://schemas.microsoft.com/office/drawing/2014/main" id="{D8D73C2A-DDDB-440F-B880-5C44BDD5E9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48" name="AutoShape 1" descr="Resultado de imagem para whirlpool logo">
          <a:extLst>
            <a:ext uri="{FF2B5EF4-FFF2-40B4-BE49-F238E27FC236}">
              <a16:creationId xmlns:a16="http://schemas.microsoft.com/office/drawing/2014/main" id="{1EA17763-07BF-43C0-944E-1E2019142F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49" name="AutoShape 1" descr="Resultado de imagem para whirlpool logo">
          <a:extLst>
            <a:ext uri="{FF2B5EF4-FFF2-40B4-BE49-F238E27FC236}">
              <a16:creationId xmlns:a16="http://schemas.microsoft.com/office/drawing/2014/main" id="{7A29ED44-D2DB-4C41-B788-0D982751EE1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50" name="AutoShape 1" descr="Resultado de imagem para whirlpool logo">
          <a:extLst>
            <a:ext uri="{FF2B5EF4-FFF2-40B4-BE49-F238E27FC236}">
              <a16:creationId xmlns:a16="http://schemas.microsoft.com/office/drawing/2014/main" id="{717975C6-D554-4F15-8F83-D8F7A6544B3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1" name="AutoShape 1" descr="Resultado de imagem para whirlpool logo">
          <a:extLst>
            <a:ext uri="{FF2B5EF4-FFF2-40B4-BE49-F238E27FC236}">
              <a16:creationId xmlns:a16="http://schemas.microsoft.com/office/drawing/2014/main" id="{3356E6B5-3EF1-47B4-91AA-AEDE9919766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52" name="AutoShape 1" descr="Resultado de imagem para whirlpool logo">
          <a:extLst>
            <a:ext uri="{FF2B5EF4-FFF2-40B4-BE49-F238E27FC236}">
              <a16:creationId xmlns:a16="http://schemas.microsoft.com/office/drawing/2014/main" id="{BB8BC07C-C69E-4BF8-B17D-9CDB99302BF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3" name="AutoShape 1" descr="Resultado de imagem para whirlpool logo">
          <a:extLst>
            <a:ext uri="{FF2B5EF4-FFF2-40B4-BE49-F238E27FC236}">
              <a16:creationId xmlns:a16="http://schemas.microsoft.com/office/drawing/2014/main" id="{B83C23E6-598E-46DB-975B-615CBCCBF0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54" name="AutoShape 1" descr="Resultado de imagem para whirlpool logo">
          <a:extLst>
            <a:ext uri="{FF2B5EF4-FFF2-40B4-BE49-F238E27FC236}">
              <a16:creationId xmlns:a16="http://schemas.microsoft.com/office/drawing/2014/main" id="{1F102185-CD38-404D-BCCB-F6FE691B47C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5" name="AutoShape 1" descr="Resultado de imagem para whirlpool logo">
          <a:extLst>
            <a:ext uri="{FF2B5EF4-FFF2-40B4-BE49-F238E27FC236}">
              <a16:creationId xmlns:a16="http://schemas.microsoft.com/office/drawing/2014/main" id="{2A7DA74F-DA69-48C5-930E-84C4693045F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6" name="AutoShape 1" descr="Resultado de imagem para whirlpool logo">
          <a:extLst>
            <a:ext uri="{FF2B5EF4-FFF2-40B4-BE49-F238E27FC236}">
              <a16:creationId xmlns:a16="http://schemas.microsoft.com/office/drawing/2014/main" id="{F4E6A850-4580-40F6-A5F7-2A86FD5BDFB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7" name="AutoShape 1" descr="Resultado de imagem para whirlpool logo">
          <a:extLst>
            <a:ext uri="{FF2B5EF4-FFF2-40B4-BE49-F238E27FC236}">
              <a16:creationId xmlns:a16="http://schemas.microsoft.com/office/drawing/2014/main" id="{EB4A14BC-DCED-40A9-A322-3E7AC4DCC7B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58" name="AutoShape 1" descr="Resultado de imagem para whirlpool logo">
          <a:extLst>
            <a:ext uri="{FF2B5EF4-FFF2-40B4-BE49-F238E27FC236}">
              <a16:creationId xmlns:a16="http://schemas.microsoft.com/office/drawing/2014/main" id="{07B1AF44-8537-4AFB-9B33-0C7EDB6DF77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59" name="AutoShape 1" descr="Resultado de imagem para whirlpool logo">
          <a:extLst>
            <a:ext uri="{FF2B5EF4-FFF2-40B4-BE49-F238E27FC236}">
              <a16:creationId xmlns:a16="http://schemas.microsoft.com/office/drawing/2014/main" id="{09784819-17DA-4DE0-A5EA-4F3A535F54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60" name="AutoShape 1" descr="Resultado de imagem para whirlpool logo">
          <a:extLst>
            <a:ext uri="{FF2B5EF4-FFF2-40B4-BE49-F238E27FC236}">
              <a16:creationId xmlns:a16="http://schemas.microsoft.com/office/drawing/2014/main" id="{8BDE290E-DF54-43F1-AAA5-C9EDBBD01C1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1" name="AutoShape 1" descr="Resultado de imagem para whirlpool logo">
          <a:extLst>
            <a:ext uri="{FF2B5EF4-FFF2-40B4-BE49-F238E27FC236}">
              <a16:creationId xmlns:a16="http://schemas.microsoft.com/office/drawing/2014/main" id="{285D9AD8-9B27-4F40-9BC7-4508B51D9D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2" name="AutoShape 1" descr="Resultado de imagem para whirlpool logo">
          <a:extLst>
            <a:ext uri="{FF2B5EF4-FFF2-40B4-BE49-F238E27FC236}">
              <a16:creationId xmlns:a16="http://schemas.microsoft.com/office/drawing/2014/main" id="{419D483A-E4AD-4E1E-9A51-43A573571EE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3" name="AutoShape 1" descr="Resultado de imagem para whirlpool logo">
          <a:extLst>
            <a:ext uri="{FF2B5EF4-FFF2-40B4-BE49-F238E27FC236}">
              <a16:creationId xmlns:a16="http://schemas.microsoft.com/office/drawing/2014/main" id="{1D757A63-DA92-48A2-BFBF-D2BFFDD14DD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64" name="AutoShape 1" descr="Resultado de imagem para whirlpool logo">
          <a:extLst>
            <a:ext uri="{FF2B5EF4-FFF2-40B4-BE49-F238E27FC236}">
              <a16:creationId xmlns:a16="http://schemas.microsoft.com/office/drawing/2014/main" id="{3D104C39-7E18-4F5B-9E0B-3188AC6CE0A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5" name="AutoShape 1" descr="Resultado de imagem para whirlpool logo">
          <a:extLst>
            <a:ext uri="{FF2B5EF4-FFF2-40B4-BE49-F238E27FC236}">
              <a16:creationId xmlns:a16="http://schemas.microsoft.com/office/drawing/2014/main" id="{1FB78354-C459-423E-A017-5564C2E942E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66" name="AutoShape 1" descr="Resultado de imagem para whirlpool logo">
          <a:extLst>
            <a:ext uri="{FF2B5EF4-FFF2-40B4-BE49-F238E27FC236}">
              <a16:creationId xmlns:a16="http://schemas.microsoft.com/office/drawing/2014/main" id="{8EA1FFC9-C960-4539-93B8-C5CA3FD1B1C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7" name="AutoShape 1" descr="Resultado de imagem para whirlpool logo">
          <a:extLst>
            <a:ext uri="{FF2B5EF4-FFF2-40B4-BE49-F238E27FC236}">
              <a16:creationId xmlns:a16="http://schemas.microsoft.com/office/drawing/2014/main" id="{D73DCC6F-1346-4F3A-A911-9069E93D9DE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68" name="AutoShape 1" descr="Resultado de imagem para whirlpool logo">
          <a:extLst>
            <a:ext uri="{FF2B5EF4-FFF2-40B4-BE49-F238E27FC236}">
              <a16:creationId xmlns:a16="http://schemas.microsoft.com/office/drawing/2014/main" id="{1D6735E9-18F4-4D84-BAC6-2B9BDCC81C0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69" name="AutoShape 1" descr="Resultado de imagem para whirlpool logo">
          <a:extLst>
            <a:ext uri="{FF2B5EF4-FFF2-40B4-BE49-F238E27FC236}">
              <a16:creationId xmlns:a16="http://schemas.microsoft.com/office/drawing/2014/main" id="{6D255A40-30E4-483B-95F1-BD2DB5BFBD9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70" name="AutoShape 1" descr="Resultado de imagem para whirlpool logo">
          <a:extLst>
            <a:ext uri="{FF2B5EF4-FFF2-40B4-BE49-F238E27FC236}">
              <a16:creationId xmlns:a16="http://schemas.microsoft.com/office/drawing/2014/main" id="{AC662DD4-C94C-402F-A0CF-8312EC7BDC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1" name="AutoShape 1" descr="Resultado de imagem para whirlpool logo">
          <a:extLst>
            <a:ext uri="{FF2B5EF4-FFF2-40B4-BE49-F238E27FC236}">
              <a16:creationId xmlns:a16="http://schemas.microsoft.com/office/drawing/2014/main" id="{C2665A44-FA1C-4237-8542-E49211FA9EC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72" name="AutoShape 1" descr="Resultado de imagem para whirlpool logo">
          <a:extLst>
            <a:ext uri="{FF2B5EF4-FFF2-40B4-BE49-F238E27FC236}">
              <a16:creationId xmlns:a16="http://schemas.microsoft.com/office/drawing/2014/main" id="{83F3FFD7-35F2-464D-9069-F58D415F673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3" name="AutoShape 1" descr="Resultado de imagem para whirlpool logo">
          <a:extLst>
            <a:ext uri="{FF2B5EF4-FFF2-40B4-BE49-F238E27FC236}">
              <a16:creationId xmlns:a16="http://schemas.microsoft.com/office/drawing/2014/main" id="{C108E525-D8D9-4EBA-AE61-98C576CE58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74" name="AutoShape 1" descr="Resultado de imagem para whirlpool logo">
          <a:extLst>
            <a:ext uri="{FF2B5EF4-FFF2-40B4-BE49-F238E27FC236}">
              <a16:creationId xmlns:a16="http://schemas.microsoft.com/office/drawing/2014/main" id="{E6BA96D9-44ED-4C34-9FE7-D8DB15587B9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5" name="AutoShape 1" descr="Resultado de imagem para whirlpool logo">
          <a:extLst>
            <a:ext uri="{FF2B5EF4-FFF2-40B4-BE49-F238E27FC236}">
              <a16:creationId xmlns:a16="http://schemas.microsoft.com/office/drawing/2014/main" id="{18457302-5D0D-4B0C-A542-44999762B7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6" name="AutoShape 1" descr="Resultado de imagem para whirlpool logo">
          <a:extLst>
            <a:ext uri="{FF2B5EF4-FFF2-40B4-BE49-F238E27FC236}">
              <a16:creationId xmlns:a16="http://schemas.microsoft.com/office/drawing/2014/main" id="{003EF6CD-0451-44A7-B473-5F3DEE54BAA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77" name="AutoShape 1" descr="Resultado de imagem para whirlpool logo">
          <a:extLst>
            <a:ext uri="{FF2B5EF4-FFF2-40B4-BE49-F238E27FC236}">
              <a16:creationId xmlns:a16="http://schemas.microsoft.com/office/drawing/2014/main" id="{60ED87FB-2E16-4AB7-8310-5574D6AF02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8" name="AutoShape 1" descr="Resultado de imagem para whirlpool logo">
          <a:extLst>
            <a:ext uri="{FF2B5EF4-FFF2-40B4-BE49-F238E27FC236}">
              <a16:creationId xmlns:a16="http://schemas.microsoft.com/office/drawing/2014/main" id="{4310153E-2740-4FEB-861C-D43898F494A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79" name="AutoShape 1" descr="Resultado de imagem para whirlpool logo">
          <a:extLst>
            <a:ext uri="{FF2B5EF4-FFF2-40B4-BE49-F238E27FC236}">
              <a16:creationId xmlns:a16="http://schemas.microsoft.com/office/drawing/2014/main" id="{3DFBC468-C49E-4E67-9131-C0D3B137CC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0" name="AutoShape 1" descr="Resultado de imagem para whirlpool logo">
          <a:extLst>
            <a:ext uri="{FF2B5EF4-FFF2-40B4-BE49-F238E27FC236}">
              <a16:creationId xmlns:a16="http://schemas.microsoft.com/office/drawing/2014/main" id="{91ADA268-F1E2-4EF5-887D-D4EA9B362DE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81" name="AutoShape 1" descr="Resultado de imagem para whirlpool logo">
          <a:extLst>
            <a:ext uri="{FF2B5EF4-FFF2-40B4-BE49-F238E27FC236}">
              <a16:creationId xmlns:a16="http://schemas.microsoft.com/office/drawing/2014/main" id="{408DAE6C-D81F-4738-A8FC-1762B3DEC51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2" name="AutoShape 1" descr="Resultado de imagem para whirlpool logo">
          <a:extLst>
            <a:ext uri="{FF2B5EF4-FFF2-40B4-BE49-F238E27FC236}">
              <a16:creationId xmlns:a16="http://schemas.microsoft.com/office/drawing/2014/main" id="{D45CFDD8-0717-44AF-83DA-2980C485E40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83" name="AutoShape 1" descr="Resultado de imagem para whirlpool logo">
          <a:extLst>
            <a:ext uri="{FF2B5EF4-FFF2-40B4-BE49-F238E27FC236}">
              <a16:creationId xmlns:a16="http://schemas.microsoft.com/office/drawing/2014/main" id="{8F72BCB4-0319-4ABC-BC2E-BF78846642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4" name="AutoShape 1" descr="Resultado de imagem para whirlpool logo">
          <a:extLst>
            <a:ext uri="{FF2B5EF4-FFF2-40B4-BE49-F238E27FC236}">
              <a16:creationId xmlns:a16="http://schemas.microsoft.com/office/drawing/2014/main" id="{8B3D62D8-1242-40EC-B456-16EFBC7D6C4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85" name="AutoShape 1" descr="Resultado de imagem para whirlpool logo">
          <a:extLst>
            <a:ext uri="{FF2B5EF4-FFF2-40B4-BE49-F238E27FC236}">
              <a16:creationId xmlns:a16="http://schemas.microsoft.com/office/drawing/2014/main" id="{75E8E3EC-F4F9-4EA5-B76A-1ABCA5474AD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6" name="AutoShape 1" descr="Resultado de imagem para whirlpool logo">
          <a:extLst>
            <a:ext uri="{FF2B5EF4-FFF2-40B4-BE49-F238E27FC236}">
              <a16:creationId xmlns:a16="http://schemas.microsoft.com/office/drawing/2014/main" id="{20B7D237-F14E-410E-8062-6A34929C09B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87" name="AutoShape 1" descr="Resultado de imagem para whirlpool logo">
          <a:extLst>
            <a:ext uri="{FF2B5EF4-FFF2-40B4-BE49-F238E27FC236}">
              <a16:creationId xmlns:a16="http://schemas.microsoft.com/office/drawing/2014/main" id="{A127054C-BEBA-4B9B-AA3B-363E773CA3B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8" name="AutoShape 1" descr="Resultado de imagem para whirlpool logo">
          <a:extLst>
            <a:ext uri="{FF2B5EF4-FFF2-40B4-BE49-F238E27FC236}">
              <a16:creationId xmlns:a16="http://schemas.microsoft.com/office/drawing/2014/main" id="{C50E4CF5-8455-41C0-AEDB-807C44050C6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89" name="AutoShape 1" descr="Resultado de imagem para whirlpool logo">
          <a:extLst>
            <a:ext uri="{FF2B5EF4-FFF2-40B4-BE49-F238E27FC236}">
              <a16:creationId xmlns:a16="http://schemas.microsoft.com/office/drawing/2014/main" id="{AA6A7EA2-7E8A-43B0-A089-8020A897418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0" name="AutoShape 1" descr="Resultado de imagem para whirlpool logo">
          <a:extLst>
            <a:ext uri="{FF2B5EF4-FFF2-40B4-BE49-F238E27FC236}">
              <a16:creationId xmlns:a16="http://schemas.microsoft.com/office/drawing/2014/main" id="{19CFDDFE-CC5B-4715-87EC-223917B51F5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91" name="AutoShape 1" descr="Resultado de imagem para whirlpool logo">
          <a:extLst>
            <a:ext uri="{FF2B5EF4-FFF2-40B4-BE49-F238E27FC236}">
              <a16:creationId xmlns:a16="http://schemas.microsoft.com/office/drawing/2014/main" id="{042D6D04-3B65-4BA2-AB78-ECF9D10D9D6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2" name="AutoShape 1" descr="Resultado de imagem para whirlpool logo">
          <a:extLst>
            <a:ext uri="{FF2B5EF4-FFF2-40B4-BE49-F238E27FC236}">
              <a16:creationId xmlns:a16="http://schemas.microsoft.com/office/drawing/2014/main" id="{06E7E73F-A76F-4477-9985-74ABA4D3DA3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93" name="AutoShape 1" descr="Resultado de imagem para whirlpool logo">
          <a:extLst>
            <a:ext uri="{FF2B5EF4-FFF2-40B4-BE49-F238E27FC236}">
              <a16:creationId xmlns:a16="http://schemas.microsoft.com/office/drawing/2014/main" id="{A5FA6FF0-26AE-4A41-A298-F2C3689A0F4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4" name="AutoShape 1" descr="Resultado de imagem para whirlpool logo">
          <a:extLst>
            <a:ext uri="{FF2B5EF4-FFF2-40B4-BE49-F238E27FC236}">
              <a16:creationId xmlns:a16="http://schemas.microsoft.com/office/drawing/2014/main" id="{AD00D5A1-BE22-4962-A589-F748B55B262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95" name="AutoShape 1" descr="Resultado de imagem para whirlpool logo">
          <a:extLst>
            <a:ext uri="{FF2B5EF4-FFF2-40B4-BE49-F238E27FC236}">
              <a16:creationId xmlns:a16="http://schemas.microsoft.com/office/drawing/2014/main" id="{159B1C16-8468-4CF6-9C7A-D46FFF726F1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6" name="AutoShape 1" descr="Resultado de imagem para whirlpool logo">
          <a:extLst>
            <a:ext uri="{FF2B5EF4-FFF2-40B4-BE49-F238E27FC236}">
              <a16:creationId xmlns:a16="http://schemas.microsoft.com/office/drawing/2014/main" id="{A752E265-31C2-40C2-A139-6AA1D7EF784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7" name="AutoShape 1" descr="Resultado de imagem para whirlpool logo">
          <a:extLst>
            <a:ext uri="{FF2B5EF4-FFF2-40B4-BE49-F238E27FC236}">
              <a16:creationId xmlns:a16="http://schemas.microsoft.com/office/drawing/2014/main" id="{FC3F6743-A660-4A5F-9C9F-BEF9CD610F6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398" name="AutoShape 1" descr="Resultado de imagem para whirlpool logo">
          <a:extLst>
            <a:ext uri="{FF2B5EF4-FFF2-40B4-BE49-F238E27FC236}">
              <a16:creationId xmlns:a16="http://schemas.microsoft.com/office/drawing/2014/main" id="{5197B88E-6268-4886-B5F3-FAC71163C85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399" name="AutoShape 1" descr="Resultado de imagem para whirlpool logo">
          <a:extLst>
            <a:ext uri="{FF2B5EF4-FFF2-40B4-BE49-F238E27FC236}">
              <a16:creationId xmlns:a16="http://schemas.microsoft.com/office/drawing/2014/main" id="{2BF131D0-532B-4136-AA38-4141A57832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0" name="AutoShape 1" descr="Resultado de imagem para whirlpool logo">
          <a:extLst>
            <a:ext uri="{FF2B5EF4-FFF2-40B4-BE49-F238E27FC236}">
              <a16:creationId xmlns:a16="http://schemas.microsoft.com/office/drawing/2014/main" id="{BBE240CE-57A0-4BD7-A01C-86D0CB35071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01" name="AutoShape 1" descr="Resultado de imagem para whirlpool logo">
          <a:extLst>
            <a:ext uri="{FF2B5EF4-FFF2-40B4-BE49-F238E27FC236}">
              <a16:creationId xmlns:a16="http://schemas.microsoft.com/office/drawing/2014/main" id="{D9A7123B-6B73-4805-9211-03722CF7F4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2" name="AutoShape 1" descr="Resultado de imagem para whirlpool logo">
          <a:extLst>
            <a:ext uri="{FF2B5EF4-FFF2-40B4-BE49-F238E27FC236}">
              <a16:creationId xmlns:a16="http://schemas.microsoft.com/office/drawing/2014/main" id="{C4505C51-44A7-48A0-A647-412729E062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03" name="AutoShape 1" descr="Resultado de imagem para whirlpool logo">
          <a:extLst>
            <a:ext uri="{FF2B5EF4-FFF2-40B4-BE49-F238E27FC236}">
              <a16:creationId xmlns:a16="http://schemas.microsoft.com/office/drawing/2014/main" id="{BBE5D137-F252-4ACD-B502-2397EA9759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4" name="AutoShape 1" descr="Resultado de imagem para whirlpool logo">
          <a:extLst>
            <a:ext uri="{FF2B5EF4-FFF2-40B4-BE49-F238E27FC236}">
              <a16:creationId xmlns:a16="http://schemas.microsoft.com/office/drawing/2014/main" id="{9CFB11F5-0CD1-4384-B377-4BFF5B3C0B5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05" name="AutoShape 1" descr="Resultado de imagem para whirlpool logo">
          <a:extLst>
            <a:ext uri="{FF2B5EF4-FFF2-40B4-BE49-F238E27FC236}">
              <a16:creationId xmlns:a16="http://schemas.microsoft.com/office/drawing/2014/main" id="{EAB51FE3-496C-4A43-9CB6-17EA280AECF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6" name="AutoShape 1" descr="Resultado de imagem para whirlpool logo">
          <a:extLst>
            <a:ext uri="{FF2B5EF4-FFF2-40B4-BE49-F238E27FC236}">
              <a16:creationId xmlns:a16="http://schemas.microsoft.com/office/drawing/2014/main" id="{34DD9B12-2FF4-4F4E-8DA0-F5E28AFCF8E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07" name="AutoShape 1" descr="Resultado de imagem para whirlpool logo">
          <a:extLst>
            <a:ext uri="{FF2B5EF4-FFF2-40B4-BE49-F238E27FC236}">
              <a16:creationId xmlns:a16="http://schemas.microsoft.com/office/drawing/2014/main" id="{A5629D8C-76FF-466E-9D6E-D8688AACC37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8" name="AutoShape 1" descr="Resultado de imagem para whirlpool logo">
          <a:extLst>
            <a:ext uri="{FF2B5EF4-FFF2-40B4-BE49-F238E27FC236}">
              <a16:creationId xmlns:a16="http://schemas.microsoft.com/office/drawing/2014/main" id="{28EEBDB1-5EC0-4A70-9A6D-8C17E04F92D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09" name="AutoShape 1" descr="Resultado de imagem para whirlpool logo">
          <a:extLst>
            <a:ext uri="{FF2B5EF4-FFF2-40B4-BE49-F238E27FC236}">
              <a16:creationId xmlns:a16="http://schemas.microsoft.com/office/drawing/2014/main" id="{48B2E4A6-C6A8-4626-A857-A646485B666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10" name="AutoShape 1" descr="Resultado de imagem para whirlpool logo">
          <a:extLst>
            <a:ext uri="{FF2B5EF4-FFF2-40B4-BE49-F238E27FC236}">
              <a16:creationId xmlns:a16="http://schemas.microsoft.com/office/drawing/2014/main" id="{2106E48B-07A8-4387-8D94-0BCE6A6CF9B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1" name="AutoShape 1" descr="Resultado de imagem para whirlpool logo">
          <a:extLst>
            <a:ext uri="{FF2B5EF4-FFF2-40B4-BE49-F238E27FC236}">
              <a16:creationId xmlns:a16="http://schemas.microsoft.com/office/drawing/2014/main" id="{F1F59305-0F27-4471-9A6C-50CD6D29C8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2" name="AutoShape 1" descr="Resultado de imagem para whirlpool logo">
          <a:extLst>
            <a:ext uri="{FF2B5EF4-FFF2-40B4-BE49-F238E27FC236}">
              <a16:creationId xmlns:a16="http://schemas.microsoft.com/office/drawing/2014/main" id="{399AE4DC-D95D-4891-B085-FF7D274BBBD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13" name="AutoShape 1" descr="Resultado de imagem para whirlpool logo">
          <a:extLst>
            <a:ext uri="{FF2B5EF4-FFF2-40B4-BE49-F238E27FC236}">
              <a16:creationId xmlns:a16="http://schemas.microsoft.com/office/drawing/2014/main" id="{744FD091-E795-45F1-8980-EEC9F774F89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4" name="AutoShape 1" descr="Resultado de imagem para whirlpool logo">
          <a:extLst>
            <a:ext uri="{FF2B5EF4-FFF2-40B4-BE49-F238E27FC236}">
              <a16:creationId xmlns:a16="http://schemas.microsoft.com/office/drawing/2014/main" id="{B255568A-7AB9-4B4C-BF22-C4CD7F1C45B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15" name="AutoShape 1" descr="Resultado de imagem para whirlpool logo">
          <a:extLst>
            <a:ext uri="{FF2B5EF4-FFF2-40B4-BE49-F238E27FC236}">
              <a16:creationId xmlns:a16="http://schemas.microsoft.com/office/drawing/2014/main" id="{86C8F0DE-5AA6-4536-AA3A-5F30FAC79A7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6" name="AutoShape 1" descr="Resultado de imagem para whirlpool logo">
          <a:extLst>
            <a:ext uri="{FF2B5EF4-FFF2-40B4-BE49-F238E27FC236}">
              <a16:creationId xmlns:a16="http://schemas.microsoft.com/office/drawing/2014/main" id="{0BE447EA-EEF6-4FD3-90BA-A690183F0CA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17" name="AutoShape 1" descr="Resultado de imagem para whirlpool logo">
          <a:extLst>
            <a:ext uri="{FF2B5EF4-FFF2-40B4-BE49-F238E27FC236}">
              <a16:creationId xmlns:a16="http://schemas.microsoft.com/office/drawing/2014/main" id="{EC358574-0577-4855-A585-220383EB693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8" name="AutoShape 1" descr="Resultado de imagem para whirlpool logo">
          <a:extLst>
            <a:ext uri="{FF2B5EF4-FFF2-40B4-BE49-F238E27FC236}">
              <a16:creationId xmlns:a16="http://schemas.microsoft.com/office/drawing/2014/main" id="{B54C8367-C8ED-47FB-BF2C-16F8C9E5EF6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19" name="AutoShape 1" descr="Resultado de imagem para whirlpool logo">
          <a:extLst>
            <a:ext uri="{FF2B5EF4-FFF2-40B4-BE49-F238E27FC236}">
              <a16:creationId xmlns:a16="http://schemas.microsoft.com/office/drawing/2014/main" id="{68B2B117-DED6-476C-AFF7-FFB0CB2597C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20" name="AutoShape 1" descr="Resultado de imagem para whirlpool logo">
          <a:extLst>
            <a:ext uri="{FF2B5EF4-FFF2-40B4-BE49-F238E27FC236}">
              <a16:creationId xmlns:a16="http://schemas.microsoft.com/office/drawing/2014/main" id="{D273C272-7F55-4871-9099-2935F3DE07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1" name="AutoShape 1" descr="Resultado de imagem para whirlpool logo">
          <a:extLst>
            <a:ext uri="{FF2B5EF4-FFF2-40B4-BE49-F238E27FC236}">
              <a16:creationId xmlns:a16="http://schemas.microsoft.com/office/drawing/2014/main" id="{91F9B29F-E054-47FD-9CF9-7D221366E49D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2" name="AutoShape 1" descr="Resultado de imagem para whirlpool logo">
          <a:extLst>
            <a:ext uri="{FF2B5EF4-FFF2-40B4-BE49-F238E27FC236}">
              <a16:creationId xmlns:a16="http://schemas.microsoft.com/office/drawing/2014/main" id="{363E6D19-A78D-463E-BFBC-162BED1BB5C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23" name="AutoShape 1" descr="Resultado de imagem para whirlpool logo">
          <a:extLst>
            <a:ext uri="{FF2B5EF4-FFF2-40B4-BE49-F238E27FC236}">
              <a16:creationId xmlns:a16="http://schemas.microsoft.com/office/drawing/2014/main" id="{EC823806-1FA0-4CDB-B20F-6FF3EDE81FE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4" name="AutoShape 1" descr="Resultado de imagem para whirlpool logo">
          <a:extLst>
            <a:ext uri="{FF2B5EF4-FFF2-40B4-BE49-F238E27FC236}">
              <a16:creationId xmlns:a16="http://schemas.microsoft.com/office/drawing/2014/main" id="{E16F258C-45D2-4AAF-AE4F-0E4BF815094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25" name="AutoShape 1" descr="Resultado de imagem para whirlpool logo">
          <a:extLst>
            <a:ext uri="{FF2B5EF4-FFF2-40B4-BE49-F238E27FC236}">
              <a16:creationId xmlns:a16="http://schemas.microsoft.com/office/drawing/2014/main" id="{D632BE22-4D71-4626-B551-C680E7B98F67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6" name="AutoShape 1" descr="Resultado de imagem para whirlpool logo">
          <a:extLst>
            <a:ext uri="{FF2B5EF4-FFF2-40B4-BE49-F238E27FC236}">
              <a16:creationId xmlns:a16="http://schemas.microsoft.com/office/drawing/2014/main" id="{B8DC0DE7-8553-4168-B147-7618FE385C5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7" name="AutoShape 1" descr="Resultado de imagem para whirlpool logo">
          <a:extLst>
            <a:ext uri="{FF2B5EF4-FFF2-40B4-BE49-F238E27FC236}">
              <a16:creationId xmlns:a16="http://schemas.microsoft.com/office/drawing/2014/main" id="{543F002A-8552-4913-9540-AACEEB607D4E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28" name="AutoShape 1" descr="Resultado de imagem para whirlpool logo">
          <a:extLst>
            <a:ext uri="{FF2B5EF4-FFF2-40B4-BE49-F238E27FC236}">
              <a16:creationId xmlns:a16="http://schemas.microsoft.com/office/drawing/2014/main" id="{26FCDB50-71EE-443F-B609-7F9FE363F27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29" name="AutoShape 1" descr="Resultado de imagem para whirlpool logo">
          <a:extLst>
            <a:ext uri="{FF2B5EF4-FFF2-40B4-BE49-F238E27FC236}">
              <a16:creationId xmlns:a16="http://schemas.microsoft.com/office/drawing/2014/main" id="{56670FC7-80C3-4EEE-94A1-2B87453D16D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30" name="AutoShape 1" descr="Resultado de imagem para whirlpool logo">
          <a:extLst>
            <a:ext uri="{FF2B5EF4-FFF2-40B4-BE49-F238E27FC236}">
              <a16:creationId xmlns:a16="http://schemas.microsoft.com/office/drawing/2014/main" id="{1D0EC7C3-78DD-4A49-B557-765A7A426EA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1" name="AutoShape 1" descr="Resultado de imagem para whirlpool logo">
          <a:extLst>
            <a:ext uri="{FF2B5EF4-FFF2-40B4-BE49-F238E27FC236}">
              <a16:creationId xmlns:a16="http://schemas.microsoft.com/office/drawing/2014/main" id="{156E287A-38E2-4449-B254-89F8531FD43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2" name="AutoShape 1" descr="Resultado de imagem para whirlpool logo">
          <a:extLst>
            <a:ext uri="{FF2B5EF4-FFF2-40B4-BE49-F238E27FC236}">
              <a16:creationId xmlns:a16="http://schemas.microsoft.com/office/drawing/2014/main" id="{8C7367AA-88F8-4BD6-B440-2883CF9FB135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33" name="AutoShape 1" descr="Resultado de imagem para whirlpool logo">
          <a:extLst>
            <a:ext uri="{FF2B5EF4-FFF2-40B4-BE49-F238E27FC236}">
              <a16:creationId xmlns:a16="http://schemas.microsoft.com/office/drawing/2014/main" id="{6E5FA584-2279-4A23-801C-D87C39101B0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4" name="AutoShape 1" descr="Resultado de imagem para whirlpool logo">
          <a:extLst>
            <a:ext uri="{FF2B5EF4-FFF2-40B4-BE49-F238E27FC236}">
              <a16:creationId xmlns:a16="http://schemas.microsoft.com/office/drawing/2014/main" id="{5A8A8D8B-AB1E-449B-8511-34945F8D31E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35" name="AutoShape 1" descr="Resultado de imagem para whirlpool logo">
          <a:extLst>
            <a:ext uri="{FF2B5EF4-FFF2-40B4-BE49-F238E27FC236}">
              <a16:creationId xmlns:a16="http://schemas.microsoft.com/office/drawing/2014/main" id="{038E0D11-DB69-4E4F-B9E3-42538513AA7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6" name="AutoShape 1" descr="Resultado de imagem para whirlpool logo">
          <a:extLst>
            <a:ext uri="{FF2B5EF4-FFF2-40B4-BE49-F238E27FC236}">
              <a16:creationId xmlns:a16="http://schemas.microsoft.com/office/drawing/2014/main" id="{A55B0154-2B9F-4CEB-BC2D-DDA58A65785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7" name="AutoShape 1" descr="Resultado de imagem para whirlpool logo">
          <a:extLst>
            <a:ext uri="{FF2B5EF4-FFF2-40B4-BE49-F238E27FC236}">
              <a16:creationId xmlns:a16="http://schemas.microsoft.com/office/drawing/2014/main" id="{0E222DD7-03A3-4BB5-ADB3-CC9137E8905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38" name="AutoShape 1" descr="Resultado de imagem para whirlpool logo">
          <a:extLst>
            <a:ext uri="{FF2B5EF4-FFF2-40B4-BE49-F238E27FC236}">
              <a16:creationId xmlns:a16="http://schemas.microsoft.com/office/drawing/2014/main" id="{FEFA8953-183B-46BD-BF5D-3E02FE7150A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39" name="AutoShape 1" descr="Resultado de imagem para whirlpool logo">
          <a:extLst>
            <a:ext uri="{FF2B5EF4-FFF2-40B4-BE49-F238E27FC236}">
              <a16:creationId xmlns:a16="http://schemas.microsoft.com/office/drawing/2014/main" id="{3C87909B-84EA-41B2-8CE1-6AAAFDE0586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40" name="AutoShape 1" descr="Resultado de imagem para whirlpool logo">
          <a:extLst>
            <a:ext uri="{FF2B5EF4-FFF2-40B4-BE49-F238E27FC236}">
              <a16:creationId xmlns:a16="http://schemas.microsoft.com/office/drawing/2014/main" id="{1F8FB2F9-6AAF-442D-84F0-A84FEC08CF1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1" name="AutoShape 1" descr="Resultado de imagem para whirlpool logo">
          <a:extLst>
            <a:ext uri="{FF2B5EF4-FFF2-40B4-BE49-F238E27FC236}">
              <a16:creationId xmlns:a16="http://schemas.microsoft.com/office/drawing/2014/main" id="{DDE40638-192F-44BB-8C2F-CC3EDF0E73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2" name="AutoShape 1" descr="Resultado de imagem para whirlpool logo">
          <a:extLst>
            <a:ext uri="{FF2B5EF4-FFF2-40B4-BE49-F238E27FC236}">
              <a16:creationId xmlns:a16="http://schemas.microsoft.com/office/drawing/2014/main" id="{BCF730F2-DFEF-4EBC-AA10-90693441210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3" name="AutoShape 1" descr="Resultado de imagem para whirlpool logo">
          <a:extLst>
            <a:ext uri="{FF2B5EF4-FFF2-40B4-BE49-F238E27FC236}">
              <a16:creationId xmlns:a16="http://schemas.microsoft.com/office/drawing/2014/main" id="{2F76055C-020F-433D-9380-6D9E3A8DD4DB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44" name="AutoShape 1" descr="Resultado de imagem para whirlpool logo">
          <a:extLst>
            <a:ext uri="{FF2B5EF4-FFF2-40B4-BE49-F238E27FC236}">
              <a16:creationId xmlns:a16="http://schemas.microsoft.com/office/drawing/2014/main" id="{0872CAAC-06CA-47FA-95F0-62C9B9A1F226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5" name="AutoShape 1" descr="Resultado de imagem para whirlpool logo">
          <a:extLst>
            <a:ext uri="{FF2B5EF4-FFF2-40B4-BE49-F238E27FC236}">
              <a16:creationId xmlns:a16="http://schemas.microsoft.com/office/drawing/2014/main" id="{20D47893-74EE-472D-B488-E837C8A8894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46" name="AutoShape 1" descr="Resultado de imagem para whirlpool logo">
          <a:extLst>
            <a:ext uri="{FF2B5EF4-FFF2-40B4-BE49-F238E27FC236}">
              <a16:creationId xmlns:a16="http://schemas.microsoft.com/office/drawing/2014/main" id="{ADF85230-3F66-4B7E-B8C8-CA40C9B3F3C0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7" name="AutoShape 1" descr="Resultado de imagem para whirlpool logo">
          <a:extLst>
            <a:ext uri="{FF2B5EF4-FFF2-40B4-BE49-F238E27FC236}">
              <a16:creationId xmlns:a16="http://schemas.microsoft.com/office/drawing/2014/main" id="{34159D06-A91C-4984-9AC1-7E2AB4DA839F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48" name="AutoShape 1" descr="Resultado de imagem para whirlpool logo">
          <a:extLst>
            <a:ext uri="{FF2B5EF4-FFF2-40B4-BE49-F238E27FC236}">
              <a16:creationId xmlns:a16="http://schemas.microsoft.com/office/drawing/2014/main" id="{273CF05C-7FA2-442A-8B27-00B2038494A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49" name="AutoShape 1" descr="Resultado de imagem para whirlpool logo">
          <a:extLst>
            <a:ext uri="{FF2B5EF4-FFF2-40B4-BE49-F238E27FC236}">
              <a16:creationId xmlns:a16="http://schemas.microsoft.com/office/drawing/2014/main" id="{BCBAB9AD-6F36-4921-9FE6-5782C9822EB1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50" name="AutoShape 1" descr="Resultado de imagem para whirlpool logo">
          <a:extLst>
            <a:ext uri="{FF2B5EF4-FFF2-40B4-BE49-F238E27FC236}">
              <a16:creationId xmlns:a16="http://schemas.microsoft.com/office/drawing/2014/main" id="{55B01DDD-1E13-4696-8E0F-B08D47685413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1" name="AutoShape 1" descr="Resultado de imagem para whirlpool logo">
          <a:extLst>
            <a:ext uri="{FF2B5EF4-FFF2-40B4-BE49-F238E27FC236}">
              <a16:creationId xmlns:a16="http://schemas.microsoft.com/office/drawing/2014/main" id="{0782321C-97F7-4510-BF08-E12F1E7737A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2" name="AutoShape 1" descr="Resultado de imagem para whirlpool logo">
          <a:extLst>
            <a:ext uri="{FF2B5EF4-FFF2-40B4-BE49-F238E27FC236}">
              <a16:creationId xmlns:a16="http://schemas.microsoft.com/office/drawing/2014/main" id="{BF6B9782-F46D-4451-A82D-6D77FDBEC054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3" name="AutoShape 1" descr="Resultado de imagem para whirlpool logo">
          <a:extLst>
            <a:ext uri="{FF2B5EF4-FFF2-40B4-BE49-F238E27FC236}">
              <a16:creationId xmlns:a16="http://schemas.microsoft.com/office/drawing/2014/main" id="{606BA825-5BF0-4F4C-B57E-1F24C5C24C29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54" name="AutoShape 1" descr="Resultado de imagem para whirlpool logo">
          <a:extLst>
            <a:ext uri="{FF2B5EF4-FFF2-40B4-BE49-F238E27FC236}">
              <a16:creationId xmlns:a16="http://schemas.microsoft.com/office/drawing/2014/main" id="{6E2A7CA9-24FC-4B6A-97C6-981F01893388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5" name="AutoShape 1" descr="Resultado de imagem para whirlpool logo">
          <a:extLst>
            <a:ext uri="{FF2B5EF4-FFF2-40B4-BE49-F238E27FC236}">
              <a16:creationId xmlns:a16="http://schemas.microsoft.com/office/drawing/2014/main" id="{A220B26E-FFDF-469C-971C-CCA6E9E41B12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8265"/>
    <xdr:sp macro="" textlink="">
      <xdr:nvSpPr>
        <xdr:cNvPr id="2456" name="AutoShape 1" descr="Resultado de imagem para whirlpool logo">
          <a:extLst>
            <a:ext uri="{FF2B5EF4-FFF2-40B4-BE49-F238E27FC236}">
              <a16:creationId xmlns:a16="http://schemas.microsoft.com/office/drawing/2014/main" id="{65E85363-58D9-489C-AD4B-F973940F699C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82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4</xdr:col>
      <xdr:colOff>0</xdr:colOff>
      <xdr:row>6</xdr:row>
      <xdr:rowOff>0</xdr:rowOff>
    </xdr:from>
    <xdr:ext cx="304800" cy="295765"/>
    <xdr:sp macro="" textlink="">
      <xdr:nvSpPr>
        <xdr:cNvPr id="2457" name="AutoShape 1" descr="Resultado de imagem para whirlpool logo">
          <a:extLst>
            <a:ext uri="{FF2B5EF4-FFF2-40B4-BE49-F238E27FC236}">
              <a16:creationId xmlns:a16="http://schemas.microsoft.com/office/drawing/2014/main" id="{505273FB-AC7C-4631-B372-347AF08C7A6A}"/>
            </a:ext>
          </a:extLst>
        </xdr:cNvPr>
        <xdr:cNvSpPr>
          <a:spLocks noChangeAspect="1" noChangeArrowheads="1"/>
        </xdr:cNvSpPr>
      </xdr:nvSpPr>
      <xdr:spPr bwMode="auto">
        <a:xfrm>
          <a:off x="6648450" y="4953000"/>
          <a:ext cx="304800" cy="2957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oneCellAnchor>
    <xdr:from>
      <xdr:col>0</xdr:col>
      <xdr:colOff>184150</xdr:colOff>
      <xdr:row>1</xdr:row>
      <xdr:rowOff>38100</xdr:rowOff>
    </xdr:from>
    <xdr:ext cx="1435302" cy="533853"/>
    <xdr:pic>
      <xdr:nvPicPr>
        <xdr:cNvPr id="2459" name="Imagem 2458">
          <a:extLst>
            <a:ext uri="{FF2B5EF4-FFF2-40B4-BE49-F238E27FC236}">
              <a16:creationId xmlns:a16="http://schemas.microsoft.com/office/drawing/2014/main" id="{AFDDFA8B-D138-4DDE-82EF-22D9FE752A8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184150" y="165100"/>
          <a:ext cx="1435302" cy="53385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4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208643</xdr:colOff>
      <xdr:row>0</xdr:row>
      <xdr:rowOff>18144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1D66F4F9-E989-411E-A2DD-B5DDEBD3EEA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08643" y="181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drawings/drawing15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208643</xdr:colOff>
      <xdr:row>0</xdr:row>
      <xdr:rowOff>18144</xdr:rowOff>
    </xdr:from>
    <xdr:ext cx="1412475" cy="525362"/>
    <xdr:pic>
      <xdr:nvPicPr>
        <xdr:cNvPr id="2" name="Imagem 1">
          <a:extLst>
            <a:ext uri="{FF2B5EF4-FFF2-40B4-BE49-F238E27FC236}">
              <a16:creationId xmlns:a16="http://schemas.microsoft.com/office/drawing/2014/main" id="{407E5B5E-470E-41A6-9992-20D32CAE044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5699" t="37375" r="42307" b="40097"/>
        <a:stretch>
          <a:fillRect/>
        </a:stretch>
      </xdr:blipFill>
      <xdr:spPr bwMode="auto">
        <a:xfrm>
          <a:off x="208643" y="18144"/>
          <a:ext cx="1412475" cy="52536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U:\Documents%20and%20Settings\jank\My%20Documents\userdata\Legislation%20&amp;%20EHS\RG%20depots%20jaar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ACSNA1/PROJETOS/MESA/Caixa/offshore/Curve%20Comparison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cnnbrasil.sharepoint.com/Ntfmoh0/departments/IAS%20&amp;%20GAAP%20%20Reports/IAS%20&amp;%20GAAP%20YEAR%202002/2002%20Q3%20Consolidation%20Model/A%20Consolidation%20&amp;%20Reporting/GAAP%20&amp;%20IAS%20Group%20TB%20&amp;%20Reports%20Q3%20200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User\Desktop\ELZA\BAND%20Projeto%20Especial%20Sabesp_22.08_vs%206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sbtfs\inte_mkt\Tabela%20de%20Pre&#231;os\03%20-%20TABELAS%20SBT%20POR%20ANO\2011\TABELAS_2011\TABELAS_NET\07%20-%20JULHO_2011\TABELA%20SBT_%20A%20PARTIR%20DE%2004_JULHO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G Depots"/>
      <sheetName val="Launch and Maintenance"/>
      <sheetName val="PE1"/>
      <sheetName val="RS1"/>
      <sheetName val="SC1"/>
      <sheetName val="SP1"/>
      <sheetName val="BAU"/>
      <sheetName val="BH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SJC"/>
      <sheetName val="SJR"/>
      <sheetName val="SOR"/>
      <sheetName val="Meses"/>
      <sheetName val="ARdistr (2)"/>
      <sheetName val="Assumptions"/>
      <sheetName val="Validate List"/>
      <sheetName val="Agrega Spend Taxonomy"/>
      <sheetName val="HUB Structure"/>
      <sheetName val="Titles"/>
      <sheetName val="Backbone"/>
      <sheetName val="Validation"/>
      <sheetName val="lists"/>
      <sheetName val="Sheet3"/>
      <sheetName val="Hoja1"/>
      <sheetName val="Distribución D"/>
      <sheetName val="BASE"/>
      <sheetName val="source"/>
      <sheetName val="Status"/>
      <sheetName val="RG depots jaar"/>
      <sheetName val="Файл_список_ТМ_программ_сроков"/>
      <sheetName val="Back-up"/>
      <sheetName val="Tabelle1"/>
      <sheetName val="Datos por SKU-categoria 2011 Ac"/>
      <sheetName val="Datos"/>
      <sheetName val="Lista total"/>
      <sheetName val="Tablas"/>
      <sheetName val="Legend"/>
      <sheetName val="List"/>
      <sheetName val="Controls data"/>
      <sheetName val="Лист2"/>
      <sheetName val="МВЗ"/>
      <sheetName val="Лист5"/>
      <sheetName val="RG_Depots"/>
      <sheetName val="sourсe"/>
      <sheetName val="drop-downs"/>
      <sheetName val="Sheet2"/>
      <sheetName val="СКЮ"/>
      <sheetName val="ПОДСКАЗКА"/>
      <sheetName val="список SKU"/>
      <sheetName val="СЗ"/>
      <sheetName val="RG_Depots1"/>
      <sheetName val="Справочник"/>
      <sheetName val="ARdistr_(2)"/>
      <sheetName val="Launch_and_Maintenance"/>
      <sheetName val="Validate_List"/>
      <sheetName val="Agrega_Spend_Taxonomy"/>
      <sheetName val="HUB_Structure"/>
      <sheetName val="filt"/>
      <sheetName val="Price list"/>
      <sheetName val="Budget Summary"/>
      <sheetName val="Contract"/>
      <sheetName val="support"/>
      <sheetName val="BD"/>
      <sheetName val="Parametros"/>
      <sheetName val="RG_Depots2"/>
      <sheetName val="Distribución_D"/>
      <sheetName val="RG_depots_jaar"/>
      <sheetName val="Hoja2"/>
      <sheetName val="Monthly Updating&gt;&gt;&gt;"/>
      <sheetName val="Map"/>
      <sheetName val="DePara"/>
      <sheetName val="capex"/>
      <sheetName val="RG_Depots3"/>
      <sheetName val="ARdistr_(2)1"/>
      <sheetName val="Launch_and_Maintenance1"/>
      <sheetName val="Distribución_D1"/>
      <sheetName val="Validate_List1"/>
      <sheetName val="Agrega_Spend_Taxonomy1"/>
      <sheetName val="HUB_Structure1"/>
      <sheetName val="RG_depots_jaar1"/>
      <sheetName val="Datos_por_SKU-categoria_2011_Ac"/>
      <sheetName val="Lista_total"/>
      <sheetName val="Controls_data"/>
      <sheetName val="список_SKU"/>
      <sheetName val="Price_list"/>
      <sheetName val="Budget_Summary"/>
      <sheetName val="Monthly_Updating&gt;&gt;&gt;"/>
      <sheetName val="PLMM-R$"/>
      <sheetName val="Tables"/>
      <sheetName val="LE - Input"/>
      <sheetName val="Списки"/>
      <sheetName val="Лист1"/>
      <sheetName val="Drop down list"/>
      <sheetName val="Data"/>
      <sheetName val="NNS_BGT_ACT"/>
      <sheetName val="drop downs"/>
      <sheetName val="BASE LISTAS"/>
      <sheetName val="Misc"/>
      <sheetName val="Sheet1"/>
      <sheetName val="drop-down"/>
      <sheetName val="menu"/>
      <sheetName val="LookUp"/>
      <sheetName val="2 - KPIs Impacted "/>
      <sheetName val="Basetables"/>
      <sheetName val="FX lookup"/>
      <sheetName val="Drop Down Menus"/>
      <sheetName val="FX - Assumptions"/>
      <sheetName val="은행"/>
      <sheetName val="BU17 Summary"/>
      <sheetName val="LookUps"/>
      <sheetName val="COMPS"/>
      <sheetName val="Descriptions"/>
      <sheetName val="Financial info"/>
      <sheetName val="Completion Instructions"/>
      <sheetName val="CostModel"/>
      <sheetName val="Help"/>
      <sheetName val="Reference"/>
      <sheetName val="MappingBrands"/>
      <sheetName val="Tipos de iniciativas"/>
      <sheetName val="Supply Cost Centers"/>
      <sheetName val="RG_Depots4"/>
      <sheetName val="Launch_and_Maintenance2"/>
      <sheetName val="ARdistr_(2)2"/>
      <sheetName val="Distribución_D2"/>
      <sheetName val="Validate_List2"/>
      <sheetName val="Agrega_Spend_Taxonomy2"/>
      <sheetName val="HUB_Structure2"/>
      <sheetName val="RG_depots_jaar2"/>
      <sheetName val="Datos_por_SKU-categoria_2011_A1"/>
      <sheetName val="Lista_total1"/>
      <sheetName val="Controls_data1"/>
      <sheetName val="список_SKU1"/>
      <sheetName val="Budget_Summary1"/>
      <sheetName val="Price_list1"/>
      <sheetName val="Monthly_Updating&gt;&gt;&gt;1"/>
      <sheetName val="LE_-_Input"/>
      <sheetName val="Drop_down_list"/>
      <sheetName val="drop_downs"/>
      <sheetName val="2_-_KPIs_Impacted_"/>
      <sheetName val="FX_lookup"/>
      <sheetName val="Drop_Down_Menus"/>
      <sheetName val="VIC R&amp;O List"/>
      <sheetName val="Instruction"/>
      <sheetName val="Hide"/>
      <sheetName val="Sheet4"/>
      <sheetName val="Selection Lists"/>
      <sheetName val="LD"/>
      <sheetName val="DROP"/>
      <sheetName val="Referencia"/>
      <sheetName val="Master"/>
      <sheetName val="Sales Package Input"/>
      <sheetName val="GCOA_SUBP"/>
      <sheetName val="Overview"/>
      <sheetName val="RG%20depots%20jaar.XLS"/>
      <sheetName val="est.rev."/>
      <sheetName val="RG_Depots5"/>
      <sheetName val="Launch_and_Maintenance3"/>
      <sheetName val="ARdistr_(2)3"/>
      <sheetName val="Validate_List3"/>
      <sheetName val="Agrega_Spend_Taxonomy3"/>
      <sheetName val="HUB_Structure3"/>
      <sheetName val="Distribución_D3"/>
      <sheetName val="RG_depots_jaar3"/>
      <sheetName val="Datos_por_SKU-categoria_2011_A2"/>
      <sheetName val="Lista_total2"/>
      <sheetName val="Controls_data2"/>
      <sheetName val="список_SKU2"/>
      <sheetName val="Price_list2"/>
      <sheetName val="Budget_Summary2"/>
      <sheetName val="Monthly_Updating&gt;&gt;&gt;2"/>
      <sheetName val="BASE_LISTAS"/>
      <sheetName val="LE_-_Input1"/>
      <sheetName val="Drop_down_list1"/>
      <sheetName val="drop_downs1"/>
      <sheetName val="2_-_KPIs_Impacted_1"/>
      <sheetName val="FX_lookup1"/>
      <sheetName val="Drop_Down_Menus1"/>
      <sheetName val="FX_-_Assumptions"/>
      <sheetName val="BU17_Summary"/>
      <sheetName val="Financial_info"/>
      <sheetName val="Completion_Instructions"/>
      <sheetName val="Tipos_de_iniciativas"/>
      <sheetName val="Supply_Cost_Centers"/>
      <sheetName val="VIC_R&amp;O_List"/>
      <sheetName val="Selection_Lists"/>
      <sheetName val="LookUp2"/>
      <sheetName val="Info"/>
      <sheetName val="Assumption"/>
      <sheetName val="Key"/>
      <sheetName val="7월_공유용"/>
      <sheetName val="Other Listings"/>
      <sheetName val="Cuentas y CeCos"/>
      <sheetName val=""/>
      <sheetName val="Помощник"/>
      <sheetName val="Validacion #1"/>
      <sheetName val="1.2.1 OM"/>
      <sheetName val="Efeitos vs. ppto10"/>
      <sheetName val="Sales_Package_Input"/>
      <sheetName val="Basis"/>
      <sheetName val="Resumo"/>
      <sheetName val="P&amp;L_Operação"/>
      <sheetName val="DE PARA (N EXCLUIR)"/>
      <sheetName val="P&amp;L_Incentivo"/>
      <sheetName val="Premissas"/>
      <sheetName val="Base Canibalizacao Vol"/>
      <sheetName val="Isla"/>
      <sheetName val="R&amp;O List"/>
      <sheetName val="Apoio"/>
      <sheetName val="MasterData"/>
      <sheetName val="요일 테이블"/>
      <sheetName val="구분"/>
      <sheetName val="MD"/>
      <sheetName val="RG_Depots6"/>
      <sheetName val="Launch_and_Maintenance4"/>
      <sheetName val="ARdistr_(2)4"/>
      <sheetName val="Validate_List4"/>
      <sheetName val="Agrega_Spend_Taxonomy4"/>
      <sheetName val="HUB_Structure4"/>
      <sheetName val="Distribución_D4"/>
      <sheetName val="RG_depots_jaar4"/>
      <sheetName val="Datos_por_SKU-categoria_2011_A3"/>
      <sheetName val="Controls_data3"/>
      <sheetName val="Lista_total3"/>
      <sheetName val="список_SKU3"/>
      <sheetName val="Budget_Summary3"/>
      <sheetName val="Price_list3"/>
      <sheetName val="Monthly_Updating&gt;&gt;&gt;3"/>
      <sheetName val="LE_-_Input2"/>
      <sheetName val="drop_downs2"/>
      <sheetName val="Drop_down_list2"/>
      <sheetName val="2_-_KPIs_Impacted_2"/>
      <sheetName val="FX_lookup2"/>
      <sheetName val="Drop_Down_Menus2"/>
      <sheetName val="FX_-_Assumptions1"/>
      <sheetName val="BU17_Summary1"/>
      <sheetName val="Financial_info1"/>
      <sheetName val="Completion_Instructions1"/>
      <sheetName val="Tipos_de_iniciativas1"/>
      <sheetName val="Supply_Cost_Centers1"/>
      <sheetName val="VIC_R&amp;O_List1"/>
      <sheetName val="Selection_Lists1"/>
      <sheetName val="Sales_Package_Input1"/>
      <sheetName val="Other_Listings"/>
      <sheetName val="Cuentas_y_CeCos"/>
      <sheetName val="요일_테이블"/>
      <sheetName val="Validacion_#1"/>
      <sheetName val="Sheet1 (2)"/>
      <sheetName val="FAROL"/>
      <sheetName val="Dropdown list LATAM"/>
      <sheetName val="dep pre"/>
      <sheetName val="RG%20depots%20jaar_XLS"/>
      <sheetName val="Mapping"/>
      <sheetName val="Master_Data&amp;Mapping"/>
      <sheetName val="Munka1"/>
      <sheetName val="Department"/>
      <sheetName val="dados blp"/>
      <sheetName val="Settings"/>
      <sheetName val="Moedas"/>
      <sheetName val="share price 2002"/>
      <sheetName val="Inf"/>
      <sheetName val="BASE_LISTAS1"/>
      <sheetName val="est_rev_"/>
      <sheetName val="Efeitos_vs__ppto10"/>
      <sheetName val="1_2_1_OM"/>
      <sheetName val="Other_Listings1"/>
      <sheetName val="RG_Depots7"/>
      <sheetName val="Launch_and_Maintenance5"/>
      <sheetName val="ARdistr_(2)5"/>
      <sheetName val="Validate_List5"/>
      <sheetName val="Agrega_Spend_Taxonomy5"/>
      <sheetName val="HUB_Structure5"/>
      <sheetName val="Distribución_D5"/>
      <sheetName val="RG_depots_jaar5"/>
      <sheetName val="Lista_total4"/>
      <sheetName val="Datos_por_SKU-categoria_2011_A4"/>
      <sheetName val="Controls_data4"/>
      <sheetName val="список_SKU4"/>
      <sheetName val="Price_list4"/>
      <sheetName val="Budget_Summary4"/>
      <sheetName val="Monthly_Updating&gt;&gt;&gt;4"/>
      <sheetName val="LE_-_Input3"/>
      <sheetName val="drop_downs3"/>
      <sheetName val="Drop_down_list3"/>
      <sheetName val="2_-_KPIs_Impacted_3"/>
      <sheetName val="FX_lookup3"/>
      <sheetName val="Drop_Down_Menus3"/>
      <sheetName val="FX_-_Assumptions2"/>
      <sheetName val="BU17_Summary2"/>
      <sheetName val="Financial_info2"/>
      <sheetName val="Completion_Instructions2"/>
      <sheetName val="Tipos_de_iniciativas2"/>
      <sheetName val="Supply_Cost_Centers2"/>
      <sheetName val="VIC_R&amp;O_List2"/>
      <sheetName val="Selection_Lists2"/>
      <sheetName val="Sales_Package_Input2"/>
      <sheetName val="Validacion_#11"/>
      <sheetName val="R&amp;O_List"/>
      <sheetName val="Cuentas_y_CeCos1"/>
      <sheetName val="요일_테이블1"/>
      <sheetName val="Sheet1_(2)"/>
      <sheetName val="Reference tab"/>
      <sheetName val="Figures Report"/>
      <sheetName val="POC 등급_2020"/>
      <sheetName val="NR 정리"/>
      <sheetName val="Price Off 기준"/>
      <sheetName val="HE_판매증대활동 가이드_20년"/>
      <sheetName val="요약"/>
      <sheetName val="20, 2월 POCs"/>
      <sheetName val="년간 POCs Price Off"/>
      <sheetName val="POC수"/>
      <sheetName val="중복확인"/>
      <sheetName val="목록"/>
      <sheetName val="WS 코드"/>
      <sheetName val="차량운행일지 요일테이블 업뎃 완료"/>
      <sheetName val="FY-nonDGO"/>
      <sheetName val="销量预估"/>
      <sheetName val="Category-2"/>
      <sheetName val="Cur.Ex Rate"/>
      <sheetName val="Data Lists"/>
      <sheetName val="Other Performance"/>
      <sheetName val="Reference_tab"/>
      <sheetName val="Reference_tab1"/>
      <sheetName val="Reference_tab2"/>
      <sheetName val="R&amp;O_List1"/>
      <sheetName val="RG%20depots%20jaar_XLS1"/>
      <sheetName val="RG_Depots8"/>
      <sheetName val="Launch_and_Maintenance6"/>
      <sheetName val="ARdistr_(2)6"/>
      <sheetName val="Distribución_D6"/>
      <sheetName val="Validate_List6"/>
      <sheetName val="Agrega_Spend_Taxonomy6"/>
      <sheetName val="HUB_Structure6"/>
      <sheetName val="RG_depots_jaar6"/>
      <sheetName val="Datos_por_SKU-categoria_2011_A5"/>
      <sheetName val="Lista_total5"/>
      <sheetName val="Controls_data5"/>
      <sheetName val="список_SKU5"/>
      <sheetName val="Price_list5"/>
      <sheetName val="Budget_Summary5"/>
      <sheetName val="Monthly_Updating&gt;&gt;&gt;5"/>
      <sheetName val="LE_-_Input4"/>
      <sheetName val="drop_downs4"/>
      <sheetName val="Drop_down_list4"/>
      <sheetName val="2_-_KPIs_Impacted_4"/>
      <sheetName val="FX_lookup4"/>
      <sheetName val="Drop_Down_Menus4"/>
      <sheetName val="FX_-_Assumptions3"/>
      <sheetName val="BU17_Summary3"/>
      <sheetName val="Financial_info3"/>
      <sheetName val="Completion_Instructions3"/>
      <sheetName val="Tipos_de_iniciativas3"/>
      <sheetName val="Supply_Cost_Centers3"/>
      <sheetName val="VIC_R&amp;O_List3"/>
      <sheetName val="Selection_Lists3"/>
      <sheetName val="Sales_Package_Input3"/>
      <sheetName val="Reference_tab3"/>
      <sheetName val="Other_Listings2"/>
      <sheetName val="Validacion_#12"/>
      <sheetName val="BASE_LISTAS2"/>
      <sheetName val="R&amp;O_List2"/>
      <sheetName val="Cuentas_y_CeCos2"/>
      <sheetName val="RG%20depots%20jaar_XLS2"/>
      <sheetName val="SNs Meta_Categorias"/>
      <sheetName val="BUD"/>
      <sheetName val="Listas"/>
      <sheetName val="요일_테이블2"/>
      <sheetName val="Sheet1_(2)1"/>
      <sheetName val="DE_PARA_(N_EXCLUIR)"/>
      <sheetName val="Base_Canibalizacao_Vol"/>
      <sheetName val="Dropdown_list_LATAM"/>
      <sheetName val="dep_pre"/>
      <sheetName val="Figures_Report"/>
      <sheetName val="POC_등급_2020"/>
      <sheetName val="NR_정리"/>
      <sheetName val="Price_Off_기준"/>
      <sheetName val="HE_판매증대활동_가이드_20년"/>
      <sheetName val="20,_2월_POCs"/>
      <sheetName val="년간_POCs_Price_Off"/>
      <sheetName val="WS_코드"/>
      <sheetName val="차량운행일지_요일테이블_업뎃_완료"/>
      <sheetName val="Data_Lists"/>
      <sheetName val="dados_blp"/>
      <sheetName val="share_price_2002"/>
      <sheetName val="Cur_Ex_Rate"/>
      <sheetName val="FX"/>
      <sheetName val="规则"/>
      <sheetName val="经销商"/>
      <sheetName val="有效性"/>
      <sheetName val="SAP品牌"/>
      <sheetName val="销售组织"/>
      <sheetName val="MMR12活动类型"/>
      <sheetName val="Territory"/>
      <sheetName val="TRCode"/>
      <sheetName val="Distribución C"/>
      <sheetName val="MMR12"/>
      <sheetName val="Extract Loss"/>
      <sheetName val="RG_Depots9"/>
      <sheetName val="ARdistr_(2)7"/>
      <sheetName val="Launch_and_Maintenance7"/>
      <sheetName val="Distribución_D7"/>
      <sheetName val="Validate_List7"/>
      <sheetName val="Agrega_Spend_Taxonomy7"/>
      <sheetName val="HUB_Structure7"/>
      <sheetName val="RG_depots_jaar7"/>
      <sheetName val="Datos_por_SKU-categoria_2011_A6"/>
      <sheetName val="Lista_total6"/>
      <sheetName val="Controls_data6"/>
      <sheetName val="список_SKU6"/>
      <sheetName val="Price_list6"/>
      <sheetName val="Budget_Summary6"/>
      <sheetName val="Monthly_Updating&gt;&gt;&gt;6"/>
      <sheetName val="LE_-_Input5"/>
      <sheetName val="Drop_down_list5"/>
      <sheetName val="drop_downs5"/>
      <sheetName val="2_-_KPIs_Impacted_5"/>
      <sheetName val="FX_lookup5"/>
      <sheetName val="Drop_Down_Menus5"/>
      <sheetName val="FX_-_Assumptions4"/>
      <sheetName val="BU17_Summary4"/>
      <sheetName val="Financial_info4"/>
      <sheetName val="Completion_Instructions4"/>
      <sheetName val="Tipos_de_iniciativas4"/>
      <sheetName val="Supply_Cost_Centers4"/>
      <sheetName val="VIC_R&amp;O_List4"/>
      <sheetName val="Selection_Lists4"/>
      <sheetName val="Sales_Package_Input4"/>
      <sheetName val="Other_Listings3"/>
      <sheetName val="Cuentas_y_CeCos3"/>
      <sheetName val="BASE_LISTAS3"/>
      <sheetName val="Validacion_#13"/>
      <sheetName val="RG%20depots%20jaar_XLS3"/>
      <sheetName val="R&amp;O_List3"/>
      <sheetName val="DE_PARA_(N_EXCLUIR)1"/>
      <sheetName val="Base_Canibalizacao_Vol1"/>
      <sheetName val="요일_테이블3"/>
      <sheetName val="Sheet1_(2)2"/>
      <sheetName val="Dropdown_list_LATAM1"/>
      <sheetName val="dep_pre1"/>
      <sheetName val="dados_blp1"/>
      <sheetName val="share_price_20021"/>
      <sheetName val="Reference_tab4"/>
      <sheetName val="Figures_Report1"/>
      <sheetName val="POC_등급_20201"/>
      <sheetName val="NR_정리1"/>
      <sheetName val="Price_Off_기준1"/>
      <sheetName val="HE_판매증대활동_가이드_20년1"/>
      <sheetName val="20,_2월_POCs1"/>
      <sheetName val="년간_POCs_Price_Off1"/>
      <sheetName val="WS_코드1"/>
      <sheetName val="차량운행일지_요일테이블_업뎃_완료1"/>
      <sheetName val="Cur_Ex_Rate1"/>
      <sheetName val="Data_Lists1"/>
      <sheetName val="Other_Performance"/>
      <sheetName val="SNs_Meta_Categorias"/>
      <sheetName val="Distribución_C"/>
      <sheetName val="Extract_Loss"/>
      <sheetName val="Cambio - contas"/>
      <sheetName val="RG_Depots10"/>
      <sheetName val="Launch_and_Maintenance8"/>
      <sheetName val="ARdistr_(2)8"/>
      <sheetName val="Distribución_D8"/>
      <sheetName val="Validate_List8"/>
      <sheetName val="Agrega_Spend_Taxonomy8"/>
      <sheetName val="HUB_Structure8"/>
      <sheetName val="RG_depots_jaar8"/>
      <sheetName val="Datos_por_SKU-categoria_2011_A7"/>
      <sheetName val="Lista_total7"/>
      <sheetName val="Controls_data7"/>
      <sheetName val="список_SKU7"/>
      <sheetName val="Price_list7"/>
      <sheetName val="Budget_Summary7"/>
      <sheetName val="Monthly_Updating&gt;&gt;&gt;7"/>
      <sheetName val="LE_-_Input6"/>
      <sheetName val="Drop_Down_Menus6"/>
      <sheetName val="2_-_KPIs_Impacted_6"/>
      <sheetName val="drop_downs6"/>
      <sheetName val="Drop_down_list6"/>
      <sheetName val="FX_lookup6"/>
      <sheetName val="FX_-_Assumptions5"/>
      <sheetName val="BU17_Summary5"/>
      <sheetName val="Supply_Cost_Centers5"/>
      <sheetName val="Financial_info5"/>
      <sheetName val="Completion_Instructions5"/>
      <sheetName val="Tipos_de_iniciativas5"/>
      <sheetName val="VIC_R&amp;O_List5"/>
      <sheetName val="Selection_Lists5"/>
      <sheetName val="Sales_Package_Input5"/>
      <sheetName val="Other_Listings4"/>
      <sheetName val="Cuentas_y_CeCos4"/>
      <sheetName val="BASE_LISTAS4"/>
      <sheetName val="요일_테이블4"/>
      <sheetName val="Validacion_#14"/>
      <sheetName val="Sheet1_(2)3"/>
      <sheetName val="DE_PARA_(N_EXCLUIR)2"/>
      <sheetName val="Base_Canibalizacao_Vol2"/>
      <sheetName val="Figures_Report2"/>
      <sheetName val="POC_등급_20202"/>
      <sheetName val="NR_정리2"/>
      <sheetName val="Price_Off_기준2"/>
      <sheetName val="HE_판매증대활동_가이드_20년2"/>
      <sheetName val="20,_2월_POCs2"/>
      <sheetName val="년간_POCs_Price_Off2"/>
      <sheetName val="WS_코드2"/>
      <sheetName val="차량운행일지_요일테이블_업뎃_완료2"/>
      <sheetName val="Dropdown_list_LATAM2"/>
      <sheetName val="dep_pre2"/>
      <sheetName val="RG_Depots11"/>
      <sheetName val="Launch_and_Maintenance9"/>
      <sheetName val="ARdistr_(2)9"/>
      <sheetName val="Distribución_D9"/>
      <sheetName val="Validate_List9"/>
      <sheetName val="Agrega_Spend_Taxonomy9"/>
      <sheetName val="HUB_Structure9"/>
      <sheetName val="RG_depots_jaar9"/>
      <sheetName val="Datos_por_SKU-categoria_2011_A8"/>
      <sheetName val="Lista_total8"/>
      <sheetName val="Controls_data8"/>
      <sheetName val="список_SKU8"/>
      <sheetName val="Price_list8"/>
      <sheetName val="Budget_Summary8"/>
      <sheetName val="Monthly_Updating&gt;&gt;&gt;8"/>
      <sheetName val="LE_-_Input7"/>
      <sheetName val="Drop_Down_Menus7"/>
      <sheetName val="2_-_KPIs_Impacted_7"/>
      <sheetName val="drop_downs7"/>
      <sheetName val="Drop_down_list7"/>
      <sheetName val="FX_lookup7"/>
      <sheetName val="FX_-_Assumptions6"/>
      <sheetName val="BU17_Summary6"/>
      <sheetName val="Supply_Cost_Centers6"/>
      <sheetName val="Financial_info6"/>
      <sheetName val="Completion_Instructions6"/>
      <sheetName val="Tipos_de_iniciativas6"/>
      <sheetName val="VIC_R&amp;O_List6"/>
      <sheetName val="Selection_Lists6"/>
      <sheetName val="Sales_Package_Input6"/>
      <sheetName val="Other_Listings5"/>
      <sheetName val="Cuentas_y_CeCos5"/>
      <sheetName val="BASE_LISTAS5"/>
      <sheetName val="요일_테이블5"/>
      <sheetName val="Validacion_#15"/>
      <sheetName val="R&amp;O_List4"/>
      <sheetName val="RG%20depots%20jaar_XLS4"/>
      <sheetName val="Sheet1_(2)4"/>
      <sheetName val="DE_PARA_(N_EXCLUIR)3"/>
      <sheetName val="Base_Canibalizacao_Vol3"/>
      <sheetName val="Figures_Report3"/>
      <sheetName val="POC_등급_20203"/>
      <sheetName val="NR_정리3"/>
      <sheetName val="Price_Off_기준3"/>
      <sheetName val="HE_판매증대활동_가이드_20년3"/>
      <sheetName val="20,_2월_POCs3"/>
      <sheetName val="년간_POCs_Price_Off3"/>
      <sheetName val="WS_코드3"/>
      <sheetName val="차량운행일지_요일테이블_업뎃_완료3"/>
      <sheetName val="Dropdown_list_LATAM3"/>
      <sheetName val="dep_pre3"/>
      <sheetName val="Data_Lists2"/>
      <sheetName val="dados_blp2"/>
      <sheetName val="share_price_20022"/>
      <sheetName val="Cur_Ex_Rate2"/>
      <sheetName val="Distribución_C1"/>
      <sheetName val="Extract_Loss1"/>
      <sheetName val="G WPS"/>
      <sheetName val="G GFP"/>
      <sheetName val="G GL"/>
      <sheetName val="G LSA"/>
      <sheetName val="Data_Lists3"/>
      <sheetName val="dados_blp3"/>
      <sheetName val="share_price_20023"/>
      <sheetName val="Cur_Ex_Rate3"/>
      <sheetName val="Distribución_C2"/>
      <sheetName val="Extract_Loss2"/>
      <sheetName val="G_WPS"/>
      <sheetName val="G_GFP"/>
      <sheetName val="G_GL"/>
      <sheetName val="G_LSA"/>
      <sheetName val="BALANCE"/>
      <sheetName val="G_WPS1"/>
      <sheetName val="G_GFP1"/>
      <sheetName val="G_GL1"/>
      <sheetName val="G_LSA1"/>
      <sheetName val="est_rev_1"/>
      <sheetName val="SNs_Meta_Categorias1"/>
      <sheetName val="RG_Depots12"/>
      <sheetName val="ARdistr_(2)10"/>
      <sheetName val="Launch_and_Maintenance10"/>
      <sheetName val="Distribución_D10"/>
      <sheetName val="Validate_List10"/>
      <sheetName val="Agrega_Spend_Taxonomy10"/>
      <sheetName val="HUB_Structure10"/>
      <sheetName val="RG_depots_jaar10"/>
      <sheetName val="Datos_por_SKU-categoria_2011_A9"/>
      <sheetName val="Lista_total9"/>
      <sheetName val="Controls_data9"/>
      <sheetName val="список_SKU9"/>
      <sheetName val="Price_list9"/>
      <sheetName val="Budget_Summary9"/>
      <sheetName val="Monthly_Updating&gt;&gt;&gt;9"/>
      <sheetName val="LE_-_Input8"/>
      <sheetName val="drop_downs8"/>
      <sheetName val="Drop_down_list8"/>
      <sheetName val="2_-_KPIs_Impacted_8"/>
      <sheetName val="FX_lookup8"/>
      <sheetName val="Drop_Down_Menus8"/>
      <sheetName val="FX_-_Assumptions7"/>
      <sheetName val="BU17_Summary7"/>
      <sheetName val="Financial_info7"/>
      <sheetName val="Completion_Instructions7"/>
      <sheetName val="Tipos_de_iniciativas7"/>
      <sheetName val="Supply_Cost_Centers7"/>
      <sheetName val="VIC_R&amp;O_List7"/>
      <sheetName val="Selection_Lists7"/>
      <sheetName val="Sales_Package_Input7"/>
      <sheetName val="Validacion_#16"/>
      <sheetName val="Other_Listings6"/>
      <sheetName val="BASE_LISTAS6"/>
      <sheetName val="R&amp;O_List5"/>
      <sheetName val="Cuentas_y_CeCos6"/>
      <sheetName val="RG%20depots%20jaar_XLS5"/>
      <sheetName val="요일_테이블6"/>
      <sheetName val="Sheet1_(2)5"/>
      <sheetName val="DE_PARA_(N_EXCLUIR)4"/>
      <sheetName val="Base_Canibalizacao_Vol4"/>
      <sheetName val="Figures_Report4"/>
      <sheetName val="POC_등급_20204"/>
      <sheetName val="NR_정리4"/>
      <sheetName val="Price_Off_기준4"/>
      <sheetName val="HE_판매증대활동_가이드_20년4"/>
      <sheetName val="20,_2월_POCs4"/>
      <sheetName val="년간_POCs_Price_Off4"/>
      <sheetName val="WS_코드4"/>
      <sheetName val="차량운행일지_요일테이블_업뎃_완료4"/>
      <sheetName val="Dropdown_list_LATAM4"/>
      <sheetName val="dep_pre4"/>
      <sheetName val="Data_Lists4"/>
      <sheetName val="dados_blp4"/>
      <sheetName val="share_price_20024"/>
      <sheetName val="Cur_Ex_Rate4"/>
      <sheetName val="Distribución_C3"/>
      <sheetName val="Extract_Loss3"/>
      <sheetName val="G_WPS2"/>
      <sheetName val="G_GFP2"/>
      <sheetName val="G_GL2"/>
      <sheetName val="G_LSA2"/>
      <sheetName val="est_rev_2"/>
      <sheetName val="SNs_Meta_Categorias2"/>
      <sheetName val="ZAGREBAČKA PIVOVARA"/>
      <sheetName val="TIA PARTNER"/>
      <sheetName val="K PIVOVARI"/>
      <sheetName val="PEMO"/>
      <sheetName val="Parámetros"/>
      <sheetName val="tdBBDD"/>
      <sheetName val="ZAGREBAČKA_PIVOVARA1"/>
      <sheetName val="TIA_PARTNER1"/>
      <sheetName val="K_PIVOVARI1"/>
      <sheetName val="ZAGREBAČKA_PIVOVARA"/>
      <sheetName val="TIA_PARTNER"/>
      <sheetName val="K_PIVOVARI"/>
      <sheetName val="Munka2"/>
      <sheetName val="RG_Depots13"/>
      <sheetName val="ARdistr_(2)11"/>
      <sheetName val="Launch_and_Maintenance11"/>
      <sheetName val="Distribución_D11"/>
      <sheetName val="Validate_List11"/>
      <sheetName val="Agrega_Spend_Taxonomy11"/>
      <sheetName val="HUB_Structure11"/>
      <sheetName val="RG_depots_jaar11"/>
      <sheetName val="Datos_por_SKU-categoria_2011_10"/>
      <sheetName val="Lista_total10"/>
      <sheetName val="Controls_data10"/>
      <sheetName val="список_SKU10"/>
      <sheetName val="Price_list10"/>
      <sheetName val="Budget_Summary10"/>
      <sheetName val="Monthly_Updating&gt;&gt;&gt;10"/>
      <sheetName val="LE_-_Input9"/>
      <sheetName val="drop_downs9"/>
      <sheetName val="Drop_down_list9"/>
      <sheetName val="2_-_KPIs_Impacted_9"/>
      <sheetName val="FX_lookup9"/>
      <sheetName val="Drop_Down_Menus9"/>
      <sheetName val="FX_-_Assumptions8"/>
      <sheetName val="BU17_Summary8"/>
      <sheetName val="Financial_info8"/>
      <sheetName val="Completion_Instructions8"/>
      <sheetName val="Tipos_de_iniciativas8"/>
      <sheetName val="Supply_Cost_Centers8"/>
      <sheetName val="VIC_R&amp;O_List8"/>
      <sheetName val="Selection_Lists8"/>
      <sheetName val="Sales_Package_Input8"/>
      <sheetName val="Validacion_#17"/>
      <sheetName val="Other_Listings7"/>
      <sheetName val="BASE_LISTAS7"/>
      <sheetName val="R&amp;O_List6"/>
      <sheetName val="Cuentas_y_CeCos7"/>
      <sheetName val="RG%20depots%20jaar_XLS6"/>
      <sheetName val="요일_테이블7"/>
      <sheetName val="Sheet1_(2)6"/>
      <sheetName val="DE_PARA_(N_EXCLUIR)5"/>
      <sheetName val="Base_Canibalizacao_Vol5"/>
      <sheetName val="Reference_tab5"/>
      <sheetName val="Figures_Report5"/>
      <sheetName val="POC_등급_20205"/>
      <sheetName val="NR_정리5"/>
      <sheetName val="Price_Off_기준5"/>
      <sheetName val="HE_판매증대활동_가이드_20년5"/>
      <sheetName val="20,_2월_POCs5"/>
      <sheetName val="년간_POCs_Price_Off5"/>
      <sheetName val="WS_코드5"/>
      <sheetName val="차량운행일지_요일테이블_업뎃_완료5"/>
      <sheetName val="Dropdown_list_LATAM5"/>
      <sheetName val="dep_pre5"/>
      <sheetName val="Data_Lists5"/>
      <sheetName val="dados_blp5"/>
      <sheetName val="share_price_20025"/>
      <sheetName val="Cur_Ex_Rate5"/>
      <sheetName val="Distribución_C4"/>
      <sheetName val="Extract_Loss4"/>
      <sheetName val="G_WPS3"/>
      <sheetName val="G_GFP3"/>
      <sheetName val="G_GL3"/>
      <sheetName val="G_LSA3"/>
      <sheetName val="est_rev_3"/>
      <sheetName val="SNs_Meta_Categorias3"/>
      <sheetName val="ZAGREBAČKA_PIVOVARA2"/>
      <sheetName val="TIA_PARTNER2"/>
      <sheetName val="K_PIVOVARI2"/>
      <sheetName val="RG_Depots14"/>
      <sheetName val="Launch_and_Maintenance12"/>
      <sheetName val="ARdistr_(2)12"/>
      <sheetName val="Validate_List12"/>
      <sheetName val="Agrega_Spend_Taxonomy12"/>
      <sheetName val="HUB_Structure12"/>
      <sheetName val="Distribución_D12"/>
      <sheetName val="RG_depots_jaar12"/>
      <sheetName val="Lista_total11"/>
      <sheetName val="Datos_por_SKU-categoria_2011_11"/>
      <sheetName val="Controls_data11"/>
      <sheetName val="список_SKU11"/>
      <sheetName val="Price_list11"/>
      <sheetName val="Budget_Summary11"/>
      <sheetName val="Monthly_Updating&gt;&gt;&gt;11"/>
      <sheetName val="LE_-_Input10"/>
      <sheetName val="drop_downs10"/>
      <sheetName val="Drop_down_list10"/>
      <sheetName val="2_-_KPIs_Impacted_10"/>
      <sheetName val="FX_lookup10"/>
      <sheetName val="Drop_Down_Menus10"/>
      <sheetName val="FX_-_Assumptions9"/>
      <sheetName val="BU17_Summary9"/>
      <sheetName val="Financial_info9"/>
      <sheetName val="Completion_Instructions9"/>
      <sheetName val="Tipos_de_iniciativas9"/>
      <sheetName val="Supply_Cost_Centers9"/>
      <sheetName val="VIC_R&amp;O_List9"/>
      <sheetName val="Selection_Lists9"/>
      <sheetName val="Sales_Package_Input9"/>
      <sheetName val="Validacion_#18"/>
      <sheetName val="Other_Listings8"/>
      <sheetName val="BASE_LISTAS8"/>
      <sheetName val="R&amp;O_List7"/>
      <sheetName val="Cuentas_y_CeCos8"/>
      <sheetName val="RG%20depots%20jaar_XLS7"/>
      <sheetName val="요일_테이블8"/>
      <sheetName val="Sheet1_(2)7"/>
      <sheetName val="DE_PARA_(N_EXCLUIR)6"/>
      <sheetName val="Base_Canibalizacao_Vol6"/>
      <sheetName val="Reference_tab6"/>
      <sheetName val="Dropdown_list_LATAM6"/>
      <sheetName val="dep_pre6"/>
      <sheetName val="Figures_Report6"/>
      <sheetName val="POC_등급_20206"/>
      <sheetName val="NR_정리6"/>
      <sheetName val="Price_Off_기준6"/>
      <sheetName val="HE_판매증대활동_가이드_20년6"/>
      <sheetName val="20,_2월_POCs6"/>
      <sheetName val="년간_POCs_Price_Off6"/>
      <sheetName val="WS_코드6"/>
      <sheetName val="차량운행일지_요일테이블_업뎃_완료6"/>
      <sheetName val="Data_Lists6"/>
      <sheetName val="dados_blp6"/>
      <sheetName val="share_price_20026"/>
      <sheetName val="Cur_Ex_Rate6"/>
      <sheetName val="Distribución_C5"/>
      <sheetName val="Extract_Loss5"/>
      <sheetName val="G_WPS4"/>
      <sheetName val="G_GFP4"/>
      <sheetName val="G_GL4"/>
      <sheetName val="G_LSA4"/>
      <sheetName val="est_rev_4"/>
      <sheetName val="SNs_Meta_Categorias4"/>
      <sheetName val="ZAGREBAČKA_PIVOVARA3"/>
      <sheetName val="TIA_PARTNER3"/>
      <sheetName val="K_PIVOVARI3"/>
      <sheetName val="Other_Performance1"/>
      <sheetName val="RG_Depots15"/>
      <sheetName val="Launch_and_Maintenance13"/>
      <sheetName val="ARdistr_(2)13"/>
      <sheetName val="Validate_List13"/>
      <sheetName val="Agrega_Spend_Taxonomy13"/>
      <sheetName val="HUB_Structure13"/>
      <sheetName val="Distribución_D13"/>
      <sheetName val="RG_depots_jaar13"/>
      <sheetName val="Lista_total12"/>
      <sheetName val="Datos_por_SKU-categoria_2011_12"/>
      <sheetName val="Controls_data12"/>
      <sheetName val="список_SKU12"/>
      <sheetName val="Price_list12"/>
      <sheetName val="Budget_Summary12"/>
      <sheetName val="Monthly_Updating&gt;&gt;&gt;12"/>
      <sheetName val="LE_-_Input11"/>
      <sheetName val="drop_downs11"/>
      <sheetName val="Drop_down_list11"/>
      <sheetName val="2_-_KPIs_Impacted_11"/>
      <sheetName val="BU17_Summary10"/>
      <sheetName val="FX_lookup11"/>
      <sheetName val="Drop_Down_Menus11"/>
      <sheetName val="FX_-_Assumptions10"/>
      <sheetName val="Financial_info10"/>
      <sheetName val="Completion_Instructions10"/>
      <sheetName val="Tipos_de_iniciativas10"/>
      <sheetName val="Supply_Cost_Centers10"/>
      <sheetName val="VIC_R&amp;O_List10"/>
      <sheetName val="Selection_Lists10"/>
      <sheetName val="Sales_Package_Input10"/>
      <sheetName val="Other_Listings9"/>
      <sheetName val="Validacion_#19"/>
      <sheetName val="BASE_LISTAS9"/>
      <sheetName val="Cuentas_y_CeCos9"/>
      <sheetName val="R&amp;O_List8"/>
      <sheetName val="RG%20depots%20jaar_XLS8"/>
      <sheetName val="요일_테이블9"/>
      <sheetName val="Sheet1_(2)8"/>
      <sheetName val="DE_PARA_(N_EXCLUIR)7"/>
      <sheetName val="Base_Canibalizacao_Vol7"/>
      <sheetName val="Reference_tab7"/>
      <sheetName val="Dropdown_list_LATAM7"/>
      <sheetName val="dep_pre7"/>
      <sheetName val="Figures_Report7"/>
      <sheetName val="POC_등급_20207"/>
      <sheetName val="NR_정리7"/>
      <sheetName val="Price_Off_기준7"/>
      <sheetName val="HE_판매증대활동_가이드_20년7"/>
      <sheetName val="20,_2월_POCs7"/>
      <sheetName val="년간_POCs_Price_Off7"/>
      <sheetName val="WS_코드7"/>
      <sheetName val="차량운행일지_요일테이블_업뎃_완료7"/>
      <sheetName val="Data_Lists7"/>
      <sheetName val="dados_blp7"/>
      <sheetName val="share_price_20027"/>
      <sheetName val="Cur_Ex_Rate7"/>
      <sheetName val="Distribución_C6"/>
      <sheetName val="Extract_Loss6"/>
      <sheetName val="G_WPS5"/>
      <sheetName val="G_GFP5"/>
      <sheetName val="G_GL5"/>
      <sheetName val="G_LSA5"/>
      <sheetName val="est_rev_5"/>
      <sheetName val="SNs_Meta_Categorias5"/>
      <sheetName val="RG_Depots16"/>
      <sheetName val="Launch_and_Maintenance14"/>
      <sheetName val="ARdistr_(2)14"/>
      <sheetName val="Validate_List14"/>
      <sheetName val="Agrega_Spend_Taxonomy14"/>
      <sheetName val="HUB_Structure14"/>
      <sheetName val="Distribución_D14"/>
      <sheetName val="RG_depots_jaar14"/>
      <sheetName val="Lista_total13"/>
      <sheetName val="Datos_por_SKU-categoria_2011_13"/>
      <sheetName val="Controls_data13"/>
      <sheetName val="список_SKU13"/>
      <sheetName val="Price_list13"/>
      <sheetName val="Budget_Summary13"/>
      <sheetName val="Monthly_Updating&gt;&gt;&gt;13"/>
      <sheetName val="LE_-_Input12"/>
      <sheetName val="drop_downs12"/>
      <sheetName val="Drop_down_list12"/>
      <sheetName val="2_-_KPIs_Impacted_12"/>
      <sheetName val="FX_lookup12"/>
      <sheetName val="Drop_Down_Menus12"/>
      <sheetName val="FX_-_Assumptions11"/>
      <sheetName val="BU17_Summary11"/>
      <sheetName val="Financial_info11"/>
      <sheetName val="Completion_Instructions11"/>
      <sheetName val="Tipos_de_iniciativas11"/>
      <sheetName val="Supply_Cost_Centers11"/>
      <sheetName val="VIC_R&amp;O_List11"/>
      <sheetName val="Selection_Lists11"/>
      <sheetName val="Sales_Package_Input11"/>
      <sheetName val="Validacion_#110"/>
      <sheetName val="Other_Listings10"/>
      <sheetName val="BASE_LISTAS10"/>
      <sheetName val="R&amp;O_List9"/>
      <sheetName val="Cuentas_y_CeCos10"/>
      <sheetName val="RG%20depots%20jaar_XLS9"/>
      <sheetName val="요일_테이블10"/>
      <sheetName val="Sheet1_(2)9"/>
      <sheetName val="DE_PARA_(N_EXCLUIR)8"/>
      <sheetName val="Base_Canibalizacao_Vol8"/>
      <sheetName val="Reference_tab8"/>
      <sheetName val="Dropdown_list_LATAM8"/>
      <sheetName val="dep_pre8"/>
      <sheetName val="Figures_Report8"/>
      <sheetName val="POC_등급_20208"/>
      <sheetName val="NR_정리8"/>
      <sheetName val="Price_Off_기준8"/>
      <sheetName val="HE_판매증대활동_가이드_20년8"/>
      <sheetName val="20,_2월_POCs8"/>
      <sheetName val="년간_POCs_Price_Off8"/>
      <sheetName val="WS_코드8"/>
      <sheetName val="차량운행일지_요일테이블_업뎃_완료8"/>
      <sheetName val="Data_Lists8"/>
      <sheetName val="dados_blp8"/>
      <sheetName val="share_price_20028"/>
      <sheetName val="Cur_Ex_Rate8"/>
      <sheetName val="Distribución_C7"/>
      <sheetName val="Extract_Loss7"/>
      <sheetName val="G_WPS6"/>
      <sheetName val="G_GFP6"/>
      <sheetName val="G_GL6"/>
      <sheetName val="G_LSA6"/>
      <sheetName val="est_rev_6"/>
      <sheetName val="SNs_Meta_Categorias6"/>
      <sheetName val="ZAGREBAČKA_PIVOVARA4"/>
      <sheetName val="TIA_PARTNER4"/>
      <sheetName val="K_PIVOVARI4"/>
      <sheetName val="Other_Performance2"/>
      <sheetName val="RG_Depots17"/>
      <sheetName val="Launch_and_Maintenance15"/>
      <sheetName val="ARdistr_(2)15"/>
      <sheetName val="Validate_List15"/>
      <sheetName val="Agrega_Spend_Taxonomy15"/>
      <sheetName val="HUB_Structure15"/>
      <sheetName val="Distribución_D15"/>
      <sheetName val="RG_depots_jaar15"/>
      <sheetName val="Lista_total14"/>
      <sheetName val="Datos_por_SKU-categoria_2011_14"/>
      <sheetName val="Controls_data14"/>
      <sheetName val="список_SKU14"/>
      <sheetName val="Price_list14"/>
      <sheetName val="Budget_Summary14"/>
      <sheetName val="Monthly_Updating&gt;&gt;&gt;14"/>
      <sheetName val="LE_-_Input13"/>
      <sheetName val="drop_downs13"/>
      <sheetName val="Drop_down_list13"/>
      <sheetName val="2_-_KPIs_Impacted_13"/>
      <sheetName val="FX_lookup13"/>
      <sheetName val="Drop_Down_Menus13"/>
      <sheetName val="FX_-_Assumptions12"/>
      <sheetName val="BU17_Summary12"/>
      <sheetName val="Financial_info12"/>
      <sheetName val="Completion_Instructions12"/>
      <sheetName val="Tipos_de_iniciativas12"/>
      <sheetName val="Supply_Cost_Centers12"/>
      <sheetName val="VIC_R&amp;O_List12"/>
      <sheetName val="Selection_Lists12"/>
      <sheetName val="Sales_Package_Input12"/>
      <sheetName val="Validacion_#111"/>
      <sheetName val="Other_Listings11"/>
      <sheetName val="BASE_LISTAS11"/>
      <sheetName val="R&amp;O_List10"/>
      <sheetName val="Cuentas_y_CeCos11"/>
      <sheetName val="RG%20depots%20jaar_XLS10"/>
      <sheetName val="요일_테이블11"/>
      <sheetName val="Sheet1_(2)10"/>
      <sheetName val="DE_PARA_(N_EXCLUIR)9"/>
      <sheetName val="Base_Canibalizacao_Vol9"/>
      <sheetName val="Reference_tab9"/>
      <sheetName val="Dropdown_list_LATAM9"/>
      <sheetName val="dep_pre9"/>
      <sheetName val="Figures_Report9"/>
      <sheetName val="POC_등급_20209"/>
      <sheetName val="NR_정리9"/>
      <sheetName val="Price_Off_기준9"/>
      <sheetName val="HE_판매증대활동_가이드_20년9"/>
      <sheetName val="20,_2월_POCs9"/>
      <sheetName val="년간_POCs_Price_Off9"/>
      <sheetName val="WS_코드9"/>
      <sheetName val="차량운행일지_요일테이블_업뎃_완료9"/>
      <sheetName val="Data_Lists9"/>
      <sheetName val="dados_blp9"/>
      <sheetName val="share_price_20029"/>
      <sheetName val="Cur_Ex_Rate9"/>
      <sheetName val="Distribución_C8"/>
      <sheetName val="Extract_Loss8"/>
      <sheetName val="G_WPS7"/>
      <sheetName val="G_GFP7"/>
      <sheetName val="G_GL7"/>
      <sheetName val="G_LSA7"/>
      <sheetName val="est_rev_7"/>
      <sheetName val="SNs_Meta_Categorias7"/>
      <sheetName val="ZAGREBAČKA_PIVOVARA5"/>
      <sheetName val="TIA_PARTNER5"/>
      <sheetName val="K_PIVOVARI5"/>
      <sheetName val="Other_Performance3"/>
      <sheetName val="RG_Depots18"/>
      <sheetName val="Launch_and_Maintenance16"/>
      <sheetName val="ARdistr_(2)16"/>
      <sheetName val="Validate_List16"/>
      <sheetName val="Agrega_Spend_Taxonomy16"/>
      <sheetName val="HUB_Structure16"/>
      <sheetName val="Distribución_D16"/>
      <sheetName val="RG_depots_jaar16"/>
      <sheetName val="Lista_total15"/>
      <sheetName val="Datos_por_SKU-categoria_2011_15"/>
      <sheetName val="Controls_data15"/>
      <sheetName val="список_SKU15"/>
      <sheetName val="Price_list15"/>
      <sheetName val="Budget_Summary15"/>
      <sheetName val="Monthly_Updating&gt;&gt;&gt;15"/>
      <sheetName val="LE_-_Input14"/>
      <sheetName val="drop_downs14"/>
      <sheetName val="Drop_down_list14"/>
      <sheetName val="2_-_KPIs_Impacted_14"/>
      <sheetName val="FX_lookup14"/>
      <sheetName val="Drop_Down_Menus14"/>
      <sheetName val="FX_-_Assumptions13"/>
      <sheetName val="BU17_Summary13"/>
      <sheetName val="Financial_info13"/>
      <sheetName val="Completion_Instructions13"/>
      <sheetName val="Tipos_de_iniciativas13"/>
      <sheetName val="Supply_Cost_Centers13"/>
      <sheetName val="VIC_R&amp;O_List13"/>
      <sheetName val="Selection_Lists13"/>
      <sheetName val="Sales_Package_Input13"/>
      <sheetName val="Validacion_#112"/>
      <sheetName val="Other_Listings12"/>
      <sheetName val="BASE_LISTAS12"/>
      <sheetName val="R&amp;O_List11"/>
      <sheetName val="Cuentas_y_CeCos12"/>
      <sheetName val="RG%20depots%20jaar_XLS11"/>
      <sheetName val="요일_테이블12"/>
      <sheetName val="Sheet1_(2)11"/>
      <sheetName val="DE_PARA_(N_EXCLUIR)10"/>
      <sheetName val="Base_Canibalizacao_Vol10"/>
      <sheetName val="Reference_tab10"/>
      <sheetName val="Dropdown_list_LATAM10"/>
      <sheetName val="dep_pre10"/>
      <sheetName val="Figures_Report10"/>
      <sheetName val="POC_등급_202010"/>
      <sheetName val="NR_정리10"/>
      <sheetName val="Price_Off_기준10"/>
      <sheetName val="HE_판매증대활동_가이드_20년10"/>
      <sheetName val="20,_2월_POCs10"/>
      <sheetName val="년간_POCs_Price_Off10"/>
      <sheetName val="WS_코드10"/>
      <sheetName val="차량운행일지_요일테이블_업뎃_완료10"/>
      <sheetName val="Data_Lists10"/>
      <sheetName val="dados_blp10"/>
      <sheetName val="share_price_200210"/>
      <sheetName val="Cur_Ex_Rate10"/>
      <sheetName val="Distribución_C9"/>
      <sheetName val="Extract_Loss9"/>
      <sheetName val="G_WPS8"/>
      <sheetName val="G_GFP8"/>
      <sheetName val="G_GL8"/>
      <sheetName val="G_LSA8"/>
      <sheetName val="est_rev_8"/>
      <sheetName val="SNs_Meta_Categorias8"/>
      <sheetName val="ZAGREBAČKA_PIVOVARA6"/>
      <sheetName val="TIA_PARTNER6"/>
      <sheetName val="K_PIVOVARI6"/>
      <sheetName val="Other_Performance4"/>
      <sheetName val="RG_Depots19"/>
      <sheetName val="Launch_and_Maintenance17"/>
      <sheetName val="ARdistr_(2)17"/>
      <sheetName val="Validate_List17"/>
      <sheetName val="Agrega_Spend_Taxonomy17"/>
      <sheetName val="HUB_Structure17"/>
      <sheetName val="Distribución_D17"/>
      <sheetName val="RG_depots_jaar17"/>
      <sheetName val="Lista_total16"/>
      <sheetName val="Datos_por_SKU-categoria_2011_16"/>
      <sheetName val="Controls_data16"/>
      <sheetName val="список_SKU16"/>
      <sheetName val="Price_list16"/>
      <sheetName val="Budget_Summary16"/>
      <sheetName val="Monthly_Updating&gt;&gt;&gt;16"/>
      <sheetName val="LE_-_Input15"/>
      <sheetName val="drop_downs15"/>
      <sheetName val="Drop_down_list15"/>
      <sheetName val="2_-_KPIs_Impacted_15"/>
      <sheetName val="FX_lookup15"/>
      <sheetName val="Drop_Down_Menus15"/>
      <sheetName val="FX_-_Assumptions14"/>
      <sheetName val="BU17_Summary14"/>
      <sheetName val="Financial_info14"/>
      <sheetName val="Completion_Instructions14"/>
      <sheetName val="Tipos_de_iniciativas14"/>
      <sheetName val="Supply_Cost_Centers14"/>
      <sheetName val="VIC_R&amp;O_List14"/>
      <sheetName val="Selection_Lists14"/>
      <sheetName val="Sales_Package_Input14"/>
      <sheetName val="Validacion_#113"/>
      <sheetName val="Other_Listings13"/>
      <sheetName val="BASE_LISTAS13"/>
      <sheetName val="R&amp;O_List12"/>
      <sheetName val="Cuentas_y_CeCos13"/>
      <sheetName val="RG%20depots%20jaar_XLS12"/>
      <sheetName val="요일_테이블13"/>
      <sheetName val="Sheet1_(2)12"/>
      <sheetName val="DE_PARA_(N_EXCLUIR)11"/>
      <sheetName val="Base_Canibalizacao_Vol11"/>
      <sheetName val="Reference_tab11"/>
      <sheetName val="Figures_Report11"/>
      <sheetName val="POC_등급_202011"/>
      <sheetName val="NR_정리11"/>
      <sheetName val="Price_Off_기준11"/>
      <sheetName val="HE_판매증대활동_가이드_20년11"/>
      <sheetName val="20,_2월_POCs11"/>
      <sheetName val="년간_POCs_Price_Off11"/>
      <sheetName val="WS_코드11"/>
      <sheetName val="차량운행일지_요일테이블_업뎃_완료11"/>
      <sheetName val="Dropdown_list_LATAM11"/>
      <sheetName val="dep_pre11"/>
      <sheetName val="Data_Lists11"/>
      <sheetName val="dados_blp11"/>
      <sheetName val="share_price_200211"/>
      <sheetName val="Cur_Ex_Rate11"/>
      <sheetName val="Distribución_C10"/>
      <sheetName val="Extract_Loss10"/>
      <sheetName val="G_WPS9"/>
      <sheetName val="G_GFP9"/>
      <sheetName val="G_GL9"/>
      <sheetName val="G_LSA9"/>
      <sheetName val="est_rev_9"/>
      <sheetName val="SNs_Meta_Categorias9"/>
      <sheetName val="ZAGREBAČKA_PIVOVARA7"/>
      <sheetName val="TIA_PARTNER7"/>
      <sheetName val="K_PIVOVARI7"/>
      <sheetName val="Other_Performance5"/>
      <sheetName val="Cuota x Hl Global Brands"/>
      <sheetName val="Data validation"/>
      <sheetName val="BDPL"/>
      <sheetName val="Mex"/>
      <sheetName val="RG_Depots20"/>
      <sheetName val="Launch_and_Maintenance18"/>
      <sheetName val="ARdistr_(2)18"/>
      <sheetName val="Validate_List18"/>
      <sheetName val="Agrega_Spend_Taxonomy18"/>
      <sheetName val="HUB_Structure18"/>
      <sheetName val="Distribución_D18"/>
      <sheetName val="RG_depots_jaar18"/>
      <sheetName val="Datos_por_SKU-categoria_2011_17"/>
      <sheetName val="Lista_total17"/>
      <sheetName val="Controls_data17"/>
      <sheetName val="список_SKU17"/>
      <sheetName val="Price_list17"/>
      <sheetName val="Budget_Summary17"/>
      <sheetName val="Monthly_Updating&gt;&gt;&gt;17"/>
      <sheetName val="LE_-_Input16"/>
      <sheetName val="Drop_down_list16"/>
      <sheetName val="drop_downs16"/>
      <sheetName val="2_-_KPIs_Impacted_16"/>
      <sheetName val="Supply_Cost_Centers15"/>
      <sheetName val="FX_lookup16"/>
      <sheetName val="BU17_Summary15"/>
      <sheetName val="Drop_Down_Menus16"/>
      <sheetName val="FX_-_Assumptions15"/>
      <sheetName val="Financial_info15"/>
      <sheetName val="Completion_Instructions15"/>
      <sheetName val="Tipos_de_iniciativas15"/>
      <sheetName val="VIC_R&amp;O_List15"/>
      <sheetName val="Selection_Lists15"/>
      <sheetName val="Sales_Package_Input15"/>
      <sheetName val="Other_Listings14"/>
      <sheetName val="Validacion_#114"/>
      <sheetName val="BASE_LISTAS14"/>
      <sheetName val="R&amp;O_List13"/>
      <sheetName val="Cuentas_y_CeCos14"/>
      <sheetName val="RG%20depots%20jaar_XLS13"/>
      <sheetName val="요일_테이블14"/>
      <sheetName val="Sheet1_(2)13"/>
      <sheetName val="DE_PARA_(N_EXCLUIR)12"/>
      <sheetName val="Base_Canibalizacao_Vol12"/>
      <sheetName val="Reference_tab12"/>
      <sheetName val="Figures_Report12"/>
      <sheetName val="POC_등급_202012"/>
      <sheetName val="NR_정리12"/>
      <sheetName val="Price_Off_기준12"/>
      <sheetName val="HE_판매증대활동_가이드_20년12"/>
      <sheetName val="20,_2월_POCs12"/>
      <sheetName val="년간_POCs_Price_Off12"/>
      <sheetName val="WS_코드12"/>
      <sheetName val="차량운행일지_요일테이블_업뎃_완료12"/>
      <sheetName val="Dropdown_list_LATAM12"/>
      <sheetName val="dep_pre12"/>
      <sheetName val="Data_Lists12"/>
      <sheetName val="dados_blp12"/>
      <sheetName val="share_price_200212"/>
      <sheetName val="Cur_Ex_Rate12"/>
      <sheetName val="Distribución_C11"/>
      <sheetName val="Extract_Loss11"/>
      <sheetName val="G_WPS10"/>
      <sheetName val="G_GFP10"/>
      <sheetName val="G_GL10"/>
      <sheetName val="G_LSA10"/>
      <sheetName val="est_rev_10"/>
      <sheetName val="SNs_Meta_Categorias10"/>
      <sheetName val="ZAGREBAČKA_PIVOVARA8"/>
      <sheetName val="TIA_PARTNER8"/>
      <sheetName val="K_PIVOVARI8"/>
      <sheetName val="Other_Performance6"/>
      <sheetName val="Data_validation"/>
      <sheetName val="Cuota_x_Hl_Global_Brands"/>
      <sheetName val="Plan3"/>
      <sheetName val="REF"/>
      <sheetName val="NIELSEN_TOOL"/>
      <sheetName val="Données LMU"/>
      <sheetName val="eqpmad2"/>
      <sheetName val="Meta"/>
      <sheetName val="Data USA Adj US$"/>
      <sheetName val="Données_LMU"/>
      <sheetName val="1_Overview"/>
      <sheetName val="Setting"/>
      <sheetName val="AS"/>
      <sheetName val="10IM"/>
      <sheetName val="RAW AUS"/>
      <sheetName val="RAW NZP"/>
      <sheetName val="Cockpit"/>
      <sheetName val="Qs"/>
      <sheetName val="BLP"/>
      <sheetName val="Données_LMU1"/>
      <sheetName val="Data_USA_Adj_US$"/>
      <sheetName val="back MTD"/>
      <sheetName val="Back HK0010"/>
      <sheetName val="Données_LMU2"/>
      <sheetName val="Data_USA_Adj_US$1"/>
      <sheetName val="RAW_AUS"/>
      <sheetName val="RAW_NZP"/>
      <sheetName val="back_MTD"/>
      <sheetName val="Back_HK0010"/>
      <sheetName val="COLOR별 인쇄"/>
      <sheetName val="PROJECT LIST"/>
      <sheetName val="MACOMixData"/>
      <sheetName val="NRMixData"/>
      <sheetName val="NRMixData_YTD"/>
      <sheetName val="NRMixData_YTG"/>
      <sheetName val="Selection_Setting"/>
      <sheetName val="Brazil Sovereign"/>
      <sheetName val="RAW_AUS1"/>
      <sheetName val="RAW_NZP1"/>
      <sheetName val="Brazil_Sovereign"/>
      <sheetName val="Report-Daily"/>
      <sheetName val="GraphData"/>
      <sheetName val="PBO子渠道匹配"/>
      <sheetName val="LEGAL GUJ"/>
      <sheetName val="POWER ASSUMPTIONS"/>
      <sheetName val="Budget"/>
      <sheetName val="2019"/>
      <sheetName val="2020"/>
      <sheetName val="2021"/>
      <sheetName val="TARGETS BY MONTH"/>
      <sheetName val="2021 Customer Targets By Month"/>
      <sheetName val="Customer Data"/>
      <sheetName val="Targets"/>
      <sheetName val="Sheet5"/>
      <sheetName val="Total Sales"/>
      <sheetName val="Jan'21"/>
      <sheetName val="Mar'21"/>
      <sheetName val="April'21"/>
      <sheetName val="April'21 (2)"/>
      <sheetName val="May'21"/>
      <sheetName val="NEW"/>
      <sheetName val="JUNE"/>
      <sheetName val="July'21"/>
      <sheetName val="August'21"/>
      <sheetName val="September"/>
      <sheetName val="OCTOBER"/>
      <sheetName val="November"/>
      <sheetName val="December"/>
      <sheetName val="Sheet7"/>
      <sheetName val="Sheet6"/>
      <sheetName val="CLOSED OUT LETS _x0009_"/>
      <sheetName val="Swaziland_Data"/>
      <sheetName val="2019_Cases"/>
      <sheetName val="Sheet9"/>
      <sheetName val="perfil_fx_Hor"/>
      <sheetName val="Efeitos_vs__ppto101"/>
      <sheetName val="1_2_1_OM1"/>
    </sheetNames>
    <sheetDataSet>
      <sheetData sheetId="0" refreshError="1">
        <row r="42">
          <cell r="C42" t="str">
            <v>Centrum</v>
          </cell>
          <cell r="D42" t="str">
            <v>Sud</v>
          </cell>
          <cell r="E42" t="str">
            <v>België/Belgique</v>
          </cell>
        </row>
        <row r="43">
          <cell r="C43">
            <v>24.85</v>
          </cell>
          <cell r="D43">
            <v>38.06</v>
          </cell>
          <cell r="E43">
            <v>26.31</v>
          </cell>
        </row>
        <row r="44">
          <cell r="C44">
            <v>37.799999999999997</v>
          </cell>
          <cell r="D44">
            <v>38.479999999999997</v>
          </cell>
          <cell r="E44">
            <v>28.67</v>
          </cell>
        </row>
        <row r="45">
          <cell r="C45">
            <v>18.61</v>
          </cell>
          <cell r="D45">
            <v>34.11</v>
          </cell>
          <cell r="E45">
            <v>21.08</v>
          </cell>
        </row>
        <row r="46">
          <cell r="C46">
            <v>27.06</v>
          </cell>
          <cell r="D46">
            <v>23.95</v>
          </cell>
          <cell r="E46">
            <v>19.34</v>
          </cell>
        </row>
        <row r="48">
          <cell r="C48">
            <v>18</v>
          </cell>
          <cell r="D48">
            <v>18</v>
          </cell>
          <cell r="E48">
            <v>15.3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>
        <row r="42">
          <cell r="C42" t="str">
            <v>Centrum</v>
          </cell>
        </row>
      </sheetData>
      <sheetData sheetId="81">
        <row r="42">
          <cell r="C42" t="str">
            <v>Centrum</v>
          </cell>
        </row>
      </sheetData>
      <sheetData sheetId="82">
        <row r="42">
          <cell r="C42" t="str">
            <v>Centrum</v>
          </cell>
        </row>
      </sheetData>
      <sheetData sheetId="83">
        <row r="42">
          <cell r="C42" t="str">
            <v>Centrum</v>
          </cell>
        </row>
      </sheetData>
      <sheetData sheetId="84">
        <row r="42">
          <cell r="C42" t="str">
            <v>Centrum</v>
          </cell>
        </row>
      </sheetData>
      <sheetData sheetId="85">
        <row r="42">
          <cell r="C42" t="str">
            <v>Centrum</v>
          </cell>
        </row>
      </sheetData>
      <sheetData sheetId="86">
        <row r="42">
          <cell r="C42" t="str">
            <v>Centrum</v>
          </cell>
        </row>
      </sheetData>
      <sheetData sheetId="87">
        <row r="42">
          <cell r="C42" t="str">
            <v>Centrum</v>
          </cell>
        </row>
      </sheetData>
      <sheetData sheetId="88">
        <row r="42">
          <cell r="C42" t="str">
            <v>Centrum</v>
          </cell>
        </row>
      </sheetData>
      <sheetData sheetId="89">
        <row r="42">
          <cell r="C42" t="str">
            <v>Centrum</v>
          </cell>
        </row>
      </sheetData>
      <sheetData sheetId="90">
        <row r="42">
          <cell r="C42" t="str">
            <v>Centrum</v>
          </cell>
        </row>
      </sheetData>
      <sheetData sheetId="91">
        <row r="42">
          <cell r="C42" t="str">
            <v>Centrum</v>
          </cell>
        </row>
      </sheetData>
      <sheetData sheetId="92">
        <row r="42">
          <cell r="C42" t="str">
            <v>Centrum</v>
          </cell>
        </row>
      </sheetData>
      <sheetData sheetId="93">
        <row r="42">
          <cell r="C42" t="str">
            <v>Centrum</v>
          </cell>
        </row>
      </sheetData>
      <sheetData sheetId="94">
        <row r="42">
          <cell r="C42" t="str">
            <v>Centrum</v>
          </cell>
        </row>
      </sheetData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>
        <row r="42">
          <cell r="C42" t="str">
            <v>Centrum</v>
          </cell>
        </row>
      </sheetData>
      <sheetData sheetId="165">
        <row r="42">
          <cell r="C42" t="str">
            <v>Centrum</v>
          </cell>
        </row>
      </sheetData>
      <sheetData sheetId="166">
        <row r="42">
          <cell r="C42" t="str">
            <v>Centrum</v>
          </cell>
        </row>
      </sheetData>
      <sheetData sheetId="167">
        <row r="42">
          <cell r="C42" t="str">
            <v>Centrum</v>
          </cell>
        </row>
      </sheetData>
      <sheetData sheetId="168">
        <row r="42">
          <cell r="C42" t="str">
            <v>Centrum</v>
          </cell>
        </row>
      </sheetData>
      <sheetData sheetId="169">
        <row r="42">
          <cell r="C42" t="str">
            <v>Centrum</v>
          </cell>
        </row>
      </sheetData>
      <sheetData sheetId="170">
        <row r="42">
          <cell r="C42" t="str">
            <v>Centrum</v>
          </cell>
        </row>
      </sheetData>
      <sheetData sheetId="171">
        <row r="42">
          <cell r="C42" t="str">
            <v>Centrum</v>
          </cell>
        </row>
      </sheetData>
      <sheetData sheetId="172">
        <row r="42">
          <cell r="C42" t="str">
            <v>Centrum</v>
          </cell>
        </row>
      </sheetData>
      <sheetData sheetId="173">
        <row r="42">
          <cell r="C42" t="str">
            <v>Centrum</v>
          </cell>
        </row>
      </sheetData>
      <sheetData sheetId="174">
        <row r="42">
          <cell r="C42" t="str">
            <v>Centrum</v>
          </cell>
        </row>
      </sheetData>
      <sheetData sheetId="175">
        <row r="42">
          <cell r="C42" t="str">
            <v>Centrum</v>
          </cell>
        </row>
      </sheetData>
      <sheetData sheetId="176">
        <row r="42">
          <cell r="C42" t="str">
            <v>Centrum</v>
          </cell>
        </row>
      </sheetData>
      <sheetData sheetId="177">
        <row r="42">
          <cell r="C42" t="str">
            <v>Centrum</v>
          </cell>
        </row>
      </sheetData>
      <sheetData sheetId="178">
        <row r="42">
          <cell r="C42" t="str">
            <v>Centrum</v>
          </cell>
        </row>
      </sheetData>
      <sheetData sheetId="179">
        <row r="42">
          <cell r="C42" t="str">
            <v>Centrum</v>
          </cell>
        </row>
      </sheetData>
      <sheetData sheetId="180">
        <row r="42">
          <cell r="C42" t="str">
            <v>Centrum</v>
          </cell>
        </row>
      </sheetData>
      <sheetData sheetId="181">
        <row r="42">
          <cell r="C42" t="str">
            <v>Centrum</v>
          </cell>
        </row>
      </sheetData>
      <sheetData sheetId="182">
        <row r="42">
          <cell r="C42" t="str">
            <v>Centrum</v>
          </cell>
        </row>
      </sheetData>
      <sheetData sheetId="183">
        <row r="42">
          <cell r="C42" t="str">
            <v>Centrum</v>
          </cell>
        </row>
      </sheetData>
      <sheetData sheetId="184">
        <row r="42">
          <cell r="C42" t="str">
            <v>Centrum</v>
          </cell>
        </row>
      </sheetData>
      <sheetData sheetId="185">
        <row r="42">
          <cell r="C42" t="str">
            <v>Centrum</v>
          </cell>
        </row>
      </sheetData>
      <sheetData sheetId="186">
        <row r="42">
          <cell r="C42" t="str">
            <v>Centrum</v>
          </cell>
        </row>
      </sheetData>
      <sheetData sheetId="187">
        <row r="42">
          <cell r="C42" t="str">
            <v>Centrum</v>
          </cell>
        </row>
      </sheetData>
      <sheetData sheetId="188">
        <row r="42">
          <cell r="C42" t="str">
            <v>Centrum</v>
          </cell>
        </row>
      </sheetData>
      <sheetData sheetId="189"/>
      <sheetData sheetId="190"/>
      <sheetData sheetId="191">
        <row r="42">
          <cell r="C42" t="str">
            <v>Centrum</v>
          </cell>
        </row>
      </sheetData>
      <sheetData sheetId="192">
        <row r="42">
          <cell r="C42" t="str">
            <v>Centrum</v>
          </cell>
        </row>
      </sheetData>
      <sheetData sheetId="193">
        <row r="42">
          <cell r="C42" t="str">
            <v>Centrum</v>
          </cell>
        </row>
      </sheetData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/>
      <sheetData sheetId="207" refreshError="1"/>
      <sheetData sheetId="208">
        <row r="42">
          <cell r="C42">
            <v>0</v>
          </cell>
        </row>
      </sheetData>
      <sheetData sheetId="209">
        <row r="42">
          <cell r="C42">
            <v>0</v>
          </cell>
        </row>
      </sheetData>
      <sheetData sheetId="210">
        <row r="42">
          <cell r="C42">
            <v>0</v>
          </cell>
        </row>
      </sheetData>
      <sheetData sheetId="211">
        <row r="42">
          <cell r="C42">
            <v>0</v>
          </cell>
        </row>
      </sheetData>
      <sheetData sheetId="212">
        <row r="42">
          <cell r="C42">
            <v>0</v>
          </cell>
        </row>
      </sheetData>
      <sheetData sheetId="213">
        <row r="42">
          <cell r="C42">
            <v>0</v>
          </cell>
        </row>
      </sheetData>
      <sheetData sheetId="214">
        <row r="42">
          <cell r="C42">
            <v>0</v>
          </cell>
        </row>
      </sheetData>
      <sheetData sheetId="215" refreshError="1"/>
      <sheetData sheetId="216" refreshError="1"/>
      <sheetData sheetId="217" refreshError="1"/>
      <sheetData sheetId="218" refreshError="1"/>
      <sheetData sheetId="219" refreshError="1"/>
      <sheetData sheetId="220" refreshError="1"/>
      <sheetData sheetId="221">
        <row r="42">
          <cell r="C42" t="str">
            <v>Centrum</v>
          </cell>
        </row>
      </sheetData>
      <sheetData sheetId="222">
        <row r="42">
          <cell r="C42" t="str">
            <v>Centrum</v>
          </cell>
        </row>
      </sheetData>
      <sheetData sheetId="223">
        <row r="42">
          <cell r="C42" t="str">
            <v>Centrum</v>
          </cell>
        </row>
      </sheetData>
      <sheetData sheetId="224">
        <row r="42">
          <cell r="C42" t="str">
            <v>Centrum</v>
          </cell>
        </row>
      </sheetData>
      <sheetData sheetId="225">
        <row r="42">
          <cell r="C42" t="str">
            <v>Centrum</v>
          </cell>
        </row>
      </sheetData>
      <sheetData sheetId="226">
        <row r="42">
          <cell r="C42" t="str">
            <v>Centrum</v>
          </cell>
        </row>
      </sheetData>
      <sheetData sheetId="227">
        <row r="42">
          <cell r="C42" t="str">
            <v>Centrum</v>
          </cell>
        </row>
      </sheetData>
      <sheetData sheetId="228">
        <row r="42">
          <cell r="C42" t="str">
            <v>Centrum</v>
          </cell>
        </row>
      </sheetData>
      <sheetData sheetId="229">
        <row r="42">
          <cell r="C42" t="str">
            <v>Centrum</v>
          </cell>
        </row>
      </sheetData>
      <sheetData sheetId="230">
        <row r="42">
          <cell r="C42" t="str">
            <v>Centrum</v>
          </cell>
        </row>
      </sheetData>
      <sheetData sheetId="231">
        <row r="42">
          <cell r="C42" t="str">
            <v>Centrum</v>
          </cell>
        </row>
      </sheetData>
      <sheetData sheetId="232">
        <row r="42">
          <cell r="C42" t="str">
            <v>Centrum</v>
          </cell>
        </row>
      </sheetData>
      <sheetData sheetId="233">
        <row r="42">
          <cell r="C42" t="str">
            <v>Centrum</v>
          </cell>
        </row>
      </sheetData>
      <sheetData sheetId="234">
        <row r="42">
          <cell r="C42" t="str">
            <v>Centrum</v>
          </cell>
        </row>
      </sheetData>
      <sheetData sheetId="235">
        <row r="42">
          <cell r="C42" t="str">
            <v>Centrum</v>
          </cell>
        </row>
      </sheetData>
      <sheetData sheetId="236">
        <row r="42">
          <cell r="C42" t="str">
            <v>Centrum</v>
          </cell>
        </row>
      </sheetData>
      <sheetData sheetId="237">
        <row r="42">
          <cell r="C42" t="str">
            <v>Centrum</v>
          </cell>
        </row>
      </sheetData>
      <sheetData sheetId="238">
        <row r="42">
          <cell r="C42" t="str">
            <v>Centrum</v>
          </cell>
        </row>
      </sheetData>
      <sheetData sheetId="239">
        <row r="42">
          <cell r="C42" t="str">
            <v>Centrum</v>
          </cell>
        </row>
      </sheetData>
      <sheetData sheetId="240"/>
      <sheetData sheetId="241"/>
      <sheetData sheetId="242"/>
      <sheetData sheetId="243"/>
      <sheetData sheetId="244"/>
      <sheetData sheetId="245"/>
      <sheetData sheetId="246">
        <row r="42">
          <cell r="C42">
            <v>0</v>
          </cell>
        </row>
      </sheetData>
      <sheetData sheetId="247">
        <row r="42">
          <cell r="C42" t="str">
            <v>Centrum</v>
          </cell>
        </row>
      </sheetData>
      <sheetData sheetId="248">
        <row r="42">
          <cell r="C42">
            <v>0</v>
          </cell>
        </row>
      </sheetData>
      <sheetData sheetId="249">
        <row r="42">
          <cell r="C42">
            <v>0</v>
          </cell>
        </row>
      </sheetData>
      <sheetData sheetId="250">
        <row r="42">
          <cell r="C42">
            <v>0</v>
          </cell>
        </row>
      </sheetData>
      <sheetData sheetId="251">
        <row r="42">
          <cell r="C42" t="str">
            <v>Centrum</v>
          </cell>
        </row>
      </sheetData>
      <sheetData sheetId="252">
        <row r="42">
          <cell r="C42">
            <v>0</v>
          </cell>
        </row>
      </sheetData>
      <sheetData sheetId="253">
        <row r="42">
          <cell r="C42">
            <v>0</v>
          </cell>
        </row>
      </sheetData>
      <sheetData sheetId="254">
        <row r="42">
          <cell r="C42">
            <v>0</v>
          </cell>
        </row>
      </sheetData>
      <sheetData sheetId="255" refreshError="1"/>
      <sheetData sheetId="256" refreshError="1"/>
      <sheetData sheetId="257" refreshError="1"/>
      <sheetData sheetId="258" refreshError="1"/>
      <sheetData sheetId="259"/>
      <sheetData sheetId="260" refreshError="1"/>
      <sheetData sheetId="261" refreshError="1"/>
      <sheetData sheetId="262" refreshError="1"/>
      <sheetData sheetId="263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/>
      <sheetData sheetId="270"/>
      <sheetData sheetId="271"/>
      <sheetData sheetId="272"/>
      <sheetData sheetId="273"/>
      <sheetData sheetId="274">
        <row r="42">
          <cell r="C42" t="str">
            <v>Centrum</v>
          </cell>
        </row>
      </sheetData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>
        <row r="42">
          <cell r="C42" t="str">
            <v>Centrum</v>
          </cell>
        </row>
      </sheetData>
      <sheetData sheetId="289"/>
      <sheetData sheetId="290"/>
      <sheetData sheetId="291"/>
      <sheetData sheetId="292"/>
      <sheetData sheetId="293"/>
      <sheetData sheetId="294"/>
      <sheetData sheetId="295"/>
      <sheetData sheetId="296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 refreshError="1"/>
      <sheetData sheetId="310" refreshError="1"/>
      <sheetData sheetId="311"/>
      <sheetData sheetId="312"/>
      <sheetData sheetId="313"/>
      <sheetData sheetId="314"/>
      <sheetData sheetId="315"/>
      <sheetData sheetId="316"/>
      <sheetData sheetId="317"/>
      <sheetData sheetId="318">
        <row r="42">
          <cell r="C42" t="str">
            <v>서서울 West Seoul</v>
          </cell>
        </row>
      </sheetData>
      <sheetData sheetId="319">
        <row r="42">
          <cell r="C42" t="str">
            <v>서서울 West Seoul</v>
          </cell>
        </row>
      </sheetData>
      <sheetData sheetId="320">
        <row r="42">
          <cell r="C42" t="str">
            <v>일</v>
          </cell>
        </row>
      </sheetData>
      <sheetData sheetId="321">
        <row r="42">
          <cell r="C42" t="str">
            <v>서서울 West Seoul</v>
          </cell>
        </row>
      </sheetData>
      <sheetData sheetId="322">
        <row r="42">
          <cell r="C42" t="str">
            <v>일</v>
          </cell>
        </row>
      </sheetData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/>
      <sheetData sheetId="330"/>
      <sheetData sheetId="331"/>
      <sheetData sheetId="332"/>
      <sheetData sheetId="333"/>
      <sheetData sheetId="334">
        <row r="42">
          <cell r="C42" t="str">
            <v>Centrum</v>
          </cell>
        </row>
      </sheetData>
      <sheetData sheetId="335"/>
      <sheetData sheetId="336"/>
      <sheetData sheetId="337"/>
      <sheetData sheetId="338"/>
      <sheetData sheetId="339"/>
      <sheetData sheetId="340"/>
      <sheetData sheetId="34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 refreshError="1"/>
      <sheetData sheetId="372" refreshError="1"/>
      <sheetData sheetId="373" refreshError="1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/>
      <sheetData sheetId="387"/>
      <sheetData sheetId="388"/>
      <sheetData sheetId="389"/>
      <sheetData sheetId="390"/>
      <sheetData sheetId="391"/>
      <sheetData sheetId="392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/>
      <sheetData sheetId="406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 refreshError="1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 refreshError="1"/>
      <sheetData sheetId="573" refreshError="1"/>
      <sheetData sheetId="574" refreshError="1"/>
      <sheetData sheetId="575" refreshError="1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 refreshError="1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 refreshError="1"/>
      <sheetData sheetId="661" refreshError="1"/>
      <sheetData sheetId="662"/>
      <sheetData sheetId="663"/>
      <sheetData sheetId="664"/>
      <sheetData sheetId="665"/>
      <sheetData sheetId="666"/>
      <sheetData sheetId="667"/>
      <sheetData sheetId="668" refreshError="1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/>
      <sheetData sheetId="693"/>
      <sheetData sheetId="694"/>
      <sheetData sheetId="695"/>
      <sheetData sheetId="696"/>
      <sheetData sheetId="697"/>
      <sheetData sheetId="698"/>
      <sheetData sheetId="699"/>
      <sheetData sheetId="700"/>
      <sheetData sheetId="701"/>
      <sheetData sheetId="702"/>
      <sheetData sheetId="703"/>
      <sheetData sheetId="704"/>
      <sheetData sheetId="705"/>
      <sheetData sheetId="706"/>
      <sheetData sheetId="707"/>
      <sheetData sheetId="708"/>
      <sheetData sheetId="709"/>
      <sheetData sheetId="710"/>
      <sheetData sheetId="711"/>
      <sheetData sheetId="712"/>
      <sheetData sheetId="713"/>
      <sheetData sheetId="714"/>
      <sheetData sheetId="715"/>
      <sheetData sheetId="716"/>
      <sheetData sheetId="717"/>
      <sheetData sheetId="718"/>
      <sheetData sheetId="719"/>
      <sheetData sheetId="720"/>
      <sheetData sheetId="721"/>
      <sheetData sheetId="722"/>
      <sheetData sheetId="723"/>
      <sheetData sheetId="724"/>
      <sheetData sheetId="725"/>
      <sheetData sheetId="726"/>
      <sheetData sheetId="727"/>
      <sheetData sheetId="728"/>
      <sheetData sheetId="729"/>
      <sheetData sheetId="730"/>
      <sheetData sheetId="731"/>
      <sheetData sheetId="732"/>
      <sheetData sheetId="733"/>
      <sheetData sheetId="734"/>
      <sheetData sheetId="735"/>
      <sheetData sheetId="736"/>
      <sheetData sheetId="737"/>
      <sheetData sheetId="738"/>
      <sheetData sheetId="739"/>
      <sheetData sheetId="740"/>
      <sheetData sheetId="741"/>
      <sheetData sheetId="742"/>
      <sheetData sheetId="743"/>
      <sheetData sheetId="744"/>
      <sheetData sheetId="745"/>
      <sheetData sheetId="746"/>
      <sheetData sheetId="747"/>
      <sheetData sheetId="748"/>
      <sheetData sheetId="749"/>
      <sheetData sheetId="750"/>
      <sheetData sheetId="751"/>
      <sheetData sheetId="752"/>
      <sheetData sheetId="753"/>
      <sheetData sheetId="754"/>
      <sheetData sheetId="755"/>
      <sheetData sheetId="756"/>
      <sheetData sheetId="757"/>
      <sheetData sheetId="758"/>
      <sheetData sheetId="759"/>
      <sheetData sheetId="760"/>
      <sheetData sheetId="761"/>
      <sheetData sheetId="762"/>
      <sheetData sheetId="763"/>
      <sheetData sheetId="764"/>
      <sheetData sheetId="765"/>
      <sheetData sheetId="766"/>
      <sheetData sheetId="767"/>
      <sheetData sheetId="768"/>
      <sheetData sheetId="769"/>
      <sheetData sheetId="770"/>
      <sheetData sheetId="771"/>
      <sheetData sheetId="772"/>
      <sheetData sheetId="773"/>
      <sheetData sheetId="774"/>
      <sheetData sheetId="775"/>
      <sheetData sheetId="776"/>
      <sheetData sheetId="777"/>
      <sheetData sheetId="778"/>
      <sheetData sheetId="779"/>
      <sheetData sheetId="780"/>
      <sheetData sheetId="781"/>
      <sheetData sheetId="782"/>
      <sheetData sheetId="783"/>
      <sheetData sheetId="784"/>
      <sheetData sheetId="785"/>
      <sheetData sheetId="786"/>
      <sheetData sheetId="787"/>
      <sheetData sheetId="788"/>
      <sheetData sheetId="789"/>
      <sheetData sheetId="790"/>
      <sheetData sheetId="791"/>
      <sheetData sheetId="792"/>
      <sheetData sheetId="793"/>
      <sheetData sheetId="794"/>
      <sheetData sheetId="795"/>
      <sheetData sheetId="796"/>
      <sheetData sheetId="797"/>
      <sheetData sheetId="798"/>
      <sheetData sheetId="799"/>
      <sheetData sheetId="800"/>
      <sheetData sheetId="801"/>
      <sheetData sheetId="802"/>
      <sheetData sheetId="803"/>
      <sheetData sheetId="804"/>
      <sheetData sheetId="805"/>
      <sheetData sheetId="806"/>
      <sheetData sheetId="807"/>
      <sheetData sheetId="808"/>
      <sheetData sheetId="809"/>
      <sheetData sheetId="810"/>
      <sheetData sheetId="811"/>
      <sheetData sheetId="812"/>
      <sheetData sheetId="813"/>
      <sheetData sheetId="814"/>
      <sheetData sheetId="815"/>
      <sheetData sheetId="816"/>
      <sheetData sheetId="817"/>
      <sheetData sheetId="818"/>
      <sheetData sheetId="819"/>
      <sheetData sheetId="820"/>
      <sheetData sheetId="821"/>
      <sheetData sheetId="822"/>
      <sheetData sheetId="823"/>
      <sheetData sheetId="824"/>
      <sheetData sheetId="825"/>
      <sheetData sheetId="826"/>
      <sheetData sheetId="827"/>
      <sheetData sheetId="828"/>
      <sheetData sheetId="829"/>
      <sheetData sheetId="830"/>
      <sheetData sheetId="831"/>
      <sheetData sheetId="832"/>
      <sheetData sheetId="833"/>
      <sheetData sheetId="834"/>
      <sheetData sheetId="835"/>
      <sheetData sheetId="836"/>
      <sheetData sheetId="837"/>
      <sheetData sheetId="838"/>
      <sheetData sheetId="839"/>
      <sheetData sheetId="840"/>
      <sheetData sheetId="841"/>
      <sheetData sheetId="842"/>
      <sheetData sheetId="843"/>
      <sheetData sheetId="844"/>
      <sheetData sheetId="845"/>
      <sheetData sheetId="846"/>
      <sheetData sheetId="847"/>
      <sheetData sheetId="848"/>
      <sheetData sheetId="849"/>
      <sheetData sheetId="850"/>
      <sheetData sheetId="851"/>
      <sheetData sheetId="852"/>
      <sheetData sheetId="853"/>
      <sheetData sheetId="854"/>
      <sheetData sheetId="855"/>
      <sheetData sheetId="856"/>
      <sheetData sheetId="857"/>
      <sheetData sheetId="858"/>
      <sheetData sheetId="859"/>
      <sheetData sheetId="860"/>
      <sheetData sheetId="861"/>
      <sheetData sheetId="862"/>
      <sheetData sheetId="863"/>
      <sheetData sheetId="864"/>
      <sheetData sheetId="865"/>
      <sheetData sheetId="866"/>
      <sheetData sheetId="867"/>
      <sheetData sheetId="868"/>
      <sheetData sheetId="869"/>
      <sheetData sheetId="870"/>
      <sheetData sheetId="871"/>
      <sheetData sheetId="872"/>
      <sheetData sheetId="873"/>
      <sheetData sheetId="874"/>
      <sheetData sheetId="875"/>
      <sheetData sheetId="876"/>
      <sheetData sheetId="877"/>
      <sheetData sheetId="878"/>
      <sheetData sheetId="879"/>
      <sheetData sheetId="880"/>
      <sheetData sheetId="881"/>
      <sheetData sheetId="882"/>
      <sheetData sheetId="883"/>
      <sheetData sheetId="884"/>
      <sheetData sheetId="885"/>
      <sheetData sheetId="886"/>
      <sheetData sheetId="887"/>
      <sheetData sheetId="888"/>
      <sheetData sheetId="889"/>
      <sheetData sheetId="890"/>
      <sheetData sheetId="891"/>
      <sheetData sheetId="892"/>
      <sheetData sheetId="893"/>
      <sheetData sheetId="894"/>
      <sheetData sheetId="895"/>
      <sheetData sheetId="896"/>
      <sheetData sheetId="897"/>
      <sheetData sheetId="898"/>
      <sheetData sheetId="899"/>
      <sheetData sheetId="900"/>
      <sheetData sheetId="901"/>
      <sheetData sheetId="902"/>
      <sheetData sheetId="903"/>
      <sheetData sheetId="904"/>
      <sheetData sheetId="905"/>
      <sheetData sheetId="906"/>
      <sheetData sheetId="907"/>
      <sheetData sheetId="908"/>
      <sheetData sheetId="909"/>
      <sheetData sheetId="910"/>
      <sheetData sheetId="911"/>
      <sheetData sheetId="912"/>
      <sheetData sheetId="913"/>
      <sheetData sheetId="914"/>
      <sheetData sheetId="915"/>
      <sheetData sheetId="916"/>
      <sheetData sheetId="917"/>
      <sheetData sheetId="918"/>
      <sheetData sheetId="919"/>
      <sheetData sheetId="920"/>
      <sheetData sheetId="921"/>
      <sheetData sheetId="922"/>
      <sheetData sheetId="923"/>
      <sheetData sheetId="924"/>
      <sheetData sheetId="925"/>
      <sheetData sheetId="926"/>
      <sheetData sheetId="927"/>
      <sheetData sheetId="928"/>
      <sheetData sheetId="929"/>
      <sheetData sheetId="930"/>
      <sheetData sheetId="931"/>
      <sheetData sheetId="932"/>
      <sheetData sheetId="933"/>
      <sheetData sheetId="934"/>
      <sheetData sheetId="935"/>
      <sheetData sheetId="936"/>
      <sheetData sheetId="937"/>
      <sheetData sheetId="938"/>
      <sheetData sheetId="939"/>
      <sheetData sheetId="940"/>
      <sheetData sheetId="941"/>
      <sheetData sheetId="942"/>
      <sheetData sheetId="943"/>
      <sheetData sheetId="944"/>
      <sheetData sheetId="945"/>
      <sheetData sheetId="946"/>
      <sheetData sheetId="947"/>
      <sheetData sheetId="948"/>
      <sheetData sheetId="949"/>
      <sheetData sheetId="950"/>
      <sheetData sheetId="951"/>
      <sheetData sheetId="952"/>
      <sheetData sheetId="953"/>
      <sheetData sheetId="954"/>
      <sheetData sheetId="955"/>
      <sheetData sheetId="956"/>
      <sheetData sheetId="957"/>
      <sheetData sheetId="958"/>
      <sheetData sheetId="959"/>
      <sheetData sheetId="960"/>
      <sheetData sheetId="961"/>
      <sheetData sheetId="962"/>
      <sheetData sheetId="963"/>
      <sheetData sheetId="964"/>
      <sheetData sheetId="965"/>
      <sheetData sheetId="966"/>
      <sheetData sheetId="967"/>
      <sheetData sheetId="968"/>
      <sheetData sheetId="969"/>
      <sheetData sheetId="970"/>
      <sheetData sheetId="971"/>
      <sheetData sheetId="972"/>
      <sheetData sheetId="973"/>
      <sheetData sheetId="974"/>
      <sheetData sheetId="975"/>
      <sheetData sheetId="976"/>
      <sheetData sheetId="977"/>
      <sheetData sheetId="978"/>
      <sheetData sheetId="979"/>
      <sheetData sheetId="980"/>
      <sheetData sheetId="981"/>
      <sheetData sheetId="982"/>
      <sheetData sheetId="983"/>
      <sheetData sheetId="984"/>
      <sheetData sheetId="985"/>
      <sheetData sheetId="986"/>
      <sheetData sheetId="987"/>
      <sheetData sheetId="988"/>
      <sheetData sheetId="989"/>
      <sheetData sheetId="990"/>
      <sheetData sheetId="991"/>
      <sheetData sheetId="992"/>
      <sheetData sheetId="993"/>
      <sheetData sheetId="994"/>
      <sheetData sheetId="995"/>
      <sheetData sheetId="996"/>
      <sheetData sheetId="997"/>
      <sheetData sheetId="998"/>
      <sheetData sheetId="999"/>
      <sheetData sheetId="1000"/>
      <sheetData sheetId="1001"/>
      <sheetData sheetId="1002"/>
      <sheetData sheetId="1003"/>
      <sheetData sheetId="1004"/>
      <sheetData sheetId="1005"/>
      <sheetData sheetId="1006"/>
      <sheetData sheetId="1007"/>
      <sheetData sheetId="1008"/>
      <sheetData sheetId="1009"/>
      <sheetData sheetId="1010"/>
      <sheetData sheetId="1011"/>
      <sheetData sheetId="1012"/>
      <sheetData sheetId="1013"/>
      <sheetData sheetId="1014"/>
      <sheetData sheetId="1015"/>
      <sheetData sheetId="1016"/>
      <sheetData sheetId="1017"/>
      <sheetData sheetId="1018"/>
      <sheetData sheetId="1019"/>
      <sheetData sheetId="1020"/>
      <sheetData sheetId="1021"/>
      <sheetData sheetId="1022"/>
      <sheetData sheetId="1023"/>
      <sheetData sheetId="1024"/>
      <sheetData sheetId="1025"/>
      <sheetData sheetId="1026"/>
      <sheetData sheetId="1027"/>
      <sheetData sheetId="1028"/>
      <sheetData sheetId="1029"/>
      <sheetData sheetId="1030"/>
      <sheetData sheetId="1031"/>
      <sheetData sheetId="1032"/>
      <sheetData sheetId="1033"/>
      <sheetData sheetId="1034"/>
      <sheetData sheetId="1035"/>
      <sheetData sheetId="1036"/>
      <sheetData sheetId="1037"/>
      <sheetData sheetId="1038"/>
      <sheetData sheetId="1039"/>
      <sheetData sheetId="1040"/>
      <sheetData sheetId="1041"/>
      <sheetData sheetId="1042"/>
      <sheetData sheetId="1043"/>
      <sheetData sheetId="1044"/>
      <sheetData sheetId="1045"/>
      <sheetData sheetId="1046"/>
      <sheetData sheetId="1047"/>
      <sheetData sheetId="1048"/>
      <sheetData sheetId="1049"/>
      <sheetData sheetId="1050"/>
      <sheetData sheetId="1051"/>
      <sheetData sheetId="1052"/>
      <sheetData sheetId="1053"/>
      <sheetData sheetId="1054"/>
      <sheetData sheetId="1055"/>
      <sheetData sheetId="1056"/>
      <sheetData sheetId="1057"/>
      <sheetData sheetId="1058"/>
      <sheetData sheetId="1059"/>
      <sheetData sheetId="1060"/>
      <sheetData sheetId="1061"/>
      <sheetData sheetId="1062"/>
      <sheetData sheetId="1063"/>
      <sheetData sheetId="1064"/>
      <sheetData sheetId="1065"/>
      <sheetData sheetId="1066"/>
      <sheetData sheetId="1067"/>
      <sheetData sheetId="1068"/>
      <sheetData sheetId="1069"/>
      <sheetData sheetId="1070"/>
      <sheetData sheetId="1071"/>
      <sheetData sheetId="1072"/>
      <sheetData sheetId="1073"/>
      <sheetData sheetId="1074"/>
      <sheetData sheetId="1075"/>
      <sheetData sheetId="1076"/>
      <sheetData sheetId="1077"/>
      <sheetData sheetId="1078"/>
      <sheetData sheetId="1079"/>
      <sheetData sheetId="1080"/>
      <sheetData sheetId="1081"/>
      <sheetData sheetId="1082"/>
      <sheetData sheetId="1083"/>
      <sheetData sheetId="1084"/>
      <sheetData sheetId="1085"/>
      <sheetData sheetId="1086"/>
      <sheetData sheetId="1087"/>
      <sheetData sheetId="1088"/>
      <sheetData sheetId="1089"/>
      <sheetData sheetId="1090"/>
      <sheetData sheetId="1091"/>
      <sheetData sheetId="1092"/>
      <sheetData sheetId="1093"/>
      <sheetData sheetId="1094"/>
      <sheetData sheetId="1095"/>
      <sheetData sheetId="1096"/>
      <sheetData sheetId="1097"/>
      <sheetData sheetId="1098"/>
      <sheetData sheetId="1099"/>
      <sheetData sheetId="1100"/>
      <sheetData sheetId="1101"/>
      <sheetData sheetId="1102"/>
      <sheetData sheetId="1103"/>
      <sheetData sheetId="1104"/>
      <sheetData sheetId="1105"/>
      <sheetData sheetId="1106"/>
      <sheetData sheetId="1107"/>
      <sheetData sheetId="1108"/>
      <sheetData sheetId="1109"/>
      <sheetData sheetId="1110"/>
      <sheetData sheetId="1111"/>
      <sheetData sheetId="1112"/>
      <sheetData sheetId="1113"/>
      <sheetData sheetId="1114"/>
      <sheetData sheetId="1115"/>
      <sheetData sheetId="1116"/>
      <sheetData sheetId="1117"/>
      <sheetData sheetId="1118"/>
      <sheetData sheetId="1119"/>
      <sheetData sheetId="1120"/>
      <sheetData sheetId="1121"/>
      <sheetData sheetId="1122"/>
      <sheetData sheetId="1123"/>
      <sheetData sheetId="1124"/>
      <sheetData sheetId="1125"/>
      <sheetData sheetId="1126"/>
      <sheetData sheetId="1127"/>
      <sheetData sheetId="1128"/>
      <sheetData sheetId="1129"/>
      <sheetData sheetId="1130"/>
      <sheetData sheetId="1131"/>
      <sheetData sheetId="1132"/>
      <sheetData sheetId="1133"/>
      <sheetData sheetId="1134"/>
      <sheetData sheetId="1135"/>
      <sheetData sheetId="1136"/>
      <sheetData sheetId="1137"/>
      <sheetData sheetId="1138"/>
      <sheetData sheetId="1139"/>
      <sheetData sheetId="1140" refreshError="1"/>
      <sheetData sheetId="1141" refreshError="1"/>
      <sheetData sheetId="1142" refreshError="1"/>
      <sheetData sheetId="1143" refreshError="1"/>
      <sheetData sheetId="1144"/>
      <sheetData sheetId="1145"/>
      <sheetData sheetId="1146"/>
      <sheetData sheetId="1147"/>
      <sheetData sheetId="1148"/>
      <sheetData sheetId="1149"/>
      <sheetData sheetId="1150"/>
      <sheetData sheetId="1151"/>
      <sheetData sheetId="1152"/>
      <sheetData sheetId="1153"/>
      <sheetData sheetId="1154"/>
      <sheetData sheetId="1155"/>
      <sheetData sheetId="1156"/>
      <sheetData sheetId="1157"/>
      <sheetData sheetId="1158"/>
      <sheetData sheetId="1159"/>
      <sheetData sheetId="1160"/>
      <sheetData sheetId="1161"/>
      <sheetData sheetId="1162"/>
      <sheetData sheetId="1163"/>
      <sheetData sheetId="1164"/>
      <sheetData sheetId="1165"/>
      <sheetData sheetId="1166"/>
      <sheetData sheetId="1167"/>
      <sheetData sheetId="1168"/>
      <sheetData sheetId="1169"/>
      <sheetData sheetId="1170"/>
      <sheetData sheetId="1171"/>
      <sheetData sheetId="1172"/>
      <sheetData sheetId="1173"/>
      <sheetData sheetId="1174"/>
      <sheetData sheetId="1175"/>
      <sheetData sheetId="1176"/>
      <sheetData sheetId="1177"/>
      <sheetData sheetId="1178"/>
      <sheetData sheetId="1179"/>
      <sheetData sheetId="1180"/>
      <sheetData sheetId="1181"/>
      <sheetData sheetId="1182"/>
      <sheetData sheetId="1183"/>
      <sheetData sheetId="1184"/>
      <sheetData sheetId="1185"/>
      <sheetData sheetId="1186"/>
      <sheetData sheetId="1187"/>
      <sheetData sheetId="1188"/>
      <sheetData sheetId="1189"/>
      <sheetData sheetId="1190"/>
      <sheetData sheetId="1191"/>
      <sheetData sheetId="1192"/>
      <sheetData sheetId="1193"/>
      <sheetData sheetId="1194"/>
      <sheetData sheetId="1195"/>
      <sheetData sheetId="1196"/>
      <sheetData sheetId="1197"/>
      <sheetData sheetId="1198"/>
      <sheetData sheetId="1199"/>
      <sheetData sheetId="1200"/>
      <sheetData sheetId="1201"/>
      <sheetData sheetId="1202"/>
      <sheetData sheetId="1203"/>
      <sheetData sheetId="1204"/>
      <sheetData sheetId="1205"/>
      <sheetData sheetId="1206"/>
      <sheetData sheetId="1207"/>
      <sheetData sheetId="1208"/>
      <sheetData sheetId="1209"/>
      <sheetData sheetId="1210"/>
      <sheetData sheetId="1211"/>
      <sheetData sheetId="1212"/>
      <sheetData sheetId="1213"/>
      <sheetData sheetId="1214" refreshError="1"/>
      <sheetData sheetId="1215" refreshError="1"/>
      <sheetData sheetId="1216" refreshError="1"/>
      <sheetData sheetId="1217" refreshError="1"/>
      <sheetData sheetId="1218" refreshError="1"/>
      <sheetData sheetId="1219" refreshError="1"/>
      <sheetData sheetId="1220" refreshError="1"/>
      <sheetData sheetId="1221"/>
      <sheetData sheetId="1222" refreshError="1"/>
      <sheetData sheetId="1223" refreshError="1"/>
      <sheetData sheetId="1224" refreshError="1"/>
      <sheetData sheetId="1225" refreshError="1"/>
      <sheetData sheetId="1226" refreshError="1"/>
      <sheetData sheetId="1227" refreshError="1"/>
      <sheetData sheetId="1228" refreshError="1"/>
      <sheetData sheetId="1229" refreshError="1"/>
      <sheetData sheetId="1230" refreshError="1"/>
      <sheetData sheetId="1231"/>
      <sheetData sheetId="1232"/>
      <sheetData sheetId="1233" refreshError="1"/>
      <sheetData sheetId="1234" refreshError="1"/>
      <sheetData sheetId="1235"/>
      <sheetData sheetId="1236"/>
      <sheetData sheetId="1237"/>
      <sheetData sheetId="1238"/>
      <sheetData sheetId="1239"/>
      <sheetData sheetId="1240"/>
      <sheetData sheetId="1241" refreshError="1"/>
      <sheetData sheetId="1242" refreshError="1"/>
      <sheetData sheetId="1243" refreshError="1"/>
      <sheetData sheetId="1244" refreshError="1"/>
      <sheetData sheetId="1245" refreshError="1"/>
      <sheetData sheetId="1246" refreshError="1"/>
      <sheetData sheetId="1247" refreshError="1"/>
      <sheetData sheetId="1248" refreshError="1"/>
      <sheetData sheetId="1249"/>
      <sheetData sheetId="1250"/>
      <sheetData sheetId="1251"/>
      <sheetData sheetId="1252" refreshError="1"/>
      <sheetData sheetId="1253" refreshError="1"/>
      <sheetData sheetId="1254" refreshError="1"/>
      <sheetData sheetId="1255" refreshError="1"/>
      <sheetData sheetId="1256" refreshError="1"/>
      <sheetData sheetId="1257" refreshError="1"/>
      <sheetData sheetId="1258"/>
      <sheetData sheetId="1259"/>
      <sheetData sheetId="1260"/>
      <sheetData sheetId="1261"/>
      <sheetData sheetId="1262"/>
      <sheetData sheetId="1263"/>
      <sheetData sheetId="1264"/>
      <sheetData sheetId="1265"/>
      <sheetData sheetId="1266"/>
      <sheetData sheetId="1267"/>
      <sheetData sheetId="1268"/>
      <sheetData sheetId="1269"/>
      <sheetData sheetId="1270"/>
      <sheetData sheetId="1271"/>
      <sheetData sheetId="1272"/>
      <sheetData sheetId="1273"/>
      <sheetData sheetId="1274"/>
      <sheetData sheetId="1275"/>
      <sheetData sheetId="1276"/>
      <sheetData sheetId="1277"/>
      <sheetData sheetId="1278"/>
      <sheetData sheetId="1279"/>
      <sheetData sheetId="1280"/>
      <sheetData sheetId="1281"/>
      <sheetData sheetId="1282"/>
      <sheetData sheetId="1283"/>
      <sheetData sheetId="1284"/>
      <sheetData sheetId="1285"/>
      <sheetData sheetId="1286" refreshError="1"/>
      <sheetData sheetId="1287"/>
      <sheetData sheetId="1288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razil Sovereign"/>
      <sheetName val="Desconto"/>
      <sheetName val="Yield Curve"/>
      <sheetName val="Yield Curve (2)"/>
      <sheetName val="dados"/>
      <sheetName val="Brazil Swap"/>
      <sheetName val="Sheet2"/>
      <sheetName val="Treasuries"/>
      <sheetName val="Industrials"/>
      <sheetName val="Price"/>
      <sheetName val="Price (2)"/>
      <sheetName val="Feriados"/>
      <sheetName val="Sheet1"/>
      <sheetName val="Dados Cash"/>
      <sheetName val="MOL"/>
      <sheetName val="Sig Cycles_Accts &amp; Processes"/>
      <sheetName val="ACA"/>
      <sheetName val="PackAppear. (2)"/>
      <sheetName val="DePara"/>
      <sheetName val="ASA"/>
      <sheetName val="BH"/>
      <sheetName val="Resu.Capex"/>
      <sheetName val="Capex"/>
      <sheetName val="CNQ"/>
      <sheetName val="CV"/>
      <sheetName val="Disp"/>
      <sheetName val="Efic"/>
      <sheetName val="Efic.Consumo"/>
      <sheetName val="Meta_Fábricas"/>
      <sheetName val="Graf"/>
      <sheetName val="ICD's"/>
      <sheetName val="Micro_Fisico_Index"/>
      <sheetName val="Indisp"/>
      <sheetName val="Key_Points"/>
      <sheetName val="Meta_Individuais"/>
      <sheetName val="NS"/>
      <sheetName val="OOO"/>
      <sheetName val="OOO (2)"/>
      <sheetName val="PackAppear."/>
      <sheetName val="Paineis"/>
      <sheetName val="PEF_Mes"/>
      <sheetName val="PQCM"/>
      <sheetName val="PQCM (2)"/>
      <sheetName val="PQRM"/>
      <sheetName val="PQRM (2)"/>
      <sheetName val="Prod"/>
      <sheetName val="Qualid"/>
      <sheetName val="Res.Executivo"/>
      <sheetName val="SAC"/>
      <sheetName val="TMA"/>
      <sheetName val="TO"/>
      <sheetName val="Vol"/>
      <sheetName val="2001.10 Cerv"/>
      <sheetName val="PLAN SAC Cerveja"/>
      <sheetName val="PLAN SAC RefrigeNanc"/>
      <sheetName val="BaseCerv"/>
      <sheetName val="BaseNanc"/>
      <sheetName val="2001.04 Cerv"/>
      <sheetName val="Farol SAC Cerveja"/>
      <sheetName val="2001.04 Nanc"/>
      <sheetName val="Farol SAC Refrigenanc"/>
      <sheetName val="Pleitos"/>
      <sheetName val="Data"/>
      <sheetName val="Calc 1"/>
      <sheetName val="Dotaciones"/>
      <sheetName val="Worksheet"/>
      <sheetName val="Tudo"/>
      <sheetName val="Yield_Curve"/>
      <sheetName val="Yield_Curve_(2)"/>
      <sheetName val="Brazil_Sovereign"/>
      <sheetName val="Brazil_Swap"/>
      <sheetName val="Price_(2)"/>
      <sheetName val="Dados_Cash"/>
      <sheetName val="Relatório"/>
      <sheetName val="Recon_Pivot"/>
      <sheetName val="3-column"/>
      <sheetName val="Lists"/>
      <sheetName val="Step2_Histogram"/>
      <sheetName val="Step2_Correlation"/>
      <sheetName val="FLOWCHART-03"/>
      <sheetName val="Yield_Curve1"/>
      <sheetName val="Yield_Curve_(2)1"/>
      <sheetName val="Brazil_Sovereign1"/>
      <sheetName val="Brazil_Swap1"/>
      <sheetName val="Price_(2)1"/>
      <sheetName val="Dados_Cash1"/>
      <sheetName val="PackAppear__(2)"/>
      <sheetName val="Resu_Capex"/>
      <sheetName val="Efic_Consumo"/>
      <sheetName val="OOO_(2)"/>
      <sheetName val="PackAppear_"/>
      <sheetName val="PQCM_(2)"/>
      <sheetName val="PQRM_(2)"/>
      <sheetName val="Res_Executivo"/>
      <sheetName val="2001_10_Cerv"/>
      <sheetName val="PLAN_SAC_Cerveja"/>
      <sheetName val="PLAN_SAC_RefrigeNanc"/>
      <sheetName val="2001_04_Cerv"/>
      <sheetName val="Farol_SAC_Cerveja"/>
      <sheetName val="2001_04_Nanc"/>
      <sheetName val="Farol_SAC_Refrigenanc"/>
      <sheetName val="Sig_Cycles_Accts_&amp;_Processes"/>
      <sheetName val="Calc_1"/>
      <sheetName val="WF China_YTD"/>
      <sheetName val="Parameters"/>
      <sheetName val="Yield_Curve2"/>
      <sheetName val="Yield_Curve_(2)2"/>
      <sheetName val="Brazil_Sovereign2"/>
      <sheetName val="Brazil_Swap2"/>
      <sheetName val="Price_(2)2"/>
      <sheetName val="Dados_Cash2"/>
      <sheetName val="PackAppear__(2)1"/>
      <sheetName val="Resu_Capex1"/>
      <sheetName val="Efic_Consumo1"/>
      <sheetName val="OOO_(2)1"/>
      <sheetName val="PackAppear_1"/>
      <sheetName val="PQCM_(2)1"/>
      <sheetName val="PQRM_(2)1"/>
      <sheetName val="Res_Executivo1"/>
      <sheetName val="Sig_Cycles_Accts_&amp;_Processes1"/>
      <sheetName val="2001_10_Cerv1"/>
      <sheetName val="PLAN_SAC_Cerveja1"/>
      <sheetName val="PLAN_SAC_RefrigeNanc1"/>
      <sheetName val="2001_04_Cerv1"/>
      <sheetName val="Farol_SAC_Cerveja1"/>
      <sheetName val="2001_04_Nanc1"/>
      <sheetName val="Farol_SAC_Refrigenanc1"/>
      <sheetName val="Calc_11"/>
      <sheetName val="VOLUME"/>
      <sheetName val="Curve Comparisons"/>
      <sheetName val="bud99"/>
      <sheetName val="Riscos-Oport."/>
      <sheetName val="RET"/>
      <sheetName val="Parametrização"/>
      <sheetName val=""/>
      <sheetName val="[Curve Comp_x0000__x0000__x0000__x0000__x0000__x0000__x0000__x0000__x0000__x0000__x0000__x0000_Brazil S"/>
      <sheetName val="_Curve Comp"/>
      <sheetName val="Summary"/>
      <sheetName val="Hoja2"/>
      <sheetName val="Relatório SDG"/>
      <sheetName val="Reference"/>
      <sheetName val="Engine"/>
      <sheetName val="Assumptions"/>
      <sheetName val="Validate"/>
      <sheetName val="Financials"/>
      <sheetName val="EI Calc"/>
      <sheetName val="기간별 판매진척"/>
      <sheetName val="Table"/>
      <sheetName val="Graph"/>
      <sheetName val="요일 테이블"/>
      <sheetName val="기간별_판매진척"/>
      <sheetName val="Curve_Comparisons"/>
      <sheetName val="요일_테이블"/>
      <sheetName val="Controls"/>
      <sheetName val="LBO Model"/>
      <sheetName val="은행"/>
      <sheetName val="[Curve Comp????????????Brazil S"/>
      <sheetName val="Balance Fin ajust 2004"/>
      <sheetName val="Formulario"/>
      <sheetName val="bdic07"/>
      <sheetName val="EFECTIVO"/>
      <sheetName val="Bloomberg"/>
      <sheetName val="DATOS PARA INTERPOLACION"/>
      <sheetName val="DPN VALUE"/>
      <sheetName val="EVOLUMERCC"/>
      <sheetName val="PROM"/>
      <sheetName val="Tabla de amortización"/>
      <sheetName val="B-111"/>
      <sheetName val="Yield_Curve3"/>
      <sheetName val="Yield_Curve_(2)3"/>
      <sheetName val="Brazil_Sovereign3"/>
      <sheetName val="Brazil_Swap3"/>
      <sheetName val="Price_(2)3"/>
      <sheetName val="Dados_Cash3"/>
      <sheetName val="PackAppear__(2)2"/>
      <sheetName val="Resu_Capex2"/>
      <sheetName val="Efic_Consumo2"/>
      <sheetName val="OOO_(2)2"/>
      <sheetName val="PackAppear_2"/>
      <sheetName val="PQCM_(2)2"/>
      <sheetName val="PQRM_(2)2"/>
      <sheetName val="Res_Executivo2"/>
      <sheetName val="2001_10_Cerv2"/>
      <sheetName val="PLAN_SAC_Cerveja2"/>
      <sheetName val="PLAN_SAC_RefrigeNanc2"/>
      <sheetName val="2001_04_Cerv2"/>
      <sheetName val="Farol_SAC_Cerveja2"/>
      <sheetName val="2001_04_Nanc2"/>
      <sheetName val="Farol_SAC_Refrigenanc2"/>
      <sheetName val="Sig_Cycles_Accts_&amp;_Processes2"/>
      <sheetName val="Calc_12"/>
      <sheetName val="Riscos-Oport_"/>
      <sheetName val="WF_China_YTD"/>
      <sheetName val="Database"/>
      <sheetName val="MATRICES"/>
      <sheetName val="PE1"/>
      <sheetName val="RS1"/>
      <sheetName val="SC1"/>
      <sheetName val="SP1"/>
      <sheetName val="BAU"/>
      <sheetName val="CAM"/>
      <sheetName val="CEE"/>
      <sheetName val="CUR"/>
      <sheetName val="DF"/>
      <sheetName val="PRP"/>
      <sheetName val="RIB"/>
      <sheetName val="RJ"/>
      <sheetName val="SAL"/>
      <sheetName val="SAN"/>
      <sheetName val="SCA"/>
      <sheetName val="Curve%20Comparisons.xls"/>
      <sheetName val="SJC"/>
      <sheetName val="SJR"/>
      <sheetName val="SOR"/>
      <sheetName val="Yield_Curve4"/>
      <sheetName val="Yield_Curve_(2)4"/>
      <sheetName val="Brazil_Sovereign4"/>
      <sheetName val="Brazil_Swap4"/>
      <sheetName val="Price_(2)4"/>
      <sheetName val="Dados_Cash4"/>
      <sheetName val="PackAppear__(2)3"/>
      <sheetName val="Resu_Capex3"/>
      <sheetName val="Efic_Consumo3"/>
      <sheetName val="OOO_(2)3"/>
      <sheetName val="PackAppear_3"/>
      <sheetName val="PQCM_(2)3"/>
      <sheetName val="PQRM_(2)3"/>
      <sheetName val="Res_Executivo3"/>
      <sheetName val="2001_10_Cerv3"/>
      <sheetName val="PLAN_SAC_Cerveja3"/>
      <sheetName val="PLAN_SAC_RefrigeNanc3"/>
      <sheetName val="2001_04_Cerv3"/>
      <sheetName val="Farol_SAC_Cerveja3"/>
      <sheetName val="2001_04_Nanc3"/>
      <sheetName val="Farol_SAC_Refrigenanc3"/>
      <sheetName val="Sig_Cycles_Accts_&amp;_Processes3"/>
      <sheetName val="Calc_13"/>
      <sheetName val="WF_China_YTD1"/>
      <sheetName val="Curve_Comparisons1"/>
      <sheetName val="Riscos-Oport_1"/>
      <sheetName val="[Curve_CompBrazil_S"/>
      <sheetName val="_Curve_Comp"/>
      <sheetName val="Relatório_SDG"/>
      <sheetName val="기간별_판매진척1"/>
      <sheetName val="요일_테이블1"/>
      <sheetName val="EI_Calc"/>
      <sheetName val="LBO_Model"/>
      <sheetName val="[Curve_Comp????????????Brazil_S"/>
      <sheetName val="Balance_Fin_ajust_2004"/>
      <sheetName val="DATOS_PARA_INTERPOLACION"/>
      <sheetName val="DPN_VALUE"/>
      <sheetName val="Tabla_de_amortización"/>
      <sheetName val="Motivos"/>
      <sheetName val="Plan5"/>
      <sheetName val="Diária"/>
      <sheetName val="Plan2"/>
      <sheetName val="Plan3"/>
      <sheetName val="Coleta dados"/>
      <sheetName val="IV Confiabilidade"/>
      <sheetName val="IV Indisponibilidade"/>
      <sheetName val="Check R. Diária"/>
      <sheetName val="Histórico_Check R. Diária"/>
      <sheetName val="[Curve Comp_x005f_x0000__x005f_x0000__x0000"/>
      <sheetName val="_Curve Comp_x005f_x0000__x005f_x0000__x0000"/>
      <sheetName val="BaseDados"/>
      <sheetName val="Datos"/>
      <sheetName val="_Curve Comp____________Brazil S"/>
      <sheetName val="[Curve Comp"/>
      <sheetName val="Comparativo 99X00"/>
      <sheetName val="validaciones"/>
      <sheetName val="Tabela de Parâmetros"/>
      <sheetName val="Versao 1b ($=R$2,13)"/>
      <sheetName val="CRITERIOS"/>
      <sheetName val="BANCO"/>
      <sheetName val="2.주요계수총괄"/>
      <sheetName val="Pg 1"/>
      <sheetName val="STARTSHEET"/>
      <sheetName val="Vol-Mix x Seg AN"/>
      <sheetName val="Listas"/>
      <sheetName val="Fechamento Mês"/>
      <sheetName val="Recebimento"/>
      <sheetName val="Fechamento Diário"/>
      <sheetName val="High Light"/>
      <sheetName val="% Dispersão"/>
      <sheetName val="% Reprovação"/>
      <sheetName val="% Caco Limpo Unid."/>
      <sheetName val="Limpeza de Flint"/>
      <sheetName val="Recb. Coop."/>
      <sheetName val="Recb. Flint"/>
      <sheetName val="Apoio Material"/>
      <sheetName val="Apoio transp."/>
      <sheetName val="VLC_Packages"/>
      <sheetName val="BD"/>
      <sheetName val="Indice"/>
      <sheetName val="5.1"/>
      <sheetName val="INVESTMENTS EUR"/>
      <sheetName val="DIVESTMENTS EUR"/>
      <sheetName val="Empresas"/>
      <sheetName val="Price DB"/>
      <sheetName val="CostComponent"/>
      <sheetName val="source"/>
      <sheetName val="BLP"/>
      <sheetName val="_Curve Comp_x005f_x005f_x005f_x0000__x005f_x005f_"/>
      <sheetName val="[Curve Comp_x005f_x005f_x005f_x0000__x005f_x005f_"/>
      <sheetName val="1o_Sem"/>
      <sheetName val="2o_Sem"/>
      <sheetName val="ID_Ano"/>
      <sheetName val="Sistema"/>
      <sheetName val="Données LMU"/>
      <sheetName val="Pareto"/>
      <sheetName val="CONTADOR"/>
      <sheetName val="PGK-1610"/>
      <sheetName val="Passo2_Histograma"/>
      <sheetName val="Total CDD"/>
      <sheetName val="total list"/>
      <sheetName val="Tables"/>
      <sheetName val="Catalogo"/>
      <sheetName val="Setup"/>
      <sheetName val="producto"/>
      <sheetName val="_Curve_CompBrazil_S"/>
      <sheetName val="_Curve_Comp____________Brazil_S"/>
      <sheetName val="판매진척"/>
      <sheetName val="LISTA SUSPENSA"/>
      <sheetName val="Directrices de Metas 2017"/>
      <sheetName val="base"/>
      <sheetName val="Tabelas"/>
      <sheetName val="VICTEL ($R)"/>
      <sheetName val="PLMM-R$"/>
      <sheetName val="BC - Main model"/>
      <sheetName val="BEAT "/>
      <sheetName val="CIEL PURIFICADA "/>
      <sheetName val="FANTA "/>
      <sheetName val="FRESCA "/>
      <sheetName val="COCA-COLA EXPORT"/>
      <sheetName val="COCA-COLA LIGHT "/>
      <sheetName val="LIFT "/>
      <sheetName val="NESTEA "/>
      <sheetName val="POWERADE "/>
      <sheetName val="DISNEY "/>
      <sheetName val="SENZAO "/>
      <sheetName val="SPRITE"/>
      <sheetName val="TABELA DE PREÇOS"/>
      <sheetName val="COEFICIENTES"/>
      <sheetName val="Integração - Earned Value"/>
      <sheetName val="Lojas"/>
      <sheetName val="Yield_Curve6"/>
      <sheetName val="Yield_Curve_(2)6"/>
      <sheetName val="Brazil_Sovereign6"/>
      <sheetName val="Brazil_Swap6"/>
      <sheetName val="Price_(2)6"/>
      <sheetName val="Dados_Cash6"/>
      <sheetName val="기간별_판매진척3"/>
      <sheetName val="Curve_Comparisons3"/>
      <sheetName val="요일_테이블3"/>
      <sheetName val="PackAppear__(2)5"/>
      <sheetName val="Resu_Capex5"/>
      <sheetName val="Efic_Consumo5"/>
      <sheetName val="OOO_(2)5"/>
      <sheetName val="PackAppear_5"/>
      <sheetName val="PQCM_(2)5"/>
      <sheetName val="PQRM_(2)5"/>
      <sheetName val="Res_Executivo5"/>
      <sheetName val="2001_10_Cerv5"/>
      <sheetName val="PLAN_SAC_Cerveja5"/>
      <sheetName val="PLAN_SAC_RefrigeNanc5"/>
      <sheetName val="2001_04_Cerv5"/>
      <sheetName val="Farol_SAC_Cerveja5"/>
      <sheetName val="2001_04_Nanc5"/>
      <sheetName val="Farol_SAC_Refrigenanc5"/>
      <sheetName val="Sig_Cycles_Accts_&amp;_Processes5"/>
      <sheetName val="Calc_15"/>
      <sheetName val="_Curve_Comp2"/>
      <sheetName val="WF_China_YTD3"/>
      <sheetName val="Riscos-Oport_3"/>
      <sheetName val="Relatório_SDG2"/>
      <sheetName val="EI_Calc2"/>
      <sheetName val="LBO_Model2"/>
      <sheetName val="[Curve_Comp????????????Brazil_2"/>
      <sheetName val="Balance_Fin_ajust_20042"/>
      <sheetName val="DATOS_PARA_INTERPOLACION2"/>
      <sheetName val="DPN_VALUE2"/>
      <sheetName val="Tabla_de_amortización2"/>
      <sheetName val="Coleta_dados1"/>
      <sheetName val="IV_Confiabilidade1"/>
      <sheetName val="IV_Indisponibilidade1"/>
      <sheetName val="Check_R__Diária1"/>
      <sheetName val="Histórico_Check_R__Diária1"/>
      <sheetName val="[Curve_Comp_x005f_x0000__x005f_x0000__x0001"/>
      <sheetName val="_Curve_Comp_x005f_x0000__x005f_x0000__x0001"/>
      <sheetName val="_Curve_Comp____________Brazil_1"/>
      <sheetName val="2_주요계수총괄1"/>
      <sheetName val="[Curve_Comp1"/>
      <sheetName val="Comparativo_99X001"/>
      <sheetName val="Tabela_de_Parâmetros1"/>
      <sheetName val="Versao_1b_($=R$2,13)1"/>
      <sheetName val="Pg_11"/>
      <sheetName val="Vol-Mix_x_Seg_AN1"/>
      <sheetName val="Fechamento_Mês1"/>
      <sheetName val="Fechamento_Diário1"/>
      <sheetName val="High_Light1"/>
      <sheetName val="%_Dispersão1"/>
      <sheetName val="%_Reprovação1"/>
      <sheetName val="%_Caco_Limpo_Unid_1"/>
      <sheetName val="Limpeza_de_Flint1"/>
      <sheetName val="Recb__Coop_1"/>
      <sheetName val="Recb__Flint1"/>
      <sheetName val="Apoio_Material1"/>
      <sheetName val="Apoio_transp_1"/>
      <sheetName val="INVESTMENTS_EUR"/>
      <sheetName val="DIVESTMENTS_EUR"/>
      <sheetName val="5_1"/>
      <sheetName val="Price_DB"/>
      <sheetName val="_Curve_Comp_x005f_x005f_x005f_x0000__x005f_x005f_"/>
      <sheetName val="[Curve_Comp_x005f_x005f_x005f_x0000__x005f_x005f_"/>
      <sheetName val="Données_LMU"/>
      <sheetName val="total_list"/>
      <sheetName val="Yield_Curve5"/>
      <sheetName val="Yield_Curve_(2)5"/>
      <sheetName val="Brazil_Sovereign5"/>
      <sheetName val="Brazil_Swap5"/>
      <sheetName val="Price_(2)5"/>
      <sheetName val="Dados_Cash5"/>
      <sheetName val="기간별_판매진척2"/>
      <sheetName val="Curve_Comparisons2"/>
      <sheetName val="요일_테이블2"/>
      <sheetName val="PackAppear__(2)4"/>
      <sheetName val="Resu_Capex4"/>
      <sheetName val="Efic_Consumo4"/>
      <sheetName val="OOO_(2)4"/>
      <sheetName val="PackAppear_4"/>
      <sheetName val="PQCM_(2)4"/>
      <sheetName val="PQRM_(2)4"/>
      <sheetName val="Res_Executivo4"/>
      <sheetName val="2001_10_Cerv4"/>
      <sheetName val="PLAN_SAC_Cerveja4"/>
      <sheetName val="PLAN_SAC_RefrigeNanc4"/>
      <sheetName val="2001_04_Cerv4"/>
      <sheetName val="Farol_SAC_Cerveja4"/>
      <sheetName val="2001_04_Nanc4"/>
      <sheetName val="Farol_SAC_Refrigenanc4"/>
      <sheetName val="Sig_Cycles_Accts_&amp;_Processes4"/>
      <sheetName val="Calc_14"/>
      <sheetName val="_Curve_Comp1"/>
      <sheetName val="WF_China_YTD2"/>
      <sheetName val="Riscos-Oport_2"/>
      <sheetName val="Relatório_SDG1"/>
      <sheetName val="EI_Calc1"/>
      <sheetName val="LBO_Model1"/>
      <sheetName val="[Curve_Comp????????????Brazil_1"/>
      <sheetName val="Balance_Fin_ajust_20041"/>
      <sheetName val="DATOS_PARA_INTERPOLACION1"/>
      <sheetName val="DPN_VALUE1"/>
      <sheetName val="Tabla_de_amortización1"/>
      <sheetName val="Coleta_dados"/>
      <sheetName val="IV_Confiabilidade"/>
      <sheetName val="IV_Indisponibilidade"/>
      <sheetName val="Check_R__Diária"/>
      <sheetName val="Histórico_Check_R__Diária"/>
      <sheetName val="[Curve_Comp_x005f_x0000__x005f_x0000__x0000"/>
      <sheetName val="_Curve_Comp_x005f_x0000__x005f_x0000__x0000"/>
      <sheetName val="2_주요계수총괄"/>
      <sheetName val="[Curve_Comp"/>
      <sheetName val="Comparativo_99X00"/>
      <sheetName val="Tabela_de_Parâmetros"/>
      <sheetName val="Versao_1b_($=R$2,13)"/>
      <sheetName val="Pg_1"/>
      <sheetName val="Vol-Mix_x_Seg_AN"/>
      <sheetName val="Fechamento_Mês"/>
      <sheetName val="Fechamento_Diário"/>
      <sheetName val="High_Light"/>
      <sheetName val="%_Dispersão"/>
      <sheetName val="%_Reprovação"/>
      <sheetName val="%_Caco_Limpo_Unid_"/>
      <sheetName val="Limpeza_de_Flint"/>
      <sheetName val="Recb__Coop_"/>
      <sheetName val="Recb__Flint"/>
      <sheetName val="Apoio_Material"/>
      <sheetName val="Apoio_transp_"/>
      <sheetName val="코드"/>
      <sheetName val="_Curve Comp_x0000__x0000__x0000"/>
      <sheetName val="_Curve Comp_x005f_x0000__"/>
      <sheetName val="CausasProblemasFolios"/>
      <sheetName val="Base de datos"/>
      <sheetName val="TOP KPIs MTM"/>
      <sheetName val="Total_CDD"/>
      <sheetName val="Data Validation"/>
      <sheetName val="PozoPivot"/>
      <sheetName val="InyeccionPivot"/>
      <sheetName val="RG Depots"/>
      <sheetName val="plamarc"/>
      <sheetName val="Outubro 2018"/>
      <sheetName val="Datos Cta Balance"/>
      <sheetName val="IMMATREN"/>
      <sheetName val="prog. tv aberta ca"/>
      <sheetName val="prog. tv aberta fox"/>
      <sheetName val="TABELA_DE_PREÇOS"/>
      <sheetName val="Yield_Curve7"/>
      <sheetName val="Yield_Curve_(2)7"/>
      <sheetName val="Brazil_Sovereign7"/>
      <sheetName val="Brazil_Swap7"/>
      <sheetName val="Price_(2)7"/>
      <sheetName val="Dados_Cash7"/>
      <sheetName val="Sig_Cycles_Accts_&amp;_Processes6"/>
      <sheetName val="PackAppear__(2)6"/>
      <sheetName val="Resu_Capex6"/>
      <sheetName val="Efic_Consumo6"/>
      <sheetName val="OOO_(2)6"/>
      <sheetName val="PackAppear_6"/>
      <sheetName val="PQCM_(2)6"/>
      <sheetName val="PQRM_(2)6"/>
      <sheetName val="Res_Executivo6"/>
      <sheetName val="2001_10_Cerv6"/>
      <sheetName val="PLAN_SAC_Cerveja6"/>
      <sheetName val="PLAN_SAC_RefrigeNanc6"/>
      <sheetName val="2001_04_Cerv6"/>
      <sheetName val="Farol_SAC_Cerveja6"/>
      <sheetName val="2001_04_Nanc6"/>
      <sheetName val="Farol_SAC_Refrigenanc6"/>
      <sheetName val="Calc_16"/>
      <sheetName val="WF_China_YTD4"/>
      <sheetName val="Curve_Comparisons4"/>
      <sheetName val="Riscos-Oport_4"/>
      <sheetName val="_Curve_Comp3"/>
      <sheetName val="Relatório_SDG3"/>
      <sheetName val="EI_Calc3"/>
      <sheetName val="기간별_판매진척4"/>
      <sheetName val="요일_테이블4"/>
      <sheetName val="LBO_Model3"/>
      <sheetName val="[Curve_Comp????????????Brazil_3"/>
      <sheetName val="Balance_Fin_ajust_20043"/>
      <sheetName val="DATOS_PARA_INTERPOLACION3"/>
      <sheetName val="DPN_VALUE3"/>
      <sheetName val="Tabla_de_amortización3"/>
      <sheetName val="Curve%20Comparisons_xls"/>
      <sheetName val="Coleta_dados2"/>
      <sheetName val="IV_Confiabilidade2"/>
      <sheetName val="IV_Indisponibilidade2"/>
      <sheetName val="Check_R__Diária2"/>
      <sheetName val="Histórico_Check_R__Diária2"/>
      <sheetName val="[Curve_Comp_x005f_x0000__x005f_x0000__x0002"/>
      <sheetName val="_Curve_Comp_x005f_x0000__x005f_x0000__x0002"/>
      <sheetName val="_Curve_Comp____________Brazil_2"/>
      <sheetName val="[Curve_Comp2"/>
      <sheetName val="Comparativo_99X002"/>
      <sheetName val="Tabela_de_Parâmetros2"/>
      <sheetName val="Versao_1b_($=R$2,13)2"/>
      <sheetName val="2_주요계수총괄2"/>
      <sheetName val="Pg_12"/>
      <sheetName val="Vol-Mix_x_Seg_AN2"/>
      <sheetName val="Fechamento_Mês2"/>
      <sheetName val="Fechamento_Diário2"/>
      <sheetName val="High_Light2"/>
      <sheetName val="%_Dispersão2"/>
      <sheetName val="%_Reprovação2"/>
      <sheetName val="%_Caco_Limpo_Unid_2"/>
      <sheetName val="Limpeza_de_Flint2"/>
      <sheetName val="Recb__Coop_2"/>
      <sheetName val="Recb__Flint2"/>
      <sheetName val="Apoio_Material2"/>
      <sheetName val="Apoio_transp_2"/>
      <sheetName val="5_11"/>
      <sheetName val="INVESTMENTS_EUR1"/>
      <sheetName val="DIVESTMENTS_EUR1"/>
      <sheetName val="Price_DB1"/>
      <sheetName val="_Curve_Comp_x005f_x005f_x005f_x0000__x005f1"/>
      <sheetName val="[Curve_Comp_x005f_x005f_x005f_x0000__x005f1"/>
      <sheetName val="Données_LMU1"/>
      <sheetName val="Total_CDD1"/>
      <sheetName val="total_list1"/>
      <sheetName val="LISTA_SUSPENSA"/>
      <sheetName val="Directrices_de_Metas_2017"/>
      <sheetName val="VICTEL_($R)"/>
      <sheetName val="BC_-_Main_model"/>
      <sheetName val="Integração_-_Earned_Value"/>
      <sheetName val="BEAT_"/>
      <sheetName val="CIEL_PURIFICADA_"/>
      <sheetName val="DISNEY_"/>
      <sheetName val="FANTA_"/>
      <sheetName val="FRESCA_"/>
      <sheetName val="COCA-COLA_EXPORT"/>
      <sheetName val="COCA-COLA_LIGHT_"/>
      <sheetName val="LIFT_"/>
      <sheetName val="NESTEA_"/>
      <sheetName val="POWERADE_"/>
      <sheetName val="SENZAO_"/>
      <sheetName val="_Curve_Comp_x0000"/>
      <sheetName val="_Curve_Comp_x005f_x0000__"/>
      <sheetName val="Base_de_datos"/>
      <sheetName val="TOP_KPIs_MTM"/>
      <sheetName val="Data_Validation"/>
      <sheetName val="RG_Depots"/>
      <sheetName val="Outubro_2018"/>
      <sheetName val="prog__tv_aberta_ca"/>
      <sheetName val="prog__tv_aberta_fox"/>
      <sheetName val="TABELA_DE_PREÇOS1"/>
      <sheetName val="Yield_Curve8"/>
      <sheetName val="Yield_Curve_(2)8"/>
      <sheetName val="Brazil_Sovereign8"/>
      <sheetName val="Brazil_Swap8"/>
      <sheetName val="Price_(2)8"/>
      <sheetName val="Dados_Cash8"/>
      <sheetName val="Sig_Cycles_Accts_&amp;_Processes7"/>
      <sheetName val="PackAppear__(2)7"/>
      <sheetName val="Resu_Capex7"/>
      <sheetName val="Efic_Consumo7"/>
      <sheetName val="OOO_(2)7"/>
      <sheetName val="PackAppear_7"/>
      <sheetName val="PQCM_(2)7"/>
      <sheetName val="PQRM_(2)7"/>
      <sheetName val="Res_Executivo7"/>
      <sheetName val="2001_10_Cerv7"/>
      <sheetName val="PLAN_SAC_Cerveja7"/>
      <sheetName val="PLAN_SAC_RefrigeNanc7"/>
      <sheetName val="2001_04_Cerv7"/>
      <sheetName val="Farol_SAC_Cerveja7"/>
      <sheetName val="2001_04_Nanc7"/>
      <sheetName val="Farol_SAC_Refrigenanc7"/>
      <sheetName val="Calc_17"/>
      <sheetName val="WF_China_YTD5"/>
      <sheetName val="Curve_Comparisons5"/>
      <sheetName val="Riscos-Oport_5"/>
      <sheetName val="_Curve_Comp4"/>
      <sheetName val="Relatório_SDG4"/>
      <sheetName val="EI_Calc4"/>
      <sheetName val="기간별_판매진척5"/>
      <sheetName val="요일_테이블5"/>
      <sheetName val="LBO_Model4"/>
      <sheetName val="[Curve_Comp????????????Brazil_4"/>
      <sheetName val="Balance_Fin_ajust_20044"/>
      <sheetName val="DATOS_PARA_INTERPOLACION4"/>
      <sheetName val="DPN_VALUE4"/>
      <sheetName val="Tabla_de_amortización4"/>
      <sheetName val="Curve%20Comparisons_xls1"/>
      <sheetName val="Coleta_dados3"/>
      <sheetName val="IV_Confiabilidade3"/>
      <sheetName val="IV_Indisponibilidade3"/>
      <sheetName val="Check_R__Diária3"/>
      <sheetName val="Histórico_Check_R__Diária3"/>
      <sheetName val="[Curve_Comp_x005f_x0000__x005f_x0000__x0003"/>
      <sheetName val="_Curve_Comp_x005f_x0000__x005f_x0000__x0003"/>
      <sheetName val="_Curve_Comp____________Brazil_3"/>
      <sheetName val="[Curve_Comp3"/>
      <sheetName val="Comparativo_99X003"/>
      <sheetName val="Tabela_de_Parâmetros3"/>
      <sheetName val="Versao_1b_($=R$2,13)3"/>
      <sheetName val="2_주요계수총괄3"/>
      <sheetName val="Pg_13"/>
      <sheetName val="Vol-Mix_x_Seg_AN3"/>
      <sheetName val="Fechamento_Mês3"/>
      <sheetName val="Fechamento_Diário3"/>
      <sheetName val="High_Light3"/>
      <sheetName val="%_Dispersão3"/>
      <sheetName val="%_Reprovação3"/>
      <sheetName val="%_Caco_Limpo_Unid_3"/>
      <sheetName val="Limpeza_de_Flint3"/>
      <sheetName val="Recb__Coop_3"/>
      <sheetName val="Recb__Flint3"/>
      <sheetName val="Apoio_Material3"/>
      <sheetName val="Apoio_transp_3"/>
      <sheetName val="5_12"/>
      <sheetName val="INVESTMENTS_EUR2"/>
      <sheetName val="DIVESTMENTS_EUR2"/>
      <sheetName val="Price_DB2"/>
      <sheetName val="_Curve_Comp_x005f_x005f_x005f_x0000__x005f2"/>
      <sheetName val="[Curve_Comp_x005f_x005f_x005f_x0000__x005f2"/>
      <sheetName val="Données_LMU2"/>
      <sheetName val="Total_CDD2"/>
      <sheetName val="total_list2"/>
      <sheetName val="LISTA_SUSPENSA1"/>
      <sheetName val="Directrices_de_Metas_20171"/>
      <sheetName val="VICTEL_($R)1"/>
      <sheetName val="BC_-_Main_model1"/>
      <sheetName val="Integração_-_Earned_Value1"/>
      <sheetName val="BEAT_1"/>
      <sheetName val="CIEL_PURIFICADA_1"/>
      <sheetName val="DISNEY_1"/>
      <sheetName val="FANTA_1"/>
      <sheetName val="FRESCA_1"/>
      <sheetName val="COCA-COLA_EXPORT1"/>
      <sheetName val="COCA-COLA_LIGHT_1"/>
      <sheetName val="LIFT_1"/>
      <sheetName val="NESTEA_1"/>
      <sheetName val="POWERADE_1"/>
      <sheetName val="SENZAO_1"/>
      <sheetName val="_Curve_Comp_x005f_x0000__1"/>
      <sheetName val="Base_de_datos1"/>
      <sheetName val="TOP_KPIs_MTM1"/>
      <sheetName val="Data_Validation1"/>
      <sheetName val="RG_Depots1"/>
      <sheetName val="Outubro_20181"/>
      <sheetName val="prog__tv_aberta_ca1"/>
      <sheetName val="prog__tv_aberta_fox1"/>
      <sheetName val="distr.outdoor"/>
      <sheetName val="Datos_Cta_Balance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 refreshError="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 refreshError="1"/>
      <sheetData sheetId="160" refreshError="1"/>
      <sheetData sheetId="161" refreshError="1"/>
      <sheetData sheetId="162" refreshError="1"/>
      <sheetData sheetId="163" refreshError="1"/>
      <sheetData sheetId="164" refreshError="1"/>
      <sheetData sheetId="165" refreshError="1"/>
      <sheetData sheetId="166" refreshError="1"/>
      <sheetData sheetId="167" refreshError="1"/>
      <sheetData sheetId="168" refreshError="1"/>
      <sheetData sheetId="169" refreshError="1"/>
      <sheetData sheetId="170" refreshError="1"/>
      <sheetData sheetId="171" refreshError="1"/>
      <sheetData sheetId="172" refreshError="1"/>
      <sheetData sheetId="173" refreshError="1"/>
      <sheetData sheetId="174" refreshError="1"/>
      <sheetData sheetId="175" refreshError="1"/>
      <sheetData sheetId="176" refreshError="1"/>
      <sheetData sheetId="177" refreshError="1"/>
      <sheetData sheetId="178" refreshError="1"/>
      <sheetData sheetId="179" refreshError="1"/>
      <sheetData sheetId="180" refreshError="1"/>
      <sheetData sheetId="181" refreshError="1"/>
      <sheetData sheetId="182" refreshError="1"/>
      <sheetData sheetId="183" refreshError="1"/>
      <sheetData sheetId="184" refreshError="1"/>
      <sheetData sheetId="185" refreshError="1"/>
      <sheetData sheetId="186" refreshError="1"/>
      <sheetData sheetId="187" refreshError="1"/>
      <sheetData sheetId="188" refreshError="1"/>
      <sheetData sheetId="189" refreshError="1"/>
      <sheetData sheetId="190" refreshError="1"/>
      <sheetData sheetId="191" refreshError="1"/>
      <sheetData sheetId="192" refreshError="1"/>
      <sheetData sheetId="193" refreshError="1"/>
      <sheetData sheetId="194" refreshError="1"/>
      <sheetData sheetId="195" refreshError="1"/>
      <sheetData sheetId="196" refreshError="1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 refreshError="1"/>
      <sheetData sheetId="206" refreshError="1"/>
      <sheetData sheetId="207" refreshError="1"/>
      <sheetData sheetId="208" refreshError="1"/>
      <sheetData sheetId="209" refreshError="1"/>
      <sheetData sheetId="210" refreshError="1"/>
      <sheetData sheetId="211" refreshError="1"/>
      <sheetData sheetId="212" refreshError="1"/>
      <sheetData sheetId="213" refreshError="1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 refreshError="1"/>
      <sheetData sheetId="234" refreshError="1"/>
      <sheetData sheetId="235" refreshError="1"/>
      <sheetData sheetId="236" refreshError="1"/>
      <sheetData sheetId="237" refreshError="1"/>
      <sheetData sheetId="238" refreshError="1"/>
      <sheetData sheetId="239" refreshError="1"/>
      <sheetData sheetId="240" refreshError="1"/>
      <sheetData sheetId="241" refreshError="1"/>
      <sheetData sheetId="242" refreshError="1"/>
      <sheetData sheetId="243" refreshError="1"/>
      <sheetData sheetId="244" refreshError="1"/>
      <sheetData sheetId="245" refreshError="1"/>
      <sheetData sheetId="246" refreshError="1"/>
      <sheetData sheetId="247" refreshError="1"/>
      <sheetData sheetId="248" refreshError="1"/>
      <sheetData sheetId="249" refreshError="1"/>
      <sheetData sheetId="250" refreshError="1"/>
      <sheetData sheetId="251" refreshError="1"/>
      <sheetData sheetId="252" refreshError="1"/>
      <sheetData sheetId="253" refreshError="1"/>
      <sheetData sheetId="254" refreshError="1"/>
      <sheetData sheetId="255" refreshError="1"/>
      <sheetData sheetId="256" refreshError="1"/>
      <sheetData sheetId="257" refreshError="1"/>
      <sheetData sheetId="258" refreshError="1"/>
      <sheetData sheetId="259" refreshError="1"/>
      <sheetData sheetId="260" refreshError="1"/>
      <sheetData sheetId="261" refreshError="1"/>
      <sheetData sheetId="262" refreshError="1"/>
      <sheetData sheetId="263" refreshError="1"/>
      <sheetData sheetId="264" refreshError="1"/>
      <sheetData sheetId="265" refreshError="1"/>
      <sheetData sheetId="266" refreshError="1"/>
      <sheetData sheetId="267" refreshError="1"/>
      <sheetData sheetId="268" refreshError="1"/>
      <sheetData sheetId="269" refreshError="1"/>
      <sheetData sheetId="270" refreshError="1"/>
      <sheetData sheetId="271" refreshError="1"/>
      <sheetData sheetId="272" refreshError="1"/>
      <sheetData sheetId="273" refreshError="1"/>
      <sheetData sheetId="274" refreshError="1"/>
      <sheetData sheetId="275" refreshError="1"/>
      <sheetData sheetId="276" refreshError="1"/>
      <sheetData sheetId="277" refreshError="1"/>
      <sheetData sheetId="278" refreshError="1"/>
      <sheetData sheetId="279" refreshError="1"/>
      <sheetData sheetId="280" refreshError="1"/>
      <sheetData sheetId="281" refreshError="1"/>
      <sheetData sheetId="282" refreshError="1"/>
      <sheetData sheetId="283" refreshError="1"/>
      <sheetData sheetId="284" refreshError="1"/>
      <sheetData sheetId="285" refreshError="1"/>
      <sheetData sheetId="286" refreshError="1"/>
      <sheetData sheetId="287" refreshError="1"/>
      <sheetData sheetId="288" refreshError="1"/>
      <sheetData sheetId="289" refreshError="1"/>
      <sheetData sheetId="290" refreshError="1"/>
      <sheetData sheetId="291" refreshError="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 refreshError="1"/>
      <sheetData sheetId="298" refreshError="1"/>
      <sheetData sheetId="299" refreshError="1"/>
      <sheetData sheetId="300" refreshError="1"/>
      <sheetData sheetId="301" refreshError="1"/>
      <sheetData sheetId="302" refreshError="1"/>
      <sheetData sheetId="303" refreshError="1"/>
      <sheetData sheetId="304" refreshError="1"/>
      <sheetData sheetId="305" refreshError="1"/>
      <sheetData sheetId="306" refreshError="1"/>
      <sheetData sheetId="307" refreshError="1"/>
      <sheetData sheetId="308" refreshError="1"/>
      <sheetData sheetId="309" refreshError="1"/>
      <sheetData sheetId="310" refreshError="1"/>
      <sheetData sheetId="311" refreshError="1"/>
      <sheetData sheetId="312" refreshError="1"/>
      <sheetData sheetId="313" refreshError="1"/>
      <sheetData sheetId="314" refreshError="1"/>
      <sheetData sheetId="315" refreshError="1"/>
      <sheetData sheetId="316" refreshError="1"/>
      <sheetData sheetId="317" refreshError="1"/>
      <sheetData sheetId="318" refreshError="1"/>
      <sheetData sheetId="319" refreshError="1"/>
      <sheetData sheetId="320" refreshError="1"/>
      <sheetData sheetId="321" refreshError="1"/>
      <sheetData sheetId="322" refreshError="1"/>
      <sheetData sheetId="323" refreshError="1"/>
      <sheetData sheetId="324" refreshError="1"/>
      <sheetData sheetId="325" refreshError="1"/>
      <sheetData sheetId="326" refreshError="1"/>
      <sheetData sheetId="327" refreshError="1"/>
      <sheetData sheetId="328" refreshError="1"/>
      <sheetData sheetId="329" refreshError="1"/>
      <sheetData sheetId="330" refreshError="1"/>
      <sheetData sheetId="331" refreshError="1"/>
      <sheetData sheetId="332" refreshError="1"/>
      <sheetData sheetId="333" refreshError="1"/>
      <sheetData sheetId="334" refreshError="1"/>
      <sheetData sheetId="335" refreshError="1"/>
      <sheetData sheetId="336" refreshError="1"/>
      <sheetData sheetId="337" refreshError="1"/>
      <sheetData sheetId="338" refreshError="1"/>
      <sheetData sheetId="339" refreshError="1"/>
      <sheetData sheetId="340" refreshError="1"/>
      <sheetData sheetId="341" refreshError="1"/>
      <sheetData sheetId="342" refreshError="1"/>
      <sheetData sheetId="343" refreshError="1"/>
      <sheetData sheetId="344" refreshError="1"/>
      <sheetData sheetId="345" refreshError="1"/>
      <sheetData sheetId="346" refreshError="1"/>
      <sheetData sheetId="347" refreshError="1"/>
      <sheetData sheetId="348"/>
      <sheetData sheetId="349"/>
      <sheetData sheetId="350"/>
      <sheetData sheetId="351"/>
      <sheetData sheetId="352"/>
      <sheetData sheetId="353"/>
      <sheetData sheetId="354"/>
      <sheetData sheetId="355"/>
      <sheetData sheetId="356"/>
      <sheetData sheetId="357"/>
      <sheetData sheetId="358"/>
      <sheetData sheetId="359"/>
      <sheetData sheetId="360"/>
      <sheetData sheetId="361"/>
      <sheetData sheetId="362"/>
      <sheetData sheetId="363"/>
      <sheetData sheetId="364"/>
      <sheetData sheetId="365"/>
      <sheetData sheetId="366"/>
      <sheetData sheetId="367"/>
      <sheetData sheetId="368"/>
      <sheetData sheetId="369"/>
      <sheetData sheetId="370"/>
      <sheetData sheetId="371"/>
      <sheetData sheetId="372"/>
      <sheetData sheetId="373"/>
      <sheetData sheetId="374"/>
      <sheetData sheetId="375"/>
      <sheetData sheetId="376"/>
      <sheetData sheetId="377"/>
      <sheetData sheetId="378"/>
      <sheetData sheetId="379"/>
      <sheetData sheetId="380"/>
      <sheetData sheetId="381"/>
      <sheetData sheetId="382"/>
      <sheetData sheetId="383"/>
      <sheetData sheetId="384"/>
      <sheetData sheetId="385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 refreshError="1"/>
      <sheetData sheetId="399" refreshError="1"/>
      <sheetData sheetId="400" refreshError="1"/>
      <sheetData sheetId="401" refreshError="1"/>
      <sheetData sheetId="402" refreshError="1"/>
      <sheetData sheetId="403" refreshError="1"/>
      <sheetData sheetId="404" refreshError="1"/>
      <sheetData sheetId="405" refreshError="1"/>
      <sheetData sheetId="406" refreshError="1"/>
      <sheetData sheetId="407" refreshError="1"/>
      <sheetData sheetId="408" refreshError="1"/>
      <sheetData sheetId="409" refreshError="1"/>
      <sheetData sheetId="410" refreshError="1"/>
      <sheetData sheetId="411" refreshError="1"/>
      <sheetData sheetId="412" refreshError="1"/>
      <sheetData sheetId="413" refreshError="1"/>
      <sheetData sheetId="414" refreshError="1"/>
      <sheetData sheetId="415" refreshError="1"/>
      <sheetData sheetId="416" refreshError="1"/>
      <sheetData sheetId="417" refreshError="1"/>
      <sheetData sheetId="418" refreshError="1"/>
      <sheetData sheetId="419" refreshError="1"/>
      <sheetData sheetId="420" refreshError="1"/>
      <sheetData sheetId="421" refreshError="1"/>
      <sheetData sheetId="422" refreshError="1"/>
      <sheetData sheetId="423" refreshError="1"/>
      <sheetData sheetId="424" refreshError="1"/>
      <sheetData sheetId="425" refreshError="1"/>
      <sheetData sheetId="426" refreshError="1"/>
      <sheetData sheetId="427" refreshError="1"/>
      <sheetData sheetId="428" refreshError="1"/>
      <sheetData sheetId="429" refreshError="1"/>
      <sheetData sheetId="430" refreshError="1"/>
      <sheetData sheetId="431" refreshError="1"/>
      <sheetData sheetId="432" refreshError="1"/>
      <sheetData sheetId="433" refreshError="1"/>
      <sheetData sheetId="434" refreshError="1"/>
      <sheetData sheetId="435" refreshError="1"/>
      <sheetData sheetId="436" refreshError="1"/>
      <sheetData sheetId="437" refreshError="1"/>
      <sheetData sheetId="438" refreshError="1"/>
      <sheetData sheetId="439" refreshError="1"/>
      <sheetData sheetId="440" refreshError="1"/>
      <sheetData sheetId="441" refreshError="1"/>
      <sheetData sheetId="442" refreshError="1"/>
      <sheetData sheetId="443" refreshError="1"/>
      <sheetData sheetId="444" refreshError="1"/>
      <sheetData sheetId="445" refreshError="1"/>
      <sheetData sheetId="446" refreshError="1"/>
      <sheetData sheetId="447" refreshError="1"/>
      <sheetData sheetId="448" refreshError="1"/>
      <sheetData sheetId="449" refreshError="1"/>
      <sheetData sheetId="450" refreshError="1"/>
      <sheetData sheetId="451" refreshError="1"/>
      <sheetData sheetId="452" refreshError="1"/>
      <sheetData sheetId="453" refreshError="1"/>
      <sheetData sheetId="454" refreshError="1"/>
      <sheetData sheetId="455" refreshError="1"/>
      <sheetData sheetId="456" refreshError="1"/>
      <sheetData sheetId="457" refreshError="1"/>
      <sheetData sheetId="458" refreshError="1"/>
      <sheetData sheetId="459" refreshError="1"/>
      <sheetData sheetId="460" refreshError="1"/>
      <sheetData sheetId="461" refreshError="1"/>
      <sheetData sheetId="462" refreshError="1"/>
      <sheetData sheetId="463" refreshError="1"/>
      <sheetData sheetId="464" refreshError="1"/>
      <sheetData sheetId="465" refreshError="1"/>
      <sheetData sheetId="466" refreshError="1"/>
      <sheetData sheetId="467" refreshError="1"/>
      <sheetData sheetId="468" refreshError="1"/>
      <sheetData sheetId="469" refreshError="1"/>
      <sheetData sheetId="470" refreshError="1"/>
      <sheetData sheetId="471" refreshError="1"/>
      <sheetData sheetId="472" refreshError="1"/>
      <sheetData sheetId="473" refreshError="1"/>
      <sheetData sheetId="474" refreshError="1"/>
      <sheetData sheetId="475" refreshError="1"/>
      <sheetData sheetId="476" refreshError="1"/>
      <sheetData sheetId="477" refreshError="1"/>
      <sheetData sheetId="478" refreshError="1"/>
      <sheetData sheetId="479" refreshError="1"/>
      <sheetData sheetId="480" refreshError="1"/>
      <sheetData sheetId="481" refreshError="1"/>
      <sheetData sheetId="482" refreshError="1"/>
      <sheetData sheetId="483" refreshError="1"/>
      <sheetData sheetId="484" refreshError="1"/>
      <sheetData sheetId="485" refreshError="1"/>
      <sheetData sheetId="486" refreshError="1"/>
      <sheetData sheetId="487" refreshError="1"/>
      <sheetData sheetId="488" refreshError="1"/>
      <sheetData sheetId="489" refreshError="1"/>
      <sheetData sheetId="490" refreshError="1"/>
      <sheetData sheetId="491" refreshError="1"/>
      <sheetData sheetId="492" refreshError="1"/>
      <sheetData sheetId="493" refreshError="1"/>
      <sheetData sheetId="494" refreshError="1"/>
      <sheetData sheetId="495"/>
      <sheetData sheetId="496"/>
      <sheetData sheetId="497"/>
      <sheetData sheetId="498"/>
      <sheetData sheetId="499"/>
      <sheetData sheetId="500"/>
      <sheetData sheetId="501"/>
      <sheetData sheetId="502"/>
      <sheetData sheetId="503"/>
      <sheetData sheetId="504"/>
      <sheetData sheetId="505"/>
      <sheetData sheetId="506"/>
      <sheetData sheetId="507"/>
      <sheetData sheetId="508"/>
      <sheetData sheetId="509"/>
      <sheetData sheetId="510"/>
      <sheetData sheetId="511"/>
      <sheetData sheetId="512"/>
      <sheetData sheetId="513"/>
      <sheetData sheetId="514"/>
      <sheetData sheetId="515"/>
      <sheetData sheetId="516"/>
      <sheetData sheetId="517"/>
      <sheetData sheetId="518"/>
      <sheetData sheetId="519"/>
      <sheetData sheetId="520"/>
      <sheetData sheetId="521"/>
      <sheetData sheetId="522"/>
      <sheetData sheetId="523"/>
      <sheetData sheetId="524"/>
      <sheetData sheetId="525"/>
      <sheetData sheetId="526"/>
      <sheetData sheetId="527"/>
      <sheetData sheetId="528"/>
      <sheetData sheetId="529"/>
      <sheetData sheetId="530"/>
      <sheetData sheetId="531"/>
      <sheetData sheetId="532"/>
      <sheetData sheetId="533"/>
      <sheetData sheetId="534"/>
      <sheetData sheetId="535"/>
      <sheetData sheetId="536"/>
      <sheetData sheetId="537"/>
      <sheetData sheetId="538"/>
      <sheetData sheetId="539"/>
      <sheetData sheetId="540"/>
      <sheetData sheetId="541"/>
      <sheetData sheetId="542"/>
      <sheetData sheetId="543"/>
      <sheetData sheetId="544"/>
      <sheetData sheetId="545"/>
      <sheetData sheetId="546"/>
      <sheetData sheetId="547"/>
      <sheetData sheetId="548"/>
      <sheetData sheetId="549"/>
      <sheetData sheetId="550"/>
      <sheetData sheetId="551"/>
      <sheetData sheetId="552"/>
      <sheetData sheetId="553"/>
      <sheetData sheetId="554"/>
      <sheetData sheetId="555"/>
      <sheetData sheetId="556"/>
      <sheetData sheetId="557"/>
      <sheetData sheetId="558"/>
      <sheetData sheetId="559"/>
      <sheetData sheetId="560"/>
      <sheetData sheetId="561"/>
      <sheetData sheetId="562"/>
      <sheetData sheetId="563"/>
      <sheetData sheetId="564"/>
      <sheetData sheetId="565"/>
      <sheetData sheetId="566"/>
      <sheetData sheetId="567"/>
      <sheetData sheetId="568"/>
      <sheetData sheetId="569"/>
      <sheetData sheetId="570"/>
      <sheetData sheetId="571"/>
      <sheetData sheetId="572"/>
      <sheetData sheetId="573"/>
      <sheetData sheetId="574"/>
      <sheetData sheetId="575"/>
      <sheetData sheetId="576"/>
      <sheetData sheetId="577"/>
      <sheetData sheetId="578"/>
      <sheetData sheetId="579"/>
      <sheetData sheetId="580"/>
      <sheetData sheetId="581"/>
      <sheetData sheetId="582"/>
      <sheetData sheetId="583"/>
      <sheetData sheetId="584"/>
      <sheetData sheetId="585"/>
      <sheetData sheetId="586"/>
      <sheetData sheetId="587"/>
      <sheetData sheetId="588"/>
      <sheetData sheetId="589"/>
      <sheetData sheetId="590"/>
      <sheetData sheetId="591"/>
      <sheetData sheetId="592"/>
      <sheetData sheetId="593"/>
      <sheetData sheetId="594"/>
      <sheetData sheetId="595"/>
      <sheetData sheetId="596"/>
      <sheetData sheetId="597"/>
      <sheetData sheetId="598"/>
      <sheetData sheetId="599"/>
      <sheetData sheetId="600"/>
      <sheetData sheetId="601"/>
      <sheetData sheetId="602"/>
      <sheetData sheetId="603"/>
      <sheetData sheetId="604"/>
      <sheetData sheetId="605"/>
      <sheetData sheetId="606"/>
      <sheetData sheetId="607"/>
      <sheetData sheetId="608"/>
      <sheetData sheetId="609"/>
      <sheetData sheetId="610"/>
      <sheetData sheetId="611"/>
      <sheetData sheetId="612"/>
      <sheetData sheetId="613"/>
      <sheetData sheetId="614"/>
      <sheetData sheetId="615"/>
      <sheetData sheetId="616"/>
      <sheetData sheetId="617"/>
      <sheetData sheetId="618"/>
      <sheetData sheetId="619"/>
      <sheetData sheetId="620"/>
      <sheetData sheetId="621"/>
      <sheetData sheetId="622"/>
      <sheetData sheetId="623"/>
      <sheetData sheetId="624"/>
      <sheetData sheetId="625"/>
      <sheetData sheetId="626"/>
      <sheetData sheetId="627"/>
      <sheetData sheetId="628"/>
      <sheetData sheetId="629"/>
      <sheetData sheetId="630"/>
      <sheetData sheetId="631"/>
      <sheetData sheetId="632"/>
      <sheetData sheetId="633"/>
      <sheetData sheetId="634"/>
      <sheetData sheetId="635"/>
      <sheetData sheetId="636"/>
      <sheetData sheetId="637"/>
      <sheetData sheetId="638"/>
      <sheetData sheetId="639"/>
      <sheetData sheetId="640"/>
      <sheetData sheetId="641"/>
      <sheetData sheetId="642"/>
      <sheetData sheetId="643"/>
      <sheetData sheetId="644"/>
      <sheetData sheetId="645"/>
      <sheetData sheetId="646"/>
      <sheetData sheetId="647"/>
      <sheetData sheetId="648"/>
      <sheetData sheetId="649"/>
      <sheetData sheetId="650"/>
      <sheetData sheetId="651"/>
      <sheetData sheetId="652"/>
      <sheetData sheetId="653"/>
      <sheetData sheetId="654"/>
      <sheetData sheetId="655"/>
      <sheetData sheetId="656"/>
      <sheetData sheetId="657"/>
      <sheetData sheetId="658"/>
      <sheetData sheetId="659"/>
      <sheetData sheetId="660"/>
      <sheetData sheetId="661"/>
      <sheetData sheetId="662"/>
      <sheetData sheetId="663"/>
      <sheetData sheetId="664"/>
      <sheetData sheetId="665"/>
      <sheetData sheetId="666"/>
      <sheetData sheetId="667"/>
      <sheetData sheetId="668"/>
      <sheetData sheetId="669"/>
      <sheetData sheetId="670"/>
      <sheetData sheetId="671"/>
      <sheetData sheetId="672"/>
      <sheetData sheetId="673"/>
      <sheetData sheetId="674"/>
      <sheetData sheetId="675"/>
      <sheetData sheetId="676"/>
      <sheetData sheetId="677"/>
      <sheetData sheetId="678"/>
      <sheetData sheetId="679"/>
      <sheetData sheetId="680"/>
      <sheetData sheetId="681"/>
      <sheetData sheetId="682"/>
      <sheetData sheetId="683"/>
      <sheetData sheetId="684"/>
      <sheetData sheetId="685"/>
      <sheetData sheetId="686"/>
      <sheetData sheetId="687"/>
      <sheetData sheetId="688"/>
      <sheetData sheetId="689"/>
      <sheetData sheetId="690"/>
      <sheetData sheetId="691"/>
      <sheetData sheetId="692" refreshError="1"/>
      <sheetData sheetId="693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hare Price 2002"/>
      <sheetName val="Group Comparative GAAP"/>
      <sheetName val="Group Comparative IAS"/>
      <sheetName val="R-U IAS History"/>
      <sheetName val="Cash Flow Working"/>
      <sheetName val="REPO"/>
      <sheetName val="TB GAAP"/>
      <sheetName val="TB IAS"/>
      <sheetName val="Income Statement"/>
      <sheetName val="Balance Sheet"/>
      <sheetName val="Cash Flow"/>
      <sheetName val="G-I-F Total"/>
      <sheetName val="G-I-F (RU)"/>
      <sheetName val="G-I-F (UA)"/>
      <sheetName val="FLash IAS"/>
      <sheetName val="Loans"/>
      <sheetName val="Cash Flow support"/>
      <sheetName val="Income Statement Russia and Ukr"/>
      <sheetName val="Class A Shares Outstanding"/>
      <sheetName val="Class B Shares Outstanding"/>
      <sheetName val="Dilutive Shares Outstanding"/>
      <sheetName val="EPS Working"/>
      <sheetName val="RE Working"/>
      <sheetName val="Change of Equity"/>
      <sheetName val="Sheet1"/>
      <sheetName val="Sheet2"/>
      <sheetName val="Sheet3"/>
      <sheetName val="Dados BLP"/>
      <sheetName val="Brazil Sovereign"/>
      <sheetName val="COTAÇÕES"/>
      <sheetName val="BLP"/>
      <sheetName val="bud99"/>
      <sheetName val="Par"/>
      <sheetName val="Reference"/>
      <sheetName val="Ventas"/>
      <sheetName val="Parameters"/>
      <sheetName val="Lists"/>
      <sheetName val="FR"/>
      <sheetName val="Library"/>
      <sheetName val="Cover &amp; Parameters"/>
      <sheetName val="XLR_NoRangeSheet"/>
      <sheetName val="GAAP &amp; IAS Group TB &amp; Reports Q"/>
      <sheetName val="STARTSHEET"/>
      <sheetName val="REALxMETA - CERVEJA"/>
      <sheetName val="Unidades SAC-REVENDA"/>
      <sheetName val="FX-Rates"/>
      <sheetName val="Menu"/>
      <sheetName val="Data"/>
      <sheetName val="Setting"/>
      <sheetName val="dep pre"/>
      <sheetName val="Front"/>
      <sheetName val="Версия"/>
      <sheetName val="Инструкция"/>
      <sheetName val="Расчет цикла"/>
      <sheetName val="Диаграмма"/>
      <sheetName val="Главный лист"/>
      <sheetName val="Факт"/>
      <sheetName val="Уборки"/>
      <sheetName val="Рецепты партий"/>
      <sheetName val="Рецепты"/>
      <sheetName val="Переменные"/>
      <sheetName val="Тоннаж из графика"/>
      <sheetName val="Операции"/>
      <sheetName val="Количество"/>
      <sheetName val="Прод-ть"/>
      <sheetName val="POCE"/>
      <sheetName val="MOL"/>
      <sheetName val="Empresas"/>
      <sheetName val="Participantes"/>
      <sheetName val="Tabelas"/>
      <sheetName val="FLOWCHART-03"/>
      <sheetName val="Plan1"/>
      <sheetName val="brand definitions"/>
      <sheetName val="plant"/>
      <sheetName val="PREMISAS"/>
      <sheetName val="Controls"/>
      <sheetName val="LBO Model"/>
      <sheetName val="Calc 1"/>
      <sheetName val="Eviews_Suporte"/>
      <sheetName val="WIP"/>
      <sheetName val="Validation"/>
      <sheetName val="Selection Lists"/>
      <sheetName val="progr"/>
      <sheetName val="Group_Comparative_GAAP"/>
      <sheetName val="Group_Comparative_IAS"/>
      <sheetName val="R-U_IAS_History"/>
      <sheetName val="Cash_Flow_Working"/>
      <sheetName val="TB_GAAP"/>
      <sheetName val="TB_IAS"/>
      <sheetName val="Income_Statement"/>
      <sheetName val="Balance_Sheet"/>
      <sheetName val="Cash_Flow"/>
      <sheetName val="G-I-F_Total"/>
      <sheetName val="G-I-F_(RU)"/>
      <sheetName val="G-I-F_(UA)"/>
      <sheetName val="FLash_IAS"/>
      <sheetName val="Cash_Flow_support"/>
      <sheetName val="Income_Statement_Russia_and_Ukr"/>
      <sheetName val="Class_A_Shares_Outstanding"/>
      <sheetName val="Class_B_Shares_Outstanding"/>
      <sheetName val="Dilutive_Shares_Outstanding"/>
      <sheetName val="EPS_Working"/>
      <sheetName val="Share_Price_2002"/>
      <sheetName val="RE_Working"/>
      <sheetName val="Change_of_Equity"/>
      <sheetName val="Dados_BLP"/>
      <sheetName val="Brazil_Sovereign"/>
      <sheetName val="Cover_&amp;_Parameters"/>
      <sheetName val="REALxMETA_-_CERVEJA"/>
      <sheetName val="Unidades_SAC-REVENDA"/>
      <sheetName val="GAAP_&amp;_IAS_Group_TB_&amp;_Reports_Q"/>
      <sheetName val="dep_pre"/>
      <sheetName val="Расчет_цикла"/>
      <sheetName val="Главный_лист"/>
      <sheetName val="Рецепты_партий"/>
      <sheetName val="Тоннаж_из_графика"/>
      <sheetName val="brand_definitions"/>
      <sheetName val="Group_Comparative_GAAP1"/>
      <sheetName val="Group_Comparative_IAS1"/>
      <sheetName val="R-U_IAS_History1"/>
      <sheetName val="Cash_Flow_Working1"/>
      <sheetName val="TB_GAAP1"/>
      <sheetName val="TB_IAS1"/>
      <sheetName val="Income_Statement1"/>
      <sheetName val="Balance_Sheet1"/>
      <sheetName val="Cash_Flow1"/>
      <sheetName val="G-I-F_Total1"/>
      <sheetName val="G-I-F_(RU)1"/>
      <sheetName val="G-I-F_(UA)1"/>
      <sheetName val="FLash_IAS1"/>
      <sheetName val="Cash_Flow_support1"/>
      <sheetName val="Income_Statement_Russia_and_Uk1"/>
      <sheetName val="Class_A_Shares_Outstanding1"/>
      <sheetName val="Class_B_Shares_Outstanding1"/>
      <sheetName val="Dilutive_Shares_Outstanding1"/>
      <sheetName val="EPS_Working1"/>
      <sheetName val="Share_Price_20021"/>
      <sheetName val="RE_Working1"/>
      <sheetName val="Change_of_Equity1"/>
      <sheetName val="Dados_BLP1"/>
      <sheetName val="Brazil_Sovereign1"/>
      <sheetName val="Cover_&amp;_Parameters1"/>
      <sheetName val="REALxMETA_-_CERVEJA1"/>
      <sheetName val="Unidades_SAC-REVENDA1"/>
      <sheetName val="GAAP_&amp;_IAS_Group_TB_&amp;_Reports_1"/>
      <sheetName val="dep_pre1"/>
      <sheetName val="Расчет_цикла1"/>
      <sheetName val="Главный_лист1"/>
      <sheetName val="Рецепты_партий1"/>
      <sheetName val="Тоннаж_из_графика1"/>
      <sheetName val="brand_definitions1"/>
      <sheetName val="Step2_Correlation"/>
      <sheetName val="Step2_Histogram"/>
      <sheetName val="C90_NET"/>
      <sheetName val="Data Input Sheet"/>
      <sheetName val="Volume per Region"/>
      <sheetName val="db"/>
      <sheetName val="Assum"/>
      <sheetName val="ProjectList"/>
      <sheetName val="Group_Comparative_GAAP2"/>
      <sheetName val="Group_Comparative_IAS2"/>
      <sheetName val="R-U_IAS_History2"/>
      <sheetName val="Cash_Flow_Working2"/>
      <sheetName val="TB_GAAP2"/>
      <sheetName val="TB_IAS2"/>
      <sheetName val="Income_Statement2"/>
      <sheetName val="Balance_Sheet2"/>
      <sheetName val="Cash_Flow2"/>
      <sheetName val="G-I-F_Total2"/>
      <sheetName val="G-I-F_(RU)2"/>
      <sheetName val="G-I-F_(UA)2"/>
      <sheetName val="FLash_IAS2"/>
      <sheetName val="Cash_Flow_support2"/>
      <sheetName val="Income_Statement_Russia_and_Uk2"/>
      <sheetName val="Class_A_Shares_Outstanding2"/>
      <sheetName val="Class_B_Shares_Outstanding2"/>
      <sheetName val="Dilutive_Shares_Outstanding2"/>
      <sheetName val="EPS_Working2"/>
      <sheetName val="Share_Price_20022"/>
      <sheetName val="RE_Working2"/>
      <sheetName val="Change_of_Equity2"/>
      <sheetName val="Dados_BLP2"/>
      <sheetName val="Brazil_Sovereign2"/>
      <sheetName val="Cover_&amp;_Parameters2"/>
      <sheetName val="GAAP_&amp;_IAS_Group_TB_&amp;_Reports_2"/>
      <sheetName val="REALxMETA_-_CERVEJA2"/>
      <sheetName val="Unidades_SAC-REVENDA2"/>
      <sheetName val="dep_pre2"/>
      <sheetName val="Расчет_цикла2"/>
      <sheetName val="Главный_лист2"/>
      <sheetName val="Рецепты_партий2"/>
      <sheetName val="Тоннаж_из_графика2"/>
      <sheetName val="brand_definitions2"/>
      <sheetName val="LBO_Model"/>
      <sheetName val="Calc_1"/>
      <sheetName val="Selection_Lists"/>
      <sheetName val="Data_Input_Sheet"/>
      <sheetName val="Data USA Cdn$"/>
      <sheetName val="Data USA US$"/>
      <sheetName val="FC-Bav"/>
      <sheetName val="Load Data"/>
      <sheetName val="вспом"/>
      <sheetName val="Setup"/>
      <sheetName val="UNIDADES"/>
      <sheetName val="BNR_2012 в ящике"/>
      <sheetName val="Group_Comparative_GAAP3"/>
      <sheetName val="Group_Comparative_IAS3"/>
      <sheetName val="R-U_IAS_History3"/>
      <sheetName val="Cash_Flow_Working3"/>
      <sheetName val="TB_GAAP3"/>
      <sheetName val="TB_IAS3"/>
      <sheetName val="Income_Statement3"/>
      <sheetName val="Balance_Sheet3"/>
      <sheetName val="Cash_Flow3"/>
      <sheetName val="G-I-F_Total3"/>
      <sheetName val="G-I-F_(RU)3"/>
      <sheetName val="G-I-F_(UA)3"/>
      <sheetName val="FLash_IAS3"/>
      <sheetName val="Cash_Flow_support3"/>
      <sheetName val="Income_Statement_Russia_and_Uk3"/>
      <sheetName val="Class_A_Shares_Outstanding3"/>
      <sheetName val="Class_B_Shares_Outstanding3"/>
      <sheetName val="Dilutive_Shares_Outstanding3"/>
      <sheetName val="EPS_Working3"/>
      <sheetName val="Share_Price_20023"/>
      <sheetName val="RE_Working3"/>
      <sheetName val="Change_of_Equity3"/>
      <sheetName val="Dados_BLP3"/>
      <sheetName val="Brazil_Sovereign3"/>
      <sheetName val="Cover_&amp;_Parameters3"/>
      <sheetName val="REALxMETA_-_CERVEJA3"/>
      <sheetName val="Unidades_SAC-REVENDA3"/>
      <sheetName val="GAAP_&amp;_IAS_Group_TB_&amp;_Reports_3"/>
      <sheetName val="dep_pre3"/>
      <sheetName val="Расчет_цикла3"/>
      <sheetName val="Главный_лист3"/>
      <sheetName val="Рецепты_партий3"/>
      <sheetName val="Тоннаж_из_графика3"/>
      <sheetName val="brand_definitions3"/>
      <sheetName val="LBO_Model1"/>
      <sheetName val="Calc_11"/>
      <sheetName val="Selection_Lists1"/>
      <sheetName val="Data_Input_Sheet1"/>
      <sheetName val="Volume_per_Region"/>
      <sheetName val="Data_USA_Cdn$"/>
      <sheetName val="Data_USA_US$"/>
      <sheetName val="Load_Data"/>
      <sheetName val="BNR_2012_в_ящике"/>
      <sheetName val="TGU"/>
      <sheetName val="Group_Comparative_GAAP4"/>
      <sheetName val="Group_Comparative_IAS4"/>
      <sheetName val="R-U_IAS_History4"/>
      <sheetName val="Cash_Flow_Working4"/>
      <sheetName val="TB_GAAP4"/>
      <sheetName val="TB_IAS4"/>
      <sheetName val="Income_Statement4"/>
      <sheetName val="Balance_Sheet4"/>
      <sheetName val="Cash_Flow4"/>
      <sheetName val="G-I-F_Total4"/>
      <sheetName val="G-I-F_(RU)4"/>
      <sheetName val="G-I-F_(UA)4"/>
      <sheetName val="FLash_IAS4"/>
      <sheetName val="Cash_Flow_support4"/>
      <sheetName val="Income_Statement_Russia_and_Uk4"/>
      <sheetName val="Class_A_Shares_Outstanding4"/>
      <sheetName val="Class_B_Shares_Outstanding4"/>
      <sheetName val="Dilutive_Shares_Outstanding4"/>
      <sheetName val="EPS_Working4"/>
      <sheetName val="Share_Price_20024"/>
      <sheetName val="RE_Working4"/>
      <sheetName val="Change_of_Equity4"/>
      <sheetName val="Dados_BLP4"/>
      <sheetName val="Brazil_Sovereign4"/>
      <sheetName val="Cover_&amp;_Parameters4"/>
      <sheetName val="REALxMETA_-_CERVEJA4"/>
      <sheetName val="Unidades_SAC-REVENDA4"/>
      <sheetName val="GAAP_&amp;_IAS_Group_TB_&amp;_Reports_4"/>
      <sheetName val="dep_pre4"/>
      <sheetName val="Расчет_цикла4"/>
      <sheetName val="Главный_лист4"/>
      <sheetName val="Рецепты_партий4"/>
      <sheetName val="Тоннаж_из_графика4"/>
      <sheetName val="brand_definitions4"/>
      <sheetName val="LBO_Model2"/>
      <sheetName val="Calc_12"/>
      <sheetName val="Selection_Lists2"/>
      <sheetName val="Data_Input_Sheet2"/>
      <sheetName val="Volume_per_Region1"/>
      <sheetName val="Data_USA_Cdn$1"/>
      <sheetName val="Data_USA_US$1"/>
      <sheetName val="Load_Data1"/>
      <sheetName val="BNR_2012_в_ящике1"/>
      <sheetName val="Dub. L+L"/>
      <sheetName val="Diaria"/>
      <sheetName val="ТехЛинии"/>
      <sheetName val="DATVAR"/>
      <sheetName val="#BEZUG"/>
      <sheetName val="Group_Comparative_GAAP5"/>
      <sheetName val="Group_Comparative_IAS5"/>
      <sheetName val="R-U_IAS_History5"/>
      <sheetName val="Cash_Flow_Working5"/>
      <sheetName val="TB_GAAP5"/>
      <sheetName val="TB_IAS5"/>
      <sheetName val="Income_Statement5"/>
      <sheetName val="Balance_Sheet5"/>
      <sheetName val="Cash_Flow5"/>
      <sheetName val="G-I-F_Total5"/>
      <sheetName val="G-I-F_(RU)5"/>
      <sheetName val="G-I-F_(UA)5"/>
      <sheetName val="FLash_IAS5"/>
      <sheetName val="Cash_Flow_support5"/>
      <sheetName val="Income_Statement_Russia_and_Uk5"/>
      <sheetName val="Class_A_Shares_Outstanding5"/>
      <sheetName val="Class_B_Shares_Outstanding5"/>
      <sheetName val="Dilutive_Shares_Outstanding5"/>
      <sheetName val="EPS_Working5"/>
      <sheetName val="Share_Price_20025"/>
      <sheetName val="RE_Working5"/>
      <sheetName val="Change_of_Equity5"/>
      <sheetName val="Dados_BLP5"/>
      <sheetName val="Brazil_Sovereign5"/>
      <sheetName val="Cover_&amp;_Parameters5"/>
      <sheetName val="REALxMETA_-_CERVEJA5"/>
      <sheetName val="Unidades_SAC-REVENDA5"/>
      <sheetName val="GAAP_&amp;_IAS_Group_TB_&amp;_Reports_5"/>
      <sheetName val="dep_pre5"/>
      <sheetName val="Расчет_цикла5"/>
      <sheetName val="Главный_лист5"/>
      <sheetName val="Рецепты_партий5"/>
      <sheetName val="Тоннаж_из_графика5"/>
      <sheetName val="brand_definitions5"/>
      <sheetName val="LBO_Model3"/>
      <sheetName val="Calc_13"/>
      <sheetName val="Selection_Lists3"/>
      <sheetName val="Data_Input_Sheet3"/>
      <sheetName val="Volume_per_Region2"/>
      <sheetName val="Data_USA_Cdn$2"/>
      <sheetName val="Data_USA_US$2"/>
      <sheetName val="Load_Data2"/>
      <sheetName val="BNR_2012_в_ящике2"/>
      <sheetName val="Dub__L+L"/>
      <sheetName val="Mapping"/>
      <sheetName val="Database"/>
      <sheetName val="Changes made Zone DB (Nikhil)"/>
      <sheetName val="Changes made Cat DForm (Nikhil)"/>
      <sheetName val="DForm Database"/>
      <sheetName val="Changes made FX DForm (Nikhil)"/>
      <sheetName val="FX"/>
      <sheetName val="Country table"/>
      <sheetName val="Consol"/>
      <sheetName val="Manual Corrections"/>
      <sheetName val="Summary"/>
      <sheetName val="Instructions"/>
      <sheetName val="Subreason code"/>
      <sheetName val="Remarks"/>
      <sheetName val="Cover"/>
      <sheetName val="2ITW"/>
      <sheetName val="2ITW (excl BASS)"/>
      <sheetName val="X1AME"/>
      <sheetName val="X2BU"/>
      <sheetName val="X2CA"/>
      <sheetName val="X2US"/>
      <sheetName val="X1WEU"/>
      <sheetName val="X2BE"/>
      <sheetName val="X2FR"/>
      <sheetName val="X2NL"/>
      <sheetName val="X2LU"/>
      <sheetName val="X2MA"/>
      <sheetName val="X2GB"/>
      <sheetName val="X2IT"/>
      <sheetName val="X2ES"/>
      <sheetName val="X2DE"/>
      <sheetName val="X1CEU"/>
      <sheetName val="X2BG"/>
      <sheetName val="X2BH"/>
      <sheetName val="X2CR"/>
      <sheetName val="X2CZ"/>
      <sheetName val="X2HU"/>
      <sheetName val="X2MO"/>
      <sheetName val="X2RO"/>
      <sheetName val="X2SL"/>
      <sheetName val="X1EEU"/>
      <sheetName val="X2RU"/>
      <sheetName val="X2UA"/>
      <sheetName val="X1ASI"/>
      <sheetName val="X2CN"/>
      <sheetName val="X2KR"/>
      <sheetName val="PARE"/>
      <sheetName val="X1UK"/>
      <sheetName val="INTE"/>
      <sheetName val="SD"/>
      <sheetName val="Check Zones"/>
      <sheetName val="Check Countries"/>
      <sheetName val="Overview check"/>
      <sheetName val="LUSA"/>
      <sheetName val="BNA"/>
      <sheetName val="BASSUS"/>
      <sheetName val="DB2002"/>
      <sheetName val="Changes_made_Zone_DB_(Nikhil)"/>
      <sheetName val="Changes_made_Cat_DForm_(Nikhil)"/>
      <sheetName val="DForm_Database"/>
      <sheetName val="Changes_made_FX_DForm_(Nikhil)"/>
      <sheetName val="Country_table"/>
      <sheetName val="Manual_Corrections"/>
      <sheetName val="은행"/>
      <sheetName val="6 - Analítico"/>
      <sheetName val=""/>
      <sheetName val="Group_Comparative_GAAP6"/>
      <sheetName val="Group_Comparative_IAS6"/>
      <sheetName val="R-U_IAS_History6"/>
      <sheetName val="Cash_Flow_Working6"/>
      <sheetName val="TB_GAAP6"/>
      <sheetName val="TB_IAS6"/>
      <sheetName val="Income_Statement6"/>
      <sheetName val="Balance_Sheet6"/>
      <sheetName val="Cash_Flow6"/>
      <sheetName val="G-I-F_Total6"/>
      <sheetName val="G-I-F_(RU)6"/>
      <sheetName val="G-I-F_(UA)6"/>
      <sheetName val="FLash_IAS6"/>
      <sheetName val="Cash_Flow_support6"/>
      <sheetName val="Income_Statement_Russia_and_Uk6"/>
      <sheetName val="Class_A_Shares_Outstanding6"/>
      <sheetName val="Class_B_Shares_Outstanding6"/>
      <sheetName val="Dilutive_Shares_Outstanding6"/>
      <sheetName val="EPS_Working6"/>
      <sheetName val="Share_Price_20026"/>
      <sheetName val="RE_Working6"/>
      <sheetName val="Change_of_Equity6"/>
      <sheetName val="Dados_BLP6"/>
      <sheetName val="Brazil_Sovereign6"/>
      <sheetName val="Cover_&amp;_Parameters6"/>
      <sheetName val="GAAP_&amp;_IAS_Group_TB_&amp;_Reports_6"/>
      <sheetName val="REALxMETA_-_CERVEJA6"/>
      <sheetName val="Unidades_SAC-REVENDA6"/>
      <sheetName val="dep_pre6"/>
      <sheetName val="Расчет_цикла6"/>
      <sheetName val="Главный_лист6"/>
      <sheetName val="Рецепты_партий6"/>
      <sheetName val="Тоннаж_из_графика6"/>
      <sheetName val="brand_definitions6"/>
      <sheetName val="LBO_Model4"/>
      <sheetName val="Calc_14"/>
      <sheetName val="Selection_Lists4"/>
      <sheetName val="Data_Input_Sheet4"/>
      <sheetName val="Volume_per_Region3"/>
      <sheetName val="Data_USA_Cdn$3"/>
      <sheetName val="Data_USA_US$3"/>
      <sheetName val="Load_Data3"/>
      <sheetName val="BNR_2012_в_ящике3"/>
      <sheetName val="Dub__L+L1"/>
      <sheetName val="Group_Comparative_GAAP7"/>
      <sheetName val="Group_Comparative_IAS7"/>
      <sheetName val="R-U_IAS_History7"/>
      <sheetName val="Cash_Flow_Working7"/>
      <sheetName val="TB_GAAP7"/>
      <sheetName val="TB_IAS7"/>
      <sheetName val="Income_Statement7"/>
      <sheetName val="Balance_Sheet7"/>
      <sheetName val="Cash_Flow7"/>
      <sheetName val="G-I-F_Total7"/>
      <sheetName val="G-I-F_(RU)7"/>
      <sheetName val="G-I-F_(UA)7"/>
      <sheetName val="FLash_IAS7"/>
      <sheetName val="Cash_Flow_support7"/>
      <sheetName val="Income_Statement_Russia_and_Uk7"/>
      <sheetName val="Class_A_Shares_Outstanding7"/>
      <sheetName val="Class_B_Shares_Outstanding7"/>
      <sheetName val="Dilutive_Shares_Outstanding7"/>
      <sheetName val="EPS_Working7"/>
      <sheetName val="Share_Price_20027"/>
      <sheetName val="RE_Working7"/>
      <sheetName val="Change_of_Equity7"/>
      <sheetName val="Dados_BLP7"/>
      <sheetName val="Brazil_Sovereign7"/>
      <sheetName val="Cover_&amp;_Parameters7"/>
      <sheetName val="GAAP_&amp;_IAS_Group_TB_&amp;_Reports_7"/>
      <sheetName val="REALxMETA_-_CERVEJA7"/>
      <sheetName val="Unidades_SAC-REVENDA7"/>
      <sheetName val="dep_pre7"/>
      <sheetName val="Расчет_цикла7"/>
      <sheetName val="Главный_лист7"/>
      <sheetName val="Рецепты_партий7"/>
      <sheetName val="Тоннаж_из_графика7"/>
      <sheetName val="brand_definitions7"/>
      <sheetName val="LBO_Model5"/>
      <sheetName val="Calc_15"/>
      <sheetName val="Selection_Lists5"/>
      <sheetName val="Data_Input_Sheet5"/>
      <sheetName val="Volume_per_Region4"/>
      <sheetName val="Data_USA_Cdn$4"/>
      <sheetName val="Data_USA_US$4"/>
      <sheetName val="Load_Data4"/>
      <sheetName val="BNR_2012_в_ящике4"/>
      <sheetName val="Dub__L+L2"/>
      <sheetName val="References"/>
      <sheetName val="SysCategory"/>
      <sheetName val="2ITW_(excl_BASS)"/>
      <sheetName val="Check_Zones"/>
      <sheetName val="Check_Countries"/>
      <sheetName val="Overview_check"/>
      <sheetName val="Data USA Adj US$"/>
      <sheetName val="BU16 FX"/>
      <sheetName val="Valsum"/>
    </sheetNames>
    <sheetDataSet>
      <sheetData sheetId="0" refreshError="1"/>
      <sheetData sheetId="1"/>
      <sheetData sheetId="2"/>
      <sheetData sheetId="3"/>
      <sheetData sheetId="4"/>
      <sheetData sheetId="5"/>
      <sheetData sheetId="6"/>
      <sheetData sheetId="7" refreshError="1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/>
      <sheetData sheetId="53" refreshError="1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 refreshError="1"/>
      <sheetData sheetId="63" refreshError="1"/>
      <sheetData sheetId="64" refreshError="1"/>
      <sheetData sheetId="65" refreshError="1"/>
      <sheetData sheetId="66"/>
      <sheetData sheetId="67" refreshError="1"/>
      <sheetData sheetId="68" refreshError="1"/>
      <sheetData sheetId="69" refreshError="1"/>
      <sheetData sheetId="70" refreshError="1"/>
      <sheetData sheetId="7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 refreshError="1"/>
      <sheetData sheetId="133" refreshError="1"/>
      <sheetData sheetId="134" refreshError="1"/>
      <sheetData sheetId="135" refreshError="1"/>
      <sheetData sheetId="136" refreshError="1"/>
      <sheetData sheetId="137" refreshError="1"/>
      <sheetData sheetId="138" refreshError="1"/>
      <sheetData sheetId="139" refreshError="1"/>
      <sheetData sheetId="140" refreshError="1"/>
      <sheetData sheetId="141" refreshError="1"/>
      <sheetData sheetId="142" refreshError="1"/>
      <sheetData sheetId="143" refreshError="1"/>
      <sheetData sheetId="144" refreshError="1"/>
      <sheetData sheetId="145" refreshError="1"/>
      <sheetData sheetId="146" refreshError="1"/>
      <sheetData sheetId="147" refreshError="1"/>
      <sheetData sheetId="148" refreshError="1"/>
      <sheetData sheetId="149" refreshError="1"/>
      <sheetData sheetId="150" refreshError="1"/>
      <sheetData sheetId="151" refreshError="1"/>
      <sheetData sheetId="152" refreshError="1"/>
      <sheetData sheetId="153" refreshError="1"/>
      <sheetData sheetId="154" refreshError="1"/>
      <sheetData sheetId="155" refreshError="1"/>
      <sheetData sheetId="156" refreshError="1"/>
      <sheetData sheetId="157" refreshError="1"/>
      <sheetData sheetId="158" refreshError="1"/>
      <sheetData sheetId="159"/>
      <sheetData sheetId="160"/>
      <sheetData sheetId="161"/>
      <sheetData sheetId="162"/>
      <sheetData sheetId="163"/>
      <sheetData sheetId="164"/>
      <sheetData sheetId="165"/>
      <sheetData sheetId="166"/>
      <sheetData sheetId="167"/>
      <sheetData sheetId="168"/>
      <sheetData sheetId="169"/>
      <sheetData sheetId="170"/>
      <sheetData sheetId="171"/>
      <sheetData sheetId="172"/>
      <sheetData sheetId="173"/>
      <sheetData sheetId="174"/>
      <sheetData sheetId="175"/>
      <sheetData sheetId="176"/>
      <sheetData sheetId="177"/>
      <sheetData sheetId="178"/>
      <sheetData sheetId="179"/>
      <sheetData sheetId="180"/>
      <sheetData sheetId="181"/>
      <sheetData sheetId="182"/>
      <sheetData sheetId="183"/>
      <sheetData sheetId="184"/>
      <sheetData sheetId="185"/>
      <sheetData sheetId="186"/>
      <sheetData sheetId="187"/>
      <sheetData sheetId="188"/>
      <sheetData sheetId="189"/>
      <sheetData sheetId="190"/>
      <sheetData sheetId="191"/>
      <sheetData sheetId="192"/>
      <sheetData sheetId="193"/>
      <sheetData sheetId="194"/>
      <sheetData sheetId="195"/>
      <sheetData sheetId="196"/>
      <sheetData sheetId="197" refreshError="1"/>
      <sheetData sheetId="198" refreshError="1"/>
      <sheetData sheetId="199" refreshError="1"/>
      <sheetData sheetId="200" refreshError="1"/>
      <sheetData sheetId="201" refreshError="1"/>
      <sheetData sheetId="202" refreshError="1"/>
      <sheetData sheetId="203" refreshError="1"/>
      <sheetData sheetId="204" refreshError="1"/>
      <sheetData sheetId="205"/>
      <sheetData sheetId="206"/>
      <sheetData sheetId="207"/>
      <sheetData sheetId="208"/>
      <sheetData sheetId="209"/>
      <sheetData sheetId="210"/>
      <sheetData sheetId="211"/>
      <sheetData sheetId="212"/>
      <sheetData sheetId="213"/>
      <sheetData sheetId="214"/>
      <sheetData sheetId="215"/>
      <sheetData sheetId="216"/>
      <sheetData sheetId="217"/>
      <sheetData sheetId="218"/>
      <sheetData sheetId="219"/>
      <sheetData sheetId="220"/>
      <sheetData sheetId="221"/>
      <sheetData sheetId="222"/>
      <sheetData sheetId="223"/>
      <sheetData sheetId="224"/>
      <sheetData sheetId="225"/>
      <sheetData sheetId="226"/>
      <sheetData sheetId="227"/>
      <sheetData sheetId="228"/>
      <sheetData sheetId="229"/>
      <sheetData sheetId="230"/>
      <sheetData sheetId="231"/>
      <sheetData sheetId="232"/>
      <sheetData sheetId="233"/>
      <sheetData sheetId="234"/>
      <sheetData sheetId="235"/>
      <sheetData sheetId="236"/>
      <sheetData sheetId="237"/>
      <sheetData sheetId="238"/>
      <sheetData sheetId="239"/>
      <sheetData sheetId="240"/>
      <sheetData sheetId="241"/>
      <sheetData sheetId="242"/>
      <sheetData sheetId="243"/>
      <sheetData sheetId="244"/>
      <sheetData sheetId="245"/>
      <sheetData sheetId="246"/>
      <sheetData sheetId="247"/>
      <sheetData sheetId="248" refreshError="1"/>
      <sheetData sheetId="249"/>
      <sheetData sheetId="250"/>
      <sheetData sheetId="251"/>
      <sheetData sheetId="252"/>
      <sheetData sheetId="253"/>
      <sheetData sheetId="254"/>
      <sheetData sheetId="255"/>
      <sheetData sheetId="256"/>
      <sheetData sheetId="257"/>
      <sheetData sheetId="258"/>
      <sheetData sheetId="259"/>
      <sheetData sheetId="260"/>
      <sheetData sheetId="261"/>
      <sheetData sheetId="262"/>
      <sheetData sheetId="263"/>
      <sheetData sheetId="264"/>
      <sheetData sheetId="265"/>
      <sheetData sheetId="266"/>
      <sheetData sheetId="267"/>
      <sheetData sheetId="268"/>
      <sheetData sheetId="269"/>
      <sheetData sheetId="270"/>
      <sheetData sheetId="271"/>
      <sheetData sheetId="272"/>
      <sheetData sheetId="273"/>
      <sheetData sheetId="274"/>
      <sheetData sheetId="275"/>
      <sheetData sheetId="276"/>
      <sheetData sheetId="277"/>
      <sheetData sheetId="278"/>
      <sheetData sheetId="279"/>
      <sheetData sheetId="280"/>
      <sheetData sheetId="281"/>
      <sheetData sheetId="282"/>
      <sheetData sheetId="283"/>
      <sheetData sheetId="284"/>
      <sheetData sheetId="285"/>
      <sheetData sheetId="286"/>
      <sheetData sheetId="287"/>
      <sheetData sheetId="288"/>
      <sheetData sheetId="289"/>
      <sheetData sheetId="290"/>
      <sheetData sheetId="291"/>
      <sheetData sheetId="292" refreshError="1"/>
      <sheetData sheetId="293" refreshError="1"/>
      <sheetData sheetId="294" refreshError="1"/>
      <sheetData sheetId="295" refreshError="1"/>
      <sheetData sheetId="296" refreshError="1"/>
      <sheetData sheetId="297"/>
      <sheetData sheetId="298"/>
      <sheetData sheetId="299"/>
      <sheetData sheetId="300"/>
      <sheetData sheetId="301"/>
      <sheetData sheetId="302"/>
      <sheetData sheetId="303"/>
      <sheetData sheetId="304"/>
      <sheetData sheetId="305"/>
      <sheetData sheetId="306"/>
      <sheetData sheetId="307"/>
      <sheetData sheetId="308"/>
      <sheetData sheetId="309"/>
      <sheetData sheetId="310"/>
      <sheetData sheetId="311"/>
      <sheetData sheetId="312"/>
      <sheetData sheetId="313"/>
      <sheetData sheetId="314"/>
      <sheetData sheetId="315"/>
      <sheetData sheetId="316"/>
      <sheetData sheetId="317"/>
      <sheetData sheetId="318"/>
      <sheetData sheetId="319"/>
      <sheetData sheetId="320"/>
      <sheetData sheetId="321"/>
      <sheetData sheetId="322"/>
      <sheetData sheetId="323"/>
      <sheetData sheetId="324"/>
      <sheetData sheetId="325"/>
      <sheetData sheetId="326"/>
      <sheetData sheetId="327"/>
      <sheetData sheetId="328"/>
      <sheetData sheetId="329"/>
      <sheetData sheetId="330"/>
      <sheetData sheetId="331"/>
      <sheetData sheetId="332"/>
      <sheetData sheetId="333"/>
      <sheetData sheetId="334"/>
      <sheetData sheetId="335"/>
      <sheetData sheetId="336"/>
      <sheetData sheetId="337"/>
      <sheetData sheetId="338"/>
      <sheetData sheetId="339"/>
      <sheetData sheetId="340"/>
      <sheetData sheetId="341" refreshError="1"/>
      <sheetData sheetId="342"/>
      <sheetData sheetId="343"/>
      <sheetData sheetId="344"/>
      <sheetData sheetId="345"/>
      <sheetData sheetId="346"/>
      <sheetData sheetId="347"/>
      <sheetData sheetId="348"/>
      <sheetData sheetId="349"/>
      <sheetData sheetId="350"/>
      <sheetData sheetId="351"/>
      <sheetData sheetId="352"/>
      <sheetData sheetId="353" refreshError="1"/>
      <sheetData sheetId="354" refreshError="1"/>
      <sheetData sheetId="355" refreshError="1"/>
      <sheetData sheetId="356" refreshError="1"/>
      <sheetData sheetId="357" refreshError="1"/>
      <sheetData sheetId="358" refreshError="1"/>
      <sheetData sheetId="359" refreshError="1"/>
      <sheetData sheetId="360" refreshError="1"/>
      <sheetData sheetId="361" refreshError="1"/>
      <sheetData sheetId="362" refreshError="1"/>
      <sheetData sheetId="363" refreshError="1"/>
      <sheetData sheetId="364" refreshError="1"/>
      <sheetData sheetId="365" refreshError="1"/>
      <sheetData sheetId="366" refreshError="1"/>
      <sheetData sheetId="367" refreshError="1"/>
      <sheetData sheetId="368" refreshError="1"/>
      <sheetData sheetId="369" refreshError="1"/>
      <sheetData sheetId="370" refreshError="1"/>
      <sheetData sheetId="371" refreshError="1"/>
      <sheetData sheetId="372" refreshError="1"/>
      <sheetData sheetId="373" refreshError="1"/>
      <sheetData sheetId="374" refreshError="1"/>
      <sheetData sheetId="375" refreshError="1"/>
      <sheetData sheetId="376" refreshError="1"/>
      <sheetData sheetId="377" refreshError="1"/>
      <sheetData sheetId="378" refreshError="1"/>
      <sheetData sheetId="379" refreshError="1"/>
      <sheetData sheetId="380" refreshError="1"/>
      <sheetData sheetId="381" refreshError="1"/>
      <sheetData sheetId="382" refreshError="1"/>
      <sheetData sheetId="383" refreshError="1"/>
      <sheetData sheetId="384" refreshError="1"/>
      <sheetData sheetId="385" refreshError="1"/>
      <sheetData sheetId="386" refreshError="1"/>
      <sheetData sheetId="387" refreshError="1"/>
      <sheetData sheetId="388" refreshError="1"/>
      <sheetData sheetId="389" refreshError="1"/>
      <sheetData sheetId="390" refreshError="1"/>
      <sheetData sheetId="391" refreshError="1"/>
      <sheetData sheetId="392" refreshError="1"/>
      <sheetData sheetId="393" refreshError="1"/>
      <sheetData sheetId="394" refreshError="1"/>
      <sheetData sheetId="395" refreshError="1"/>
      <sheetData sheetId="396" refreshError="1"/>
      <sheetData sheetId="397" refreshError="1"/>
      <sheetData sheetId="398"/>
      <sheetData sheetId="399"/>
      <sheetData sheetId="400"/>
      <sheetData sheetId="401"/>
      <sheetData sheetId="402"/>
      <sheetData sheetId="403"/>
      <sheetData sheetId="404" refreshError="1"/>
      <sheetData sheetId="405" refreshError="1"/>
      <sheetData sheetId="406" refreshError="1"/>
      <sheetData sheetId="407"/>
      <sheetData sheetId="408"/>
      <sheetData sheetId="409"/>
      <sheetData sheetId="410"/>
      <sheetData sheetId="411"/>
      <sheetData sheetId="412"/>
      <sheetData sheetId="413"/>
      <sheetData sheetId="414"/>
      <sheetData sheetId="415"/>
      <sheetData sheetId="416"/>
      <sheetData sheetId="417"/>
      <sheetData sheetId="418"/>
      <sheetData sheetId="419"/>
      <sheetData sheetId="420"/>
      <sheetData sheetId="421"/>
      <sheetData sheetId="422"/>
      <sheetData sheetId="423"/>
      <sheetData sheetId="424"/>
      <sheetData sheetId="425"/>
      <sheetData sheetId="426"/>
      <sheetData sheetId="427"/>
      <sheetData sheetId="428"/>
      <sheetData sheetId="429"/>
      <sheetData sheetId="430"/>
      <sheetData sheetId="431"/>
      <sheetData sheetId="432"/>
      <sheetData sheetId="433"/>
      <sheetData sheetId="434"/>
      <sheetData sheetId="435"/>
      <sheetData sheetId="436"/>
      <sheetData sheetId="437"/>
      <sheetData sheetId="438"/>
      <sheetData sheetId="439"/>
      <sheetData sheetId="440"/>
      <sheetData sheetId="441"/>
      <sheetData sheetId="442"/>
      <sheetData sheetId="443"/>
      <sheetData sheetId="444"/>
      <sheetData sheetId="445"/>
      <sheetData sheetId="446"/>
      <sheetData sheetId="447"/>
      <sheetData sheetId="448"/>
      <sheetData sheetId="449"/>
      <sheetData sheetId="450"/>
      <sheetData sheetId="451"/>
      <sheetData sheetId="452"/>
      <sheetData sheetId="453"/>
      <sheetData sheetId="454"/>
      <sheetData sheetId="455"/>
      <sheetData sheetId="456"/>
      <sheetData sheetId="457"/>
      <sheetData sheetId="458"/>
      <sheetData sheetId="459"/>
      <sheetData sheetId="460"/>
      <sheetData sheetId="461"/>
      <sheetData sheetId="462"/>
      <sheetData sheetId="463"/>
      <sheetData sheetId="464"/>
      <sheetData sheetId="465"/>
      <sheetData sheetId="466"/>
      <sheetData sheetId="467"/>
      <sheetData sheetId="468"/>
      <sheetData sheetId="469"/>
      <sheetData sheetId="470"/>
      <sheetData sheetId="471"/>
      <sheetData sheetId="472"/>
      <sheetData sheetId="473"/>
      <sheetData sheetId="474"/>
      <sheetData sheetId="475"/>
      <sheetData sheetId="476"/>
      <sheetData sheetId="477"/>
      <sheetData sheetId="478"/>
      <sheetData sheetId="479"/>
      <sheetData sheetId="480"/>
      <sheetData sheetId="481"/>
      <sheetData sheetId="482"/>
      <sheetData sheetId="483"/>
      <sheetData sheetId="484"/>
      <sheetData sheetId="485"/>
      <sheetData sheetId="486"/>
      <sheetData sheetId="487"/>
      <sheetData sheetId="488"/>
      <sheetData sheetId="489"/>
      <sheetData sheetId="490"/>
      <sheetData sheetId="491"/>
      <sheetData sheetId="492"/>
      <sheetData sheetId="493"/>
      <sheetData sheetId="494"/>
      <sheetData sheetId="495" refreshError="1"/>
      <sheetData sheetId="496" refreshError="1"/>
      <sheetData sheetId="497"/>
      <sheetData sheetId="498"/>
      <sheetData sheetId="499"/>
      <sheetData sheetId="500"/>
      <sheetData sheetId="501" refreshError="1"/>
      <sheetData sheetId="502" refreshError="1"/>
      <sheetData sheetId="503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LOCAL MERCHAN"/>
      <sheetName val="Proposta Comercial"/>
      <sheetName val="base TV"/>
      <sheetName val="Proposta Comercial-Projeto"/>
      <sheetName val="PLANOS COMERCIAIS SEMANA"/>
      <sheetName val="SABESP"/>
      <sheetName val="BRANDED CONTENT"/>
      <sheetName val="BAND REDE"/>
      <sheetName val="Conversão-Mercha"/>
      <sheetName val="base radio"/>
      <sheetName val="Tabela Vibra"/>
      <sheetName val="Simulcast"/>
      <sheetName val="Impressões_Simulcast"/>
      <sheetName val="base paytv"/>
      <sheetName val="GRADE TV"/>
      <sheetName val="TABELA NET"/>
      <sheetName val="TABELA LOCAL"/>
      <sheetName val="Pesquisa TV"/>
      <sheetName val="Ranking de adequação"/>
      <sheetName val="calculo rk"/>
    </sheetNames>
    <sheetDataSet>
      <sheetData sheetId="0" refreshError="1"/>
      <sheetData sheetId="1" refreshError="1"/>
      <sheetData sheetId="2">
        <row r="2">
          <cell r="D2" t="str">
            <v>NACIONAL</v>
          </cell>
          <cell r="M2" t="str">
            <v>SÃO PAULO</v>
          </cell>
          <cell r="N2" t="str">
            <v>PRESIDENTE PRUDENTE</v>
          </cell>
          <cell r="O2" t="str">
            <v>CAMPINAS</v>
          </cell>
          <cell r="P2" t="str">
            <v>TAUBATÉ</v>
          </cell>
          <cell r="Q2" t="str">
            <v>RIBEIRÃO PRETO</v>
          </cell>
          <cell r="R2" t="str">
            <v>SANTOS</v>
          </cell>
          <cell r="S2" t="str">
            <v>RIO DE JANEIRO</v>
          </cell>
          <cell r="T2" t="str">
            <v>BARRA MANSA</v>
          </cell>
          <cell r="U2" t="str">
            <v>BELO HORIZONTE</v>
          </cell>
          <cell r="V2" t="str">
            <v>UBERABA</v>
          </cell>
          <cell r="W2" t="str">
            <v>VITÓRIA</v>
          </cell>
          <cell r="X2" t="str">
            <v>CURITIBA</v>
          </cell>
          <cell r="Y2" t="str">
            <v>CASCAVEL</v>
          </cell>
          <cell r="Z2" t="str">
            <v>MARINGÁ</v>
          </cell>
          <cell r="AA2" t="str">
            <v>LONDRINA</v>
          </cell>
          <cell r="AB2" t="str">
            <v>PORTO ALEGRE</v>
          </cell>
          <cell r="AC2" t="str">
            <v>FLORIANÓPOLIS</v>
          </cell>
          <cell r="AD2" t="str">
            <v>BRASÍLIA</v>
          </cell>
          <cell r="AE2" t="str">
            <v>GOIÂNIA</v>
          </cell>
          <cell r="AF2" t="str">
            <v>RIO VERDE</v>
          </cell>
          <cell r="AG2" t="str">
            <v>CUIABÁ</v>
          </cell>
          <cell r="AH2" t="str">
            <v>CÁCERES</v>
          </cell>
          <cell r="AI2" t="str">
            <v>NOVA MUTUM</v>
          </cell>
          <cell r="AJ2" t="str">
            <v>CAMPO GRANDE</v>
          </cell>
          <cell r="AK2" t="str">
            <v>SALVADOR</v>
          </cell>
          <cell r="AL2" t="str">
            <v>ARACAJU</v>
          </cell>
          <cell r="AM2" t="str">
            <v>RECIFE</v>
          </cell>
          <cell r="AN2" t="str">
            <v>NATAL</v>
          </cell>
          <cell r="AO2" t="str">
            <v>MACEIÓ</v>
          </cell>
          <cell r="AP2" t="str">
            <v>FORTALEZA</v>
          </cell>
          <cell r="AQ2" t="str">
            <v>JOÃO PESSOA</v>
          </cell>
          <cell r="AR2" t="str">
            <v>TERESINA</v>
          </cell>
          <cell r="AS2" t="str">
            <v>SÃO LUÍS</v>
          </cell>
          <cell r="AT2" t="str">
            <v>IMPERATRIZ</v>
          </cell>
          <cell r="AU2" t="str">
            <v>BELÉM</v>
          </cell>
          <cell r="AV2" t="str">
            <v>MARABÁ</v>
          </cell>
          <cell r="AW2" t="str">
            <v>SANTARÉM</v>
          </cell>
          <cell r="AX2" t="str">
            <v>MANAUS</v>
          </cell>
          <cell r="AY2" t="str">
            <v>PORTO VELHO</v>
          </cell>
          <cell r="AZ2" t="str">
            <v>RIO BRANCO</v>
          </cell>
          <cell r="BA2" t="str">
            <v>GURUPI</v>
          </cell>
          <cell r="BB2" t="str">
            <v>ARAGUAÍNA</v>
          </cell>
          <cell r="BC2" t="str">
            <v>BOA VISTA</v>
          </cell>
          <cell r="BD2" t="str">
            <v>MACAPÁ</v>
          </cell>
        </row>
        <row r="3">
          <cell r="M3" t="str">
            <v>SAO</v>
          </cell>
          <cell r="N3" t="str">
            <v>PPB</v>
          </cell>
          <cell r="O3" t="str">
            <v>CPQ</v>
          </cell>
          <cell r="P3" t="str">
            <v>TAU</v>
          </cell>
          <cell r="Q3" t="str">
            <v>RAO</v>
          </cell>
          <cell r="R3" t="str">
            <v>SAN</v>
          </cell>
          <cell r="S3" t="str">
            <v>RIO</v>
          </cell>
          <cell r="T3" t="str">
            <v>BAM</v>
          </cell>
          <cell r="U3" t="str">
            <v>BHZ</v>
          </cell>
          <cell r="V3" t="str">
            <v>UBA</v>
          </cell>
          <cell r="W3" t="str">
            <v>VIX</v>
          </cell>
          <cell r="X3" t="str">
            <v>CWB</v>
          </cell>
          <cell r="Y3" t="str">
            <v>CAC</v>
          </cell>
          <cell r="Z3" t="str">
            <v>MGF</v>
          </cell>
          <cell r="AA3" t="str">
            <v>LDB</v>
          </cell>
          <cell r="AB3" t="str">
            <v>POA</v>
          </cell>
          <cell r="AC3" t="str">
            <v>FLN</v>
          </cell>
          <cell r="AD3" t="str">
            <v>BSB</v>
          </cell>
          <cell r="AE3" t="str">
            <v>GYN</v>
          </cell>
          <cell r="AF3" t="str">
            <v>RVD</v>
          </cell>
          <cell r="AG3" t="str">
            <v>CGB</v>
          </cell>
          <cell r="AH3" t="str">
            <v>CCR</v>
          </cell>
          <cell r="AI3" t="str">
            <v>MTU</v>
          </cell>
          <cell r="AJ3" t="str">
            <v>CGR</v>
          </cell>
          <cell r="AK3" t="str">
            <v>SSA</v>
          </cell>
          <cell r="AL3" t="str">
            <v>AJU</v>
          </cell>
          <cell r="AM3" t="str">
            <v>REC</v>
          </cell>
          <cell r="AN3" t="str">
            <v>NAT</v>
          </cell>
          <cell r="AO3" t="str">
            <v>MCZ</v>
          </cell>
          <cell r="AP3" t="str">
            <v>FOR</v>
          </cell>
          <cell r="AQ3" t="str">
            <v>JPA</v>
          </cell>
          <cell r="AR3" t="str">
            <v>THE</v>
          </cell>
          <cell r="AS3" t="str">
            <v>SLZ</v>
          </cell>
          <cell r="AT3" t="str">
            <v>IMP</v>
          </cell>
          <cell r="AU3" t="str">
            <v>BEL</v>
          </cell>
          <cell r="AV3" t="str">
            <v>MAB</v>
          </cell>
          <cell r="AW3" t="str">
            <v>STM</v>
          </cell>
          <cell r="AX3" t="str">
            <v>MAO</v>
          </cell>
          <cell r="AY3" t="str">
            <v>PVH</v>
          </cell>
          <cell r="AZ3" t="str">
            <v>RBR</v>
          </cell>
          <cell r="BA3" t="str">
            <v>GRP</v>
          </cell>
          <cell r="BB3" t="str">
            <v>AUX</v>
          </cell>
          <cell r="BC3" t="str">
            <v>BVB</v>
          </cell>
          <cell r="BD3" t="str">
            <v>MCP</v>
          </cell>
        </row>
        <row r="4">
          <cell r="M4" t="str">
            <v>SP1</v>
          </cell>
          <cell r="N4" t="str">
            <v>SP2</v>
          </cell>
          <cell r="O4" t="str">
            <v>SP3</v>
          </cell>
          <cell r="P4" t="str">
            <v>SP4</v>
          </cell>
          <cell r="Q4" t="str">
            <v xml:space="preserve">  SP5</v>
          </cell>
          <cell r="R4" t="str">
            <v>SP7</v>
          </cell>
          <cell r="S4" t="str">
            <v>RJ1</v>
          </cell>
          <cell r="T4" t="str">
            <v>RJ2</v>
          </cell>
          <cell r="U4" t="str">
            <v>MG1</v>
          </cell>
          <cell r="V4" t="str">
            <v>MG2</v>
          </cell>
          <cell r="W4" t="str">
            <v>VIT</v>
          </cell>
          <cell r="X4" t="str">
            <v>PR1</v>
          </cell>
          <cell r="Y4" t="str">
            <v>PR2</v>
          </cell>
          <cell r="Z4" t="str">
            <v>PR3</v>
          </cell>
          <cell r="AA4" t="str">
            <v>PR4</v>
          </cell>
          <cell r="AB4" t="str">
            <v>RS1</v>
          </cell>
          <cell r="AC4" t="str">
            <v>SC1</v>
          </cell>
          <cell r="AD4" t="str">
            <v>BRA</v>
          </cell>
          <cell r="AE4" t="str">
            <v>GOI</v>
          </cell>
          <cell r="AF4" t="str">
            <v>GO2</v>
          </cell>
          <cell r="AG4" t="str">
            <v>MT1</v>
          </cell>
          <cell r="AH4" t="str">
            <v>MT2</v>
          </cell>
          <cell r="AI4" t="str">
            <v>MT3</v>
          </cell>
          <cell r="AJ4" t="str">
            <v>CGR</v>
          </cell>
          <cell r="AK4" t="str">
            <v>SAL</v>
          </cell>
          <cell r="AL4" t="str">
            <v>AJU</v>
          </cell>
          <cell r="AM4" t="str">
            <v>REC</v>
          </cell>
          <cell r="AN4" t="str">
            <v>NAT</v>
          </cell>
          <cell r="AO4" t="str">
            <v>MAC</v>
          </cell>
          <cell r="AP4" t="str">
            <v>CE1</v>
          </cell>
          <cell r="AQ4" t="str">
            <v>JPE</v>
          </cell>
          <cell r="AR4" t="str">
            <v>PI1</v>
          </cell>
          <cell r="AS4" t="str">
            <v>MA1</v>
          </cell>
          <cell r="AT4" t="str">
            <v>MA4</v>
          </cell>
          <cell r="AU4" t="str">
            <v>BEL</v>
          </cell>
          <cell r="AV4" t="str">
            <v>PA2</v>
          </cell>
          <cell r="AW4" t="str">
            <v>PA3</v>
          </cell>
          <cell r="AX4" t="str">
            <v>MAN</v>
          </cell>
          <cell r="AY4" t="str">
            <v>POV</v>
          </cell>
          <cell r="AZ4" t="str">
            <v>RBR</v>
          </cell>
          <cell r="BA4" t="str">
            <v>TO2</v>
          </cell>
          <cell r="BB4" t="str">
            <v>TO3</v>
          </cell>
          <cell r="BC4" t="str">
            <v>BVT</v>
          </cell>
          <cell r="BD4" t="str">
            <v>MCP</v>
          </cell>
        </row>
        <row r="5">
          <cell r="G5" t="str">
            <v>-Selecionar-</v>
          </cell>
        </row>
        <row r="6">
          <cell r="G6" t="str">
            <v>AGRO BAND</v>
          </cell>
        </row>
        <row r="7">
          <cell r="G7" t="str">
            <v>APITO FINAL</v>
          </cell>
        </row>
        <row r="8">
          <cell r="G8" t="str">
            <v>ALMA DE GIGANTE</v>
          </cell>
        </row>
        <row r="9">
          <cell r="G9" t="str">
            <v>BAND ESPORTE CLUBE</v>
          </cell>
        </row>
        <row r="10">
          <cell r="G10" t="str">
            <v>BAND ESPORTE</v>
          </cell>
        </row>
        <row r="11">
          <cell r="G11" t="str">
            <v>BORA BRASIL</v>
          </cell>
        </row>
        <row r="12">
          <cell r="G12" t="str">
            <v>BRASIL URGENTE</v>
          </cell>
        </row>
        <row r="13">
          <cell r="G13" t="str">
            <v>BWF LUTA LIVRE</v>
          </cell>
        </row>
        <row r="14">
          <cell r="G14" t="str">
            <v>CAFÉ COM AROMA DE MULHER</v>
          </cell>
        </row>
        <row r="15">
          <cell r="G15" t="str">
            <v>CAMPEONATO SAUDITA</v>
          </cell>
        </row>
        <row r="16">
          <cell r="G16" t="str">
            <v>CANAL LIVRE</v>
          </cell>
        </row>
        <row r="17">
          <cell r="G17" t="str">
            <v>CINE CLUBE</v>
          </cell>
        </row>
        <row r="18">
          <cell r="G18" t="str">
            <v>PAPO COM SABOR - REAPRESENTAÇÃO</v>
          </cell>
        </row>
        <row r="19">
          <cell r="G19" t="str">
            <v>CINE PRIVÉ</v>
          </cell>
        </row>
        <row r="20">
          <cell r="G20" t="str">
            <v>CHAMA NO PRIVÉ</v>
          </cell>
        </row>
        <row r="21">
          <cell r="G21" t="str">
            <v>CINEMA NA MADRUGADA</v>
          </cell>
        </row>
        <row r="22">
          <cell r="G22" t="str">
            <v>COPA TRUCK</v>
          </cell>
        </row>
        <row r="23">
          <cell r="G23" t="str">
            <v>DESTINOS</v>
          </cell>
        </row>
        <row r="24">
          <cell r="G24" t="str">
            <v>DE ONDE VEM</v>
          </cell>
        </row>
        <row r="25">
          <cell r="G25" t="str">
            <v>DO LEVAIN AO PÃO</v>
          </cell>
        </row>
        <row r="26">
          <cell r="G26" t="str">
            <v xml:space="preserve">DOCUMENTO BAND </v>
          </cell>
        </row>
        <row r="27">
          <cell r="G27" t="str">
            <v>DOMINGO NO CINEMA</v>
          </cell>
        </row>
        <row r="28">
          <cell r="G28" t="str">
            <v>ECONOMIA PRA VOCÊ</v>
          </cell>
        </row>
        <row r="29">
          <cell r="G29" t="str">
            <v>EUROPA LEAGUE</v>
          </cell>
        </row>
        <row r="30">
          <cell r="G30" t="str">
            <v>ESPORTE TOTAL</v>
          </cell>
        </row>
        <row r="31">
          <cell r="G31" t="str">
            <v>ESTILO ARTE1</v>
          </cell>
        </row>
        <row r="32">
          <cell r="G32" t="str">
            <v>ESTAÇÃO CINEMA</v>
          </cell>
        </row>
        <row r="33">
          <cell r="G33" t="str">
            <v>FÓRMULA 1</v>
          </cell>
        </row>
        <row r="34">
          <cell r="G34" t="str">
            <v>FÓRMULA 1 - TREINO CLASSIFICATÓRIO</v>
          </cell>
        </row>
        <row r="35">
          <cell r="G35" t="str">
            <v>FÓRMULA 2</v>
          </cell>
        </row>
        <row r="36">
          <cell r="G36" t="str">
            <v>FÓRMULA 3</v>
          </cell>
        </row>
        <row r="37">
          <cell r="G37" t="str">
            <v>FÓRMULA E</v>
          </cell>
        </row>
        <row r="38">
          <cell r="G38" t="str">
            <v>FÓRMULA BAND</v>
          </cell>
        </row>
        <row r="39">
          <cell r="G39" t="str">
            <v>FÓRMULA 1 - COMPACTO</v>
          </cell>
        </row>
        <row r="40">
          <cell r="G40" t="str">
            <v>GALVÃO &amp; AMIGOS</v>
          </cell>
        </row>
        <row r="41">
          <cell r="G41" t="str">
            <v>GAME SHOW BANDBET</v>
          </cell>
        </row>
        <row r="42">
          <cell r="G42" t="str">
            <v>LARGADOS E PELADOS</v>
          </cell>
        </row>
        <row r="43">
          <cell r="G43" t="str">
            <v>O MUNDO SEGUNDO OS BRASILEIROS - EM DEFINIÇÃO</v>
          </cell>
        </row>
        <row r="44">
          <cell r="G44" t="str">
            <v>JANTAR O QUÊ</v>
          </cell>
        </row>
        <row r="45">
          <cell r="G45" t="str">
            <v>JOGO ABERTO</v>
          </cell>
        </row>
        <row r="46">
          <cell r="G46" t="str">
            <v>JORNAL BANDNEWS - GIRO DE NOTÍCIAS</v>
          </cell>
        </row>
        <row r="47">
          <cell r="G47" t="str">
            <v>JORNAL DA BAND</v>
          </cell>
        </row>
        <row r="48">
          <cell r="G48" t="str">
            <v>JORNAL DA BAND - REAPRESENTAÇÃO</v>
          </cell>
        </row>
        <row r="49">
          <cell r="G49" t="str">
            <v>JORNAL DA NOITE</v>
          </cell>
        </row>
        <row r="50">
          <cell r="G50" t="str">
            <v>LADIES CUP FINAL</v>
          </cell>
        </row>
        <row r="51">
          <cell r="G51" t="str">
            <v>LÁ NO MERCADÃO</v>
          </cell>
        </row>
        <row r="52">
          <cell r="G52" t="str">
            <v xml:space="preserve">DO SIMPLES AO ESPETACULAR </v>
          </cell>
        </row>
        <row r="53">
          <cell r="G53" t="str">
            <v xml:space="preserve">DIRETO NA BRASA </v>
          </cell>
        </row>
        <row r="54">
          <cell r="G54" t="str">
            <v>SABORES DE SP</v>
          </cell>
        </row>
        <row r="55">
          <cell r="G55" t="str">
            <v>LINHA DE COMBATE - REAPRESENTAÇÃO</v>
          </cell>
        </row>
        <row r="56">
          <cell r="G56" t="str">
            <v>MASTERCHEF AMADORES</v>
          </cell>
        </row>
        <row r="57">
          <cell r="G57" t="str">
            <v>MASTERCHEF AMADORES - REAPRESENTAÇÃO</v>
          </cell>
        </row>
        <row r="58">
          <cell r="G58" t="str">
            <v>MASTERCHEF A PRÉVIA</v>
          </cell>
        </row>
        <row r="59">
          <cell r="G59" t="str">
            <v>MELHOR DA NOITE</v>
          </cell>
        </row>
        <row r="60">
          <cell r="G60" t="str">
            <v>MELHOR DA TARDE</v>
          </cell>
        </row>
        <row r="61">
          <cell r="G61" t="str">
            <v>MESTRE DO DRYWALL</v>
          </cell>
        </row>
        <row r="62">
          <cell r="G62" t="str">
            <v>NA COZINHA DA HELÔ</v>
          </cell>
        </row>
        <row r="63">
          <cell r="G63" t="str">
            <v>ORIGENS DO SABOR</v>
          </cell>
        </row>
        <row r="64">
          <cell r="G64" t="str">
            <v>O MELHOR DO UFC</v>
          </cell>
        </row>
        <row r="65">
          <cell r="G65" t="str">
            <v>O MELHOR PRATO</v>
          </cell>
        </row>
        <row r="66">
          <cell r="G66" t="str">
            <v>PAPO COM SABOR - REAPRESENTAÇÃO</v>
          </cell>
        </row>
        <row r="67">
          <cell r="G67" t="str">
            <v>PERRENGUE DO DIA</v>
          </cell>
        </row>
        <row r="68">
          <cell r="G68" t="str">
            <v>PERRENGUE NA BAND</v>
          </cell>
        </row>
        <row r="69">
          <cell r="G69" t="str">
            <v xml:space="preserve">PESADELO NA COZINHA </v>
          </cell>
        </row>
        <row r="70">
          <cell r="G70" t="str">
            <v xml:space="preserve">PLANETA SELVAGEM </v>
          </cell>
        </row>
        <row r="71">
          <cell r="G71" t="str">
            <v>PLANETA SELVAGEM</v>
          </cell>
        </row>
        <row r="72">
          <cell r="G72" t="str">
            <v>PORSCHE CUP</v>
          </cell>
        </row>
        <row r="73">
          <cell r="G73" t="str">
            <v>PURA PESCA</v>
          </cell>
        </row>
        <row r="74">
          <cell r="G74" t="str">
            <v xml:space="preserve">REMO E RUMOS </v>
          </cell>
        </row>
        <row r="75">
          <cell r="G75" t="str">
            <v>RESENHA DO GALINHO</v>
          </cell>
        </row>
        <row r="76">
          <cell r="G76" t="str">
            <v>SABADÃO DE TODOS</v>
          </cell>
        </row>
        <row r="77">
          <cell r="G77" t="str">
            <v>SESSÃO ESPECIAL</v>
          </cell>
        </row>
        <row r="78">
          <cell r="G78" t="str">
            <v xml:space="preserve">SESSÃO ESPECIAL </v>
          </cell>
        </row>
        <row r="79">
          <cell r="G79" t="str">
            <v>SEX PRIVÉ CLUBE</v>
          </cell>
        </row>
        <row r="80">
          <cell r="G80" t="str">
            <v>CHAMA NO PRIVÊ</v>
          </cell>
        </row>
        <row r="81">
          <cell r="G81" t="str">
            <v>SFT</v>
          </cell>
        </row>
        <row r="82">
          <cell r="G82" t="str">
            <v>SHOW DO ESPORTE</v>
          </cell>
        </row>
        <row r="83">
          <cell r="G83" t="str">
            <v>STOCK CAR</v>
          </cell>
        </row>
        <row r="84">
          <cell r="G84" t="str">
            <v>NOVELA I</v>
          </cell>
        </row>
        <row r="85">
          <cell r="G85" t="str">
            <v>VIDA DE MERENDEIRA</v>
          </cell>
        </row>
        <row r="86">
          <cell r="G86" t="str">
            <v>DESAFIO EM DOSE DUPLA</v>
          </cell>
        </row>
        <row r="87">
          <cell r="G87" t="str">
            <v>THE BLACKLIST</v>
          </cell>
        </row>
        <row r="88">
          <cell r="G88" t="str">
            <v>TOP CINE</v>
          </cell>
        </row>
        <row r="89">
          <cell r="G89" t="str">
            <v>UFC</v>
          </cell>
        </row>
        <row r="90">
          <cell r="G90" t="str">
            <v>WEC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  <sheetData sheetId="8">
        <row r="2">
          <cell r="B2" t="str">
            <v xml:space="preserve"> -FORMATOS- (Selecionar)</v>
          </cell>
        </row>
        <row r="57">
          <cell r="B57" t="str">
            <v>CACHE</v>
          </cell>
          <cell r="C57" t="str">
            <v>APRESENTADOR</v>
          </cell>
        </row>
        <row r="58">
          <cell r="B58" t="str">
            <v>PROGRAMA</v>
          </cell>
          <cell r="C58" t="str">
            <v>COD.</v>
          </cell>
          <cell r="D58" t="str">
            <v>Selecionar</v>
          </cell>
          <cell r="F58" t="str">
            <v>Porcentagem</v>
          </cell>
          <cell r="G58" t="str">
            <v>Mínimo</v>
          </cell>
          <cell r="H58" t="str">
            <v>Adicional</v>
          </cell>
        </row>
        <row r="59">
          <cell r="A59" t="str">
            <v>0</v>
          </cell>
          <cell r="B59" t="str">
            <v>APRESENTADOR COMERCIAL</v>
          </cell>
          <cell r="D59" t="str">
            <v xml:space="preserve"> Felipe Fonseca</v>
          </cell>
          <cell r="G59">
            <v>250</v>
          </cell>
          <cell r="I59" t="str">
            <v>Felipe Fonseca - Testemunhal / Ação diferenciada é negociado o valor</v>
          </cell>
          <cell r="M59" t="str">
            <v>--Selecionar--</v>
          </cell>
          <cell r="N59" t="str">
            <v>--Selecionar--</v>
          </cell>
          <cell r="O59" t="str">
            <v>--Selecionar--</v>
          </cell>
          <cell r="P59" t="str">
            <v>--Selecionar--</v>
          </cell>
          <cell r="Q59" t="str">
            <v>--Selecionar--</v>
          </cell>
          <cell r="R59" t="str">
            <v>--Selecionar--</v>
          </cell>
          <cell r="S59" t="str">
            <v>--Selecionar--</v>
          </cell>
          <cell r="T59" t="str">
            <v>--Selecionar--</v>
          </cell>
          <cell r="U59" t="str">
            <v>--Selecionar--</v>
          </cell>
          <cell r="V59" t="str">
            <v>--Selecionar--</v>
          </cell>
        </row>
        <row r="60">
          <cell r="A60" t="str">
            <v>APIT1</v>
          </cell>
          <cell r="B60" t="str">
            <v>APITO FINAL</v>
          </cell>
          <cell r="C60" t="str">
            <v>APIT</v>
          </cell>
          <cell r="D60" t="str">
            <v xml:space="preserve"> Neto</v>
          </cell>
          <cell r="F60">
            <v>0.1</v>
          </cell>
          <cell r="G60">
            <v>3000</v>
          </cell>
          <cell r="I60" t="str">
            <v>Neto - 10% do líquido - por ação / Ação Especial valor sob consulta</v>
          </cell>
          <cell r="M60" t="str">
            <v/>
          </cell>
          <cell r="N60" t="str">
            <v/>
          </cell>
          <cell r="O60" t="str">
            <v/>
          </cell>
          <cell r="P60" t="str">
            <v/>
          </cell>
          <cell r="Q60" t="str">
            <v/>
          </cell>
          <cell r="R60" t="str">
            <v/>
          </cell>
          <cell r="S60" t="str">
            <v/>
          </cell>
          <cell r="T60" t="str">
            <v/>
          </cell>
          <cell r="U60" t="str">
            <v/>
          </cell>
          <cell r="V60" t="str">
            <v/>
          </cell>
        </row>
        <row r="61">
          <cell r="A61" t="str">
            <v>FOLB1</v>
          </cell>
          <cell r="B61" t="str">
            <v>BAND FOLIA</v>
          </cell>
          <cell r="C61" t="str">
            <v>FOLB</v>
          </cell>
          <cell r="D61" t="str">
            <v xml:space="preserve"> Betinho</v>
          </cell>
          <cell r="F61">
            <v>0.1</v>
          </cell>
          <cell r="G61">
            <v>2000</v>
          </cell>
          <cell r="I61" t="str">
            <v>Betinho - 10% do líquido - por ação / Ação Especial valor sob consulta</v>
          </cell>
          <cell r="M61" t="str">
            <v/>
          </cell>
          <cell r="N61" t="str">
            <v/>
          </cell>
          <cell r="O61" t="str">
            <v/>
          </cell>
          <cell r="P61" t="str">
            <v/>
          </cell>
          <cell r="Q61" t="str">
            <v/>
          </cell>
          <cell r="R61" t="str">
            <v/>
          </cell>
          <cell r="S61" t="str">
            <v/>
          </cell>
          <cell r="T61" t="str">
            <v/>
          </cell>
          <cell r="U61" t="str">
            <v/>
          </cell>
          <cell r="V61" t="str">
            <v/>
          </cell>
        </row>
        <row r="62">
          <cell r="A62" t="str">
            <v>CLUS1</v>
          </cell>
          <cell r="B62" t="str">
            <v>BAND ESPORTE CLUBE</v>
          </cell>
          <cell r="C62" t="str">
            <v>CLUS</v>
          </cell>
          <cell r="D62" t="str">
            <v xml:space="preserve"> Kalinka Schutel</v>
          </cell>
          <cell r="F62">
            <v>0.1</v>
          </cell>
          <cell r="G62">
            <v>1500</v>
          </cell>
          <cell r="I62" t="str">
            <v>Kalinka Schutel - 10% do líquido - por ação / Ação Especial valor sob consulta</v>
          </cell>
          <cell r="M62" t="str">
            <v/>
          </cell>
          <cell r="N62" t="str">
            <v/>
          </cell>
          <cell r="O62" t="str">
            <v/>
          </cell>
          <cell r="P62" t="str">
            <v/>
          </cell>
          <cell r="Q62" t="str">
            <v/>
          </cell>
          <cell r="R62" t="str">
            <v/>
          </cell>
          <cell r="S62" t="str">
            <v/>
          </cell>
          <cell r="T62" t="str">
            <v/>
          </cell>
          <cell r="U62" t="str">
            <v/>
          </cell>
          <cell r="V62" t="str">
            <v/>
          </cell>
        </row>
        <row r="63">
          <cell r="A63" t="str">
            <v>BECL1</v>
          </cell>
          <cell r="B63" t="str">
            <v xml:space="preserve">BAND ESPORTE CLUBE - LOCAL </v>
          </cell>
          <cell r="C63" t="str">
            <v>BECL</v>
          </cell>
          <cell r="D63" t="str">
            <v xml:space="preserve"> Kalinka Schutel</v>
          </cell>
          <cell r="F63">
            <v>0.1</v>
          </cell>
          <cell r="G63">
            <v>1500</v>
          </cell>
          <cell r="I63" t="str">
            <v>Kalinka Schutel - 10% do líquido - por ação / Ação Especial valor sob consulta</v>
          </cell>
        </row>
        <row r="64">
          <cell r="A64" t="str">
            <v>BOBR1</v>
          </cell>
          <cell r="B64" t="str">
            <v>BORA BRASIL</v>
          </cell>
          <cell r="C64" t="str">
            <v>BOBR</v>
          </cell>
          <cell r="D64" t="str">
            <v xml:space="preserve"> Cynthia de Paula da S Martins</v>
          </cell>
          <cell r="F64">
            <v>0.1</v>
          </cell>
          <cell r="G64">
            <v>2000</v>
          </cell>
          <cell r="I64" t="str">
            <v>Cynthia de Paula da S Martins - 10% do líquido - por ação / Ação Especial valor sob consulta</v>
          </cell>
          <cell r="M64" t="str">
            <v/>
          </cell>
          <cell r="N64" t="str">
            <v/>
          </cell>
          <cell r="O64" t="str">
            <v/>
          </cell>
          <cell r="P64" t="str">
            <v/>
          </cell>
          <cell r="Q64" t="str">
            <v/>
          </cell>
          <cell r="R64" t="str">
            <v/>
          </cell>
          <cell r="S64" t="str">
            <v/>
          </cell>
          <cell r="T64" t="str">
            <v/>
          </cell>
          <cell r="U64" t="str">
            <v/>
          </cell>
          <cell r="V64" t="str">
            <v/>
          </cell>
        </row>
        <row r="65">
          <cell r="A65" t="str">
            <v>BOBR2</v>
          </cell>
          <cell r="B65" t="str">
            <v>BORA BRASIL</v>
          </cell>
          <cell r="C65" t="str">
            <v>BOBR</v>
          </cell>
          <cell r="D65" t="str">
            <v xml:space="preserve"> Rodrigo Nascimento Alvarez</v>
          </cell>
          <cell r="F65">
            <v>0.1</v>
          </cell>
          <cell r="G65">
            <v>2000</v>
          </cell>
          <cell r="I65" t="str">
            <v>Rodrigo Nascimento Alvarez - 10% do líquido - por ação / Ação Especial valor sob consulta</v>
          </cell>
          <cell r="M65" t="str">
            <v/>
          </cell>
          <cell r="N65" t="str">
            <v/>
          </cell>
          <cell r="O65" t="str">
            <v/>
          </cell>
          <cell r="P65" t="str">
            <v/>
          </cell>
          <cell r="Q65" t="str">
            <v/>
          </cell>
          <cell r="R65" t="str">
            <v/>
          </cell>
          <cell r="S65" t="str">
            <v/>
          </cell>
          <cell r="T65" t="str">
            <v/>
          </cell>
          <cell r="U65" t="str">
            <v/>
          </cell>
          <cell r="V65" t="str">
            <v/>
          </cell>
        </row>
        <row r="66">
          <cell r="A66" t="str">
            <v>BOBR3</v>
          </cell>
          <cell r="B66" t="str">
            <v>BORA BRASIL</v>
          </cell>
          <cell r="C66" t="str">
            <v>BOBR</v>
          </cell>
          <cell r="D66" t="str">
            <v xml:space="preserve">Patricia Rocha </v>
          </cell>
          <cell r="F66">
            <v>0.1</v>
          </cell>
          <cell r="G66">
            <v>2000</v>
          </cell>
          <cell r="I66" t="str">
            <v>Rodrigo Nascimento Alvarez - 10% do líquido - por ação / Ação Especial valor sob consulta</v>
          </cell>
          <cell r="M66" t="str">
            <v/>
          </cell>
          <cell r="N66" t="str">
            <v/>
          </cell>
          <cell r="O66" t="str">
            <v/>
          </cell>
          <cell r="P66" t="str">
            <v/>
          </cell>
          <cell r="Q66" t="str">
            <v/>
          </cell>
          <cell r="R66" t="str">
            <v/>
          </cell>
          <cell r="S66" t="str">
            <v/>
          </cell>
          <cell r="T66" t="str">
            <v/>
          </cell>
          <cell r="U66" t="str">
            <v/>
          </cell>
          <cell r="V66" t="str">
            <v/>
          </cell>
        </row>
        <row r="67">
          <cell r="A67" t="str">
            <v>BRUR1</v>
          </cell>
          <cell r="B67" t="str">
            <v>BRASIL URGENTE</v>
          </cell>
          <cell r="C67" t="str">
            <v>BRUR</v>
          </cell>
          <cell r="D67" t="str">
            <v xml:space="preserve"> Joel Datena</v>
          </cell>
          <cell r="F67">
            <v>0.15</v>
          </cell>
          <cell r="G67">
            <v>3000</v>
          </cell>
          <cell r="I67" t="str">
            <v>Joel Datena - 15% do líquido - por ação / Ação Especial valor sob consulta</v>
          </cell>
          <cell r="M67" t="str">
            <v/>
          </cell>
          <cell r="N67" t="str">
            <v/>
          </cell>
          <cell r="O67" t="str">
            <v/>
          </cell>
          <cell r="P67" t="str">
            <v/>
          </cell>
          <cell r="Q67" t="str">
            <v/>
          </cell>
          <cell r="R67" t="str">
            <v/>
          </cell>
          <cell r="S67" t="str">
            <v/>
          </cell>
          <cell r="T67" t="str">
            <v/>
          </cell>
          <cell r="U67" t="str">
            <v/>
          </cell>
          <cell r="V67" t="str">
            <v/>
          </cell>
        </row>
        <row r="68">
          <cell r="A68" t="str">
            <v>BRLO1</v>
          </cell>
          <cell r="B68" t="str">
            <v>BRASIL URGENTE LOCAL</v>
          </cell>
          <cell r="C68" t="str">
            <v>BRLO</v>
          </cell>
          <cell r="D68" t="str">
            <v xml:space="preserve"> Joel Datena</v>
          </cell>
          <cell r="F68">
            <v>0.15</v>
          </cell>
          <cell r="G68">
            <v>2500</v>
          </cell>
          <cell r="I68" t="str">
            <v>Joel Datena - 15% do líquido - por ação / Ação Especial valor sob consulta</v>
          </cell>
          <cell r="M68" t="str">
            <v/>
          </cell>
          <cell r="N68" t="str">
            <v/>
          </cell>
          <cell r="O68" t="str">
            <v/>
          </cell>
          <cell r="P68" t="str">
            <v/>
          </cell>
          <cell r="Q68" t="str">
            <v/>
          </cell>
          <cell r="R68" t="str">
            <v/>
          </cell>
          <cell r="S68" t="str">
            <v/>
          </cell>
          <cell r="T68" t="str">
            <v/>
          </cell>
          <cell r="U68" t="str">
            <v/>
          </cell>
          <cell r="V68" t="str">
            <v/>
          </cell>
        </row>
        <row r="69">
          <cell r="A69" t="str">
            <v>BRUR2</v>
          </cell>
          <cell r="B69" t="str">
            <v>BRASIL URGENTE</v>
          </cell>
          <cell r="C69" t="str">
            <v>BRUR</v>
          </cell>
          <cell r="D69" t="str">
            <v xml:space="preserve"> Felipe Garrafa Fernandes</v>
          </cell>
          <cell r="F69">
            <v>0.1</v>
          </cell>
          <cell r="G69">
            <v>1000</v>
          </cell>
          <cell r="I69" t="str">
            <v>Felipe Garrafa Fernandes - 10% do líquido - por ação / Ação Especial valor sob consulta</v>
          </cell>
          <cell r="M69" t="str">
            <v/>
          </cell>
          <cell r="N69" t="str">
            <v/>
          </cell>
          <cell r="O69" t="str">
            <v/>
          </cell>
          <cell r="P69" t="str">
            <v/>
          </cell>
          <cell r="Q69" t="str">
            <v/>
          </cell>
          <cell r="R69" t="str">
            <v/>
          </cell>
          <cell r="S69" t="str">
            <v/>
          </cell>
          <cell r="T69" t="str">
            <v/>
          </cell>
          <cell r="U69" t="str">
            <v/>
          </cell>
          <cell r="V69" t="str">
            <v/>
          </cell>
        </row>
        <row r="70">
          <cell r="A70" t="str">
            <v>CARI1</v>
          </cell>
          <cell r="B70" t="str">
            <v>CAMPEONATO CARIOCA</v>
          </cell>
          <cell r="C70" t="str">
            <v>CARI</v>
          </cell>
          <cell r="D70" t="str">
            <v xml:space="preserve"> Athirson Mazolli</v>
          </cell>
          <cell r="F70">
            <v>0.1</v>
          </cell>
          <cell r="I70" t="str">
            <v>Athirson Mazolli - 10% do líquido negociado - por ação / Ação Especial valor sob consulta</v>
          </cell>
          <cell r="M70" t="str">
            <v/>
          </cell>
          <cell r="N70" t="str">
            <v/>
          </cell>
          <cell r="O70" t="str">
            <v/>
          </cell>
          <cell r="P70" t="str">
            <v/>
          </cell>
          <cell r="Q70" t="str">
            <v/>
          </cell>
          <cell r="R70" t="str">
            <v/>
          </cell>
          <cell r="S70" t="str">
            <v/>
          </cell>
          <cell r="T70" t="str">
            <v/>
          </cell>
          <cell r="U70" t="str">
            <v/>
          </cell>
          <cell r="V70" t="str">
            <v/>
          </cell>
        </row>
        <row r="71">
          <cell r="A71" t="str">
            <v>CARI2</v>
          </cell>
          <cell r="B71" t="str">
            <v>CAMPEONATO CARIOCA</v>
          </cell>
          <cell r="C71" t="str">
            <v>CARI</v>
          </cell>
          <cell r="D71" t="str">
            <v xml:space="preserve"> Washington Cerqueira</v>
          </cell>
          <cell r="F71">
            <v>0.1</v>
          </cell>
          <cell r="I71" t="str">
            <v>Washington Cerqueira - 10% do líquido negociado - por ação / Ação Especial valor sob consulta</v>
          </cell>
          <cell r="M71" t="str">
            <v/>
          </cell>
          <cell r="N71" t="str">
            <v/>
          </cell>
          <cell r="O71" t="str">
            <v/>
          </cell>
          <cell r="P71" t="str">
            <v/>
          </cell>
          <cell r="Q71" t="str">
            <v/>
          </cell>
          <cell r="R71" t="str">
            <v/>
          </cell>
          <cell r="S71" t="str">
            <v/>
          </cell>
          <cell r="T71" t="str">
            <v/>
          </cell>
          <cell r="U71" t="str">
            <v/>
          </cell>
          <cell r="V71" t="str">
            <v/>
          </cell>
        </row>
        <row r="72">
          <cell r="A72" t="str">
            <v>FUTB1</v>
          </cell>
          <cell r="B72" t="str">
            <v>ESPORTE TOTAL</v>
          </cell>
          <cell r="C72" t="str">
            <v>FUTB</v>
          </cell>
          <cell r="D72" t="str">
            <v xml:space="preserve"> Fernando Fernandes</v>
          </cell>
          <cell r="F72">
            <v>0.1</v>
          </cell>
          <cell r="G72">
            <v>2000</v>
          </cell>
          <cell r="I72" t="str">
            <v>Fernando Fernandes - 10% do líquido - por ação / Ação Especial valor sob consulta</v>
          </cell>
          <cell r="M72" t="str">
            <v/>
          </cell>
          <cell r="N72" t="str">
            <v/>
          </cell>
          <cell r="O72" t="str">
            <v/>
          </cell>
          <cell r="P72" t="str">
            <v/>
          </cell>
          <cell r="Q72" t="str">
            <v/>
          </cell>
          <cell r="R72" t="str">
            <v/>
          </cell>
          <cell r="S72" t="str">
            <v/>
          </cell>
          <cell r="T72" t="str">
            <v/>
          </cell>
          <cell r="U72" t="str">
            <v/>
          </cell>
          <cell r="V72" t="str">
            <v/>
          </cell>
        </row>
        <row r="73">
          <cell r="A73" t="str">
            <v>FOR11</v>
          </cell>
          <cell r="B73" t="str">
            <v>FORMULA 1</v>
          </cell>
          <cell r="C73" t="str">
            <v>FOR1</v>
          </cell>
          <cell r="D73" t="str">
            <v xml:space="preserve"> Felipe Giaffone</v>
          </cell>
          <cell r="F73">
            <v>0.1</v>
          </cell>
          <cell r="I73" t="str">
            <v>Felipe Giaffone - 10% do líquido negociado - por ação / Ação Especial valor sob consulta</v>
          </cell>
        </row>
        <row r="74">
          <cell r="A74" t="str">
            <v>FOR12</v>
          </cell>
          <cell r="B74" t="str">
            <v>FORMULA 1</v>
          </cell>
          <cell r="C74" t="str">
            <v>FOR1</v>
          </cell>
          <cell r="D74" t="str">
            <v xml:space="preserve"> Max Wilson</v>
          </cell>
          <cell r="F74">
            <v>0.1</v>
          </cell>
          <cell r="I74" t="str">
            <v>Max Wilson - 10% do líquido negociado - por ação / Ação Especial valor sob consulta</v>
          </cell>
        </row>
        <row r="75">
          <cell r="A75" t="str">
            <v>FOR13</v>
          </cell>
          <cell r="B75" t="str">
            <v>FORMULA 1</v>
          </cell>
          <cell r="C75" t="str">
            <v>FOR1</v>
          </cell>
          <cell r="D75" t="str">
            <v xml:space="preserve"> Sérgio Maurício</v>
          </cell>
          <cell r="F75">
            <v>0.1</v>
          </cell>
          <cell r="I75" t="str">
            <v>Sergio Maurício - 10% do líquido negociado - por ação / Ação Especial valor sob consulta</v>
          </cell>
        </row>
        <row r="76">
          <cell r="A76" t="str">
            <v>FOR14</v>
          </cell>
          <cell r="B76" t="str">
            <v>FORMULA 1</v>
          </cell>
          <cell r="C76" t="str">
            <v>FOR1</v>
          </cell>
          <cell r="D76" t="str">
            <v xml:space="preserve"> Tiago Mendonça</v>
          </cell>
          <cell r="F76">
            <v>0.1</v>
          </cell>
          <cell r="I76" t="str">
            <v>Tiago Mendonça - 10% do líquido negociado - por ação / Ação Especial valor sob consulta</v>
          </cell>
        </row>
        <row r="77">
          <cell r="A77" t="str">
            <v>GALV1</v>
          </cell>
          <cell r="B77" t="str">
            <v>GALVÃO &amp; AMIGOS</v>
          </cell>
          <cell r="C77" t="str">
            <v>GALV</v>
          </cell>
          <cell r="D77" t="str">
            <v xml:space="preserve"> Galvão Bueno</v>
          </cell>
          <cell r="G77">
            <v>35000</v>
          </cell>
          <cell r="I77" t="str">
            <v>Ação Diferencia valor sob consulta</v>
          </cell>
        </row>
        <row r="78">
          <cell r="A78" t="str">
            <v>GALV2</v>
          </cell>
          <cell r="B78" t="str">
            <v>GALVÃO &amp; AMIGOS</v>
          </cell>
          <cell r="C78" t="str">
            <v>GALV</v>
          </cell>
          <cell r="D78" t="str">
            <v xml:space="preserve"> Mauro Naves</v>
          </cell>
          <cell r="F78">
            <v>0.1</v>
          </cell>
          <cell r="I78" t="str">
            <v>Mauro Naves - 10% do líquido negociado - por ação / Ação Especial valor sob consulta</v>
          </cell>
        </row>
        <row r="79">
          <cell r="A79" t="str">
            <v>GALV3</v>
          </cell>
          <cell r="B79" t="str">
            <v>GALVÃO &amp; AMIGOS</v>
          </cell>
          <cell r="C79" t="str">
            <v>GALV</v>
          </cell>
          <cell r="D79" t="str">
            <v xml:space="preserve"> Walter Casagrande</v>
          </cell>
          <cell r="F79">
            <v>0.1</v>
          </cell>
          <cell r="I79" t="str">
            <v>Casagrande - 10% do líquido negociado - por ação / Ação Especial valor sob consulta</v>
          </cell>
        </row>
        <row r="80">
          <cell r="A80" t="str">
            <v>JGAB1</v>
          </cell>
          <cell r="B80" t="str">
            <v>JOGO ABERTO</v>
          </cell>
          <cell r="C80" t="str">
            <v>JGAB</v>
          </cell>
          <cell r="D80" t="str">
            <v xml:space="preserve"> Renata Fan</v>
          </cell>
          <cell r="F80">
            <v>0.15</v>
          </cell>
          <cell r="G80">
            <v>2500</v>
          </cell>
          <cell r="I80" t="str">
            <v>Renata Fan - 15% do líquido - por ação / Ação Especial valor sob consulta</v>
          </cell>
        </row>
        <row r="81">
          <cell r="A81" t="str">
            <v>JGAB2</v>
          </cell>
          <cell r="B81" t="str">
            <v>JOGO ABERTO</v>
          </cell>
          <cell r="C81" t="str">
            <v>JGAB</v>
          </cell>
          <cell r="D81" t="str">
            <v xml:space="preserve"> Cícelo João de Césare</v>
          </cell>
          <cell r="F81">
            <v>0.1</v>
          </cell>
          <cell r="G81">
            <v>2000</v>
          </cell>
          <cell r="I81" t="str">
            <v>Cícero João de Césare - 10% do líquido - por ação / Ação Especial valor sob consulta</v>
          </cell>
        </row>
        <row r="82">
          <cell r="A82" t="str">
            <v>JGAB3</v>
          </cell>
          <cell r="B82" t="str">
            <v>JOGO ABERTO</v>
          </cell>
          <cell r="C82" t="str">
            <v>JGAB</v>
          </cell>
          <cell r="D82" t="str">
            <v xml:space="preserve"> Eduardo Luiz Abronízio de Souza</v>
          </cell>
          <cell r="F82">
            <v>0.1</v>
          </cell>
          <cell r="G82">
            <v>1500</v>
          </cell>
          <cell r="I82" t="str">
            <v>Eduardo Luiz Abrozínio de Souza - 10% do líquido - por ação / Ação Especial valor sob consulta</v>
          </cell>
        </row>
        <row r="83">
          <cell r="A83" t="str">
            <v>JGAB4</v>
          </cell>
          <cell r="B83" t="str">
            <v>JOGO ABERTO</v>
          </cell>
          <cell r="C83" t="str">
            <v>JGAB</v>
          </cell>
          <cell r="D83" t="str">
            <v xml:space="preserve"> Francisco Garcia Borges</v>
          </cell>
          <cell r="F83">
            <v>0.1</v>
          </cell>
          <cell r="G83">
            <v>1000</v>
          </cell>
          <cell r="I83" t="str">
            <v>Francisco Garcia Borges - 10% do líquido - por ação / Ação Especial valor sob consulta</v>
          </cell>
        </row>
        <row r="84">
          <cell r="A84" t="str">
            <v>JGAB5</v>
          </cell>
          <cell r="B84" t="str">
            <v>JOGO ABERTO</v>
          </cell>
          <cell r="C84" t="str">
            <v>JGAB</v>
          </cell>
          <cell r="D84" t="str">
            <v xml:space="preserve"> João Paulo Haddad Cappellanes</v>
          </cell>
          <cell r="F84">
            <v>0.2</v>
          </cell>
          <cell r="I84" t="str">
            <v>João Paulo Haddad Cappellanes - 20% do líquido c/ Repasse de 10% - por ação / Ação Especial valor sob consulta</v>
          </cell>
        </row>
        <row r="85">
          <cell r="A85" t="str">
            <v>JGAB6</v>
          </cell>
          <cell r="B85" t="str">
            <v>JOGO ABERTO</v>
          </cell>
          <cell r="C85" t="str">
            <v>JGAB</v>
          </cell>
          <cell r="D85" t="str">
            <v xml:space="preserve"> João Pedro Reis Sgarbi</v>
          </cell>
          <cell r="F85">
            <v>0.1</v>
          </cell>
          <cell r="G85">
            <v>1000</v>
          </cell>
          <cell r="I85" t="str">
            <v>João Pedro Sgarbi - 10% do líquido - por ação / Ação Especial valor sob consulta</v>
          </cell>
        </row>
        <row r="86">
          <cell r="A86" t="str">
            <v>JGAB7</v>
          </cell>
          <cell r="B86" t="str">
            <v>JOGO ABERTO</v>
          </cell>
          <cell r="C86" t="str">
            <v>JGAB</v>
          </cell>
          <cell r="D86" t="str">
            <v xml:space="preserve"> Marco Aurélio de Almeida Cunha</v>
          </cell>
          <cell r="F86">
            <v>0.1</v>
          </cell>
          <cell r="I86" t="str">
            <v>Marco Aurélio de Almeida Cunha - 10% do líquido negociado - por ação / Ação Especial valor sob consulta</v>
          </cell>
        </row>
        <row r="87">
          <cell r="A87" t="str">
            <v>JGAB8</v>
          </cell>
          <cell r="B87" t="str">
            <v>JOGO ABERTO</v>
          </cell>
          <cell r="C87" t="str">
            <v>JGAB</v>
          </cell>
          <cell r="D87" t="str">
            <v xml:space="preserve"> Ronaldo Soares Giovaneli</v>
          </cell>
          <cell r="F87">
            <v>0.1</v>
          </cell>
          <cell r="G87">
            <v>2000</v>
          </cell>
          <cell r="I87" t="str">
            <v>Ronaldo Soares Giovaneli - 10% do líquido - por ação / Ação Especial valor sob consulta</v>
          </cell>
        </row>
        <row r="88">
          <cell r="A88" t="str">
            <v>JGAB9</v>
          </cell>
          <cell r="B88" t="str">
            <v>JOGO ABERTO</v>
          </cell>
          <cell r="C88" t="str">
            <v>JGAB</v>
          </cell>
          <cell r="D88" t="str">
            <v xml:space="preserve"> Ulisses Chiaveli Costa </v>
          </cell>
          <cell r="F88">
            <v>0.1</v>
          </cell>
          <cell r="G88">
            <v>2000</v>
          </cell>
          <cell r="I88" t="str">
            <v>Ulisses Chiaveli Costa - 10% do líquido - por ação / Ação Especial valor sob consulta</v>
          </cell>
        </row>
        <row r="89">
          <cell r="A89" t="str">
            <v>MENO1</v>
          </cell>
          <cell r="B89" t="str">
            <v>MELHOR DA NOITE</v>
          </cell>
          <cell r="C89" t="str">
            <v>MENO</v>
          </cell>
          <cell r="D89" t="str">
            <v xml:space="preserve"> Otaviano Costa</v>
          </cell>
          <cell r="F89">
            <v>0.2</v>
          </cell>
          <cell r="G89">
            <v>6000</v>
          </cell>
          <cell r="I89" t="str">
            <v>Otaviano Costa - 20% do líquido - por ação / Ação Especial valor sob consulta</v>
          </cell>
        </row>
        <row r="90">
          <cell r="A90" t="str">
            <v>MENO2</v>
          </cell>
          <cell r="B90" t="str">
            <v>MELHOR DA NOITE</v>
          </cell>
          <cell r="C90" t="str">
            <v>MENO</v>
          </cell>
          <cell r="D90" t="str">
            <v xml:space="preserve"> Altair Gonçalves (Thaíde)</v>
          </cell>
          <cell r="F90">
            <v>0.1</v>
          </cell>
          <cell r="G90">
            <v>2000</v>
          </cell>
          <cell r="I90" t="str">
            <v>Thaíde - 10% do líquido - por ação / Ação Especial valor sob consulta</v>
          </cell>
        </row>
        <row r="91">
          <cell r="A91" t="str">
            <v>MENO3</v>
          </cell>
          <cell r="B91" t="str">
            <v>MELHOR DA NOITE</v>
          </cell>
          <cell r="C91" t="str">
            <v>MENO</v>
          </cell>
          <cell r="D91" t="str">
            <v xml:space="preserve"> Catia Damasceno Ferreira</v>
          </cell>
          <cell r="F91">
            <v>0.1</v>
          </cell>
          <cell r="I91" t="str">
            <v>Catia Damasceno Ferreira - 10% do líquido - por ação / Ação Especial valor sob consulta</v>
          </cell>
        </row>
        <row r="92">
          <cell r="A92" t="str">
            <v>MENO4</v>
          </cell>
          <cell r="B92" t="str">
            <v>MELHOR DA NOITE</v>
          </cell>
          <cell r="C92" t="str">
            <v>MENO</v>
          </cell>
          <cell r="D92" t="str">
            <v xml:space="preserve"> Panela Lucciola do Valle Nunes</v>
          </cell>
          <cell r="F92">
            <v>0.1</v>
          </cell>
          <cell r="G92">
            <v>2000</v>
          </cell>
          <cell r="I92" t="str">
            <v>Pamela Lucciola do Valle Nunes - 10% do líquido - por ação / Ação Especial valor sob consulta</v>
          </cell>
        </row>
        <row r="93">
          <cell r="A93" t="str">
            <v>MENO5</v>
          </cell>
          <cell r="B93" t="str">
            <v>MELHOR DA NOITE</v>
          </cell>
          <cell r="C93" t="str">
            <v>MENO</v>
          </cell>
          <cell r="D93" t="str">
            <v xml:space="preserve"> Viviane Graciela Gusciora</v>
          </cell>
          <cell r="F93">
            <v>0.1</v>
          </cell>
          <cell r="I93" t="str">
            <v>Viviane Graciela Gusciora - 10% do líquido - por ação / Ação Especial valor sob consulta</v>
          </cell>
        </row>
        <row r="94">
          <cell r="A94" t="str">
            <v>MELH1</v>
          </cell>
          <cell r="B94" t="str">
            <v>MELHOR DA TARDE</v>
          </cell>
          <cell r="C94" t="str">
            <v>MELH</v>
          </cell>
          <cell r="D94" t="str">
            <v>Pâmela Lucciola do Valle Nunes</v>
          </cell>
          <cell r="F94">
            <v>0.1</v>
          </cell>
          <cell r="G94">
            <v>2000</v>
          </cell>
          <cell r="I94" t="str">
            <v>Pâmela Lucciola do Valle Nunes - 10% do líquido por ação com o valor mínimo de R$ 2.000,00.</v>
          </cell>
        </row>
        <row r="95">
          <cell r="A95" t="str">
            <v>MELH2</v>
          </cell>
          <cell r="B95" t="str">
            <v>MELHOR DA TARDE</v>
          </cell>
          <cell r="C95" t="str">
            <v>MELH</v>
          </cell>
          <cell r="D95" t="str">
            <v>Bruno Hashimoto</v>
          </cell>
          <cell r="F95">
            <v>0.1</v>
          </cell>
          <cell r="G95">
            <v>800</v>
          </cell>
          <cell r="I95" t="str">
            <v>Bruno Hashimoto  - 10% do líquido  por ação com o valor mínimo de R$ 800,00 - Chef de Cozinha do Programa. Cachê Ação Receita com a Pamela</v>
          </cell>
        </row>
        <row r="96">
          <cell r="A96" t="str">
            <v>MCAM1</v>
          </cell>
          <cell r="B96" t="str">
            <v>MASTERCHEF AMADORES</v>
          </cell>
          <cell r="C96" t="str">
            <v>MCAM</v>
          </cell>
          <cell r="D96" t="str">
            <v xml:space="preserve"> Erick Jacquin  Ação Integrada (Prova)</v>
          </cell>
          <cell r="G96">
            <v>9000</v>
          </cell>
          <cell r="I96" t="str">
            <v>Tabela Masterchef 2025 - Erick Jacquin</v>
          </cell>
        </row>
        <row r="97">
          <cell r="A97" t="str">
            <v>MCAM2</v>
          </cell>
          <cell r="B97" t="str">
            <v>MASTERCHEF AMADORES</v>
          </cell>
          <cell r="C97" t="str">
            <v>MCAM</v>
          </cell>
          <cell r="D97" t="str">
            <v xml:space="preserve"> Erick Jacquin  Ação Especial (Estúdio / Externa)</v>
          </cell>
          <cell r="G97">
            <v>26000</v>
          </cell>
          <cell r="I97" t="str">
            <v>Tabela Masterchef 2025 - Erick Jacquin</v>
          </cell>
        </row>
        <row r="98">
          <cell r="A98" t="str">
            <v>MCAM3</v>
          </cell>
          <cell r="B98" t="str">
            <v>MASTERCHEF AMADORES</v>
          </cell>
          <cell r="C98" t="str">
            <v>MCAM</v>
          </cell>
          <cell r="D98" t="str">
            <v xml:space="preserve"> Erick Jacquin  Merchanbreak (Estúdio / Externa)</v>
          </cell>
          <cell r="G98">
            <v>26000</v>
          </cell>
          <cell r="I98" t="str">
            <v>Tabela Masterchef 2025 - Erick Jacquin</v>
          </cell>
        </row>
        <row r="99">
          <cell r="A99" t="str">
            <v>MCAM4</v>
          </cell>
          <cell r="B99" t="str">
            <v>MASTERCHEF AMADORES</v>
          </cell>
          <cell r="C99" t="str">
            <v>MCAM</v>
          </cell>
          <cell r="D99" t="str">
            <v xml:space="preserve"> Helena / Fogaça  Ação Integrada (Prova)</v>
          </cell>
          <cell r="G99">
            <v>9000</v>
          </cell>
          <cell r="I99" t="str">
            <v>Tabela Masterchef 2025 - Valor unitário para Helena Rizzo / Valor unitário para Fogaça</v>
          </cell>
        </row>
        <row r="100">
          <cell r="A100" t="str">
            <v>MCAM5</v>
          </cell>
          <cell r="B100" t="str">
            <v>MASTERCHEF AMADORES</v>
          </cell>
          <cell r="C100" t="str">
            <v>MCAM</v>
          </cell>
          <cell r="D100" t="str">
            <v xml:space="preserve"> Helena / Fogaça  Ação Especial (Estúdio)</v>
          </cell>
          <cell r="G100">
            <v>10901.47</v>
          </cell>
          <cell r="I100" t="str">
            <v>Tabela Masterchef 2025 - Valor unitário para Helena Rizzo / Valor unitário para Fogaça</v>
          </cell>
        </row>
        <row r="101">
          <cell r="A101" t="str">
            <v>MCAM6</v>
          </cell>
          <cell r="B101" t="str">
            <v>MASTERCHEF AMADORES</v>
          </cell>
          <cell r="C101" t="str">
            <v>MCAM</v>
          </cell>
          <cell r="D101" t="str">
            <v xml:space="preserve"> Helena / Fogaça  Ação Especial (Externa)</v>
          </cell>
          <cell r="G101">
            <v>21796.18</v>
          </cell>
          <cell r="I101" t="str">
            <v>Tabela Masterchef 2025 - Valor unitário para Helena Rizzo / Valor unitário para Fogaça</v>
          </cell>
        </row>
        <row r="102">
          <cell r="A102" t="str">
            <v>MCAM7</v>
          </cell>
          <cell r="B102" t="str">
            <v>MASTERCHEF AMADORES</v>
          </cell>
          <cell r="C102" t="str">
            <v>MCAM</v>
          </cell>
          <cell r="D102" t="str">
            <v xml:space="preserve"> Helena / Fogaça  Merchanbreak (Estúdio)</v>
          </cell>
          <cell r="G102">
            <v>8176.09</v>
          </cell>
          <cell r="I102" t="str">
            <v>Tabela Masterchef 2025 - Valor unitário para Helena Rizzo / Valor unitário para Fogaça</v>
          </cell>
        </row>
        <row r="103">
          <cell r="A103" t="str">
            <v>MCAM8</v>
          </cell>
          <cell r="B103" t="str">
            <v>MASTERCHEF AMADORES</v>
          </cell>
          <cell r="C103" t="str">
            <v>MCAM</v>
          </cell>
          <cell r="D103" t="str">
            <v xml:space="preserve"> Helena / Fogaça  Merchanbreak (Externa)</v>
          </cell>
          <cell r="G103">
            <v>16352.18</v>
          </cell>
          <cell r="I103" t="str">
            <v>Tabela Masterchef 2025 - Valor unitário para Helena Rizzo / Valor unitário para Fogaça</v>
          </cell>
        </row>
        <row r="104">
          <cell r="A104" t="str">
            <v>MCHP1</v>
          </cell>
          <cell r="B104" t="str">
            <v>MASTERCHEF A PRÉVIA</v>
          </cell>
          <cell r="C104" t="str">
            <v>MCHP</v>
          </cell>
          <cell r="D104" t="str">
            <v xml:space="preserve"> Otaviano Costa</v>
          </cell>
          <cell r="F104">
            <v>0.2</v>
          </cell>
          <cell r="G104">
            <v>6000</v>
          </cell>
          <cell r="I104" t="str">
            <v>Otaviano Costa - 20% do líquido - por ação / Ação Especial valor sob consulta</v>
          </cell>
        </row>
        <row r="105">
          <cell r="A105" t="str">
            <v>DONO1</v>
          </cell>
          <cell r="B105" t="str">
            <v xml:space="preserve">OS DONOS DA BOLA </v>
          </cell>
          <cell r="C105" t="str">
            <v>DONO</v>
          </cell>
          <cell r="D105" t="str">
            <v xml:space="preserve"> José Ferreira (Neto)</v>
          </cell>
          <cell r="F105">
            <v>0.1</v>
          </cell>
          <cell r="G105">
            <v>2500</v>
          </cell>
          <cell r="I105" t="str">
            <v>Neto - 10% do líquido negociado - por ação / Ação Especial valor sob consulta</v>
          </cell>
        </row>
        <row r="106">
          <cell r="A106" t="str">
            <v>DONO2</v>
          </cell>
          <cell r="B106" t="str">
            <v>OS DONOS DA BOLA</v>
          </cell>
          <cell r="C106" t="str">
            <v>DONO</v>
          </cell>
          <cell r="D106" t="str">
            <v xml:space="preserve"> Wagner Fernando (Veloso)</v>
          </cell>
          <cell r="F106">
            <v>0.1</v>
          </cell>
          <cell r="G106">
            <v>2000</v>
          </cell>
          <cell r="I106" t="str">
            <v>Veloso - 10% do líquido negociado - por ação / Ação Especial valor sob consulta</v>
          </cell>
        </row>
        <row r="107">
          <cell r="A107" t="str">
            <v>DONO3</v>
          </cell>
          <cell r="B107" t="str">
            <v>OS DONOS DA BOLA</v>
          </cell>
          <cell r="C107" t="str">
            <v>DONO</v>
          </cell>
          <cell r="D107" t="str">
            <v xml:space="preserve"> Willamis de Souza Silva</v>
          </cell>
          <cell r="F107">
            <v>0.1</v>
          </cell>
          <cell r="G107">
            <v>2000</v>
          </cell>
          <cell r="I107" t="str">
            <v>Willamis - 10% do líquido - por ação / Ação Especial valor sob consulta</v>
          </cell>
        </row>
        <row r="108">
          <cell r="A108" t="str">
            <v>PER1</v>
          </cell>
          <cell r="B108" t="str">
            <v>PERRENGUE</v>
          </cell>
          <cell r="C108" t="str">
            <v>PER</v>
          </cell>
          <cell r="D108" t="str">
            <v xml:space="preserve"> Elenco</v>
          </cell>
          <cell r="F108">
            <v>0.15</v>
          </cell>
          <cell r="G108">
            <v>2000</v>
          </cell>
          <cell r="I108" t="str">
            <v>Tatola, Angêlo, Denis, Ricardo - 15% do líquido negociado - por ação / Ação Especial valor sob consulta</v>
          </cell>
        </row>
        <row r="109">
          <cell r="A109" t="str">
            <v>PECO1</v>
          </cell>
          <cell r="B109" t="str">
            <v>PESADELO NA COZINHA</v>
          </cell>
          <cell r="C109" t="str">
            <v>PECO</v>
          </cell>
          <cell r="D109" t="str">
            <v xml:space="preserve"> Erick Jacquin</v>
          </cell>
          <cell r="I109" t="str">
            <v>Tabela Pesadelo na Cozinha 2025 - Sob Consulta</v>
          </cell>
        </row>
        <row r="110">
          <cell r="A110" t="str">
            <v>JOAO1</v>
          </cell>
          <cell r="B110" t="str">
            <v>PROGRAMA DO JOÃO</v>
          </cell>
          <cell r="C110" t="str">
            <v>JOAO</v>
          </cell>
          <cell r="D110" t="str">
            <v xml:space="preserve"> João Guilherme</v>
          </cell>
          <cell r="F110">
            <v>0.2</v>
          </cell>
          <cell r="G110">
            <v>5000</v>
          </cell>
          <cell r="I110" t="str">
            <v>João Guilherme - 20% do líquido da mídia e mínimo de R$ 5.000,00 / Ação Especial valor sob consulta</v>
          </cell>
        </row>
        <row r="111">
          <cell r="A111" t="str">
            <v>SHOE1</v>
          </cell>
          <cell r="B111" t="str">
            <v>SHOW DO ESPORTE</v>
          </cell>
          <cell r="C111" t="str">
            <v>SHOE</v>
          </cell>
          <cell r="D111" t="str">
            <v xml:space="preserve"> Glenda dos Reis Kozlowski</v>
          </cell>
          <cell r="F111">
            <v>0.1</v>
          </cell>
          <cell r="G111">
            <v>4000</v>
          </cell>
          <cell r="I111" t="str">
            <v>Glenda Kozlowski - 10% do líquido negociado - por ação / Ação Especial valor sob consulta</v>
          </cell>
        </row>
        <row r="112">
          <cell r="A112" t="str">
            <v>SHOE2</v>
          </cell>
          <cell r="B112" t="str">
            <v>SHOW DO ESPORTE</v>
          </cell>
          <cell r="C112" t="str">
            <v>SHOE</v>
          </cell>
          <cell r="D112" t="str">
            <v xml:space="preserve"> José Elia Junior</v>
          </cell>
          <cell r="F112">
            <v>0.1</v>
          </cell>
          <cell r="G112">
            <v>4000</v>
          </cell>
          <cell r="I112" t="str">
            <v>Elia Junior - 10% do líquido negociado - por ação / Ação Especial valor sob consulta</v>
          </cell>
        </row>
        <row r="119">
          <cell r="B119" t="str">
            <v>EXIBIÇÕES</v>
          </cell>
        </row>
        <row r="120">
          <cell r="B120" t="str">
            <v>MÊS PADRÃO</v>
          </cell>
        </row>
        <row r="121">
          <cell r="B121" t="str">
            <v>JANEIRO</v>
          </cell>
        </row>
        <row r="122">
          <cell r="B122" t="str">
            <v>FEVEREIRO</v>
          </cell>
        </row>
        <row r="123">
          <cell r="B123" t="str">
            <v>MARÇO</v>
          </cell>
        </row>
        <row r="124">
          <cell r="B124" t="str">
            <v>ABRIL</v>
          </cell>
        </row>
        <row r="125">
          <cell r="B125" t="str">
            <v>MAIO</v>
          </cell>
        </row>
        <row r="126">
          <cell r="B126" t="str">
            <v>JUNHO</v>
          </cell>
        </row>
        <row r="127">
          <cell r="B127" t="str">
            <v>JULHO</v>
          </cell>
        </row>
        <row r="128">
          <cell r="B128" t="str">
            <v>AGOSTO</v>
          </cell>
        </row>
        <row r="129">
          <cell r="B129" t="str">
            <v>SETEMBRO</v>
          </cell>
        </row>
        <row r="130">
          <cell r="B130" t="str">
            <v>OUTUBRO</v>
          </cell>
        </row>
        <row r="131">
          <cell r="B131" t="str">
            <v>NOVEMBRO</v>
          </cell>
        </row>
        <row r="132">
          <cell r="B132" t="str">
            <v>DEZEMBRO</v>
          </cell>
        </row>
        <row r="241">
          <cell r="B241" t="str">
            <v>-</v>
          </cell>
        </row>
        <row r="242">
          <cell r="B242" t="str">
            <v>30"</v>
          </cell>
        </row>
        <row r="243">
          <cell r="B243" t="str">
            <v>5"</v>
          </cell>
        </row>
        <row r="244">
          <cell r="B244" t="str">
            <v>10"</v>
          </cell>
        </row>
        <row r="245">
          <cell r="B245" t="str">
            <v>15"</v>
          </cell>
        </row>
        <row r="246">
          <cell r="B246" t="str">
            <v>45"</v>
          </cell>
        </row>
        <row r="247">
          <cell r="B247" t="str">
            <v>60"</v>
          </cell>
        </row>
        <row r="248">
          <cell r="B248" t="str">
            <v>75"</v>
          </cell>
        </row>
        <row r="249">
          <cell r="B249" t="str">
            <v>90"</v>
          </cell>
        </row>
        <row r="250">
          <cell r="B250" t="str">
            <v>105"</v>
          </cell>
        </row>
        <row r="251">
          <cell r="B251" t="str">
            <v>120"</v>
          </cell>
        </row>
        <row r="252">
          <cell r="B252" t="str">
            <v>135"</v>
          </cell>
        </row>
        <row r="253">
          <cell r="B253" t="str">
            <v>150"</v>
          </cell>
        </row>
        <row r="254">
          <cell r="B254" t="str">
            <v>175"</v>
          </cell>
        </row>
        <row r="255">
          <cell r="B255" t="str">
            <v>180"</v>
          </cell>
        </row>
        <row r="256">
          <cell r="B256" t="str">
            <v>195"</v>
          </cell>
        </row>
        <row r="257">
          <cell r="B257" t="str">
            <v>210"</v>
          </cell>
        </row>
        <row r="258">
          <cell r="B258" t="str">
            <v>225"</v>
          </cell>
        </row>
        <row r="259">
          <cell r="B259" t="str">
            <v>240"</v>
          </cell>
        </row>
        <row r="260">
          <cell r="B260" t="str">
            <v>300"</v>
          </cell>
        </row>
      </sheetData>
      <sheetData sheetId="9">
        <row r="1">
          <cell r="C1" t="str">
            <v>Selecionar</v>
          </cell>
        </row>
      </sheetData>
      <sheetData sheetId="10">
        <row r="1">
          <cell r="A1" t="str">
            <v>CONCATENAR</v>
          </cell>
        </row>
      </sheetData>
      <sheetData sheetId="11">
        <row r="1">
          <cell r="B1">
            <v>0.1</v>
          </cell>
        </row>
      </sheetData>
      <sheetData sheetId="12" refreshError="1"/>
      <sheetData sheetId="13">
        <row r="1">
          <cell r="B1" t="str">
            <v>Selecionar</v>
          </cell>
        </row>
      </sheetData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GERAÇÃO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2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1.xml"/><Relationship Id="rId1" Type="http://schemas.openxmlformats.org/officeDocument/2006/relationships/printerSettings" Target="../printerSettings/printerSettings3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113784-97EF-4DC5-BE84-9C7803E04746}">
  <sheetPr>
    <pageSetUpPr fitToPage="1"/>
  </sheetPr>
  <dimension ref="B1:N36"/>
  <sheetViews>
    <sheetView showGridLines="0" tabSelected="1" topLeftCell="B1" zoomScale="62" zoomScaleNormal="47" zoomScaleSheetLayoutView="47" workbookViewId="0">
      <selection activeCell="D18" sqref="D18:K18"/>
    </sheetView>
  </sheetViews>
  <sheetFormatPr defaultColWidth="11.5" defaultRowHeight="20.25" customHeight="1" x14ac:dyDescent="0.4"/>
  <cols>
    <col min="1" max="1" width="2.5" style="321" customWidth="1"/>
    <col min="2" max="2" width="15" style="321" customWidth="1"/>
    <col min="3" max="3" width="25.33203125" style="327" customWidth="1"/>
    <col min="4" max="6" width="11.5" style="321" customWidth="1"/>
    <col min="7" max="7" width="27.83203125" style="321" customWidth="1"/>
    <col min="8" max="10" width="11.5" style="321" customWidth="1"/>
    <col min="11" max="11" width="25.33203125" style="321" customWidth="1"/>
    <col min="12" max="16384" width="11.5" style="321"/>
  </cols>
  <sheetData>
    <row r="1" spans="2:11" ht="12" customHeight="1" x14ac:dyDescent="0.4"/>
    <row r="6" spans="2:11" ht="20.25" customHeight="1" x14ac:dyDescent="0.4">
      <c r="B6" s="611" t="s">
        <v>131</v>
      </c>
      <c r="C6" s="611"/>
      <c r="D6" s="611"/>
      <c r="E6" s="611"/>
      <c r="F6" s="611"/>
      <c r="G6" s="611"/>
      <c r="I6" s="612" t="s">
        <v>132</v>
      </c>
      <c r="J6" s="612"/>
      <c r="K6" s="612"/>
    </row>
    <row r="8" spans="2:11" ht="20.25" customHeight="1" x14ac:dyDescent="0.4">
      <c r="B8" s="322" t="s">
        <v>133</v>
      </c>
      <c r="C8" s="613" t="s">
        <v>134</v>
      </c>
      <c r="D8" s="613"/>
      <c r="E8" s="613"/>
      <c r="F8" s="613"/>
      <c r="G8" s="613"/>
      <c r="H8" s="613"/>
      <c r="I8" s="613"/>
      <c r="J8" s="613"/>
      <c r="K8" s="613"/>
    </row>
    <row r="9" spans="2:11" ht="20.25" customHeight="1" x14ac:dyDescent="0.4">
      <c r="B9" s="322" t="s">
        <v>135</v>
      </c>
      <c r="C9" s="613" t="s">
        <v>165</v>
      </c>
      <c r="D9" s="613"/>
      <c r="E9" s="613"/>
      <c r="F9" s="613"/>
      <c r="G9" s="613"/>
      <c r="H9" s="613"/>
      <c r="I9" s="613"/>
      <c r="J9" s="613"/>
      <c r="K9" s="613"/>
    </row>
    <row r="10" spans="2:11" ht="20.25" customHeight="1" x14ac:dyDescent="0.4">
      <c r="B10" s="323" t="s">
        <v>136</v>
      </c>
      <c r="C10" s="591" t="s">
        <v>137</v>
      </c>
      <c r="D10" s="324"/>
      <c r="E10" s="324"/>
      <c r="F10" s="324"/>
      <c r="G10" s="324"/>
      <c r="H10" s="324"/>
      <c r="I10" s="324"/>
      <c r="J10" s="324"/>
      <c r="K10" s="324"/>
    </row>
    <row r="11" spans="2:11" ht="20.25" customHeight="1" x14ac:dyDescent="0.4">
      <c r="B11" s="614"/>
      <c r="C11" s="614"/>
      <c r="D11" s="614"/>
      <c r="E11" s="614"/>
      <c r="F11" s="614"/>
      <c r="G11" s="614"/>
      <c r="H11" s="614"/>
      <c r="I11" s="614"/>
      <c r="J11" s="614"/>
      <c r="K11" s="614"/>
    </row>
    <row r="12" spans="2:11" ht="13.5" customHeight="1" x14ac:dyDescent="0.4">
      <c r="B12" s="610"/>
      <c r="C12" s="610"/>
      <c r="D12" s="610"/>
      <c r="E12" s="610"/>
      <c r="F12" s="610"/>
      <c r="G12" s="610"/>
      <c r="H12" s="610"/>
      <c r="I12" s="610"/>
      <c r="J12" s="610"/>
      <c r="K12" s="610"/>
    </row>
    <row r="14" spans="2:11" ht="20.25" customHeight="1" x14ac:dyDescent="0.4">
      <c r="B14" s="325" t="s">
        <v>138</v>
      </c>
      <c r="C14" s="325" t="s">
        <v>139</v>
      </c>
      <c r="D14" s="325" t="s">
        <v>140</v>
      </c>
      <c r="E14" s="325"/>
      <c r="F14" s="322"/>
      <c r="G14" s="322"/>
      <c r="H14" s="322"/>
      <c r="I14" s="322"/>
      <c r="J14" s="322"/>
      <c r="K14" s="322"/>
    </row>
    <row r="15" spans="2:11" ht="20.25" customHeight="1" x14ac:dyDescent="0.4">
      <c r="B15" s="606" t="s">
        <v>223</v>
      </c>
      <c r="C15" s="607">
        <v>46038</v>
      </c>
      <c r="D15" s="608" t="s">
        <v>224</v>
      </c>
      <c r="E15" s="608"/>
      <c r="F15" s="608"/>
      <c r="G15" s="608"/>
      <c r="H15" s="608"/>
      <c r="I15" s="608"/>
      <c r="J15" s="608"/>
      <c r="K15" s="608"/>
    </row>
    <row r="16" spans="2:11" ht="20.25" customHeight="1" x14ac:dyDescent="0.4">
      <c r="B16" s="606"/>
      <c r="C16" s="607"/>
      <c r="D16" s="608"/>
      <c r="E16" s="608"/>
      <c r="F16" s="608"/>
      <c r="G16" s="608"/>
      <c r="H16" s="608"/>
      <c r="I16" s="608"/>
      <c r="J16" s="608"/>
      <c r="K16" s="608"/>
    </row>
    <row r="17" spans="2:14" ht="20.25" customHeight="1" x14ac:dyDescent="0.4">
      <c r="B17" s="606"/>
      <c r="C17" s="607"/>
      <c r="D17" s="608"/>
      <c r="E17" s="608"/>
      <c r="F17" s="608"/>
      <c r="G17" s="608"/>
      <c r="H17" s="608"/>
      <c r="I17" s="608"/>
      <c r="J17" s="608"/>
      <c r="K17" s="608"/>
    </row>
    <row r="18" spans="2:14" ht="20.25" customHeight="1" x14ac:dyDescent="0.4">
      <c r="B18" s="327" t="s">
        <v>382</v>
      </c>
      <c r="C18" s="326">
        <v>45677</v>
      </c>
      <c r="D18" s="609" t="s">
        <v>383</v>
      </c>
      <c r="E18" s="609"/>
      <c r="F18" s="609"/>
      <c r="G18" s="609"/>
      <c r="H18" s="609"/>
      <c r="I18" s="609"/>
      <c r="J18" s="609"/>
      <c r="K18" s="609"/>
    </row>
    <row r="19" spans="2:14" ht="20.25" customHeight="1" x14ac:dyDescent="0.4">
      <c r="B19" s="327" t="s">
        <v>394</v>
      </c>
      <c r="C19" s="326">
        <v>45679</v>
      </c>
      <c r="D19" s="609" t="s">
        <v>395</v>
      </c>
      <c r="E19" s="609"/>
      <c r="F19" s="609"/>
      <c r="G19" s="609"/>
      <c r="H19" s="609"/>
      <c r="I19" s="609"/>
      <c r="J19" s="609"/>
      <c r="K19" s="609"/>
      <c r="L19" s="329"/>
      <c r="M19" s="329"/>
      <c r="N19" s="329"/>
    </row>
    <row r="20" spans="2:14" ht="20.25" customHeight="1" x14ac:dyDescent="0.4">
      <c r="B20" s="330" t="s">
        <v>405</v>
      </c>
      <c r="C20" s="326">
        <v>46058</v>
      </c>
      <c r="D20" s="609" t="s">
        <v>406</v>
      </c>
      <c r="E20" s="609"/>
      <c r="F20" s="609"/>
      <c r="G20" s="609"/>
      <c r="H20" s="609"/>
      <c r="I20" s="609"/>
      <c r="J20" s="577"/>
      <c r="K20" s="577"/>
      <c r="L20" s="329"/>
      <c r="M20" s="329"/>
      <c r="N20" s="329"/>
    </row>
    <row r="21" spans="2:14" ht="20.25" customHeight="1" x14ac:dyDescent="0.4">
      <c r="B21" s="330" t="s">
        <v>413</v>
      </c>
      <c r="C21" s="326">
        <v>46076</v>
      </c>
      <c r="D21" s="605" t="s">
        <v>414</v>
      </c>
      <c r="E21" s="605"/>
      <c r="F21" s="605"/>
      <c r="G21" s="605"/>
      <c r="H21" s="605"/>
      <c r="I21" s="605"/>
      <c r="J21" s="604"/>
      <c r="K21" s="604"/>
      <c r="L21" s="329"/>
      <c r="M21" s="329"/>
      <c r="N21" s="329"/>
    </row>
    <row r="22" spans="2:14" ht="20.25" customHeight="1" x14ac:dyDescent="0.4">
      <c r="B22" s="330"/>
      <c r="C22" s="326"/>
      <c r="D22" s="604"/>
      <c r="E22" s="604"/>
      <c r="F22" s="604"/>
      <c r="G22" s="604"/>
      <c r="H22" s="604"/>
      <c r="I22" s="604"/>
      <c r="J22" s="604"/>
      <c r="K22" s="604"/>
      <c r="L22" s="329"/>
      <c r="M22" s="329"/>
      <c r="N22" s="329"/>
    </row>
    <row r="23" spans="2:14" ht="20.25" customHeight="1" x14ac:dyDescent="0.4">
      <c r="B23" s="330"/>
      <c r="C23" s="326"/>
      <c r="D23" s="328"/>
      <c r="E23" s="329"/>
      <c r="F23" s="329"/>
      <c r="G23" s="329"/>
      <c r="H23" s="329"/>
      <c r="I23" s="329"/>
      <c r="J23" s="329"/>
      <c r="K23" s="329"/>
      <c r="L23" s="329"/>
      <c r="M23" s="329"/>
      <c r="N23" s="329"/>
    </row>
    <row r="24" spans="2:14" ht="20.25" customHeight="1" x14ac:dyDescent="0.4">
      <c r="B24" s="330"/>
      <c r="C24" s="326"/>
      <c r="D24" s="329"/>
      <c r="E24" s="329"/>
      <c r="F24" s="329"/>
      <c r="G24" s="329"/>
      <c r="H24" s="329"/>
      <c r="I24" s="329"/>
      <c r="J24" s="329"/>
      <c r="K24" s="329"/>
      <c r="L24" s="329"/>
      <c r="M24" s="329"/>
      <c r="N24" s="329"/>
    </row>
    <row r="25" spans="2:14" ht="20.25" customHeight="1" x14ac:dyDescent="0.4">
      <c r="B25" s="330"/>
      <c r="C25" s="326"/>
      <c r="D25" s="605"/>
      <c r="E25" s="605"/>
      <c r="F25" s="605"/>
      <c r="G25" s="605"/>
      <c r="H25" s="605"/>
      <c r="I25" s="605"/>
      <c r="J25" s="605"/>
      <c r="K25" s="605"/>
      <c r="L25" s="329"/>
      <c r="M25" s="329"/>
      <c r="N25" s="329"/>
    </row>
    <row r="26" spans="2:14" ht="20.25" customHeight="1" x14ac:dyDescent="0.4">
      <c r="B26" s="330"/>
      <c r="C26" s="326"/>
      <c r="D26" s="605"/>
      <c r="E26" s="605"/>
      <c r="F26" s="605"/>
      <c r="G26" s="605"/>
      <c r="H26" s="605"/>
      <c r="I26" s="605"/>
      <c r="J26" s="605"/>
      <c r="K26" s="605"/>
      <c r="L26" s="329"/>
      <c r="M26" s="329"/>
      <c r="N26" s="329"/>
    </row>
    <row r="27" spans="2:14" ht="20.25" customHeight="1" x14ac:dyDescent="0.4">
      <c r="B27" s="330"/>
      <c r="C27" s="326"/>
      <c r="D27" s="605"/>
      <c r="E27" s="605"/>
      <c r="F27" s="605"/>
      <c r="G27" s="605"/>
      <c r="H27" s="605"/>
      <c r="I27" s="605"/>
      <c r="J27" s="605"/>
      <c r="K27" s="605"/>
      <c r="L27" s="329"/>
      <c r="M27" s="329"/>
      <c r="N27" s="329"/>
    </row>
    <row r="28" spans="2:14" ht="20.25" customHeight="1" x14ac:dyDescent="0.4">
      <c r="B28" s="330"/>
      <c r="C28" s="326"/>
      <c r="D28" s="605"/>
      <c r="E28" s="605"/>
      <c r="F28" s="605"/>
      <c r="G28" s="605"/>
      <c r="H28" s="605"/>
      <c r="I28" s="605"/>
      <c r="J28" s="605"/>
      <c r="K28" s="605"/>
      <c r="L28" s="329"/>
      <c r="M28" s="329"/>
      <c r="N28" s="329"/>
    </row>
    <row r="29" spans="2:14" ht="20.25" customHeight="1" x14ac:dyDescent="0.4">
      <c r="B29" s="330"/>
      <c r="C29" s="326"/>
      <c r="D29" s="329"/>
      <c r="E29" s="329"/>
      <c r="F29" s="329"/>
      <c r="G29" s="329"/>
      <c r="H29" s="329"/>
      <c r="I29" s="329"/>
      <c r="J29" s="329"/>
      <c r="K29" s="329"/>
      <c r="L29" s="329"/>
      <c r="M29" s="329"/>
      <c r="N29" s="329"/>
    </row>
    <row r="30" spans="2:14" ht="20.25" customHeight="1" x14ac:dyDescent="0.4">
      <c r="B30" s="330"/>
      <c r="C30" s="330"/>
      <c r="D30" s="329"/>
      <c r="E30" s="329"/>
      <c r="F30" s="329"/>
      <c r="G30" s="329"/>
      <c r="H30" s="329"/>
      <c r="I30" s="329"/>
      <c r="J30" s="329"/>
      <c r="K30" s="329"/>
      <c r="L30" s="329"/>
      <c r="M30" s="329"/>
      <c r="N30" s="329"/>
    </row>
    <row r="31" spans="2:14" ht="20.25" customHeight="1" x14ac:dyDescent="0.4">
      <c r="B31" s="330"/>
      <c r="C31" s="330"/>
      <c r="D31" s="329"/>
      <c r="E31" s="329"/>
      <c r="F31" s="329"/>
      <c r="G31" s="329"/>
      <c r="H31" s="329"/>
      <c r="I31" s="329"/>
      <c r="J31" s="329"/>
      <c r="K31" s="329"/>
      <c r="L31" s="329"/>
      <c r="M31" s="329"/>
      <c r="N31" s="329"/>
    </row>
    <row r="32" spans="2:14" ht="20.25" customHeight="1" x14ac:dyDescent="0.4">
      <c r="B32" s="327"/>
    </row>
    <row r="33" spans="2:4" ht="20.25" customHeight="1" x14ac:dyDescent="0.4">
      <c r="B33" s="327"/>
    </row>
    <row r="34" spans="2:4" ht="20.25" customHeight="1" x14ac:dyDescent="0.4">
      <c r="B34" s="327"/>
    </row>
    <row r="35" spans="2:4" ht="20.25" customHeight="1" x14ac:dyDescent="0.4">
      <c r="B35" s="327"/>
    </row>
    <row r="36" spans="2:4" ht="20.25" customHeight="1" x14ac:dyDescent="0.4">
      <c r="B36" s="327"/>
      <c r="D36" s="329"/>
    </row>
  </sheetData>
  <mergeCells count="15">
    <mergeCell ref="B12:K12"/>
    <mergeCell ref="B6:G6"/>
    <mergeCell ref="I6:K6"/>
    <mergeCell ref="C8:K8"/>
    <mergeCell ref="C9:K9"/>
    <mergeCell ref="B11:K11"/>
    <mergeCell ref="D27:K28"/>
    <mergeCell ref="B15:B17"/>
    <mergeCell ref="C15:C17"/>
    <mergeCell ref="D15:K17"/>
    <mergeCell ref="D25:K26"/>
    <mergeCell ref="D18:K18"/>
    <mergeCell ref="D19:K19"/>
    <mergeCell ref="D20:I20"/>
    <mergeCell ref="D21:I21"/>
  </mergeCells>
  <pageMargins left="0.25" right="0.25" top="0.75" bottom="0.75" header="0.3" footer="0.3"/>
  <pageSetup paperSize="9" scale="6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427710-8166-460C-92A0-0E4856DDD7E3}">
  <dimension ref="B1:Q73"/>
  <sheetViews>
    <sheetView showGridLines="0" zoomScale="93" zoomScaleNormal="90" workbookViewId="0">
      <pane ySplit="11" topLeftCell="A12" activePane="bottomLeft" state="frozen"/>
      <selection pane="bottomLeft" activeCell="C7" sqref="C7"/>
    </sheetView>
  </sheetViews>
  <sheetFormatPr defaultColWidth="8.6640625" defaultRowHeight="22.5" customHeight="1" x14ac:dyDescent="0.4"/>
  <cols>
    <col min="1" max="1" width="3.33203125" style="317" customWidth="1"/>
    <col min="2" max="2" width="24.5" style="317" customWidth="1"/>
    <col min="3" max="3" width="18.83203125" style="316" customWidth="1"/>
    <col min="4" max="4" width="17.9140625" style="317" bestFit="1" customWidth="1"/>
    <col min="5" max="5" width="1.6640625" style="317" customWidth="1"/>
    <col min="6" max="7" width="15.5" style="317" customWidth="1"/>
    <col min="8" max="8" width="15.33203125" style="317" customWidth="1"/>
    <col min="9" max="9" width="19.08203125" style="317" customWidth="1"/>
    <col min="10" max="10" width="11.33203125" style="316" customWidth="1"/>
    <col min="11" max="11" width="10.5" style="316" customWidth="1"/>
    <col min="12" max="12" width="14.1640625" style="541" customWidth="1"/>
    <col min="13" max="13" width="5.83203125" style="317" customWidth="1"/>
    <col min="14" max="14" width="13.83203125" style="317" customWidth="1"/>
    <col min="15" max="15" width="15.83203125" style="317" customWidth="1"/>
    <col min="16" max="16" width="8.6640625" style="317"/>
    <col min="17" max="17" width="15.4140625" style="317" customWidth="1"/>
    <col min="18" max="16384" width="8.6640625" style="317"/>
  </cols>
  <sheetData>
    <row r="1" spans="2:17" ht="13" customHeight="1" x14ac:dyDescent="0.4"/>
    <row r="2" spans="2:17" ht="13" customHeight="1" x14ac:dyDescent="0.4"/>
    <row r="3" spans="2:17" ht="13" customHeight="1" x14ac:dyDescent="0.4"/>
    <row r="4" spans="2:17" ht="13" customHeight="1" x14ac:dyDescent="0.4"/>
    <row r="5" spans="2:17" ht="13" customHeight="1" x14ac:dyDescent="0.4">
      <c r="B5" s="534" t="s">
        <v>0</v>
      </c>
    </row>
    <row r="6" spans="2:17" ht="13" customHeight="1" x14ac:dyDescent="0.4">
      <c r="B6" s="535" t="s">
        <v>164</v>
      </c>
    </row>
    <row r="7" spans="2:17" ht="13" customHeight="1" x14ac:dyDescent="0.4">
      <c r="B7" s="535"/>
      <c r="F7" s="319"/>
      <c r="J7" s="317"/>
    </row>
    <row r="8" spans="2:17" ht="13" customHeight="1" x14ac:dyDescent="0.4">
      <c r="B8" s="536" t="s">
        <v>360</v>
      </c>
      <c r="G8" s="319"/>
    </row>
    <row r="9" spans="2:17" ht="13" customHeight="1" x14ac:dyDescent="0.4"/>
    <row r="10" spans="2:17" ht="22.5" customHeight="1" x14ac:dyDescent="0.4">
      <c r="B10" s="615" t="s">
        <v>122</v>
      </c>
      <c r="C10" s="615" t="s">
        <v>123</v>
      </c>
      <c r="D10" s="615" t="s">
        <v>124</v>
      </c>
      <c r="F10" s="617" t="s">
        <v>6</v>
      </c>
      <c r="G10" s="617" t="s">
        <v>143</v>
      </c>
      <c r="H10" s="615" t="s">
        <v>125</v>
      </c>
      <c r="I10" s="615" t="s">
        <v>126</v>
      </c>
      <c r="J10" s="615" t="s">
        <v>127</v>
      </c>
    </row>
    <row r="11" spans="2:17" ht="22.5" customHeight="1" x14ac:dyDescent="0.4">
      <c r="B11" s="615"/>
      <c r="C11" s="615"/>
      <c r="D11" s="615"/>
      <c r="F11" s="617"/>
      <c r="G11" s="617"/>
      <c r="H11" s="615"/>
      <c r="I11" s="615"/>
      <c r="J11" s="615"/>
    </row>
    <row r="12" spans="2:17" ht="13.5" customHeight="1" x14ac:dyDescent="0.4">
      <c r="F12" s="331"/>
      <c r="G12" s="331"/>
      <c r="N12" s="616" t="s">
        <v>359</v>
      </c>
      <c r="O12" s="616"/>
    </row>
    <row r="13" spans="2:17" ht="13.5" customHeight="1" x14ac:dyDescent="0.4">
      <c r="B13" s="317" t="s">
        <v>235</v>
      </c>
      <c r="C13" s="316" t="s">
        <v>216</v>
      </c>
      <c r="D13" s="317" t="s">
        <v>182</v>
      </c>
      <c r="F13" s="318">
        <f>'TV ABERTA - SP1'!CC33*1.25</f>
        <v>1799646.7999999998</v>
      </c>
      <c r="G13" s="601">
        <f>'TV ABERTA - SP1'!CE33*1.25</f>
        <v>543960.99999999988</v>
      </c>
      <c r="H13" s="319">
        <f t="shared" ref="H13:H19" si="0">SUM(F13:G13)</f>
        <v>2343607.7999999998</v>
      </c>
      <c r="I13" s="332">
        <f>H13*0.8</f>
        <v>1874886.24</v>
      </c>
      <c r="J13" s="320">
        <f t="shared" ref="J13:J19" si="1">I13/$I$21</f>
        <v>0.58930841636208919</v>
      </c>
      <c r="K13" s="347"/>
      <c r="N13" s="545" t="s">
        <v>261</v>
      </c>
      <c r="O13" s="546">
        <f>I16</f>
        <v>409671.64799999999</v>
      </c>
      <c r="P13" s="333"/>
      <c r="Q13" s="333"/>
    </row>
    <row r="14" spans="2:17" ht="13.5" customHeight="1" x14ac:dyDescent="0.4">
      <c r="B14" s="317" t="s">
        <v>235</v>
      </c>
      <c r="C14" s="316" t="s">
        <v>216</v>
      </c>
      <c r="D14" s="317" t="s">
        <v>17</v>
      </c>
      <c r="F14" s="318">
        <f>'TV ABERTA - SP1'!CC45*1.25</f>
        <v>66842.400000000023</v>
      </c>
      <c r="G14" s="318">
        <f>'TV ABERTA - SP1'!CE45*1.25</f>
        <v>43587.600000000006</v>
      </c>
      <c r="H14" s="319">
        <f t="shared" si="0"/>
        <v>110430.00000000003</v>
      </c>
      <c r="I14" s="332">
        <f>H14*0.8</f>
        <v>88344.000000000029</v>
      </c>
      <c r="J14" s="320">
        <f t="shared" si="1"/>
        <v>2.7768011532845013E-2</v>
      </c>
      <c r="K14" s="347"/>
      <c r="N14" s="600" t="s">
        <v>279</v>
      </c>
      <c r="O14" s="546">
        <f>I17</f>
        <v>80635.560000000012</v>
      </c>
      <c r="P14" s="333"/>
      <c r="Q14" s="333"/>
    </row>
    <row r="15" spans="2:17" ht="13.5" customHeight="1" x14ac:dyDescent="0.4">
      <c r="B15" s="317" t="s">
        <v>235</v>
      </c>
      <c r="C15" s="316" t="s">
        <v>216</v>
      </c>
      <c r="D15" s="317" t="s">
        <v>254</v>
      </c>
      <c r="F15" s="318">
        <f>'TV ABERTA - SP1'!CC58*1.25</f>
        <v>471401.6</v>
      </c>
      <c r="G15" s="318">
        <f>'TV ABERTA - SP1'!CE58*1.25</f>
        <v>377926.6</v>
      </c>
      <c r="H15" s="319">
        <f t="shared" si="0"/>
        <v>849328.2</v>
      </c>
      <c r="I15" s="319">
        <f>H15*0.8</f>
        <v>679462.56</v>
      </c>
      <c r="J15" s="320">
        <f t="shared" si="1"/>
        <v>0.2135665602895091</v>
      </c>
      <c r="K15" s="347"/>
      <c r="N15" s="545" t="s">
        <v>182</v>
      </c>
      <c r="O15" s="546">
        <f>G13*0.8</f>
        <v>435168.79999999993</v>
      </c>
      <c r="P15" s="333"/>
      <c r="Q15" s="333"/>
    </row>
    <row r="16" spans="2:17" ht="13.5" customHeight="1" x14ac:dyDescent="0.4">
      <c r="B16" s="317" t="s">
        <v>235</v>
      </c>
      <c r="C16" s="316" t="s">
        <v>216</v>
      </c>
      <c r="D16" s="317" t="s">
        <v>261</v>
      </c>
      <c r="F16" s="601">
        <f>'TV ABERTA - SP1'!CC83*1.25</f>
        <v>272575</v>
      </c>
      <c r="G16" s="601">
        <f>'TV ABERTA - SP1'!CE83*1.25</f>
        <v>239514.55999999991</v>
      </c>
      <c r="H16" s="543">
        <f t="shared" si="0"/>
        <v>512089.55999999994</v>
      </c>
      <c r="I16" s="543">
        <f t="shared" ref="I16" si="2">H16*0.8</f>
        <v>409671.64799999999</v>
      </c>
      <c r="J16" s="320">
        <f t="shared" si="1"/>
        <v>0.12876671926043218</v>
      </c>
      <c r="K16" s="347"/>
      <c r="P16" s="333"/>
      <c r="Q16" s="668"/>
    </row>
    <row r="17" spans="2:17" ht="13.5" customHeight="1" x14ac:dyDescent="0.4">
      <c r="B17" s="317" t="s">
        <v>235</v>
      </c>
      <c r="C17" s="316" t="s">
        <v>216</v>
      </c>
      <c r="D17" s="317" t="s">
        <v>279</v>
      </c>
      <c r="F17" s="601">
        <f>'TV ABERTA - SP1'!CC90*1.25</f>
        <v>49699.950000000012</v>
      </c>
      <c r="G17" s="601">
        <f>'TV ABERTA - SP1'!CE90*1.25</f>
        <v>51094.500000000007</v>
      </c>
      <c r="H17" s="543">
        <f t="shared" si="0"/>
        <v>100794.45000000001</v>
      </c>
      <c r="I17" s="543">
        <f>H17*0.8</f>
        <v>80635.560000000012</v>
      </c>
      <c r="J17" s="320">
        <f t="shared" si="1"/>
        <v>2.5345118627608167E-2</v>
      </c>
      <c r="K17" s="347"/>
      <c r="P17" s="333"/>
      <c r="Q17" s="332"/>
    </row>
    <row r="18" spans="2:17" ht="13.5" customHeight="1" x14ac:dyDescent="0.4">
      <c r="B18" s="317" t="s">
        <v>235</v>
      </c>
      <c r="C18" s="316" t="s">
        <v>216</v>
      </c>
      <c r="D18" s="317" t="s">
        <v>287</v>
      </c>
      <c r="F18" s="318">
        <f>'TV ABERTA - SP1'!CC100*1.25</f>
        <v>17112</v>
      </c>
      <c r="G18" s="318">
        <f>'TV ABERTA - SP1'!CE100*1.25</f>
        <v>15960</v>
      </c>
      <c r="H18" s="319">
        <f t="shared" si="0"/>
        <v>33072</v>
      </c>
      <c r="I18" s="319">
        <f>H18*0.8</f>
        <v>26457.600000000002</v>
      </c>
      <c r="J18" s="320">
        <f t="shared" si="1"/>
        <v>8.316070609564883E-3</v>
      </c>
      <c r="K18" s="347"/>
      <c r="P18" s="333"/>
      <c r="Q18" s="333"/>
    </row>
    <row r="19" spans="2:17" ht="13.5" customHeight="1" x14ac:dyDescent="0.4">
      <c r="B19" s="317" t="s">
        <v>235</v>
      </c>
      <c r="C19" s="316" t="s">
        <v>216</v>
      </c>
      <c r="D19" s="317" t="s">
        <v>299</v>
      </c>
      <c r="F19" s="318">
        <f>'TV ABERTA - SP1'!CC106*1.25</f>
        <v>16102.800000000005</v>
      </c>
      <c r="G19" s="318">
        <f>'TV ABERTA - SP1'!CE106*1.25</f>
        <v>11453.400000000001</v>
      </c>
      <c r="H19" s="319">
        <f t="shared" si="0"/>
        <v>27556.200000000004</v>
      </c>
      <c r="I19" s="332">
        <f t="shared" ref="I19" si="3">H19*0.8</f>
        <v>22044.960000000006</v>
      </c>
      <c r="J19" s="320">
        <f t="shared" si="1"/>
        <v>6.9291033179514966E-3</v>
      </c>
      <c r="K19" s="347"/>
      <c r="P19" s="333"/>
      <c r="Q19" s="668"/>
    </row>
    <row r="20" spans="2:17" ht="13.5" customHeight="1" x14ac:dyDescent="0.4">
      <c r="F20" s="318"/>
      <c r="G20" s="318"/>
      <c r="H20" s="319"/>
      <c r="I20" s="319"/>
      <c r="J20" s="320"/>
      <c r="Q20" s="319"/>
    </row>
    <row r="21" spans="2:17" ht="13.5" customHeight="1" x14ac:dyDescent="0.4">
      <c r="B21" s="334" t="s">
        <v>217</v>
      </c>
      <c r="C21" s="335"/>
      <c r="D21" s="336"/>
      <c r="F21" s="337">
        <f>SUM(F13:F19)</f>
        <v>2693380.55</v>
      </c>
      <c r="G21" s="337">
        <f>SUM(G13:G19)</f>
        <v>1283497.6599999997</v>
      </c>
      <c r="H21" s="337">
        <f>SUM(H13:H19)</f>
        <v>3976878.2100000004</v>
      </c>
      <c r="I21" s="337">
        <f>SUM(I13:I19)</f>
        <v>3181502.568</v>
      </c>
      <c r="J21" s="341">
        <f>SUM(J13:J19)</f>
        <v>0.99999999999999989</v>
      </c>
      <c r="K21" s="338">
        <f>I21/I67</f>
        <v>0.57276866279087202</v>
      </c>
      <c r="L21" s="542" t="b">
        <f>I21=SUM('TV ABERTA - SP1'!BU108)</f>
        <v>1</v>
      </c>
      <c r="M21" s="486"/>
      <c r="N21" s="486"/>
      <c r="O21" s="339"/>
    </row>
    <row r="22" spans="2:17" ht="13.5" hidden="1" customHeight="1" x14ac:dyDescent="0.4">
      <c r="F22" s="331"/>
      <c r="G22" s="331"/>
    </row>
    <row r="23" spans="2:17" ht="13.5" hidden="1" customHeight="1" x14ac:dyDescent="0.4">
      <c r="B23" s="317" t="s">
        <v>236</v>
      </c>
      <c r="C23" s="316" t="s">
        <v>357</v>
      </c>
      <c r="D23" s="317" t="s">
        <v>313</v>
      </c>
      <c r="F23" s="318"/>
      <c r="G23" s="318"/>
      <c r="H23" s="319">
        <f>SUM(F23:G23)</f>
        <v>0</v>
      </c>
      <c r="I23" s="332">
        <f>H23*0.8</f>
        <v>0</v>
      </c>
      <c r="J23" s="320">
        <f>IFERROR(I23/$I$28,0)</f>
        <v>0</v>
      </c>
      <c r="K23" s="347"/>
      <c r="P23" s="333"/>
      <c r="Q23" s="333"/>
    </row>
    <row r="24" spans="2:17" ht="13.5" hidden="1" customHeight="1" x14ac:dyDescent="0.4">
      <c r="B24" s="317" t="s">
        <v>236</v>
      </c>
      <c r="C24" s="316" t="s">
        <v>357</v>
      </c>
      <c r="D24" s="317" t="s">
        <v>320</v>
      </c>
      <c r="F24" s="318"/>
      <c r="G24" s="318"/>
      <c r="H24" s="319">
        <f>SUM(F24:G24)</f>
        <v>0</v>
      </c>
      <c r="I24" s="332">
        <f>H24*0.8</f>
        <v>0</v>
      </c>
      <c r="J24" s="320">
        <f t="shared" ref="J24:J26" si="4">IFERROR(I24/$I$28,0)</f>
        <v>0</v>
      </c>
      <c r="K24" s="347"/>
      <c r="P24" s="333"/>
      <c r="Q24" s="333"/>
    </row>
    <row r="25" spans="2:17" ht="13.5" hidden="1" customHeight="1" x14ac:dyDescent="0.4">
      <c r="B25" s="317" t="s">
        <v>236</v>
      </c>
      <c r="C25" s="316" t="s">
        <v>357</v>
      </c>
      <c r="D25" s="317" t="s">
        <v>322</v>
      </c>
      <c r="F25" s="318"/>
      <c r="G25" s="318"/>
      <c r="H25" s="319">
        <f>SUM(F25:G25)</f>
        <v>0</v>
      </c>
      <c r="I25" s="319">
        <f>H25*0.8</f>
        <v>0</v>
      </c>
      <c r="J25" s="320">
        <f t="shared" si="4"/>
        <v>0</v>
      </c>
      <c r="K25" s="347"/>
      <c r="P25" s="333"/>
      <c r="Q25" s="333"/>
    </row>
    <row r="26" spans="2:17" ht="13.5" hidden="1" customHeight="1" x14ac:dyDescent="0.4">
      <c r="B26" s="317" t="s">
        <v>236</v>
      </c>
      <c r="C26" s="316" t="s">
        <v>357</v>
      </c>
      <c r="D26" s="317" t="s">
        <v>324</v>
      </c>
      <c r="F26" s="318"/>
      <c r="G26" s="318"/>
      <c r="H26" s="319">
        <f>SUM(F26:G26)</f>
        <v>0</v>
      </c>
      <c r="I26" s="319">
        <f t="shared" ref="I26" si="5">H26*0.8</f>
        <v>0</v>
      </c>
      <c r="J26" s="320">
        <f t="shared" si="4"/>
        <v>0</v>
      </c>
      <c r="K26" s="347"/>
      <c r="P26" s="333"/>
      <c r="Q26" s="333"/>
    </row>
    <row r="27" spans="2:17" ht="13.5" hidden="1" customHeight="1" x14ac:dyDescent="0.4">
      <c r="F27" s="318"/>
      <c r="G27" s="318"/>
      <c r="H27" s="319"/>
      <c r="I27" s="319"/>
      <c r="J27" s="320"/>
    </row>
    <row r="28" spans="2:17" ht="13.5" hidden="1" customHeight="1" x14ac:dyDescent="0.4">
      <c r="B28" s="334" t="s">
        <v>356</v>
      </c>
      <c r="C28" s="335"/>
      <c r="D28" s="336"/>
      <c r="F28" s="337">
        <f>SUM(F23:F27)</f>
        <v>0</v>
      </c>
      <c r="G28" s="337">
        <f>SUM(G23:G27)</f>
        <v>0</v>
      </c>
      <c r="H28" s="337">
        <f>SUM(H23:H27)</f>
        <v>0</v>
      </c>
      <c r="I28" s="337">
        <f>SUM(I23:I27)</f>
        <v>0</v>
      </c>
      <c r="J28" s="341">
        <f>SUM(J23:J27)</f>
        <v>0</v>
      </c>
      <c r="K28" s="338">
        <f>I28/I67</f>
        <v>0</v>
      </c>
      <c r="L28" s="542" t="b">
        <f>I28='TV PAGA - COLCHÃO REP - SP1'!BU28</f>
        <v>0</v>
      </c>
      <c r="M28" s="486"/>
      <c r="N28" s="486"/>
      <c r="O28" s="339"/>
    </row>
    <row r="29" spans="2:17" ht="13.5" customHeight="1" x14ac:dyDescent="0.4">
      <c r="B29" s="530"/>
      <c r="F29" s="531"/>
      <c r="G29" s="531"/>
      <c r="H29" s="531"/>
      <c r="I29" s="531"/>
      <c r="J29" s="532"/>
      <c r="K29" s="533"/>
      <c r="L29" s="542"/>
      <c r="M29" s="486"/>
      <c r="N29" s="486"/>
      <c r="O29" s="339"/>
      <c r="Q29" s="318"/>
    </row>
    <row r="30" spans="2:17" ht="13.5" customHeight="1" x14ac:dyDescent="0.4">
      <c r="B30" s="317" t="s">
        <v>235</v>
      </c>
      <c r="C30" s="316" t="s">
        <v>166</v>
      </c>
      <c r="D30" s="317" t="str">
        <f>JORNAL!C14</f>
        <v>FOLHA DE SP</v>
      </c>
      <c r="F30" s="318">
        <f>SUM(JORNAL!CN14:CN16)*1.25</f>
        <v>205409.91000000006</v>
      </c>
      <c r="G30" s="318" cm="1">
        <f t="array" ref="G30">SUM(JORNAL!CP14:CP16*1.25)</f>
        <v>0</v>
      </c>
      <c r="H30" s="319">
        <f>SUM(F30:G30)</f>
        <v>205409.91000000006</v>
      </c>
      <c r="I30" s="332">
        <f>H30*0.8</f>
        <v>164327.92800000007</v>
      </c>
      <c r="J30" s="320">
        <f>I30/$I$36</f>
        <v>0.30990316563655551</v>
      </c>
      <c r="K30" s="347"/>
      <c r="P30" s="333"/>
      <c r="Q30" s="332"/>
    </row>
    <row r="31" spans="2:17" ht="13.5" customHeight="1" x14ac:dyDescent="0.4">
      <c r="B31" s="317" t="s">
        <v>235</v>
      </c>
      <c r="C31" s="316" t="s">
        <v>166</v>
      </c>
      <c r="D31" s="317" t="str">
        <f>JORNAL!C19</f>
        <v>O ESTADO DE SP</v>
      </c>
      <c r="F31" s="318">
        <f>SUM(JORNAL!CN19:CN21)*1.25</f>
        <v>232919.50715993429</v>
      </c>
      <c r="G31" s="318">
        <f>SUM(JORNAL!CP19:CP21)*1.25</f>
        <v>0</v>
      </c>
      <c r="H31" s="319">
        <f>SUM(F31:G31)</f>
        <v>232919.50715993429</v>
      </c>
      <c r="I31" s="332">
        <f>H31*0.8</f>
        <v>186335.60572794743</v>
      </c>
      <c r="J31" s="320">
        <f>I31/$I$36</f>
        <v>0.35140706019183765</v>
      </c>
      <c r="K31" s="347"/>
      <c r="P31" s="333"/>
      <c r="Q31" s="668"/>
    </row>
    <row r="32" spans="2:17" ht="13.5" customHeight="1" x14ac:dyDescent="0.4">
      <c r="B32" s="317" t="s">
        <v>235</v>
      </c>
      <c r="C32" s="316" t="s">
        <v>166</v>
      </c>
      <c r="D32" s="317" t="str">
        <f>JORNAL!C23</f>
        <v>VALOR</v>
      </c>
      <c r="F32" s="318">
        <f>SUM(JORNAL!CN23:CN25)*1.25</f>
        <v>138378.23999999999</v>
      </c>
      <c r="G32" s="318">
        <f>SUM(JORNAL!CP23:CP25)*1.25</f>
        <v>0</v>
      </c>
      <c r="H32" s="319">
        <f>SUM(F32:G32)</f>
        <v>138378.23999999999</v>
      </c>
      <c r="I32" s="319">
        <f>H32*0.8</f>
        <v>110702.592</v>
      </c>
      <c r="J32" s="320">
        <f>I32/$I$36</f>
        <v>0.20877208227789504</v>
      </c>
      <c r="K32" s="347"/>
      <c r="P32" s="333"/>
      <c r="Q32" s="332"/>
    </row>
    <row r="33" spans="2:17" ht="13.5" customHeight="1" x14ac:dyDescent="0.4">
      <c r="B33" s="317" t="s">
        <v>235</v>
      </c>
      <c r="C33" s="316" t="s">
        <v>166</v>
      </c>
      <c r="D33" s="317" t="str">
        <f>JORNAL!C27</f>
        <v>GAZETA DE SP</v>
      </c>
      <c r="F33" s="318">
        <f>SUM(JORNAL!CN27:CN28)*1.25</f>
        <v>0</v>
      </c>
      <c r="G33" s="318">
        <f>SUM(JORNAL!CP27:CP29)*1.25</f>
        <v>0</v>
      </c>
      <c r="H33" s="319">
        <f>SUM(F33:G33)</f>
        <v>0</v>
      </c>
      <c r="I33" s="319">
        <f t="shared" ref="I33:I34" si="6">H33*0.8</f>
        <v>0</v>
      </c>
      <c r="J33" s="320">
        <f>I33/$I$36</f>
        <v>0</v>
      </c>
      <c r="K33" s="347"/>
      <c r="P33" s="333"/>
      <c r="Q33" s="333"/>
    </row>
    <row r="34" spans="2:17" ht="13.5" customHeight="1" x14ac:dyDescent="0.4">
      <c r="B34" s="317" t="str">
        <f>JORNAL!B31</f>
        <v>ABC</v>
      </c>
      <c r="C34" s="316" t="s">
        <v>166</v>
      </c>
      <c r="D34" s="317" t="str">
        <f>JORNAL!C31</f>
        <v>DIÁRIO DO GRANDE ABC</v>
      </c>
      <c r="F34" s="318">
        <f>SUM(JORNAL!CN31:CN34)*1.25</f>
        <v>86112</v>
      </c>
      <c r="G34" s="318">
        <f>SUM(JORNAL!CP31:CP34)*1.25</f>
        <v>0</v>
      </c>
      <c r="H34" s="319">
        <f>SUM(F34:G34)</f>
        <v>86112</v>
      </c>
      <c r="I34" s="319">
        <f t="shared" si="6"/>
        <v>68889.600000000006</v>
      </c>
      <c r="J34" s="320">
        <f>I34/$I$36</f>
        <v>0.12991769189371175</v>
      </c>
      <c r="K34" s="347"/>
    </row>
    <row r="35" spans="2:17" ht="13.5" customHeight="1" x14ac:dyDescent="0.4">
      <c r="F35" s="318"/>
      <c r="G35" s="318"/>
      <c r="H35" s="319"/>
      <c r="I35" s="319"/>
      <c r="J35" s="320"/>
    </row>
    <row r="36" spans="2:17" ht="13.5" customHeight="1" x14ac:dyDescent="0.4">
      <c r="B36" s="334" t="s">
        <v>151</v>
      </c>
      <c r="C36" s="335"/>
      <c r="D36" s="336"/>
      <c r="F36" s="337">
        <f t="shared" ref="F36:J36" si="7">SUM(F30:F34)</f>
        <v>662819.65715993429</v>
      </c>
      <c r="G36" s="337">
        <f t="shared" si="7"/>
        <v>0</v>
      </c>
      <c r="H36" s="337">
        <f t="shared" si="7"/>
        <v>662819.65715993429</v>
      </c>
      <c r="I36" s="337">
        <f t="shared" si="7"/>
        <v>530255.72572794755</v>
      </c>
      <c r="J36" s="341">
        <f t="shared" si="7"/>
        <v>0.99999999999999989</v>
      </c>
      <c r="K36" s="338">
        <f>I36/I67</f>
        <v>9.5462397553029391E-2</v>
      </c>
      <c r="L36" s="542" t="b">
        <f>I36=JORNAL!CN39</f>
        <v>1</v>
      </c>
      <c r="M36" s="486"/>
      <c r="N36" s="486"/>
      <c r="O36" s="339"/>
    </row>
    <row r="37" spans="2:17" s="339" customFormat="1" ht="13.5" customHeight="1" x14ac:dyDescent="0.4">
      <c r="C37" s="340"/>
      <c r="K37" s="340"/>
      <c r="L37" s="542"/>
    </row>
    <row r="38" spans="2:17" s="339" customFormat="1" ht="13.5" customHeight="1" x14ac:dyDescent="0.4">
      <c r="B38" s="317" t="s">
        <v>235</v>
      </c>
      <c r="C38" s="316" t="s">
        <v>129</v>
      </c>
      <c r="D38" s="317" t="s">
        <v>91</v>
      </c>
      <c r="F38" s="318">
        <f>SUM(RÁDIO!CH14:CH15)*1.25</f>
        <v>94517.28</v>
      </c>
      <c r="G38" s="318">
        <f>SUM(RÁDIO!CJ14:CJ15)*1.25</f>
        <v>89266.319999999992</v>
      </c>
      <c r="H38" s="319">
        <f t="shared" ref="H38:H56" si="8">SUM(F38:G38)</f>
        <v>183783.59999999998</v>
      </c>
      <c r="I38" s="319">
        <f>H38*0.8</f>
        <v>147026.87999999998</v>
      </c>
      <c r="J38" s="320">
        <f>I38/$I$58</f>
        <v>8.22318789218945E-2</v>
      </c>
      <c r="K38" s="316"/>
      <c r="L38" s="542"/>
    </row>
    <row r="39" spans="2:17" s="339" customFormat="1" ht="13.5" customHeight="1" x14ac:dyDescent="0.4">
      <c r="B39" s="317" t="s">
        <v>235</v>
      </c>
      <c r="C39" s="316" t="s">
        <v>129</v>
      </c>
      <c r="D39" s="317" t="s">
        <v>43</v>
      </c>
      <c r="F39" s="318">
        <f>SUM(RÁDIO!CH18:CH19)*1.25</f>
        <v>83832</v>
      </c>
      <c r="G39" s="318">
        <f>SUM(RÁDIO!CJ18:CJ19)*1.25</f>
        <v>55888</v>
      </c>
      <c r="H39" s="319">
        <f t="shared" si="8"/>
        <v>139720</v>
      </c>
      <c r="I39" s="319">
        <f t="shared" ref="I39:I56" si="9">H39*0.8</f>
        <v>111776</v>
      </c>
      <c r="J39" s="320">
        <f t="shared" ref="J39:J55" si="10">I39/$I$58</f>
        <v>6.2516122891090944E-2</v>
      </c>
      <c r="K39" s="316"/>
      <c r="L39" s="542"/>
    </row>
    <row r="40" spans="2:17" s="339" customFormat="1" ht="13.5" customHeight="1" x14ac:dyDescent="0.4">
      <c r="B40" s="317" t="s">
        <v>235</v>
      </c>
      <c r="C40" s="316" t="s">
        <v>129</v>
      </c>
      <c r="D40" s="317" t="s">
        <v>17</v>
      </c>
      <c r="F40" s="318">
        <f>SUM(RÁDIO!CH22:CH23)*1.25</f>
        <v>59052</v>
      </c>
      <c r="G40" s="318">
        <f>SUM(RÁDIO!CJ22:CJ23)*1.25</f>
        <v>59052</v>
      </c>
      <c r="H40" s="319">
        <f t="shared" si="8"/>
        <v>118104</v>
      </c>
      <c r="I40" s="319">
        <f t="shared" si="9"/>
        <v>94483.200000000012</v>
      </c>
      <c r="J40" s="320">
        <f t="shared" si="10"/>
        <v>5.284428985062558E-2</v>
      </c>
      <c r="K40" s="316"/>
      <c r="L40" s="542"/>
    </row>
    <row r="41" spans="2:17" s="339" customFormat="1" ht="13.5" customHeight="1" x14ac:dyDescent="0.4">
      <c r="B41" s="317" t="s">
        <v>235</v>
      </c>
      <c r="C41" s="316" t="s">
        <v>129</v>
      </c>
      <c r="D41" s="317" t="s">
        <v>46</v>
      </c>
      <c r="F41" s="318">
        <f>SUM(RÁDIO!CH26:CH27)*1.25</f>
        <v>104319.00000000001</v>
      </c>
      <c r="G41" s="318">
        <f>SUM(RÁDIO!CJ26:CJ27)*1.25</f>
        <v>48682.200000000004</v>
      </c>
      <c r="H41" s="319">
        <f t="shared" si="8"/>
        <v>153001.20000000001</v>
      </c>
      <c r="I41" s="319">
        <f t="shared" si="9"/>
        <v>122400.96000000002</v>
      </c>
      <c r="J41" s="320">
        <f t="shared" si="10"/>
        <v>6.8458644586919457E-2</v>
      </c>
      <c r="K41" s="316"/>
      <c r="L41" s="542"/>
    </row>
    <row r="42" spans="2:17" s="339" customFormat="1" ht="13.5" customHeight="1" x14ac:dyDescent="0.4">
      <c r="B42" s="317" t="s">
        <v>235</v>
      </c>
      <c r="C42" s="316" t="s">
        <v>129</v>
      </c>
      <c r="D42" s="317" t="s">
        <v>50</v>
      </c>
      <c r="F42" s="318">
        <f>SUM(RÁDIO!CH35:CH36)*1.25</f>
        <v>60773.240000000005</v>
      </c>
      <c r="G42" s="318">
        <f>SUM(RÁDIO!CJ35:CJ36)*1.25</f>
        <v>53867.19</v>
      </c>
      <c r="H42" s="319">
        <f t="shared" si="8"/>
        <v>114640.43000000001</v>
      </c>
      <c r="I42" s="319">
        <f t="shared" si="9"/>
        <v>91712.344000000012</v>
      </c>
      <c r="J42" s="320">
        <f t="shared" si="10"/>
        <v>5.1294554896704196E-2</v>
      </c>
      <c r="K42" s="316"/>
      <c r="L42" s="542"/>
    </row>
    <row r="43" spans="2:17" s="339" customFormat="1" ht="13.5" customHeight="1" x14ac:dyDescent="0.4">
      <c r="B43" s="317" t="s">
        <v>235</v>
      </c>
      <c r="C43" s="316" t="s">
        <v>129</v>
      </c>
      <c r="D43" s="317" t="s">
        <v>53</v>
      </c>
      <c r="F43" s="318">
        <f>SUM(RÁDIO!CH39:CH40)*1.25</f>
        <v>77714.000000000015</v>
      </c>
      <c r="G43" s="318">
        <f>SUM(RÁDIO!CJ39:CJ40)*1.25</f>
        <v>77714</v>
      </c>
      <c r="H43" s="319">
        <f t="shared" si="8"/>
        <v>155428</v>
      </c>
      <c r="I43" s="319">
        <f t="shared" si="9"/>
        <v>124342.40000000001</v>
      </c>
      <c r="J43" s="320">
        <f t="shared" si="10"/>
        <v>6.9544488610911004E-2</v>
      </c>
      <c r="K43" s="316"/>
      <c r="L43" s="542"/>
    </row>
    <row r="44" spans="2:17" s="339" customFormat="1" ht="13.5" customHeight="1" x14ac:dyDescent="0.4">
      <c r="B44" s="317" t="s">
        <v>235</v>
      </c>
      <c r="C44" s="316" t="s">
        <v>129</v>
      </c>
      <c r="D44" s="317" t="s">
        <v>54</v>
      </c>
      <c r="F44" s="318">
        <f>SUM(RÁDIO!CH43:CH44)*1.25</f>
        <v>72852</v>
      </c>
      <c r="G44" s="318">
        <f>SUM(RÁDIO!CJ43:CJ44)*1.25</f>
        <v>72852</v>
      </c>
      <c r="H44" s="319">
        <f t="shared" si="8"/>
        <v>145704</v>
      </c>
      <c r="I44" s="319">
        <f t="shared" si="9"/>
        <v>116563.20000000001</v>
      </c>
      <c r="J44" s="320">
        <f t="shared" si="10"/>
        <v>6.5193595546260488E-2</v>
      </c>
      <c r="K44" s="316"/>
      <c r="L44" s="542"/>
    </row>
    <row r="45" spans="2:17" s="339" customFormat="1" ht="13.5" customHeight="1" x14ac:dyDescent="0.4">
      <c r="B45" s="317" t="s">
        <v>235</v>
      </c>
      <c r="C45" s="316" t="s">
        <v>129</v>
      </c>
      <c r="D45" s="317" t="s">
        <v>55</v>
      </c>
      <c r="F45" s="318">
        <f>SUM(RÁDIO!CH47:CH48)*1.25</f>
        <v>91929.600000000006</v>
      </c>
      <c r="G45" s="318">
        <f>SUM(RÁDIO!CJ47:CJ48)*1.25</f>
        <v>94348.800000000017</v>
      </c>
      <c r="H45" s="319">
        <f t="shared" si="8"/>
        <v>186278.40000000002</v>
      </c>
      <c r="I45" s="319">
        <f t="shared" si="9"/>
        <v>149022.72000000003</v>
      </c>
      <c r="J45" s="320">
        <f t="shared" si="10"/>
        <v>8.3348148771513017E-2</v>
      </c>
      <c r="K45" s="316"/>
      <c r="L45" s="542"/>
    </row>
    <row r="46" spans="2:17" s="339" customFormat="1" ht="13.5" customHeight="1" x14ac:dyDescent="0.4">
      <c r="B46" s="317" t="s">
        <v>235</v>
      </c>
      <c r="C46" s="316" t="s">
        <v>129</v>
      </c>
      <c r="D46" s="317" t="s">
        <v>56</v>
      </c>
      <c r="F46" s="318">
        <f>SUM(RÁDIO!CH51:CH52)*1.25</f>
        <v>60762.000000000007</v>
      </c>
      <c r="G46" s="318">
        <f>SUM(RÁDIO!CJ51:CJ52)*1.25</f>
        <v>62361</v>
      </c>
      <c r="H46" s="319">
        <f t="shared" si="8"/>
        <v>123123</v>
      </c>
      <c r="I46" s="319">
        <f t="shared" si="9"/>
        <v>98498.400000000009</v>
      </c>
      <c r="J46" s="320">
        <f t="shared" si="10"/>
        <v>5.5089984245060057E-2</v>
      </c>
      <c r="K46" s="316"/>
      <c r="L46" s="542"/>
    </row>
    <row r="47" spans="2:17" s="339" customFormat="1" ht="13.5" customHeight="1" x14ac:dyDescent="0.4">
      <c r="B47" s="317" t="s">
        <v>235</v>
      </c>
      <c r="C47" s="316" t="s">
        <v>129</v>
      </c>
      <c r="D47" s="317" t="s">
        <v>57</v>
      </c>
      <c r="F47" s="318">
        <f>SUM(RÁDIO!CH55:CH56)*1.25</f>
        <v>25766.000000000004</v>
      </c>
      <c r="G47" s="318">
        <f>SUM(RÁDIO!CJ55:CJ56)*1.25</f>
        <v>25766.000000000004</v>
      </c>
      <c r="H47" s="319">
        <f t="shared" si="8"/>
        <v>51532.000000000007</v>
      </c>
      <c r="I47" s="319">
        <f t="shared" si="9"/>
        <v>41225.600000000006</v>
      </c>
      <c r="J47" s="320">
        <f t="shared" si="10"/>
        <v>2.3057406561864436E-2</v>
      </c>
      <c r="K47" s="316"/>
      <c r="L47" s="542"/>
    </row>
    <row r="48" spans="2:17" s="339" customFormat="1" ht="13.5" customHeight="1" x14ac:dyDescent="0.4">
      <c r="B48" s="317" t="s">
        <v>235</v>
      </c>
      <c r="C48" s="316" t="s">
        <v>129</v>
      </c>
      <c r="D48" s="317" t="s">
        <v>58</v>
      </c>
      <c r="F48" s="318">
        <f>SUM(RÁDIO!CH59:CH60)*1.25</f>
        <v>0</v>
      </c>
      <c r="G48" s="318">
        <f>SUM(RÁDIO!CJ59:CJ60)*1.25</f>
        <v>0</v>
      </c>
      <c r="H48" s="319">
        <f t="shared" si="8"/>
        <v>0</v>
      </c>
      <c r="I48" s="319">
        <f t="shared" si="9"/>
        <v>0</v>
      </c>
      <c r="J48" s="320">
        <f t="shared" si="10"/>
        <v>0</v>
      </c>
      <c r="K48" s="316"/>
      <c r="L48" s="542"/>
    </row>
    <row r="49" spans="2:15" s="339" customFormat="1" ht="13.5" customHeight="1" x14ac:dyDescent="0.4">
      <c r="B49" s="317" t="s">
        <v>235</v>
      </c>
      <c r="C49" s="316" t="s">
        <v>129</v>
      </c>
      <c r="D49" s="317" t="s">
        <v>59</v>
      </c>
      <c r="F49" s="318">
        <f>SUM(RÁDIO!CH63:CH64)*1.25</f>
        <v>67184.000000000015</v>
      </c>
      <c r="G49" s="318">
        <f>SUM(RÁDIO!CJ63:CJ64)*1.25</f>
        <v>67184</v>
      </c>
      <c r="H49" s="319">
        <f t="shared" si="8"/>
        <v>134368</v>
      </c>
      <c r="I49" s="319">
        <f t="shared" si="9"/>
        <v>107494.40000000001</v>
      </c>
      <c r="J49" s="320">
        <f t="shared" si="10"/>
        <v>6.0121431438806966E-2</v>
      </c>
      <c r="K49" s="316"/>
      <c r="L49" s="542"/>
    </row>
    <row r="50" spans="2:15" s="339" customFormat="1" ht="13.5" customHeight="1" x14ac:dyDescent="0.4">
      <c r="B50" s="317" t="s">
        <v>235</v>
      </c>
      <c r="C50" s="316" t="s">
        <v>129</v>
      </c>
      <c r="D50" s="317" t="s">
        <v>60</v>
      </c>
      <c r="F50" s="318">
        <f>SUM(RÁDIO!CH67:CH68)*1.25</f>
        <v>40716</v>
      </c>
      <c r="G50" s="318">
        <f>SUM(RÁDIO!CJ67:CJ68)*1.25</f>
        <v>40716</v>
      </c>
      <c r="H50" s="319">
        <f t="shared" si="8"/>
        <v>81432</v>
      </c>
      <c r="I50" s="319">
        <f t="shared" si="9"/>
        <v>65145.600000000006</v>
      </c>
      <c r="J50" s="320">
        <f t="shared" si="10"/>
        <v>3.6435821065468929E-2</v>
      </c>
      <c r="K50" s="316"/>
      <c r="L50" s="542"/>
      <c r="O50" s="317"/>
    </row>
    <row r="51" spans="2:15" s="339" customFormat="1" ht="13.5" customHeight="1" x14ac:dyDescent="0.4">
      <c r="B51" s="317" t="s">
        <v>235</v>
      </c>
      <c r="C51" s="316" t="s">
        <v>129</v>
      </c>
      <c r="D51" s="317" t="s">
        <v>62</v>
      </c>
      <c r="F51" s="318">
        <f>SUM(RÁDIO!CH71+RÁDIO!CH72)*1.25</f>
        <v>60115</v>
      </c>
      <c r="G51" s="318">
        <f>SUM(RÁDIO!CJ71+RÁDIO!CJ72)*1.25</f>
        <v>53283.75</v>
      </c>
      <c r="H51" s="319">
        <f t="shared" si="8"/>
        <v>113398.75</v>
      </c>
      <c r="I51" s="319">
        <f t="shared" si="9"/>
        <v>90719</v>
      </c>
      <c r="J51" s="320">
        <f t="shared" si="10"/>
        <v>5.0738979320756508E-2</v>
      </c>
      <c r="K51" s="316"/>
      <c r="L51" s="541"/>
      <c r="M51" s="317"/>
      <c r="N51" s="317"/>
      <c r="O51" s="317"/>
    </row>
    <row r="52" spans="2:15" s="339" customFormat="1" ht="13.5" customHeight="1" x14ac:dyDescent="0.4">
      <c r="B52" s="317" t="s">
        <v>235</v>
      </c>
      <c r="C52" s="316" t="s">
        <v>129</v>
      </c>
      <c r="D52" s="317" t="s">
        <v>63</v>
      </c>
      <c r="F52" s="318">
        <f>SUM(RÁDIO!CH75:CH76)*1.25</f>
        <v>53911.19999999999</v>
      </c>
      <c r="G52" s="318">
        <f>SUM(RÁDIO!CJ75:CJ76)*1.25</f>
        <v>50060.399999999994</v>
      </c>
      <c r="H52" s="319">
        <f t="shared" si="8"/>
        <v>103971.59999999998</v>
      </c>
      <c r="I52" s="319">
        <f t="shared" si="9"/>
        <v>83177.279999999984</v>
      </c>
      <c r="J52" s="320">
        <f t="shared" si="10"/>
        <v>4.6520908408125894E-2</v>
      </c>
      <c r="K52" s="316"/>
      <c r="L52" s="541"/>
      <c r="M52" s="317"/>
      <c r="N52" s="317"/>
      <c r="O52" s="317"/>
    </row>
    <row r="53" spans="2:15" s="339" customFormat="1" ht="13.5" customHeight="1" x14ac:dyDescent="0.4">
      <c r="B53" s="317" t="s">
        <v>235</v>
      </c>
      <c r="C53" s="316" t="s">
        <v>129</v>
      </c>
      <c r="D53" s="317" t="s">
        <v>64</v>
      </c>
      <c r="F53" s="318">
        <f>SUM(RÁDIO!CH79:CH80)*1.25</f>
        <v>30410.640000000003</v>
      </c>
      <c r="G53" s="318">
        <f>SUM(RÁDIO!CJ79:CJ80)*1.25</f>
        <v>30410.640000000003</v>
      </c>
      <c r="H53" s="319">
        <f t="shared" si="8"/>
        <v>60821.280000000006</v>
      </c>
      <c r="I53" s="319">
        <f t="shared" si="9"/>
        <v>48657.024000000005</v>
      </c>
      <c r="J53" s="320">
        <f t="shared" si="10"/>
        <v>2.7213789113036447E-2</v>
      </c>
      <c r="K53" s="316"/>
      <c r="L53" s="541"/>
      <c r="M53" s="317"/>
      <c r="N53" s="317"/>
      <c r="O53" s="317"/>
    </row>
    <row r="54" spans="2:15" s="339" customFormat="1" ht="13.5" customHeight="1" x14ac:dyDescent="0.4">
      <c r="B54" s="317" t="s">
        <v>235</v>
      </c>
      <c r="C54" s="316" t="s">
        <v>129</v>
      </c>
      <c r="D54" s="317" t="s">
        <v>101</v>
      </c>
      <c r="F54" s="318">
        <f>SUM(RÁDIO!CH83:CH84)*1.25</f>
        <v>43110.599999999991</v>
      </c>
      <c r="G54" s="318">
        <f>SUM(RÁDIO!CJ83:CJ84)*1.25</f>
        <v>43110.600000000006</v>
      </c>
      <c r="H54" s="319">
        <f t="shared" si="8"/>
        <v>86221.2</v>
      </c>
      <c r="I54" s="319">
        <f t="shared" si="9"/>
        <v>68976.960000000006</v>
      </c>
      <c r="J54" s="320">
        <f t="shared" si="10"/>
        <v>3.8578694066828879E-2</v>
      </c>
      <c r="K54" s="316"/>
      <c r="L54" s="541"/>
      <c r="M54" s="317"/>
      <c r="N54" s="317"/>
      <c r="O54" s="317"/>
    </row>
    <row r="55" spans="2:15" s="339" customFormat="1" ht="13.5" customHeight="1" x14ac:dyDescent="0.4">
      <c r="B55" s="317" t="s">
        <v>235</v>
      </c>
      <c r="C55" s="316" t="s">
        <v>129</v>
      </c>
      <c r="D55" s="317" t="s">
        <v>66</v>
      </c>
      <c r="F55" s="318">
        <f>SUM(RÁDIO!CH87:CH88)*1.25</f>
        <v>58707.999999999993</v>
      </c>
      <c r="G55" s="318">
        <f>SUM(RÁDIO!CJ87:CJ88)*1.25</f>
        <v>58707.999999999993</v>
      </c>
      <c r="H55" s="319">
        <f t="shared" si="8"/>
        <v>117415.99999999999</v>
      </c>
      <c r="I55" s="319">
        <f t="shared" si="9"/>
        <v>93932.799999999988</v>
      </c>
      <c r="J55" s="320">
        <f t="shared" si="10"/>
        <v>5.2536452085459019E-2</v>
      </c>
      <c r="K55" s="316"/>
      <c r="L55" s="541"/>
      <c r="M55" s="317"/>
      <c r="N55" s="317"/>
      <c r="O55" s="317"/>
    </row>
    <row r="56" spans="2:15" s="339" customFormat="1" ht="13.5" customHeight="1" x14ac:dyDescent="0.4">
      <c r="B56" s="317" t="s">
        <v>235</v>
      </c>
      <c r="C56" s="316" t="s">
        <v>129</v>
      </c>
      <c r="D56" s="317" t="s">
        <v>68</v>
      </c>
      <c r="F56" s="318">
        <f>SUM(RÁDIO!CH91:CH92)*1.25</f>
        <v>88000</v>
      </c>
      <c r="G56" s="318">
        <f>SUM(RÁDIO!CJ91:CJ92)*1.25</f>
        <v>78000</v>
      </c>
      <c r="H56" s="319">
        <f t="shared" si="8"/>
        <v>166000</v>
      </c>
      <c r="I56" s="319">
        <f t="shared" si="9"/>
        <v>132800</v>
      </c>
      <c r="J56" s="320">
        <f>I56/$I$58</f>
        <v>7.4274809618673762E-2</v>
      </c>
      <c r="K56" s="316"/>
      <c r="L56" s="541"/>
      <c r="M56" s="317"/>
      <c r="N56" s="317"/>
      <c r="O56" s="317"/>
    </row>
    <row r="57" spans="2:15" ht="13.5" customHeight="1" x14ac:dyDescent="0.4"/>
    <row r="58" spans="2:15" ht="13.5" customHeight="1" x14ac:dyDescent="0.4">
      <c r="B58" s="334" t="s">
        <v>130</v>
      </c>
      <c r="C58" s="335"/>
      <c r="D58" s="336"/>
      <c r="F58" s="337">
        <f>SUM(F38:F56)</f>
        <v>1173672.5599999998</v>
      </c>
      <c r="G58" s="337">
        <f t="shared" ref="G58:I58" si="11">SUM(G38:G56)</f>
        <v>1061270.8999999999</v>
      </c>
      <c r="H58" s="337">
        <f t="shared" si="11"/>
        <v>2234943.46</v>
      </c>
      <c r="I58" s="337">
        <f t="shared" si="11"/>
        <v>1787954.7679999999</v>
      </c>
      <c r="J58" s="338">
        <f>SUM(J38:J56)</f>
        <v>1.0000000000000002</v>
      </c>
      <c r="K58" s="338">
        <f>I58/I67</f>
        <v>0.32188704541631025</v>
      </c>
      <c r="L58" s="541" t="b">
        <f>I58=RÁDIO!BR197</f>
        <v>1</v>
      </c>
      <c r="M58" s="485"/>
      <c r="N58" s="485"/>
    </row>
    <row r="59" spans="2:15" s="339" customFormat="1" ht="13.5" customHeight="1" x14ac:dyDescent="0.4">
      <c r="L59" s="542"/>
    </row>
    <row r="60" spans="2:15" s="339" customFormat="1" ht="13.5" customHeight="1" x14ac:dyDescent="0.4">
      <c r="B60" s="317" t="s">
        <v>411</v>
      </c>
      <c r="C60" s="316" t="s">
        <v>219</v>
      </c>
      <c r="D60" s="317" t="s">
        <v>412</v>
      </c>
      <c r="E60" s="317"/>
      <c r="F60" s="318">
        <f>DIGITAL!J8*1.25</f>
        <v>62500</v>
      </c>
      <c r="G60" s="318" cm="1">
        <f t="array" ref="G60">SUM(JORNAL!CP47:CP49*1.25)</f>
        <v>0</v>
      </c>
      <c r="H60" s="319">
        <f>SUM(F60:G60)</f>
        <v>62500</v>
      </c>
      <c r="I60" s="332">
        <f>H60*0.8</f>
        <v>50000</v>
      </c>
      <c r="J60" s="320">
        <f>I60/$I$63</f>
        <v>1</v>
      </c>
      <c r="L60" s="542"/>
    </row>
    <row r="61" spans="2:15" s="339" customFormat="1" ht="13.5" customHeight="1" x14ac:dyDescent="0.4">
      <c r="B61" s="317" t="s">
        <v>128</v>
      </c>
      <c r="C61" s="316" t="s">
        <v>219</v>
      </c>
      <c r="D61" s="317" t="s">
        <v>410</v>
      </c>
      <c r="E61" s="317"/>
      <c r="F61" s="318">
        <v>0</v>
      </c>
      <c r="G61" s="318">
        <f>DIGITAL!K9*1.25</f>
        <v>0</v>
      </c>
      <c r="H61" s="319">
        <f>SUM(F61:G61)</f>
        <v>0</v>
      </c>
      <c r="I61" s="332">
        <f>H61*0.8</f>
        <v>0</v>
      </c>
      <c r="J61" s="320">
        <f>I61/$I$63</f>
        <v>0</v>
      </c>
      <c r="L61" s="542"/>
    </row>
    <row r="62" spans="2:15" s="339" customFormat="1" ht="13.5" customHeight="1" x14ac:dyDescent="0.4">
      <c r="L62" s="542"/>
    </row>
    <row r="63" spans="2:15" s="339" customFormat="1" ht="13.5" customHeight="1" x14ac:dyDescent="0.4">
      <c r="B63" s="334" t="s">
        <v>220</v>
      </c>
      <c r="C63" s="335"/>
      <c r="D63" s="336"/>
      <c r="E63" s="317"/>
      <c r="F63" s="337" cm="1">
        <f t="array" ref="F63:F64">F60:F61</f>
        <v>62500</v>
      </c>
      <c r="G63" s="337" cm="1">
        <f t="array" ref="G63:G64">G60:G61</f>
        <v>0</v>
      </c>
      <c r="H63" s="337" cm="1">
        <f t="array" ref="H63:H64">H60:H61</f>
        <v>62500</v>
      </c>
      <c r="I63" s="337" cm="1">
        <f t="array" ref="I63:I64">I60:I61</f>
        <v>50000</v>
      </c>
      <c r="J63" s="338" cm="1">
        <f t="array" ref="J63:J64">J60:J61</f>
        <v>1</v>
      </c>
      <c r="K63" s="338">
        <f>I63/I67</f>
        <v>9.0015433045985832E-3</v>
      </c>
      <c r="L63" s="541" t="b">
        <f>I63=SUM(DIGITAL!K8:K9)</f>
        <v>1</v>
      </c>
    </row>
    <row r="64" spans="2:15" s="339" customFormat="1" ht="13.5" customHeight="1" x14ac:dyDescent="0.4">
      <c r="F64" s="339">
        <v>0</v>
      </c>
      <c r="G64" s="339">
        <v>0</v>
      </c>
      <c r="H64" s="339">
        <v>0</v>
      </c>
      <c r="I64" s="339">
        <v>0</v>
      </c>
      <c r="J64" s="339">
        <v>0</v>
      </c>
      <c r="L64" s="542"/>
    </row>
    <row r="65" spans="2:12" s="339" customFormat="1" ht="13.5" customHeight="1" x14ac:dyDescent="0.4">
      <c r="B65" s="334" t="s">
        <v>221</v>
      </c>
      <c r="C65" s="335"/>
      <c r="D65" s="336"/>
      <c r="E65" s="317"/>
      <c r="F65" s="337">
        <f>'CUSTO GERAÇÃO SP1'!I40*1.25</f>
        <v>6112.5</v>
      </c>
      <c r="G65" s="337">
        <v>0</v>
      </c>
      <c r="H65" s="337">
        <f>SUM(F65:G65)</f>
        <v>6112.5</v>
      </c>
      <c r="I65" s="337">
        <f>H65*0.8</f>
        <v>4890</v>
      </c>
      <c r="J65" s="338">
        <v>1</v>
      </c>
      <c r="K65" s="338">
        <f>I65/I67</f>
        <v>8.8035093518974152E-4</v>
      </c>
      <c r="L65" s="542"/>
    </row>
    <row r="66" spans="2:12" ht="13.5" customHeight="1" x14ac:dyDescent="0.4"/>
    <row r="67" spans="2:12" ht="18" customHeight="1" x14ac:dyDescent="0.4">
      <c r="B67" s="334" t="s">
        <v>361</v>
      </c>
      <c r="C67" s="335"/>
      <c r="D67" s="336"/>
      <c r="F67" s="337">
        <f>SUM(F21,F28,F36,F58,F63,F65)</f>
        <v>4598485.2671599342</v>
      </c>
      <c r="G67" s="337">
        <f>SUM(G21,G28,G36,G58,G63,G65)</f>
        <v>2344768.5599999996</v>
      </c>
      <c r="H67" s="337">
        <f>SUM(H21,H28,H36,H58,H63,H65)</f>
        <v>6943253.8271599347</v>
      </c>
      <c r="I67" s="337">
        <f>SUM(I21,I28,I36,I58,I63,I65)</f>
        <v>5554603.0617279476</v>
      </c>
      <c r="J67" s="337"/>
      <c r="K67" s="338">
        <f>SUM(K10:K66)</f>
        <v>1</v>
      </c>
    </row>
    <row r="68" spans="2:12" ht="13.5" customHeight="1" x14ac:dyDescent="0.4">
      <c r="F68" s="342">
        <f>F67/H67</f>
        <v>0.66229542828637977</v>
      </c>
      <c r="G68" s="342">
        <f>G67/H67</f>
        <v>0.33770457171362012</v>
      </c>
      <c r="H68" s="316"/>
      <c r="I68" s="537" t="b">
        <f>SUM('TV ABERTA - SP1'!BU108,RÁDIO!BR197,JORNAL!CK37,DIGITAL!K8,'CUSTO GERAÇÃO SP1'!I40)=I67</f>
        <v>1</v>
      </c>
    </row>
    <row r="69" spans="2:12" ht="17" customHeight="1" x14ac:dyDescent="0.4">
      <c r="F69" s="319"/>
      <c r="G69" s="319"/>
      <c r="H69" s="485"/>
      <c r="I69" s="538"/>
    </row>
    <row r="70" spans="2:12" ht="17" customHeight="1" x14ac:dyDescent="0.4">
      <c r="G70" s="319"/>
      <c r="H70" s="485"/>
      <c r="I70" s="485"/>
    </row>
    <row r="71" spans="2:12" ht="17" customHeight="1" x14ac:dyDescent="0.4">
      <c r="G71" s="319"/>
      <c r="H71" s="319"/>
    </row>
    <row r="72" spans="2:12" ht="17" customHeight="1" x14ac:dyDescent="0.4">
      <c r="G72" s="319"/>
      <c r="H72" s="485"/>
    </row>
    <row r="73" spans="2:12" ht="17" customHeight="1" x14ac:dyDescent="0.4">
      <c r="G73" s="319"/>
    </row>
  </sheetData>
  <mergeCells count="9">
    <mergeCell ref="I10:I11"/>
    <mergeCell ref="J10:J11"/>
    <mergeCell ref="N12:O12"/>
    <mergeCell ref="B10:B11"/>
    <mergeCell ref="C10:C11"/>
    <mergeCell ref="D10:D11"/>
    <mergeCell ref="F10:F11"/>
    <mergeCell ref="G10:G11"/>
    <mergeCell ref="H10:H11"/>
  </mergeCells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702EBD-798F-464C-BF31-5172D0ADFDC0}">
  <dimension ref="B1:S74"/>
  <sheetViews>
    <sheetView showGridLines="0" zoomScaleNormal="100" workbookViewId="0">
      <pane ySplit="11" topLeftCell="A12" activePane="bottomLeft" state="frozen"/>
      <selection pane="bottomLeft" activeCell="P12" sqref="P12:Q13"/>
    </sheetView>
  </sheetViews>
  <sheetFormatPr defaultColWidth="8.6640625" defaultRowHeight="22.5" customHeight="1" x14ac:dyDescent="0.4"/>
  <cols>
    <col min="1" max="1" width="3.33203125" style="317" customWidth="1"/>
    <col min="2" max="2" width="24.5" style="317" customWidth="1"/>
    <col min="3" max="3" width="18.83203125" style="316" customWidth="1"/>
    <col min="4" max="4" width="17.9140625" style="317" bestFit="1" customWidth="1"/>
    <col min="5" max="5" width="1.6640625" style="317" customWidth="1"/>
    <col min="6" max="7" width="15.5" style="317" customWidth="1"/>
    <col min="8" max="8" width="15.33203125" style="317" customWidth="1"/>
    <col min="9" max="9" width="19.08203125" style="317" customWidth="1"/>
    <col min="10" max="10" width="11.33203125" style="316" customWidth="1"/>
    <col min="11" max="11" width="10.5" style="316" customWidth="1"/>
    <col min="12" max="12" width="14.1640625" style="541" customWidth="1"/>
    <col min="13" max="13" width="5.83203125" style="317" customWidth="1"/>
    <col min="14" max="14" width="13.83203125" style="317" customWidth="1"/>
    <col min="15" max="15" width="15.83203125" style="317" customWidth="1"/>
    <col min="16" max="16" width="14.9140625" style="317" customWidth="1"/>
    <col min="17" max="17" width="15.08203125" style="317" customWidth="1"/>
    <col min="18" max="16384" width="8.6640625" style="317"/>
  </cols>
  <sheetData>
    <row r="1" spans="2:19" ht="13" customHeight="1" x14ac:dyDescent="0.4"/>
    <row r="2" spans="2:19" ht="13" customHeight="1" x14ac:dyDescent="0.4"/>
    <row r="3" spans="2:19" ht="13" customHeight="1" x14ac:dyDescent="0.4"/>
    <row r="4" spans="2:19" ht="13" customHeight="1" x14ac:dyDescent="0.4"/>
    <row r="5" spans="2:19" ht="13" customHeight="1" x14ac:dyDescent="0.4">
      <c r="B5" s="534" t="s">
        <v>0</v>
      </c>
    </row>
    <row r="6" spans="2:19" ht="13" customHeight="1" x14ac:dyDescent="0.4">
      <c r="B6" s="535" t="s">
        <v>164</v>
      </c>
    </row>
    <row r="7" spans="2:19" ht="13" customHeight="1" x14ac:dyDescent="0.4">
      <c r="B7" s="535"/>
      <c r="F7" s="319"/>
    </row>
    <row r="8" spans="2:19" ht="13" customHeight="1" x14ac:dyDescent="0.4">
      <c r="B8" s="536" t="s">
        <v>354</v>
      </c>
    </row>
    <row r="9" spans="2:19" ht="13" customHeight="1" x14ac:dyDescent="0.4"/>
    <row r="10" spans="2:19" ht="22.5" customHeight="1" x14ac:dyDescent="0.4">
      <c r="B10" s="615" t="s">
        <v>122</v>
      </c>
      <c r="C10" s="615" t="s">
        <v>123</v>
      </c>
      <c r="D10" s="615" t="s">
        <v>124</v>
      </c>
      <c r="F10" s="617" t="s">
        <v>6</v>
      </c>
      <c r="G10" s="617" t="s">
        <v>143</v>
      </c>
      <c r="H10" s="615" t="s">
        <v>125</v>
      </c>
      <c r="I10" s="615" t="s">
        <v>126</v>
      </c>
      <c r="J10" s="615" t="s">
        <v>127</v>
      </c>
    </row>
    <row r="11" spans="2:19" ht="22.5" customHeight="1" x14ac:dyDescent="0.4">
      <c r="B11" s="615"/>
      <c r="C11" s="615"/>
      <c r="D11" s="615"/>
      <c r="F11" s="617"/>
      <c r="G11" s="617"/>
      <c r="H11" s="615"/>
      <c r="I11" s="615"/>
      <c r="J11" s="615"/>
    </row>
    <row r="12" spans="2:19" ht="13.5" customHeight="1" x14ac:dyDescent="0.4">
      <c r="F12" s="331"/>
      <c r="G12" s="331"/>
      <c r="N12" s="616" t="s">
        <v>359</v>
      </c>
      <c r="O12" s="616"/>
      <c r="P12" s="544" t="s">
        <v>372</v>
      </c>
      <c r="Q12" s="334" t="s">
        <v>373</v>
      </c>
    </row>
    <row r="13" spans="2:19" ht="13.5" customHeight="1" x14ac:dyDescent="0.4">
      <c r="B13" s="317" t="s">
        <v>236</v>
      </c>
      <c r="C13" s="316" t="s">
        <v>216</v>
      </c>
      <c r="D13" s="317" t="s">
        <v>182</v>
      </c>
      <c r="F13" s="318">
        <f>'TV ABERTA - SPE'!CC32*1.25</f>
        <v>3234841.4400000004</v>
      </c>
      <c r="G13" s="318">
        <f>'TV ABERTA - SPE'!CE32*1.25</f>
        <v>1220562</v>
      </c>
      <c r="H13" s="319">
        <f>SUM(F13:G13)</f>
        <v>4455403.4400000004</v>
      </c>
      <c r="I13" s="332">
        <f>H13*0.8</f>
        <v>3564322.7520000003</v>
      </c>
      <c r="J13" s="320">
        <f>I13/$I$23</f>
        <v>0.45681235842143386</v>
      </c>
      <c r="K13" s="347"/>
      <c r="N13" s="557" t="s">
        <v>261</v>
      </c>
      <c r="O13" s="558">
        <f>I16+I21</f>
        <v>1109489.6000000001</v>
      </c>
      <c r="P13" s="559">
        <v>567311.6</v>
      </c>
      <c r="Q13" s="560">
        <f>O13-P13</f>
        <v>542178.00000000012</v>
      </c>
      <c r="R13" s="333"/>
      <c r="S13" s="333"/>
    </row>
    <row r="14" spans="2:19" ht="13.5" customHeight="1" x14ac:dyDescent="0.4">
      <c r="B14" s="317" t="s">
        <v>236</v>
      </c>
      <c r="C14" s="316" t="s">
        <v>216</v>
      </c>
      <c r="D14" s="317" t="s">
        <v>17</v>
      </c>
      <c r="F14" s="318">
        <f>'TV ABERTA - SPE'!CC44*1.25</f>
        <v>118538.85000000002</v>
      </c>
      <c r="G14" s="318">
        <f>'TV ABERTA - SPE'!CE44*1.25</f>
        <v>77298.600000000006</v>
      </c>
      <c r="H14" s="319">
        <f>SUM(F14:G14)</f>
        <v>195837.45</v>
      </c>
      <c r="I14" s="332">
        <f>H14*0.8</f>
        <v>156669.96000000002</v>
      </c>
      <c r="J14" s="320">
        <f t="shared" ref="J14:J16" si="0">I14/$I$23</f>
        <v>2.0079206879128241E-2</v>
      </c>
      <c r="K14" s="347"/>
      <c r="P14" s="333"/>
      <c r="Q14" s="333"/>
      <c r="R14" s="333"/>
      <c r="S14" s="333"/>
    </row>
    <row r="15" spans="2:19" ht="13.5" customHeight="1" x14ac:dyDescent="0.4">
      <c r="B15" s="317" t="s">
        <v>236</v>
      </c>
      <c r="C15" s="316" t="s">
        <v>216</v>
      </c>
      <c r="D15" s="317" t="s">
        <v>254</v>
      </c>
      <c r="F15" s="318">
        <f>'TV ABERTA - SPE'!CC57*1.25</f>
        <v>602332.6</v>
      </c>
      <c r="G15" s="318">
        <f>'TV ABERTA - SPE'!CE57*1.25</f>
        <v>574113.19999999995</v>
      </c>
      <c r="H15" s="319">
        <f>SUM(F15:G15)</f>
        <v>1176445.7999999998</v>
      </c>
      <c r="I15" s="319">
        <f>H15*0.8</f>
        <v>941156.6399999999</v>
      </c>
      <c r="J15" s="320">
        <f t="shared" si="0"/>
        <v>0.12062094660792164</v>
      </c>
      <c r="K15" s="347"/>
      <c r="P15" s="333"/>
      <c r="Q15" s="333"/>
      <c r="R15" s="333"/>
      <c r="S15" s="333"/>
    </row>
    <row r="16" spans="2:19" ht="13.5" customHeight="1" x14ac:dyDescent="0.4">
      <c r="B16" s="317" t="s">
        <v>236</v>
      </c>
      <c r="C16" s="316" t="s">
        <v>216</v>
      </c>
      <c r="D16" s="317" t="s">
        <v>261</v>
      </c>
      <c r="F16" s="318">
        <f>'TV ABERTA - SPE'!CC70*1.25</f>
        <v>510641.49999999994</v>
      </c>
      <c r="G16" s="318">
        <f>'TV ABERTA - SPE'!CE70*1.25</f>
        <v>573264.00000000012</v>
      </c>
      <c r="H16" s="319">
        <f>SUM(F16:G16)</f>
        <v>1083905.5</v>
      </c>
      <c r="I16" s="543">
        <f t="shared" ref="I16" si="1">H16*0.8</f>
        <v>867124.4</v>
      </c>
      <c r="J16" s="320">
        <f t="shared" si="0"/>
        <v>0.11113279289494903</v>
      </c>
      <c r="K16" s="347"/>
      <c r="P16" s="333"/>
      <c r="Q16" s="333"/>
      <c r="R16" s="333"/>
      <c r="S16" s="333"/>
    </row>
    <row r="17" spans="2:19" ht="13.5" customHeight="1" x14ac:dyDescent="0.4">
      <c r="F17" s="318"/>
      <c r="G17" s="318"/>
      <c r="H17" s="319"/>
      <c r="I17" s="319"/>
      <c r="J17" s="320"/>
    </row>
    <row r="18" spans="2:19" ht="13.5" customHeight="1" x14ac:dyDescent="0.4">
      <c r="B18" s="539" t="s">
        <v>236</v>
      </c>
      <c r="C18" s="540" t="s">
        <v>216</v>
      </c>
      <c r="D18" s="539" t="s">
        <v>182</v>
      </c>
      <c r="F18" s="318">
        <f>'TV ABERTA - COLCHÃO REP - SPE'!CC17*1.25</f>
        <v>830408.40000000014</v>
      </c>
      <c r="G18" s="318">
        <f>'TV ABERTA - COLCHÃO REP - SPE'!CE17*1.25</f>
        <v>830408.40000000014</v>
      </c>
      <c r="H18" s="319">
        <f>SUM(F18:G18)</f>
        <v>1660816.8000000003</v>
      </c>
      <c r="I18" s="332">
        <f>H18*0.8</f>
        <v>1328653.4400000004</v>
      </c>
      <c r="J18" s="320">
        <f>I18/$I$23</f>
        <v>0.17028348824768583</v>
      </c>
      <c r="K18" s="347"/>
      <c r="P18" s="333"/>
      <c r="Q18" s="333"/>
      <c r="R18" s="333"/>
      <c r="S18" s="333"/>
    </row>
    <row r="19" spans="2:19" ht="13.5" customHeight="1" x14ac:dyDescent="0.4">
      <c r="B19" s="539" t="s">
        <v>236</v>
      </c>
      <c r="C19" s="540" t="s">
        <v>216</v>
      </c>
      <c r="D19" s="539" t="s">
        <v>17</v>
      </c>
      <c r="F19" s="318">
        <f>'TV ABERTA - COLCHÃO REP - SPE'!CC20*1.25</f>
        <v>114500.40000000002</v>
      </c>
      <c r="G19" s="318">
        <f>'TV ABERTA - COLCHÃO REP - SPE'!CE20*1.25</f>
        <v>114500.40000000002</v>
      </c>
      <c r="H19" s="319">
        <f>SUM(F19:G19)</f>
        <v>229000.80000000005</v>
      </c>
      <c r="I19" s="332">
        <f>H19*0.8</f>
        <v>183200.64000000004</v>
      </c>
      <c r="J19" s="320">
        <f t="shared" ref="J19:J21" si="2">I19/$I$23</f>
        <v>2.3479443991360545E-2</v>
      </c>
      <c r="K19" s="347"/>
      <c r="P19" s="333"/>
      <c r="Q19" s="333"/>
      <c r="R19" s="333"/>
      <c r="S19" s="333"/>
    </row>
    <row r="20" spans="2:19" ht="13.5" customHeight="1" x14ac:dyDescent="0.4">
      <c r="B20" s="539" t="s">
        <v>236</v>
      </c>
      <c r="C20" s="540" t="s">
        <v>216</v>
      </c>
      <c r="D20" s="539" t="s">
        <v>254</v>
      </c>
      <c r="F20" s="318">
        <f>'TV ABERTA - COLCHÃO REP - SPE'!CC23*1.25</f>
        <v>324439.99999999994</v>
      </c>
      <c r="G20" s="318">
        <f>'TV ABERTA - COLCHÃO REP - SPE'!CE23*1.25</f>
        <v>324439.99999999994</v>
      </c>
      <c r="H20" s="319">
        <f>SUM(F20:G20)</f>
        <v>648879.99999999988</v>
      </c>
      <c r="I20" s="319">
        <f>H20*0.8</f>
        <v>519103.99999999994</v>
      </c>
      <c r="J20" s="320">
        <f t="shared" si="2"/>
        <v>6.6529643639297448E-2</v>
      </c>
      <c r="K20" s="347"/>
      <c r="P20" s="333"/>
      <c r="Q20" s="333"/>
      <c r="R20" s="333"/>
      <c r="S20" s="333"/>
    </row>
    <row r="21" spans="2:19" ht="13.5" customHeight="1" x14ac:dyDescent="0.4">
      <c r="B21" s="539" t="s">
        <v>236</v>
      </c>
      <c r="C21" s="540" t="s">
        <v>216</v>
      </c>
      <c r="D21" s="539" t="s">
        <v>261</v>
      </c>
      <c r="F21" s="318">
        <f>'TV ABERTA - COLCHÃO REP - SPE'!CC25*1.25</f>
        <v>100985.50000000001</v>
      </c>
      <c r="G21" s="318">
        <f>'TV ABERTA - COLCHÃO REP - SPE'!CE25*1.25</f>
        <v>201971.00000000003</v>
      </c>
      <c r="H21" s="319">
        <f>SUM(F21:G21)</f>
        <v>302956.50000000006</v>
      </c>
      <c r="I21" s="543">
        <f t="shared" ref="I21" si="3">H21*0.8</f>
        <v>242365.20000000007</v>
      </c>
      <c r="J21" s="320">
        <f t="shared" si="2"/>
        <v>3.1062119318223436E-2</v>
      </c>
      <c r="K21" s="347"/>
      <c r="P21" s="333"/>
      <c r="Q21" s="333"/>
      <c r="R21" s="333"/>
      <c r="S21" s="333"/>
    </row>
    <row r="22" spans="2:19" ht="13.5" customHeight="1" x14ac:dyDescent="0.4">
      <c r="F22" s="318"/>
      <c r="G22" s="318"/>
      <c r="H22" s="319"/>
      <c r="I22" s="319"/>
      <c r="J22" s="320"/>
    </row>
    <row r="23" spans="2:19" ht="13.5" customHeight="1" x14ac:dyDescent="0.4">
      <c r="B23" s="334" t="s">
        <v>217</v>
      </c>
      <c r="C23" s="335"/>
      <c r="D23" s="336"/>
      <c r="F23" s="337">
        <f>SUM(F13:F21)</f>
        <v>5836688.6900000013</v>
      </c>
      <c r="G23" s="337">
        <f>SUM(G13:G21)</f>
        <v>3916557.6</v>
      </c>
      <c r="H23" s="337">
        <f>SUM(H13:H21)</f>
        <v>9753246.290000001</v>
      </c>
      <c r="I23" s="337">
        <f>SUM(I13:I21)</f>
        <v>7802597.0320000006</v>
      </c>
      <c r="J23" s="341">
        <f>SUM(J13:J21)</f>
        <v>1</v>
      </c>
      <c r="K23" s="338">
        <f>I23/I68</f>
        <v>0.75373272471706121</v>
      </c>
      <c r="L23" s="542" t="b">
        <f>I23=SUM('TV ABERTA - SPE'!BU72,'TV ABERTA - COLCHÃO REP - SPE'!BU27)</f>
        <v>1</v>
      </c>
      <c r="M23" s="486"/>
      <c r="N23" s="486"/>
      <c r="O23" s="339"/>
    </row>
    <row r="24" spans="2:19" ht="13.5" customHeight="1" x14ac:dyDescent="0.4">
      <c r="F24" s="331"/>
      <c r="G24" s="331"/>
    </row>
    <row r="25" spans="2:19" ht="13.5" customHeight="1" x14ac:dyDescent="0.4">
      <c r="B25" s="317" t="s">
        <v>236</v>
      </c>
      <c r="C25" s="316" t="s">
        <v>357</v>
      </c>
      <c r="D25" s="317" t="s">
        <v>313</v>
      </c>
      <c r="F25" s="318">
        <f>'TV PAGA - COLCHÃO REP - SPE'!CC37*1.25</f>
        <v>38904.000000000015</v>
      </c>
      <c r="G25" s="318">
        <f>'TV PAGA - COLCHÃO REP - SPE'!CE37*1.25</f>
        <v>38904</v>
      </c>
      <c r="H25" s="319">
        <f>SUM(F25:G25)</f>
        <v>77808.000000000015</v>
      </c>
      <c r="I25" s="332">
        <f>H25*0.8</f>
        <v>62246.400000000016</v>
      </c>
      <c r="J25" s="320">
        <f>I25/$I$30</f>
        <v>0.41072114795842957</v>
      </c>
      <c r="K25" s="347"/>
      <c r="P25" s="333"/>
      <c r="Q25" s="333"/>
      <c r="R25" s="333"/>
      <c r="S25" s="333"/>
    </row>
    <row r="26" spans="2:19" ht="13.5" customHeight="1" x14ac:dyDescent="0.4">
      <c r="B26" s="317" t="s">
        <v>236</v>
      </c>
      <c r="C26" s="316" t="s">
        <v>357</v>
      </c>
      <c r="D26" s="317" t="s">
        <v>320</v>
      </c>
      <c r="F26" s="318">
        <f>'TV PAGA - COLCHÃO REP - SPE'!CC40*1.25</f>
        <v>22260</v>
      </c>
      <c r="G26" s="318">
        <f>'TV PAGA - COLCHÃO REP - SPE'!CE40*1.25</f>
        <v>22260</v>
      </c>
      <c r="H26" s="319">
        <f>SUM(F26:G26)</f>
        <v>44520</v>
      </c>
      <c r="I26" s="332">
        <f>H26*0.8</f>
        <v>35616</v>
      </c>
      <c r="J26" s="320">
        <f t="shared" ref="J26:J28" si="4">I26/$I$30</f>
        <v>0.23500546868071767</v>
      </c>
      <c r="K26" s="347"/>
      <c r="P26" s="333"/>
      <c r="Q26" s="333"/>
      <c r="R26" s="333"/>
      <c r="S26" s="333"/>
    </row>
    <row r="27" spans="2:19" ht="13.5" customHeight="1" x14ac:dyDescent="0.4">
      <c r="B27" s="317" t="s">
        <v>236</v>
      </c>
      <c r="C27" s="316" t="s">
        <v>357</v>
      </c>
      <c r="D27" s="317" t="s">
        <v>322</v>
      </c>
      <c r="F27" s="318">
        <f>'TV PAGA - COLCHÃO REP - SPE'!CC43*1.25</f>
        <v>22000</v>
      </c>
      <c r="G27" s="318">
        <f>'TV PAGA - COLCHÃO REP - SPE'!CE43*1.25</f>
        <v>22000</v>
      </c>
      <c r="H27" s="319">
        <f>SUM(F27:G27)</f>
        <v>44000</v>
      </c>
      <c r="I27" s="319">
        <f>H27*0.8</f>
        <v>35200</v>
      </c>
      <c r="J27" s="320">
        <f t="shared" si="4"/>
        <v>0.2322605710231711</v>
      </c>
      <c r="K27" s="347"/>
      <c r="P27" s="333"/>
      <c r="Q27" s="333"/>
      <c r="R27" s="333"/>
      <c r="S27" s="333"/>
    </row>
    <row r="28" spans="2:19" ht="13.5" customHeight="1" x14ac:dyDescent="0.4">
      <c r="B28" s="317" t="s">
        <v>236</v>
      </c>
      <c r="C28" s="316" t="s">
        <v>357</v>
      </c>
      <c r="D28" s="317" t="s">
        <v>324</v>
      </c>
      <c r="F28" s="318">
        <f>'TV PAGA - COLCHÃO REP - SPE'!CC46*1.25</f>
        <v>11557.200000000003</v>
      </c>
      <c r="G28" s="318">
        <f>'TV PAGA - COLCHÃO REP - SPE'!CE46*1.25</f>
        <v>11557.200000000003</v>
      </c>
      <c r="H28" s="319">
        <f>SUM(F28:G28)</f>
        <v>23114.400000000005</v>
      </c>
      <c r="I28" s="319">
        <f t="shared" ref="I28" si="5">H28*0.8</f>
        <v>18491.520000000004</v>
      </c>
      <c r="J28" s="320">
        <f t="shared" si="4"/>
        <v>0.12201281233768152</v>
      </c>
      <c r="K28" s="347"/>
      <c r="P28" s="333"/>
      <c r="Q28" s="333"/>
      <c r="R28" s="333"/>
      <c r="S28" s="333"/>
    </row>
    <row r="29" spans="2:19" ht="13.5" customHeight="1" x14ac:dyDescent="0.4">
      <c r="F29" s="318"/>
      <c r="G29" s="318"/>
      <c r="H29" s="319"/>
      <c r="I29" s="319"/>
      <c r="J29" s="320"/>
    </row>
    <row r="30" spans="2:19" ht="13.5" customHeight="1" x14ac:dyDescent="0.4">
      <c r="B30" s="334" t="s">
        <v>356</v>
      </c>
      <c r="C30" s="335"/>
      <c r="D30" s="336"/>
      <c r="F30" s="337">
        <f>SUM(F25:F29)</f>
        <v>94721.200000000012</v>
      </c>
      <c r="G30" s="337">
        <f>SUM(G25:G29)</f>
        <v>94721.2</v>
      </c>
      <c r="H30" s="337">
        <f>SUM(H25:H29)</f>
        <v>189442.4</v>
      </c>
      <c r="I30" s="337">
        <f>SUM(I25:I29)</f>
        <v>151553.92000000004</v>
      </c>
      <c r="J30" s="341">
        <f>SUM(J25:J29)</f>
        <v>0.99999999999999978</v>
      </c>
      <c r="K30" s="338">
        <f>I30/I68</f>
        <v>1.464014463321211E-2</v>
      </c>
      <c r="L30" s="542" t="b">
        <f>I30='TV PAGA - COLCHÃO REP - SPE'!BU48</f>
        <v>1</v>
      </c>
      <c r="M30" s="486"/>
      <c r="N30" s="486"/>
      <c r="O30" s="339"/>
    </row>
    <row r="31" spans="2:19" ht="13.5" customHeight="1" x14ac:dyDescent="0.4">
      <c r="B31" s="530"/>
      <c r="F31" s="531"/>
      <c r="G31" s="531"/>
      <c r="H31" s="531"/>
      <c r="I31" s="531"/>
      <c r="J31" s="532"/>
      <c r="K31" s="533"/>
      <c r="L31" s="542"/>
      <c r="M31" s="486"/>
      <c r="N31" s="486"/>
      <c r="O31" s="339"/>
    </row>
    <row r="32" spans="2:19" ht="13.5" customHeight="1" x14ac:dyDescent="0.4">
      <c r="B32" s="317" t="s">
        <v>167</v>
      </c>
      <c r="C32" s="316" t="s">
        <v>166</v>
      </c>
      <c r="D32" s="317" t="str">
        <f>JORNAL!C14</f>
        <v>FOLHA DE SP</v>
      </c>
      <c r="F32" s="318">
        <f>SUM(JORNAL!CN14:CN16)*1.25</f>
        <v>205409.91000000006</v>
      </c>
      <c r="G32" s="318" cm="1">
        <f t="array" ref="G32">SUM(JORNAL!CP14:CP16*1.25)</f>
        <v>0</v>
      </c>
      <c r="H32" s="319">
        <f>SUM(F32:G32)</f>
        <v>205409.91000000006</v>
      </c>
      <c r="I32" s="332">
        <f>H32*0.8</f>
        <v>164327.92800000007</v>
      </c>
      <c r="J32" s="320">
        <f>I32/$I$38</f>
        <v>0.30990316563655551</v>
      </c>
      <c r="K32" s="347"/>
      <c r="P32" s="333"/>
      <c r="Q32" s="333"/>
      <c r="R32" s="333"/>
      <c r="S32" s="333"/>
    </row>
    <row r="33" spans="2:19" ht="13.5" customHeight="1" x14ac:dyDescent="0.4">
      <c r="B33" s="317" t="s">
        <v>167</v>
      </c>
      <c r="C33" s="316" t="s">
        <v>166</v>
      </c>
      <c r="D33" s="317" t="str">
        <f>JORNAL!C19</f>
        <v>O ESTADO DE SP</v>
      </c>
      <c r="F33" s="318">
        <f>SUM(JORNAL!CN19:CN21)*1.25</f>
        <v>232919.50715993429</v>
      </c>
      <c r="G33" s="318">
        <f>SUM(JORNAL!CP19:CP21)*1.25</f>
        <v>0</v>
      </c>
      <c r="H33" s="319">
        <f>SUM(F33:G33)</f>
        <v>232919.50715993429</v>
      </c>
      <c r="I33" s="332">
        <f>H33*0.8</f>
        <v>186335.60572794743</v>
      </c>
      <c r="J33" s="320">
        <f>I33/$I$38</f>
        <v>0.35140706019183765</v>
      </c>
      <c r="K33" s="347"/>
      <c r="P33" s="333"/>
      <c r="Q33" s="333"/>
      <c r="R33" s="333"/>
      <c r="S33" s="333"/>
    </row>
    <row r="34" spans="2:19" ht="13.5" customHeight="1" x14ac:dyDescent="0.4">
      <c r="B34" s="317" t="s">
        <v>167</v>
      </c>
      <c r="C34" s="316" t="s">
        <v>166</v>
      </c>
      <c r="D34" s="317" t="str">
        <f>JORNAL!C23</f>
        <v>VALOR</v>
      </c>
      <c r="F34" s="318">
        <f>SUM(JORNAL!CN23:CN25)*1.25</f>
        <v>138378.23999999999</v>
      </c>
      <c r="G34" s="318">
        <f>SUM(JORNAL!CP23:CP25)*1.25</f>
        <v>0</v>
      </c>
      <c r="H34" s="319">
        <f>SUM(F34:G34)</f>
        <v>138378.23999999999</v>
      </c>
      <c r="I34" s="319">
        <f>H34*0.8</f>
        <v>110702.592</v>
      </c>
      <c r="J34" s="320">
        <f>I34/$I$38</f>
        <v>0.20877208227789504</v>
      </c>
      <c r="K34" s="347"/>
      <c r="P34" s="333"/>
      <c r="Q34" s="333"/>
      <c r="R34" s="333"/>
      <c r="S34" s="333"/>
    </row>
    <row r="35" spans="2:19" ht="13.5" customHeight="1" x14ac:dyDescent="0.4">
      <c r="B35" s="317" t="s">
        <v>167</v>
      </c>
      <c r="C35" s="316" t="s">
        <v>166</v>
      </c>
      <c r="D35" s="317" t="str">
        <f>JORNAL!C27</f>
        <v>GAZETA DE SP</v>
      </c>
      <c r="F35" s="318">
        <f>SUM(JORNAL!CN27:CN28)*1.25</f>
        <v>0</v>
      </c>
      <c r="G35" s="318">
        <f>SUM(JORNAL!CP27:CP29)*1.25</f>
        <v>0</v>
      </c>
      <c r="H35" s="319">
        <f>SUM(F35:G35)</f>
        <v>0</v>
      </c>
      <c r="I35" s="319">
        <f t="shared" ref="I35:I36" si="6">H35*0.8</f>
        <v>0</v>
      </c>
      <c r="J35" s="320">
        <f>I35/$I$38</f>
        <v>0</v>
      </c>
      <c r="K35" s="347"/>
      <c r="P35" s="333"/>
      <c r="Q35" s="333"/>
      <c r="R35" s="333"/>
      <c r="S35" s="333"/>
    </row>
    <row r="36" spans="2:19" ht="13.5" customHeight="1" x14ac:dyDescent="0.4">
      <c r="B36" s="317" t="str">
        <f>JORNAL!B31</f>
        <v>ABC</v>
      </c>
      <c r="C36" s="316" t="s">
        <v>166</v>
      </c>
      <c r="D36" s="317" t="str">
        <f>JORNAL!C31</f>
        <v>DIÁRIO DO GRANDE ABC</v>
      </c>
      <c r="F36" s="318">
        <f>SUM(JORNAL!CN31:CN34)*1.25</f>
        <v>86112</v>
      </c>
      <c r="G36" s="318">
        <f>SUM(JORNAL!CP31:CP34)*1.25</f>
        <v>0</v>
      </c>
      <c r="H36" s="319">
        <f>SUM(F36:G36)</f>
        <v>86112</v>
      </c>
      <c r="I36" s="319">
        <f t="shared" si="6"/>
        <v>68889.600000000006</v>
      </c>
      <c r="J36" s="320">
        <f>I36/$I$38</f>
        <v>0.12991769189371175</v>
      </c>
      <c r="K36" s="347"/>
    </row>
    <row r="37" spans="2:19" ht="13.5" customHeight="1" x14ac:dyDescent="0.4">
      <c r="F37" s="318"/>
      <c r="G37" s="318"/>
      <c r="H37" s="319"/>
      <c r="I37" s="319"/>
      <c r="J37" s="320"/>
    </row>
    <row r="38" spans="2:19" ht="13.5" customHeight="1" x14ac:dyDescent="0.4">
      <c r="B38" s="334" t="s">
        <v>151</v>
      </c>
      <c r="C38" s="335"/>
      <c r="D38" s="336"/>
      <c r="F38" s="337">
        <f t="shared" ref="F38:J38" si="7">SUM(F32:F36)</f>
        <v>662819.65715993429</v>
      </c>
      <c r="G38" s="337">
        <f t="shared" si="7"/>
        <v>0</v>
      </c>
      <c r="H38" s="337">
        <f t="shared" si="7"/>
        <v>662819.65715993429</v>
      </c>
      <c r="I38" s="337">
        <f t="shared" si="7"/>
        <v>530255.72572794755</v>
      </c>
      <c r="J38" s="341">
        <f t="shared" si="7"/>
        <v>0.99999999999999989</v>
      </c>
      <c r="K38" s="338">
        <f>I38/I68</f>
        <v>5.1222828926140627E-2</v>
      </c>
      <c r="L38" s="542" t="b">
        <f>I38=JORNAL!CN39</f>
        <v>1</v>
      </c>
      <c r="M38" s="486"/>
      <c r="N38" s="486"/>
      <c r="O38" s="339"/>
    </row>
    <row r="39" spans="2:19" s="339" customFormat="1" ht="13.5" customHeight="1" x14ac:dyDescent="0.4">
      <c r="C39" s="340"/>
      <c r="K39" s="340"/>
      <c r="L39" s="542"/>
    </row>
    <row r="40" spans="2:19" s="339" customFormat="1" ht="13.5" customHeight="1" x14ac:dyDescent="0.4">
      <c r="B40" s="317" t="s">
        <v>128</v>
      </c>
      <c r="C40" s="316" t="s">
        <v>129</v>
      </c>
      <c r="D40" s="317" t="s">
        <v>91</v>
      </c>
      <c r="F40" s="318">
        <f>SUM(RÁDIO!CH14:CH15)*1.25</f>
        <v>94517.28</v>
      </c>
      <c r="G40" s="318">
        <f>SUM(RÁDIO!CJ14:CJ15)*1.25</f>
        <v>89266.319999999992</v>
      </c>
      <c r="H40" s="319">
        <f t="shared" ref="H40:H58" si="8">SUM(F40:G40)</f>
        <v>183783.59999999998</v>
      </c>
      <c r="I40" s="319">
        <f>H40*0.8</f>
        <v>147026.87999999998</v>
      </c>
      <c r="J40" s="320">
        <f>I40/$I$60</f>
        <v>8.22318789218945E-2</v>
      </c>
      <c r="K40" s="316"/>
      <c r="L40" s="542"/>
    </row>
    <row r="41" spans="2:19" s="339" customFormat="1" ht="13.5" customHeight="1" x14ac:dyDescent="0.4">
      <c r="B41" s="317" t="s">
        <v>128</v>
      </c>
      <c r="C41" s="316" t="s">
        <v>129</v>
      </c>
      <c r="D41" s="317" t="s">
        <v>43</v>
      </c>
      <c r="F41" s="318">
        <f>SUM(RÁDIO!CH18:CH19)*1.25</f>
        <v>83832</v>
      </c>
      <c r="G41" s="318">
        <f>SUM(RÁDIO!CJ18:CJ19)*1.25</f>
        <v>55888</v>
      </c>
      <c r="H41" s="319">
        <f t="shared" si="8"/>
        <v>139720</v>
      </c>
      <c r="I41" s="319">
        <f t="shared" ref="I41:I58" si="9">H41*0.8</f>
        <v>111776</v>
      </c>
      <c r="J41" s="320">
        <f t="shared" ref="J41:J58" si="10">I41/$I$60</f>
        <v>6.2516122891090944E-2</v>
      </c>
      <c r="K41" s="316"/>
      <c r="L41" s="542"/>
    </row>
    <row r="42" spans="2:19" s="339" customFormat="1" ht="13.5" customHeight="1" x14ac:dyDescent="0.4">
      <c r="B42" s="317" t="s">
        <v>128</v>
      </c>
      <c r="C42" s="316" t="s">
        <v>129</v>
      </c>
      <c r="D42" s="317" t="s">
        <v>17</v>
      </c>
      <c r="F42" s="318">
        <f>SUM(RÁDIO!CH22:CH23)*1.25</f>
        <v>59052</v>
      </c>
      <c r="G42" s="318">
        <f>SUM(RÁDIO!CJ22:CJ23)*1.25</f>
        <v>59052</v>
      </c>
      <c r="H42" s="319">
        <f t="shared" si="8"/>
        <v>118104</v>
      </c>
      <c r="I42" s="319">
        <f t="shared" si="9"/>
        <v>94483.200000000012</v>
      </c>
      <c r="J42" s="320">
        <f t="shared" si="10"/>
        <v>5.284428985062558E-2</v>
      </c>
      <c r="K42" s="316"/>
      <c r="L42" s="542"/>
    </row>
    <row r="43" spans="2:19" s="339" customFormat="1" ht="13.5" customHeight="1" x14ac:dyDescent="0.4">
      <c r="B43" s="317" t="s">
        <v>128</v>
      </c>
      <c r="C43" s="316" t="s">
        <v>129</v>
      </c>
      <c r="D43" s="317" t="s">
        <v>46</v>
      </c>
      <c r="F43" s="318">
        <f>SUM(RÁDIO!CH26:CH27)*1.25</f>
        <v>104319.00000000001</v>
      </c>
      <c r="G43" s="318">
        <f>SUM(RÁDIO!CJ26:CJ27)*1.25</f>
        <v>48682.200000000004</v>
      </c>
      <c r="H43" s="319">
        <f t="shared" si="8"/>
        <v>153001.20000000001</v>
      </c>
      <c r="I43" s="319">
        <f t="shared" si="9"/>
        <v>122400.96000000002</v>
      </c>
      <c r="J43" s="320">
        <f t="shared" si="10"/>
        <v>6.8458644586919457E-2</v>
      </c>
      <c r="K43" s="316"/>
      <c r="L43" s="542"/>
    </row>
    <row r="44" spans="2:19" s="339" customFormat="1" ht="13.5" customHeight="1" x14ac:dyDescent="0.4">
      <c r="B44" s="317" t="s">
        <v>128</v>
      </c>
      <c r="C44" s="316" t="s">
        <v>129</v>
      </c>
      <c r="D44" s="317" t="s">
        <v>50</v>
      </c>
      <c r="F44" s="318">
        <f>SUM(RÁDIO!CH35:CH36)*1.25</f>
        <v>60773.240000000005</v>
      </c>
      <c r="G44" s="318">
        <f>SUM(RÁDIO!CJ35:CJ36)*1.25</f>
        <v>53867.19</v>
      </c>
      <c r="H44" s="319">
        <f t="shared" si="8"/>
        <v>114640.43000000001</v>
      </c>
      <c r="I44" s="319">
        <f t="shared" si="9"/>
        <v>91712.344000000012</v>
      </c>
      <c r="J44" s="320">
        <f t="shared" si="10"/>
        <v>5.1294554896704196E-2</v>
      </c>
      <c r="K44" s="316"/>
      <c r="L44" s="542"/>
    </row>
    <row r="45" spans="2:19" s="339" customFormat="1" ht="13.5" customHeight="1" x14ac:dyDescent="0.4">
      <c r="B45" s="317" t="s">
        <v>128</v>
      </c>
      <c r="C45" s="316" t="s">
        <v>129</v>
      </c>
      <c r="D45" s="317" t="s">
        <v>53</v>
      </c>
      <c r="F45" s="318">
        <f>SUM(RÁDIO!CH39:CH40)*1.25</f>
        <v>77714.000000000015</v>
      </c>
      <c r="G45" s="318">
        <f>SUM(RÁDIO!CJ39:CJ40)*1.25</f>
        <v>77714</v>
      </c>
      <c r="H45" s="319">
        <f t="shared" si="8"/>
        <v>155428</v>
      </c>
      <c r="I45" s="319">
        <f t="shared" si="9"/>
        <v>124342.40000000001</v>
      </c>
      <c r="J45" s="320">
        <f t="shared" si="10"/>
        <v>6.9544488610911004E-2</v>
      </c>
      <c r="K45" s="316"/>
      <c r="L45" s="542"/>
    </row>
    <row r="46" spans="2:19" s="339" customFormat="1" ht="13.5" customHeight="1" x14ac:dyDescent="0.4">
      <c r="B46" s="317" t="s">
        <v>128</v>
      </c>
      <c r="C46" s="316" t="s">
        <v>129</v>
      </c>
      <c r="D46" s="317" t="s">
        <v>54</v>
      </c>
      <c r="F46" s="318">
        <f>SUM(RÁDIO!CH43:CH44)*1.25</f>
        <v>72852</v>
      </c>
      <c r="G46" s="318">
        <f>SUM(RÁDIO!CJ43:CJ44)*1.25</f>
        <v>72852</v>
      </c>
      <c r="H46" s="319">
        <f t="shared" si="8"/>
        <v>145704</v>
      </c>
      <c r="I46" s="319">
        <f t="shared" si="9"/>
        <v>116563.20000000001</v>
      </c>
      <c r="J46" s="320">
        <f t="shared" si="10"/>
        <v>6.5193595546260488E-2</v>
      </c>
      <c r="K46" s="316"/>
      <c r="L46" s="542"/>
    </row>
    <row r="47" spans="2:19" s="339" customFormat="1" ht="13.5" customHeight="1" x14ac:dyDescent="0.4">
      <c r="B47" s="317" t="s">
        <v>128</v>
      </c>
      <c r="C47" s="316" t="s">
        <v>129</v>
      </c>
      <c r="D47" s="317" t="s">
        <v>55</v>
      </c>
      <c r="F47" s="318">
        <f>SUM(RÁDIO!CH47:CH48)*1.25</f>
        <v>91929.600000000006</v>
      </c>
      <c r="G47" s="318">
        <f>SUM(RÁDIO!CJ47:CJ48)*1.25</f>
        <v>94348.800000000017</v>
      </c>
      <c r="H47" s="319">
        <f t="shared" si="8"/>
        <v>186278.40000000002</v>
      </c>
      <c r="I47" s="319">
        <f t="shared" si="9"/>
        <v>149022.72000000003</v>
      </c>
      <c r="J47" s="320">
        <f t="shared" si="10"/>
        <v>8.3348148771513017E-2</v>
      </c>
      <c r="K47" s="316"/>
      <c r="L47" s="542"/>
    </row>
    <row r="48" spans="2:19" s="339" customFormat="1" ht="13.5" customHeight="1" x14ac:dyDescent="0.4">
      <c r="B48" s="317" t="s">
        <v>128</v>
      </c>
      <c r="C48" s="316" t="s">
        <v>129</v>
      </c>
      <c r="D48" s="317" t="s">
        <v>56</v>
      </c>
      <c r="F48" s="318">
        <f>SUM(RÁDIO!CH51:CH52)*1.25</f>
        <v>60762.000000000007</v>
      </c>
      <c r="G48" s="318">
        <f>SUM(RÁDIO!CJ51:CJ52)*1.25</f>
        <v>62361</v>
      </c>
      <c r="H48" s="319">
        <f t="shared" si="8"/>
        <v>123123</v>
      </c>
      <c r="I48" s="319">
        <f t="shared" si="9"/>
        <v>98498.400000000009</v>
      </c>
      <c r="J48" s="320">
        <f t="shared" si="10"/>
        <v>5.5089984245060057E-2</v>
      </c>
      <c r="K48" s="316"/>
      <c r="L48" s="542"/>
    </row>
    <row r="49" spans="2:15" s="339" customFormat="1" ht="13.5" customHeight="1" x14ac:dyDescent="0.4">
      <c r="B49" s="317" t="s">
        <v>128</v>
      </c>
      <c r="C49" s="316" t="s">
        <v>129</v>
      </c>
      <c r="D49" s="317" t="s">
        <v>57</v>
      </c>
      <c r="F49" s="318">
        <f>SUM(RÁDIO!CH55:CH56)*1.25</f>
        <v>25766.000000000004</v>
      </c>
      <c r="G49" s="318">
        <f>SUM(RÁDIO!CJ55:CJ56)*1.25</f>
        <v>25766.000000000004</v>
      </c>
      <c r="H49" s="319">
        <f t="shared" si="8"/>
        <v>51532.000000000007</v>
      </c>
      <c r="I49" s="319">
        <f t="shared" si="9"/>
        <v>41225.600000000006</v>
      </c>
      <c r="J49" s="320">
        <f t="shared" si="10"/>
        <v>2.3057406561864436E-2</v>
      </c>
      <c r="K49" s="316"/>
      <c r="L49" s="542"/>
    </row>
    <row r="50" spans="2:15" s="339" customFormat="1" ht="13.5" customHeight="1" x14ac:dyDescent="0.4">
      <c r="B50" s="317" t="s">
        <v>128</v>
      </c>
      <c r="C50" s="316" t="s">
        <v>129</v>
      </c>
      <c r="D50" s="317" t="s">
        <v>58</v>
      </c>
      <c r="F50" s="318">
        <f>SUM(RÁDIO!CH59:CH60)*1.25</f>
        <v>0</v>
      </c>
      <c r="G50" s="318">
        <f>SUM(RÁDIO!CJ59:CJ60)*1.25</f>
        <v>0</v>
      </c>
      <c r="H50" s="319">
        <f t="shared" si="8"/>
        <v>0</v>
      </c>
      <c r="I50" s="319">
        <f t="shared" si="9"/>
        <v>0</v>
      </c>
      <c r="J50" s="320">
        <f t="shared" si="10"/>
        <v>0</v>
      </c>
      <c r="K50" s="316"/>
      <c r="L50" s="542"/>
    </row>
    <row r="51" spans="2:15" s="339" customFormat="1" ht="13.5" customHeight="1" x14ac:dyDescent="0.4">
      <c r="B51" s="317" t="s">
        <v>128</v>
      </c>
      <c r="C51" s="316" t="s">
        <v>129</v>
      </c>
      <c r="D51" s="317" t="s">
        <v>59</v>
      </c>
      <c r="F51" s="318">
        <f>SUM(RÁDIO!CH63:CH64)*1.25</f>
        <v>67184.000000000015</v>
      </c>
      <c r="G51" s="318">
        <f>SUM(RÁDIO!CJ63:CJ64)*1.25</f>
        <v>67184</v>
      </c>
      <c r="H51" s="319">
        <f t="shared" si="8"/>
        <v>134368</v>
      </c>
      <c r="I51" s="319">
        <f t="shared" si="9"/>
        <v>107494.40000000001</v>
      </c>
      <c r="J51" s="320">
        <f t="shared" si="10"/>
        <v>6.0121431438806966E-2</v>
      </c>
      <c r="K51" s="316"/>
      <c r="L51" s="542"/>
    </row>
    <row r="52" spans="2:15" s="339" customFormat="1" ht="13.5" customHeight="1" x14ac:dyDescent="0.4">
      <c r="B52" s="317" t="s">
        <v>128</v>
      </c>
      <c r="C52" s="316" t="s">
        <v>129</v>
      </c>
      <c r="D52" s="317" t="s">
        <v>60</v>
      </c>
      <c r="F52" s="318">
        <f>SUM(RÁDIO!CH67:CH68)*1.25</f>
        <v>40716</v>
      </c>
      <c r="G52" s="318">
        <f>SUM(RÁDIO!CJ67:CJ68)*1.25</f>
        <v>40716</v>
      </c>
      <c r="H52" s="319">
        <f t="shared" si="8"/>
        <v>81432</v>
      </c>
      <c r="I52" s="319">
        <f t="shared" si="9"/>
        <v>65145.600000000006</v>
      </c>
      <c r="J52" s="320">
        <f t="shared" si="10"/>
        <v>3.6435821065468929E-2</v>
      </c>
      <c r="K52" s="316"/>
      <c r="L52" s="542"/>
      <c r="O52" s="317"/>
    </row>
    <row r="53" spans="2:15" s="339" customFormat="1" ht="13.5" customHeight="1" x14ac:dyDescent="0.4">
      <c r="B53" s="317" t="s">
        <v>128</v>
      </c>
      <c r="C53" s="316" t="s">
        <v>129</v>
      </c>
      <c r="D53" s="317" t="s">
        <v>62</v>
      </c>
      <c r="F53" s="318">
        <f>SUM(RÁDIO!CH71+RÁDIO!CH72)*1.25</f>
        <v>60115</v>
      </c>
      <c r="G53" s="318">
        <f>SUM(RÁDIO!CJ71+RÁDIO!CJ72)*1.25</f>
        <v>53283.75</v>
      </c>
      <c r="H53" s="319">
        <f t="shared" si="8"/>
        <v>113398.75</v>
      </c>
      <c r="I53" s="319">
        <f t="shared" si="9"/>
        <v>90719</v>
      </c>
      <c r="J53" s="320">
        <f t="shared" si="10"/>
        <v>5.0738979320756508E-2</v>
      </c>
      <c r="K53" s="316"/>
      <c r="L53" s="541"/>
      <c r="M53" s="317"/>
      <c r="N53" s="317"/>
      <c r="O53" s="317"/>
    </row>
    <row r="54" spans="2:15" s="339" customFormat="1" ht="13.5" customHeight="1" x14ac:dyDescent="0.4">
      <c r="B54" s="317" t="s">
        <v>128</v>
      </c>
      <c r="C54" s="316" t="s">
        <v>129</v>
      </c>
      <c r="D54" s="317" t="s">
        <v>63</v>
      </c>
      <c r="F54" s="318">
        <f>SUM(RÁDIO!CH75:CH76)*1.25</f>
        <v>53911.19999999999</v>
      </c>
      <c r="G54" s="318">
        <f>SUM(RÁDIO!CJ75:CJ76)*1.25</f>
        <v>50060.399999999994</v>
      </c>
      <c r="H54" s="319">
        <f t="shared" si="8"/>
        <v>103971.59999999998</v>
      </c>
      <c r="I54" s="319">
        <f t="shared" si="9"/>
        <v>83177.279999999984</v>
      </c>
      <c r="J54" s="320">
        <f t="shared" si="10"/>
        <v>4.6520908408125894E-2</v>
      </c>
      <c r="K54" s="316"/>
      <c r="L54" s="541"/>
      <c r="M54" s="317"/>
      <c r="N54" s="317"/>
      <c r="O54" s="317"/>
    </row>
    <row r="55" spans="2:15" s="339" customFormat="1" ht="13.5" customHeight="1" x14ac:dyDescent="0.4">
      <c r="B55" s="317" t="s">
        <v>128</v>
      </c>
      <c r="C55" s="316" t="s">
        <v>129</v>
      </c>
      <c r="D55" s="317" t="s">
        <v>64</v>
      </c>
      <c r="F55" s="318">
        <f>SUM(RÁDIO!CH79:CH80)*1.25</f>
        <v>30410.640000000003</v>
      </c>
      <c r="G55" s="318">
        <f>SUM(RÁDIO!CJ79:CJ80)*1.25</f>
        <v>30410.640000000003</v>
      </c>
      <c r="H55" s="319">
        <f t="shared" si="8"/>
        <v>60821.280000000006</v>
      </c>
      <c r="I55" s="319">
        <f t="shared" si="9"/>
        <v>48657.024000000005</v>
      </c>
      <c r="J55" s="320">
        <f t="shared" si="10"/>
        <v>2.7213789113036447E-2</v>
      </c>
      <c r="K55" s="316"/>
      <c r="L55" s="541"/>
      <c r="M55" s="317"/>
      <c r="N55" s="317"/>
      <c r="O55" s="317"/>
    </row>
    <row r="56" spans="2:15" s="339" customFormat="1" ht="13.5" customHeight="1" x14ac:dyDescent="0.4">
      <c r="B56" s="317" t="s">
        <v>128</v>
      </c>
      <c r="C56" s="316" t="s">
        <v>129</v>
      </c>
      <c r="D56" s="317" t="s">
        <v>101</v>
      </c>
      <c r="F56" s="318">
        <f>SUM(RÁDIO!CH83:CH84)*1.25</f>
        <v>43110.599999999991</v>
      </c>
      <c r="G56" s="318">
        <f>SUM(RÁDIO!CJ83:CJ84)*1.25</f>
        <v>43110.600000000006</v>
      </c>
      <c r="H56" s="319">
        <f t="shared" si="8"/>
        <v>86221.2</v>
      </c>
      <c r="I56" s="319">
        <f t="shared" si="9"/>
        <v>68976.960000000006</v>
      </c>
      <c r="J56" s="320">
        <f t="shared" si="10"/>
        <v>3.8578694066828879E-2</v>
      </c>
      <c r="K56" s="316"/>
      <c r="L56" s="541"/>
      <c r="M56" s="317"/>
      <c r="N56" s="317"/>
      <c r="O56" s="317"/>
    </row>
    <row r="57" spans="2:15" s="339" customFormat="1" ht="13.5" customHeight="1" x14ac:dyDescent="0.4">
      <c r="B57" s="317" t="s">
        <v>128</v>
      </c>
      <c r="C57" s="316" t="s">
        <v>129</v>
      </c>
      <c r="D57" s="317" t="s">
        <v>66</v>
      </c>
      <c r="F57" s="318">
        <f>SUM(RÁDIO!CH87:CH88)*1.25</f>
        <v>58707.999999999993</v>
      </c>
      <c r="G57" s="318">
        <f>SUM(RÁDIO!CJ87:CJ88)*1.25</f>
        <v>58707.999999999993</v>
      </c>
      <c r="H57" s="319">
        <f t="shared" si="8"/>
        <v>117415.99999999999</v>
      </c>
      <c r="I57" s="319">
        <f t="shared" si="9"/>
        <v>93932.799999999988</v>
      </c>
      <c r="J57" s="320">
        <f t="shared" si="10"/>
        <v>5.2536452085459019E-2</v>
      </c>
      <c r="K57" s="316"/>
      <c r="L57" s="541"/>
      <c r="M57" s="317"/>
      <c r="N57" s="317"/>
      <c r="O57" s="317"/>
    </row>
    <row r="58" spans="2:15" s="339" customFormat="1" ht="13.5" customHeight="1" x14ac:dyDescent="0.4">
      <c r="B58" s="317" t="s">
        <v>128</v>
      </c>
      <c r="C58" s="316" t="s">
        <v>129</v>
      </c>
      <c r="D58" s="317" t="s">
        <v>68</v>
      </c>
      <c r="F58" s="318">
        <f>SUM(RÁDIO!CH91:CH92)*1.25</f>
        <v>88000</v>
      </c>
      <c r="G58" s="318">
        <f>SUM(RÁDIO!CJ91:CJ92)*1.25</f>
        <v>78000</v>
      </c>
      <c r="H58" s="319">
        <f t="shared" si="8"/>
        <v>166000</v>
      </c>
      <c r="I58" s="319">
        <f t="shared" si="9"/>
        <v>132800</v>
      </c>
      <c r="J58" s="320">
        <f t="shared" si="10"/>
        <v>7.4274809618673762E-2</v>
      </c>
      <c r="K58" s="316"/>
      <c r="L58" s="541"/>
      <c r="M58" s="317"/>
      <c r="N58" s="317"/>
      <c r="O58" s="317"/>
    </row>
    <row r="59" spans="2:15" ht="13.5" customHeight="1" x14ac:dyDescent="0.4"/>
    <row r="60" spans="2:15" ht="13.5" customHeight="1" x14ac:dyDescent="0.4">
      <c r="B60" s="334" t="s">
        <v>130</v>
      </c>
      <c r="C60" s="335"/>
      <c r="D60" s="336"/>
      <c r="F60" s="337">
        <f>SUM(F40:F58)</f>
        <v>1173672.5599999998</v>
      </c>
      <c r="G60" s="337">
        <f t="shared" ref="G60:I60" si="11">SUM(G40:G58)</f>
        <v>1061270.8999999999</v>
      </c>
      <c r="H60" s="337">
        <f t="shared" si="11"/>
        <v>2234943.46</v>
      </c>
      <c r="I60" s="337">
        <f t="shared" si="11"/>
        <v>1787954.7679999999</v>
      </c>
      <c r="J60" s="338">
        <f>SUM(J40:J58)</f>
        <v>1.0000000000000002</v>
      </c>
      <c r="K60" s="338">
        <f>I60/I68</f>
        <v>0.17271685484058213</v>
      </c>
      <c r="L60" s="541" t="b">
        <f>I60=RÁDIO!BR197</f>
        <v>1</v>
      </c>
      <c r="M60" s="485"/>
      <c r="N60" s="485"/>
    </row>
    <row r="61" spans="2:15" s="339" customFormat="1" ht="13.5" customHeight="1" x14ac:dyDescent="0.4">
      <c r="L61" s="542"/>
    </row>
    <row r="62" spans="2:15" s="339" customFormat="1" ht="13.5" customHeight="1" x14ac:dyDescent="0.4">
      <c r="B62" s="317" t="s">
        <v>218</v>
      </c>
      <c r="C62" s="316" t="s">
        <v>219</v>
      </c>
      <c r="D62" s="317"/>
      <c r="E62" s="317"/>
      <c r="F62" s="318">
        <f>SUM(DIGITAL!K8)*1.25</f>
        <v>62500</v>
      </c>
      <c r="G62" s="318" cm="1">
        <f t="array" ref="G62">SUM(JORNAL!CP48:CP50*1.25)</f>
        <v>0</v>
      </c>
      <c r="H62" s="319">
        <f>SUM(F62:G62)</f>
        <v>62500</v>
      </c>
      <c r="I62" s="332">
        <f>H62*0.8</f>
        <v>50000</v>
      </c>
      <c r="J62" s="320">
        <v>1</v>
      </c>
      <c r="L62" s="542"/>
    </row>
    <row r="63" spans="2:15" s="339" customFormat="1" ht="13.5" customHeight="1" x14ac:dyDescent="0.4">
      <c r="L63" s="542"/>
    </row>
    <row r="64" spans="2:15" s="339" customFormat="1" ht="13.5" customHeight="1" x14ac:dyDescent="0.4">
      <c r="B64" s="334" t="s">
        <v>220</v>
      </c>
      <c r="C64" s="335"/>
      <c r="D64" s="336"/>
      <c r="E64" s="317"/>
      <c r="F64" s="337">
        <f>F62</f>
        <v>62500</v>
      </c>
      <c r="G64" s="337">
        <f>G62</f>
        <v>0</v>
      </c>
      <c r="H64" s="337">
        <f>H62</f>
        <v>62500</v>
      </c>
      <c r="I64" s="337">
        <f>I62</f>
        <v>50000</v>
      </c>
      <c r="J64" s="338">
        <f>J62</f>
        <v>1</v>
      </c>
      <c r="K64" s="338">
        <f>I64/I68</f>
        <v>4.8300118641642882E-3</v>
      </c>
      <c r="L64" s="542"/>
    </row>
    <row r="65" spans="2:12" s="339" customFormat="1" ht="13.5" customHeight="1" x14ac:dyDescent="0.4">
      <c r="L65" s="542"/>
    </row>
    <row r="66" spans="2:12" s="339" customFormat="1" ht="13.5" customHeight="1" x14ac:dyDescent="0.4">
      <c r="B66" s="334" t="s">
        <v>221</v>
      </c>
      <c r="C66" s="335"/>
      <c r="D66" s="336"/>
      <c r="E66" s="317"/>
      <c r="F66" s="337">
        <f>'CUSTO GERAÇÃO SPE'!I93*1.25</f>
        <v>36975</v>
      </c>
      <c r="G66" s="337">
        <v>0</v>
      </c>
      <c r="H66" s="337">
        <f>SUM(F66:G66)</f>
        <v>36975</v>
      </c>
      <c r="I66" s="337">
        <f>H66*0.8</f>
        <v>29580</v>
      </c>
      <c r="J66" s="338">
        <v>1</v>
      </c>
      <c r="K66" s="338">
        <f>I66/I68</f>
        <v>2.8574350188395928E-3</v>
      </c>
      <c r="L66" s="542"/>
    </row>
    <row r="67" spans="2:12" ht="13.5" customHeight="1" x14ac:dyDescent="0.4"/>
    <row r="68" spans="2:12" ht="18" customHeight="1" x14ac:dyDescent="0.4">
      <c r="B68" s="334" t="s">
        <v>358</v>
      </c>
      <c r="C68" s="335"/>
      <c r="D68" s="336"/>
      <c r="F68" s="337">
        <f>SUM(F23,F30,F38,F60,F64,F66)</f>
        <v>7867377.1071599359</v>
      </c>
      <c r="G68" s="337">
        <f>SUM(G23,G30,G38,G60,G64,G66)</f>
        <v>5072549.7</v>
      </c>
      <c r="H68" s="337">
        <f>SUM(H23,H30,H38,H60,H64,H66)</f>
        <v>12939926.807159934</v>
      </c>
      <c r="I68" s="337">
        <f>SUM(I23,I30,I38,I60,I64,I66)</f>
        <v>10351941.445727948</v>
      </c>
      <c r="J68" s="337"/>
      <c r="K68" s="338">
        <f>SUM(K10:K67)</f>
        <v>1</v>
      </c>
    </row>
    <row r="69" spans="2:12" ht="13.5" customHeight="1" x14ac:dyDescent="0.4">
      <c r="F69" s="342">
        <f>F68/H68</f>
        <v>0.60799239627899215</v>
      </c>
      <c r="G69" s="342">
        <f>G68/H68</f>
        <v>0.39200760372100801</v>
      </c>
      <c r="H69" s="316"/>
      <c r="I69" s="537" t="b">
        <f>SUM('TV ABERTA - SPE'!BU72,'TV PAGA - COLCHÃO REP - SPE'!BU48,'TV ABERTA - COLCHÃO REP - SPE'!BU27,RÁDIO!BR197,JORNAL!CK37,DIGITAL!K8,'CUSTO GERAÇÃO SPE'!I93)=I68</f>
        <v>1</v>
      </c>
    </row>
    <row r="70" spans="2:12" ht="17" customHeight="1" x14ac:dyDescent="0.4">
      <c r="H70" s="485"/>
      <c r="I70" s="538"/>
    </row>
    <row r="71" spans="2:12" ht="17" customHeight="1" x14ac:dyDescent="0.4">
      <c r="H71" s="485"/>
      <c r="I71" s="485"/>
    </row>
    <row r="72" spans="2:12" ht="17" customHeight="1" x14ac:dyDescent="0.4"/>
    <row r="73" spans="2:12" ht="17" customHeight="1" x14ac:dyDescent="0.4"/>
    <row r="74" spans="2:12" ht="17" customHeight="1" x14ac:dyDescent="0.4"/>
  </sheetData>
  <mergeCells count="9">
    <mergeCell ref="N12:O12"/>
    <mergeCell ref="H10:H11"/>
    <mergeCell ref="I10:I11"/>
    <mergeCell ref="J10:J11"/>
    <mergeCell ref="B10:B11"/>
    <mergeCell ref="C10:C11"/>
    <mergeCell ref="D10:D11"/>
    <mergeCell ref="F10:F11"/>
    <mergeCell ref="G10:G11"/>
  </mergeCells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8DCDE1-AF42-443D-AF66-87F389210C7A}">
  <dimension ref="A1:DC121"/>
  <sheetViews>
    <sheetView showGridLines="0" zoomScale="70" zoomScaleNormal="85" workbookViewId="0">
      <pane xSplit="4" ySplit="10" topLeftCell="AD11" activePane="bottomRight" state="frozen"/>
      <selection pane="topRight" activeCell="E1" sqref="E1"/>
      <selection pane="bottomLeft" activeCell="A14" sqref="A14"/>
      <selection pane="bottomRight" activeCell="CE101" activeCellId="3" sqref="CE34:CE43 CE46:CE57 CE91:CE99 CE101:CE105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14.5" style="1" customWidth="1"/>
    <col min="71" max="71" width="14.83203125" style="1" customWidth="1"/>
    <col min="72" max="72" width="16.58203125" style="1" customWidth="1"/>
    <col min="73" max="73" width="18.33203125" style="1" customWidth="1"/>
    <col min="74" max="74" width="3.1640625" style="1" customWidth="1"/>
    <col min="75" max="76" width="11.6640625" style="1" customWidth="1"/>
    <col min="77" max="77" width="14" style="1" customWidth="1"/>
    <col min="78" max="78" width="3.1640625" style="1" customWidth="1"/>
    <col min="79" max="79" width="16.4140625" style="425" customWidth="1"/>
    <col min="80" max="80" width="3.6640625" style="425" customWidth="1"/>
    <col min="81" max="81" width="14.83203125" style="425" customWidth="1"/>
    <col min="82" max="82" width="3.6640625" style="425" customWidth="1"/>
    <col min="83" max="83" width="14.8320312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194"/>
      <c r="BR3" s="58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194"/>
      <c r="BR4" s="584"/>
      <c r="BS4" s="429"/>
      <c r="BT4" s="2"/>
      <c r="BU4" s="2"/>
    </row>
    <row r="5" spans="1:84" ht="16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194"/>
      <c r="BR5" s="584"/>
      <c r="BS5" s="429"/>
      <c r="BT5" s="2"/>
      <c r="BU5" s="430"/>
      <c r="CC5" s="431"/>
    </row>
    <row r="6" spans="1:84" ht="16" x14ac:dyDescent="0.4">
      <c r="A6" s="2"/>
      <c r="B6" s="6" t="s">
        <v>155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594"/>
      <c r="BR6" s="584"/>
      <c r="BS6" s="595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29"/>
      <c r="BR7" s="429"/>
      <c r="BS7" s="429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 t="s">
        <v>143</v>
      </c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562"/>
      <c r="BX12" s="567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61" t="s">
        <v>235</v>
      </c>
      <c r="C13" s="446" t="s">
        <v>208</v>
      </c>
      <c r="D13" s="447" t="s">
        <v>213</v>
      </c>
      <c r="E13" s="448" t="s">
        <v>230</v>
      </c>
      <c r="F13" s="448">
        <v>0.81944444444444442</v>
      </c>
      <c r="G13" s="448">
        <v>0.85416666666666663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/>
      <c r="AJ13" s="11">
        <v>1</v>
      </c>
      <c r="AK13" s="12"/>
      <c r="AL13" s="12"/>
      <c r="AM13" s="13"/>
      <c r="AN13" s="13"/>
      <c r="AO13" s="11"/>
      <c r="AP13" s="12"/>
      <c r="AQ13" s="12"/>
      <c r="AR13" s="12"/>
      <c r="AS13" s="11"/>
      <c r="AT13" s="13"/>
      <c r="AU13" s="13"/>
      <c r="AV13" s="11"/>
      <c r="AW13" s="12"/>
      <c r="AX13" s="12"/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1</v>
      </c>
      <c r="BQ13" s="15">
        <v>131844</v>
      </c>
      <c r="BR13" s="19">
        <v>1</v>
      </c>
      <c r="BS13" s="20">
        <f>BQ13*(1-BR13)</f>
        <v>0</v>
      </c>
      <c r="BT13" s="21">
        <f>BS13*BP13</f>
        <v>0</v>
      </c>
      <c r="BU13" s="21">
        <f>BT13*0.8</f>
        <v>0</v>
      </c>
      <c r="BW13" s="561">
        <v>12.33</v>
      </c>
      <c r="BX13" s="568">
        <f>BW13*BP13</f>
        <v>12.33</v>
      </c>
      <c r="BY13" s="452">
        <f>IFERROR(BU13/BX13,0)</f>
        <v>0</v>
      </c>
      <c r="BZ13" s="2"/>
      <c r="CA13" s="453" t="s">
        <v>208</v>
      </c>
      <c r="CB13" s="454">
        <f>COUNTA(I13:AM13)</f>
        <v>1</v>
      </c>
      <c r="CC13" s="455">
        <f>CB13*BS13*0.8</f>
        <v>0</v>
      </c>
      <c r="CD13" s="454">
        <f>COUNTA(AN13:BO13)</f>
        <v>0</v>
      </c>
      <c r="CE13" s="455">
        <f>CD13*BS13*0.8</f>
        <v>0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/>
      <c r="D14" s="459" t="s">
        <v>225</v>
      </c>
      <c r="E14" s="448" t="s">
        <v>230</v>
      </c>
      <c r="F14" s="448">
        <v>0.88888888888888884</v>
      </c>
      <c r="G14" s="448">
        <v>0.93402777777777779</v>
      </c>
      <c r="H14" s="464">
        <v>30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/>
      <c r="AF14" s="13"/>
      <c r="AG14" s="13"/>
      <c r="AH14" s="11">
        <v>1</v>
      </c>
      <c r="AI14" s="11"/>
      <c r="AJ14" s="11"/>
      <c r="AK14" s="12">
        <v>1</v>
      </c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2</v>
      </c>
      <c r="BQ14" s="460">
        <v>182594</v>
      </c>
      <c r="BR14" s="19">
        <v>0</v>
      </c>
      <c r="BS14" s="20">
        <f t="shared" ref="BS14" si="4">BQ14*(1-BR14)</f>
        <v>182594</v>
      </c>
      <c r="BT14" s="21">
        <f>BS14*BP14</f>
        <v>365188</v>
      </c>
      <c r="BU14" s="22">
        <f>BT14*0.8</f>
        <v>292150.40000000002</v>
      </c>
      <c r="BV14" s="1"/>
      <c r="BW14" s="561">
        <v>13.35</v>
      </c>
      <c r="BX14" s="568">
        <f>BW14*BP14</f>
        <v>26.7</v>
      </c>
      <c r="BY14" s="452">
        <f>IFERROR(BU14/BX14,0)</f>
        <v>10941.962546816481</v>
      </c>
      <c r="BZ14" s="2"/>
      <c r="CA14" s="453" t="s">
        <v>208</v>
      </c>
      <c r="CB14" s="454">
        <f t="shared" ref="CB14:CB32" si="5">COUNTA(I14:AM14)</f>
        <v>2</v>
      </c>
      <c r="CC14" s="455">
        <f t="shared" ref="CC14:CC32" si="6">CB14*BS14*0.8</f>
        <v>292150.40000000002</v>
      </c>
      <c r="CD14" s="454">
        <f t="shared" ref="CD14:CD32" si="7">COUNTA(AN14:BO14)</f>
        <v>0</v>
      </c>
      <c r="CE14" s="455">
        <f t="shared" ref="CE14:CE32" si="8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/>
      <c r="E15" s="448"/>
      <c r="F15" s="448"/>
      <c r="G15" s="448"/>
      <c r="H15" s="464"/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/>
      <c r="AL15" s="12"/>
      <c r="AM15" s="13"/>
      <c r="AN15" s="13"/>
      <c r="AO15" s="11"/>
      <c r="AP15" s="12"/>
      <c r="AQ15" s="12"/>
      <c r="AR15" s="12"/>
      <c r="AS15" s="11"/>
      <c r="AT15" s="13"/>
      <c r="AU15" s="13"/>
      <c r="AV15" s="11"/>
      <c r="AW15" s="12"/>
      <c r="AX15" s="12"/>
      <c r="AY15" s="12"/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/>
      <c r="BQ15" s="15"/>
      <c r="BR15" s="19"/>
      <c r="BS15" s="20"/>
      <c r="BT15" s="21"/>
      <c r="BU15" s="22"/>
      <c r="BV15" s="1"/>
      <c r="BW15" s="563"/>
      <c r="BX15" s="569"/>
      <c r="BY15" s="452"/>
      <c r="BZ15" s="2"/>
      <c r="CA15" s="453"/>
      <c r="CB15" s="454"/>
      <c r="CC15" s="455"/>
      <c r="CD15" s="454"/>
      <c r="CE15" s="455"/>
      <c r="CF15" s="427"/>
    </row>
    <row r="16" spans="1:84" ht="14" customHeight="1" x14ac:dyDescent="0.25">
      <c r="A16" s="435"/>
      <c r="B16" s="446"/>
      <c r="C16" s="446"/>
      <c r="D16" s="447" t="s">
        <v>384</v>
      </c>
      <c r="E16" s="448" t="s">
        <v>230</v>
      </c>
      <c r="F16" s="448">
        <v>0.55902777777777779</v>
      </c>
      <c r="G16" s="448">
        <v>0.61458333333333337</v>
      </c>
      <c r="H16" s="464">
        <v>30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/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>
        <v>1</v>
      </c>
      <c r="AP16" s="12"/>
      <c r="AQ16" s="12"/>
      <c r="AR16" s="12">
        <v>1</v>
      </c>
      <c r="AS16" s="11"/>
      <c r="AT16" s="13"/>
      <c r="AU16" s="13"/>
      <c r="AV16" s="11"/>
      <c r="AW16" s="12">
        <v>1</v>
      </c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3</v>
      </c>
      <c r="BQ16" s="15">
        <v>41050</v>
      </c>
      <c r="BR16" s="19">
        <v>0.30844152767996202</v>
      </c>
      <c r="BS16" s="20">
        <f t="shared" ref="BS16:BS17" si="9">BQ16*(1-BR16)</f>
        <v>28388.475288737558</v>
      </c>
      <c r="BT16" s="21">
        <f t="shared" ref="BT16:BT17" si="10">BS16*BP16</f>
        <v>85165.425866212667</v>
      </c>
      <c r="BU16" s="602">
        <f t="shared" ref="BU16:BU17" si="11">BT16*0.8</f>
        <v>68132.34069297013</v>
      </c>
      <c r="BW16" s="561">
        <v>5.92</v>
      </c>
      <c r="BX16" s="568">
        <f t="shared" ref="BX16:BX17" si="12">BW16*BP16</f>
        <v>17.759999999999998</v>
      </c>
      <c r="BY16" s="452">
        <f t="shared" ref="BY16:BY17" si="13">IFERROR(BU16/BX16,0)</f>
        <v>3836.2804444239941</v>
      </c>
      <c r="BZ16" s="2"/>
      <c r="CA16" s="453" t="s">
        <v>208</v>
      </c>
      <c r="CB16" s="454">
        <f t="shared" si="5"/>
        <v>0</v>
      </c>
      <c r="CC16" s="455">
        <f t="shared" si="6"/>
        <v>0</v>
      </c>
      <c r="CD16" s="454">
        <f t="shared" si="7"/>
        <v>3</v>
      </c>
      <c r="CE16" s="603">
        <f t="shared" si="8"/>
        <v>68132.34069297013</v>
      </c>
      <c r="CF16" s="427" t="b">
        <f>SUM(CC16,CE16)=BU16</f>
        <v>1</v>
      </c>
    </row>
    <row r="17" spans="1:84" ht="14" customHeight="1" x14ac:dyDescent="0.25">
      <c r="A17" s="435"/>
      <c r="B17" s="446"/>
      <c r="C17" s="446"/>
      <c r="D17" s="463" t="s">
        <v>386</v>
      </c>
      <c r="E17" s="448" t="s">
        <v>230</v>
      </c>
      <c r="F17" s="448">
        <v>0.33333333333333331</v>
      </c>
      <c r="G17" s="448">
        <v>0.39583333333333331</v>
      </c>
      <c r="H17" s="464">
        <v>30</v>
      </c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>
        <v>1</v>
      </c>
      <c r="AR17" s="12"/>
      <c r="AS17" s="11"/>
      <c r="AT17" s="13"/>
      <c r="AU17" s="13"/>
      <c r="AV17" s="11">
        <v>1</v>
      </c>
      <c r="AW17" s="12"/>
      <c r="AX17" s="12"/>
      <c r="AY17" s="12">
        <v>1</v>
      </c>
      <c r="AZ17" s="11">
        <v>1</v>
      </c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449">
        <f>SUM(I17:BO17)</f>
        <v>4</v>
      </c>
      <c r="BQ17" s="15">
        <v>25643</v>
      </c>
      <c r="BR17" s="19">
        <v>0.30844152767996202</v>
      </c>
      <c r="BS17" s="20">
        <f t="shared" si="9"/>
        <v>17733.633905702733</v>
      </c>
      <c r="BT17" s="21">
        <f t="shared" si="10"/>
        <v>70934.53562281093</v>
      </c>
      <c r="BU17" s="602">
        <f t="shared" si="11"/>
        <v>56747.628498248749</v>
      </c>
      <c r="BW17" s="561">
        <v>4.9400000000000004</v>
      </c>
      <c r="BX17" s="568">
        <f t="shared" si="12"/>
        <v>19.760000000000002</v>
      </c>
      <c r="BY17" s="452">
        <f t="shared" si="13"/>
        <v>2871.843547482224</v>
      </c>
      <c r="BZ17" s="2"/>
      <c r="CA17" s="453" t="s">
        <v>208</v>
      </c>
      <c r="CB17" s="454">
        <f t="shared" si="5"/>
        <v>0</v>
      </c>
      <c r="CC17" s="455">
        <f t="shared" si="6"/>
        <v>0</v>
      </c>
      <c r="CD17" s="454">
        <f t="shared" si="7"/>
        <v>4</v>
      </c>
      <c r="CE17" s="603">
        <f t="shared" si="8"/>
        <v>56747.628498248749</v>
      </c>
      <c r="CF17" s="427" t="b">
        <f>SUM(CC17,CE17)=BU17</f>
        <v>1</v>
      </c>
    </row>
    <row r="18" spans="1:84" ht="14" customHeight="1" x14ac:dyDescent="0.25">
      <c r="A18" s="435"/>
      <c r="B18" s="446"/>
      <c r="C18" s="446"/>
      <c r="D18" s="463" t="s">
        <v>385</v>
      </c>
      <c r="E18" s="448" t="s">
        <v>230</v>
      </c>
      <c r="F18" s="448">
        <v>0.25</v>
      </c>
      <c r="G18" s="448">
        <v>0.35416666666666669</v>
      </c>
      <c r="H18" s="46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/>
      <c r="AJ18" s="11"/>
      <c r="AK18" s="12"/>
      <c r="AL18" s="12"/>
      <c r="AM18" s="13"/>
      <c r="AN18" s="13"/>
      <c r="AO18" s="11"/>
      <c r="AP18" s="12">
        <v>1</v>
      </c>
      <c r="AQ18" s="12"/>
      <c r="AR18" s="12">
        <v>1</v>
      </c>
      <c r="AS18" s="11">
        <v>1</v>
      </c>
      <c r="AT18" s="13"/>
      <c r="AU18" s="13"/>
      <c r="AV18" s="11"/>
      <c r="AW18" s="12">
        <v>1</v>
      </c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>
        <f>SUM(I18:BO18)</f>
        <v>5</v>
      </c>
      <c r="BQ18" s="15">
        <v>18183</v>
      </c>
      <c r="BR18" s="19">
        <v>0.30844152767996202</v>
      </c>
      <c r="BS18" s="20">
        <f t="shared" ref="BS18" si="14">BQ18*(1-BR18)</f>
        <v>12574.60770219525</v>
      </c>
      <c r="BT18" s="21">
        <f t="shared" ref="BT18" si="15">BS18*BP18</f>
        <v>62873.03851097625</v>
      </c>
      <c r="BU18" s="602">
        <f t="shared" ref="BU18" si="16">BT18*0.8</f>
        <v>50298.430808781006</v>
      </c>
      <c r="BW18" s="561">
        <v>4.41</v>
      </c>
      <c r="BX18" s="568">
        <f t="shared" ref="BX18" si="17">BW18*BP18</f>
        <v>22.05</v>
      </c>
      <c r="BY18" s="452">
        <f t="shared" ref="BY18" si="18">IFERROR(BU18/BX18,0)</f>
        <v>2281.1079731873469</v>
      </c>
      <c r="BZ18" s="2"/>
      <c r="CA18" s="453" t="s">
        <v>208</v>
      </c>
      <c r="CB18" s="454">
        <f t="shared" ref="CB18" si="19">COUNTA(I18:AM18)</f>
        <v>0</v>
      </c>
      <c r="CC18" s="455">
        <f t="shared" ref="CC18" si="20">CB18*BS18*0.8</f>
        <v>0</v>
      </c>
      <c r="CD18" s="454">
        <f t="shared" ref="CD18" si="21">COUNTA(AN18:BO18)</f>
        <v>5</v>
      </c>
      <c r="CE18" s="603">
        <f t="shared" ref="CE18" si="22">CD18*BS18*0.8</f>
        <v>50298.430808781006</v>
      </c>
      <c r="CF18" s="427" t="b">
        <f>SUM(CC18,CE18)=BU18</f>
        <v>1</v>
      </c>
    </row>
    <row r="19" spans="1:84" s="458" customFormat="1" ht="14" customHeight="1" x14ac:dyDescent="0.25">
      <c r="A19" s="435"/>
      <c r="B19" s="446"/>
      <c r="C19" s="446"/>
      <c r="D19" s="466"/>
      <c r="E19" s="448"/>
      <c r="F19" s="448"/>
      <c r="G19" s="448"/>
      <c r="H19" s="464"/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/>
      <c r="BQ19" s="15"/>
      <c r="BR19" s="456"/>
      <c r="BS19" s="15"/>
      <c r="BT19" s="22"/>
      <c r="BU19" s="22"/>
      <c r="BV19" s="1"/>
      <c r="BW19" s="563"/>
      <c r="BX19" s="569"/>
      <c r="BY19" s="452"/>
      <c r="BZ19" s="2"/>
      <c r="CA19" s="453"/>
      <c r="CB19" s="454"/>
      <c r="CC19" s="455"/>
      <c r="CD19" s="454"/>
      <c r="CE19" s="603"/>
      <c r="CF19" s="427"/>
    </row>
    <row r="20" spans="1:84" s="458" customFormat="1" ht="14" customHeight="1" x14ac:dyDescent="0.25">
      <c r="A20" s="435"/>
      <c r="B20" s="446"/>
      <c r="C20" s="446"/>
      <c r="D20" s="466" t="s">
        <v>212</v>
      </c>
      <c r="E20" s="448" t="s">
        <v>230</v>
      </c>
      <c r="F20" s="448">
        <v>0.85416666666666663</v>
      </c>
      <c r="G20" s="448">
        <v>0.88888888888888884</v>
      </c>
      <c r="H20" s="46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>
        <v>1</v>
      </c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>
        <f t="shared" ref="BP20:BP22" si="23">SUM(I20:BO20)</f>
        <v>1</v>
      </c>
      <c r="BQ20" s="15">
        <v>180006</v>
      </c>
      <c r="BR20" s="19">
        <v>0</v>
      </c>
      <c r="BS20" s="20">
        <f>BQ20*(1-BR20)</f>
        <v>180006</v>
      </c>
      <c r="BT20" s="21">
        <f>BS20*BP20</f>
        <v>180006</v>
      </c>
      <c r="BU20" s="602">
        <f>BT20*0.8</f>
        <v>144004.80000000002</v>
      </c>
      <c r="BV20" s="1"/>
      <c r="BW20" s="561">
        <v>13.07</v>
      </c>
      <c r="BX20" s="568">
        <f t="shared" ref="BX20:BX22" si="24">BW20*BP20</f>
        <v>13.07</v>
      </c>
      <c r="BY20" s="452">
        <f t="shared" ref="BY20:BY22" si="25">IFERROR(BU20/BX20,0)</f>
        <v>11017.964804896712</v>
      </c>
      <c r="BZ20" s="2"/>
      <c r="CA20" s="453" t="s">
        <v>208</v>
      </c>
      <c r="CB20" s="454">
        <f t="shared" si="5"/>
        <v>0</v>
      </c>
      <c r="CC20" s="455">
        <f t="shared" si="6"/>
        <v>0</v>
      </c>
      <c r="CD20" s="454">
        <f t="shared" si="7"/>
        <v>1</v>
      </c>
      <c r="CE20" s="603">
        <f t="shared" si="8"/>
        <v>144004.80000000002</v>
      </c>
      <c r="CF20" s="427" t="b">
        <f>SUM(CC20,CE20)=BU20</f>
        <v>1</v>
      </c>
    </row>
    <row r="21" spans="1:84" s="458" customFormat="1" ht="14" customHeight="1" x14ac:dyDescent="0.25">
      <c r="A21" s="435"/>
      <c r="B21" s="446"/>
      <c r="C21" s="446"/>
      <c r="D21" s="447" t="s">
        <v>227</v>
      </c>
      <c r="E21" s="448" t="s">
        <v>232</v>
      </c>
      <c r="F21" s="448">
        <v>0.85416666666666663</v>
      </c>
      <c r="G21" s="448">
        <v>0.96527777777777779</v>
      </c>
      <c r="H21" s="46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/>
      <c r="AP21" s="12"/>
      <c r="AQ21" s="12"/>
      <c r="AR21" s="12"/>
      <c r="AS21" s="11"/>
      <c r="AT21" s="13"/>
      <c r="AU21" s="13">
        <v>1</v>
      </c>
      <c r="AV21" s="11"/>
      <c r="AW21" s="12"/>
      <c r="AX21" s="12"/>
      <c r="AY21" s="12"/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 t="shared" si="23"/>
        <v>1</v>
      </c>
      <c r="BQ21" s="15">
        <v>144982</v>
      </c>
      <c r="BR21" s="19">
        <v>0</v>
      </c>
      <c r="BS21" s="20">
        <f>BQ21*(1-BR21)</f>
        <v>144982</v>
      </c>
      <c r="BT21" s="21">
        <f>BS21*BP21</f>
        <v>144982</v>
      </c>
      <c r="BU21" s="602">
        <f>BT21*0.8</f>
        <v>115985.60000000001</v>
      </c>
      <c r="BV21" s="1"/>
      <c r="BW21" s="561">
        <v>8.8000000000000007</v>
      </c>
      <c r="BX21" s="568">
        <f t="shared" si="24"/>
        <v>8.8000000000000007</v>
      </c>
      <c r="BY21" s="452">
        <f t="shared" si="25"/>
        <v>13180.181818181818</v>
      </c>
      <c r="BZ21" s="2"/>
      <c r="CA21" s="453" t="s">
        <v>208</v>
      </c>
      <c r="CB21" s="454">
        <f t="shared" si="5"/>
        <v>0</v>
      </c>
      <c r="CC21" s="455">
        <f t="shared" si="6"/>
        <v>0</v>
      </c>
      <c r="CD21" s="454">
        <f t="shared" si="7"/>
        <v>1</v>
      </c>
      <c r="CE21" s="603">
        <f t="shared" si="8"/>
        <v>115985.60000000001</v>
      </c>
      <c r="CF21" s="427" t="b">
        <f>SUM(CC21,CE21)=BU21</f>
        <v>1</v>
      </c>
    </row>
    <row r="22" spans="1:84" ht="14" customHeight="1" x14ac:dyDescent="0.25">
      <c r="A22" s="435"/>
      <c r="B22" s="446"/>
      <c r="C22" s="446"/>
      <c r="D22" s="447" t="s">
        <v>209</v>
      </c>
      <c r="E22" s="448" t="s">
        <v>230</v>
      </c>
      <c r="F22" s="448">
        <v>4.1666666666666664E-2</v>
      </c>
      <c r="G22" s="448">
        <v>7.6388888888888895E-2</v>
      </c>
      <c r="H22" s="464">
        <v>30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>
        <v>1</v>
      </c>
      <c r="AP22" s="12"/>
      <c r="AQ22" s="12">
        <v>1</v>
      </c>
      <c r="AR22" s="12"/>
      <c r="AS22" s="11"/>
      <c r="AT22" s="13"/>
      <c r="AU22" s="13"/>
      <c r="AV22" s="11"/>
      <c r="AW22" s="12">
        <v>1</v>
      </c>
      <c r="AX22" s="12"/>
      <c r="AY22" s="12">
        <v>1</v>
      </c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449">
        <f t="shared" si="23"/>
        <v>4</v>
      </c>
      <c r="BQ22" s="15">
        <v>28729</v>
      </c>
      <c r="BR22" s="19">
        <v>1</v>
      </c>
      <c r="BS22" s="20">
        <f t="shared" ref="BS22" si="26">BQ22*(1-BR22)</f>
        <v>0</v>
      </c>
      <c r="BT22" s="21">
        <f>BS22*BP22</f>
        <v>0</v>
      </c>
      <c r="BU22" s="22">
        <f t="shared" ref="BU22" si="27">BT22*0.8</f>
        <v>0</v>
      </c>
      <c r="BW22" s="561">
        <v>3.7</v>
      </c>
      <c r="BX22" s="568">
        <f t="shared" si="24"/>
        <v>14.8</v>
      </c>
      <c r="BY22" s="452">
        <f t="shared" si="25"/>
        <v>0</v>
      </c>
      <c r="BZ22" s="2"/>
      <c r="CA22" s="453" t="s">
        <v>208</v>
      </c>
      <c r="CB22" s="454">
        <f t="shared" si="5"/>
        <v>0</v>
      </c>
      <c r="CC22" s="455">
        <f t="shared" si="6"/>
        <v>0</v>
      </c>
      <c r="CD22" s="454">
        <f t="shared" si="7"/>
        <v>4</v>
      </c>
      <c r="CE22" s="455">
        <f t="shared" si="8"/>
        <v>0</v>
      </c>
      <c r="CF22" s="427" t="b">
        <f>SUM(CC22,CE22)=BU22</f>
        <v>1</v>
      </c>
    </row>
    <row r="23" spans="1:84" ht="14" customHeight="1" x14ac:dyDescent="0.25">
      <c r="A23" s="435"/>
      <c r="B23" s="446"/>
      <c r="C23" s="446"/>
      <c r="D23" s="463"/>
      <c r="E23" s="448"/>
      <c r="F23" s="448"/>
      <c r="G23" s="448"/>
      <c r="H23" s="46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/>
      <c r="BQ23" s="15"/>
      <c r="BR23" s="19"/>
      <c r="BS23" s="20"/>
      <c r="BT23" s="21"/>
      <c r="BU23" s="22"/>
      <c r="BW23" s="563"/>
      <c r="BX23" s="569"/>
      <c r="BY23" s="465"/>
      <c r="BZ23" s="2"/>
      <c r="CA23" s="453"/>
      <c r="CB23" s="454"/>
      <c r="CC23" s="455"/>
      <c r="CD23" s="454"/>
      <c r="CE23" s="455"/>
    </row>
    <row r="24" spans="1:84" s="458" customFormat="1" ht="14" customHeight="1" x14ac:dyDescent="0.25">
      <c r="A24" s="435"/>
      <c r="B24" s="446"/>
      <c r="C24" s="446"/>
      <c r="D24" s="447" t="s">
        <v>226</v>
      </c>
      <c r="E24" s="448" t="s">
        <v>230</v>
      </c>
      <c r="F24" s="448">
        <v>0.76736111111111116</v>
      </c>
      <c r="G24" s="448">
        <v>0.79861111111111116</v>
      </c>
      <c r="H24" s="46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>
        <v>1</v>
      </c>
      <c r="AI24" s="11"/>
      <c r="AJ24" s="11"/>
      <c r="AK24" s="12">
        <v>1</v>
      </c>
      <c r="AL24" s="12"/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>SUM(I24:BO24)</f>
        <v>2</v>
      </c>
      <c r="BQ24" s="15">
        <v>98392</v>
      </c>
      <c r="BR24" s="19">
        <v>0</v>
      </c>
      <c r="BS24" s="20">
        <f>BQ24*(1-BR24)</f>
        <v>98392</v>
      </c>
      <c r="BT24" s="21">
        <f>BS24*BP24</f>
        <v>196784</v>
      </c>
      <c r="BU24" s="22">
        <f>BT24*0.8</f>
        <v>157427.20000000001</v>
      </c>
      <c r="BV24" s="1"/>
      <c r="BW24" s="561">
        <v>8.51</v>
      </c>
      <c r="BX24" s="568">
        <f t="shared" ref="BX24:BX26" si="28">BW24*BP24</f>
        <v>17.02</v>
      </c>
      <c r="BY24" s="452">
        <f t="shared" ref="BY24:BY26" si="29">IFERROR(BU24/BX24,0)</f>
        <v>9249.541715628673</v>
      </c>
      <c r="BZ24" s="2"/>
      <c r="CA24" s="453" t="s">
        <v>208</v>
      </c>
      <c r="CB24" s="454">
        <f t="shared" si="5"/>
        <v>2</v>
      </c>
      <c r="CC24" s="455">
        <f t="shared" si="6"/>
        <v>157427.20000000001</v>
      </c>
      <c r="CD24" s="454">
        <f t="shared" si="7"/>
        <v>0</v>
      </c>
      <c r="CE24" s="455">
        <f t="shared" si="8"/>
        <v>0</v>
      </c>
      <c r="CF24" s="427" t="b">
        <f>SUM(CC24,CE24)=BU24</f>
        <v>1</v>
      </c>
    </row>
    <row r="25" spans="1:84" s="458" customFormat="1" ht="14" customHeight="1" x14ac:dyDescent="0.25">
      <c r="A25" s="435"/>
      <c r="B25" s="446"/>
      <c r="C25" s="446"/>
      <c r="D25" s="459" t="s">
        <v>213</v>
      </c>
      <c r="E25" s="448" t="s">
        <v>230</v>
      </c>
      <c r="F25" s="448">
        <v>0.81944444444444442</v>
      </c>
      <c r="G25" s="448">
        <v>0.85416666666666663</v>
      </c>
      <c r="H25" s="46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>
        <v>1</v>
      </c>
      <c r="AJ25" s="11"/>
      <c r="AK25" s="12"/>
      <c r="AL25" s="12">
        <v>1</v>
      </c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>
        <f t="shared" ref="BP25:BP26" si="30">SUM(I25:BO25)</f>
        <v>2</v>
      </c>
      <c r="BQ25" s="15">
        <v>131844</v>
      </c>
      <c r="BR25" s="19">
        <v>0</v>
      </c>
      <c r="BS25" s="20">
        <f>BQ25*(1-BR25)</f>
        <v>131844</v>
      </c>
      <c r="BT25" s="21">
        <f>BS25*BP25</f>
        <v>263688</v>
      </c>
      <c r="BU25" s="22">
        <f>BT25*0.8</f>
        <v>210950.40000000002</v>
      </c>
      <c r="BV25" s="1"/>
      <c r="BW25" s="561">
        <v>12.33</v>
      </c>
      <c r="BX25" s="568">
        <f t="shared" si="28"/>
        <v>24.66</v>
      </c>
      <c r="BY25" s="452">
        <f t="shared" si="29"/>
        <v>8554.3552311435524</v>
      </c>
      <c r="BZ25" s="2"/>
      <c r="CA25" s="453" t="s">
        <v>208</v>
      </c>
      <c r="CB25" s="454">
        <f t="shared" si="5"/>
        <v>2</v>
      </c>
      <c r="CC25" s="455">
        <f t="shared" si="6"/>
        <v>210950.40000000002</v>
      </c>
      <c r="CD25" s="454">
        <f t="shared" si="7"/>
        <v>0</v>
      </c>
      <c r="CE25" s="455">
        <f t="shared" si="8"/>
        <v>0</v>
      </c>
      <c r="CF25" s="427" t="b">
        <f>SUM(CC25,CE25)=BU25</f>
        <v>1</v>
      </c>
    </row>
    <row r="26" spans="1:84" s="458" customFormat="1" ht="14" customHeight="1" x14ac:dyDescent="0.25">
      <c r="A26" s="435"/>
      <c r="B26" s="446"/>
      <c r="C26" s="446"/>
      <c r="D26" s="447" t="s">
        <v>226</v>
      </c>
      <c r="E26" s="448" t="s">
        <v>233</v>
      </c>
      <c r="F26" s="448">
        <v>0.77777777777777779</v>
      </c>
      <c r="G26" s="448">
        <v>0.80902777777777779</v>
      </c>
      <c r="H26" s="464">
        <v>30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>
        <v>1</v>
      </c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449">
        <f t="shared" si="30"/>
        <v>1</v>
      </c>
      <c r="BQ26" s="15">
        <v>98392</v>
      </c>
      <c r="BR26" s="19">
        <v>1</v>
      </c>
      <c r="BS26" s="20">
        <f>BQ26*(1-BR26)</f>
        <v>0</v>
      </c>
      <c r="BT26" s="21">
        <f>BS26*BP26</f>
        <v>0</v>
      </c>
      <c r="BU26" s="22">
        <f>BT26*0.8</f>
        <v>0</v>
      </c>
      <c r="BV26" s="1"/>
      <c r="BW26" s="561">
        <v>11.08</v>
      </c>
      <c r="BX26" s="568">
        <f t="shared" si="28"/>
        <v>11.08</v>
      </c>
      <c r="BY26" s="452">
        <f t="shared" si="29"/>
        <v>0</v>
      </c>
      <c r="BZ26" s="2"/>
      <c r="CA26" s="453" t="s">
        <v>208</v>
      </c>
      <c r="CB26" s="454">
        <f t="shared" si="5"/>
        <v>1</v>
      </c>
      <c r="CC26" s="455">
        <f t="shared" si="6"/>
        <v>0</v>
      </c>
      <c r="CD26" s="454">
        <f t="shared" si="7"/>
        <v>0</v>
      </c>
      <c r="CE26" s="455">
        <f t="shared" si="8"/>
        <v>0</v>
      </c>
      <c r="CF26" s="427" t="b">
        <f>SUM(CC26,CE26)=BU26</f>
        <v>1</v>
      </c>
    </row>
    <row r="27" spans="1:84" s="458" customFormat="1" ht="14" customHeight="1" x14ac:dyDescent="0.25">
      <c r="A27" s="435"/>
      <c r="B27" s="446"/>
      <c r="C27" s="446"/>
      <c r="D27" s="466"/>
      <c r="E27" s="448"/>
      <c r="F27" s="448"/>
      <c r="G27" s="448"/>
      <c r="H27" s="464"/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449"/>
      <c r="BQ27" s="15"/>
      <c r="BR27" s="456"/>
      <c r="BS27" s="15"/>
      <c r="BT27" s="22"/>
      <c r="BU27" s="22"/>
      <c r="BV27" s="1"/>
      <c r="BW27" s="563"/>
      <c r="BX27" s="569"/>
      <c r="BY27" s="452"/>
      <c r="BZ27" s="2"/>
      <c r="CA27" s="453"/>
      <c r="CB27" s="454"/>
      <c r="CC27" s="455"/>
      <c r="CD27" s="454"/>
      <c r="CE27" s="455"/>
      <c r="CF27" s="427"/>
    </row>
    <row r="28" spans="1:84" s="458" customFormat="1" ht="14" customHeight="1" x14ac:dyDescent="0.25">
      <c r="A28" s="435"/>
      <c r="B28" s="446"/>
      <c r="C28" s="446"/>
      <c r="D28" s="447" t="s">
        <v>212</v>
      </c>
      <c r="E28" s="448" t="s">
        <v>230</v>
      </c>
      <c r="F28" s="448">
        <v>0.88888888888888884</v>
      </c>
      <c r="G28" s="448">
        <v>0.93402777777777779</v>
      </c>
      <c r="H28" s="464">
        <v>60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>
        <v>1</v>
      </c>
      <c r="AF28" s="13"/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449">
        <f>SUM(I28:BO28)</f>
        <v>1</v>
      </c>
      <c r="BQ28" s="460">
        <f>180006*2</f>
        <v>360012</v>
      </c>
      <c r="BR28" s="19">
        <v>0</v>
      </c>
      <c r="BS28" s="20">
        <f>BQ28*(1-BR28)</f>
        <v>360012</v>
      </c>
      <c r="BT28" s="21">
        <f>BS28*BP28</f>
        <v>360012</v>
      </c>
      <c r="BU28" s="22">
        <f>BT28*0.8</f>
        <v>288009.60000000003</v>
      </c>
      <c r="BV28" s="1"/>
      <c r="BW28" s="561">
        <v>13.07</v>
      </c>
      <c r="BX28" s="568">
        <f t="shared" ref="BX28:BX30" si="31">BW28*BP28</f>
        <v>13.07</v>
      </c>
      <c r="BY28" s="452">
        <f t="shared" ref="BY28:BY30" si="32">IFERROR(BU28/BX28,0)</f>
        <v>22035.929609793424</v>
      </c>
      <c r="BZ28" s="2"/>
      <c r="CA28" s="453" t="s">
        <v>208</v>
      </c>
      <c r="CB28" s="454">
        <f t="shared" si="5"/>
        <v>1</v>
      </c>
      <c r="CC28" s="455">
        <f t="shared" si="6"/>
        <v>288009.60000000003</v>
      </c>
      <c r="CD28" s="454">
        <f t="shared" si="7"/>
        <v>0</v>
      </c>
      <c r="CE28" s="455">
        <f t="shared" si="8"/>
        <v>0</v>
      </c>
      <c r="CF28" s="427" t="b">
        <f>SUM(CC28,CE28)=BU28</f>
        <v>1</v>
      </c>
    </row>
    <row r="29" spans="1:84" s="458" customFormat="1" ht="14" customHeight="1" x14ac:dyDescent="0.25">
      <c r="A29" s="435"/>
      <c r="B29" s="446"/>
      <c r="C29" s="446"/>
      <c r="D29" s="447" t="s">
        <v>227</v>
      </c>
      <c r="E29" s="448" t="s">
        <v>232</v>
      </c>
      <c r="F29" s="448">
        <v>0.85416666666666663</v>
      </c>
      <c r="G29" s="448">
        <v>0.96527777777777779</v>
      </c>
      <c r="H29" s="46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/>
      <c r="AF29" s="13"/>
      <c r="AG29" s="13">
        <v>1</v>
      </c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449">
        <f t="shared" ref="BP29:BP30" si="33">SUM(I29:BO29)</f>
        <v>1</v>
      </c>
      <c r="BQ29" s="15">
        <f>144982*2</f>
        <v>289964</v>
      </c>
      <c r="BR29" s="19">
        <v>0</v>
      </c>
      <c r="BS29" s="20">
        <f>BQ29*(1-BR29)</f>
        <v>289964</v>
      </c>
      <c r="BT29" s="21">
        <f>BS29*BP29</f>
        <v>289964</v>
      </c>
      <c r="BU29" s="22">
        <f>BT29*0.8</f>
        <v>231971.20000000001</v>
      </c>
      <c r="BV29" s="1"/>
      <c r="BW29" s="561">
        <v>8.8000000000000007</v>
      </c>
      <c r="BX29" s="568">
        <f t="shared" si="31"/>
        <v>8.8000000000000007</v>
      </c>
      <c r="BY29" s="452">
        <f t="shared" si="32"/>
        <v>26360.363636363636</v>
      </c>
      <c r="BZ29" s="2"/>
      <c r="CA29" s="453" t="s">
        <v>208</v>
      </c>
      <c r="CB29" s="454">
        <f t="shared" si="5"/>
        <v>1</v>
      </c>
      <c r="CC29" s="455">
        <f t="shared" si="6"/>
        <v>231971.20000000001</v>
      </c>
      <c r="CD29" s="454">
        <f t="shared" si="7"/>
        <v>0</v>
      </c>
      <c r="CE29" s="455">
        <f t="shared" si="8"/>
        <v>0</v>
      </c>
      <c r="CF29" s="427" t="b">
        <f>SUM(CC29,CE29)=BU29</f>
        <v>1</v>
      </c>
    </row>
    <row r="30" spans="1:84" s="458" customFormat="1" ht="14" customHeight="1" x14ac:dyDescent="0.25">
      <c r="A30" s="435"/>
      <c r="B30" s="446"/>
      <c r="C30" s="446"/>
      <c r="D30" s="459" t="s">
        <v>387</v>
      </c>
      <c r="E30" s="448" t="s">
        <v>233</v>
      </c>
      <c r="F30" s="448">
        <v>0.80902777777777779</v>
      </c>
      <c r="G30" s="448">
        <v>0.82291666666666663</v>
      </c>
      <c r="H30" s="464">
        <v>60</v>
      </c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>
        <v>1</v>
      </c>
      <c r="AG30" s="13"/>
      <c r="AH30" s="11"/>
      <c r="AI30" s="11"/>
      <c r="AJ30" s="11"/>
      <c r="AK30" s="12"/>
      <c r="AL30" s="12"/>
      <c r="AM30" s="13"/>
      <c r="AN30" s="13"/>
      <c r="AO30" s="11"/>
      <c r="AP30" s="12"/>
      <c r="AQ30" s="12"/>
      <c r="AR30" s="12"/>
      <c r="AS30" s="11"/>
      <c r="AT30" s="13"/>
      <c r="AU30" s="13"/>
      <c r="AV30" s="11"/>
      <c r="AW30" s="12"/>
      <c r="AX30" s="12"/>
      <c r="AY30" s="12"/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449">
        <f t="shared" si="33"/>
        <v>1</v>
      </c>
      <c r="BQ30" s="15">
        <f>112324*2</f>
        <v>224648</v>
      </c>
      <c r="BR30" s="19">
        <v>1</v>
      </c>
      <c r="BS30" s="20">
        <f>BQ30*(1-BR30)</f>
        <v>0</v>
      </c>
      <c r="BT30" s="21">
        <f>BS30*BP30</f>
        <v>0</v>
      </c>
      <c r="BU30" s="22">
        <f>BT30*0.8</f>
        <v>0</v>
      </c>
      <c r="BV30" s="1"/>
      <c r="BW30" s="561">
        <v>12.39</v>
      </c>
      <c r="BX30" s="568">
        <f t="shared" si="31"/>
        <v>12.39</v>
      </c>
      <c r="BY30" s="452">
        <f t="shared" si="32"/>
        <v>0</v>
      </c>
      <c r="BZ30" s="2"/>
      <c r="CA30" s="453" t="s">
        <v>208</v>
      </c>
      <c r="CB30" s="454">
        <f t="shared" si="5"/>
        <v>1</v>
      </c>
      <c r="CC30" s="455">
        <f t="shared" si="6"/>
        <v>0</v>
      </c>
      <c r="CD30" s="454">
        <f t="shared" si="7"/>
        <v>0</v>
      </c>
      <c r="CE30" s="455">
        <f t="shared" si="8"/>
        <v>0</v>
      </c>
      <c r="CF30" s="427" t="b">
        <f>SUM(CC30,CE30)=BU30</f>
        <v>1</v>
      </c>
    </row>
    <row r="31" spans="1:84" s="458" customFormat="1" ht="14" customHeight="1" x14ac:dyDescent="0.25">
      <c r="A31" s="435"/>
      <c r="B31" s="446"/>
      <c r="C31" s="446"/>
      <c r="D31" s="466"/>
      <c r="E31" s="448"/>
      <c r="F31" s="448"/>
      <c r="G31" s="448"/>
      <c r="H31" s="464"/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/>
      <c r="AD31" s="12"/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449"/>
      <c r="BQ31" s="15"/>
      <c r="BR31" s="456"/>
      <c r="BS31" s="15"/>
      <c r="BT31" s="22"/>
      <c r="BU31" s="22"/>
      <c r="BV31" s="1"/>
      <c r="BW31" s="563"/>
      <c r="BX31" s="569"/>
      <c r="BY31" s="452"/>
      <c r="BZ31" s="2"/>
      <c r="CA31" s="453"/>
      <c r="CB31" s="454"/>
      <c r="CC31" s="455"/>
      <c r="CD31" s="454"/>
      <c r="CE31" s="455"/>
      <c r="CF31" s="427"/>
    </row>
    <row r="32" spans="1:84" s="458" customFormat="1" ht="14" customHeight="1" x14ac:dyDescent="0.25">
      <c r="A32" s="435"/>
      <c r="B32" s="446"/>
      <c r="C32" s="446"/>
      <c r="D32" s="447" t="s">
        <v>212</v>
      </c>
      <c r="E32" s="448" t="s">
        <v>230</v>
      </c>
      <c r="F32" s="448">
        <v>0.85416666666666663</v>
      </c>
      <c r="G32" s="448">
        <v>0.88888888888888884</v>
      </c>
      <c r="H32" s="464">
        <v>60</v>
      </c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>
        <v>1</v>
      </c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449">
        <f>SUM(I32:BO32)</f>
        <v>1</v>
      </c>
      <c r="BQ32" s="15">
        <f>(180006*2)</f>
        <v>360012</v>
      </c>
      <c r="BR32" s="19">
        <v>0.1</v>
      </c>
      <c r="BS32" s="20">
        <f>BQ32*(1-BR32)</f>
        <v>324010.8</v>
      </c>
      <c r="BT32" s="21">
        <f>BS32*BP32</f>
        <v>324010.8</v>
      </c>
      <c r="BU32" s="22">
        <f>BT32*0.8</f>
        <v>259208.64</v>
      </c>
      <c r="BV32" s="1"/>
      <c r="BW32" s="561">
        <v>13.07</v>
      </c>
      <c r="BX32" s="568">
        <f>BW32*BP32</f>
        <v>13.07</v>
      </c>
      <c r="BY32" s="452">
        <f>IFERROR(BU32/BX32,0)</f>
        <v>19832.336648814078</v>
      </c>
      <c r="BZ32" s="2"/>
      <c r="CA32" s="453" t="s">
        <v>208</v>
      </c>
      <c r="CB32" s="454">
        <f t="shared" si="5"/>
        <v>1</v>
      </c>
      <c r="CC32" s="455">
        <f t="shared" si="6"/>
        <v>259208.64</v>
      </c>
      <c r="CD32" s="454">
        <f t="shared" si="7"/>
        <v>0</v>
      </c>
      <c r="CE32" s="455">
        <f t="shared" si="8"/>
        <v>0</v>
      </c>
      <c r="CF32" s="427" t="b">
        <f>SUM(CC32,CE32)=BU32</f>
        <v>1</v>
      </c>
    </row>
    <row r="33" spans="1:84" s="427" customFormat="1" ht="14" customHeight="1" x14ac:dyDescent="0.25">
      <c r="A33" s="435"/>
      <c r="B33" s="488"/>
      <c r="C33" s="489"/>
      <c r="D33" s="490"/>
      <c r="E33" s="490"/>
      <c r="F33" s="490"/>
      <c r="G33" s="490"/>
      <c r="H33" s="490"/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/>
      <c r="AJ33" s="11"/>
      <c r="AK33" s="12"/>
      <c r="AL33" s="12"/>
      <c r="AM33" s="13"/>
      <c r="AN33" s="13"/>
      <c r="AO33" s="11"/>
      <c r="AP33" s="12"/>
      <c r="AQ33" s="12"/>
      <c r="AR33" s="12"/>
      <c r="AS33" s="11"/>
      <c r="AT33" s="13"/>
      <c r="AU33" s="13"/>
      <c r="AV33" s="11"/>
      <c r="AW33" s="12"/>
      <c r="AX33" s="12"/>
      <c r="AY33" s="12"/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378"/>
      <c r="BQ33" s="15"/>
      <c r="BR33" s="19"/>
      <c r="BS33" s="20"/>
      <c r="BT33" s="21"/>
      <c r="BU33" s="21"/>
      <c r="BV33" s="1"/>
      <c r="BW33" s="561"/>
      <c r="BX33" s="568"/>
      <c r="BY33" s="21"/>
      <c r="BZ33" s="2"/>
      <c r="CA33" s="494" t="s">
        <v>152</v>
      </c>
      <c r="CB33" s="495">
        <f>SUM(CB13:CB32)</f>
        <v>12</v>
      </c>
      <c r="CC33" s="496">
        <f>SUM(CC13:CC32)</f>
        <v>1439717.44</v>
      </c>
      <c r="CD33" s="495">
        <f>SUM(CD13:CD32)</f>
        <v>18</v>
      </c>
      <c r="CE33" s="496">
        <f>SUM(CE13:CE32)</f>
        <v>435168.79999999993</v>
      </c>
    </row>
    <row r="34" spans="1:84" ht="14" customHeight="1" x14ac:dyDescent="0.25">
      <c r="A34" s="435"/>
      <c r="B34" s="461"/>
      <c r="C34" s="446" t="s">
        <v>17</v>
      </c>
      <c r="D34" s="447" t="s">
        <v>237</v>
      </c>
      <c r="E34" s="448" t="s">
        <v>230</v>
      </c>
      <c r="F34" s="448">
        <v>0.375</v>
      </c>
      <c r="G34" s="448" t="s">
        <v>241</v>
      </c>
      <c r="H34" s="464">
        <v>30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/>
      <c r="AE34" s="11"/>
      <c r="AF34" s="13"/>
      <c r="AG34" s="13"/>
      <c r="AH34" s="11"/>
      <c r="AI34" s="11"/>
      <c r="AJ34" s="11"/>
      <c r="AK34" s="12">
        <v>1</v>
      </c>
      <c r="AL34" s="12"/>
      <c r="AM34" s="13"/>
      <c r="AN34" s="13"/>
      <c r="AO34" s="11"/>
      <c r="AP34" s="12"/>
      <c r="AQ34" s="12"/>
      <c r="AR34" s="12">
        <v>1</v>
      </c>
      <c r="AS34" s="11"/>
      <c r="AT34" s="13"/>
      <c r="AU34" s="13"/>
      <c r="AV34" s="11"/>
      <c r="AW34" s="12"/>
      <c r="AX34" s="12"/>
      <c r="AY34" s="12">
        <v>1</v>
      </c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449">
        <f>SUM(I34:BO34)</f>
        <v>3</v>
      </c>
      <c r="BQ34" s="15">
        <v>10649</v>
      </c>
      <c r="BR34" s="19">
        <v>0.85</v>
      </c>
      <c r="BS34" s="20">
        <f>BQ34*(1-BR34)</f>
        <v>1597.3500000000001</v>
      </c>
      <c r="BT34" s="21">
        <f>BS34*BP34</f>
        <v>4792.05</v>
      </c>
      <c r="BU34" s="21">
        <f t="shared" ref="BU34:BU44" si="34">BT34*0.8</f>
        <v>3833.6400000000003</v>
      </c>
      <c r="BW34" s="561">
        <v>0.24</v>
      </c>
      <c r="BX34" s="568">
        <f t="shared" ref="BX34:BX44" si="35">BW34*BP34</f>
        <v>0.72</v>
      </c>
      <c r="BY34" s="452">
        <f t="shared" ref="BY34:BY44" si="36">IFERROR(BU34/BX34,0)</f>
        <v>5324.5000000000009</v>
      </c>
      <c r="BZ34" s="2"/>
      <c r="CA34" s="453" t="s">
        <v>17</v>
      </c>
      <c r="CB34" s="454">
        <f t="shared" ref="CB34:CB44" si="37">COUNTA(I34:AM34)</f>
        <v>1</v>
      </c>
      <c r="CC34" s="455">
        <f t="shared" ref="CC34:CC44" si="38">CB34*BS34*0.8</f>
        <v>1277.8800000000001</v>
      </c>
      <c r="CD34" s="454">
        <f t="shared" ref="CD34:CD44" si="39">COUNTA(AN34:BO34)</f>
        <v>2</v>
      </c>
      <c r="CE34" s="455">
        <f t="shared" ref="CE34:CE44" si="40">CD34*BS34*0.8</f>
        <v>2555.7600000000002</v>
      </c>
      <c r="CF34" s="427" t="b">
        <f>SUM(CC34,CE34)=BU34</f>
        <v>1</v>
      </c>
    </row>
    <row r="35" spans="1:84" s="458" customFormat="1" ht="14" customHeight="1" x14ac:dyDescent="0.25">
      <c r="A35" s="435"/>
      <c r="B35" s="446"/>
      <c r="C35" s="446"/>
      <c r="D35" s="459" t="s">
        <v>237</v>
      </c>
      <c r="E35" s="448" t="s">
        <v>230</v>
      </c>
      <c r="F35" s="448">
        <v>0.375</v>
      </c>
      <c r="G35" s="448" t="s">
        <v>241</v>
      </c>
      <c r="H35" s="464">
        <v>60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>
        <v>1</v>
      </c>
      <c r="AF35" s="13"/>
      <c r="AG35" s="13"/>
      <c r="AH35" s="11"/>
      <c r="AI35" s="11"/>
      <c r="AJ35" s="11"/>
      <c r="AK35" s="12"/>
      <c r="AL35" s="12"/>
      <c r="AM35" s="13"/>
      <c r="AN35" s="13"/>
      <c r="AO35" s="11"/>
      <c r="AP35" s="12"/>
      <c r="AQ35" s="12"/>
      <c r="AR35" s="12"/>
      <c r="AS35" s="11"/>
      <c r="AT35" s="13"/>
      <c r="AU35" s="13"/>
      <c r="AV35" s="11"/>
      <c r="AW35" s="12"/>
      <c r="AX35" s="12"/>
      <c r="AY35" s="12"/>
      <c r="AZ35" s="11"/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449">
        <f>SUM(I35:BO35)</f>
        <v>1</v>
      </c>
      <c r="BQ35" s="460">
        <v>21298</v>
      </c>
      <c r="BR35" s="19">
        <v>0.85</v>
      </c>
      <c r="BS35" s="20">
        <f t="shared" ref="BS35:BS44" si="41">BQ35*(1-BR35)</f>
        <v>3194.7000000000003</v>
      </c>
      <c r="BT35" s="21">
        <f t="shared" ref="BT35:BT44" si="42">BS35*BP35</f>
        <v>3194.7000000000003</v>
      </c>
      <c r="BU35" s="22">
        <f t="shared" si="34"/>
        <v>2555.7600000000002</v>
      </c>
      <c r="BV35" s="1"/>
      <c r="BW35" s="561">
        <v>0.24</v>
      </c>
      <c r="BX35" s="568">
        <f t="shared" si="35"/>
        <v>0.24</v>
      </c>
      <c r="BY35" s="452">
        <f t="shared" si="36"/>
        <v>10649.000000000002</v>
      </c>
      <c r="BZ35" s="2"/>
      <c r="CA35" s="453" t="s">
        <v>17</v>
      </c>
      <c r="CB35" s="454">
        <f t="shared" si="37"/>
        <v>1</v>
      </c>
      <c r="CC35" s="455">
        <f t="shared" si="38"/>
        <v>2555.7600000000002</v>
      </c>
      <c r="CD35" s="454">
        <f t="shared" si="39"/>
        <v>0</v>
      </c>
      <c r="CE35" s="455">
        <f t="shared" si="40"/>
        <v>0</v>
      </c>
      <c r="CF35" s="427" t="b">
        <f>SUM(CC35,CE35)=BU35</f>
        <v>1</v>
      </c>
    </row>
    <row r="36" spans="1:84" s="458" customFormat="1" ht="14" customHeight="1" x14ac:dyDescent="0.25">
      <c r="A36" s="435"/>
      <c r="B36" s="446"/>
      <c r="C36" s="446"/>
      <c r="D36" s="447" t="s">
        <v>238</v>
      </c>
      <c r="E36" s="448" t="s">
        <v>231</v>
      </c>
      <c r="F36" s="448">
        <v>0.66666666666666663</v>
      </c>
      <c r="G36" s="448" t="s">
        <v>242</v>
      </c>
      <c r="H36" s="464">
        <v>30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/>
      <c r="AE36" s="11"/>
      <c r="AF36" s="13"/>
      <c r="AG36" s="13"/>
      <c r="AH36" s="11"/>
      <c r="AI36" s="11"/>
      <c r="AJ36" s="11"/>
      <c r="AK36" s="12"/>
      <c r="AL36" s="12">
        <v>1</v>
      </c>
      <c r="AM36" s="13"/>
      <c r="AN36" s="13"/>
      <c r="AO36" s="11"/>
      <c r="AP36" s="12"/>
      <c r="AQ36" s="12"/>
      <c r="AR36" s="12"/>
      <c r="AS36" s="11">
        <v>1</v>
      </c>
      <c r="AT36" s="13"/>
      <c r="AU36" s="13"/>
      <c r="AV36" s="11"/>
      <c r="AW36" s="12"/>
      <c r="AX36" s="12"/>
      <c r="AY36" s="12"/>
      <c r="AZ36" s="11">
        <v>1</v>
      </c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449">
        <f t="shared" ref="BP36:BP44" si="43">SUM(I36:BO36)</f>
        <v>3</v>
      </c>
      <c r="BQ36" s="460">
        <v>37711</v>
      </c>
      <c r="BR36" s="19">
        <v>0.85</v>
      </c>
      <c r="BS36" s="20">
        <f t="shared" si="41"/>
        <v>5656.6500000000005</v>
      </c>
      <c r="BT36" s="21">
        <f t="shared" si="42"/>
        <v>16969.95</v>
      </c>
      <c r="BU36" s="22">
        <f t="shared" si="34"/>
        <v>13575.960000000001</v>
      </c>
      <c r="BV36" s="1"/>
      <c r="BW36" s="561">
        <v>1.43</v>
      </c>
      <c r="BX36" s="568">
        <f t="shared" si="35"/>
        <v>4.29</v>
      </c>
      <c r="BY36" s="452">
        <f t="shared" si="36"/>
        <v>3164.5594405594406</v>
      </c>
      <c r="BZ36" s="2"/>
      <c r="CA36" s="453" t="s">
        <v>17</v>
      </c>
      <c r="CB36" s="454">
        <f t="shared" si="37"/>
        <v>1</v>
      </c>
      <c r="CC36" s="455">
        <f t="shared" si="38"/>
        <v>4525.3200000000006</v>
      </c>
      <c r="CD36" s="454">
        <f t="shared" si="39"/>
        <v>2</v>
      </c>
      <c r="CE36" s="455">
        <f t="shared" si="40"/>
        <v>9050.6400000000012</v>
      </c>
      <c r="CF36" s="427" t="b">
        <f t="shared" ref="CF36:CF43" si="44">SUM(CC36,CE36)=BU36</f>
        <v>1</v>
      </c>
    </row>
    <row r="37" spans="1:84" ht="14" customHeight="1" x14ac:dyDescent="0.25">
      <c r="A37" s="435"/>
      <c r="B37" s="446"/>
      <c r="C37" s="446"/>
      <c r="D37" s="447" t="s">
        <v>238</v>
      </c>
      <c r="E37" s="448" t="s">
        <v>231</v>
      </c>
      <c r="F37" s="448">
        <v>0.66666666666666663</v>
      </c>
      <c r="G37" s="448" t="s">
        <v>242</v>
      </c>
      <c r="H37" s="464">
        <v>60</v>
      </c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>
        <v>1</v>
      </c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/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449">
        <f t="shared" si="43"/>
        <v>1</v>
      </c>
      <c r="BQ37" s="460">
        <v>75422</v>
      </c>
      <c r="BR37" s="19">
        <v>0.85</v>
      </c>
      <c r="BS37" s="20">
        <f t="shared" si="41"/>
        <v>11313.300000000001</v>
      </c>
      <c r="BT37" s="21">
        <f t="shared" si="42"/>
        <v>11313.300000000001</v>
      </c>
      <c r="BU37" s="22">
        <f t="shared" si="34"/>
        <v>9050.6400000000012</v>
      </c>
      <c r="BW37" s="561">
        <v>1.43</v>
      </c>
      <c r="BX37" s="568">
        <f t="shared" si="35"/>
        <v>1.43</v>
      </c>
      <c r="BY37" s="452">
        <f t="shared" si="36"/>
        <v>6329.1188811188822</v>
      </c>
      <c r="BZ37" s="2"/>
      <c r="CA37" s="453" t="s">
        <v>17</v>
      </c>
      <c r="CB37" s="454">
        <f t="shared" si="37"/>
        <v>1</v>
      </c>
      <c r="CC37" s="455">
        <f t="shared" si="38"/>
        <v>9050.6400000000012</v>
      </c>
      <c r="CD37" s="454">
        <f t="shared" si="39"/>
        <v>0</v>
      </c>
      <c r="CE37" s="455">
        <f t="shared" si="40"/>
        <v>0</v>
      </c>
      <c r="CF37" s="427" t="b">
        <f t="shared" si="44"/>
        <v>1</v>
      </c>
    </row>
    <row r="38" spans="1:84" ht="14" customHeight="1" x14ac:dyDescent="0.25">
      <c r="A38" s="435"/>
      <c r="B38" s="446"/>
      <c r="C38" s="446"/>
      <c r="D38" s="463" t="s">
        <v>239</v>
      </c>
      <c r="E38" s="448" t="s">
        <v>232</v>
      </c>
      <c r="F38" s="448">
        <v>0.95833333333333337</v>
      </c>
      <c r="G38" s="448" t="s">
        <v>243</v>
      </c>
      <c r="H38" s="464">
        <v>30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/>
      <c r="AH38" s="11"/>
      <c r="AI38" s="11"/>
      <c r="AJ38" s="11"/>
      <c r="AK38" s="12"/>
      <c r="AL38" s="12"/>
      <c r="AM38" s="13"/>
      <c r="AN38" s="13"/>
      <c r="AO38" s="11"/>
      <c r="AP38" s="12"/>
      <c r="AQ38" s="12"/>
      <c r="AR38" s="12"/>
      <c r="AS38" s="11"/>
      <c r="AT38" s="13"/>
      <c r="AU38" s="13">
        <v>1</v>
      </c>
      <c r="AV38" s="11"/>
      <c r="AW38" s="12"/>
      <c r="AX38" s="12"/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449">
        <f t="shared" si="43"/>
        <v>1</v>
      </c>
      <c r="BQ38" s="460">
        <v>19480</v>
      </c>
      <c r="BR38" s="19">
        <v>0.85</v>
      </c>
      <c r="BS38" s="20">
        <f t="shared" si="41"/>
        <v>2922.0000000000005</v>
      </c>
      <c r="BT38" s="21">
        <f t="shared" si="42"/>
        <v>2922.0000000000005</v>
      </c>
      <c r="BU38" s="22">
        <f t="shared" si="34"/>
        <v>2337.6000000000004</v>
      </c>
      <c r="BW38" s="561">
        <v>0.21</v>
      </c>
      <c r="BX38" s="568">
        <f t="shared" si="35"/>
        <v>0.21</v>
      </c>
      <c r="BY38" s="452">
        <f t="shared" si="36"/>
        <v>11131.428571428574</v>
      </c>
      <c r="BZ38" s="2"/>
      <c r="CA38" s="453" t="s">
        <v>17</v>
      </c>
      <c r="CB38" s="454">
        <f t="shared" si="37"/>
        <v>0</v>
      </c>
      <c r="CC38" s="455">
        <f t="shared" si="38"/>
        <v>0</v>
      </c>
      <c r="CD38" s="454">
        <f t="shared" si="39"/>
        <v>1</v>
      </c>
      <c r="CE38" s="455">
        <f t="shared" si="40"/>
        <v>2337.6000000000004</v>
      </c>
      <c r="CF38" s="427" t="b">
        <f t="shared" si="44"/>
        <v>1</v>
      </c>
    </row>
    <row r="39" spans="1:84" s="458" customFormat="1" ht="14" customHeight="1" x14ac:dyDescent="0.25">
      <c r="A39" s="435"/>
      <c r="B39" s="446"/>
      <c r="C39" s="446"/>
      <c r="D39" s="466" t="s">
        <v>239</v>
      </c>
      <c r="E39" s="448" t="s">
        <v>232</v>
      </c>
      <c r="F39" s="448">
        <v>0.95833333333333337</v>
      </c>
      <c r="G39" s="448" t="s">
        <v>243</v>
      </c>
      <c r="H39" s="464">
        <v>60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/>
      <c r="AE39" s="11"/>
      <c r="AF39" s="13"/>
      <c r="AG39" s="13">
        <v>1</v>
      </c>
      <c r="AH39" s="11"/>
      <c r="AI39" s="11"/>
      <c r="AJ39" s="11"/>
      <c r="AK39" s="12"/>
      <c r="AL39" s="12"/>
      <c r="AM39" s="13"/>
      <c r="AN39" s="13"/>
      <c r="AO39" s="11"/>
      <c r="AP39" s="12"/>
      <c r="AQ39" s="12"/>
      <c r="AR39" s="12"/>
      <c r="AS39" s="11"/>
      <c r="AT39" s="13"/>
      <c r="AU39" s="13"/>
      <c r="AV39" s="11"/>
      <c r="AW39" s="12"/>
      <c r="AX39" s="12"/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449">
        <f t="shared" si="43"/>
        <v>1</v>
      </c>
      <c r="BQ39" s="460">
        <v>38960</v>
      </c>
      <c r="BR39" s="19">
        <v>0.85</v>
      </c>
      <c r="BS39" s="20">
        <f t="shared" si="41"/>
        <v>5844.0000000000009</v>
      </c>
      <c r="BT39" s="21">
        <f t="shared" si="42"/>
        <v>5844.0000000000009</v>
      </c>
      <c r="BU39" s="22">
        <f t="shared" si="34"/>
        <v>4675.2000000000007</v>
      </c>
      <c r="BV39" s="1"/>
      <c r="BW39" s="561">
        <v>0.21</v>
      </c>
      <c r="BX39" s="568">
        <f t="shared" si="35"/>
        <v>0.21</v>
      </c>
      <c r="BY39" s="452">
        <f t="shared" si="36"/>
        <v>22262.857142857149</v>
      </c>
      <c r="BZ39" s="2"/>
      <c r="CA39" s="453" t="s">
        <v>17</v>
      </c>
      <c r="CB39" s="454">
        <f t="shared" si="37"/>
        <v>1</v>
      </c>
      <c r="CC39" s="455">
        <f t="shared" si="38"/>
        <v>4675.2000000000007</v>
      </c>
      <c r="CD39" s="454">
        <f t="shared" si="39"/>
        <v>0</v>
      </c>
      <c r="CE39" s="455">
        <f t="shared" si="40"/>
        <v>0</v>
      </c>
      <c r="CF39" s="427" t="b">
        <f t="shared" si="44"/>
        <v>1</v>
      </c>
    </row>
    <row r="40" spans="1:84" s="458" customFormat="1" ht="14" customHeight="1" x14ac:dyDescent="0.25">
      <c r="A40" s="435"/>
      <c r="B40" s="446"/>
      <c r="C40" s="446"/>
      <c r="D40" s="466" t="s">
        <v>240</v>
      </c>
      <c r="E40" s="448" t="s">
        <v>230</v>
      </c>
      <c r="F40" s="448">
        <v>1.0416666666666666E-2</v>
      </c>
      <c r="G40" s="448" t="s">
        <v>244</v>
      </c>
      <c r="H40" s="464">
        <v>30</v>
      </c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/>
      <c r="AE40" s="11"/>
      <c r="AF40" s="13"/>
      <c r="AG40" s="13"/>
      <c r="AH40" s="11"/>
      <c r="AI40" s="11"/>
      <c r="AJ40" s="11">
        <v>1</v>
      </c>
      <c r="AK40" s="12"/>
      <c r="AL40" s="12"/>
      <c r="AM40" s="13"/>
      <c r="AN40" s="13"/>
      <c r="AO40" s="11"/>
      <c r="AP40" s="12"/>
      <c r="AQ40" s="12">
        <v>1</v>
      </c>
      <c r="AR40" s="12"/>
      <c r="AS40" s="11"/>
      <c r="AT40" s="13"/>
      <c r="AU40" s="13"/>
      <c r="AV40" s="11"/>
      <c r="AW40" s="12"/>
      <c r="AX40" s="12">
        <v>1</v>
      </c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449">
        <f t="shared" si="43"/>
        <v>3</v>
      </c>
      <c r="BQ40" s="460">
        <v>20453</v>
      </c>
      <c r="BR40" s="19">
        <v>0.85</v>
      </c>
      <c r="BS40" s="20">
        <f t="shared" si="41"/>
        <v>3067.9500000000003</v>
      </c>
      <c r="BT40" s="21">
        <f t="shared" si="42"/>
        <v>9203.85</v>
      </c>
      <c r="BU40" s="22">
        <f t="shared" si="34"/>
        <v>7363.0800000000008</v>
      </c>
      <c r="BV40" s="1"/>
      <c r="BW40" s="561">
        <v>0.34</v>
      </c>
      <c r="BX40" s="568">
        <f t="shared" si="35"/>
        <v>1.02</v>
      </c>
      <c r="BY40" s="452">
        <f t="shared" si="36"/>
        <v>7218.7058823529414</v>
      </c>
      <c r="BZ40" s="2"/>
      <c r="CA40" s="453" t="s">
        <v>17</v>
      </c>
      <c r="CB40" s="454">
        <f t="shared" si="37"/>
        <v>1</v>
      </c>
      <c r="CC40" s="455">
        <f t="shared" si="38"/>
        <v>2454.36</v>
      </c>
      <c r="CD40" s="454">
        <f t="shared" si="39"/>
        <v>2</v>
      </c>
      <c r="CE40" s="455">
        <f t="shared" si="40"/>
        <v>4908.72</v>
      </c>
      <c r="CF40" s="427" t="b">
        <f t="shared" si="44"/>
        <v>1</v>
      </c>
    </row>
    <row r="41" spans="1:84" s="458" customFormat="1" ht="14" customHeight="1" x14ac:dyDescent="0.25">
      <c r="A41" s="435"/>
      <c r="B41" s="446"/>
      <c r="C41" s="446"/>
      <c r="D41" s="447" t="s">
        <v>240</v>
      </c>
      <c r="E41" s="448" t="s">
        <v>230</v>
      </c>
      <c r="F41" s="448">
        <v>1.0416666666666666E-2</v>
      </c>
      <c r="G41" s="448" t="s">
        <v>244</v>
      </c>
      <c r="H41" s="464">
        <v>60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>
        <v>1</v>
      </c>
      <c r="AF41" s="13"/>
      <c r="AG41" s="13"/>
      <c r="AH41" s="11"/>
      <c r="AI41" s="11"/>
      <c r="AJ41" s="11"/>
      <c r="AK41" s="12"/>
      <c r="AL41" s="12"/>
      <c r="AM41" s="13"/>
      <c r="AN41" s="13"/>
      <c r="AO41" s="11"/>
      <c r="AP41" s="12"/>
      <c r="AQ41" s="12"/>
      <c r="AR41" s="12"/>
      <c r="AS41" s="11"/>
      <c r="AT41" s="13"/>
      <c r="AU41" s="13"/>
      <c r="AV41" s="11"/>
      <c r="AW41" s="12"/>
      <c r="AX41" s="12"/>
      <c r="AY41" s="12"/>
      <c r="AZ41" s="11"/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449">
        <f t="shared" si="43"/>
        <v>1</v>
      </c>
      <c r="BQ41" s="460">
        <v>40906</v>
      </c>
      <c r="BR41" s="19">
        <v>0.85</v>
      </c>
      <c r="BS41" s="20">
        <f t="shared" si="41"/>
        <v>6135.9000000000005</v>
      </c>
      <c r="BT41" s="21">
        <f t="shared" si="42"/>
        <v>6135.9000000000005</v>
      </c>
      <c r="BU41" s="22">
        <f t="shared" si="34"/>
        <v>4908.72</v>
      </c>
      <c r="BV41" s="1"/>
      <c r="BW41" s="561">
        <v>0.34</v>
      </c>
      <c r="BX41" s="568">
        <f t="shared" si="35"/>
        <v>0.34</v>
      </c>
      <c r="BY41" s="452">
        <f t="shared" si="36"/>
        <v>14437.411764705883</v>
      </c>
      <c r="BZ41" s="2"/>
      <c r="CA41" s="453" t="s">
        <v>17</v>
      </c>
      <c r="CB41" s="454">
        <f t="shared" si="37"/>
        <v>1</v>
      </c>
      <c r="CC41" s="455">
        <f t="shared" si="38"/>
        <v>4908.72</v>
      </c>
      <c r="CD41" s="454">
        <f t="shared" si="39"/>
        <v>0</v>
      </c>
      <c r="CE41" s="455">
        <f t="shared" si="40"/>
        <v>0</v>
      </c>
      <c r="CF41" s="427" t="b">
        <f t="shared" si="44"/>
        <v>1</v>
      </c>
    </row>
    <row r="42" spans="1:84" ht="14" customHeight="1" x14ac:dyDescent="0.25">
      <c r="A42" s="435"/>
      <c r="B42" s="446"/>
      <c r="C42" s="446"/>
      <c r="D42" s="447" t="s">
        <v>226</v>
      </c>
      <c r="E42" s="448" t="s">
        <v>230</v>
      </c>
      <c r="F42" s="448">
        <v>0.29166666666666669</v>
      </c>
      <c r="G42" s="448" t="s">
        <v>245</v>
      </c>
      <c r="H42" s="464">
        <v>30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/>
      <c r="AF42" s="13"/>
      <c r="AG42" s="13"/>
      <c r="AH42" s="11"/>
      <c r="AI42" s="11"/>
      <c r="AJ42" s="11"/>
      <c r="AK42" s="12"/>
      <c r="AL42" s="12"/>
      <c r="AM42" s="13"/>
      <c r="AN42" s="13"/>
      <c r="AO42" s="11"/>
      <c r="AP42" s="12"/>
      <c r="AQ42" s="12"/>
      <c r="AR42" s="12"/>
      <c r="AS42" s="11"/>
      <c r="AT42" s="13"/>
      <c r="AU42" s="13"/>
      <c r="AV42" s="11"/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449">
        <f t="shared" si="43"/>
        <v>0</v>
      </c>
      <c r="BQ42" s="460">
        <v>10649</v>
      </c>
      <c r="BR42" s="19">
        <v>0.85</v>
      </c>
      <c r="BS42" s="20">
        <f t="shared" si="41"/>
        <v>1597.3500000000001</v>
      </c>
      <c r="BT42" s="21">
        <f t="shared" si="42"/>
        <v>0</v>
      </c>
      <c r="BU42" s="22">
        <f t="shared" si="34"/>
        <v>0</v>
      </c>
      <c r="BW42" s="561">
        <v>0.1</v>
      </c>
      <c r="BX42" s="568">
        <f t="shared" si="35"/>
        <v>0</v>
      </c>
      <c r="BY42" s="452">
        <f t="shared" si="36"/>
        <v>0</v>
      </c>
      <c r="BZ42" s="2"/>
      <c r="CA42" s="453" t="s">
        <v>17</v>
      </c>
      <c r="CB42" s="454">
        <f t="shared" si="37"/>
        <v>0</v>
      </c>
      <c r="CC42" s="455">
        <f t="shared" si="38"/>
        <v>0</v>
      </c>
      <c r="CD42" s="454">
        <f t="shared" si="39"/>
        <v>0</v>
      </c>
      <c r="CE42" s="455">
        <f t="shared" si="40"/>
        <v>0</v>
      </c>
      <c r="CF42" s="427" t="b">
        <f t="shared" si="44"/>
        <v>1</v>
      </c>
    </row>
    <row r="43" spans="1:84" ht="14" customHeight="1" x14ac:dyDescent="0.25">
      <c r="A43" s="435"/>
      <c r="B43" s="446"/>
      <c r="C43" s="446"/>
      <c r="D43" s="463" t="s">
        <v>213</v>
      </c>
      <c r="E43" s="448" t="s">
        <v>230</v>
      </c>
      <c r="F43" s="448">
        <v>0.85416666666666663</v>
      </c>
      <c r="G43" s="448" t="s">
        <v>246</v>
      </c>
      <c r="H43" s="464">
        <v>30</v>
      </c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/>
      <c r="AF43" s="13"/>
      <c r="AG43" s="13"/>
      <c r="AH43" s="11">
        <v>1</v>
      </c>
      <c r="AI43" s="11"/>
      <c r="AJ43" s="11"/>
      <c r="AK43" s="12"/>
      <c r="AL43" s="12"/>
      <c r="AM43" s="13"/>
      <c r="AN43" s="13"/>
      <c r="AO43" s="11">
        <v>1</v>
      </c>
      <c r="AP43" s="12"/>
      <c r="AQ43" s="12"/>
      <c r="AR43" s="12"/>
      <c r="AS43" s="11"/>
      <c r="AT43" s="13"/>
      <c r="AU43" s="13"/>
      <c r="AV43" s="11">
        <v>1</v>
      </c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449">
        <f t="shared" si="43"/>
        <v>3</v>
      </c>
      <c r="BQ43" s="460">
        <v>66739</v>
      </c>
      <c r="BR43" s="19">
        <v>0.85</v>
      </c>
      <c r="BS43" s="20">
        <f t="shared" si="41"/>
        <v>10010.850000000002</v>
      </c>
      <c r="BT43" s="21">
        <f t="shared" si="42"/>
        <v>30032.550000000007</v>
      </c>
      <c r="BU43" s="22">
        <f t="shared" si="34"/>
        <v>24026.040000000008</v>
      </c>
      <c r="BW43" s="561">
        <v>0.71</v>
      </c>
      <c r="BX43" s="568">
        <f t="shared" si="35"/>
        <v>2.13</v>
      </c>
      <c r="BY43" s="452">
        <f t="shared" si="36"/>
        <v>11279.830985915498</v>
      </c>
      <c r="BZ43" s="2"/>
      <c r="CA43" s="453" t="s">
        <v>17</v>
      </c>
      <c r="CB43" s="454">
        <f t="shared" si="37"/>
        <v>1</v>
      </c>
      <c r="CC43" s="455">
        <f t="shared" si="38"/>
        <v>8008.6800000000021</v>
      </c>
      <c r="CD43" s="454">
        <f t="shared" si="39"/>
        <v>2</v>
      </c>
      <c r="CE43" s="455">
        <f t="shared" si="40"/>
        <v>16017.360000000004</v>
      </c>
      <c r="CF43" s="427" t="b">
        <f t="shared" si="44"/>
        <v>1</v>
      </c>
    </row>
    <row r="44" spans="1:84" s="458" customFormat="1" ht="14" customHeight="1" x14ac:dyDescent="0.25">
      <c r="A44" s="435"/>
      <c r="B44" s="446"/>
      <c r="C44" s="446"/>
      <c r="D44" s="447" t="s">
        <v>213</v>
      </c>
      <c r="E44" s="448" t="s">
        <v>230</v>
      </c>
      <c r="F44" s="448">
        <v>0.85416666666666663</v>
      </c>
      <c r="G44" s="448" t="s">
        <v>246</v>
      </c>
      <c r="H44" s="464">
        <v>60</v>
      </c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>
        <v>1</v>
      </c>
      <c r="AF44" s="13"/>
      <c r="AG44" s="13"/>
      <c r="AH44" s="11"/>
      <c r="AI44" s="11"/>
      <c r="AJ44" s="11"/>
      <c r="AK44" s="12"/>
      <c r="AL44" s="12"/>
      <c r="AM44" s="13"/>
      <c r="AN44" s="13"/>
      <c r="AO44" s="11"/>
      <c r="AP44" s="12"/>
      <c r="AQ44" s="12"/>
      <c r="AR44" s="12"/>
      <c r="AS44" s="11"/>
      <c r="AT44" s="13"/>
      <c r="AU44" s="13"/>
      <c r="AV44" s="11"/>
      <c r="AW44" s="12"/>
      <c r="AX44" s="12"/>
      <c r="AY44" s="12"/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449">
        <f t="shared" si="43"/>
        <v>1</v>
      </c>
      <c r="BQ44" s="460">
        <v>133478</v>
      </c>
      <c r="BR44" s="19">
        <v>0.85</v>
      </c>
      <c r="BS44" s="20">
        <f t="shared" si="41"/>
        <v>20021.700000000004</v>
      </c>
      <c r="BT44" s="21">
        <f t="shared" si="42"/>
        <v>20021.700000000004</v>
      </c>
      <c r="BU44" s="22">
        <f t="shared" si="34"/>
        <v>16017.360000000004</v>
      </c>
      <c r="BV44" s="1"/>
      <c r="BW44" s="561">
        <v>0.71</v>
      </c>
      <c r="BX44" s="568">
        <f t="shared" si="35"/>
        <v>0.71</v>
      </c>
      <c r="BY44" s="452">
        <f t="shared" si="36"/>
        <v>22559.661971830992</v>
      </c>
      <c r="BZ44" s="2"/>
      <c r="CA44" s="453" t="s">
        <v>17</v>
      </c>
      <c r="CB44" s="454">
        <f t="shared" si="37"/>
        <v>1</v>
      </c>
      <c r="CC44" s="455">
        <f t="shared" si="38"/>
        <v>16017.360000000004</v>
      </c>
      <c r="CD44" s="454">
        <f t="shared" si="39"/>
        <v>0</v>
      </c>
      <c r="CE44" s="455">
        <f t="shared" si="40"/>
        <v>0</v>
      </c>
      <c r="CF44" s="427" t="b">
        <f>SUM(CC44,CE44)=BU44</f>
        <v>1</v>
      </c>
    </row>
    <row r="45" spans="1:84" s="458" customFormat="1" ht="14" customHeight="1" x14ac:dyDescent="0.25">
      <c r="A45" s="435"/>
      <c r="B45" s="446"/>
      <c r="C45" s="446"/>
      <c r="D45" s="459"/>
      <c r="E45" s="448"/>
      <c r="F45" s="448"/>
      <c r="G45" s="448"/>
      <c r="H45" s="464"/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/>
      <c r="AE45" s="11"/>
      <c r="AF45" s="13"/>
      <c r="AG45" s="13"/>
      <c r="AH45" s="11"/>
      <c r="AI45" s="11"/>
      <c r="AJ45" s="11"/>
      <c r="AK45" s="12"/>
      <c r="AL45" s="12"/>
      <c r="AM45" s="13"/>
      <c r="AN45" s="13"/>
      <c r="AO45" s="11"/>
      <c r="AP45" s="12"/>
      <c r="AQ45" s="12"/>
      <c r="AR45" s="12"/>
      <c r="AS45" s="11"/>
      <c r="AT45" s="13"/>
      <c r="AU45" s="13"/>
      <c r="AV45" s="11"/>
      <c r="AW45" s="12"/>
      <c r="AX45" s="12"/>
      <c r="AY45" s="12"/>
      <c r="AZ45" s="11"/>
      <c r="BA45" s="13"/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449"/>
      <c r="BQ45" s="15"/>
      <c r="BR45" s="19"/>
      <c r="BS45" s="20"/>
      <c r="BT45" s="21"/>
      <c r="BU45" s="22"/>
      <c r="BV45" s="1"/>
      <c r="BW45" s="563"/>
      <c r="BX45" s="569"/>
      <c r="BY45" s="452"/>
      <c r="BZ45" s="2"/>
      <c r="CA45" s="494" t="s">
        <v>152</v>
      </c>
      <c r="CB45" s="495">
        <f>SUM(CB34:CB44)</f>
        <v>9</v>
      </c>
      <c r="CC45" s="496">
        <f>SUM(CC34:CC44)</f>
        <v>53473.920000000013</v>
      </c>
      <c r="CD45" s="495">
        <f>SUM(CD34:CD44)</f>
        <v>9</v>
      </c>
      <c r="CE45" s="496">
        <f>SUM(CE34:CE44)</f>
        <v>34870.080000000002</v>
      </c>
      <c r="CF45" s="427"/>
    </row>
    <row r="46" spans="1:84" s="458" customFormat="1" ht="14" customHeight="1" x14ac:dyDescent="0.25">
      <c r="A46" s="435"/>
      <c r="B46" s="446"/>
      <c r="C46" s="446" t="s">
        <v>254</v>
      </c>
      <c r="D46" s="466" t="s">
        <v>396</v>
      </c>
      <c r="E46" s="448" t="s">
        <v>233</v>
      </c>
      <c r="F46" s="448">
        <v>0.70833333333333337</v>
      </c>
      <c r="G46" s="448">
        <v>0.82291666666666663</v>
      </c>
      <c r="H46" s="464">
        <v>30</v>
      </c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/>
      <c r="AG46" s="13"/>
      <c r="AH46" s="11"/>
      <c r="AI46" s="11"/>
      <c r="AJ46" s="11"/>
      <c r="AK46" s="12"/>
      <c r="AL46" s="12"/>
      <c r="AM46" s="13">
        <v>1</v>
      </c>
      <c r="AN46" s="13"/>
      <c r="AO46" s="11"/>
      <c r="AP46" s="12"/>
      <c r="AQ46" s="12"/>
      <c r="AR46" s="12"/>
      <c r="AS46" s="11"/>
      <c r="AT46" s="13">
        <v>1</v>
      </c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449">
        <f t="shared" ref="BP46:BP57" si="45">SUM(I46:BO46)</f>
        <v>2</v>
      </c>
      <c r="BQ46" s="460">
        <v>51691</v>
      </c>
      <c r="BR46" s="19">
        <v>0.8</v>
      </c>
      <c r="BS46" s="20">
        <f t="shared" ref="BS46:BS57" si="46">BQ46*(1-BR46)</f>
        <v>10338.199999999997</v>
      </c>
      <c r="BT46" s="21">
        <f t="shared" ref="BT46:BT57" si="47">BS46*BP46</f>
        <v>20676.399999999994</v>
      </c>
      <c r="BU46" s="22">
        <f t="shared" ref="BU46:BU57" si="48">BT46*0.8</f>
        <v>16541.119999999995</v>
      </c>
      <c r="BV46" s="1"/>
      <c r="BW46" s="561">
        <v>2.19</v>
      </c>
      <c r="BX46" s="568">
        <f t="shared" ref="BX46:BX57" si="49">BW46*BP46</f>
        <v>4.38</v>
      </c>
      <c r="BY46" s="452">
        <f t="shared" ref="BY46:BY57" si="50">IFERROR(BU46/BX46,0)</f>
        <v>3776.5114155251131</v>
      </c>
      <c r="BZ46" s="2"/>
      <c r="CA46" s="453" t="s">
        <v>254</v>
      </c>
      <c r="CB46" s="454">
        <f t="shared" ref="CB46:CB57" si="51">COUNTA(I46:AM46)</f>
        <v>1</v>
      </c>
      <c r="CC46" s="455">
        <f t="shared" ref="CC46:CC57" si="52">CB46*BS46*0.8</f>
        <v>8270.5599999999977</v>
      </c>
      <c r="CD46" s="454">
        <f t="shared" ref="CD46:CD57" si="53">COUNTA(AN46:BO46)</f>
        <v>1</v>
      </c>
      <c r="CE46" s="455">
        <f t="shared" ref="CE46:CE57" si="54">CD46*BS46*0.8</f>
        <v>8270.5599999999977</v>
      </c>
      <c r="CF46" s="427" t="b">
        <f t="shared" ref="CF46:CF57" si="55">SUM(CC46,CE46)=BU46</f>
        <v>1</v>
      </c>
    </row>
    <row r="47" spans="1:84" s="458" customFormat="1" ht="14" customHeight="1" x14ac:dyDescent="0.25">
      <c r="A47" s="435"/>
      <c r="B47" s="446"/>
      <c r="C47" s="446"/>
      <c r="D47" s="466" t="s">
        <v>247</v>
      </c>
      <c r="E47" s="448" t="s">
        <v>233</v>
      </c>
      <c r="F47" s="448">
        <v>0.875</v>
      </c>
      <c r="G47" s="448" t="s">
        <v>255</v>
      </c>
      <c r="H47" s="464">
        <v>60</v>
      </c>
      <c r="I47" s="11"/>
      <c r="J47" s="11"/>
      <c r="K47" s="13"/>
      <c r="L47" s="13"/>
      <c r="M47" s="11"/>
      <c r="N47" s="12"/>
      <c r="O47" s="12"/>
      <c r="P47" s="12"/>
      <c r="Q47" s="11"/>
      <c r="R47" s="13"/>
      <c r="S47" s="13"/>
      <c r="T47" s="11"/>
      <c r="U47" s="12"/>
      <c r="V47" s="12"/>
      <c r="W47" s="12"/>
      <c r="X47" s="11"/>
      <c r="Y47" s="13"/>
      <c r="Z47" s="13"/>
      <c r="AA47" s="11"/>
      <c r="AB47" s="12"/>
      <c r="AC47" s="12"/>
      <c r="AD47" s="12"/>
      <c r="AE47" s="11"/>
      <c r="AF47" s="13">
        <v>1</v>
      </c>
      <c r="AG47" s="13"/>
      <c r="AH47" s="11"/>
      <c r="AI47" s="11"/>
      <c r="AJ47" s="11"/>
      <c r="AK47" s="12"/>
      <c r="AL47" s="12"/>
      <c r="AM47" s="13"/>
      <c r="AN47" s="13"/>
      <c r="AO47" s="11"/>
      <c r="AP47" s="12"/>
      <c r="AQ47" s="12"/>
      <c r="AR47" s="12"/>
      <c r="AS47" s="11"/>
      <c r="AT47" s="13"/>
      <c r="AU47" s="13"/>
      <c r="AV47" s="11"/>
      <c r="AW47" s="12"/>
      <c r="AX47" s="12"/>
      <c r="AY47" s="12"/>
      <c r="AZ47" s="11"/>
      <c r="BA47" s="13"/>
      <c r="BB47" s="13"/>
      <c r="BC47" s="11"/>
      <c r="BD47" s="12"/>
      <c r="BE47" s="12"/>
      <c r="BF47" s="12"/>
      <c r="BG47" s="11"/>
      <c r="BH47" s="13"/>
      <c r="BI47" s="13"/>
      <c r="BJ47" s="11"/>
      <c r="BK47" s="12"/>
      <c r="BL47" s="12"/>
      <c r="BM47" s="12"/>
      <c r="BN47" s="11"/>
      <c r="BO47" s="13"/>
      <c r="BP47" s="449">
        <f t="shared" si="45"/>
        <v>1</v>
      </c>
      <c r="BQ47" s="460">
        <v>103382</v>
      </c>
      <c r="BR47" s="19">
        <v>0.8</v>
      </c>
      <c r="BS47" s="20">
        <f t="shared" si="46"/>
        <v>20676.399999999994</v>
      </c>
      <c r="BT47" s="21">
        <f t="shared" si="47"/>
        <v>20676.399999999994</v>
      </c>
      <c r="BU47" s="22">
        <f t="shared" si="48"/>
        <v>16541.119999999995</v>
      </c>
      <c r="BV47" s="1"/>
      <c r="BW47" s="561">
        <v>2.19</v>
      </c>
      <c r="BX47" s="568">
        <f t="shared" si="49"/>
        <v>2.19</v>
      </c>
      <c r="BY47" s="452">
        <f t="shared" si="50"/>
        <v>7553.0228310502262</v>
      </c>
      <c r="BZ47" s="2"/>
      <c r="CA47" s="453" t="s">
        <v>254</v>
      </c>
      <c r="CB47" s="454">
        <f t="shared" si="51"/>
        <v>1</v>
      </c>
      <c r="CC47" s="455">
        <f t="shared" si="52"/>
        <v>16541.119999999995</v>
      </c>
      <c r="CD47" s="454">
        <f t="shared" si="53"/>
        <v>0</v>
      </c>
      <c r="CE47" s="455">
        <f t="shared" si="54"/>
        <v>0</v>
      </c>
      <c r="CF47" s="427" t="b">
        <f t="shared" si="55"/>
        <v>1</v>
      </c>
    </row>
    <row r="48" spans="1:84" s="458" customFormat="1" ht="14" customHeight="1" x14ac:dyDescent="0.25">
      <c r="A48" s="435"/>
      <c r="B48" s="446"/>
      <c r="C48" s="446"/>
      <c r="D48" s="447" t="s">
        <v>248</v>
      </c>
      <c r="E48" s="448" t="s">
        <v>232</v>
      </c>
      <c r="F48" s="448">
        <v>0.75</v>
      </c>
      <c r="G48" s="448" t="s">
        <v>256</v>
      </c>
      <c r="H48" s="464">
        <v>30</v>
      </c>
      <c r="I48" s="11"/>
      <c r="J48" s="11"/>
      <c r="K48" s="13"/>
      <c r="L48" s="13"/>
      <c r="M48" s="11"/>
      <c r="N48" s="12"/>
      <c r="O48" s="12"/>
      <c r="P48" s="12"/>
      <c r="Q48" s="11"/>
      <c r="R48" s="13"/>
      <c r="S48" s="13"/>
      <c r="T48" s="11"/>
      <c r="U48" s="12"/>
      <c r="V48" s="12"/>
      <c r="W48" s="12"/>
      <c r="X48" s="11"/>
      <c r="Y48" s="13"/>
      <c r="Z48" s="13"/>
      <c r="AA48" s="11"/>
      <c r="AB48" s="12"/>
      <c r="AC48" s="12"/>
      <c r="AD48" s="12"/>
      <c r="AE48" s="11"/>
      <c r="AF48" s="13"/>
      <c r="AG48" s="13"/>
      <c r="AH48" s="11"/>
      <c r="AI48" s="11"/>
      <c r="AJ48" s="11"/>
      <c r="AK48" s="12"/>
      <c r="AL48" s="12"/>
      <c r="AM48" s="13"/>
      <c r="AN48" s="13">
        <v>1</v>
      </c>
      <c r="AO48" s="11"/>
      <c r="AP48" s="12"/>
      <c r="AQ48" s="12"/>
      <c r="AR48" s="12"/>
      <c r="AS48" s="11"/>
      <c r="AT48" s="13"/>
      <c r="AU48" s="13">
        <v>1</v>
      </c>
      <c r="AV48" s="11"/>
      <c r="AW48" s="12"/>
      <c r="AX48" s="12"/>
      <c r="AY48" s="12"/>
      <c r="AZ48" s="11"/>
      <c r="BA48" s="13"/>
      <c r="BB48" s="13"/>
      <c r="BC48" s="11"/>
      <c r="BD48" s="12"/>
      <c r="BE48" s="12"/>
      <c r="BF48" s="12"/>
      <c r="BG48" s="11"/>
      <c r="BH48" s="13"/>
      <c r="BI48" s="13"/>
      <c r="BJ48" s="11"/>
      <c r="BK48" s="12"/>
      <c r="BL48" s="12"/>
      <c r="BM48" s="12"/>
      <c r="BN48" s="11"/>
      <c r="BO48" s="13"/>
      <c r="BP48" s="449">
        <f t="shared" si="45"/>
        <v>2</v>
      </c>
      <c r="BQ48" s="460">
        <v>326000</v>
      </c>
      <c r="BR48" s="19">
        <v>0.8</v>
      </c>
      <c r="BS48" s="20">
        <f t="shared" si="46"/>
        <v>65199.999999999985</v>
      </c>
      <c r="BT48" s="21">
        <f t="shared" si="47"/>
        <v>130399.99999999997</v>
      </c>
      <c r="BU48" s="22">
        <f t="shared" si="48"/>
        <v>104319.99999999999</v>
      </c>
      <c r="BV48" s="1"/>
      <c r="BW48" s="561">
        <v>3.05</v>
      </c>
      <c r="BX48" s="568">
        <f t="shared" si="49"/>
        <v>6.1</v>
      </c>
      <c r="BY48" s="452">
        <f t="shared" si="50"/>
        <v>17101.639344262294</v>
      </c>
      <c r="BZ48" s="2"/>
      <c r="CA48" s="453" t="s">
        <v>254</v>
      </c>
      <c r="CB48" s="454">
        <f t="shared" si="51"/>
        <v>0</v>
      </c>
      <c r="CC48" s="455">
        <f t="shared" si="52"/>
        <v>0</v>
      </c>
      <c r="CD48" s="454">
        <f t="shared" si="53"/>
        <v>2</v>
      </c>
      <c r="CE48" s="455">
        <f t="shared" si="54"/>
        <v>104319.99999999999</v>
      </c>
      <c r="CF48" s="427" t="b">
        <f t="shared" si="55"/>
        <v>1</v>
      </c>
    </row>
    <row r="49" spans="1:84" s="458" customFormat="1" ht="14" customHeight="1" x14ac:dyDescent="0.25">
      <c r="A49" s="435"/>
      <c r="B49" s="446"/>
      <c r="C49" s="446"/>
      <c r="D49" s="447" t="s">
        <v>248</v>
      </c>
      <c r="E49" s="448" t="s">
        <v>232</v>
      </c>
      <c r="F49" s="448">
        <v>0.75</v>
      </c>
      <c r="G49" s="448" t="s">
        <v>256</v>
      </c>
      <c r="H49" s="464">
        <v>60</v>
      </c>
      <c r="I49" s="11"/>
      <c r="J49" s="11"/>
      <c r="K49" s="13"/>
      <c r="L49" s="13"/>
      <c r="M49" s="11"/>
      <c r="N49" s="12"/>
      <c r="O49" s="12"/>
      <c r="P49" s="12"/>
      <c r="Q49" s="11"/>
      <c r="R49" s="13"/>
      <c r="S49" s="13"/>
      <c r="T49" s="11"/>
      <c r="U49" s="12"/>
      <c r="V49" s="12"/>
      <c r="W49" s="12"/>
      <c r="X49" s="11"/>
      <c r="Y49" s="13"/>
      <c r="Z49" s="13"/>
      <c r="AA49" s="11"/>
      <c r="AB49" s="12"/>
      <c r="AC49" s="12"/>
      <c r="AD49" s="12"/>
      <c r="AE49" s="11"/>
      <c r="AF49" s="13"/>
      <c r="AG49" s="13">
        <v>1</v>
      </c>
      <c r="AH49" s="11"/>
      <c r="AI49" s="11"/>
      <c r="AJ49" s="11"/>
      <c r="AK49" s="12"/>
      <c r="AL49" s="12"/>
      <c r="AM49" s="13"/>
      <c r="AN49" s="13"/>
      <c r="AO49" s="11"/>
      <c r="AP49" s="12"/>
      <c r="AQ49" s="12"/>
      <c r="AR49" s="12"/>
      <c r="AS49" s="11"/>
      <c r="AT49" s="13"/>
      <c r="AU49" s="13"/>
      <c r="AV49" s="11"/>
      <c r="AW49" s="12"/>
      <c r="AX49" s="12"/>
      <c r="AY49" s="12"/>
      <c r="AZ49" s="11"/>
      <c r="BA49" s="13"/>
      <c r="BB49" s="13"/>
      <c r="BC49" s="11"/>
      <c r="BD49" s="12"/>
      <c r="BE49" s="12"/>
      <c r="BF49" s="12"/>
      <c r="BG49" s="11"/>
      <c r="BH49" s="13"/>
      <c r="BI49" s="13"/>
      <c r="BJ49" s="11"/>
      <c r="BK49" s="12"/>
      <c r="BL49" s="12"/>
      <c r="BM49" s="12"/>
      <c r="BN49" s="11"/>
      <c r="BO49" s="13"/>
      <c r="BP49" s="449">
        <f t="shared" si="45"/>
        <v>1</v>
      </c>
      <c r="BQ49" s="460">
        <v>652000</v>
      </c>
      <c r="BR49" s="19">
        <v>0.8</v>
      </c>
      <c r="BS49" s="20">
        <f t="shared" si="46"/>
        <v>130399.99999999997</v>
      </c>
      <c r="BT49" s="21">
        <f t="shared" si="47"/>
        <v>130399.99999999997</v>
      </c>
      <c r="BU49" s="22">
        <f t="shared" si="48"/>
        <v>104319.99999999999</v>
      </c>
      <c r="BV49" s="1"/>
      <c r="BW49" s="561">
        <v>3.05</v>
      </c>
      <c r="BX49" s="568">
        <f t="shared" si="49"/>
        <v>3.05</v>
      </c>
      <c r="BY49" s="452">
        <f t="shared" si="50"/>
        <v>34203.278688524588</v>
      </c>
      <c r="BZ49" s="2"/>
      <c r="CA49" s="453" t="s">
        <v>254</v>
      </c>
      <c r="CB49" s="454">
        <f t="shared" si="51"/>
        <v>1</v>
      </c>
      <c r="CC49" s="455">
        <f t="shared" si="52"/>
        <v>104319.99999999999</v>
      </c>
      <c r="CD49" s="454">
        <f t="shared" si="53"/>
        <v>0</v>
      </c>
      <c r="CE49" s="455">
        <f t="shared" si="54"/>
        <v>0</v>
      </c>
      <c r="CF49" s="427" t="b">
        <f t="shared" si="55"/>
        <v>1</v>
      </c>
    </row>
    <row r="50" spans="1:84" s="458" customFormat="1" ht="14" customHeight="1" x14ac:dyDescent="0.25">
      <c r="A50" s="435"/>
      <c r="B50" s="446"/>
      <c r="C50" s="446"/>
      <c r="D50" s="459" t="s">
        <v>249</v>
      </c>
      <c r="E50" s="448" t="s">
        <v>230</v>
      </c>
      <c r="F50" s="448">
        <v>0.35416666666666669</v>
      </c>
      <c r="G50" s="448" t="s">
        <v>257</v>
      </c>
      <c r="H50" s="464">
        <v>30</v>
      </c>
      <c r="I50" s="11"/>
      <c r="J50" s="11"/>
      <c r="K50" s="13"/>
      <c r="L50" s="13"/>
      <c r="M50" s="11"/>
      <c r="N50" s="12"/>
      <c r="O50" s="12"/>
      <c r="P50" s="12"/>
      <c r="Q50" s="11"/>
      <c r="R50" s="13"/>
      <c r="S50" s="13"/>
      <c r="T50" s="11"/>
      <c r="U50" s="12"/>
      <c r="V50" s="12"/>
      <c r="W50" s="12"/>
      <c r="X50" s="11"/>
      <c r="Y50" s="13"/>
      <c r="Z50" s="13"/>
      <c r="AA50" s="11"/>
      <c r="AB50" s="12"/>
      <c r="AC50" s="12"/>
      <c r="AD50" s="12"/>
      <c r="AE50" s="11"/>
      <c r="AF50" s="13"/>
      <c r="AG50" s="13"/>
      <c r="AH50" s="11"/>
      <c r="AI50" s="11"/>
      <c r="AJ50" s="11">
        <v>1</v>
      </c>
      <c r="AK50" s="12"/>
      <c r="AL50" s="12"/>
      <c r="AM50" s="13"/>
      <c r="AN50" s="13"/>
      <c r="AO50" s="11"/>
      <c r="AP50" s="12"/>
      <c r="AQ50" s="12">
        <v>1</v>
      </c>
      <c r="AR50" s="12"/>
      <c r="AS50" s="11"/>
      <c r="AT50" s="13"/>
      <c r="AU50" s="13"/>
      <c r="AV50" s="11"/>
      <c r="AW50" s="12"/>
      <c r="AX50" s="12">
        <v>1</v>
      </c>
      <c r="AY50" s="12"/>
      <c r="AZ50" s="11"/>
      <c r="BA50" s="13"/>
      <c r="BB50" s="13"/>
      <c r="BC50" s="11"/>
      <c r="BD50" s="12"/>
      <c r="BE50" s="12"/>
      <c r="BF50" s="12"/>
      <c r="BG50" s="11"/>
      <c r="BH50" s="13"/>
      <c r="BI50" s="13"/>
      <c r="BJ50" s="11"/>
      <c r="BK50" s="12"/>
      <c r="BL50" s="12"/>
      <c r="BM50" s="12"/>
      <c r="BN50" s="11"/>
      <c r="BO50" s="13"/>
      <c r="BP50" s="449">
        <f t="shared" si="45"/>
        <v>3</v>
      </c>
      <c r="BQ50" s="460">
        <v>69921</v>
      </c>
      <c r="BR50" s="19">
        <v>0.8</v>
      </c>
      <c r="BS50" s="20">
        <f t="shared" si="46"/>
        <v>13984.199999999997</v>
      </c>
      <c r="BT50" s="21">
        <f t="shared" si="47"/>
        <v>41952.599999999991</v>
      </c>
      <c r="BU50" s="22">
        <f t="shared" si="48"/>
        <v>33562.079999999994</v>
      </c>
      <c r="BV50" s="1"/>
      <c r="BW50" s="561">
        <v>1.95</v>
      </c>
      <c r="BX50" s="568">
        <f t="shared" si="49"/>
        <v>5.85</v>
      </c>
      <c r="BY50" s="452">
        <f t="shared" si="50"/>
        <v>5737.1076923076917</v>
      </c>
      <c r="BZ50" s="2"/>
      <c r="CA50" s="453" t="s">
        <v>254</v>
      </c>
      <c r="CB50" s="454">
        <f t="shared" si="51"/>
        <v>1</v>
      </c>
      <c r="CC50" s="455">
        <f t="shared" si="52"/>
        <v>11187.359999999999</v>
      </c>
      <c r="CD50" s="454">
        <f t="shared" si="53"/>
        <v>2</v>
      </c>
      <c r="CE50" s="455">
        <f t="shared" si="54"/>
        <v>22374.719999999998</v>
      </c>
      <c r="CF50" s="427" t="b">
        <f t="shared" si="55"/>
        <v>1</v>
      </c>
    </row>
    <row r="51" spans="1:84" s="458" customFormat="1" ht="14" customHeight="1" x14ac:dyDescent="0.25">
      <c r="A51" s="435"/>
      <c r="B51" s="446"/>
      <c r="C51" s="446"/>
      <c r="D51" s="466" t="s">
        <v>249</v>
      </c>
      <c r="E51" s="448" t="s">
        <v>230</v>
      </c>
      <c r="F51" s="448">
        <v>0.35416666666666669</v>
      </c>
      <c r="G51" s="448" t="s">
        <v>257</v>
      </c>
      <c r="H51" s="464">
        <v>60</v>
      </c>
      <c r="I51" s="11"/>
      <c r="J51" s="11"/>
      <c r="K51" s="13"/>
      <c r="L51" s="13"/>
      <c r="M51" s="11"/>
      <c r="N51" s="12"/>
      <c r="O51" s="12"/>
      <c r="P51" s="12"/>
      <c r="Q51" s="11"/>
      <c r="R51" s="13"/>
      <c r="S51" s="13"/>
      <c r="T51" s="11"/>
      <c r="U51" s="12"/>
      <c r="V51" s="12"/>
      <c r="W51" s="12"/>
      <c r="X51" s="11"/>
      <c r="Y51" s="13"/>
      <c r="Z51" s="13"/>
      <c r="AA51" s="11"/>
      <c r="AB51" s="12"/>
      <c r="AC51" s="12"/>
      <c r="AD51" s="12"/>
      <c r="AE51" s="11">
        <v>1</v>
      </c>
      <c r="AF51" s="13"/>
      <c r="AG51" s="13"/>
      <c r="AH51" s="11"/>
      <c r="AI51" s="11"/>
      <c r="AJ51" s="11"/>
      <c r="AK51" s="12"/>
      <c r="AL51" s="12"/>
      <c r="AM51" s="13"/>
      <c r="AN51" s="13"/>
      <c r="AO51" s="11"/>
      <c r="AP51" s="12"/>
      <c r="AQ51" s="12"/>
      <c r="AR51" s="12"/>
      <c r="AS51" s="11"/>
      <c r="AT51" s="13"/>
      <c r="AU51" s="13"/>
      <c r="AV51" s="11"/>
      <c r="AW51" s="12"/>
      <c r="AX51" s="12"/>
      <c r="AY51" s="12"/>
      <c r="AZ51" s="11"/>
      <c r="BA51" s="13"/>
      <c r="BB51" s="13"/>
      <c r="BC51" s="11"/>
      <c r="BD51" s="12"/>
      <c r="BE51" s="12"/>
      <c r="BF51" s="12"/>
      <c r="BG51" s="11"/>
      <c r="BH51" s="13"/>
      <c r="BI51" s="13"/>
      <c r="BJ51" s="11"/>
      <c r="BK51" s="12"/>
      <c r="BL51" s="12"/>
      <c r="BM51" s="12"/>
      <c r="BN51" s="11"/>
      <c r="BO51" s="13"/>
      <c r="BP51" s="449">
        <f t="shared" si="45"/>
        <v>1</v>
      </c>
      <c r="BQ51" s="460">
        <v>139842</v>
      </c>
      <c r="BR51" s="19">
        <v>0.8</v>
      </c>
      <c r="BS51" s="20">
        <f t="shared" si="46"/>
        <v>27968.399999999994</v>
      </c>
      <c r="BT51" s="21">
        <f t="shared" si="47"/>
        <v>27968.399999999994</v>
      </c>
      <c r="BU51" s="22">
        <f t="shared" si="48"/>
        <v>22374.719999999998</v>
      </c>
      <c r="BV51" s="1"/>
      <c r="BW51" s="561">
        <v>1.95</v>
      </c>
      <c r="BX51" s="568">
        <f t="shared" si="49"/>
        <v>1.95</v>
      </c>
      <c r="BY51" s="452">
        <f t="shared" si="50"/>
        <v>11474.215384615383</v>
      </c>
      <c r="BZ51" s="2"/>
      <c r="CA51" s="453" t="s">
        <v>254</v>
      </c>
      <c r="CB51" s="454">
        <f t="shared" si="51"/>
        <v>1</v>
      </c>
      <c r="CC51" s="455">
        <f t="shared" si="52"/>
        <v>22374.719999999998</v>
      </c>
      <c r="CD51" s="454">
        <f t="shared" si="53"/>
        <v>0</v>
      </c>
      <c r="CE51" s="455">
        <f t="shared" si="54"/>
        <v>0</v>
      </c>
      <c r="CF51" s="427" t="b">
        <f t="shared" si="55"/>
        <v>1</v>
      </c>
    </row>
    <row r="52" spans="1:84" s="458" customFormat="1" ht="14" customHeight="1" x14ac:dyDescent="0.25">
      <c r="A52" s="435"/>
      <c r="B52" s="446"/>
      <c r="C52" s="446"/>
      <c r="D52" s="447" t="s">
        <v>250</v>
      </c>
      <c r="E52" s="448" t="s">
        <v>230</v>
      </c>
      <c r="F52" s="448">
        <v>0.39930555555555558</v>
      </c>
      <c r="G52" s="448" t="s">
        <v>258</v>
      </c>
      <c r="H52" s="464">
        <v>30</v>
      </c>
      <c r="I52" s="11"/>
      <c r="J52" s="11"/>
      <c r="K52" s="13"/>
      <c r="L52" s="13"/>
      <c r="M52" s="11"/>
      <c r="N52" s="12"/>
      <c r="O52" s="12"/>
      <c r="P52" s="12"/>
      <c r="Q52" s="11"/>
      <c r="R52" s="13"/>
      <c r="S52" s="13"/>
      <c r="T52" s="11"/>
      <c r="U52" s="12"/>
      <c r="V52" s="12"/>
      <c r="W52" s="12"/>
      <c r="X52" s="11"/>
      <c r="Y52" s="13"/>
      <c r="Z52" s="13"/>
      <c r="AA52" s="11"/>
      <c r="AB52" s="12"/>
      <c r="AC52" s="12"/>
      <c r="AD52" s="12"/>
      <c r="AE52" s="11"/>
      <c r="AF52" s="13"/>
      <c r="AG52" s="13"/>
      <c r="AH52" s="11"/>
      <c r="AI52" s="11">
        <v>1</v>
      </c>
      <c r="AJ52" s="11"/>
      <c r="AK52" s="12"/>
      <c r="AL52" s="12"/>
      <c r="AM52" s="13"/>
      <c r="AN52" s="13"/>
      <c r="AO52" s="11"/>
      <c r="AP52" s="12">
        <v>1</v>
      </c>
      <c r="AQ52" s="12"/>
      <c r="AR52" s="12"/>
      <c r="AS52" s="11"/>
      <c r="AT52" s="13"/>
      <c r="AU52" s="13"/>
      <c r="AV52" s="11"/>
      <c r="AW52" s="12">
        <v>1</v>
      </c>
      <c r="AX52" s="12"/>
      <c r="AY52" s="12"/>
      <c r="AZ52" s="11"/>
      <c r="BA52" s="13"/>
      <c r="BB52" s="13"/>
      <c r="BC52" s="11"/>
      <c r="BD52" s="12"/>
      <c r="BE52" s="12"/>
      <c r="BF52" s="12"/>
      <c r="BG52" s="11"/>
      <c r="BH52" s="13"/>
      <c r="BI52" s="13"/>
      <c r="BJ52" s="11"/>
      <c r="BK52" s="12"/>
      <c r="BL52" s="12"/>
      <c r="BM52" s="12"/>
      <c r="BN52" s="11"/>
      <c r="BO52" s="13"/>
      <c r="BP52" s="449">
        <f t="shared" si="45"/>
        <v>3</v>
      </c>
      <c r="BQ52" s="460">
        <v>50003</v>
      </c>
      <c r="BR52" s="19">
        <v>0.8</v>
      </c>
      <c r="BS52" s="20">
        <f t="shared" si="46"/>
        <v>10000.599999999999</v>
      </c>
      <c r="BT52" s="21">
        <f t="shared" si="47"/>
        <v>30001.799999999996</v>
      </c>
      <c r="BU52" s="22">
        <f t="shared" si="48"/>
        <v>24001.439999999999</v>
      </c>
      <c r="BV52" s="1"/>
      <c r="BW52" s="561">
        <v>2.0099999999999998</v>
      </c>
      <c r="BX52" s="568">
        <f t="shared" si="49"/>
        <v>6.0299999999999994</v>
      </c>
      <c r="BY52" s="452">
        <f t="shared" si="50"/>
        <v>3980.3383084577117</v>
      </c>
      <c r="BZ52" s="2"/>
      <c r="CA52" s="453" t="s">
        <v>254</v>
      </c>
      <c r="CB52" s="454">
        <f t="shared" si="51"/>
        <v>1</v>
      </c>
      <c r="CC52" s="455">
        <f t="shared" si="52"/>
        <v>8000.48</v>
      </c>
      <c r="CD52" s="454">
        <f t="shared" si="53"/>
        <v>2</v>
      </c>
      <c r="CE52" s="455">
        <f t="shared" si="54"/>
        <v>16000.96</v>
      </c>
      <c r="CF52" s="427" t="b">
        <f t="shared" si="55"/>
        <v>1</v>
      </c>
    </row>
    <row r="53" spans="1:84" s="458" customFormat="1" ht="14" customHeight="1" x14ac:dyDescent="0.25">
      <c r="A53" s="435"/>
      <c r="B53" s="446"/>
      <c r="C53" s="446"/>
      <c r="D53" s="459" t="s">
        <v>251</v>
      </c>
      <c r="E53" s="448" t="s">
        <v>230</v>
      </c>
      <c r="F53" s="448">
        <v>0.91666666666666663</v>
      </c>
      <c r="G53" s="448" t="s">
        <v>255</v>
      </c>
      <c r="H53" s="464">
        <v>30</v>
      </c>
      <c r="I53" s="11"/>
      <c r="J53" s="11"/>
      <c r="K53" s="13"/>
      <c r="L53" s="13"/>
      <c r="M53" s="11"/>
      <c r="N53" s="12"/>
      <c r="O53" s="12"/>
      <c r="P53" s="12"/>
      <c r="Q53" s="11"/>
      <c r="R53" s="13"/>
      <c r="S53" s="13"/>
      <c r="T53" s="11"/>
      <c r="U53" s="12"/>
      <c r="V53" s="12"/>
      <c r="W53" s="12"/>
      <c r="X53" s="11"/>
      <c r="Y53" s="13"/>
      <c r="Z53" s="13"/>
      <c r="AA53" s="11"/>
      <c r="AB53" s="12"/>
      <c r="AC53" s="12"/>
      <c r="AD53" s="12"/>
      <c r="AE53" s="11"/>
      <c r="AF53" s="13"/>
      <c r="AG53" s="13"/>
      <c r="AH53" s="11"/>
      <c r="AI53" s="11"/>
      <c r="AJ53" s="11"/>
      <c r="AK53" s="12">
        <v>1</v>
      </c>
      <c r="AL53" s="12"/>
      <c r="AM53" s="13"/>
      <c r="AN53" s="13"/>
      <c r="AO53" s="11"/>
      <c r="AP53" s="12"/>
      <c r="AQ53" s="12"/>
      <c r="AR53" s="12">
        <v>1</v>
      </c>
      <c r="AS53" s="11"/>
      <c r="AT53" s="13"/>
      <c r="AU53" s="13"/>
      <c r="AV53" s="11"/>
      <c r="AW53" s="12"/>
      <c r="AX53" s="12"/>
      <c r="AY53" s="12">
        <v>1</v>
      </c>
      <c r="AZ53" s="11"/>
      <c r="BA53" s="13"/>
      <c r="BB53" s="13"/>
      <c r="BC53" s="11"/>
      <c r="BD53" s="12"/>
      <c r="BE53" s="12"/>
      <c r="BF53" s="12"/>
      <c r="BG53" s="11"/>
      <c r="BH53" s="13"/>
      <c r="BI53" s="13"/>
      <c r="BJ53" s="11"/>
      <c r="BK53" s="12"/>
      <c r="BL53" s="12"/>
      <c r="BM53" s="12"/>
      <c r="BN53" s="11"/>
      <c r="BO53" s="13"/>
      <c r="BP53" s="449">
        <f t="shared" si="45"/>
        <v>3</v>
      </c>
      <c r="BQ53" s="460">
        <v>177561</v>
      </c>
      <c r="BR53" s="19">
        <v>0.8</v>
      </c>
      <c r="BS53" s="20">
        <f t="shared" si="46"/>
        <v>35512.19999999999</v>
      </c>
      <c r="BT53" s="21">
        <f t="shared" si="47"/>
        <v>106536.59999999998</v>
      </c>
      <c r="BU53" s="22">
        <f t="shared" si="48"/>
        <v>85229.279999999984</v>
      </c>
      <c r="BV53" s="1"/>
      <c r="BW53" s="561">
        <v>2.27</v>
      </c>
      <c r="BX53" s="568">
        <f t="shared" si="49"/>
        <v>6.8100000000000005</v>
      </c>
      <c r="BY53" s="452">
        <f t="shared" si="50"/>
        <v>12515.312775330392</v>
      </c>
      <c r="BZ53" s="2"/>
      <c r="CA53" s="453" t="s">
        <v>254</v>
      </c>
      <c r="CB53" s="454">
        <f t="shared" si="51"/>
        <v>1</v>
      </c>
      <c r="CC53" s="455">
        <f t="shared" si="52"/>
        <v>28409.759999999995</v>
      </c>
      <c r="CD53" s="454">
        <f t="shared" si="53"/>
        <v>2</v>
      </c>
      <c r="CE53" s="455">
        <f t="shared" si="54"/>
        <v>56819.51999999999</v>
      </c>
      <c r="CF53" s="427" t="b">
        <f t="shared" si="55"/>
        <v>1</v>
      </c>
    </row>
    <row r="54" spans="1:84" s="458" customFormat="1" ht="14" customHeight="1" x14ac:dyDescent="0.25">
      <c r="A54" s="435"/>
      <c r="B54" s="446"/>
      <c r="C54" s="446"/>
      <c r="D54" s="466" t="s">
        <v>251</v>
      </c>
      <c r="E54" s="448" t="s">
        <v>230</v>
      </c>
      <c r="F54" s="448">
        <v>0.91666666666666663</v>
      </c>
      <c r="G54" s="448" t="s">
        <v>255</v>
      </c>
      <c r="H54" s="464">
        <v>60</v>
      </c>
      <c r="I54" s="11"/>
      <c r="J54" s="11"/>
      <c r="K54" s="13"/>
      <c r="L54" s="13"/>
      <c r="M54" s="11"/>
      <c r="N54" s="12"/>
      <c r="O54" s="12"/>
      <c r="P54" s="12"/>
      <c r="Q54" s="11"/>
      <c r="R54" s="13"/>
      <c r="S54" s="13"/>
      <c r="T54" s="11"/>
      <c r="U54" s="12"/>
      <c r="V54" s="12"/>
      <c r="W54" s="12"/>
      <c r="X54" s="11"/>
      <c r="Y54" s="13"/>
      <c r="Z54" s="13"/>
      <c r="AA54" s="11"/>
      <c r="AB54" s="12"/>
      <c r="AC54" s="12"/>
      <c r="AD54" s="12"/>
      <c r="AE54" s="11">
        <v>1</v>
      </c>
      <c r="AF54" s="13"/>
      <c r="AG54" s="13"/>
      <c r="AH54" s="11"/>
      <c r="AI54" s="11"/>
      <c r="AJ54" s="11"/>
      <c r="AK54" s="12"/>
      <c r="AL54" s="12"/>
      <c r="AM54" s="13"/>
      <c r="AN54" s="13"/>
      <c r="AO54" s="11"/>
      <c r="AP54" s="12"/>
      <c r="AQ54" s="12"/>
      <c r="AR54" s="12"/>
      <c r="AS54" s="11"/>
      <c r="AT54" s="13"/>
      <c r="AU54" s="13"/>
      <c r="AV54" s="11"/>
      <c r="AW54" s="12"/>
      <c r="AX54" s="12"/>
      <c r="AY54" s="12"/>
      <c r="AZ54" s="11"/>
      <c r="BA54" s="13"/>
      <c r="BB54" s="13"/>
      <c r="BC54" s="11"/>
      <c r="BD54" s="12"/>
      <c r="BE54" s="12"/>
      <c r="BF54" s="12"/>
      <c r="BG54" s="11"/>
      <c r="BH54" s="13"/>
      <c r="BI54" s="13"/>
      <c r="BJ54" s="11"/>
      <c r="BK54" s="12"/>
      <c r="BL54" s="12"/>
      <c r="BM54" s="12"/>
      <c r="BN54" s="11"/>
      <c r="BO54" s="13"/>
      <c r="BP54" s="449">
        <f t="shared" si="45"/>
        <v>1</v>
      </c>
      <c r="BQ54" s="460">
        <v>355122</v>
      </c>
      <c r="BR54" s="19">
        <v>0.8</v>
      </c>
      <c r="BS54" s="20">
        <f t="shared" si="46"/>
        <v>71024.39999999998</v>
      </c>
      <c r="BT54" s="21">
        <f t="shared" si="47"/>
        <v>71024.39999999998</v>
      </c>
      <c r="BU54" s="22">
        <f t="shared" si="48"/>
        <v>56819.51999999999</v>
      </c>
      <c r="BV54" s="1"/>
      <c r="BW54" s="561">
        <v>2.27</v>
      </c>
      <c r="BX54" s="568">
        <f t="shared" si="49"/>
        <v>2.27</v>
      </c>
      <c r="BY54" s="452">
        <f t="shared" si="50"/>
        <v>25030.625550660789</v>
      </c>
      <c r="BZ54" s="2"/>
      <c r="CA54" s="453" t="s">
        <v>254</v>
      </c>
      <c r="CB54" s="454">
        <f t="shared" si="51"/>
        <v>1</v>
      </c>
      <c r="CC54" s="455">
        <f t="shared" si="52"/>
        <v>56819.51999999999</v>
      </c>
      <c r="CD54" s="454">
        <f t="shared" si="53"/>
        <v>0</v>
      </c>
      <c r="CE54" s="455">
        <f t="shared" si="54"/>
        <v>0</v>
      </c>
      <c r="CF54" s="427" t="b">
        <f t="shared" si="55"/>
        <v>1</v>
      </c>
    </row>
    <row r="55" spans="1:84" s="458" customFormat="1" ht="14" customHeight="1" x14ac:dyDescent="0.25">
      <c r="A55" s="435"/>
      <c r="B55" s="446"/>
      <c r="C55" s="446"/>
      <c r="D55" s="447" t="s">
        <v>252</v>
      </c>
      <c r="E55" s="448" t="s">
        <v>230</v>
      </c>
      <c r="F55" s="448">
        <v>0.875</v>
      </c>
      <c r="G55" s="448" t="s">
        <v>259</v>
      </c>
      <c r="H55" s="464">
        <v>30</v>
      </c>
      <c r="I55" s="11"/>
      <c r="J55" s="11"/>
      <c r="K55" s="13"/>
      <c r="L55" s="13"/>
      <c r="M55" s="11"/>
      <c r="N55" s="12"/>
      <c r="O55" s="12"/>
      <c r="P55" s="12"/>
      <c r="Q55" s="11"/>
      <c r="R55" s="13"/>
      <c r="S55" s="13"/>
      <c r="T55" s="11"/>
      <c r="U55" s="12"/>
      <c r="V55" s="12"/>
      <c r="W55" s="12"/>
      <c r="X55" s="11"/>
      <c r="Y55" s="13"/>
      <c r="Z55" s="13"/>
      <c r="AA55" s="11"/>
      <c r="AB55" s="12"/>
      <c r="AC55" s="12"/>
      <c r="AD55" s="12"/>
      <c r="AE55" s="11"/>
      <c r="AF55" s="13"/>
      <c r="AG55" s="13"/>
      <c r="AH55" s="11"/>
      <c r="AI55" s="11"/>
      <c r="AJ55" s="11"/>
      <c r="AK55" s="12"/>
      <c r="AL55" s="12">
        <v>1</v>
      </c>
      <c r="AM55" s="13"/>
      <c r="AN55" s="13"/>
      <c r="AO55" s="11"/>
      <c r="AP55" s="12"/>
      <c r="AQ55" s="12"/>
      <c r="AR55" s="12"/>
      <c r="AS55" s="11">
        <v>1</v>
      </c>
      <c r="AT55" s="13"/>
      <c r="AU55" s="13"/>
      <c r="AV55" s="11"/>
      <c r="AW55" s="12"/>
      <c r="AX55" s="12"/>
      <c r="AY55" s="12"/>
      <c r="AZ55" s="11">
        <v>1</v>
      </c>
      <c r="BA55" s="13"/>
      <c r="BB55" s="13"/>
      <c r="BC55" s="11"/>
      <c r="BD55" s="12"/>
      <c r="BE55" s="12"/>
      <c r="BF55" s="12"/>
      <c r="BG55" s="11"/>
      <c r="BH55" s="13"/>
      <c r="BI55" s="13"/>
      <c r="BJ55" s="11"/>
      <c r="BK55" s="12"/>
      <c r="BL55" s="12"/>
      <c r="BM55" s="12"/>
      <c r="BN55" s="11"/>
      <c r="BO55" s="13"/>
      <c r="BP55" s="449">
        <f t="shared" si="45"/>
        <v>3</v>
      </c>
      <c r="BQ55" s="460">
        <v>231000</v>
      </c>
      <c r="BR55" s="19">
        <v>0.8</v>
      </c>
      <c r="BS55" s="20">
        <f t="shared" si="46"/>
        <v>46199.999999999993</v>
      </c>
      <c r="BT55" s="21">
        <f t="shared" si="47"/>
        <v>138599.99999999997</v>
      </c>
      <c r="BU55" s="22">
        <f t="shared" si="48"/>
        <v>110879.99999999999</v>
      </c>
      <c r="BV55" s="1"/>
      <c r="BW55" s="561">
        <v>2.56</v>
      </c>
      <c r="BX55" s="568">
        <f t="shared" si="49"/>
        <v>7.68</v>
      </c>
      <c r="BY55" s="452">
        <f t="shared" si="50"/>
        <v>14437.499999999998</v>
      </c>
      <c r="BZ55" s="2"/>
      <c r="CA55" s="453" t="s">
        <v>254</v>
      </c>
      <c r="CB55" s="454">
        <f t="shared" si="51"/>
        <v>1</v>
      </c>
      <c r="CC55" s="455">
        <f t="shared" si="52"/>
        <v>36959.999999999993</v>
      </c>
      <c r="CD55" s="454">
        <f t="shared" si="53"/>
        <v>2</v>
      </c>
      <c r="CE55" s="455">
        <f t="shared" si="54"/>
        <v>73919.999999999985</v>
      </c>
      <c r="CF55" s="427" t="b">
        <f t="shared" si="55"/>
        <v>1</v>
      </c>
    </row>
    <row r="56" spans="1:84" s="458" customFormat="1" ht="14" customHeight="1" x14ac:dyDescent="0.25">
      <c r="A56" s="435"/>
      <c r="B56" s="446"/>
      <c r="C56" s="446"/>
      <c r="D56" s="447" t="s">
        <v>252</v>
      </c>
      <c r="E56" s="448" t="s">
        <v>230</v>
      </c>
      <c r="F56" s="448">
        <v>0.875</v>
      </c>
      <c r="G56" s="448" t="s">
        <v>259</v>
      </c>
      <c r="H56" s="464">
        <v>60</v>
      </c>
      <c r="I56" s="11"/>
      <c r="J56" s="11"/>
      <c r="K56" s="13"/>
      <c r="L56" s="13"/>
      <c r="M56" s="11"/>
      <c r="N56" s="12"/>
      <c r="O56" s="12"/>
      <c r="P56" s="12"/>
      <c r="Q56" s="11"/>
      <c r="R56" s="13"/>
      <c r="S56" s="13"/>
      <c r="T56" s="11"/>
      <c r="U56" s="12"/>
      <c r="V56" s="12"/>
      <c r="W56" s="12"/>
      <c r="X56" s="11"/>
      <c r="Y56" s="13"/>
      <c r="Z56" s="13"/>
      <c r="AA56" s="11"/>
      <c r="AB56" s="12"/>
      <c r="AC56" s="12"/>
      <c r="AD56" s="12"/>
      <c r="AE56" s="11">
        <v>1</v>
      </c>
      <c r="AF56" s="13"/>
      <c r="AG56" s="13"/>
      <c r="AH56" s="11"/>
      <c r="AI56" s="11"/>
      <c r="AJ56" s="11"/>
      <c r="AK56" s="12"/>
      <c r="AL56" s="12"/>
      <c r="AM56" s="13"/>
      <c r="AN56" s="13"/>
      <c r="AO56" s="11"/>
      <c r="AP56" s="12"/>
      <c r="AQ56" s="12"/>
      <c r="AR56" s="12"/>
      <c r="AS56" s="11"/>
      <c r="AT56" s="13"/>
      <c r="AU56" s="13"/>
      <c r="AV56" s="11"/>
      <c r="AW56" s="12"/>
      <c r="AX56" s="12"/>
      <c r="AY56" s="12"/>
      <c r="AZ56" s="11"/>
      <c r="BA56" s="13"/>
      <c r="BB56" s="13"/>
      <c r="BC56" s="11"/>
      <c r="BD56" s="12"/>
      <c r="BE56" s="12"/>
      <c r="BF56" s="12"/>
      <c r="BG56" s="11"/>
      <c r="BH56" s="13"/>
      <c r="BI56" s="13"/>
      <c r="BJ56" s="11"/>
      <c r="BK56" s="12"/>
      <c r="BL56" s="12"/>
      <c r="BM56" s="12"/>
      <c r="BN56" s="11"/>
      <c r="BO56" s="13"/>
      <c r="BP56" s="449">
        <f t="shared" si="45"/>
        <v>1</v>
      </c>
      <c r="BQ56" s="460">
        <v>462000</v>
      </c>
      <c r="BR56" s="19">
        <v>0.8</v>
      </c>
      <c r="BS56" s="20">
        <f t="shared" si="46"/>
        <v>92399.999999999985</v>
      </c>
      <c r="BT56" s="21">
        <f t="shared" si="47"/>
        <v>92399.999999999985</v>
      </c>
      <c r="BU56" s="22">
        <f t="shared" si="48"/>
        <v>73919.999999999985</v>
      </c>
      <c r="BV56" s="1"/>
      <c r="BW56" s="561">
        <v>2.56</v>
      </c>
      <c r="BX56" s="568">
        <f t="shared" si="49"/>
        <v>2.56</v>
      </c>
      <c r="BY56" s="452">
        <f t="shared" si="50"/>
        <v>28874.999999999993</v>
      </c>
      <c r="BZ56" s="2"/>
      <c r="CA56" s="453" t="s">
        <v>254</v>
      </c>
      <c r="CB56" s="454">
        <f t="shared" si="51"/>
        <v>1</v>
      </c>
      <c r="CC56" s="455">
        <f t="shared" si="52"/>
        <v>73919.999999999985</v>
      </c>
      <c r="CD56" s="454">
        <f t="shared" si="53"/>
        <v>0</v>
      </c>
      <c r="CE56" s="455">
        <f t="shared" si="54"/>
        <v>0</v>
      </c>
      <c r="CF56" s="427" t="b">
        <f t="shared" si="55"/>
        <v>1</v>
      </c>
    </row>
    <row r="57" spans="1:84" s="458" customFormat="1" ht="14" customHeight="1" x14ac:dyDescent="0.25">
      <c r="A57" s="435"/>
      <c r="B57" s="446"/>
      <c r="C57" s="446"/>
      <c r="D57" s="459" t="s">
        <v>253</v>
      </c>
      <c r="E57" s="448" t="s">
        <v>230</v>
      </c>
      <c r="F57" s="448">
        <v>0.64583333333333337</v>
      </c>
      <c r="G57" s="448" t="s">
        <v>260</v>
      </c>
      <c r="H57" s="464">
        <v>30</v>
      </c>
      <c r="I57" s="11"/>
      <c r="J57" s="11"/>
      <c r="K57" s="13"/>
      <c r="L57" s="13"/>
      <c r="M57" s="11"/>
      <c r="N57" s="12"/>
      <c r="O57" s="12"/>
      <c r="P57" s="12"/>
      <c r="Q57" s="11"/>
      <c r="R57" s="13"/>
      <c r="S57" s="13"/>
      <c r="T57" s="11"/>
      <c r="U57" s="12"/>
      <c r="V57" s="12"/>
      <c r="W57" s="12"/>
      <c r="X57" s="11"/>
      <c r="Y57" s="13"/>
      <c r="Z57" s="13"/>
      <c r="AA57" s="11"/>
      <c r="AB57" s="12"/>
      <c r="AC57" s="12"/>
      <c r="AD57" s="12"/>
      <c r="AE57" s="11"/>
      <c r="AF57" s="13"/>
      <c r="AG57" s="13"/>
      <c r="AH57" s="11">
        <v>1</v>
      </c>
      <c r="AI57" s="11"/>
      <c r="AJ57" s="11"/>
      <c r="AK57" s="12"/>
      <c r="AL57" s="12"/>
      <c r="AM57" s="13"/>
      <c r="AN57" s="13"/>
      <c r="AO57" s="11">
        <v>1</v>
      </c>
      <c r="AP57" s="12"/>
      <c r="AQ57" s="12"/>
      <c r="AR57" s="12"/>
      <c r="AS57" s="11"/>
      <c r="AT57" s="13"/>
      <c r="AU57" s="13"/>
      <c r="AV57" s="11">
        <v>1</v>
      </c>
      <c r="AW57" s="12"/>
      <c r="AX57" s="12"/>
      <c r="AY57" s="12"/>
      <c r="AZ57" s="11"/>
      <c r="BA57" s="13"/>
      <c r="BB57" s="13"/>
      <c r="BC57" s="11"/>
      <c r="BD57" s="12"/>
      <c r="BE57" s="12"/>
      <c r="BF57" s="12"/>
      <c r="BG57" s="11"/>
      <c r="BH57" s="13"/>
      <c r="BI57" s="13"/>
      <c r="BJ57" s="11"/>
      <c r="BK57" s="12"/>
      <c r="BL57" s="12"/>
      <c r="BM57" s="12"/>
      <c r="BN57" s="11"/>
      <c r="BO57" s="13"/>
      <c r="BP57" s="449">
        <f t="shared" si="45"/>
        <v>3</v>
      </c>
      <c r="BQ57" s="460">
        <v>64486</v>
      </c>
      <c r="BR57" s="19">
        <v>0.8</v>
      </c>
      <c r="BS57" s="20">
        <f t="shared" si="46"/>
        <v>12897.199999999997</v>
      </c>
      <c r="BT57" s="21">
        <f t="shared" si="47"/>
        <v>38691.599999999991</v>
      </c>
      <c r="BU57" s="22">
        <f t="shared" si="48"/>
        <v>30953.279999999995</v>
      </c>
      <c r="BV57" s="1"/>
      <c r="BW57" s="561">
        <v>2.39</v>
      </c>
      <c r="BX57" s="568">
        <f t="shared" si="49"/>
        <v>7.17</v>
      </c>
      <c r="BY57" s="452">
        <f t="shared" si="50"/>
        <v>4317.0543933054387</v>
      </c>
      <c r="BZ57" s="2"/>
      <c r="CA57" s="453" t="s">
        <v>254</v>
      </c>
      <c r="CB57" s="454">
        <f t="shared" si="51"/>
        <v>1</v>
      </c>
      <c r="CC57" s="455">
        <f t="shared" si="52"/>
        <v>10317.759999999998</v>
      </c>
      <c r="CD57" s="454">
        <f t="shared" si="53"/>
        <v>2</v>
      </c>
      <c r="CE57" s="455">
        <f t="shared" si="54"/>
        <v>20635.519999999997</v>
      </c>
      <c r="CF57" s="427" t="b">
        <f t="shared" si="55"/>
        <v>1</v>
      </c>
    </row>
    <row r="58" spans="1:84" s="458" customFormat="1" ht="14" customHeight="1" x14ac:dyDescent="0.25">
      <c r="A58" s="435"/>
      <c r="B58" s="446"/>
      <c r="C58" s="446"/>
      <c r="D58" s="466"/>
      <c r="E58" s="448"/>
      <c r="F58" s="448"/>
      <c r="G58" s="448"/>
      <c r="H58" s="464"/>
      <c r="I58" s="11"/>
      <c r="J58" s="11"/>
      <c r="K58" s="13"/>
      <c r="L58" s="13"/>
      <c r="M58" s="11"/>
      <c r="N58" s="12"/>
      <c r="O58" s="12"/>
      <c r="P58" s="12"/>
      <c r="Q58" s="11"/>
      <c r="R58" s="13"/>
      <c r="S58" s="13"/>
      <c r="T58" s="11"/>
      <c r="U58" s="12"/>
      <c r="V58" s="12"/>
      <c r="W58" s="12"/>
      <c r="X58" s="11"/>
      <c r="Y58" s="13"/>
      <c r="Z58" s="13"/>
      <c r="AA58" s="11"/>
      <c r="AB58" s="12"/>
      <c r="AC58" s="12"/>
      <c r="AD58" s="12"/>
      <c r="AE58" s="11"/>
      <c r="AF58" s="13"/>
      <c r="AG58" s="13"/>
      <c r="AH58" s="11"/>
      <c r="AI58" s="11"/>
      <c r="AJ58" s="11"/>
      <c r="AK58" s="12"/>
      <c r="AL58" s="12"/>
      <c r="AM58" s="13"/>
      <c r="AN58" s="13"/>
      <c r="AO58" s="11"/>
      <c r="AP58" s="12"/>
      <c r="AQ58" s="12"/>
      <c r="AR58" s="12"/>
      <c r="AS58" s="11"/>
      <c r="AT58" s="13"/>
      <c r="AU58" s="13"/>
      <c r="AV58" s="11"/>
      <c r="AW58" s="12"/>
      <c r="AX58" s="12"/>
      <c r="AY58" s="12"/>
      <c r="AZ58" s="11"/>
      <c r="BA58" s="13"/>
      <c r="BB58" s="13"/>
      <c r="BC58" s="11"/>
      <c r="BD58" s="12"/>
      <c r="BE58" s="12"/>
      <c r="BF58" s="12"/>
      <c r="BG58" s="11"/>
      <c r="BH58" s="13"/>
      <c r="BI58" s="13"/>
      <c r="BJ58" s="11"/>
      <c r="BK58" s="12"/>
      <c r="BL58" s="12"/>
      <c r="BM58" s="12"/>
      <c r="BN58" s="11"/>
      <c r="BO58" s="13"/>
      <c r="BP58" s="449"/>
      <c r="BQ58" s="15"/>
      <c r="BR58" s="456"/>
      <c r="BS58" s="15"/>
      <c r="BT58" s="22"/>
      <c r="BU58" s="22"/>
      <c r="BV58" s="1"/>
      <c r="BW58" s="563"/>
      <c r="BX58" s="569"/>
      <c r="BY58" s="452"/>
      <c r="BZ58" s="2"/>
      <c r="CA58" s="494" t="s">
        <v>152</v>
      </c>
      <c r="CB58" s="495">
        <f>SUM(CB46:CB57)</f>
        <v>11</v>
      </c>
      <c r="CC58" s="496">
        <f>SUM(CC46:CC57)</f>
        <v>377121.27999999997</v>
      </c>
      <c r="CD58" s="495">
        <f>SUM(CD46:CD57)</f>
        <v>13</v>
      </c>
      <c r="CE58" s="496">
        <f>SUM(CE46:CE57)</f>
        <v>302341.27999999997</v>
      </c>
      <c r="CF58" s="427"/>
    </row>
    <row r="59" spans="1:84" s="458" customFormat="1" ht="14" customHeight="1" x14ac:dyDescent="0.25">
      <c r="A59" s="435"/>
      <c r="B59" s="446"/>
      <c r="C59" s="446" t="s">
        <v>261</v>
      </c>
      <c r="D59" s="459" t="s">
        <v>262</v>
      </c>
      <c r="E59" s="448" t="s">
        <v>230</v>
      </c>
      <c r="F59" s="448">
        <v>0.45833333333333331</v>
      </c>
      <c r="G59" s="448" t="s">
        <v>270</v>
      </c>
      <c r="H59" s="464">
        <v>30</v>
      </c>
      <c r="I59" s="11"/>
      <c r="J59" s="11"/>
      <c r="K59" s="13"/>
      <c r="L59" s="13"/>
      <c r="M59" s="11"/>
      <c r="N59" s="12"/>
      <c r="O59" s="12"/>
      <c r="P59" s="12"/>
      <c r="Q59" s="11"/>
      <c r="R59" s="13"/>
      <c r="S59" s="13"/>
      <c r="T59" s="11"/>
      <c r="U59" s="12"/>
      <c r="V59" s="12"/>
      <c r="W59" s="12"/>
      <c r="X59" s="11"/>
      <c r="Y59" s="13"/>
      <c r="Z59" s="13"/>
      <c r="AA59" s="11"/>
      <c r="AB59" s="12"/>
      <c r="AC59" s="12"/>
      <c r="AD59" s="12"/>
      <c r="AE59" s="11"/>
      <c r="AF59" s="13"/>
      <c r="AG59" s="13"/>
      <c r="AH59" s="11">
        <v>1</v>
      </c>
      <c r="AI59" s="11"/>
      <c r="AJ59" s="11"/>
      <c r="AK59" s="12"/>
      <c r="AL59" s="12"/>
      <c r="AM59" s="13"/>
      <c r="AN59" s="13"/>
      <c r="AO59" s="11"/>
      <c r="AP59" s="12"/>
      <c r="AQ59" s="12"/>
      <c r="AR59" s="12"/>
      <c r="AS59" s="11"/>
      <c r="AT59" s="13"/>
      <c r="AU59" s="13"/>
      <c r="AV59" s="11"/>
      <c r="AW59" s="12"/>
      <c r="AX59" s="12"/>
      <c r="AY59" s="12"/>
      <c r="AZ59" s="11"/>
      <c r="BA59" s="13"/>
      <c r="BB59" s="13"/>
      <c r="BC59" s="11"/>
      <c r="BD59" s="12"/>
      <c r="BE59" s="12"/>
      <c r="BF59" s="12"/>
      <c r="BG59" s="11"/>
      <c r="BH59" s="13"/>
      <c r="BI59" s="13"/>
      <c r="BJ59" s="11"/>
      <c r="BK59" s="12"/>
      <c r="BL59" s="12"/>
      <c r="BM59" s="12"/>
      <c r="BN59" s="11"/>
      <c r="BO59" s="13"/>
      <c r="BP59" s="449">
        <f t="shared" ref="BP59:BP70" si="56">SUM(I59:BO59)</f>
        <v>1</v>
      </c>
      <c r="BQ59" s="460">
        <v>59000</v>
      </c>
      <c r="BR59" s="590">
        <v>0.75</v>
      </c>
      <c r="BS59" s="20">
        <f t="shared" ref="BS59:BS70" si="57">BQ59*(1-BR59)</f>
        <v>14750</v>
      </c>
      <c r="BT59" s="21">
        <f t="shared" ref="BT59:BT70" si="58">BS59*BP59</f>
        <v>14750</v>
      </c>
      <c r="BU59" s="491">
        <f t="shared" ref="BU59:BU70" si="59">BT59*0.8</f>
        <v>11800</v>
      </c>
      <c r="BV59" s="1"/>
      <c r="BW59" s="561">
        <v>1.45</v>
      </c>
      <c r="BX59" s="568">
        <f t="shared" ref="BX59:BX70" si="60">BW59*BP59</f>
        <v>1.45</v>
      </c>
      <c r="BY59" s="452">
        <f t="shared" ref="BY59:BY70" si="61">IFERROR(BU59/BX59,0)</f>
        <v>8137.9310344827591</v>
      </c>
      <c r="BZ59" s="2"/>
      <c r="CA59" s="453" t="s">
        <v>261</v>
      </c>
      <c r="CB59" s="454">
        <f t="shared" ref="CB59:CB70" si="62">COUNTA(I59:AM59)</f>
        <v>1</v>
      </c>
      <c r="CC59" s="455">
        <f t="shared" ref="CC59:CC70" si="63">CB59*BS59*0.8</f>
        <v>11800</v>
      </c>
      <c r="CD59" s="454">
        <f t="shared" ref="CD59:CD70" si="64">COUNTA(AN59:BO59)</f>
        <v>0</v>
      </c>
      <c r="CE59" s="455">
        <f t="shared" ref="CE59:CE70" si="65">CD59*BS59*0.8</f>
        <v>0</v>
      </c>
      <c r="CF59" s="427" t="b">
        <f t="shared" ref="CF59:CF70" si="66">SUM(CC59,CE59)=BU59</f>
        <v>1</v>
      </c>
    </row>
    <row r="60" spans="1:84" s="458" customFormat="1" ht="14" customHeight="1" x14ac:dyDescent="0.25">
      <c r="A60" s="435"/>
      <c r="B60" s="446"/>
      <c r="C60" s="446"/>
      <c r="D60" s="466" t="s">
        <v>263</v>
      </c>
      <c r="E60" s="448" t="s">
        <v>232</v>
      </c>
      <c r="F60" s="448">
        <v>0.46875</v>
      </c>
      <c r="G60" s="448" t="s">
        <v>271</v>
      </c>
      <c r="H60" s="464">
        <v>30</v>
      </c>
      <c r="I60" s="11"/>
      <c r="J60" s="11"/>
      <c r="K60" s="13"/>
      <c r="L60" s="13"/>
      <c r="M60" s="11"/>
      <c r="N60" s="12"/>
      <c r="O60" s="12"/>
      <c r="P60" s="12"/>
      <c r="Q60" s="11"/>
      <c r="R60" s="13"/>
      <c r="S60" s="13"/>
      <c r="T60" s="11"/>
      <c r="U60" s="12"/>
      <c r="V60" s="12"/>
      <c r="W60" s="12"/>
      <c r="X60" s="11"/>
      <c r="Y60" s="13"/>
      <c r="Z60" s="13"/>
      <c r="AA60" s="11"/>
      <c r="AB60" s="12"/>
      <c r="AC60" s="12"/>
      <c r="AD60" s="12"/>
      <c r="AE60" s="11"/>
      <c r="AF60" s="13"/>
      <c r="AG60" s="13"/>
      <c r="AH60" s="11"/>
      <c r="AI60" s="11"/>
      <c r="AJ60" s="11"/>
      <c r="AK60" s="12"/>
      <c r="AL60" s="12"/>
      <c r="AM60" s="13"/>
      <c r="AN60" s="13"/>
      <c r="AO60" s="11"/>
      <c r="AP60" s="12"/>
      <c r="AQ60" s="12"/>
      <c r="AR60" s="12"/>
      <c r="AS60" s="11"/>
      <c r="AT60" s="13"/>
      <c r="AU60" s="13"/>
      <c r="AV60" s="11"/>
      <c r="AW60" s="12"/>
      <c r="AX60" s="12"/>
      <c r="AY60" s="12"/>
      <c r="AZ60" s="11"/>
      <c r="BA60" s="13"/>
      <c r="BB60" s="13"/>
      <c r="BC60" s="11"/>
      <c r="BD60" s="12"/>
      <c r="BE60" s="12"/>
      <c r="BF60" s="12"/>
      <c r="BG60" s="11"/>
      <c r="BH60" s="13"/>
      <c r="BI60" s="13"/>
      <c r="BJ60" s="11"/>
      <c r="BK60" s="12"/>
      <c r="BL60" s="12"/>
      <c r="BM60" s="12"/>
      <c r="BN60" s="11"/>
      <c r="BO60" s="13"/>
      <c r="BP60" s="449">
        <f t="shared" si="56"/>
        <v>0</v>
      </c>
      <c r="BQ60" s="460">
        <v>152300</v>
      </c>
      <c r="BR60" s="590">
        <v>0.75</v>
      </c>
      <c r="BS60" s="20">
        <f t="shared" si="57"/>
        <v>38075</v>
      </c>
      <c r="BT60" s="21">
        <f t="shared" si="58"/>
        <v>0</v>
      </c>
      <c r="BU60" s="491">
        <f t="shared" si="59"/>
        <v>0</v>
      </c>
      <c r="BV60" s="1"/>
      <c r="BW60" s="561">
        <v>2.99</v>
      </c>
      <c r="BX60" s="568">
        <f t="shared" si="60"/>
        <v>0</v>
      </c>
      <c r="BY60" s="452">
        <f t="shared" si="61"/>
        <v>0</v>
      </c>
      <c r="BZ60" s="2"/>
      <c r="CA60" s="453" t="s">
        <v>261</v>
      </c>
      <c r="CB60" s="454">
        <f t="shared" si="62"/>
        <v>0</v>
      </c>
      <c r="CC60" s="455">
        <f t="shared" si="63"/>
        <v>0</v>
      </c>
      <c r="CD60" s="454">
        <f t="shared" si="64"/>
        <v>0</v>
      </c>
      <c r="CE60" s="455">
        <f t="shared" si="65"/>
        <v>0</v>
      </c>
      <c r="CF60" s="427" t="b">
        <f t="shared" si="66"/>
        <v>1</v>
      </c>
    </row>
    <row r="61" spans="1:84" s="458" customFormat="1" ht="14" customHeight="1" x14ac:dyDescent="0.25">
      <c r="A61" s="435"/>
      <c r="B61" s="446"/>
      <c r="C61" s="446"/>
      <c r="D61" s="447" t="s">
        <v>263</v>
      </c>
      <c r="E61" s="448" t="s">
        <v>232</v>
      </c>
      <c r="F61" s="448">
        <v>0.46875</v>
      </c>
      <c r="G61" s="448" t="s">
        <v>271</v>
      </c>
      <c r="H61" s="464">
        <v>60</v>
      </c>
      <c r="I61" s="11"/>
      <c r="J61" s="11"/>
      <c r="K61" s="13"/>
      <c r="L61" s="13"/>
      <c r="M61" s="11"/>
      <c r="N61" s="12"/>
      <c r="O61" s="12"/>
      <c r="P61" s="12"/>
      <c r="Q61" s="11"/>
      <c r="R61" s="13"/>
      <c r="S61" s="13"/>
      <c r="T61" s="11"/>
      <c r="U61" s="12"/>
      <c r="V61" s="12"/>
      <c r="W61" s="12"/>
      <c r="X61" s="11"/>
      <c r="Y61" s="13"/>
      <c r="Z61" s="13"/>
      <c r="AA61" s="11"/>
      <c r="AB61" s="12"/>
      <c r="AC61" s="12"/>
      <c r="AD61" s="12"/>
      <c r="AE61" s="11"/>
      <c r="AF61" s="13"/>
      <c r="AG61" s="13">
        <v>1</v>
      </c>
      <c r="AH61" s="11"/>
      <c r="AI61" s="11"/>
      <c r="AJ61" s="11"/>
      <c r="AK61" s="12"/>
      <c r="AL61" s="12"/>
      <c r="AM61" s="13"/>
      <c r="AN61" s="13"/>
      <c r="AO61" s="11"/>
      <c r="AP61" s="12"/>
      <c r="AQ61" s="12"/>
      <c r="AR61" s="12"/>
      <c r="AS61" s="11"/>
      <c r="AT61" s="13"/>
      <c r="AU61" s="13"/>
      <c r="AV61" s="11"/>
      <c r="AW61" s="12"/>
      <c r="AX61" s="12"/>
      <c r="AY61" s="12"/>
      <c r="AZ61" s="11"/>
      <c r="BA61" s="13"/>
      <c r="BB61" s="13"/>
      <c r="BC61" s="11"/>
      <c r="BD61" s="12"/>
      <c r="BE61" s="12"/>
      <c r="BF61" s="12"/>
      <c r="BG61" s="11"/>
      <c r="BH61" s="13"/>
      <c r="BI61" s="13"/>
      <c r="BJ61" s="11"/>
      <c r="BK61" s="12"/>
      <c r="BL61" s="12"/>
      <c r="BM61" s="12"/>
      <c r="BN61" s="11"/>
      <c r="BO61" s="13"/>
      <c r="BP61" s="449">
        <f t="shared" si="56"/>
        <v>1</v>
      </c>
      <c r="BQ61" s="460">
        <v>304600</v>
      </c>
      <c r="BR61" s="590">
        <v>0.75</v>
      </c>
      <c r="BS61" s="20">
        <f t="shared" si="57"/>
        <v>76150</v>
      </c>
      <c r="BT61" s="21">
        <f t="shared" si="58"/>
        <v>76150</v>
      </c>
      <c r="BU61" s="491">
        <f t="shared" si="59"/>
        <v>60920</v>
      </c>
      <c r="BV61" s="1"/>
      <c r="BW61" s="561">
        <v>2.99</v>
      </c>
      <c r="BX61" s="568">
        <f t="shared" si="60"/>
        <v>2.99</v>
      </c>
      <c r="BY61" s="452">
        <f t="shared" si="61"/>
        <v>20374.581939799329</v>
      </c>
      <c r="BZ61" s="2"/>
      <c r="CA61" s="453" t="s">
        <v>261</v>
      </c>
      <c r="CB61" s="454">
        <f t="shared" si="62"/>
        <v>1</v>
      </c>
      <c r="CC61" s="455">
        <f t="shared" si="63"/>
        <v>60920</v>
      </c>
      <c r="CD61" s="454">
        <f t="shared" si="64"/>
        <v>0</v>
      </c>
      <c r="CE61" s="455">
        <f t="shared" si="65"/>
        <v>0</v>
      </c>
      <c r="CF61" s="427" t="b">
        <f t="shared" si="66"/>
        <v>1</v>
      </c>
    </row>
    <row r="62" spans="1:84" s="458" customFormat="1" ht="14" customHeight="1" x14ac:dyDescent="0.25">
      <c r="A62" s="435"/>
      <c r="B62" s="446"/>
      <c r="C62" s="446"/>
      <c r="D62" s="447" t="s">
        <v>264</v>
      </c>
      <c r="E62" s="448" t="s">
        <v>230</v>
      </c>
      <c r="F62" s="448">
        <v>0.875</v>
      </c>
      <c r="G62" s="448" t="s">
        <v>272</v>
      </c>
      <c r="H62" s="464">
        <v>30</v>
      </c>
      <c r="I62" s="11"/>
      <c r="J62" s="11"/>
      <c r="K62" s="13"/>
      <c r="L62" s="13"/>
      <c r="M62" s="11"/>
      <c r="N62" s="12"/>
      <c r="O62" s="12"/>
      <c r="P62" s="12"/>
      <c r="Q62" s="11"/>
      <c r="R62" s="13"/>
      <c r="S62" s="13"/>
      <c r="T62" s="11"/>
      <c r="U62" s="12"/>
      <c r="V62" s="12"/>
      <c r="W62" s="12"/>
      <c r="X62" s="11"/>
      <c r="Y62" s="13"/>
      <c r="Z62" s="13"/>
      <c r="AA62" s="11"/>
      <c r="AB62" s="12"/>
      <c r="AC62" s="12"/>
      <c r="AD62" s="12"/>
      <c r="AE62" s="11"/>
      <c r="AF62" s="13"/>
      <c r="AG62" s="13"/>
      <c r="AH62" s="11"/>
      <c r="AI62" s="11"/>
      <c r="AJ62" s="11">
        <v>1</v>
      </c>
      <c r="AK62" s="12"/>
      <c r="AL62" s="12"/>
      <c r="AM62" s="13"/>
      <c r="AN62" s="13"/>
      <c r="AO62" s="11"/>
      <c r="AP62" s="12"/>
      <c r="AQ62" s="12"/>
      <c r="AR62" s="12"/>
      <c r="AS62" s="11"/>
      <c r="AT62" s="13"/>
      <c r="AU62" s="13"/>
      <c r="AV62" s="11"/>
      <c r="AW62" s="12"/>
      <c r="AX62" s="12"/>
      <c r="AY62" s="12"/>
      <c r="AZ62" s="11"/>
      <c r="BA62" s="13"/>
      <c r="BB62" s="13"/>
      <c r="BC62" s="11"/>
      <c r="BD62" s="12"/>
      <c r="BE62" s="12"/>
      <c r="BF62" s="12"/>
      <c r="BG62" s="11"/>
      <c r="BH62" s="13"/>
      <c r="BI62" s="13"/>
      <c r="BJ62" s="11"/>
      <c r="BK62" s="12"/>
      <c r="BL62" s="12"/>
      <c r="BM62" s="12"/>
      <c r="BN62" s="11"/>
      <c r="BO62" s="13"/>
      <c r="BP62" s="449">
        <f t="shared" si="56"/>
        <v>1</v>
      </c>
      <c r="BQ62" s="460">
        <v>192000</v>
      </c>
      <c r="BR62" s="590">
        <v>0.75</v>
      </c>
      <c r="BS62" s="20">
        <f t="shared" si="57"/>
        <v>48000</v>
      </c>
      <c r="BT62" s="21">
        <f t="shared" si="58"/>
        <v>48000</v>
      </c>
      <c r="BU62" s="491">
        <f t="shared" si="59"/>
        <v>38400</v>
      </c>
      <c r="BV62" s="1"/>
      <c r="BW62" s="561">
        <v>2.14</v>
      </c>
      <c r="BX62" s="568">
        <f t="shared" si="60"/>
        <v>2.14</v>
      </c>
      <c r="BY62" s="452">
        <f t="shared" si="61"/>
        <v>17943.925233644859</v>
      </c>
      <c r="BZ62" s="2"/>
      <c r="CA62" s="453" t="s">
        <v>261</v>
      </c>
      <c r="CB62" s="454">
        <f t="shared" si="62"/>
        <v>1</v>
      </c>
      <c r="CC62" s="455">
        <f t="shared" si="63"/>
        <v>38400</v>
      </c>
      <c r="CD62" s="454">
        <f t="shared" si="64"/>
        <v>0</v>
      </c>
      <c r="CE62" s="455">
        <f t="shared" si="65"/>
        <v>0</v>
      </c>
      <c r="CF62" s="427" t="b">
        <f t="shared" si="66"/>
        <v>1</v>
      </c>
    </row>
    <row r="63" spans="1:84" s="458" customFormat="1" ht="14" customHeight="1" x14ac:dyDescent="0.25">
      <c r="A63" s="435"/>
      <c r="B63" s="446"/>
      <c r="C63" s="446"/>
      <c r="D63" s="459" t="s">
        <v>264</v>
      </c>
      <c r="E63" s="448" t="s">
        <v>230</v>
      </c>
      <c r="F63" s="448">
        <v>0.875</v>
      </c>
      <c r="G63" s="448" t="s">
        <v>272</v>
      </c>
      <c r="H63" s="464">
        <v>60</v>
      </c>
      <c r="I63" s="11"/>
      <c r="J63" s="11"/>
      <c r="K63" s="13"/>
      <c r="L63" s="13"/>
      <c r="M63" s="11"/>
      <c r="N63" s="12"/>
      <c r="O63" s="12"/>
      <c r="P63" s="12"/>
      <c r="Q63" s="11"/>
      <c r="R63" s="13"/>
      <c r="S63" s="13"/>
      <c r="T63" s="11"/>
      <c r="U63" s="12"/>
      <c r="V63" s="12"/>
      <c r="W63" s="12"/>
      <c r="X63" s="11"/>
      <c r="Y63" s="13"/>
      <c r="Z63" s="13"/>
      <c r="AA63" s="11"/>
      <c r="AB63" s="12"/>
      <c r="AC63" s="12"/>
      <c r="AD63" s="12"/>
      <c r="AE63" s="11"/>
      <c r="AF63" s="13"/>
      <c r="AG63" s="13"/>
      <c r="AH63" s="11"/>
      <c r="AI63" s="11"/>
      <c r="AJ63" s="11"/>
      <c r="AK63" s="12"/>
      <c r="AL63" s="12"/>
      <c r="AM63" s="13"/>
      <c r="AN63" s="13"/>
      <c r="AO63" s="11"/>
      <c r="AP63" s="12"/>
      <c r="AQ63" s="12"/>
      <c r="AR63" s="12"/>
      <c r="AS63" s="11"/>
      <c r="AT63" s="13"/>
      <c r="AU63" s="13"/>
      <c r="AV63" s="11"/>
      <c r="AW63" s="12"/>
      <c r="AX63" s="12"/>
      <c r="AY63" s="12"/>
      <c r="AZ63" s="11"/>
      <c r="BA63" s="13"/>
      <c r="BB63" s="13"/>
      <c r="BC63" s="11"/>
      <c r="BD63" s="12"/>
      <c r="BE63" s="12"/>
      <c r="BF63" s="12"/>
      <c r="BG63" s="11"/>
      <c r="BH63" s="13"/>
      <c r="BI63" s="13"/>
      <c r="BJ63" s="11"/>
      <c r="BK63" s="12"/>
      <c r="BL63" s="12"/>
      <c r="BM63" s="12"/>
      <c r="BN63" s="11"/>
      <c r="BO63" s="13"/>
      <c r="BP63" s="449">
        <f t="shared" si="56"/>
        <v>0</v>
      </c>
      <c r="BQ63" s="460">
        <v>384000</v>
      </c>
      <c r="BR63" s="590">
        <v>0.75</v>
      </c>
      <c r="BS63" s="20">
        <f t="shared" si="57"/>
        <v>96000</v>
      </c>
      <c r="BT63" s="21">
        <f t="shared" si="58"/>
        <v>0</v>
      </c>
      <c r="BU63" s="491">
        <f t="shared" si="59"/>
        <v>0</v>
      </c>
      <c r="BV63" s="1"/>
      <c r="BW63" s="561">
        <v>2.14</v>
      </c>
      <c r="BX63" s="568">
        <f t="shared" si="60"/>
        <v>0</v>
      </c>
      <c r="BY63" s="452">
        <f t="shared" si="61"/>
        <v>0</v>
      </c>
      <c r="BZ63" s="2"/>
      <c r="CA63" s="453" t="s">
        <v>261</v>
      </c>
      <c r="CB63" s="454">
        <f t="shared" si="62"/>
        <v>0</v>
      </c>
      <c r="CC63" s="455">
        <f t="shared" si="63"/>
        <v>0</v>
      </c>
      <c r="CD63" s="454">
        <f t="shared" si="64"/>
        <v>0</v>
      </c>
      <c r="CE63" s="455">
        <f t="shared" si="65"/>
        <v>0</v>
      </c>
      <c r="CF63" s="427" t="b">
        <f t="shared" si="66"/>
        <v>1</v>
      </c>
    </row>
    <row r="64" spans="1:84" s="458" customFormat="1" ht="14" customHeight="1" x14ac:dyDescent="0.25">
      <c r="A64" s="435"/>
      <c r="B64" s="446"/>
      <c r="C64" s="446"/>
      <c r="D64" s="466" t="s">
        <v>265</v>
      </c>
      <c r="E64" s="448" t="s">
        <v>230</v>
      </c>
      <c r="F64" s="448">
        <v>0.73958333333333337</v>
      </c>
      <c r="G64" s="448" t="s">
        <v>273</v>
      </c>
      <c r="H64" s="464">
        <v>30</v>
      </c>
      <c r="I64" s="11"/>
      <c r="J64" s="11"/>
      <c r="K64" s="13"/>
      <c r="L64" s="13"/>
      <c r="M64" s="11"/>
      <c r="N64" s="12"/>
      <c r="O64" s="12"/>
      <c r="P64" s="12"/>
      <c r="Q64" s="11"/>
      <c r="R64" s="13"/>
      <c r="S64" s="13"/>
      <c r="T64" s="11"/>
      <c r="U64" s="12"/>
      <c r="V64" s="12"/>
      <c r="W64" s="12"/>
      <c r="X64" s="11"/>
      <c r="Y64" s="13"/>
      <c r="Z64" s="13"/>
      <c r="AA64" s="11"/>
      <c r="AB64" s="12"/>
      <c r="AC64" s="12"/>
      <c r="AD64" s="12"/>
      <c r="AE64" s="11"/>
      <c r="AF64" s="13"/>
      <c r="AG64" s="13"/>
      <c r="AH64" s="11"/>
      <c r="AI64" s="11"/>
      <c r="AJ64" s="11"/>
      <c r="AK64" s="12">
        <v>1</v>
      </c>
      <c r="AL64" s="12"/>
      <c r="AM64" s="13"/>
      <c r="AN64" s="13"/>
      <c r="AO64" s="11"/>
      <c r="AP64" s="12"/>
      <c r="AQ64" s="12"/>
      <c r="AR64" s="12"/>
      <c r="AS64" s="11"/>
      <c r="AT64" s="13"/>
      <c r="AU64" s="13"/>
      <c r="AV64" s="11"/>
      <c r="AW64" s="12"/>
      <c r="AX64" s="12"/>
      <c r="AY64" s="12"/>
      <c r="AZ64" s="11"/>
      <c r="BA64" s="13"/>
      <c r="BB64" s="13"/>
      <c r="BC64" s="11"/>
      <c r="BD64" s="12"/>
      <c r="BE64" s="12"/>
      <c r="BF64" s="12"/>
      <c r="BG64" s="11"/>
      <c r="BH64" s="13"/>
      <c r="BI64" s="13"/>
      <c r="BJ64" s="11"/>
      <c r="BK64" s="12"/>
      <c r="BL64" s="12"/>
      <c r="BM64" s="12"/>
      <c r="BN64" s="11"/>
      <c r="BO64" s="13"/>
      <c r="BP64" s="449">
        <f t="shared" si="56"/>
        <v>1</v>
      </c>
      <c r="BQ64" s="460">
        <v>98800</v>
      </c>
      <c r="BR64" s="590">
        <v>0.75</v>
      </c>
      <c r="BS64" s="20">
        <f t="shared" si="57"/>
        <v>24700</v>
      </c>
      <c r="BT64" s="21">
        <f t="shared" si="58"/>
        <v>24700</v>
      </c>
      <c r="BU64" s="491">
        <f t="shared" si="59"/>
        <v>19760</v>
      </c>
      <c r="BV64" s="1"/>
      <c r="BW64" s="561">
        <v>1.08</v>
      </c>
      <c r="BX64" s="568">
        <f t="shared" si="60"/>
        <v>1.08</v>
      </c>
      <c r="BY64" s="452">
        <f t="shared" si="61"/>
        <v>18296.296296296296</v>
      </c>
      <c r="BZ64" s="2"/>
      <c r="CA64" s="453" t="s">
        <v>261</v>
      </c>
      <c r="CB64" s="454">
        <f t="shared" si="62"/>
        <v>1</v>
      </c>
      <c r="CC64" s="455">
        <f t="shared" si="63"/>
        <v>19760</v>
      </c>
      <c r="CD64" s="454">
        <f t="shared" si="64"/>
        <v>0</v>
      </c>
      <c r="CE64" s="455">
        <f t="shared" si="65"/>
        <v>0</v>
      </c>
      <c r="CF64" s="427" t="b">
        <f t="shared" si="66"/>
        <v>1</v>
      </c>
    </row>
    <row r="65" spans="1:84" s="458" customFormat="1" ht="14" customHeight="1" x14ac:dyDescent="0.25">
      <c r="A65" s="435"/>
      <c r="B65" s="446"/>
      <c r="C65" s="446"/>
      <c r="D65" s="447" t="s">
        <v>266</v>
      </c>
      <c r="E65" s="448" t="s">
        <v>230</v>
      </c>
      <c r="F65" s="448">
        <v>0.60416666666666663</v>
      </c>
      <c r="G65" s="448" t="s">
        <v>274</v>
      </c>
      <c r="H65" s="464">
        <v>30</v>
      </c>
      <c r="I65" s="11"/>
      <c r="J65" s="11"/>
      <c r="K65" s="13"/>
      <c r="L65" s="13"/>
      <c r="M65" s="11"/>
      <c r="N65" s="12"/>
      <c r="O65" s="12"/>
      <c r="P65" s="12"/>
      <c r="Q65" s="11"/>
      <c r="R65" s="13"/>
      <c r="S65" s="13"/>
      <c r="T65" s="11"/>
      <c r="U65" s="12"/>
      <c r="V65" s="12"/>
      <c r="W65" s="12"/>
      <c r="X65" s="11"/>
      <c r="Y65" s="13"/>
      <c r="Z65" s="13"/>
      <c r="AA65" s="11"/>
      <c r="AB65" s="12"/>
      <c r="AC65" s="12"/>
      <c r="AD65" s="12"/>
      <c r="AE65" s="11"/>
      <c r="AF65" s="13"/>
      <c r="AG65" s="13"/>
      <c r="AH65" s="11"/>
      <c r="AI65" s="11"/>
      <c r="AJ65" s="11">
        <v>1</v>
      </c>
      <c r="AK65" s="12"/>
      <c r="AL65" s="12"/>
      <c r="AM65" s="13"/>
      <c r="AN65" s="13"/>
      <c r="AO65" s="11"/>
      <c r="AP65" s="12"/>
      <c r="AQ65" s="12"/>
      <c r="AR65" s="12"/>
      <c r="AS65" s="11"/>
      <c r="AT65" s="13"/>
      <c r="AU65" s="13"/>
      <c r="AV65" s="11"/>
      <c r="AW65" s="12"/>
      <c r="AX65" s="12"/>
      <c r="AY65" s="12"/>
      <c r="AZ65" s="11"/>
      <c r="BA65" s="13"/>
      <c r="BB65" s="13"/>
      <c r="BC65" s="11"/>
      <c r="BD65" s="12"/>
      <c r="BE65" s="12"/>
      <c r="BF65" s="12"/>
      <c r="BG65" s="11"/>
      <c r="BH65" s="13"/>
      <c r="BI65" s="13"/>
      <c r="BJ65" s="11"/>
      <c r="BK65" s="12"/>
      <c r="BL65" s="12"/>
      <c r="BM65" s="12"/>
      <c r="BN65" s="11"/>
      <c r="BO65" s="13"/>
      <c r="BP65" s="449">
        <f t="shared" si="56"/>
        <v>1</v>
      </c>
      <c r="BQ65" s="460">
        <v>94300</v>
      </c>
      <c r="BR65" s="590">
        <v>0.75</v>
      </c>
      <c r="BS65" s="20">
        <f t="shared" si="57"/>
        <v>23575</v>
      </c>
      <c r="BT65" s="21">
        <f t="shared" si="58"/>
        <v>23575</v>
      </c>
      <c r="BU65" s="491">
        <f t="shared" si="59"/>
        <v>18860</v>
      </c>
      <c r="BV65" s="1"/>
      <c r="BW65" s="561">
        <v>1.58</v>
      </c>
      <c r="BX65" s="568">
        <f t="shared" si="60"/>
        <v>1.58</v>
      </c>
      <c r="BY65" s="452">
        <f t="shared" si="61"/>
        <v>11936.708860759492</v>
      </c>
      <c r="BZ65" s="2"/>
      <c r="CA65" s="453" t="s">
        <v>261</v>
      </c>
      <c r="CB65" s="454">
        <f t="shared" si="62"/>
        <v>1</v>
      </c>
      <c r="CC65" s="455">
        <f t="shared" si="63"/>
        <v>18860</v>
      </c>
      <c r="CD65" s="454">
        <f t="shared" si="64"/>
        <v>0</v>
      </c>
      <c r="CE65" s="455">
        <f t="shared" si="65"/>
        <v>0</v>
      </c>
      <c r="CF65" s="427" t="b">
        <f t="shared" si="66"/>
        <v>1</v>
      </c>
    </row>
    <row r="66" spans="1:84" s="458" customFormat="1" ht="14" customHeight="1" x14ac:dyDescent="0.25">
      <c r="A66" s="435"/>
      <c r="B66" s="446"/>
      <c r="C66" s="446"/>
      <c r="D66" s="459" t="s">
        <v>267</v>
      </c>
      <c r="E66" s="448" t="s">
        <v>230</v>
      </c>
      <c r="F66" s="448">
        <v>0.35416666666666669</v>
      </c>
      <c r="G66" s="448" t="s">
        <v>241</v>
      </c>
      <c r="H66" s="464">
        <v>30</v>
      </c>
      <c r="I66" s="11"/>
      <c r="J66" s="11"/>
      <c r="K66" s="13"/>
      <c r="L66" s="13"/>
      <c r="M66" s="11"/>
      <c r="N66" s="12"/>
      <c r="O66" s="12"/>
      <c r="P66" s="12"/>
      <c r="Q66" s="11"/>
      <c r="R66" s="13"/>
      <c r="S66" s="13"/>
      <c r="T66" s="11"/>
      <c r="U66" s="12"/>
      <c r="V66" s="12"/>
      <c r="W66" s="12"/>
      <c r="X66" s="11"/>
      <c r="Y66" s="13"/>
      <c r="Z66" s="13"/>
      <c r="AA66" s="11"/>
      <c r="AB66" s="12"/>
      <c r="AC66" s="12"/>
      <c r="AD66" s="12"/>
      <c r="AE66" s="11"/>
      <c r="AF66" s="13"/>
      <c r="AG66" s="13"/>
      <c r="AH66" s="11"/>
      <c r="AI66" s="11">
        <v>1</v>
      </c>
      <c r="AJ66" s="11"/>
      <c r="AK66" s="12"/>
      <c r="AL66" s="12"/>
      <c r="AM66" s="13"/>
      <c r="AN66" s="13"/>
      <c r="AO66" s="11"/>
      <c r="AP66" s="12"/>
      <c r="AQ66" s="12"/>
      <c r="AR66" s="12"/>
      <c r="AS66" s="11"/>
      <c r="AT66" s="13"/>
      <c r="AU66" s="13"/>
      <c r="AV66" s="11"/>
      <c r="AW66" s="12"/>
      <c r="AX66" s="12"/>
      <c r="AY66" s="12"/>
      <c r="AZ66" s="11"/>
      <c r="BA66" s="13"/>
      <c r="BB66" s="13"/>
      <c r="BC66" s="11"/>
      <c r="BD66" s="12"/>
      <c r="BE66" s="12"/>
      <c r="BF66" s="12"/>
      <c r="BG66" s="11"/>
      <c r="BH66" s="13"/>
      <c r="BI66" s="13"/>
      <c r="BJ66" s="11"/>
      <c r="BK66" s="12"/>
      <c r="BL66" s="12"/>
      <c r="BM66" s="12"/>
      <c r="BN66" s="11"/>
      <c r="BO66" s="13"/>
      <c r="BP66" s="449">
        <f t="shared" si="56"/>
        <v>1</v>
      </c>
      <c r="BQ66" s="460">
        <v>48800</v>
      </c>
      <c r="BR66" s="590">
        <v>0.75</v>
      </c>
      <c r="BS66" s="20">
        <f t="shared" si="57"/>
        <v>12200</v>
      </c>
      <c r="BT66" s="21">
        <f t="shared" si="58"/>
        <v>12200</v>
      </c>
      <c r="BU66" s="491">
        <f t="shared" si="59"/>
        <v>9760</v>
      </c>
      <c r="BV66" s="1"/>
      <c r="BW66" s="561">
        <v>1.38</v>
      </c>
      <c r="BX66" s="568">
        <f t="shared" si="60"/>
        <v>1.38</v>
      </c>
      <c r="BY66" s="452">
        <f t="shared" si="61"/>
        <v>7072.4637681159429</v>
      </c>
      <c r="BZ66" s="2"/>
      <c r="CA66" s="453" t="s">
        <v>261</v>
      </c>
      <c r="CB66" s="454">
        <f t="shared" si="62"/>
        <v>1</v>
      </c>
      <c r="CC66" s="455">
        <f t="shared" si="63"/>
        <v>9760</v>
      </c>
      <c r="CD66" s="454">
        <f t="shared" si="64"/>
        <v>0</v>
      </c>
      <c r="CE66" s="455">
        <f t="shared" si="65"/>
        <v>0</v>
      </c>
      <c r="CF66" s="427" t="b">
        <f t="shared" si="66"/>
        <v>1</v>
      </c>
    </row>
    <row r="67" spans="1:84" s="458" customFormat="1" ht="14" customHeight="1" x14ac:dyDescent="0.25">
      <c r="A67" s="435"/>
      <c r="B67" s="446"/>
      <c r="C67" s="446"/>
      <c r="D67" s="466" t="s">
        <v>268</v>
      </c>
      <c r="E67" s="448" t="s">
        <v>230</v>
      </c>
      <c r="F67" s="448">
        <v>0.3125</v>
      </c>
      <c r="G67" s="448" t="s">
        <v>275</v>
      </c>
      <c r="H67" s="464">
        <v>30</v>
      </c>
      <c r="I67" s="11"/>
      <c r="J67" s="11"/>
      <c r="K67" s="13"/>
      <c r="L67" s="13"/>
      <c r="M67" s="11"/>
      <c r="N67" s="12"/>
      <c r="O67" s="12"/>
      <c r="P67" s="12"/>
      <c r="Q67" s="11"/>
      <c r="R67" s="13"/>
      <c r="S67" s="13"/>
      <c r="T67" s="11"/>
      <c r="U67" s="12"/>
      <c r="V67" s="12"/>
      <c r="W67" s="12"/>
      <c r="X67" s="11"/>
      <c r="Y67" s="13"/>
      <c r="Z67" s="13"/>
      <c r="AA67" s="11"/>
      <c r="AB67" s="12"/>
      <c r="AC67" s="12"/>
      <c r="AD67" s="12"/>
      <c r="AE67" s="11"/>
      <c r="AF67" s="13"/>
      <c r="AG67" s="13"/>
      <c r="AH67" s="11"/>
      <c r="AI67" s="11"/>
      <c r="AJ67" s="11"/>
      <c r="AK67" s="12"/>
      <c r="AL67" s="12">
        <v>1</v>
      </c>
      <c r="AM67" s="13"/>
      <c r="AN67" s="13"/>
      <c r="AO67" s="11"/>
      <c r="AP67" s="12"/>
      <c r="AQ67" s="12"/>
      <c r="AR67" s="12"/>
      <c r="AS67" s="11"/>
      <c r="AT67" s="13"/>
      <c r="AU67" s="13"/>
      <c r="AV67" s="11"/>
      <c r="AW67" s="12"/>
      <c r="AX67" s="12"/>
      <c r="AY67" s="12"/>
      <c r="AZ67" s="11"/>
      <c r="BA67" s="13"/>
      <c r="BB67" s="13"/>
      <c r="BC67" s="11"/>
      <c r="BD67" s="12"/>
      <c r="BE67" s="12"/>
      <c r="BF67" s="12"/>
      <c r="BG67" s="11"/>
      <c r="BH67" s="13"/>
      <c r="BI67" s="13"/>
      <c r="BJ67" s="11"/>
      <c r="BK67" s="12"/>
      <c r="BL67" s="12"/>
      <c r="BM67" s="12"/>
      <c r="BN67" s="11"/>
      <c r="BO67" s="13"/>
      <c r="BP67" s="449">
        <f t="shared" si="56"/>
        <v>1</v>
      </c>
      <c r="BQ67" s="460">
        <v>48800</v>
      </c>
      <c r="BR67" s="590">
        <v>0.75</v>
      </c>
      <c r="BS67" s="20">
        <f t="shared" si="57"/>
        <v>12200</v>
      </c>
      <c r="BT67" s="21">
        <f t="shared" si="58"/>
        <v>12200</v>
      </c>
      <c r="BU67" s="491">
        <f t="shared" si="59"/>
        <v>9760</v>
      </c>
      <c r="BV67" s="1"/>
      <c r="BW67" s="561">
        <v>1.25</v>
      </c>
      <c r="BX67" s="568">
        <f t="shared" si="60"/>
        <v>1.25</v>
      </c>
      <c r="BY67" s="452">
        <f t="shared" si="61"/>
        <v>7808</v>
      </c>
      <c r="BZ67" s="2"/>
      <c r="CA67" s="453" t="s">
        <v>261</v>
      </c>
      <c r="CB67" s="454">
        <f t="shared" si="62"/>
        <v>1</v>
      </c>
      <c r="CC67" s="455">
        <f t="shared" si="63"/>
        <v>9760</v>
      </c>
      <c r="CD67" s="454">
        <f t="shared" si="64"/>
        <v>0</v>
      </c>
      <c r="CE67" s="455">
        <f t="shared" si="65"/>
        <v>0</v>
      </c>
      <c r="CF67" s="427" t="b">
        <f t="shared" si="66"/>
        <v>1</v>
      </c>
    </row>
    <row r="68" spans="1:84" s="458" customFormat="1" ht="14" customHeight="1" x14ac:dyDescent="0.25">
      <c r="A68" s="435"/>
      <c r="B68" s="446"/>
      <c r="C68" s="446"/>
      <c r="D68" s="447" t="s">
        <v>268</v>
      </c>
      <c r="E68" s="448" t="s">
        <v>230</v>
      </c>
      <c r="F68" s="448">
        <v>0.3125</v>
      </c>
      <c r="G68" s="448" t="s">
        <v>275</v>
      </c>
      <c r="H68" s="464">
        <v>60</v>
      </c>
      <c r="I68" s="11"/>
      <c r="J68" s="11"/>
      <c r="K68" s="13"/>
      <c r="L68" s="13"/>
      <c r="M68" s="11"/>
      <c r="N68" s="12"/>
      <c r="O68" s="12"/>
      <c r="P68" s="12"/>
      <c r="Q68" s="11"/>
      <c r="R68" s="13"/>
      <c r="S68" s="13"/>
      <c r="T68" s="11"/>
      <c r="U68" s="12"/>
      <c r="V68" s="12"/>
      <c r="W68" s="12"/>
      <c r="X68" s="11"/>
      <c r="Y68" s="13"/>
      <c r="Z68" s="13"/>
      <c r="AA68" s="11"/>
      <c r="AB68" s="12"/>
      <c r="AC68" s="12"/>
      <c r="AD68" s="12"/>
      <c r="AE68" s="11">
        <v>1</v>
      </c>
      <c r="AF68" s="13"/>
      <c r="AG68" s="13"/>
      <c r="AH68" s="11"/>
      <c r="AI68" s="11"/>
      <c r="AJ68" s="11"/>
      <c r="AK68" s="12"/>
      <c r="AL68" s="12"/>
      <c r="AM68" s="13"/>
      <c r="AN68" s="13"/>
      <c r="AO68" s="11"/>
      <c r="AP68" s="12"/>
      <c r="AQ68" s="12"/>
      <c r="AR68" s="12"/>
      <c r="AS68" s="11"/>
      <c r="AT68" s="13"/>
      <c r="AU68" s="13"/>
      <c r="AV68" s="11"/>
      <c r="AW68" s="12"/>
      <c r="AX68" s="12"/>
      <c r="AY68" s="12"/>
      <c r="AZ68" s="11"/>
      <c r="BA68" s="13"/>
      <c r="BB68" s="13"/>
      <c r="BC68" s="11"/>
      <c r="BD68" s="12"/>
      <c r="BE68" s="12"/>
      <c r="BF68" s="12"/>
      <c r="BG68" s="11"/>
      <c r="BH68" s="13"/>
      <c r="BI68" s="13"/>
      <c r="BJ68" s="11"/>
      <c r="BK68" s="12"/>
      <c r="BL68" s="12"/>
      <c r="BM68" s="12"/>
      <c r="BN68" s="11"/>
      <c r="BO68" s="13"/>
      <c r="BP68" s="449">
        <f t="shared" si="56"/>
        <v>1</v>
      </c>
      <c r="BQ68" s="460">
        <v>97600</v>
      </c>
      <c r="BR68" s="590">
        <v>0.75</v>
      </c>
      <c r="BS68" s="20">
        <f t="shared" si="57"/>
        <v>24400</v>
      </c>
      <c r="BT68" s="21">
        <f t="shared" si="58"/>
        <v>24400</v>
      </c>
      <c r="BU68" s="491">
        <f t="shared" si="59"/>
        <v>19520</v>
      </c>
      <c r="BV68" s="1"/>
      <c r="BW68" s="561">
        <v>1.25</v>
      </c>
      <c r="BX68" s="568">
        <f t="shared" si="60"/>
        <v>1.25</v>
      </c>
      <c r="BY68" s="452">
        <f t="shared" si="61"/>
        <v>15616</v>
      </c>
      <c r="BZ68" s="2"/>
      <c r="CA68" s="453" t="s">
        <v>261</v>
      </c>
      <c r="CB68" s="454">
        <f t="shared" si="62"/>
        <v>1</v>
      </c>
      <c r="CC68" s="455">
        <f t="shared" si="63"/>
        <v>19520</v>
      </c>
      <c r="CD68" s="454">
        <f t="shared" si="64"/>
        <v>0</v>
      </c>
      <c r="CE68" s="455">
        <f t="shared" si="65"/>
        <v>0</v>
      </c>
      <c r="CF68" s="427" t="b">
        <f t="shared" si="66"/>
        <v>1</v>
      </c>
    </row>
    <row r="69" spans="1:84" s="458" customFormat="1" ht="14" customHeight="1" x14ac:dyDescent="0.25">
      <c r="A69" s="435"/>
      <c r="B69" s="446"/>
      <c r="C69" s="446"/>
      <c r="D69" s="447" t="s">
        <v>269</v>
      </c>
      <c r="E69" s="448" t="s">
        <v>230</v>
      </c>
      <c r="F69" s="448">
        <v>0.45833333333333331</v>
      </c>
      <c r="G69" s="448" t="s">
        <v>276</v>
      </c>
      <c r="H69" s="464">
        <v>30</v>
      </c>
      <c r="I69" s="11"/>
      <c r="J69" s="11"/>
      <c r="K69" s="13"/>
      <c r="L69" s="13"/>
      <c r="M69" s="11"/>
      <c r="N69" s="12"/>
      <c r="O69" s="12"/>
      <c r="P69" s="12"/>
      <c r="Q69" s="11"/>
      <c r="R69" s="13"/>
      <c r="S69" s="13"/>
      <c r="T69" s="11"/>
      <c r="U69" s="12"/>
      <c r="V69" s="12"/>
      <c r="W69" s="12"/>
      <c r="X69" s="11"/>
      <c r="Y69" s="13"/>
      <c r="Z69" s="13"/>
      <c r="AA69" s="11"/>
      <c r="AB69" s="12"/>
      <c r="AC69" s="12"/>
      <c r="AD69" s="12"/>
      <c r="AE69" s="11"/>
      <c r="AF69" s="13"/>
      <c r="AG69" s="13"/>
      <c r="AH69" s="11"/>
      <c r="AI69" s="11"/>
      <c r="AJ69" s="11"/>
      <c r="AK69" s="12"/>
      <c r="AL69" s="12"/>
      <c r="AM69" s="13">
        <v>1</v>
      </c>
      <c r="AN69" s="13"/>
      <c r="AO69" s="11"/>
      <c r="AP69" s="12"/>
      <c r="AQ69" s="12"/>
      <c r="AR69" s="12"/>
      <c r="AS69" s="11"/>
      <c r="AT69" s="13"/>
      <c r="AU69" s="13"/>
      <c r="AV69" s="11"/>
      <c r="AW69" s="12"/>
      <c r="AX69" s="12"/>
      <c r="AY69" s="12"/>
      <c r="AZ69" s="11"/>
      <c r="BA69" s="13"/>
      <c r="BB69" s="13"/>
      <c r="BC69" s="11"/>
      <c r="BD69" s="12"/>
      <c r="BE69" s="12"/>
      <c r="BF69" s="12"/>
      <c r="BG69" s="11"/>
      <c r="BH69" s="13"/>
      <c r="BI69" s="13"/>
      <c r="BJ69" s="11"/>
      <c r="BK69" s="12"/>
      <c r="BL69" s="12"/>
      <c r="BM69" s="12"/>
      <c r="BN69" s="11"/>
      <c r="BO69" s="13"/>
      <c r="BP69" s="449">
        <f t="shared" si="56"/>
        <v>1</v>
      </c>
      <c r="BQ69" s="460">
        <v>48800</v>
      </c>
      <c r="BR69" s="590">
        <v>0.75</v>
      </c>
      <c r="BS69" s="20">
        <f t="shared" si="57"/>
        <v>12200</v>
      </c>
      <c r="BT69" s="21">
        <f t="shared" si="58"/>
        <v>12200</v>
      </c>
      <c r="BU69" s="491">
        <f t="shared" si="59"/>
        <v>9760</v>
      </c>
      <c r="BV69" s="1"/>
      <c r="BW69" s="561">
        <v>1.17</v>
      </c>
      <c r="BX69" s="568">
        <f t="shared" si="60"/>
        <v>1.17</v>
      </c>
      <c r="BY69" s="452">
        <f t="shared" si="61"/>
        <v>8341.8803418803418</v>
      </c>
      <c r="BZ69" s="2"/>
      <c r="CA69" s="453" t="s">
        <v>261</v>
      </c>
      <c r="CB69" s="454">
        <f t="shared" si="62"/>
        <v>1</v>
      </c>
      <c r="CC69" s="455">
        <f t="shared" si="63"/>
        <v>9760</v>
      </c>
      <c r="CD69" s="454">
        <f t="shared" si="64"/>
        <v>0</v>
      </c>
      <c r="CE69" s="455">
        <f t="shared" si="65"/>
        <v>0</v>
      </c>
      <c r="CF69" s="427" t="b">
        <f t="shared" si="66"/>
        <v>1</v>
      </c>
    </row>
    <row r="70" spans="1:84" s="458" customFormat="1" ht="14" customHeight="1" x14ac:dyDescent="0.25">
      <c r="A70" s="435"/>
      <c r="B70" s="446"/>
      <c r="C70" s="446"/>
      <c r="D70" s="459" t="s">
        <v>269</v>
      </c>
      <c r="E70" s="448" t="s">
        <v>230</v>
      </c>
      <c r="F70" s="448">
        <v>0.45833333333333331</v>
      </c>
      <c r="G70" s="448" t="s">
        <v>276</v>
      </c>
      <c r="H70" s="464">
        <v>60</v>
      </c>
      <c r="I70" s="11"/>
      <c r="J70" s="11"/>
      <c r="K70" s="13"/>
      <c r="L70" s="13"/>
      <c r="M70" s="11"/>
      <c r="N70" s="12"/>
      <c r="O70" s="12"/>
      <c r="P70" s="12"/>
      <c r="Q70" s="11"/>
      <c r="R70" s="13"/>
      <c r="S70" s="13"/>
      <c r="T70" s="11"/>
      <c r="U70" s="12"/>
      <c r="V70" s="12"/>
      <c r="W70" s="12"/>
      <c r="X70" s="11"/>
      <c r="Y70" s="13"/>
      <c r="Z70" s="13"/>
      <c r="AA70" s="11"/>
      <c r="AB70" s="12"/>
      <c r="AC70" s="12"/>
      <c r="AD70" s="12"/>
      <c r="AE70" s="11"/>
      <c r="AF70" s="13">
        <v>1</v>
      </c>
      <c r="AG70" s="13"/>
      <c r="AH70" s="11"/>
      <c r="AI70" s="11"/>
      <c r="AJ70" s="11"/>
      <c r="AK70" s="12"/>
      <c r="AL70" s="12"/>
      <c r="AM70" s="13"/>
      <c r="AN70" s="13"/>
      <c r="AO70" s="11"/>
      <c r="AP70" s="12"/>
      <c r="AQ70" s="12"/>
      <c r="AR70" s="12"/>
      <c r="AS70" s="11"/>
      <c r="AT70" s="13"/>
      <c r="AU70" s="13"/>
      <c r="AV70" s="11"/>
      <c r="AW70" s="12"/>
      <c r="AX70" s="12"/>
      <c r="AY70" s="12"/>
      <c r="AZ70" s="11"/>
      <c r="BA70" s="13"/>
      <c r="BB70" s="13"/>
      <c r="BC70" s="11"/>
      <c r="BD70" s="12"/>
      <c r="BE70" s="12"/>
      <c r="BF70" s="12"/>
      <c r="BG70" s="11"/>
      <c r="BH70" s="13"/>
      <c r="BI70" s="13"/>
      <c r="BJ70" s="11"/>
      <c r="BK70" s="12"/>
      <c r="BL70" s="12"/>
      <c r="BM70" s="12"/>
      <c r="BN70" s="11"/>
      <c r="BO70" s="13"/>
      <c r="BP70" s="449">
        <f t="shared" si="56"/>
        <v>1</v>
      </c>
      <c r="BQ70" s="460">
        <v>97600</v>
      </c>
      <c r="BR70" s="590">
        <v>0.75</v>
      </c>
      <c r="BS70" s="20">
        <f t="shared" si="57"/>
        <v>24400</v>
      </c>
      <c r="BT70" s="21">
        <f t="shared" si="58"/>
        <v>24400</v>
      </c>
      <c r="BU70" s="491">
        <f t="shared" si="59"/>
        <v>19520</v>
      </c>
      <c r="BV70" s="1"/>
      <c r="BW70" s="561">
        <v>1.17</v>
      </c>
      <c r="BX70" s="568">
        <f t="shared" si="60"/>
        <v>1.17</v>
      </c>
      <c r="BY70" s="452">
        <f t="shared" si="61"/>
        <v>16683.760683760684</v>
      </c>
      <c r="BZ70" s="2"/>
      <c r="CA70" s="453" t="s">
        <v>261</v>
      </c>
      <c r="CB70" s="454">
        <f t="shared" si="62"/>
        <v>1</v>
      </c>
      <c r="CC70" s="455">
        <f t="shared" si="63"/>
        <v>19520</v>
      </c>
      <c r="CD70" s="454">
        <f t="shared" si="64"/>
        <v>0</v>
      </c>
      <c r="CE70" s="455">
        <f t="shared" si="65"/>
        <v>0</v>
      </c>
      <c r="CF70" s="427" t="b">
        <f t="shared" si="66"/>
        <v>1</v>
      </c>
    </row>
    <row r="71" spans="1:84" s="458" customFormat="1" ht="14" customHeight="1" x14ac:dyDescent="0.25">
      <c r="A71" s="435"/>
      <c r="B71" s="446"/>
      <c r="C71" s="446"/>
      <c r="D71" s="463" t="s">
        <v>262</v>
      </c>
      <c r="E71" s="448" t="s">
        <v>230</v>
      </c>
      <c r="F71" s="448">
        <v>0.45833333333333331</v>
      </c>
      <c r="G71" s="448" t="s">
        <v>270</v>
      </c>
      <c r="H71" s="464">
        <v>30</v>
      </c>
      <c r="I71" s="11"/>
      <c r="J71" s="11"/>
      <c r="K71" s="13"/>
      <c r="L71" s="13"/>
      <c r="M71" s="11"/>
      <c r="N71" s="12"/>
      <c r="O71" s="12"/>
      <c r="P71" s="12"/>
      <c r="Q71" s="11"/>
      <c r="R71" s="13"/>
      <c r="S71" s="13"/>
      <c r="T71" s="11"/>
      <c r="U71" s="12"/>
      <c r="V71" s="12"/>
      <c r="W71" s="12"/>
      <c r="X71" s="11"/>
      <c r="Y71" s="13"/>
      <c r="Z71" s="13"/>
      <c r="AA71" s="11"/>
      <c r="AB71" s="12"/>
      <c r="AC71" s="12"/>
      <c r="AD71" s="12"/>
      <c r="AE71" s="11"/>
      <c r="AF71" s="13"/>
      <c r="AG71" s="13"/>
      <c r="AH71" s="11"/>
      <c r="AI71" s="11"/>
      <c r="AJ71" s="11"/>
      <c r="AK71" s="12"/>
      <c r="AL71" s="12"/>
      <c r="AM71" s="13"/>
      <c r="AN71" s="13"/>
      <c r="AO71" s="11">
        <v>1</v>
      </c>
      <c r="AP71" s="12"/>
      <c r="AQ71" s="12"/>
      <c r="AR71" s="12"/>
      <c r="AS71" s="11"/>
      <c r="AT71" s="13"/>
      <c r="AU71" s="13"/>
      <c r="AV71" s="11">
        <v>1</v>
      </c>
      <c r="AW71" s="12"/>
      <c r="AX71" s="12"/>
      <c r="AY71" s="12"/>
      <c r="AZ71" s="11"/>
      <c r="BA71" s="13"/>
      <c r="BB71" s="13"/>
      <c r="BC71" s="11"/>
      <c r="BD71" s="12"/>
      <c r="BE71" s="12"/>
      <c r="BF71" s="12"/>
      <c r="BG71" s="11"/>
      <c r="BH71" s="13"/>
      <c r="BI71" s="13"/>
      <c r="BJ71" s="11"/>
      <c r="BK71" s="12"/>
      <c r="BL71" s="12"/>
      <c r="BM71" s="12"/>
      <c r="BN71" s="11"/>
      <c r="BO71" s="13"/>
      <c r="BP71" s="449">
        <f t="shared" ref="BP71:BP99" si="67">SUM(I71:BO71)</f>
        <v>2</v>
      </c>
      <c r="BQ71" s="460">
        <v>59000</v>
      </c>
      <c r="BR71" s="590">
        <v>0.83330000000000004</v>
      </c>
      <c r="BS71" s="20">
        <f t="shared" ref="BS71:BS89" si="68">BQ71*(1-BR71)</f>
        <v>9835.2999999999975</v>
      </c>
      <c r="BT71" s="21">
        <f t="shared" ref="BT71:BT89" si="69">BS71*BP71</f>
        <v>19670.599999999995</v>
      </c>
      <c r="BU71" s="491">
        <f t="shared" ref="BU71:BU89" si="70">BT71*0.8</f>
        <v>15736.479999999996</v>
      </c>
      <c r="BV71" s="1"/>
      <c r="BW71" s="561">
        <v>1.45</v>
      </c>
      <c r="BX71" s="568">
        <f t="shared" ref="BX71:BX82" si="71">BW71*BP71</f>
        <v>2.9</v>
      </c>
      <c r="BY71" s="452">
        <f t="shared" ref="BY71:BY82" si="72">IFERROR(BU71/BX71,0)</f>
        <v>5426.3724137931022</v>
      </c>
      <c r="BZ71" s="2"/>
      <c r="CA71" s="453" t="s">
        <v>261</v>
      </c>
      <c r="CB71" s="454">
        <f t="shared" ref="CB71:CB89" si="73">COUNTA(I71:AM71)</f>
        <v>0</v>
      </c>
      <c r="CC71" s="455">
        <f t="shared" ref="CC71:CC89" si="74">CB71*BS71*0.8</f>
        <v>0</v>
      </c>
      <c r="CD71" s="454">
        <f t="shared" ref="CD71:CD89" si="75">COUNTA(AN71:BO71)</f>
        <v>2</v>
      </c>
      <c r="CE71" s="455">
        <f t="shared" ref="CE71:CE89" si="76">CD71*BS71*0.8</f>
        <v>15736.479999999996</v>
      </c>
      <c r="CF71" s="427" t="b">
        <f t="shared" ref="CF71:CF105" si="77">SUM(CC71,CE71)=BU71</f>
        <v>1</v>
      </c>
    </row>
    <row r="72" spans="1:84" s="458" customFormat="1" ht="14" customHeight="1" x14ac:dyDescent="0.25">
      <c r="A72" s="435"/>
      <c r="B72" s="446"/>
      <c r="C72" s="446"/>
      <c r="D72" s="466" t="s">
        <v>263</v>
      </c>
      <c r="E72" s="448" t="s">
        <v>232</v>
      </c>
      <c r="F72" s="448">
        <v>0.46875</v>
      </c>
      <c r="G72" s="448" t="s">
        <v>271</v>
      </c>
      <c r="H72" s="464">
        <v>30</v>
      </c>
      <c r="I72" s="11"/>
      <c r="J72" s="11"/>
      <c r="K72" s="13"/>
      <c r="L72" s="13"/>
      <c r="M72" s="11"/>
      <c r="N72" s="12"/>
      <c r="O72" s="12"/>
      <c r="P72" s="12"/>
      <c r="Q72" s="11"/>
      <c r="R72" s="13"/>
      <c r="S72" s="13"/>
      <c r="T72" s="11"/>
      <c r="U72" s="12"/>
      <c r="V72" s="12"/>
      <c r="W72" s="12"/>
      <c r="X72" s="11"/>
      <c r="Y72" s="13"/>
      <c r="Z72" s="13"/>
      <c r="AA72" s="11"/>
      <c r="AB72" s="12"/>
      <c r="AC72" s="12"/>
      <c r="AD72" s="12"/>
      <c r="AE72" s="11"/>
      <c r="AF72" s="13"/>
      <c r="AG72" s="13"/>
      <c r="AH72" s="11"/>
      <c r="AI72" s="11"/>
      <c r="AJ72" s="11"/>
      <c r="AK72" s="12"/>
      <c r="AL72" s="12"/>
      <c r="AM72" s="13"/>
      <c r="AN72" s="13">
        <v>1</v>
      </c>
      <c r="AO72" s="11"/>
      <c r="AP72" s="12"/>
      <c r="AQ72" s="12"/>
      <c r="AR72" s="12"/>
      <c r="AS72" s="11"/>
      <c r="AT72" s="13"/>
      <c r="AU72" s="13">
        <v>1</v>
      </c>
      <c r="AV72" s="11"/>
      <c r="AW72" s="12"/>
      <c r="AX72" s="12"/>
      <c r="AY72" s="12"/>
      <c r="AZ72" s="11"/>
      <c r="BA72" s="13"/>
      <c r="BB72" s="13"/>
      <c r="BC72" s="11"/>
      <c r="BD72" s="12"/>
      <c r="BE72" s="12"/>
      <c r="BF72" s="12"/>
      <c r="BG72" s="11"/>
      <c r="BH72" s="13"/>
      <c r="BI72" s="13"/>
      <c r="BJ72" s="11"/>
      <c r="BK72" s="12"/>
      <c r="BL72" s="12"/>
      <c r="BM72" s="12"/>
      <c r="BN72" s="11"/>
      <c r="BO72" s="13"/>
      <c r="BP72" s="449">
        <f t="shared" si="67"/>
        <v>2</v>
      </c>
      <c r="BQ72" s="460">
        <v>152300</v>
      </c>
      <c r="BR72" s="590">
        <v>0.83330000000000004</v>
      </c>
      <c r="BS72" s="20">
        <f t="shared" si="68"/>
        <v>25388.409999999993</v>
      </c>
      <c r="BT72" s="21">
        <f t="shared" si="69"/>
        <v>50776.819999999985</v>
      </c>
      <c r="BU72" s="491">
        <f t="shared" si="70"/>
        <v>40621.455999999991</v>
      </c>
      <c r="BV72" s="1"/>
      <c r="BW72" s="561">
        <v>2.99</v>
      </c>
      <c r="BX72" s="568">
        <f t="shared" si="71"/>
        <v>5.98</v>
      </c>
      <c r="BY72" s="452">
        <f t="shared" si="72"/>
        <v>6792.8856187290949</v>
      </c>
      <c r="BZ72" s="2"/>
      <c r="CA72" s="453" t="s">
        <v>261</v>
      </c>
      <c r="CB72" s="454">
        <f t="shared" si="73"/>
        <v>0</v>
      </c>
      <c r="CC72" s="455">
        <f t="shared" si="74"/>
        <v>0</v>
      </c>
      <c r="CD72" s="454">
        <f t="shared" si="75"/>
        <v>2</v>
      </c>
      <c r="CE72" s="455">
        <f t="shared" si="76"/>
        <v>40621.455999999991</v>
      </c>
      <c r="CF72" s="427" t="b">
        <f t="shared" si="77"/>
        <v>1</v>
      </c>
    </row>
    <row r="73" spans="1:84" s="458" customFormat="1" ht="14" customHeight="1" x14ac:dyDescent="0.25">
      <c r="A73" s="435"/>
      <c r="B73" s="446"/>
      <c r="C73" s="446"/>
      <c r="D73" s="447" t="s">
        <v>263</v>
      </c>
      <c r="E73" s="448" t="s">
        <v>232</v>
      </c>
      <c r="F73" s="448">
        <v>0.46875</v>
      </c>
      <c r="G73" s="448" t="s">
        <v>271</v>
      </c>
      <c r="H73" s="464">
        <v>60</v>
      </c>
      <c r="I73" s="11"/>
      <c r="J73" s="11"/>
      <c r="K73" s="13"/>
      <c r="L73" s="13"/>
      <c r="M73" s="11"/>
      <c r="N73" s="12"/>
      <c r="O73" s="12"/>
      <c r="P73" s="12"/>
      <c r="Q73" s="11"/>
      <c r="R73" s="13"/>
      <c r="S73" s="13"/>
      <c r="T73" s="11"/>
      <c r="U73" s="12"/>
      <c r="V73" s="12"/>
      <c r="W73" s="12"/>
      <c r="X73" s="11"/>
      <c r="Y73" s="13"/>
      <c r="Z73" s="13"/>
      <c r="AA73" s="11"/>
      <c r="AB73" s="12"/>
      <c r="AC73" s="12"/>
      <c r="AD73" s="12"/>
      <c r="AE73" s="11"/>
      <c r="AF73" s="13"/>
      <c r="AG73" s="13"/>
      <c r="AH73" s="11"/>
      <c r="AI73" s="11"/>
      <c r="AJ73" s="11"/>
      <c r="AK73" s="12"/>
      <c r="AL73" s="12"/>
      <c r="AM73" s="13"/>
      <c r="AN73" s="13"/>
      <c r="AO73" s="11"/>
      <c r="AP73" s="12"/>
      <c r="AQ73" s="12"/>
      <c r="AR73" s="12"/>
      <c r="AS73" s="11"/>
      <c r="AT73" s="13"/>
      <c r="AU73" s="13"/>
      <c r="AV73" s="11"/>
      <c r="AW73" s="12"/>
      <c r="AX73" s="12"/>
      <c r="AY73" s="12"/>
      <c r="AZ73" s="11"/>
      <c r="BA73" s="13"/>
      <c r="BB73" s="13"/>
      <c r="BC73" s="11"/>
      <c r="BD73" s="12"/>
      <c r="BE73" s="12"/>
      <c r="BF73" s="12"/>
      <c r="BG73" s="11"/>
      <c r="BH73" s="13"/>
      <c r="BI73" s="13"/>
      <c r="BJ73" s="11"/>
      <c r="BK73" s="12"/>
      <c r="BL73" s="12"/>
      <c r="BM73" s="12"/>
      <c r="BN73" s="11"/>
      <c r="BO73" s="13"/>
      <c r="BP73" s="449">
        <f t="shared" si="67"/>
        <v>0</v>
      </c>
      <c r="BQ73" s="460">
        <v>304600</v>
      </c>
      <c r="BR73" s="590">
        <v>0.83330000000000004</v>
      </c>
      <c r="BS73" s="20">
        <f t="shared" si="68"/>
        <v>50776.819999999985</v>
      </c>
      <c r="BT73" s="21">
        <f t="shared" si="69"/>
        <v>0</v>
      </c>
      <c r="BU73" s="491">
        <f t="shared" si="70"/>
        <v>0</v>
      </c>
      <c r="BV73" s="1"/>
      <c r="BW73" s="561">
        <v>2.99</v>
      </c>
      <c r="BX73" s="568">
        <f t="shared" si="71"/>
        <v>0</v>
      </c>
      <c r="BY73" s="452">
        <f t="shared" si="72"/>
        <v>0</v>
      </c>
      <c r="BZ73" s="2"/>
      <c r="CA73" s="453" t="s">
        <v>261</v>
      </c>
      <c r="CB73" s="454">
        <f t="shared" si="73"/>
        <v>0</v>
      </c>
      <c r="CC73" s="455">
        <f t="shared" si="74"/>
        <v>0</v>
      </c>
      <c r="CD73" s="454">
        <f t="shared" si="75"/>
        <v>0</v>
      </c>
      <c r="CE73" s="455">
        <f t="shared" si="76"/>
        <v>0</v>
      </c>
      <c r="CF73" s="427" t="b">
        <f t="shared" si="77"/>
        <v>1</v>
      </c>
    </row>
    <row r="74" spans="1:84" s="458" customFormat="1" ht="14" customHeight="1" x14ac:dyDescent="0.25">
      <c r="A74" s="435"/>
      <c r="B74" s="446"/>
      <c r="C74" s="446"/>
      <c r="D74" s="447" t="s">
        <v>264</v>
      </c>
      <c r="E74" s="448" t="s">
        <v>230</v>
      </c>
      <c r="F74" s="448">
        <v>0.875</v>
      </c>
      <c r="G74" s="448" t="s">
        <v>272</v>
      </c>
      <c r="H74" s="464">
        <v>30</v>
      </c>
      <c r="I74" s="11"/>
      <c r="J74" s="11"/>
      <c r="K74" s="13"/>
      <c r="L74" s="13"/>
      <c r="M74" s="11"/>
      <c r="N74" s="12"/>
      <c r="O74" s="12"/>
      <c r="P74" s="12"/>
      <c r="Q74" s="11"/>
      <c r="R74" s="13"/>
      <c r="S74" s="13"/>
      <c r="T74" s="11"/>
      <c r="U74" s="12"/>
      <c r="V74" s="12"/>
      <c r="W74" s="12"/>
      <c r="X74" s="11"/>
      <c r="Y74" s="13"/>
      <c r="Z74" s="13"/>
      <c r="AA74" s="11"/>
      <c r="AB74" s="12"/>
      <c r="AC74" s="12"/>
      <c r="AD74" s="12"/>
      <c r="AE74" s="11"/>
      <c r="AF74" s="13"/>
      <c r="AG74" s="13"/>
      <c r="AH74" s="11"/>
      <c r="AI74" s="11"/>
      <c r="AJ74" s="11"/>
      <c r="AK74" s="12"/>
      <c r="AL74" s="12"/>
      <c r="AM74" s="13"/>
      <c r="AN74" s="13"/>
      <c r="AO74" s="11">
        <v>1</v>
      </c>
      <c r="AP74" s="12"/>
      <c r="AQ74" s="12"/>
      <c r="AR74" s="12"/>
      <c r="AS74" s="11"/>
      <c r="AT74" s="13"/>
      <c r="AU74" s="13"/>
      <c r="AV74" s="11">
        <v>1</v>
      </c>
      <c r="AW74" s="12"/>
      <c r="AX74" s="12"/>
      <c r="AY74" s="12"/>
      <c r="AZ74" s="11"/>
      <c r="BA74" s="13"/>
      <c r="BB74" s="13"/>
      <c r="BC74" s="11"/>
      <c r="BD74" s="12"/>
      <c r="BE74" s="12"/>
      <c r="BF74" s="12"/>
      <c r="BG74" s="11"/>
      <c r="BH74" s="13"/>
      <c r="BI74" s="13"/>
      <c r="BJ74" s="11"/>
      <c r="BK74" s="12"/>
      <c r="BL74" s="12"/>
      <c r="BM74" s="12"/>
      <c r="BN74" s="11"/>
      <c r="BO74" s="13"/>
      <c r="BP74" s="449">
        <f t="shared" si="67"/>
        <v>2</v>
      </c>
      <c r="BQ74" s="460">
        <v>192000</v>
      </c>
      <c r="BR74" s="590">
        <v>0.83330000000000004</v>
      </c>
      <c r="BS74" s="20">
        <f t="shared" si="68"/>
        <v>32006.399999999991</v>
      </c>
      <c r="BT74" s="21">
        <f t="shared" si="69"/>
        <v>64012.799999999981</v>
      </c>
      <c r="BU74" s="491">
        <f t="shared" si="70"/>
        <v>51210.239999999991</v>
      </c>
      <c r="BV74" s="1"/>
      <c r="BW74" s="561">
        <v>2.14</v>
      </c>
      <c r="BX74" s="568">
        <f t="shared" si="71"/>
        <v>4.28</v>
      </c>
      <c r="BY74" s="452">
        <f t="shared" si="72"/>
        <v>11965.009345794389</v>
      </c>
      <c r="BZ74" s="2"/>
      <c r="CA74" s="453" t="s">
        <v>261</v>
      </c>
      <c r="CB74" s="454">
        <f t="shared" si="73"/>
        <v>0</v>
      </c>
      <c r="CC74" s="455">
        <f t="shared" si="74"/>
        <v>0</v>
      </c>
      <c r="CD74" s="454">
        <f t="shared" si="75"/>
        <v>2</v>
      </c>
      <c r="CE74" s="455">
        <f t="shared" si="76"/>
        <v>51210.239999999991</v>
      </c>
      <c r="CF74" s="427" t="b">
        <f t="shared" si="77"/>
        <v>1</v>
      </c>
    </row>
    <row r="75" spans="1:84" s="458" customFormat="1" ht="14" customHeight="1" x14ac:dyDescent="0.25">
      <c r="A75" s="435"/>
      <c r="B75" s="446"/>
      <c r="C75" s="446"/>
      <c r="D75" s="459" t="s">
        <v>264</v>
      </c>
      <c r="E75" s="448" t="s">
        <v>230</v>
      </c>
      <c r="F75" s="448">
        <v>0.875</v>
      </c>
      <c r="G75" s="448" t="s">
        <v>272</v>
      </c>
      <c r="H75" s="464">
        <v>60</v>
      </c>
      <c r="I75" s="11"/>
      <c r="J75" s="11"/>
      <c r="K75" s="13"/>
      <c r="L75" s="13"/>
      <c r="M75" s="11"/>
      <c r="N75" s="12"/>
      <c r="O75" s="12"/>
      <c r="P75" s="12"/>
      <c r="Q75" s="11"/>
      <c r="R75" s="13"/>
      <c r="S75" s="13"/>
      <c r="T75" s="11"/>
      <c r="U75" s="12"/>
      <c r="V75" s="12"/>
      <c r="W75" s="12"/>
      <c r="X75" s="11"/>
      <c r="Y75" s="13"/>
      <c r="Z75" s="13"/>
      <c r="AA75" s="11"/>
      <c r="AB75" s="12"/>
      <c r="AC75" s="12"/>
      <c r="AD75" s="12"/>
      <c r="AE75" s="11"/>
      <c r="AF75" s="13"/>
      <c r="AG75" s="13"/>
      <c r="AH75" s="11"/>
      <c r="AI75" s="11"/>
      <c r="AJ75" s="11"/>
      <c r="AK75" s="12"/>
      <c r="AL75" s="12"/>
      <c r="AM75" s="13"/>
      <c r="AN75" s="13"/>
      <c r="AO75" s="11"/>
      <c r="AP75" s="12"/>
      <c r="AQ75" s="12"/>
      <c r="AR75" s="12"/>
      <c r="AS75" s="11"/>
      <c r="AT75" s="13"/>
      <c r="AU75" s="13"/>
      <c r="AV75" s="11"/>
      <c r="AW75" s="12"/>
      <c r="AX75" s="12"/>
      <c r="AY75" s="12"/>
      <c r="AZ75" s="11"/>
      <c r="BA75" s="13"/>
      <c r="BB75" s="13"/>
      <c r="BC75" s="11"/>
      <c r="BD75" s="12"/>
      <c r="BE75" s="12"/>
      <c r="BF75" s="12"/>
      <c r="BG75" s="11"/>
      <c r="BH75" s="13"/>
      <c r="BI75" s="13"/>
      <c r="BJ75" s="11"/>
      <c r="BK75" s="12"/>
      <c r="BL75" s="12"/>
      <c r="BM75" s="12"/>
      <c r="BN75" s="11"/>
      <c r="BO75" s="13"/>
      <c r="BP75" s="449">
        <f t="shared" si="67"/>
        <v>0</v>
      </c>
      <c r="BQ75" s="460">
        <v>384000</v>
      </c>
      <c r="BR75" s="590">
        <v>0.83330000000000004</v>
      </c>
      <c r="BS75" s="20">
        <f t="shared" si="68"/>
        <v>64012.799999999981</v>
      </c>
      <c r="BT75" s="21">
        <f t="shared" si="69"/>
        <v>0</v>
      </c>
      <c r="BU75" s="491">
        <f t="shared" si="70"/>
        <v>0</v>
      </c>
      <c r="BV75" s="1"/>
      <c r="BW75" s="561">
        <v>2.14</v>
      </c>
      <c r="BX75" s="568">
        <f t="shared" si="71"/>
        <v>0</v>
      </c>
      <c r="BY75" s="452">
        <f t="shared" si="72"/>
        <v>0</v>
      </c>
      <c r="BZ75" s="2"/>
      <c r="CA75" s="453" t="s">
        <v>261</v>
      </c>
      <c r="CB75" s="454">
        <f t="shared" si="73"/>
        <v>0</v>
      </c>
      <c r="CC75" s="455">
        <f t="shared" si="74"/>
        <v>0</v>
      </c>
      <c r="CD75" s="454">
        <f t="shared" si="75"/>
        <v>0</v>
      </c>
      <c r="CE75" s="455">
        <f t="shared" si="76"/>
        <v>0</v>
      </c>
      <c r="CF75" s="427" t="b">
        <f t="shared" si="77"/>
        <v>1</v>
      </c>
    </row>
    <row r="76" spans="1:84" s="458" customFormat="1" ht="14" customHeight="1" x14ac:dyDescent="0.25">
      <c r="A76" s="435"/>
      <c r="B76" s="446"/>
      <c r="C76" s="446"/>
      <c r="D76" s="466" t="s">
        <v>265</v>
      </c>
      <c r="E76" s="448" t="s">
        <v>230</v>
      </c>
      <c r="F76" s="448">
        <v>0.73958333333333337</v>
      </c>
      <c r="G76" s="448" t="s">
        <v>273</v>
      </c>
      <c r="H76" s="464">
        <v>30</v>
      </c>
      <c r="I76" s="11"/>
      <c r="J76" s="11"/>
      <c r="K76" s="13"/>
      <c r="L76" s="13"/>
      <c r="M76" s="11"/>
      <c r="N76" s="12"/>
      <c r="O76" s="12"/>
      <c r="P76" s="12"/>
      <c r="Q76" s="11"/>
      <c r="R76" s="13"/>
      <c r="S76" s="13"/>
      <c r="T76" s="11"/>
      <c r="U76" s="12"/>
      <c r="V76" s="12"/>
      <c r="W76" s="12"/>
      <c r="X76" s="11"/>
      <c r="Y76" s="13"/>
      <c r="Z76" s="13"/>
      <c r="AA76" s="11"/>
      <c r="AB76" s="12"/>
      <c r="AC76" s="12"/>
      <c r="AD76" s="12"/>
      <c r="AE76" s="11"/>
      <c r="AF76" s="13"/>
      <c r="AG76" s="13"/>
      <c r="AH76" s="11"/>
      <c r="AI76" s="11"/>
      <c r="AJ76" s="11"/>
      <c r="AK76" s="12"/>
      <c r="AL76" s="12"/>
      <c r="AM76" s="13"/>
      <c r="AN76" s="13"/>
      <c r="AO76" s="11"/>
      <c r="AP76" s="12"/>
      <c r="AQ76" s="12"/>
      <c r="AR76" s="12">
        <v>1</v>
      </c>
      <c r="AS76" s="11"/>
      <c r="AT76" s="13"/>
      <c r="AU76" s="13"/>
      <c r="AV76" s="11"/>
      <c r="AW76" s="12"/>
      <c r="AX76" s="12"/>
      <c r="AY76" s="12">
        <v>1</v>
      </c>
      <c r="AZ76" s="11"/>
      <c r="BA76" s="13"/>
      <c r="BB76" s="13"/>
      <c r="BC76" s="11"/>
      <c r="BD76" s="12"/>
      <c r="BE76" s="12"/>
      <c r="BF76" s="12"/>
      <c r="BG76" s="11"/>
      <c r="BH76" s="13"/>
      <c r="BI76" s="13"/>
      <c r="BJ76" s="11"/>
      <c r="BK76" s="12"/>
      <c r="BL76" s="12"/>
      <c r="BM76" s="12"/>
      <c r="BN76" s="11"/>
      <c r="BO76" s="13"/>
      <c r="BP76" s="449">
        <f t="shared" si="67"/>
        <v>2</v>
      </c>
      <c r="BQ76" s="460">
        <v>98800</v>
      </c>
      <c r="BR76" s="590">
        <v>0.83330000000000004</v>
      </c>
      <c r="BS76" s="20">
        <f t="shared" si="68"/>
        <v>16469.959999999995</v>
      </c>
      <c r="BT76" s="21">
        <f t="shared" si="69"/>
        <v>32939.919999999991</v>
      </c>
      <c r="BU76" s="491">
        <f t="shared" si="70"/>
        <v>26351.935999999994</v>
      </c>
      <c r="BV76" s="1"/>
      <c r="BW76" s="561">
        <v>1.08</v>
      </c>
      <c r="BX76" s="568">
        <f t="shared" si="71"/>
        <v>2.16</v>
      </c>
      <c r="BY76" s="452">
        <f t="shared" si="72"/>
        <v>12199.970370370367</v>
      </c>
      <c r="BZ76" s="2"/>
      <c r="CA76" s="453" t="s">
        <v>261</v>
      </c>
      <c r="CB76" s="454">
        <f t="shared" si="73"/>
        <v>0</v>
      </c>
      <c r="CC76" s="455">
        <f t="shared" si="74"/>
        <v>0</v>
      </c>
      <c r="CD76" s="454">
        <f t="shared" si="75"/>
        <v>2</v>
      </c>
      <c r="CE76" s="455">
        <f t="shared" si="76"/>
        <v>26351.935999999994</v>
      </c>
      <c r="CF76" s="427" t="b">
        <f t="shared" si="77"/>
        <v>1</v>
      </c>
    </row>
    <row r="77" spans="1:84" s="458" customFormat="1" ht="14" customHeight="1" x14ac:dyDescent="0.25">
      <c r="A77" s="435"/>
      <c r="B77" s="446"/>
      <c r="C77" s="446"/>
      <c r="D77" s="447" t="s">
        <v>266</v>
      </c>
      <c r="E77" s="448" t="s">
        <v>230</v>
      </c>
      <c r="F77" s="448">
        <v>0.60416666666666663</v>
      </c>
      <c r="G77" s="448" t="s">
        <v>274</v>
      </c>
      <c r="H77" s="464">
        <v>30</v>
      </c>
      <c r="I77" s="11"/>
      <c r="J77" s="11"/>
      <c r="K77" s="13"/>
      <c r="L77" s="13"/>
      <c r="M77" s="11"/>
      <c r="N77" s="12"/>
      <c r="O77" s="12"/>
      <c r="P77" s="12"/>
      <c r="Q77" s="11"/>
      <c r="R77" s="13"/>
      <c r="S77" s="13"/>
      <c r="T77" s="11"/>
      <c r="U77" s="12"/>
      <c r="V77" s="12"/>
      <c r="W77" s="12"/>
      <c r="X77" s="11"/>
      <c r="Y77" s="13"/>
      <c r="Z77" s="13"/>
      <c r="AA77" s="11"/>
      <c r="AB77" s="12"/>
      <c r="AC77" s="12"/>
      <c r="AD77" s="12"/>
      <c r="AE77" s="11"/>
      <c r="AF77" s="13"/>
      <c r="AG77" s="13"/>
      <c r="AH77" s="11"/>
      <c r="AI77" s="11"/>
      <c r="AJ77" s="11"/>
      <c r="AK77" s="12"/>
      <c r="AL77" s="12"/>
      <c r="AM77" s="13"/>
      <c r="AN77" s="13"/>
      <c r="AO77" s="11"/>
      <c r="AP77" s="12"/>
      <c r="AQ77" s="12">
        <v>1</v>
      </c>
      <c r="AR77" s="12"/>
      <c r="AS77" s="11"/>
      <c r="AT77" s="13"/>
      <c r="AU77" s="13"/>
      <c r="AV77" s="11"/>
      <c r="AW77" s="12"/>
      <c r="AX77" s="12">
        <v>1</v>
      </c>
      <c r="AY77" s="12"/>
      <c r="AZ77" s="11"/>
      <c r="BA77" s="13"/>
      <c r="BB77" s="13"/>
      <c r="BC77" s="11"/>
      <c r="BD77" s="12"/>
      <c r="BE77" s="12"/>
      <c r="BF77" s="12"/>
      <c r="BG77" s="11"/>
      <c r="BH77" s="13"/>
      <c r="BI77" s="13"/>
      <c r="BJ77" s="11"/>
      <c r="BK77" s="12"/>
      <c r="BL77" s="12"/>
      <c r="BM77" s="12"/>
      <c r="BN77" s="11"/>
      <c r="BO77" s="13"/>
      <c r="BP77" s="449">
        <f t="shared" si="67"/>
        <v>2</v>
      </c>
      <c r="BQ77" s="460">
        <v>94300</v>
      </c>
      <c r="BR77" s="590">
        <v>0.83330000000000004</v>
      </c>
      <c r="BS77" s="20">
        <f t="shared" si="68"/>
        <v>15719.809999999996</v>
      </c>
      <c r="BT77" s="21">
        <f t="shared" si="69"/>
        <v>31439.619999999992</v>
      </c>
      <c r="BU77" s="491">
        <f t="shared" si="70"/>
        <v>25151.695999999996</v>
      </c>
      <c r="BV77" s="1"/>
      <c r="BW77" s="561">
        <v>1.58</v>
      </c>
      <c r="BX77" s="568">
        <f t="shared" si="71"/>
        <v>3.16</v>
      </c>
      <c r="BY77" s="452">
        <f t="shared" si="72"/>
        <v>7959.3974683544293</v>
      </c>
      <c r="BZ77" s="2"/>
      <c r="CA77" s="453" t="s">
        <v>261</v>
      </c>
      <c r="CB77" s="454">
        <f t="shared" si="73"/>
        <v>0</v>
      </c>
      <c r="CC77" s="455">
        <f t="shared" si="74"/>
        <v>0</v>
      </c>
      <c r="CD77" s="454">
        <f t="shared" si="75"/>
        <v>2</v>
      </c>
      <c r="CE77" s="455">
        <f t="shared" si="76"/>
        <v>25151.695999999996</v>
      </c>
      <c r="CF77" s="427" t="b">
        <f t="shared" si="77"/>
        <v>1</v>
      </c>
    </row>
    <row r="78" spans="1:84" s="458" customFormat="1" ht="14" customHeight="1" x14ac:dyDescent="0.25">
      <c r="A78" s="435"/>
      <c r="B78" s="446"/>
      <c r="C78" s="446"/>
      <c r="D78" s="459" t="s">
        <v>267</v>
      </c>
      <c r="E78" s="448" t="s">
        <v>230</v>
      </c>
      <c r="F78" s="448">
        <v>0.35416666666666669</v>
      </c>
      <c r="G78" s="448" t="s">
        <v>241</v>
      </c>
      <c r="H78" s="464">
        <v>30</v>
      </c>
      <c r="I78" s="11"/>
      <c r="J78" s="11"/>
      <c r="K78" s="13"/>
      <c r="L78" s="13"/>
      <c r="M78" s="11"/>
      <c r="N78" s="12"/>
      <c r="O78" s="12"/>
      <c r="P78" s="12"/>
      <c r="Q78" s="11"/>
      <c r="R78" s="13"/>
      <c r="S78" s="13"/>
      <c r="T78" s="11"/>
      <c r="U78" s="12"/>
      <c r="V78" s="12"/>
      <c r="W78" s="12"/>
      <c r="X78" s="11"/>
      <c r="Y78" s="13"/>
      <c r="Z78" s="13"/>
      <c r="AA78" s="11"/>
      <c r="AB78" s="12"/>
      <c r="AC78" s="12"/>
      <c r="AD78" s="12"/>
      <c r="AE78" s="11"/>
      <c r="AF78" s="13"/>
      <c r="AG78" s="13"/>
      <c r="AH78" s="11"/>
      <c r="AI78" s="11"/>
      <c r="AJ78" s="11"/>
      <c r="AK78" s="12"/>
      <c r="AL78" s="12"/>
      <c r="AM78" s="13"/>
      <c r="AN78" s="13"/>
      <c r="AO78" s="11"/>
      <c r="AP78" s="12">
        <v>1</v>
      </c>
      <c r="AQ78" s="12"/>
      <c r="AR78" s="12"/>
      <c r="AS78" s="11"/>
      <c r="AT78" s="13"/>
      <c r="AU78" s="13"/>
      <c r="AV78" s="11"/>
      <c r="AW78" s="12">
        <v>1</v>
      </c>
      <c r="AX78" s="12"/>
      <c r="AY78" s="12"/>
      <c r="AZ78" s="11"/>
      <c r="BA78" s="13"/>
      <c r="BB78" s="13"/>
      <c r="BC78" s="11"/>
      <c r="BD78" s="12"/>
      <c r="BE78" s="12"/>
      <c r="BF78" s="12"/>
      <c r="BG78" s="11"/>
      <c r="BH78" s="13"/>
      <c r="BI78" s="13"/>
      <c r="BJ78" s="11"/>
      <c r="BK78" s="12"/>
      <c r="BL78" s="12"/>
      <c r="BM78" s="12"/>
      <c r="BN78" s="11"/>
      <c r="BO78" s="13"/>
      <c r="BP78" s="449">
        <f t="shared" si="67"/>
        <v>2</v>
      </c>
      <c r="BQ78" s="460">
        <v>48800</v>
      </c>
      <c r="BR78" s="590">
        <v>0.83330000000000004</v>
      </c>
      <c r="BS78" s="20">
        <f t="shared" si="68"/>
        <v>8134.9599999999982</v>
      </c>
      <c r="BT78" s="21">
        <f t="shared" si="69"/>
        <v>16269.919999999996</v>
      </c>
      <c r="BU78" s="491">
        <f t="shared" si="70"/>
        <v>13015.935999999998</v>
      </c>
      <c r="BV78" s="1"/>
      <c r="BW78" s="561">
        <v>1.38</v>
      </c>
      <c r="BX78" s="568">
        <f t="shared" si="71"/>
        <v>2.76</v>
      </c>
      <c r="BY78" s="452">
        <f t="shared" si="72"/>
        <v>4715.9188405797095</v>
      </c>
      <c r="BZ78" s="2"/>
      <c r="CA78" s="453" t="s">
        <v>261</v>
      </c>
      <c r="CB78" s="454">
        <f t="shared" si="73"/>
        <v>0</v>
      </c>
      <c r="CC78" s="455">
        <f t="shared" si="74"/>
        <v>0</v>
      </c>
      <c r="CD78" s="454">
        <f t="shared" si="75"/>
        <v>2</v>
      </c>
      <c r="CE78" s="455">
        <f t="shared" si="76"/>
        <v>13015.935999999998</v>
      </c>
      <c r="CF78" s="427" t="b">
        <f t="shared" si="77"/>
        <v>1</v>
      </c>
    </row>
    <row r="79" spans="1:84" s="458" customFormat="1" ht="14" customHeight="1" x14ac:dyDescent="0.25">
      <c r="A79" s="435"/>
      <c r="B79" s="446"/>
      <c r="C79" s="446"/>
      <c r="D79" s="466" t="s">
        <v>268</v>
      </c>
      <c r="E79" s="448" t="s">
        <v>230</v>
      </c>
      <c r="F79" s="448">
        <v>0.3125</v>
      </c>
      <c r="G79" s="448" t="s">
        <v>275</v>
      </c>
      <c r="H79" s="464">
        <v>30</v>
      </c>
      <c r="I79" s="11"/>
      <c r="J79" s="11"/>
      <c r="K79" s="13"/>
      <c r="L79" s="13"/>
      <c r="M79" s="11"/>
      <c r="N79" s="12"/>
      <c r="O79" s="12"/>
      <c r="P79" s="12"/>
      <c r="Q79" s="11"/>
      <c r="R79" s="13"/>
      <c r="S79" s="13"/>
      <c r="T79" s="11"/>
      <c r="U79" s="12"/>
      <c r="V79" s="12"/>
      <c r="W79" s="12"/>
      <c r="X79" s="11"/>
      <c r="Y79" s="13"/>
      <c r="Z79" s="13"/>
      <c r="AA79" s="11"/>
      <c r="AB79" s="12"/>
      <c r="AC79" s="12"/>
      <c r="AD79" s="12"/>
      <c r="AE79" s="11"/>
      <c r="AF79" s="13"/>
      <c r="AG79" s="13"/>
      <c r="AH79" s="11"/>
      <c r="AI79" s="11"/>
      <c r="AJ79" s="11"/>
      <c r="AK79" s="12"/>
      <c r="AL79" s="12"/>
      <c r="AM79" s="13"/>
      <c r="AN79" s="13"/>
      <c r="AO79" s="11"/>
      <c r="AP79" s="12"/>
      <c r="AQ79" s="12"/>
      <c r="AR79" s="12"/>
      <c r="AS79" s="11">
        <v>1</v>
      </c>
      <c r="AT79" s="13"/>
      <c r="AU79" s="13"/>
      <c r="AV79" s="11"/>
      <c r="AW79" s="12"/>
      <c r="AX79" s="12"/>
      <c r="AY79" s="12"/>
      <c r="AZ79" s="11">
        <v>1</v>
      </c>
      <c r="BA79" s="13"/>
      <c r="BB79" s="13"/>
      <c r="BC79" s="11"/>
      <c r="BD79" s="12"/>
      <c r="BE79" s="12"/>
      <c r="BF79" s="12"/>
      <c r="BG79" s="11"/>
      <c r="BH79" s="13"/>
      <c r="BI79" s="13"/>
      <c r="BJ79" s="11"/>
      <c r="BK79" s="12"/>
      <c r="BL79" s="12"/>
      <c r="BM79" s="12"/>
      <c r="BN79" s="11"/>
      <c r="BO79" s="13"/>
      <c r="BP79" s="449">
        <f t="shared" si="67"/>
        <v>2</v>
      </c>
      <c r="BQ79" s="460">
        <v>48800</v>
      </c>
      <c r="BR79" s="590">
        <v>0.83330000000000004</v>
      </c>
      <c r="BS79" s="20">
        <f t="shared" si="68"/>
        <v>8134.9599999999982</v>
      </c>
      <c r="BT79" s="21">
        <f t="shared" si="69"/>
        <v>16269.919999999996</v>
      </c>
      <c r="BU79" s="491">
        <f t="shared" si="70"/>
        <v>13015.935999999998</v>
      </c>
      <c r="BV79" s="1"/>
      <c r="BW79" s="561">
        <v>1.25</v>
      </c>
      <c r="BX79" s="568">
        <f t="shared" si="71"/>
        <v>2.5</v>
      </c>
      <c r="BY79" s="452">
        <f t="shared" si="72"/>
        <v>5206.3743999999988</v>
      </c>
      <c r="BZ79" s="2"/>
      <c r="CA79" s="453" t="s">
        <v>261</v>
      </c>
      <c r="CB79" s="454">
        <f t="shared" si="73"/>
        <v>0</v>
      </c>
      <c r="CC79" s="455">
        <f t="shared" si="74"/>
        <v>0</v>
      </c>
      <c r="CD79" s="454">
        <f t="shared" si="75"/>
        <v>2</v>
      </c>
      <c r="CE79" s="455">
        <f t="shared" si="76"/>
        <v>13015.935999999998</v>
      </c>
      <c r="CF79" s="427" t="b">
        <f t="shared" si="77"/>
        <v>1</v>
      </c>
    </row>
    <row r="80" spans="1:84" s="458" customFormat="1" ht="14" customHeight="1" x14ac:dyDescent="0.25">
      <c r="A80" s="435"/>
      <c r="B80" s="446"/>
      <c r="C80" s="446"/>
      <c r="D80" s="447" t="s">
        <v>268</v>
      </c>
      <c r="E80" s="448" t="s">
        <v>230</v>
      </c>
      <c r="F80" s="448">
        <v>0.3125</v>
      </c>
      <c r="G80" s="448" t="s">
        <v>275</v>
      </c>
      <c r="H80" s="464">
        <v>60</v>
      </c>
      <c r="I80" s="11"/>
      <c r="J80" s="11"/>
      <c r="K80" s="13"/>
      <c r="L80" s="13"/>
      <c r="M80" s="11"/>
      <c r="N80" s="12"/>
      <c r="O80" s="12"/>
      <c r="P80" s="12"/>
      <c r="Q80" s="11"/>
      <c r="R80" s="13"/>
      <c r="S80" s="13"/>
      <c r="T80" s="11"/>
      <c r="U80" s="12"/>
      <c r="V80" s="12"/>
      <c r="W80" s="12"/>
      <c r="X80" s="11"/>
      <c r="Y80" s="13"/>
      <c r="Z80" s="13"/>
      <c r="AA80" s="11"/>
      <c r="AB80" s="12"/>
      <c r="AC80" s="12"/>
      <c r="AD80" s="12"/>
      <c r="AE80" s="11"/>
      <c r="AF80" s="13"/>
      <c r="AG80" s="13"/>
      <c r="AH80" s="11"/>
      <c r="AI80" s="11"/>
      <c r="AJ80" s="11"/>
      <c r="AK80" s="12"/>
      <c r="AL80" s="12"/>
      <c r="AM80" s="13"/>
      <c r="AN80" s="13"/>
      <c r="AO80" s="11"/>
      <c r="AP80" s="12"/>
      <c r="AQ80" s="12"/>
      <c r="AR80" s="12"/>
      <c r="AS80" s="11"/>
      <c r="AT80" s="13"/>
      <c r="AU80" s="13"/>
      <c r="AV80" s="11"/>
      <c r="AW80" s="12"/>
      <c r="AX80" s="12"/>
      <c r="AY80" s="12"/>
      <c r="AZ80" s="11"/>
      <c r="BA80" s="13"/>
      <c r="BB80" s="13"/>
      <c r="BC80" s="11"/>
      <c r="BD80" s="12"/>
      <c r="BE80" s="12"/>
      <c r="BF80" s="12"/>
      <c r="BG80" s="11"/>
      <c r="BH80" s="13"/>
      <c r="BI80" s="13"/>
      <c r="BJ80" s="11"/>
      <c r="BK80" s="12"/>
      <c r="BL80" s="12"/>
      <c r="BM80" s="12"/>
      <c r="BN80" s="11"/>
      <c r="BO80" s="13"/>
      <c r="BP80" s="449">
        <f t="shared" si="67"/>
        <v>0</v>
      </c>
      <c r="BQ80" s="460">
        <v>97600</v>
      </c>
      <c r="BR80" s="590">
        <v>0.83330000000000004</v>
      </c>
      <c r="BS80" s="20">
        <f t="shared" si="68"/>
        <v>16269.919999999996</v>
      </c>
      <c r="BT80" s="21">
        <f t="shared" si="69"/>
        <v>0</v>
      </c>
      <c r="BU80" s="491">
        <f t="shared" si="70"/>
        <v>0</v>
      </c>
      <c r="BV80" s="1"/>
      <c r="BW80" s="561">
        <v>1.25</v>
      </c>
      <c r="BX80" s="568">
        <f t="shared" si="71"/>
        <v>0</v>
      </c>
      <c r="BY80" s="452">
        <f t="shared" si="72"/>
        <v>0</v>
      </c>
      <c r="BZ80" s="2"/>
      <c r="CA80" s="453" t="s">
        <v>261</v>
      </c>
      <c r="CB80" s="454">
        <f t="shared" si="73"/>
        <v>0</v>
      </c>
      <c r="CC80" s="455">
        <f t="shared" si="74"/>
        <v>0</v>
      </c>
      <c r="CD80" s="454">
        <f t="shared" si="75"/>
        <v>0</v>
      </c>
      <c r="CE80" s="455">
        <f t="shared" si="76"/>
        <v>0</v>
      </c>
      <c r="CF80" s="427" t="b">
        <f t="shared" si="77"/>
        <v>1</v>
      </c>
    </row>
    <row r="81" spans="1:84" s="458" customFormat="1" ht="14" customHeight="1" x14ac:dyDescent="0.25">
      <c r="A81" s="435"/>
      <c r="B81" s="446"/>
      <c r="C81" s="446"/>
      <c r="D81" s="447" t="s">
        <v>269</v>
      </c>
      <c r="E81" s="448" t="s">
        <v>230</v>
      </c>
      <c r="F81" s="448">
        <v>0.45833333333333331</v>
      </c>
      <c r="G81" s="448" t="s">
        <v>276</v>
      </c>
      <c r="H81" s="464">
        <v>30</v>
      </c>
      <c r="I81" s="11"/>
      <c r="J81" s="11"/>
      <c r="K81" s="13"/>
      <c r="L81" s="13"/>
      <c r="M81" s="11"/>
      <c r="N81" s="12"/>
      <c r="O81" s="12"/>
      <c r="P81" s="12"/>
      <c r="Q81" s="11"/>
      <c r="R81" s="13"/>
      <c r="S81" s="13"/>
      <c r="T81" s="11"/>
      <c r="U81" s="12"/>
      <c r="V81" s="12"/>
      <c r="W81" s="12"/>
      <c r="X81" s="11"/>
      <c r="Y81" s="13"/>
      <c r="Z81" s="13"/>
      <c r="AA81" s="11"/>
      <c r="AB81" s="12"/>
      <c r="AC81" s="12"/>
      <c r="AD81" s="12"/>
      <c r="AE81" s="11"/>
      <c r="AF81" s="13"/>
      <c r="AG81" s="13"/>
      <c r="AH81" s="11"/>
      <c r="AI81" s="11"/>
      <c r="AJ81" s="11"/>
      <c r="AK81" s="12"/>
      <c r="AL81" s="12"/>
      <c r="AM81" s="13"/>
      <c r="AN81" s="13"/>
      <c r="AO81" s="11"/>
      <c r="AP81" s="12"/>
      <c r="AQ81" s="12"/>
      <c r="AR81" s="12"/>
      <c r="AS81" s="11"/>
      <c r="AT81" s="13">
        <v>1</v>
      </c>
      <c r="AU81" s="13"/>
      <c r="AV81" s="11"/>
      <c r="AW81" s="12"/>
      <c r="AX81" s="12"/>
      <c r="AY81" s="12"/>
      <c r="AZ81" s="11"/>
      <c r="BA81" s="13"/>
      <c r="BB81" s="13"/>
      <c r="BC81" s="11"/>
      <c r="BD81" s="12"/>
      <c r="BE81" s="12"/>
      <c r="BF81" s="12"/>
      <c r="BG81" s="11"/>
      <c r="BH81" s="13"/>
      <c r="BI81" s="13"/>
      <c r="BJ81" s="11"/>
      <c r="BK81" s="12"/>
      <c r="BL81" s="12"/>
      <c r="BM81" s="12"/>
      <c r="BN81" s="11"/>
      <c r="BO81" s="13"/>
      <c r="BP81" s="449">
        <f t="shared" si="67"/>
        <v>1</v>
      </c>
      <c r="BQ81" s="460">
        <v>48800</v>
      </c>
      <c r="BR81" s="590">
        <v>0.83330000000000004</v>
      </c>
      <c r="BS81" s="20">
        <f t="shared" si="68"/>
        <v>8134.9599999999982</v>
      </c>
      <c r="BT81" s="21">
        <f t="shared" si="69"/>
        <v>8134.9599999999982</v>
      </c>
      <c r="BU81" s="491">
        <f t="shared" si="70"/>
        <v>6507.9679999999989</v>
      </c>
      <c r="BV81" s="1"/>
      <c r="BW81" s="561">
        <v>1.17</v>
      </c>
      <c r="BX81" s="568">
        <f t="shared" si="71"/>
        <v>1.17</v>
      </c>
      <c r="BY81" s="452">
        <f t="shared" si="72"/>
        <v>5562.3658119658112</v>
      </c>
      <c r="BZ81" s="2"/>
      <c r="CA81" s="453" t="s">
        <v>261</v>
      </c>
      <c r="CB81" s="454">
        <f t="shared" si="73"/>
        <v>0</v>
      </c>
      <c r="CC81" s="455">
        <f t="shared" si="74"/>
        <v>0</v>
      </c>
      <c r="CD81" s="454">
        <f t="shared" si="75"/>
        <v>1</v>
      </c>
      <c r="CE81" s="455">
        <f t="shared" si="76"/>
        <v>6507.9679999999989</v>
      </c>
      <c r="CF81" s="427" t="b">
        <f t="shared" si="77"/>
        <v>1</v>
      </c>
    </row>
    <row r="82" spans="1:84" s="458" customFormat="1" ht="14" customHeight="1" x14ac:dyDescent="0.25">
      <c r="A82" s="435"/>
      <c r="B82" s="446"/>
      <c r="C82" s="446"/>
      <c r="D82" s="459" t="s">
        <v>269</v>
      </c>
      <c r="E82" s="448" t="s">
        <v>230</v>
      </c>
      <c r="F82" s="448">
        <v>0.45833333333333331</v>
      </c>
      <c r="G82" s="448" t="s">
        <v>276</v>
      </c>
      <c r="H82" s="464">
        <v>60</v>
      </c>
      <c r="I82" s="11"/>
      <c r="J82" s="11"/>
      <c r="K82" s="13"/>
      <c r="L82" s="13"/>
      <c r="M82" s="11"/>
      <c r="N82" s="12"/>
      <c r="O82" s="12"/>
      <c r="P82" s="12"/>
      <c r="Q82" s="11"/>
      <c r="R82" s="13"/>
      <c r="S82" s="13"/>
      <c r="T82" s="11"/>
      <c r="U82" s="12"/>
      <c r="V82" s="12"/>
      <c r="W82" s="12"/>
      <c r="X82" s="11"/>
      <c r="Y82" s="13"/>
      <c r="Z82" s="13"/>
      <c r="AA82" s="11"/>
      <c r="AB82" s="12"/>
      <c r="AC82" s="12"/>
      <c r="AD82" s="12"/>
      <c r="AE82" s="11"/>
      <c r="AF82" s="13"/>
      <c r="AG82" s="13"/>
      <c r="AH82" s="11"/>
      <c r="AI82" s="11"/>
      <c r="AJ82" s="11"/>
      <c r="AK82" s="12"/>
      <c r="AL82" s="12"/>
      <c r="AM82" s="13"/>
      <c r="AN82" s="13"/>
      <c r="AO82" s="11"/>
      <c r="AP82" s="12"/>
      <c r="AQ82" s="12"/>
      <c r="AR82" s="12"/>
      <c r="AS82" s="11"/>
      <c r="AT82" s="13"/>
      <c r="AU82" s="13"/>
      <c r="AV82" s="11"/>
      <c r="AW82" s="12"/>
      <c r="AX82" s="12"/>
      <c r="AY82" s="12"/>
      <c r="AZ82" s="11"/>
      <c r="BA82" s="13"/>
      <c r="BB82" s="13"/>
      <c r="BC82" s="11"/>
      <c r="BD82" s="12"/>
      <c r="BE82" s="12"/>
      <c r="BF82" s="12"/>
      <c r="BG82" s="11"/>
      <c r="BH82" s="13"/>
      <c r="BI82" s="13"/>
      <c r="BJ82" s="11"/>
      <c r="BK82" s="12"/>
      <c r="BL82" s="12"/>
      <c r="BM82" s="12"/>
      <c r="BN82" s="11"/>
      <c r="BO82" s="13"/>
      <c r="BP82" s="449">
        <f t="shared" si="67"/>
        <v>0</v>
      </c>
      <c r="BQ82" s="460">
        <v>97600</v>
      </c>
      <c r="BR82" s="590">
        <v>0.83330000000000004</v>
      </c>
      <c r="BS82" s="20">
        <f t="shared" si="68"/>
        <v>16269.919999999996</v>
      </c>
      <c r="BT82" s="21">
        <f t="shared" si="69"/>
        <v>0</v>
      </c>
      <c r="BU82" s="491">
        <f t="shared" si="70"/>
        <v>0</v>
      </c>
      <c r="BV82" s="1"/>
      <c r="BW82" s="561">
        <v>1.17</v>
      </c>
      <c r="BX82" s="568">
        <f t="shared" si="71"/>
        <v>0</v>
      </c>
      <c r="BY82" s="452">
        <f t="shared" si="72"/>
        <v>0</v>
      </c>
      <c r="BZ82" s="2"/>
      <c r="CA82" s="453" t="s">
        <v>261</v>
      </c>
      <c r="CB82" s="454">
        <f t="shared" si="73"/>
        <v>0</v>
      </c>
      <c r="CC82" s="455">
        <f t="shared" si="74"/>
        <v>0</v>
      </c>
      <c r="CD82" s="454">
        <f t="shared" si="75"/>
        <v>0</v>
      </c>
      <c r="CE82" s="455">
        <f t="shared" si="76"/>
        <v>0</v>
      </c>
      <c r="CF82" s="427" t="b">
        <f t="shared" si="77"/>
        <v>1</v>
      </c>
    </row>
    <row r="83" spans="1:84" s="458" customFormat="1" ht="14" customHeight="1" x14ac:dyDescent="0.25">
      <c r="A83" s="435"/>
      <c r="B83" s="446"/>
      <c r="C83" s="446"/>
      <c r="D83" s="459"/>
      <c r="E83" s="448"/>
      <c r="F83" s="448"/>
      <c r="G83" s="448"/>
      <c r="H83" s="464"/>
      <c r="I83" s="11"/>
      <c r="J83" s="11"/>
      <c r="K83" s="13"/>
      <c r="L83" s="13"/>
      <c r="M83" s="11"/>
      <c r="N83" s="12"/>
      <c r="O83" s="12"/>
      <c r="P83" s="12"/>
      <c r="Q83" s="11"/>
      <c r="R83" s="13"/>
      <c r="S83" s="13"/>
      <c r="T83" s="11"/>
      <c r="U83" s="12"/>
      <c r="V83" s="12"/>
      <c r="W83" s="12"/>
      <c r="X83" s="11"/>
      <c r="Y83" s="13"/>
      <c r="Z83" s="13"/>
      <c r="AA83" s="11"/>
      <c r="AB83" s="12"/>
      <c r="AC83" s="12"/>
      <c r="AD83" s="12"/>
      <c r="AE83" s="11"/>
      <c r="AF83" s="13"/>
      <c r="AG83" s="13"/>
      <c r="AH83" s="11"/>
      <c r="AI83" s="11"/>
      <c r="AJ83" s="11"/>
      <c r="AK83" s="12"/>
      <c r="AL83" s="12"/>
      <c r="AM83" s="13"/>
      <c r="AN83" s="13"/>
      <c r="AO83" s="11"/>
      <c r="AP83" s="12"/>
      <c r="AQ83" s="12"/>
      <c r="AR83" s="12"/>
      <c r="AS83" s="11"/>
      <c r="AT83" s="13"/>
      <c r="AU83" s="13"/>
      <c r="AV83" s="11"/>
      <c r="AW83" s="12"/>
      <c r="AX83" s="12"/>
      <c r="AY83" s="12"/>
      <c r="AZ83" s="11"/>
      <c r="BA83" s="13"/>
      <c r="BB83" s="13"/>
      <c r="BC83" s="11"/>
      <c r="BD83" s="12"/>
      <c r="BE83" s="12"/>
      <c r="BF83" s="12"/>
      <c r="BG83" s="11"/>
      <c r="BH83" s="13"/>
      <c r="BI83" s="13"/>
      <c r="BJ83" s="11"/>
      <c r="BK83" s="12"/>
      <c r="BL83" s="12"/>
      <c r="BM83" s="12"/>
      <c r="BN83" s="11"/>
      <c r="BO83" s="13"/>
      <c r="BP83" s="449"/>
      <c r="BQ83" s="460"/>
      <c r="BR83" s="19"/>
      <c r="BS83" s="20"/>
      <c r="BT83" s="21"/>
      <c r="BU83" s="21"/>
      <c r="BV83" s="1"/>
      <c r="BW83" s="563"/>
      <c r="BX83" s="568"/>
      <c r="BY83" s="452"/>
      <c r="BZ83" s="2"/>
      <c r="CA83" s="494" t="s">
        <v>152</v>
      </c>
      <c r="CB83" s="495">
        <f>SUM(CB59:CB82)</f>
        <v>10</v>
      </c>
      <c r="CC83" s="496">
        <f>SUM(CC59:CC82)</f>
        <v>218060</v>
      </c>
      <c r="CD83" s="495">
        <f>SUM(CD59:CD82)</f>
        <v>15</v>
      </c>
      <c r="CE83" s="496">
        <f>SUM(CE59:CE82)</f>
        <v>191611.64799999993</v>
      </c>
      <c r="CF83" s="427"/>
    </row>
    <row r="84" spans="1:84" s="458" customFormat="1" ht="14" customHeight="1" x14ac:dyDescent="0.25">
      <c r="A84" s="435"/>
      <c r="B84" s="446"/>
      <c r="C84" s="446" t="s">
        <v>279</v>
      </c>
      <c r="D84" s="459" t="s">
        <v>280</v>
      </c>
      <c r="E84" s="448" t="s">
        <v>230</v>
      </c>
      <c r="F84" s="448">
        <v>0.625</v>
      </c>
      <c r="G84" s="448" t="s">
        <v>284</v>
      </c>
      <c r="H84" s="464">
        <v>30</v>
      </c>
      <c r="I84" s="11"/>
      <c r="J84" s="11"/>
      <c r="K84" s="13"/>
      <c r="L84" s="13"/>
      <c r="M84" s="11"/>
      <c r="N84" s="12"/>
      <c r="O84" s="12"/>
      <c r="P84" s="12"/>
      <c r="Q84" s="11"/>
      <c r="R84" s="13"/>
      <c r="S84" s="13"/>
      <c r="T84" s="11"/>
      <c r="U84" s="12"/>
      <c r="V84" s="12"/>
      <c r="W84" s="12"/>
      <c r="X84" s="11"/>
      <c r="Y84" s="13"/>
      <c r="Z84" s="13"/>
      <c r="AA84" s="11"/>
      <c r="AB84" s="12"/>
      <c r="AC84" s="12"/>
      <c r="AD84" s="12"/>
      <c r="AE84" s="11"/>
      <c r="AF84" s="13"/>
      <c r="AG84" s="13"/>
      <c r="AH84" s="11"/>
      <c r="AI84" s="11"/>
      <c r="AJ84" s="11"/>
      <c r="AK84" s="12"/>
      <c r="AL84" s="12">
        <v>1</v>
      </c>
      <c r="AM84" s="13"/>
      <c r="AN84" s="13"/>
      <c r="AO84" s="11"/>
      <c r="AP84" s="12"/>
      <c r="AQ84" s="12"/>
      <c r="AR84" s="12"/>
      <c r="AS84" s="11">
        <v>1</v>
      </c>
      <c r="AT84" s="13"/>
      <c r="AU84" s="13"/>
      <c r="AV84" s="11"/>
      <c r="AW84" s="12"/>
      <c r="AX84" s="12"/>
      <c r="AY84" s="12"/>
      <c r="AZ84" s="11">
        <v>1</v>
      </c>
      <c r="BA84" s="13"/>
      <c r="BB84" s="13"/>
      <c r="BC84" s="11"/>
      <c r="BD84" s="12"/>
      <c r="BE84" s="12"/>
      <c r="BF84" s="12"/>
      <c r="BG84" s="11"/>
      <c r="BH84" s="13"/>
      <c r="BI84" s="13"/>
      <c r="BJ84" s="11"/>
      <c r="BK84" s="12"/>
      <c r="BL84" s="12"/>
      <c r="BM84" s="12"/>
      <c r="BN84" s="11"/>
      <c r="BO84" s="13"/>
      <c r="BP84" s="449">
        <f t="shared" si="67"/>
        <v>3</v>
      </c>
      <c r="BQ84" s="460">
        <v>43446</v>
      </c>
      <c r="BR84" s="19">
        <v>0.85</v>
      </c>
      <c r="BS84" s="20">
        <f t="shared" si="68"/>
        <v>6516.9000000000005</v>
      </c>
      <c r="BT84" s="21">
        <f t="shared" si="69"/>
        <v>19550.7</v>
      </c>
      <c r="BU84" s="491">
        <f t="shared" si="70"/>
        <v>15640.560000000001</v>
      </c>
      <c r="BV84" s="1"/>
      <c r="BW84" s="561">
        <v>0.44</v>
      </c>
      <c r="BX84" s="568">
        <f t="shared" ref="BX84:BX86" si="78">BW84*BP84</f>
        <v>1.32</v>
      </c>
      <c r="BY84" s="452">
        <f t="shared" ref="BY84:BY89" si="79">IFERROR(BU84/BX84,0)</f>
        <v>11848.909090909092</v>
      </c>
      <c r="BZ84" s="2"/>
      <c r="CA84" s="453" t="s">
        <v>279</v>
      </c>
      <c r="CB84" s="454">
        <f>COUNTA(I84:AM84)</f>
        <v>1</v>
      </c>
      <c r="CC84" s="455">
        <f t="shared" si="74"/>
        <v>5213.5200000000004</v>
      </c>
      <c r="CD84" s="454">
        <f t="shared" si="75"/>
        <v>2</v>
      </c>
      <c r="CE84" s="455">
        <f t="shared" si="76"/>
        <v>10427.040000000001</v>
      </c>
      <c r="CF84" s="427" t="b">
        <f t="shared" si="77"/>
        <v>1</v>
      </c>
    </row>
    <row r="85" spans="1:84" s="458" customFormat="1" ht="14" customHeight="1" x14ac:dyDescent="0.25">
      <c r="A85" s="435"/>
      <c r="B85" s="446"/>
      <c r="C85" s="446"/>
      <c r="D85" s="466" t="s">
        <v>280</v>
      </c>
      <c r="E85" s="448" t="s">
        <v>230</v>
      </c>
      <c r="F85" s="448">
        <v>0.625</v>
      </c>
      <c r="G85" s="448" t="s">
        <v>284</v>
      </c>
      <c r="H85" s="464">
        <v>60</v>
      </c>
      <c r="I85" s="11"/>
      <c r="J85" s="11"/>
      <c r="K85" s="13"/>
      <c r="L85" s="13"/>
      <c r="M85" s="11"/>
      <c r="N85" s="12"/>
      <c r="O85" s="12"/>
      <c r="P85" s="12"/>
      <c r="Q85" s="11"/>
      <c r="R85" s="13"/>
      <c r="S85" s="13"/>
      <c r="T85" s="11"/>
      <c r="U85" s="12"/>
      <c r="V85" s="12"/>
      <c r="W85" s="12"/>
      <c r="X85" s="11"/>
      <c r="Y85" s="13"/>
      <c r="Z85" s="13"/>
      <c r="AA85" s="11"/>
      <c r="AB85" s="12"/>
      <c r="AC85" s="12"/>
      <c r="AD85" s="12"/>
      <c r="AE85" s="11">
        <v>1</v>
      </c>
      <c r="AF85" s="13"/>
      <c r="AG85" s="13"/>
      <c r="AH85" s="11"/>
      <c r="AI85" s="11"/>
      <c r="AJ85" s="11"/>
      <c r="AK85" s="12"/>
      <c r="AL85" s="12"/>
      <c r="AM85" s="13"/>
      <c r="AN85" s="13"/>
      <c r="AO85" s="11"/>
      <c r="AP85" s="12"/>
      <c r="AQ85" s="12"/>
      <c r="AR85" s="12"/>
      <c r="AS85" s="11"/>
      <c r="AT85" s="13"/>
      <c r="AU85" s="13"/>
      <c r="AV85" s="11"/>
      <c r="AW85" s="12"/>
      <c r="AX85" s="12"/>
      <c r="AY85" s="12"/>
      <c r="AZ85" s="11"/>
      <c r="BA85" s="13"/>
      <c r="BB85" s="13"/>
      <c r="BC85" s="11"/>
      <c r="BD85" s="12"/>
      <c r="BE85" s="12"/>
      <c r="BF85" s="12"/>
      <c r="BG85" s="11"/>
      <c r="BH85" s="13"/>
      <c r="BI85" s="13"/>
      <c r="BJ85" s="11"/>
      <c r="BK85" s="12"/>
      <c r="BL85" s="12"/>
      <c r="BM85" s="12"/>
      <c r="BN85" s="11"/>
      <c r="BO85" s="13"/>
      <c r="BP85" s="449">
        <f t="shared" si="67"/>
        <v>1</v>
      </c>
      <c r="BQ85" s="460">
        <v>86892</v>
      </c>
      <c r="BR85" s="19">
        <v>0.85</v>
      </c>
      <c r="BS85" s="20">
        <f t="shared" si="68"/>
        <v>13033.800000000001</v>
      </c>
      <c r="BT85" s="21">
        <f t="shared" si="69"/>
        <v>13033.800000000001</v>
      </c>
      <c r="BU85" s="491">
        <f t="shared" si="70"/>
        <v>10427.040000000001</v>
      </c>
      <c r="BV85" s="1"/>
      <c r="BW85" s="561">
        <v>0.44</v>
      </c>
      <c r="BX85" s="568">
        <f t="shared" si="78"/>
        <v>0.44</v>
      </c>
      <c r="BY85" s="452">
        <f t="shared" si="79"/>
        <v>23697.818181818184</v>
      </c>
      <c r="BZ85" s="2"/>
      <c r="CA85" s="453" t="s">
        <v>279</v>
      </c>
      <c r="CB85" s="454">
        <f t="shared" si="73"/>
        <v>1</v>
      </c>
      <c r="CC85" s="455">
        <f t="shared" si="74"/>
        <v>10427.040000000001</v>
      </c>
      <c r="CD85" s="454">
        <f t="shared" si="75"/>
        <v>0</v>
      </c>
      <c r="CE85" s="455">
        <f t="shared" si="76"/>
        <v>0</v>
      </c>
      <c r="CF85" s="427" t="b">
        <f t="shared" si="77"/>
        <v>1</v>
      </c>
    </row>
    <row r="86" spans="1:84" s="458" customFormat="1" ht="14" customHeight="1" x14ac:dyDescent="0.25">
      <c r="A86" s="435"/>
      <c r="B86" s="446"/>
      <c r="C86" s="446"/>
      <c r="D86" s="447" t="s">
        <v>281</v>
      </c>
      <c r="E86" s="448" t="s">
        <v>230</v>
      </c>
      <c r="F86" s="448">
        <v>0.44791666666666669</v>
      </c>
      <c r="G86" s="448" t="s">
        <v>285</v>
      </c>
      <c r="H86" s="464">
        <v>30</v>
      </c>
      <c r="I86" s="11"/>
      <c r="J86" s="11"/>
      <c r="K86" s="13"/>
      <c r="L86" s="13"/>
      <c r="M86" s="11"/>
      <c r="N86" s="12"/>
      <c r="O86" s="12"/>
      <c r="P86" s="12"/>
      <c r="Q86" s="11"/>
      <c r="R86" s="13"/>
      <c r="S86" s="13"/>
      <c r="T86" s="11"/>
      <c r="U86" s="12"/>
      <c r="V86" s="12"/>
      <c r="W86" s="12"/>
      <c r="X86" s="11"/>
      <c r="Y86" s="13"/>
      <c r="Z86" s="13"/>
      <c r="AA86" s="11"/>
      <c r="AB86" s="12"/>
      <c r="AC86" s="12"/>
      <c r="AD86" s="12"/>
      <c r="AE86" s="11"/>
      <c r="AF86" s="13"/>
      <c r="AG86" s="13"/>
      <c r="AH86" s="11"/>
      <c r="AI86" s="11"/>
      <c r="AJ86" s="11">
        <v>1</v>
      </c>
      <c r="AK86" s="12"/>
      <c r="AL86" s="12"/>
      <c r="AM86" s="13"/>
      <c r="AN86" s="13"/>
      <c r="AO86" s="11"/>
      <c r="AP86" s="12"/>
      <c r="AQ86" s="12">
        <v>1</v>
      </c>
      <c r="AR86" s="12"/>
      <c r="AS86" s="11"/>
      <c r="AT86" s="13"/>
      <c r="AU86" s="13"/>
      <c r="AV86" s="11"/>
      <c r="AW86" s="12"/>
      <c r="AX86" s="12">
        <v>1</v>
      </c>
      <c r="AY86" s="12"/>
      <c r="AZ86" s="11"/>
      <c r="BA86" s="13"/>
      <c r="BB86" s="13"/>
      <c r="BC86" s="11"/>
      <c r="BD86" s="12"/>
      <c r="BE86" s="12"/>
      <c r="BF86" s="12"/>
      <c r="BG86" s="11"/>
      <c r="BH86" s="13"/>
      <c r="BI86" s="13"/>
      <c r="BJ86" s="11"/>
      <c r="BK86" s="12"/>
      <c r="BL86" s="12"/>
      <c r="BM86" s="12"/>
      <c r="BN86" s="11"/>
      <c r="BO86" s="13"/>
      <c r="BP86" s="449">
        <f t="shared" si="67"/>
        <v>3</v>
      </c>
      <c r="BQ86" s="460">
        <v>52743</v>
      </c>
      <c r="BR86" s="19">
        <v>0.85</v>
      </c>
      <c r="BS86" s="20">
        <f t="shared" si="68"/>
        <v>7911.4500000000007</v>
      </c>
      <c r="BT86" s="21">
        <f t="shared" si="69"/>
        <v>23734.350000000002</v>
      </c>
      <c r="BU86" s="491">
        <f t="shared" si="70"/>
        <v>18987.480000000003</v>
      </c>
      <c r="BV86" s="1"/>
      <c r="BW86" s="561">
        <v>0.1</v>
      </c>
      <c r="BX86" s="568">
        <f t="shared" si="78"/>
        <v>0.30000000000000004</v>
      </c>
      <c r="BY86" s="452">
        <f t="shared" si="79"/>
        <v>63291.6</v>
      </c>
      <c r="BZ86" s="2"/>
      <c r="CA86" s="453" t="s">
        <v>279</v>
      </c>
      <c r="CB86" s="454">
        <f t="shared" si="73"/>
        <v>1</v>
      </c>
      <c r="CC86" s="455">
        <f t="shared" si="74"/>
        <v>6329.1600000000008</v>
      </c>
      <c r="CD86" s="454">
        <f t="shared" si="75"/>
        <v>2</v>
      </c>
      <c r="CE86" s="455">
        <f t="shared" si="76"/>
        <v>12658.320000000002</v>
      </c>
      <c r="CF86" s="427" t="b">
        <f t="shared" si="77"/>
        <v>1</v>
      </c>
    </row>
    <row r="87" spans="1:84" s="458" customFormat="1" ht="14" customHeight="1" x14ac:dyDescent="0.25">
      <c r="A87" s="435"/>
      <c r="B87" s="446"/>
      <c r="C87" s="446"/>
      <c r="D87" s="447" t="s">
        <v>282</v>
      </c>
      <c r="E87" s="448" t="s">
        <v>230</v>
      </c>
      <c r="F87" s="448">
        <v>2.0833333333333332E-2</v>
      </c>
      <c r="G87" s="448" t="s">
        <v>210</v>
      </c>
      <c r="H87" s="464">
        <v>30</v>
      </c>
      <c r="I87" s="11"/>
      <c r="J87" s="11"/>
      <c r="K87" s="13"/>
      <c r="L87" s="13"/>
      <c r="M87" s="11"/>
      <c r="N87" s="12"/>
      <c r="O87" s="12"/>
      <c r="P87" s="12"/>
      <c r="Q87" s="11"/>
      <c r="R87" s="13"/>
      <c r="S87" s="13"/>
      <c r="T87" s="11"/>
      <c r="U87" s="12"/>
      <c r="V87" s="12"/>
      <c r="W87" s="12"/>
      <c r="X87" s="11"/>
      <c r="Y87" s="13"/>
      <c r="Z87" s="13"/>
      <c r="AA87" s="11"/>
      <c r="AB87" s="12"/>
      <c r="AC87" s="12"/>
      <c r="AD87" s="12"/>
      <c r="AE87" s="11"/>
      <c r="AF87" s="13"/>
      <c r="AG87" s="13"/>
      <c r="AH87" s="11"/>
      <c r="AI87" s="11">
        <v>1</v>
      </c>
      <c r="AJ87" s="11"/>
      <c r="AK87" s="12">
        <v>1</v>
      </c>
      <c r="AL87" s="12"/>
      <c r="AM87" s="13"/>
      <c r="AN87" s="13"/>
      <c r="AO87" s="11">
        <v>1</v>
      </c>
      <c r="AP87" s="12"/>
      <c r="AQ87" s="12"/>
      <c r="AR87" s="12">
        <v>1</v>
      </c>
      <c r="AS87" s="11"/>
      <c r="AT87" s="13"/>
      <c r="AU87" s="13"/>
      <c r="AV87" s="11">
        <v>1</v>
      </c>
      <c r="AW87" s="12"/>
      <c r="AX87" s="12"/>
      <c r="AY87" s="12">
        <v>1</v>
      </c>
      <c r="AZ87" s="11"/>
      <c r="BA87" s="13"/>
      <c r="BB87" s="13"/>
      <c r="BC87" s="11"/>
      <c r="BD87" s="12"/>
      <c r="BE87" s="12"/>
      <c r="BF87" s="12"/>
      <c r="BG87" s="11"/>
      <c r="BH87" s="13"/>
      <c r="BI87" s="13"/>
      <c r="BJ87" s="11"/>
      <c r="BK87" s="12"/>
      <c r="BL87" s="12"/>
      <c r="BM87" s="12"/>
      <c r="BN87" s="11"/>
      <c r="BO87" s="13"/>
      <c r="BP87" s="449">
        <f t="shared" si="67"/>
        <v>6</v>
      </c>
      <c r="BQ87" s="460">
        <v>37063</v>
      </c>
      <c r="BR87" s="19">
        <v>0.85</v>
      </c>
      <c r="BS87" s="20">
        <f t="shared" si="68"/>
        <v>5559.4500000000007</v>
      </c>
      <c r="BT87" s="21">
        <f t="shared" si="69"/>
        <v>33356.700000000004</v>
      </c>
      <c r="BU87" s="491">
        <f t="shared" si="70"/>
        <v>26685.360000000004</v>
      </c>
      <c r="BV87" s="1"/>
      <c r="BW87" s="561">
        <v>0.14000000000000001</v>
      </c>
      <c r="BX87" s="568">
        <f>BW87*BP87</f>
        <v>0.84000000000000008</v>
      </c>
      <c r="BY87" s="452">
        <f t="shared" si="79"/>
        <v>31768.285714285717</v>
      </c>
      <c r="BZ87" s="2"/>
      <c r="CA87" s="453" t="s">
        <v>279</v>
      </c>
      <c r="CB87" s="454">
        <f t="shared" si="73"/>
        <v>2</v>
      </c>
      <c r="CC87" s="455">
        <f t="shared" si="74"/>
        <v>8895.1200000000008</v>
      </c>
      <c r="CD87" s="454">
        <f t="shared" si="75"/>
        <v>4</v>
      </c>
      <c r="CE87" s="455">
        <f t="shared" si="76"/>
        <v>17790.240000000002</v>
      </c>
      <c r="CF87" s="427" t="b">
        <f t="shared" si="77"/>
        <v>1</v>
      </c>
    </row>
    <row r="88" spans="1:84" s="458" customFormat="1" ht="14" customHeight="1" x14ac:dyDescent="0.25">
      <c r="A88" s="435"/>
      <c r="B88" s="446"/>
      <c r="C88" s="446"/>
      <c r="D88" s="459" t="s">
        <v>282</v>
      </c>
      <c r="E88" s="448" t="s">
        <v>230</v>
      </c>
      <c r="F88" s="448">
        <v>2.0833333333333332E-2</v>
      </c>
      <c r="G88" s="448" t="s">
        <v>210</v>
      </c>
      <c r="H88" s="464">
        <v>60</v>
      </c>
      <c r="I88" s="11"/>
      <c r="J88" s="11"/>
      <c r="K88" s="13"/>
      <c r="L88" s="13"/>
      <c r="M88" s="11"/>
      <c r="N88" s="12"/>
      <c r="O88" s="12"/>
      <c r="P88" s="12"/>
      <c r="Q88" s="11"/>
      <c r="R88" s="13"/>
      <c r="S88" s="13"/>
      <c r="T88" s="11"/>
      <c r="U88" s="12"/>
      <c r="V88" s="12"/>
      <c r="W88" s="12"/>
      <c r="X88" s="11"/>
      <c r="Y88" s="13"/>
      <c r="Z88" s="13"/>
      <c r="AA88" s="11"/>
      <c r="AB88" s="12"/>
      <c r="AC88" s="12"/>
      <c r="AD88" s="12"/>
      <c r="AE88" s="11">
        <v>1</v>
      </c>
      <c r="AF88" s="13"/>
      <c r="AG88" s="13"/>
      <c r="AH88" s="11"/>
      <c r="AI88" s="11"/>
      <c r="AJ88" s="11"/>
      <c r="AK88" s="12"/>
      <c r="AL88" s="12"/>
      <c r="AM88" s="13"/>
      <c r="AN88" s="13"/>
      <c r="AO88" s="11"/>
      <c r="AP88" s="12"/>
      <c r="AQ88" s="12"/>
      <c r="AR88" s="12"/>
      <c r="AS88" s="11"/>
      <c r="AT88" s="13"/>
      <c r="AU88" s="13"/>
      <c r="AV88" s="11"/>
      <c r="AW88" s="12"/>
      <c r="AX88" s="12"/>
      <c r="AY88" s="12"/>
      <c r="AZ88" s="11"/>
      <c r="BA88" s="13"/>
      <c r="BB88" s="13"/>
      <c r="BC88" s="11"/>
      <c r="BD88" s="12"/>
      <c r="BE88" s="12"/>
      <c r="BF88" s="12"/>
      <c r="BG88" s="11"/>
      <c r="BH88" s="13"/>
      <c r="BI88" s="13"/>
      <c r="BJ88" s="11"/>
      <c r="BK88" s="12"/>
      <c r="BL88" s="12"/>
      <c r="BM88" s="12"/>
      <c r="BN88" s="11"/>
      <c r="BO88" s="13"/>
      <c r="BP88" s="449">
        <f t="shared" si="67"/>
        <v>1</v>
      </c>
      <c r="BQ88" s="460">
        <v>74126</v>
      </c>
      <c r="BR88" s="19">
        <v>0.85</v>
      </c>
      <c r="BS88" s="20">
        <f t="shared" si="68"/>
        <v>11118.900000000001</v>
      </c>
      <c r="BT88" s="21">
        <f t="shared" si="69"/>
        <v>11118.900000000001</v>
      </c>
      <c r="BU88" s="491">
        <f t="shared" si="70"/>
        <v>8895.1200000000008</v>
      </c>
      <c r="BV88" s="1"/>
      <c r="BW88" s="561">
        <v>0.14000000000000001</v>
      </c>
      <c r="BX88" s="568">
        <f>BW88*BP88</f>
        <v>0.14000000000000001</v>
      </c>
      <c r="BY88" s="452">
        <f t="shared" si="79"/>
        <v>63536.571428571428</v>
      </c>
      <c r="BZ88" s="2"/>
      <c r="CA88" s="453" t="s">
        <v>279</v>
      </c>
      <c r="CB88" s="454">
        <f t="shared" si="73"/>
        <v>1</v>
      </c>
      <c r="CC88" s="455">
        <f t="shared" si="74"/>
        <v>8895.1200000000008</v>
      </c>
      <c r="CD88" s="454">
        <f t="shared" si="75"/>
        <v>0</v>
      </c>
      <c r="CE88" s="455">
        <f t="shared" si="76"/>
        <v>0</v>
      </c>
      <c r="CF88" s="427" t="b">
        <f t="shared" si="77"/>
        <v>1</v>
      </c>
    </row>
    <row r="89" spans="1:84" s="458" customFormat="1" ht="14" hidden="1" customHeight="1" x14ac:dyDescent="0.25">
      <c r="A89" s="435"/>
      <c r="B89" s="446"/>
      <c r="C89" s="446"/>
      <c r="D89" s="466" t="s">
        <v>283</v>
      </c>
      <c r="E89" s="448" t="s">
        <v>230</v>
      </c>
      <c r="F89" s="448">
        <v>0.41666666666666669</v>
      </c>
      <c r="G89" s="448" t="s">
        <v>286</v>
      </c>
      <c r="H89" s="464">
        <v>30</v>
      </c>
      <c r="I89" s="11"/>
      <c r="J89" s="11"/>
      <c r="K89" s="13"/>
      <c r="L89" s="13"/>
      <c r="M89" s="11"/>
      <c r="N89" s="12"/>
      <c r="O89" s="12"/>
      <c r="P89" s="12"/>
      <c r="Q89" s="11"/>
      <c r="R89" s="13"/>
      <c r="S89" s="13"/>
      <c r="T89" s="11"/>
      <c r="U89" s="12"/>
      <c r="V89" s="12"/>
      <c r="W89" s="12"/>
      <c r="X89" s="11"/>
      <c r="Y89" s="13"/>
      <c r="Z89" s="13"/>
      <c r="AA89" s="11"/>
      <c r="AB89" s="12"/>
      <c r="AC89" s="12"/>
      <c r="AD89" s="12"/>
      <c r="AE89" s="11"/>
      <c r="AF89" s="13"/>
      <c r="AG89" s="13"/>
      <c r="AH89" s="11"/>
      <c r="AI89" s="11"/>
      <c r="AJ89" s="11"/>
      <c r="AK89" s="12"/>
      <c r="AL89" s="12"/>
      <c r="AM89" s="13"/>
      <c r="AN89" s="13"/>
      <c r="AO89" s="11"/>
      <c r="AP89" s="12"/>
      <c r="AQ89" s="12"/>
      <c r="AR89" s="12"/>
      <c r="AS89" s="11"/>
      <c r="AT89" s="13"/>
      <c r="AU89" s="13"/>
      <c r="AV89" s="11"/>
      <c r="AW89" s="12"/>
      <c r="AX89" s="12"/>
      <c r="AY89" s="12"/>
      <c r="AZ89" s="11"/>
      <c r="BA89" s="13"/>
      <c r="BB89" s="13"/>
      <c r="BC89" s="11"/>
      <c r="BD89" s="12"/>
      <c r="BE89" s="12"/>
      <c r="BF89" s="12"/>
      <c r="BG89" s="11"/>
      <c r="BH89" s="13"/>
      <c r="BI89" s="13"/>
      <c r="BJ89" s="11"/>
      <c r="BK89" s="12"/>
      <c r="BL89" s="12"/>
      <c r="BM89" s="12"/>
      <c r="BN89" s="11"/>
      <c r="BO89" s="13"/>
      <c r="BP89" s="449">
        <f t="shared" si="67"/>
        <v>0</v>
      </c>
      <c r="BQ89" s="460">
        <v>40707</v>
      </c>
      <c r="BR89" s="19">
        <v>0.85</v>
      </c>
      <c r="BS89" s="20">
        <f t="shared" si="68"/>
        <v>6106.0500000000011</v>
      </c>
      <c r="BT89" s="21">
        <f t="shared" si="69"/>
        <v>0</v>
      </c>
      <c r="BU89" s="491">
        <f t="shared" si="70"/>
        <v>0</v>
      </c>
      <c r="BV89" s="1"/>
      <c r="BW89" s="561">
        <v>0.1</v>
      </c>
      <c r="BX89" s="568">
        <f>BW89*BP89</f>
        <v>0</v>
      </c>
      <c r="BY89" s="452">
        <f t="shared" si="79"/>
        <v>0</v>
      </c>
      <c r="BZ89" s="2"/>
      <c r="CA89" s="453" t="s">
        <v>279</v>
      </c>
      <c r="CB89" s="454">
        <f t="shared" si="73"/>
        <v>0</v>
      </c>
      <c r="CC89" s="455">
        <f t="shared" si="74"/>
        <v>0</v>
      </c>
      <c r="CD89" s="454">
        <f t="shared" si="75"/>
        <v>0</v>
      </c>
      <c r="CE89" s="455">
        <f t="shared" si="76"/>
        <v>0</v>
      </c>
      <c r="CF89" s="427" t="b">
        <f t="shared" si="77"/>
        <v>1</v>
      </c>
    </row>
    <row r="90" spans="1:84" s="458" customFormat="1" ht="14" customHeight="1" x14ac:dyDescent="0.25">
      <c r="A90" s="435"/>
      <c r="B90" s="446"/>
      <c r="C90" s="446"/>
      <c r="D90" s="447"/>
      <c r="E90" s="448"/>
      <c r="F90" s="448"/>
      <c r="G90" s="448"/>
      <c r="H90" s="464"/>
      <c r="I90" s="11"/>
      <c r="J90" s="11"/>
      <c r="K90" s="13"/>
      <c r="L90" s="13"/>
      <c r="M90" s="11"/>
      <c r="N90" s="12"/>
      <c r="O90" s="12"/>
      <c r="P90" s="12"/>
      <c r="Q90" s="11"/>
      <c r="R90" s="13"/>
      <c r="S90" s="13"/>
      <c r="T90" s="11"/>
      <c r="U90" s="12"/>
      <c r="V90" s="12"/>
      <c r="W90" s="12"/>
      <c r="X90" s="11"/>
      <c r="Y90" s="13"/>
      <c r="Z90" s="13"/>
      <c r="AA90" s="11"/>
      <c r="AB90" s="12"/>
      <c r="AC90" s="12"/>
      <c r="AD90" s="12"/>
      <c r="AE90" s="11"/>
      <c r="AF90" s="13"/>
      <c r="AG90" s="13"/>
      <c r="AH90" s="11"/>
      <c r="AI90" s="11"/>
      <c r="AJ90" s="11"/>
      <c r="AK90" s="12"/>
      <c r="AL90" s="12"/>
      <c r="AM90" s="13"/>
      <c r="AN90" s="13"/>
      <c r="AO90" s="11"/>
      <c r="AP90" s="12"/>
      <c r="AQ90" s="12"/>
      <c r="AR90" s="12"/>
      <c r="AS90" s="11"/>
      <c r="AT90" s="13"/>
      <c r="AU90" s="13"/>
      <c r="AV90" s="11"/>
      <c r="AW90" s="12"/>
      <c r="AX90" s="12"/>
      <c r="AY90" s="12"/>
      <c r="AZ90" s="11"/>
      <c r="BA90" s="13"/>
      <c r="BB90" s="13"/>
      <c r="BC90" s="11"/>
      <c r="BD90" s="12"/>
      <c r="BE90" s="12"/>
      <c r="BF90" s="12"/>
      <c r="BG90" s="11"/>
      <c r="BH90" s="13"/>
      <c r="BI90" s="13"/>
      <c r="BJ90" s="11"/>
      <c r="BK90" s="12"/>
      <c r="BL90" s="12"/>
      <c r="BM90" s="12"/>
      <c r="BN90" s="11"/>
      <c r="BO90" s="13"/>
      <c r="BP90" s="449"/>
      <c r="BQ90" s="460"/>
      <c r="BR90" s="19"/>
      <c r="BS90" s="20"/>
      <c r="BT90" s="21"/>
      <c r="BU90" s="22"/>
      <c r="BV90" s="1"/>
      <c r="BW90" s="563"/>
      <c r="BX90" s="568"/>
      <c r="BY90" s="452"/>
      <c r="BZ90" s="2"/>
      <c r="CA90" s="494" t="s">
        <v>152</v>
      </c>
      <c r="CB90" s="495">
        <f>SUM(CB84:CB89)</f>
        <v>6</v>
      </c>
      <c r="CC90" s="496">
        <f>SUM(CC84:CC89)</f>
        <v>39759.960000000006</v>
      </c>
      <c r="CD90" s="495">
        <f>SUM(CD84:CD89)</f>
        <v>8</v>
      </c>
      <c r="CE90" s="496">
        <f>SUM(CE84:CE89)</f>
        <v>40875.600000000006</v>
      </c>
      <c r="CF90" s="427"/>
    </row>
    <row r="91" spans="1:84" s="458" customFormat="1" ht="14" customHeight="1" x14ac:dyDescent="0.25">
      <c r="A91" s="435"/>
      <c r="B91" s="446"/>
      <c r="C91" s="446" t="s">
        <v>287</v>
      </c>
      <c r="D91" s="459" t="s">
        <v>288</v>
      </c>
      <c r="E91" s="448" t="s">
        <v>232</v>
      </c>
      <c r="F91" s="448">
        <v>0.41666666666666669</v>
      </c>
      <c r="G91" s="448" t="s">
        <v>293</v>
      </c>
      <c r="H91" s="464">
        <v>30</v>
      </c>
      <c r="I91" s="11"/>
      <c r="J91" s="11"/>
      <c r="K91" s="13"/>
      <c r="L91" s="13"/>
      <c r="M91" s="11"/>
      <c r="N91" s="12"/>
      <c r="O91" s="12"/>
      <c r="P91" s="12"/>
      <c r="Q91" s="11"/>
      <c r="R91" s="13"/>
      <c r="S91" s="13"/>
      <c r="T91" s="11"/>
      <c r="U91" s="12"/>
      <c r="V91" s="12"/>
      <c r="W91" s="12"/>
      <c r="X91" s="11"/>
      <c r="Y91" s="13"/>
      <c r="Z91" s="13"/>
      <c r="AA91" s="11"/>
      <c r="AB91" s="12"/>
      <c r="AC91" s="12"/>
      <c r="AD91" s="12"/>
      <c r="AE91" s="11"/>
      <c r="AF91" s="13"/>
      <c r="AG91" s="13"/>
      <c r="AH91" s="11"/>
      <c r="AI91" s="11"/>
      <c r="AJ91" s="11"/>
      <c r="AK91" s="12"/>
      <c r="AL91" s="12"/>
      <c r="AM91" s="13"/>
      <c r="AN91" s="13">
        <v>1</v>
      </c>
      <c r="AO91" s="11"/>
      <c r="AP91" s="12"/>
      <c r="AQ91" s="12"/>
      <c r="AR91" s="12"/>
      <c r="AS91" s="11"/>
      <c r="AT91" s="13"/>
      <c r="AU91" s="13">
        <v>1</v>
      </c>
      <c r="AV91" s="11"/>
      <c r="AW91" s="12"/>
      <c r="AX91" s="12"/>
      <c r="AY91" s="12"/>
      <c r="AZ91" s="11"/>
      <c r="BA91" s="13"/>
      <c r="BB91" s="13"/>
      <c r="BC91" s="11"/>
      <c r="BD91" s="12"/>
      <c r="BE91" s="12"/>
      <c r="BF91" s="12"/>
      <c r="BG91" s="11"/>
      <c r="BH91" s="13"/>
      <c r="BI91" s="13"/>
      <c r="BJ91" s="11"/>
      <c r="BK91" s="12"/>
      <c r="BL91" s="12"/>
      <c r="BM91" s="12"/>
      <c r="BN91" s="11"/>
      <c r="BO91" s="13"/>
      <c r="BP91" s="449">
        <f t="shared" si="67"/>
        <v>2</v>
      </c>
      <c r="BQ91" s="460">
        <v>11300</v>
      </c>
      <c r="BR91" s="19">
        <v>0.88</v>
      </c>
      <c r="BS91" s="20">
        <f t="shared" ref="BS91:BS99" si="80">BQ91*(1-BR91)</f>
        <v>1356</v>
      </c>
      <c r="BT91" s="21">
        <f t="shared" ref="BT91:BT99" si="81">BS91*BP91</f>
        <v>2712</v>
      </c>
      <c r="BU91" s="22">
        <f t="shared" ref="BU91:BU99" si="82">BT91*0.8</f>
        <v>2169.6</v>
      </c>
      <c r="BV91" s="1"/>
      <c r="BW91" s="561">
        <v>0.1</v>
      </c>
      <c r="BX91" s="568">
        <f t="shared" ref="BX91:BX99" si="83">BW91*BP91</f>
        <v>0.2</v>
      </c>
      <c r="BY91" s="452">
        <f t="shared" ref="BY91:BY99" si="84">IFERROR(BU91/BX91,0)</f>
        <v>10847.999999999998</v>
      </c>
      <c r="BZ91" s="2"/>
      <c r="CA91" s="453" t="s">
        <v>287</v>
      </c>
      <c r="CB91" s="454">
        <f t="shared" ref="CB91:CB99" si="85">COUNTA(I91:AM91)</f>
        <v>0</v>
      </c>
      <c r="CC91" s="455">
        <f t="shared" ref="CC91:CC99" si="86">CB91*BS91*0.8</f>
        <v>0</v>
      </c>
      <c r="CD91" s="454">
        <f t="shared" ref="CD91:CD99" si="87">COUNTA(AN91:BO91)</f>
        <v>2</v>
      </c>
      <c r="CE91" s="455">
        <f t="shared" ref="CE91:CE99" si="88">CD91*BS91*0.8</f>
        <v>2169.6</v>
      </c>
      <c r="CF91" s="427" t="b">
        <f t="shared" si="77"/>
        <v>1</v>
      </c>
    </row>
    <row r="92" spans="1:84" s="458" customFormat="1" ht="14" customHeight="1" x14ac:dyDescent="0.25">
      <c r="A92" s="435"/>
      <c r="B92" s="446"/>
      <c r="C92" s="446"/>
      <c r="D92" s="466" t="s">
        <v>288</v>
      </c>
      <c r="E92" s="448" t="s">
        <v>232</v>
      </c>
      <c r="F92" s="448">
        <v>0.41666666666666669</v>
      </c>
      <c r="G92" s="448" t="s">
        <v>293</v>
      </c>
      <c r="H92" s="464">
        <v>60</v>
      </c>
      <c r="I92" s="11"/>
      <c r="J92" s="11"/>
      <c r="K92" s="13"/>
      <c r="L92" s="13"/>
      <c r="M92" s="11"/>
      <c r="N92" s="12"/>
      <c r="O92" s="12"/>
      <c r="P92" s="12"/>
      <c r="Q92" s="11"/>
      <c r="R92" s="13"/>
      <c r="S92" s="13"/>
      <c r="T92" s="11"/>
      <c r="U92" s="12"/>
      <c r="V92" s="12"/>
      <c r="W92" s="12"/>
      <c r="X92" s="11"/>
      <c r="Y92" s="13"/>
      <c r="Z92" s="13"/>
      <c r="AA92" s="11"/>
      <c r="AB92" s="12"/>
      <c r="AC92" s="12"/>
      <c r="AD92" s="12"/>
      <c r="AE92" s="11"/>
      <c r="AF92" s="13"/>
      <c r="AG92" s="13">
        <v>1</v>
      </c>
      <c r="AH92" s="11"/>
      <c r="AI92" s="11"/>
      <c r="AJ92" s="11"/>
      <c r="AK92" s="12"/>
      <c r="AL92" s="12"/>
      <c r="AM92" s="13"/>
      <c r="AN92" s="13"/>
      <c r="AO92" s="11"/>
      <c r="AP92" s="12"/>
      <c r="AQ92" s="12"/>
      <c r="AR92" s="12"/>
      <c r="AS92" s="11"/>
      <c r="AT92" s="13"/>
      <c r="AU92" s="13"/>
      <c r="AV92" s="11"/>
      <c r="AW92" s="12"/>
      <c r="AX92" s="12"/>
      <c r="AY92" s="12"/>
      <c r="AZ92" s="11"/>
      <c r="BA92" s="13"/>
      <c r="BB92" s="13"/>
      <c r="BC92" s="11"/>
      <c r="BD92" s="12"/>
      <c r="BE92" s="12"/>
      <c r="BF92" s="12"/>
      <c r="BG92" s="11"/>
      <c r="BH92" s="13"/>
      <c r="BI92" s="13"/>
      <c r="BJ92" s="11"/>
      <c r="BK92" s="12"/>
      <c r="BL92" s="12"/>
      <c r="BM92" s="12"/>
      <c r="BN92" s="11"/>
      <c r="BO92" s="13"/>
      <c r="BP92" s="449">
        <f t="shared" si="67"/>
        <v>1</v>
      </c>
      <c r="BQ92" s="460">
        <v>22600</v>
      </c>
      <c r="BR92" s="19">
        <v>0.88</v>
      </c>
      <c r="BS92" s="20">
        <f t="shared" si="80"/>
        <v>2712</v>
      </c>
      <c r="BT92" s="21">
        <f t="shared" si="81"/>
        <v>2712</v>
      </c>
      <c r="BU92" s="22">
        <f t="shared" si="82"/>
        <v>2169.6</v>
      </c>
      <c r="BV92" s="1"/>
      <c r="BW92" s="561">
        <v>0.1</v>
      </c>
      <c r="BX92" s="568">
        <f t="shared" si="83"/>
        <v>0.1</v>
      </c>
      <c r="BY92" s="452">
        <f t="shared" si="84"/>
        <v>21695.999999999996</v>
      </c>
      <c r="BZ92" s="2"/>
      <c r="CA92" s="453" t="s">
        <v>287</v>
      </c>
      <c r="CB92" s="454">
        <f t="shared" si="85"/>
        <v>1</v>
      </c>
      <c r="CC92" s="455">
        <f t="shared" si="86"/>
        <v>2169.6</v>
      </c>
      <c r="CD92" s="454">
        <f t="shared" si="87"/>
        <v>0</v>
      </c>
      <c r="CE92" s="455">
        <f t="shared" si="88"/>
        <v>0</v>
      </c>
      <c r="CF92" s="427" t="b">
        <f t="shared" si="77"/>
        <v>1</v>
      </c>
    </row>
    <row r="93" spans="1:84" s="458" customFormat="1" ht="14" customHeight="1" x14ac:dyDescent="0.25">
      <c r="A93" s="435"/>
      <c r="B93" s="446"/>
      <c r="C93" s="446"/>
      <c r="D93" s="447" t="s">
        <v>289</v>
      </c>
      <c r="E93" s="448" t="s">
        <v>303</v>
      </c>
      <c r="F93" s="448">
        <v>0.83333333333333337</v>
      </c>
      <c r="G93" s="448" t="s">
        <v>294</v>
      </c>
      <c r="H93" s="464">
        <v>30</v>
      </c>
      <c r="I93" s="11"/>
      <c r="J93" s="11"/>
      <c r="K93" s="13"/>
      <c r="L93" s="13"/>
      <c r="M93" s="11"/>
      <c r="N93" s="12"/>
      <c r="O93" s="12"/>
      <c r="P93" s="12"/>
      <c r="Q93" s="11"/>
      <c r="R93" s="13"/>
      <c r="S93" s="13"/>
      <c r="T93" s="11"/>
      <c r="U93" s="12"/>
      <c r="V93" s="12"/>
      <c r="W93" s="12"/>
      <c r="X93" s="11"/>
      <c r="Y93" s="13"/>
      <c r="Z93" s="13"/>
      <c r="AA93" s="11"/>
      <c r="AB93" s="12"/>
      <c r="AC93" s="12"/>
      <c r="AD93" s="12"/>
      <c r="AE93" s="11"/>
      <c r="AF93" s="13"/>
      <c r="AG93" s="13"/>
      <c r="AH93" s="11"/>
      <c r="AI93" s="11"/>
      <c r="AJ93" s="11"/>
      <c r="AK93" s="12">
        <v>1</v>
      </c>
      <c r="AL93" s="12"/>
      <c r="AM93" s="13"/>
      <c r="AN93" s="13"/>
      <c r="AO93" s="11"/>
      <c r="AP93" s="12"/>
      <c r="AQ93" s="12"/>
      <c r="AR93" s="12">
        <v>1</v>
      </c>
      <c r="AS93" s="11"/>
      <c r="AT93" s="13"/>
      <c r="AU93" s="13"/>
      <c r="AV93" s="11"/>
      <c r="AW93" s="12"/>
      <c r="AX93" s="12"/>
      <c r="AY93" s="12">
        <v>1</v>
      </c>
      <c r="AZ93" s="11"/>
      <c r="BA93" s="13"/>
      <c r="BB93" s="13"/>
      <c r="BC93" s="11"/>
      <c r="BD93" s="12"/>
      <c r="BE93" s="12"/>
      <c r="BF93" s="12"/>
      <c r="BG93" s="11"/>
      <c r="BH93" s="13"/>
      <c r="BI93" s="13"/>
      <c r="BJ93" s="11"/>
      <c r="BK93" s="12"/>
      <c r="BL93" s="12"/>
      <c r="BM93" s="12"/>
      <c r="BN93" s="11"/>
      <c r="BO93" s="13"/>
      <c r="BP93" s="449">
        <f t="shared" si="67"/>
        <v>3</v>
      </c>
      <c r="BQ93" s="460">
        <v>15600</v>
      </c>
      <c r="BR93" s="19">
        <v>0.88</v>
      </c>
      <c r="BS93" s="20">
        <f t="shared" si="80"/>
        <v>1872</v>
      </c>
      <c r="BT93" s="21">
        <f t="shared" si="81"/>
        <v>5616</v>
      </c>
      <c r="BU93" s="22">
        <f t="shared" si="82"/>
        <v>4492.8</v>
      </c>
      <c r="BV93" s="1"/>
      <c r="BW93" s="561">
        <v>0.18</v>
      </c>
      <c r="BX93" s="568">
        <f t="shared" si="83"/>
        <v>0.54</v>
      </c>
      <c r="BY93" s="452">
        <f t="shared" si="84"/>
        <v>8320</v>
      </c>
      <c r="BZ93" s="2"/>
      <c r="CA93" s="453" t="s">
        <v>287</v>
      </c>
      <c r="CB93" s="454">
        <f t="shared" si="85"/>
        <v>1</v>
      </c>
      <c r="CC93" s="455">
        <f t="shared" si="86"/>
        <v>1497.6000000000001</v>
      </c>
      <c r="CD93" s="454">
        <f t="shared" si="87"/>
        <v>2</v>
      </c>
      <c r="CE93" s="455">
        <f t="shared" si="88"/>
        <v>2995.2000000000003</v>
      </c>
      <c r="CF93" s="427" t="b">
        <f t="shared" si="77"/>
        <v>1</v>
      </c>
    </row>
    <row r="94" spans="1:84" s="458" customFormat="1" ht="14" customHeight="1" x14ac:dyDescent="0.25">
      <c r="A94" s="435"/>
      <c r="B94" s="446"/>
      <c r="C94" s="446"/>
      <c r="D94" s="447" t="s">
        <v>289</v>
      </c>
      <c r="E94" s="448" t="s">
        <v>303</v>
      </c>
      <c r="F94" s="448">
        <v>0.83333333333333337</v>
      </c>
      <c r="G94" s="448" t="s">
        <v>294</v>
      </c>
      <c r="H94" s="464">
        <v>60</v>
      </c>
      <c r="I94" s="11"/>
      <c r="J94" s="11"/>
      <c r="K94" s="13"/>
      <c r="L94" s="13"/>
      <c r="M94" s="11"/>
      <c r="N94" s="12"/>
      <c r="O94" s="12"/>
      <c r="P94" s="12"/>
      <c r="Q94" s="11"/>
      <c r="R94" s="13"/>
      <c r="S94" s="13"/>
      <c r="T94" s="11"/>
      <c r="U94" s="12"/>
      <c r="V94" s="12"/>
      <c r="W94" s="12"/>
      <c r="X94" s="11"/>
      <c r="Y94" s="13"/>
      <c r="Z94" s="13"/>
      <c r="AA94" s="11"/>
      <c r="AB94" s="12"/>
      <c r="AC94" s="12"/>
      <c r="AD94" s="12"/>
      <c r="AE94" s="12"/>
      <c r="AF94" s="13"/>
      <c r="AG94" s="13"/>
      <c r="AH94" s="11"/>
      <c r="AI94" s="11"/>
      <c r="AJ94" s="11"/>
      <c r="AK94" s="12"/>
      <c r="AL94" s="12"/>
      <c r="AM94" s="13"/>
      <c r="AN94" s="13"/>
      <c r="AO94" s="11"/>
      <c r="AP94" s="12"/>
      <c r="AQ94" s="12"/>
      <c r="AR94" s="12"/>
      <c r="AS94" s="11"/>
      <c r="AT94" s="13"/>
      <c r="AU94" s="13"/>
      <c r="AV94" s="11"/>
      <c r="AW94" s="12"/>
      <c r="AX94" s="12"/>
      <c r="AY94" s="12"/>
      <c r="AZ94" s="11"/>
      <c r="BA94" s="13"/>
      <c r="BB94" s="13"/>
      <c r="BC94" s="11"/>
      <c r="BD94" s="12"/>
      <c r="BE94" s="12"/>
      <c r="BF94" s="12"/>
      <c r="BG94" s="11"/>
      <c r="BH94" s="13"/>
      <c r="BI94" s="13"/>
      <c r="BJ94" s="11"/>
      <c r="BK94" s="12"/>
      <c r="BL94" s="12"/>
      <c r="BM94" s="12"/>
      <c r="BN94" s="11"/>
      <c r="BO94" s="13"/>
      <c r="BP94" s="449">
        <f t="shared" si="67"/>
        <v>0</v>
      </c>
      <c r="BQ94" s="460">
        <v>31200</v>
      </c>
      <c r="BR94" s="19">
        <v>0.88</v>
      </c>
      <c r="BS94" s="20">
        <f t="shared" si="80"/>
        <v>3744</v>
      </c>
      <c r="BT94" s="21">
        <f t="shared" si="81"/>
        <v>0</v>
      </c>
      <c r="BU94" s="22">
        <f t="shared" si="82"/>
        <v>0</v>
      </c>
      <c r="BV94" s="1"/>
      <c r="BW94" s="561">
        <v>0.18</v>
      </c>
      <c r="BX94" s="568">
        <f t="shared" si="83"/>
        <v>0</v>
      </c>
      <c r="BY94" s="452">
        <f t="shared" si="84"/>
        <v>0</v>
      </c>
      <c r="BZ94" s="2"/>
      <c r="CA94" s="453" t="s">
        <v>287</v>
      </c>
      <c r="CB94" s="454">
        <f t="shared" si="85"/>
        <v>0</v>
      </c>
      <c r="CC94" s="455">
        <f t="shared" si="86"/>
        <v>0</v>
      </c>
      <c r="CD94" s="454">
        <f t="shared" si="87"/>
        <v>0</v>
      </c>
      <c r="CE94" s="455">
        <f t="shared" si="88"/>
        <v>0</v>
      </c>
      <c r="CF94" s="427" t="b">
        <f t="shared" si="77"/>
        <v>1</v>
      </c>
    </row>
    <row r="95" spans="1:84" s="458" customFormat="1" ht="14" customHeight="1" x14ac:dyDescent="0.25">
      <c r="A95" s="435"/>
      <c r="B95" s="446"/>
      <c r="C95" s="446"/>
      <c r="D95" s="459" t="s">
        <v>290</v>
      </c>
      <c r="E95" s="448" t="s">
        <v>304</v>
      </c>
      <c r="F95" s="448">
        <v>0.83333333333333337</v>
      </c>
      <c r="G95" s="448" t="s">
        <v>214</v>
      </c>
      <c r="H95" s="464">
        <v>30</v>
      </c>
      <c r="I95" s="11"/>
      <c r="J95" s="11"/>
      <c r="K95" s="13"/>
      <c r="L95" s="13"/>
      <c r="M95" s="11"/>
      <c r="N95" s="12"/>
      <c r="O95" s="12"/>
      <c r="P95" s="12"/>
      <c r="Q95" s="11"/>
      <c r="R95" s="13"/>
      <c r="S95" s="13"/>
      <c r="T95" s="11"/>
      <c r="U95" s="12"/>
      <c r="V95" s="12"/>
      <c r="W95" s="12"/>
      <c r="X95" s="11"/>
      <c r="Y95" s="13"/>
      <c r="Z95" s="13"/>
      <c r="AA95" s="11"/>
      <c r="AB95" s="12"/>
      <c r="AC95" s="12"/>
      <c r="AD95" s="12"/>
      <c r="AE95" s="11"/>
      <c r="AF95" s="13"/>
      <c r="AG95" s="13"/>
      <c r="AH95" s="11"/>
      <c r="AI95" s="11"/>
      <c r="AJ95" s="11"/>
      <c r="AK95" s="12"/>
      <c r="AL95" s="12">
        <v>1</v>
      </c>
      <c r="AM95" s="13"/>
      <c r="AN95" s="13"/>
      <c r="AO95" s="11"/>
      <c r="AP95" s="12"/>
      <c r="AQ95" s="12"/>
      <c r="AR95" s="12"/>
      <c r="AS95" s="11">
        <v>1</v>
      </c>
      <c r="AT95" s="13"/>
      <c r="AU95" s="13"/>
      <c r="AV95" s="11"/>
      <c r="AW95" s="12"/>
      <c r="AX95" s="12"/>
      <c r="AY95" s="12"/>
      <c r="AZ95" s="11">
        <v>1</v>
      </c>
      <c r="BA95" s="13"/>
      <c r="BB95" s="13"/>
      <c r="BC95" s="11"/>
      <c r="BD95" s="12"/>
      <c r="BE95" s="12"/>
      <c r="BF95" s="12"/>
      <c r="BG95" s="11"/>
      <c r="BH95" s="13"/>
      <c r="BI95" s="13"/>
      <c r="BJ95" s="11"/>
      <c r="BK95" s="12"/>
      <c r="BL95" s="12"/>
      <c r="BM95" s="12"/>
      <c r="BN95" s="11"/>
      <c r="BO95" s="13"/>
      <c r="BP95" s="449">
        <f t="shared" si="67"/>
        <v>3</v>
      </c>
      <c r="BQ95" s="460">
        <v>15600</v>
      </c>
      <c r="BR95" s="19">
        <v>0.88</v>
      </c>
      <c r="BS95" s="20">
        <f t="shared" si="80"/>
        <v>1872</v>
      </c>
      <c r="BT95" s="21">
        <f t="shared" si="81"/>
        <v>5616</v>
      </c>
      <c r="BU95" s="22">
        <f t="shared" si="82"/>
        <v>4492.8</v>
      </c>
      <c r="BV95" s="1"/>
      <c r="BW95" s="561">
        <v>0.11</v>
      </c>
      <c r="BX95" s="568">
        <f t="shared" si="83"/>
        <v>0.33</v>
      </c>
      <c r="BY95" s="452">
        <f t="shared" si="84"/>
        <v>13614.545454545454</v>
      </c>
      <c r="BZ95" s="2"/>
      <c r="CA95" s="453" t="s">
        <v>287</v>
      </c>
      <c r="CB95" s="454">
        <f t="shared" si="85"/>
        <v>1</v>
      </c>
      <c r="CC95" s="455">
        <f t="shared" si="86"/>
        <v>1497.6000000000001</v>
      </c>
      <c r="CD95" s="454">
        <f t="shared" si="87"/>
        <v>2</v>
      </c>
      <c r="CE95" s="455">
        <f t="shared" si="88"/>
        <v>2995.2000000000003</v>
      </c>
      <c r="CF95" s="427" t="b">
        <f t="shared" si="77"/>
        <v>1</v>
      </c>
    </row>
    <row r="96" spans="1:84" s="458" customFormat="1" ht="14" customHeight="1" x14ac:dyDescent="0.25">
      <c r="A96" s="435"/>
      <c r="B96" s="446"/>
      <c r="C96" s="446"/>
      <c r="D96" s="466" t="s">
        <v>290</v>
      </c>
      <c r="E96" s="448" t="s">
        <v>304</v>
      </c>
      <c r="F96" s="448">
        <v>0.83333333333333337</v>
      </c>
      <c r="G96" s="448" t="s">
        <v>214</v>
      </c>
      <c r="H96" s="464">
        <v>60</v>
      </c>
      <c r="I96" s="11"/>
      <c r="J96" s="11"/>
      <c r="K96" s="13"/>
      <c r="L96" s="13"/>
      <c r="M96" s="11"/>
      <c r="N96" s="12"/>
      <c r="O96" s="12"/>
      <c r="P96" s="12"/>
      <c r="Q96" s="11"/>
      <c r="R96" s="13"/>
      <c r="S96" s="13"/>
      <c r="T96" s="11"/>
      <c r="U96" s="12"/>
      <c r="V96" s="12"/>
      <c r="W96" s="12"/>
      <c r="X96" s="11"/>
      <c r="Y96" s="13"/>
      <c r="Z96" s="13"/>
      <c r="AA96" s="11"/>
      <c r="AB96" s="12"/>
      <c r="AC96" s="12"/>
      <c r="AD96" s="12"/>
      <c r="AE96" s="11">
        <v>1</v>
      </c>
      <c r="AF96" s="13"/>
      <c r="AG96" s="13"/>
      <c r="AH96" s="11"/>
      <c r="AI96" s="11"/>
      <c r="AJ96" s="11"/>
      <c r="AK96" s="12"/>
      <c r="AL96" s="12"/>
      <c r="AM96" s="13"/>
      <c r="AN96" s="13"/>
      <c r="AO96" s="11"/>
      <c r="AP96" s="12"/>
      <c r="AQ96" s="12"/>
      <c r="AR96" s="12"/>
      <c r="AS96" s="11"/>
      <c r="AT96" s="13"/>
      <c r="AU96" s="13"/>
      <c r="AV96" s="11"/>
      <c r="AW96" s="12"/>
      <c r="AX96" s="12"/>
      <c r="AY96" s="12"/>
      <c r="AZ96" s="11"/>
      <c r="BA96" s="13"/>
      <c r="BB96" s="13"/>
      <c r="BC96" s="11"/>
      <c r="BD96" s="12"/>
      <c r="BE96" s="12"/>
      <c r="BF96" s="12"/>
      <c r="BG96" s="11"/>
      <c r="BH96" s="13"/>
      <c r="BI96" s="13"/>
      <c r="BJ96" s="11"/>
      <c r="BK96" s="12"/>
      <c r="BL96" s="12"/>
      <c r="BM96" s="12"/>
      <c r="BN96" s="11"/>
      <c r="BO96" s="13"/>
      <c r="BP96" s="449">
        <f t="shared" si="67"/>
        <v>1</v>
      </c>
      <c r="BQ96" s="15">
        <v>31200</v>
      </c>
      <c r="BR96" s="19">
        <v>0.88</v>
      </c>
      <c r="BS96" s="20">
        <f t="shared" si="80"/>
        <v>3744</v>
      </c>
      <c r="BT96" s="21">
        <f t="shared" si="81"/>
        <v>3744</v>
      </c>
      <c r="BU96" s="22">
        <f t="shared" si="82"/>
        <v>2995.2000000000003</v>
      </c>
      <c r="BV96" s="1"/>
      <c r="BW96" s="561">
        <v>0.11</v>
      </c>
      <c r="BX96" s="568">
        <f t="shared" si="83"/>
        <v>0.11</v>
      </c>
      <c r="BY96" s="452">
        <f t="shared" si="84"/>
        <v>27229.090909090912</v>
      </c>
      <c r="BZ96" s="2"/>
      <c r="CA96" s="453" t="s">
        <v>287</v>
      </c>
      <c r="CB96" s="454">
        <f t="shared" si="85"/>
        <v>1</v>
      </c>
      <c r="CC96" s="455">
        <f t="shared" si="86"/>
        <v>2995.2000000000003</v>
      </c>
      <c r="CD96" s="454">
        <f t="shared" si="87"/>
        <v>0</v>
      </c>
      <c r="CE96" s="455">
        <f t="shared" si="88"/>
        <v>0</v>
      </c>
      <c r="CF96" s="427" t="b">
        <f t="shared" si="77"/>
        <v>1</v>
      </c>
    </row>
    <row r="97" spans="1:107" s="458" customFormat="1" ht="14" customHeight="1" x14ac:dyDescent="0.25">
      <c r="A97" s="435"/>
      <c r="B97" s="446"/>
      <c r="C97" s="446"/>
      <c r="D97" s="459" t="s">
        <v>291</v>
      </c>
      <c r="E97" s="448" t="s">
        <v>305</v>
      </c>
      <c r="F97" s="448">
        <v>0.95833333333333337</v>
      </c>
      <c r="G97" s="448" t="s">
        <v>295</v>
      </c>
      <c r="H97" s="464">
        <v>30</v>
      </c>
      <c r="I97" s="11"/>
      <c r="J97" s="11"/>
      <c r="K97" s="13"/>
      <c r="L97" s="13"/>
      <c r="M97" s="11"/>
      <c r="N97" s="12"/>
      <c r="O97" s="12"/>
      <c r="P97" s="12"/>
      <c r="Q97" s="11"/>
      <c r="R97" s="13"/>
      <c r="S97" s="13"/>
      <c r="T97" s="11"/>
      <c r="U97" s="12"/>
      <c r="V97" s="12"/>
      <c r="W97" s="12"/>
      <c r="X97" s="11"/>
      <c r="Y97" s="13"/>
      <c r="Z97" s="13"/>
      <c r="AA97" s="11"/>
      <c r="AB97" s="12"/>
      <c r="AC97" s="12"/>
      <c r="AD97" s="12"/>
      <c r="AE97" s="11"/>
      <c r="AF97" s="13"/>
      <c r="AG97" s="13"/>
      <c r="AH97" s="11"/>
      <c r="AI97" s="11"/>
      <c r="AJ97" s="11">
        <v>1</v>
      </c>
      <c r="AK97" s="12"/>
      <c r="AL97" s="12"/>
      <c r="AM97" s="13"/>
      <c r="AN97" s="13"/>
      <c r="AO97" s="11"/>
      <c r="AP97" s="12"/>
      <c r="AQ97" s="12">
        <v>1</v>
      </c>
      <c r="AR97" s="12"/>
      <c r="AS97" s="11"/>
      <c r="AT97" s="13"/>
      <c r="AU97" s="13"/>
      <c r="AV97" s="11"/>
      <c r="AW97" s="12"/>
      <c r="AX97" s="12">
        <v>1</v>
      </c>
      <c r="AY97" s="12"/>
      <c r="AZ97" s="11"/>
      <c r="BA97" s="13"/>
      <c r="BB97" s="13"/>
      <c r="BC97" s="11"/>
      <c r="BD97" s="12"/>
      <c r="BE97" s="12"/>
      <c r="BF97" s="12"/>
      <c r="BG97" s="11"/>
      <c r="BH97" s="13"/>
      <c r="BI97" s="13"/>
      <c r="BJ97" s="11"/>
      <c r="BK97" s="12"/>
      <c r="BL97" s="12"/>
      <c r="BM97" s="12"/>
      <c r="BN97" s="11"/>
      <c r="BO97" s="13"/>
      <c r="BP97" s="449">
        <f t="shared" si="67"/>
        <v>3</v>
      </c>
      <c r="BQ97" s="460">
        <v>7200</v>
      </c>
      <c r="BR97" s="19">
        <v>0.88</v>
      </c>
      <c r="BS97" s="20">
        <f t="shared" si="80"/>
        <v>864</v>
      </c>
      <c r="BT97" s="21">
        <f t="shared" si="81"/>
        <v>2592</v>
      </c>
      <c r="BU97" s="22">
        <f t="shared" si="82"/>
        <v>2073.6</v>
      </c>
      <c r="BV97" s="1"/>
      <c r="BW97" s="561">
        <v>0.18</v>
      </c>
      <c r="BX97" s="568">
        <f t="shared" si="83"/>
        <v>0.54</v>
      </c>
      <c r="BY97" s="452">
        <f t="shared" si="84"/>
        <v>3839.9999999999995</v>
      </c>
      <c r="BZ97" s="2"/>
      <c r="CA97" s="453" t="s">
        <v>287</v>
      </c>
      <c r="CB97" s="454">
        <f t="shared" si="85"/>
        <v>1</v>
      </c>
      <c r="CC97" s="455">
        <f t="shared" si="86"/>
        <v>691.2</v>
      </c>
      <c r="CD97" s="454">
        <f t="shared" si="87"/>
        <v>2</v>
      </c>
      <c r="CE97" s="455">
        <f t="shared" si="88"/>
        <v>1382.4</v>
      </c>
      <c r="CF97" s="427" t="b">
        <f t="shared" si="77"/>
        <v>1</v>
      </c>
    </row>
    <row r="98" spans="1:107" s="458" customFormat="1" ht="14" customHeight="1" x14ac:dyDescent="0.25">
      <c r="A98" s="435"/>
      <c r="B98" s="446"/>
      <c r="C98" s="446"/>
      <c r="D98" s="466" t="s">
        <v>292</v>
      </c>
      <c r="E98" s="448" t="s">
        <v>304</v>
      </c>
      <c r="F98" s="448">
        <v>0.85416666666666663</v>
      </c>
      <c r="G98" s="448" t="s">
        <v>294</v>
      </c>
      <c r="H98" s="464">
        <v>30</v>
      </c>
      <c r="I98" s="11"/>
      <c r="J98" s="11"/>
      <c r="K98" s="13"/>
      <c r="L98" s="13"/>
      <c r="M98" s="11"/>
      <c r="N98" s="12"/>
      <c r="O98" s="12"/>
      <c r="P98" s="12"/>
      <c r="Q98" s="11"/>
      <c r="R98" s="13"/>
      <c r="S98" s="13"/>
      <c r="T98" s="11"/>
      <c r="U98" s="12"/>
      <c r="V98" s="12"/>
      <c r="W98" s="12"/>
      <c r="X98" s="11"/>
      <c r="Y98" s="13"/>
      <c r="Z98" s="13"/>
      <c r="AA98" s="11"/>
      <c r="AB98" s="12"/>
      <c r="AC98" s="12"/>
      <c r="AD98" s="12"/>
      <c r="AE98" s="11"/>
      <c r="AF98" s="13"/>
      <c r="AG98" s="13"/>
      <c r="AH98" s="11"/>
      <c r="AI98" s="11"/>
      <c r="AJ98" s="11"/>
      <c r="AK98" s="12"/>
      <c r="AL98" s="12">
        <v>1</v>
      </c>
      <c r="AM98" s="13"/>
      <c r="AN98" s="13"/>
      <c r="AO98" s="11"/>
      <c r="AP98" s="12"/>
      <c r="AQ98" s="12"/>
      <c r="AR98" s="12"/>
      <c r="AS98" s="11">
        <v>1</v>
      </c>
      <c r="AT98" s="13"/>
      <c r="AU98" s="13"/>
      <c r="AV98" s="11"/>
      <c r="AW98" s="12"/>
      <c r="AX98" s="12"/>
      <c r="AY98" s="12"/>
      <c r="AZ98" s="11">
        <v>1</v>
      </c>
      <c r="BA98" s="13"/>
      <c r="BB98" s="13"/>
      <c r="BC98" s="11"/>
      <c r="BD98" s="12"/>
      <c r="BE98" s="12"/>
      <c r="BF98" s="12"/>
      <c r="BG98" s="11"/>
      <c r="BH98" s="13"/>
      <c r="BI98" s="13"/>
      <c r="BJ98" s="11"/>
      <c r="BK98" s="12"/>
      <c r="BL98" s="12"/>
      <c r="BM98" s="12"/>
      <c r="BN98" s="11"/>
      <c r="BO98" s="13"/>
      <c r="BP98" s="449">
        <f t="shared" si="67"/>
        <v>3</v>
      </c>
      <c r="BQ98" s="460">
        <v>16800</v>
      </c>
      <c r="BR98" s="19">
        <v>0.88</v>
      </c>
      <c r="BS98" s="20">
        <f t="shared" si="80"/>
        <v>2016</v>
      </c>
      <c r="BT98" s="21">
        <f t="shared" si="81"/>
        <v>6048</v>
      </c>
      <c r="BU98" s="22">
        <f t="shared" si="82"/>
        <v>4838.4000000000005</v>
      </c>
      <c r="BV98" s="1"/>
      <c r="BW98" s="561">
        <v>0.1</v>
      </c>
      <c r="BX98" s="568">
        <f t="shared" si="83"/>
        <v>0.30000000000000004</v>
      </c>
      <c r="BY98" s="452">
        <f t="shared" si="84"/>
        <v>16128</v>
      </c>
      <c r="BZ98" s="2"/>
      <c r="CA98" s="453" t="s">
        <v>287</v>
      </c>
      <c r="CB98" s="454">
        <f t="shared" si="85"/>
        <v>1</v>
      </c>
      <c r="CC98" s="455">
        <f t="shared" si="86"/>
        <v>1612.8000000000002</v>
      </c>
      <c r="CD98" s="454">
        <f t="shared" si="87"/>
        <v>2</v>
      </c>
      <c r="CE98" s="455">
        <f t="shared" si="88"/>
        <v>3225.6000000000004</v>
      </c>
      <c r="CF98" s="427" t="b">
        <f t="shared" si="77"/>
        <v>1</v>
      </c>
    </row>
    <row r="99" spans="1:107" s="458" customFormat="1" ht="14" customHeight="1" x14ac:dyDescent="0.25">
      <c r="A99" s="435"/>
      <c r="B99" s="446"/>
      <c r="C99" s="446"/>
      <c r="D99" s="447" t="s">
        <v>292</v>
      </c>
      <c r="E99" s="448" t="s">
        <v>304</v>
      </c>
      <c r="F99" s="448">
        <v>0.85416666666666663</v>
      </c>
      <c r="G99" s="448" t="s">
        <v>294</v>
      </c>
      <c r="H99" s="464">
        <v>60</v>
      </c>
      <c r="I99" s="11"/>
      <c r="J99" s="11"/>
      <c r="K99" s="13"/>
      <c r="L99" s="13"/>
      <c r="M99" s="11"/>
      <c r="N99" s="12"/>
      <c r="O99" s="12"/>
      <c r="P99" s="12"/>
      <c r="Q99" s="11"/>
      <c r="R99" s="13"/>
      <c r="S99" s="13"/>
      <c r="T99" s="11"/>
      <c r="U99" s="12"/>
      <c r="V99" s="12"/>
      <c r="W99" s="12"/>
      <c r="X99" s="11"/>
      <c r="Y99" s="13"/>
      <c r="Z99" s="13"/>
      <c r="AA99" s="11"/>
      <c r="AB99" s="12"/>
      <c r="AC99" s="12"/>
      <c r="AD99" s="12"/>
      <c r="AE99" s="11">
        <v>1</v>
      </c>
      <c r="AF99" s="13"/>
      <c r="AG99" s="13"/>
      <c r="AH99" s="11"/>
      <c r="AI99" s="11"/>
      <c r="AJ99" s="11"/>
      <c r="AK99" s="12"/>
      <c r="AL99" s="12"/>
      <c r="AM99" s="13"/>
      <c r="AN99" s="13"/>
      <c r="AO99" s="11"/>
      <c r="AP99" s="12"/>
      <c r="AQ99" s="12"/>
      <c r="AR99" s="12"/>
      <c r="AS99" s="11"/>
      <c r="AT99" s="13"/>
      <c r="AU99" s="13"/>
      <c r="AV99" s="11"/>
      <c r="AW99" s="12"/>
      <c r="AX99" s="12"/>
      <c r="AY99" s="12"/>
      <c r="AZ99" s="11"/>
      <c r="BA99" s="13"/>
      <c r="BB99" s="13"/>
      <c r="BC99" s="11"/>
      <c r="BD99" s="12"/>
      <c r="BE99" s="12"/>
      <c r="BF99" s="12"/>
      <c r="BG99" s="11"/>
      <c r="BH99" s="13"/>
      <c r="BI99" s="13"/>
      <c r="BJ99" s="11"/>
      <c r="BK99" s="12"/>
      <c r="BL99" s="12"/>
      <c r="BM99" s="12"/>
      <c r="BN99" s="11"/>
      <c r="BO99" s="13"/>
      <c r="BP99" s="449">
        <f t="shared" si="67"/>
        <v>1</v>
      </c>
      <c r="BQ99" s="460">
        <v>33600</v>
      </c>
      <c r="BR99" s="19">
        <v>0.88</v>
      </c>
      <c r="BS99" s="20">
        <f t="shared" si="80"/>
        <v>4032</v>
      </c>
      <c r="BT99" s="21">
        <f t="shared" si="81"/>
        <v>4032</v>
      </c>
      <c r="BU99" s="22">
        <f t="shared" si="82"/>
        <v>3225.6000000000004</v>
      </c>
      <c r="BV99" s="1"/>
      <c r="BW99" s="561">
        <v>0.1</v>
      </c>
      <c r="BX99" s="568">
        <f t="shared" si="83"/>
        <v>0.1</v>
      </c>
      <c r="BY99" s="452">
        <f t="shared" si="84"/>
        <v>32256.000000000004</v>
      </c>
      <c r="BZ99" s="2"/>
      <c r="CA99" s="453" t="s">
        <v>287</v>
      </c>
      <c r="CB99" s="454">
        <f t="shared" si="85"/>
        <v>1</v>
      </c>
      <c r="CC99" s="455">
        <f t="shared" si="86"/>
        <v>3225.6000000000004</v>
      </c>
      <c r="CD99" s="454">
        <f t="shared" si="87"/>
        <v>0</v>
      </c>
      <c r="CE99" s="455">
        <f t="shared" si="88"/>
        <v>0</v>
      </c>
      <c r="CF99" s="427" t="b">
        <f t="shared" si="77"/>
        <v>1</v>
      </c>
    </row>
    <row r="100" spans="1:107" s="458" customFormat="1" ht="14" customHeight="1" x14ac:dyDescent="0.25">
      <c r="A100" s="435"/>
      <c r="B100" s="446"/>
      <c r="C100" s="446"/>
      <c r="D100" s="447"/>
      <c r="E100" s="448"/>
      <c r="F100" s="448"/>
      <c r="G100" s="448"/>
      <c r="H100" s="464"/>
      <c r="I100" s="11"/>
      <c r="J100" s="11"/>
      <c r="K100" s="13"/>
      <c r="L100" s="13"/>
      <c r="M100" s="11"/>
      <c r="N100" s="12"/>
      <c r="O100" s="12"/>
      <c r="P100" s="12"/>
      <c r="Q100" s="11"/>
      <c r="R100" s="13"/>
      <c r="S100" s="13"/>
      <c r="T100" s="11"/>
      <c r="U100" s="12"/>
      <c r="V100" s="12"/>
      <c r="W100" s="12"/>
      <c r="X100" s="11"/>
      <c r="Y100" s="13"/>
      <c r="Z100" s="13"/>
      <c r="AA100" s="11"/>
      <c r="AB100" s="12"/>
      <c r="AC100" s="12"/>
      <c r="AD100" s="12"/>
      <c r="AE100" s="11"/>
      <c r="AF100" s="13"/>
      <c r="AG100" s="13"/>
      <c r="AH100" s="11"/>
      <c r="AI100" s="11"/>
      <c r="AJ100" s="11"/>
      <c r="AK100" s="12"/>
      <c r="AL100" s="12"/>
      <c r="AM100" s="13"/>
      <c r="AN100" s="13"/>
      <c r="AO100" s="11"/>
      <c r="AP100" s="12"/>
      <c r="AQ100" s="12"/>
      <c r="AR100" s="12"/>
      <c r="AS100" s="11"/>
      <c r="AT100" s="13"/>
      <c r="AU100" s="13"/>
      <c r="AV100" s="11"/>
      <c r="AW100" s="12"/>
      <c r="AX100" s="12"/>
      <c r="AY100" s="12"/>
      <c r="AZ100" s="11"/>
      <c r="BA100" s="13"/>
      <c r="BB100" s="13"/>
      <c r="BC100" s="11"/>
      <c r="BD100" s="12"/>
      <c r="BE100" s="12"/>
      <c r="BF100" s="12"/>
      <c r="BG100" s="11"/>
      <c r="BH100" s="13"/>
      <c r="BI100" s="13"/>
      <c r="BJ100" s="11"/>
      <c r="BK100" s="12"/>
      <c r="BL100" s="12"/>
      <c r="BM100" s="12"/>
      <c r="BN100" s="11"/>
      <c r="BO100" s="13"/>
      <c r="BP100" s="449"/>
      <c r="BQ100" s="460"/>
      <c r="BR100" s="19"/>
      <c r="BS100" s="20"/>
      <c r="BT100" s="21"/>
      <c r="BU100" s="21"/>
      <c r="BV100" s="1"/>
      <c r="BW100" s="563"/>
      <c r="BX100" s="568"/>
      <c r="BY100" s="452"/>
      <c r="BZ100" s="2"/>
      <c r="CA100" s="494" t="s">
        <v>152</v>
      </c>
      <c r="CB100" s="495">
        <f>SUM(CB91:CB99)</f>
        <v>7</v>
      </c>
      <c r="CC100" s="496">
        <f>SUM(CC91:CC99)</f>
        <v>13689.6</v>
      </c>
      <c r="CD100" s="495">
        <f>SUM(CD91:CD99)</f>
        <v>10</v>
      </c>
      <c r="CE100" s="496">
        <f>SUM(CE91:CE99)</f>
        <v>12768</v>
      </c>
      <c r="CF100" s="427"/>
    </row>
    <row r="101" spans="1:107" s="458" customFormat="1" ht="14" customHeight="1" x14ac:dyDescent="0.25">
      <c r="A101" s="435"/>
      <c r="B101" s="446"/>
      <c r="C101" s="446" t="s">
        <v>299</v>
      </c>
      <c r="D101" s="459" t="s">
        <v>296</v>
      </c>
      <c r="E101" s="448" t="s">
        <v>230</v>
      </c>
      <c r="F101" s="448">
        <v>0.75</v>
      </c>
      <c r="G101" s="448" t="s">
        <v>300</v>
      </c>
      <c r="H101" s="464">
        <v>30</v>
      </c>
      <c r="I101" s="11"/>
      <c r="J101" s="11"/>
      <c r="K101" s="13"/>
      <c r="L101" s="13"/>
      <c r="M101" s="11"/>
      <c r="N101" s="12"/>
      <c r="O101" s="12"/>
      <c r="P101" s="12"/>
      <c r="Q101" s="11"/>
      <c r="R101" s="13"/>
      <c r="S101" s="13"/>
      <c r="T101" s="11"/>
      <c r="U101" s="12"/>
      <c r="V101" s="12"/>
      <c r="W101" s="12"/>
      <c r="X101" s="11"/>
      <c r="Y101" s="13"/>
      <c r="Z101" s="13"/>
      <c r="AA101" s="11"/>
      <c r="AB101" s="12"/>
      <c r="AC101" s="12"/>
      <c r="AD101" s="12"/>
      <c r="AE101" s="11"/>
      <c r="AF101" s="13"/>
      <c r="AG101" s="13"/>
      <c r="AH101" s="11"/>
      <c r="AI101" s="11"/>
      <c r="AJ101" s="11"/>
      <c r="AK101" s="12"/>
      <c r="AL101" s="12">
        <v>1</v>
      </c>
      <c r="AM101" s="13"/>
      <c r="AN101" s="13"/>
      <c r="AO101" s="11"/>
      <c r="AP101" s="12"/>
      <c r="AQ101" s="12"/>
      <c r="AR101" s="12"/>
      <c r="AS101" s="11">
        <v>1</v>
      </c>
      <c r="AT101" s="13"/>
      <c r="AU101" s="13"/>
      <c r="AV101" s="11"/>
      <c r="AW101" s="12"/>
      <c r="AX101" s="12"/>
      <c r="AY101" s="12"/>
      <c r="AZ101" s="11">
        <v>1</v>
      </c>
      <c r="BA101" s="13"/>
      <c r="BB101" s="13"/>
      <c r="BC101" s="11"/>
      <c r="BD101" s="12"/>
      <c r="BE101" s="12"/>
      <c r="BF101" s="12"/>
      <c r="BG101" s="11"/>
      <c r="BH101" s="13"/>
      <c r="BI101" s="13"/>
      <c r="BJ101" s="11"/>
      <c r="BK101" s="12"/>
      <c r="BL101" s="12"/>
      <c r="BM101" s="12"/>
      <c r="BN101" s="11"/>
      <c r="BO101" s="13"/>
      <c r="BP101" s="449">
        <f t="shared" ref="BP101:BP105" si="89">SUM(I101:BO101)</f>
        <v>3</v>
      </c>
      <c r="BQ101" s="460">
        <v>24948</v>
      </c>
      <c r="BR101" s="19">
        <v>0.85</v>
      </c>
      <c r="BS101" s="20">
        <f t="shared" ref="BS101:BS105" si="90">BQ101*(1-BR101)</f>
        <v>3742.2000000000007</v>
      </c>
      <c r="BT101" s="21">
        <f t="shared" ref="BT101:BT105" si="91">BS101*BP101</f>
        <v>11226.600000000002</v>
      </c>
      <c r="BU101" s="22">
        <f t="shared" ref="BU101:BU105" si="92">BT101*0.8</f>
        <v>8981.2800000000025</v>
      </c>
      <c r="BV101" s="1"/>
      <c r="BW101" s="561">
        <v>0.38</v>
      </c>
      <c r="BX101" s="568">
        <f t="shared" ref="BX101:BX105" si="93">BW101*BP101</f>
        <v>1.1400000000000001</v>
      </c>
      <c r="BY101" s="452">
        <f t="shared" ref="BY101:BY105" si="94">IFERROR(BU101/BX101,0)</f>
        <v>7878.3157894736851</v>
      </c>
      <c r="BZ101" s="2"/>
      <c r="CA101" s="453" t="s">
        <v>299</v>
      </c>
      <c r="CB101" s="454">
        <f t="shared" ref="CB101:CB105" si="95">COUNTA(I101:AM101)</f>
        <v>1</v>
      </c>
      <c r="CC101" s="455">
        <f t="shared" ref="CC101:CC105" si="96">CB101*BS101*0.8</f>
        <v>2993.7600000000007</v>
      </c>
      <c r="CD101" s="454">
        <f t="shared" ref="CD101:CD105" si="97">COUNTA(AN101:BO101)</f>
        <v>2</v>
      </c>
      <c r="CE101" s="455">
        <f t="shared" ref="CE101:CE105" si="98">CD101*BS101*0.8</f>
        <v>5987.5200000000013</v>
      </c>
      <c r="CF101" s="427" t="b">
        <f t="shared" si="77"/>
        <v>1</v>
      </c>
    </row>
    <row r="102" spans="1:107" s="458" customFormat="1" ht="14" customHeight="1" x14ac:dyDescent="0.25">
      <c r="A102" s="435"/>
      <c r="B102" s="446"/>
      <c r="C102" s="446"/>
      <c r="D102" s="466" t="s">
        <v>296</v>
      </c>
      <c r="E102" s="448" t="s">
        <v>230</v>
      </c>
      <c r="F102" s="448">
        <v>0.75</v>
      </c>
      <c r="G102" s="448" t="s">
        <v>300</v>
      </c>
      <c r="H102" s="464">
        <v>60</v>
      </c>
      <c r="I102" s="11"/>
      <c r="J102" s="11"/>
      <c r="K102" s="13"/>
      <c r="L102" s="13"/>
      <c r="M102" s="11"/>
      <c r="N102" s="12"/>
      <c r="O102" s="12"/>
      <c r="P102" s="12"/>
      <c r="Q102" s="11"/>
      <c r="R102" s="13"/>
      <c r="S102" s="13"/>
      <c r="T102" s="11"/>
      <c r="U102" s="12"/>
      <c r="V102" s="12"/>
      <c r="W102" s="12"/>
      <c r="X102" s="11"/>
      <c r="Y102" s="13"/>
      <c r="Z102" s="13"/>
      <c r="AA102" s="11"/>
      <c r="AB102" s="12"/>
      <c r="AC102" s="12"/>
      <c r="AD102" s="12"/>
      <c r="AE102" s="11">
        <v>1</v>
      </c>
      <c r="AF102" s="13"/>
      <c r="AG102" s="13"/>
      <c r="AH102" s="11"/>
      <c r="AI102" s="11"/>
      <c r="AJ102" s="11"/>
      <c r="AK102" s="12"/>
      <c r="AL102" s="12"/>
      <c r="AM102" s="13"/>
      <c r="AN102" s="13"/>
      <c r="AO102" s="11"/>
      <c r="AP102" s="12"/>
      <c r="AQ102" s="12"/>
      <c r="AR102" s="12"/>
      <c r="AS102" s="11"/>
      <c r="AT102" s="13"/>
      <c r="AU102" s="13"/>
      <c r="AV102" s="11"/>
      <c r="AW102" s="12"/>
      <c r="AX102" s="12"/>
      <c r="AY102" s="12"/>
      <c r="AZ102" s="11"/>
      <c r="BA102" s="13"/>
      <c r="BB102" s="13"/>
      <c r="BC102" s="11"/>
      <c r="BD102" s="12"/>
      <c r="BE102" s="12"/>
      <c r="BF102" s="12"/>
      <c r="BG102" s="11"/>
      <c r="BH102" s="13"/>
      <c r="BI102" s="13"/>
      <c r="BJ102" s="11"/>
      <c r="BK102" s="12"/>
      <c r="BL102" s="12"/>
      <c r="BM102" s="12"/>
      <c r="BN102" s="11"/>
      <c r="BO102" s="13"/>
      <c r="BP102" s="449">
        <f t="shared" si="89"/>
        <v>1</v>
      </c>
      <c r="BQ102" s="460">
        <f>BQ101*2</f>
        <v>49896</v>
      </c>
      <c r="BR102" s="19">
        <v>0.85</v>
      </c>
      <c r="BS102" s="20">
        <f t="shared" si="90"/>
        <v>7484.4000000000015</v>
      </c>
      <c r="BT102" s="21">
        <f t="shared" si="91"/>
        <v>7484.4000000000015</v>
      </c>
      <c r="BU102" s="22">
        <f t="shared" si="92"/>
        <v>5987.5200000000013</v>
      </c>
      <c r="BV102" s="1"/>
      <c r="BW102" s="561">
        <v>0.38</v>
      </c>
      <c r="BX102" s="568">
        <f t="shared" si="93"/>
        <v>0.38</v>
      </c>
      <c r="BY102" s="452">
        <f t="shared" si="94"/>
        <v>15756.631578947372</v>
      </c>
      <c r="BZ102" s="2"/>
      <c r="CA102" s="453" t="s">
        <v>299</v>
      </c>
      <c r="CB102" s="454">
        <f t="shared" si="95"/>
        <v>1</v>
      </c>
      <c r="CC102" s="455">
        <f t="shared" si="96"/>
        <v>5987.5200000000013</v>
      </c>
      <c r="CD102" s="454">
        <f t="shared" si="97"/>
        <v>0</v>
      </c>
      <c r="CE102" s="455">
        <f t="shared" si="98"/>
        <v>0</v>
      </c>
      <c r="CF102" s="427" t="b">
        <f t="shared" si="77"/>
        <v>1</v>
      </c>
    </row>
    <row r="103" spans="1:107" s="458" customFormat="1" ht="14" customHeight="1" x14ac:dyDescent="0.25">
      <c r="A103" s="435"/>
      <c r="B103" s="446"/>
      <c r="C103" s="446"/>
      <c r="D103" s="447" t="s">
        <v>297</v>
      </c>
      <c r="E103" s="448" t="s">
        <v>230</v>
      </c>
      <c r="F103" s="448">
        <v>0.60416666666666663</v>
      </c>
      <c r="G103" s="448" t="s">
        <v>301</v>
      </c>
      <c r="H103" s="464">
        <v>30</v>
      </c>
      <c r="I103" s="11"/>
      <c r="J103" s="11"/>
      <c r="K103" s="13"/>
      <c r="L103" s="13"/>
      <c r="M103" s="11"/>
      <c r="N103" s="12"/>
      <c r="O103" s="12"/>
      <c r="P103" s="12"/>
      <c r="Q103" s="11"/>
      <c r="R103" s="13"/>
      <c r="S103" s="13"/>
      <c r="T103" s="11"/>
      <c r="U103" s="12"/>
      <c r="V103" s="12"/>
      <c r="W103" s="12"/>
      <c r="X103" s="11"/>
      <c r="Y103" s="13"/>
      <c r="Z103" s="13"/>
      <c r="AA103" s="11"/>
      <c r="AB103" s="12"/>
      <c r="AC103" s="12"/>
      <c r="AD103" s="12"/>
      <c r="AE103" s="11"/>
      <c r="AF103" s="13"/>
      <c r="AG103" s="13"/>
      <c r="AH103" s="11"/>
      <c r="AI103" s="11"/>
      <c r="AJ103" s="11"/>
      <c r="AK103" s="12">
        <v>1</v>
      </c>
      <c r="AL103" s="12"/>
      <c r="AM103" s="13"/>
      <c r="AN103" s="13"/>
      <c r="AO103" s="11"/>
      <c r="AP103" s="12"/>
      <c r="AQ103" s="12"/>
      <c r="AR103" s="12">
        <v>1</v>
      </c>
      <c r="AS103" s="11"/>
      <c r="AT103" s="13"/>
      <c r="AU103" s="13"/>
      <c r="AV103" s="11"/>
      <c r="AW103" s="12"/>
      <c r="AX103" s="12"/>
      <c r="AY103" s="12"/>
      <c r="AZ103" s="11"/>
      <c r="BA103" s="13"/>
      <c r="BB103" s="13"/>
      <c r="BC103" s="11"/>
      <c r="BD103" s="12"/>
      <c r="BE103" s="12"/>
      <c r="BF103" s="12"/>
      <c r="BG103" s="11"/>
      <c r="BH103" s="13"/>
      <c r="BI103" s="13"/>
      <c r="BJ103" s="11"/>
      <c r="BK103" s="12"/>
      <c r="BL103" s="12"/>
      <c r="BM103" s="12"/>
      <c r="BN103" s="11"/>
      <c r="BO103" s="13"/>
      <c r="BP103" s="449">
        <f t="shared" si="89"/>
        <v>2</v>
      </c>
      <c r="BQ103" s="460">
        <v>14364</v>
      </c>
      <c r="BR103" s="19">
        <v>0.85</v>
      </c>
      <c r="BS103" s="20">
        <f t="shared" si="90"/>
        <v>2154.6000000000004</v>
      </c>
      <c r="BT103" s="21">
        <f t="shared" si="91"/>
        <v>4309.2000000000007</v>
      </c>
      <c r="BU103" s="22">
        <f t="shared" si="92"/>
        <v>3447.3600000000006</v>
      </c>
      <c r="BV103" s="1"/>
      <c r="BW103" s="561">
        <v>0.18</v>
      </c>
      <c r="BX103" s="568">
        <f t="shared" si="93"/>
        <v>0.36</v>
      </c>
      <c r="BY103" s="452">
        <f t="shared" si="94"/>
        <v>9576.0000000000018</v>
      </c>
      <c r="BZ103" s="2"/>
      <c r="CA103" s="453" t="s">
        <v>299</v>
      </c>
      <c r="CB103" s="454">
        <f t="shared" si="95"/>
        <v>1</v>
      </c>
      <c r="CC103" s="455">
        <f t="shared" si="96"/>
        <v>1723.6800000000003</v>
      </c>
      <c r="CD103" s="454">
        <f t="shared" si="97"/>
        <v>1</v>
      </c>
      <c r="CE103" s="455">
        <f t="shared" si="98"/>
        <v>1723.6800000000003</v>
      </c>
      <c r="CF103" s="427" t="b">
        <f t="shared" si="77"/>
        <v>1</v>
      </c>
    </row>
    <row r="104" spans="1:107" s="458" customFormat="1" ht="14" customHeight="1" x14ac:dyDescent="0.25">
      <c r="A104" s="435"/>
      <c r="B104" s="446"/>
      <c r="C104" s="446"/>
      <c r="D104" s="459" t="s">
        <v>298</v>
      </c>
      <c r="E104" s="448" t="s">
        <v>230</v>
      </c>
      <c r="F104" s="448">
        <v>0.54166666666666663</v>
      </c>
      <c r="G104" s="448" t="s">
        <v>302</v>
      </c>
      <c r="H104" s="464">
        <v>30</v>
      </c>
      <c r="I104" s="11"/>
      <c r="J104" s="11"/>
      <c r="K104" s="13"/>
      <c r="L104" s="13"/>
      <c r="M104" s="11"/>
      <c r="N104" s="12"/>
      <c r="O104" s="12"/>
      <c r="P104" s="12"/>
      <c r="Q104" s="11"/>
      <c r="R104" s="13"/>
      <c r="S104" s="13"/>
      <c r="T104" s="11"/>
      <c r="U104" s="12"/>
      <c r="V104" s="12"/>
      <c r="W104" s="12"/>
      <c r="X104" s="11"/>
      <c r="Y104" s="13"/>
      <c r="Z104" s="13"/>
      <c r="AA104" s="11"/>
      <c r="AB104" s="12"/>
      <c r="AC104" s="12"/>
      <c r="AD104" s="12"/>
      <c r="AE104" s="11"/>
      <c r="AF104" s="13"/>
      <c r="AG104" s="13"/>
      <c r="AH104" s="11">
        <v>1</v>
      </c>
      <c r="AI104" s="11"/>
      <c r="AJ104" s="11"/>
      <c r="AK104" s="12"/>
      <c r="AL104" s="12"/>
      <c r="AM104" s="13"/>
      <c r="AN104" s="13"/>
      <c r="AO104" s="11"/>
      <c r="AP104" s="12"/>
      <c r="AQ104" s="12">
        <v>1</v>
      </c>
      <c r="AR104" s="12"/>
      <c r="AS104" s="11"/>
      <c r="AT104" s="13"/>
      <c r="AU104" s="13"/>
      <c r="AV104" s="11">
        <v>1</v>
      </c>
      <c r="AW104" s="12"/>
      <c r="AX104" s="12"/>
      <c r="AY104" s="12"/>
      <c r="AZ104" s="11"/>
      <c r="BA104" s="13"/>
      <c r="BB104" s="13"/>
      <c r="BC104" s="11"/>
      <c r="BD104" s="12"/>
      <c r="BE104" s="12"/>
      <c r="BF104" s="12"/>
      <c r="BG104" s="11"/>
      <c r="BH104" s="13"/>
      <c r="BI104" s="13"/>
      <c r="BJ104" s="11"/>
      <c r="BK104" s="12"/>
      <c r="BL104" s="12"/>
      <c r="BM104" s="12"/>
      <c r="BN104" s="11"/>
      <c r="BO104" s="13"/>
      <c r="BP104" s="449">
        <f t="shared" si="89"/>
        <v>3</v>
      </c>
      <c r="BQ104" s="460">
        <v>6048</v>
      </c>
      <c r="BR104" s="19">
        <v>0.85</v>
      </c>
      <c r="BS104" s="20">
        <f t="shared" si="90"/>
        <v>907.20000000000016</v>
      </c>
      <c r="BT104" s="21">
        <f t="shared" si="91"/>
        <v>2721.6000000000004</v>
      </c>
      <c r="BU104" s="22">
        <f t="shared" si="92"/>
        <v>2177.2800000000002</v>
      </c>
      <c r="BV104" s="1"/>
      <c r="BW104" s="561">
        <v>0.1</v>
      </c>
      <c r="BX104" s="568">
        <f t="shared" si="93"/>
        <v>0.30000000000000004</v>
      </c>
      <c r="BY104" s="452">
        <f t="shared" si="94"/>
        <v>7257.5999999999995</v>
      </c>
      <c r="BZ104" s="2"/>
      <c r="CA104" s="453" t="s">
        <v>299</v>
      </c>
      <c r="CB104" s="454">
        <f t="shared" si="95"/>
        <v>1</v>
      </c>
      <c r="CC104" s="455">
        <f t="shared" si="96"/>
        <v>725.76000000000022</v>
      </c>
      <c r="CD104" s="454">
        <f t="shared" si="97"/>
        <v>2</v>
      </c>
      <c r="CE104" s="455">
        <f t="shared" si="98"/>
        <v>1451.5200000000004</v>
      </c>
      <c r="CF104" s="427" t="b">
        <f t="shared" si="77"/>
        <v>1</v>
      </c>
    </row>
    <row r="105" spans="1:107" s="458" customFormat="1" ht="14" customHeight="1" x14ac:dyDescent="0.25">
      <c r="A105" s="435"/>
      <c r="B105" s="446"/>
      <c r="C105" s="446"/>
      <c r="D105" s="466" t="s">
        <v>298</v>
      </c>
      <c r="E105" s="448" t="s">
        <v>230</v>
      </c>
      <c r="F105" s="448">
        <v>0.54166666666666663</v>
      </c>
      <c r="G105" s="448" t="s">
        <v>302</v>
      </c>
      <c r="H105" s="464">
        <v>60</v>
      </c>
      <c r="I105" s="11"/>
      <c r="J105" s="11"/>
      <c r="K105" s="13"/>
      <c r="L105" s="13"/>
      <c r="M105" s="11"/>
      <c r="N105" s="12"/>
      <c r="O105" s="12"/>
      <c r="P105" s="12"/>
      <c r="Q105" s="11"/>
      <c r="R105" s="13"/>
      <c r="S105" s="13"/>
      <c r="T105" s="11"/>
      <c r="U105" s="12"/>
      <c r="V105" s="12"/>
      <c r="W105" s="12"/>
      <c r="X105" s="11"/>
      <c r="Y105" s="13"/>
      <c r="Z105" s="13"/>
      <c r="AA105" s="11"/>
      <c r="AB105" s="12"/>
      <c r="AC105" s="12"/>
      <c r="AD105" s="12"/>
      <c r="AE105" s="11">
        <v>1</v>
      </c>
      <c r="AF105" s="13"/>
      <c r="AG105" s="13"/>
      <c r="AH105" s="11"/>
      <c r="AI105" s="11"/>
      <c r="AJ105" s="11"/>
      <c r="AK105" s="12"/>
      <c r="AL105" s="12"/>
      <c r="AM105" s="13"/>
      <c r="AN105" s="13"/>
      <c r="AO105" s="11"/>
      <c r="AP105" s="12"/>
      <c r="AQ105" s="12"/>
      <c r="AR105" s="12"/>
      <c r="AS105" s="11"/>
      <c r="AT105" s="13"/>
      <c r="AU105" s="13"/>
      <c r="AV105" s="11"/>
      <c r="AW105" s="12"/>
      <c r="AX105" s="12"/>
      <c r="AY105" s="12"/>
      <c r="AZ105" s="11"/>
      <c r="BA105" s="13"/>
      <c r="BB105" s="13"/>
      <c r="BC105" s="11"/>
      <c r="BD105" s="12"/>
      <c r="BE105" s="12"/>
      <c r="BF105" s="12"/>
      <c r="BG105" s="11"/>
      <c r="BH105" s="13"/>
      <c r="BI105" s="13"/>
      <c r="BJ105" s="11"/>
      <c r="BK105" s="12"/>
      <c r="BL105" s="12"/>
      <c r="BM105" s="12"/>
      <c r="BN105" s="11"/>
      <c r="BO105" s="13"/>
      <c r="BP105" s="449">
        <f t="shared" si="89"/>
        <v>1</v>
      </c>
      <c r="BQ105" s="460">
        <f>BQ104*2</f>
        <v>12096</v>
      </c>
      <c r="BR105" s="19">
        <v>0.85</v>
      </c>
      <c r="BS105" s="20">
        <f t="shared" si="90"/>
        <v>1814.4000000000003</v>
      </c>
      <c r="BT105" s="21">
        <f t="shared" si="91"/>
        <v>1814.4000000000003</v>
      </c>
      <c r="BU105" s="22">
        <f t="shared" si="92"/>
        <v>1451.5200000000004</v>
      </c>
      <c r="BV105" s="1"/>
      <c r="BW105" s="561">
        <v>0.1</v>
      </c>
      <c r="BX105" s="568">
        <f t="shared" si="93"/>
        <v>0.1</v>
      </c>
      <c r="BY105" s="452">
        <f t="shared" si="94"/>
        <v>14515.200000000004</v>
      </c>
      <c r="BZ105" s="2"/>
      <c r="CA105" s="453" t="s">
        <v>299</v>
      </c>
      <c r="CB105" s="454">
        <f t="shared" si="95"/>
        <v>1</v>
      </c>
      <c r="CC105" s="455">
        <f t="shared" si="96"/>
        <v>1451.5200000000004</v>
      </c>
      <c r="CD105" s="454">
        <f t="shared" si="97"/>
        <v>0</v>
      </c>
      <c r="CE105" s="455">
        <f t="shared" si="98"/>
        <v>0</v>
      </c>
      <c r="CF105" s="427" t="b">
        <f t="shared" si="77"/>
        <v>1</v>
      </c>
    </row>
    <row r="106" spans="1:107" s="458" customFormat="1" ht="14" customHeight="1" x14ac:dyDescent="0.25">
      <c r="A106" s="435"/>
      <c r="B106" s="446"/>
      <c r="C106" s="446"/>
      <c r="D106" s="466"/>
      <c r="E106" s="448"/>
      <c r="F106" s="448"/>
      <c r="G106" s="448"/>
      <c r="H106" s="464"/>
      <c r="I106" s="11"/>
      <c r="J106" s="11"/>
      <c r="K106" s="13"/>
      <c r="L106" s="13"/>
      <c r="M106" s="11"/>
      <c r="N106" s="12"/>
      <c r="O106" s="12"/>
      <c r="P106" s="12"/>
      <c r="Q106" s="11"/>
      <c r="R106" s="13"/>
      <c r="S106" s="13"/>
      <c r="T106" s="11"/>
      <c r="U106" s="12"/>
      <c r="V106" s="12"/>
      <c r="W106" s="12"/>
      <c r="X106" s="11"/>
      <c r="Y106" s="13"/>
      <c r="Z106" s="13"/>
      <c r="AA106" s="11"/>
      <c r="AB106" s="12"/>
      <c r="AC106" s="12"/>
      <c r="AD106" s="12"/>
      <c r="AE106" s="11"/>
      <c r="AF106" s="13"/>
      <c r="AG106" s="13"/>
      <c r="AH106" s="11"/>
      <c r="AI106" s="11"/>
      <c r="AJ106" s="11"/>
      <c r="AK106" s="12"/>
      <c r="AL106" s="12"/>
      <c r="AM106" s="13"/>
      <c r="AN106" s="13"/>
      <c r="AO106" s="11"/>
      <c r="AP106" s="12"/>
      <c r="AQ106" s="12"/>
      <c r="AR106" s="12"/>
      <c r="AS106" s="11"/>
      <c r="AT106" s="13"/>
      <c r="AU106" s="13"/>
      <c r="AV106" s="11"/>
      <c r="AW106" s="12"/>
      <c r="AX106" s="12"/>
      <c r="AY106" s="12"/>
      <c r="AZ106" s="11"/>
      <c r="BA106" s="13"/>
      <c r="BB106" s="13"/>
      <c r="BC106" s="11"/>
      <c r="BD106" s="12"/>
      <c r="BE106" s="12"/>
      <c r="BF106" s="12"/>
      <c r="BG106" s="11"/>
      <c r="BH106" s="13"/>
      <c r="BI106" s="13"/>
      <c r="BJ106" s="11"/>
      <c r="BK106" s="12"/>
      <c r="BL106" s="12"/>
      <c r="BM106" s="12"/>
      <c r="BN106" s="11"/>
      <c r="BO106" s="13"/>
      <c r="BP106" s="449"/>
      <c r="BQ106" s="15"/>
      <c r="BR106" s="456"/>
      <c r="BS106" s="15"/>
      <c r="BT106" s="22"/>
      <c r="BU106" s="21"/>
      <c r="BV106" s="1"/>
      <c r="BW106" s="564"/>
      <c r="BX106" s="570"/>
      <c r="BY106" s="566"/>
      <c r="BZ106" s="2"/>
      <c r="CA106" s="494" t="s">
        <v>152</v>
      </c>
      <c r="CB106" s="495">
        <f>SUM(CB101:CB105)</f>
        <v>5</v>
      </c>
      <c r="CC106" s="496">
        <f>SUM(CC101:CC105)</f>
        <v>12882.240000000003</v>
      </c>
      <c r="CD106" s="495">
        <f>SUM(CD101:CD105)</f>
        <v>5</v>
      </c>
      <c r="CE106" s="496">
        <f>SUM(CE101:CE105)</f>
        <v>9162.7200000000012</v>
      </c>
      <c r="CF106" s="427"/>
    </row>
    <row r="107" spans="1:107" ht="3.75" customHeight="1" x14ac:dyDescent="0.25">
      <c r="A107" s="435"/>
      <c r="B107" s="467"/>
      <c r="C107" s="468"/>
      <c r="D107" s="468"/>
      <c r="E107" s="468"/>
      <c r="F107" s="468"/>
      <c r="G107" s="468"/>
      <c r="H107" s="468"/>
      <c r="I107" s="468"/>
      <c r="J107" s="468"/>
      <c r="K107" s="468"/>
      <c r="L107" s="468"/>
      <c r="M107" s="468"/>
      <c r="N107" s="468"/>
      <c r="O107" s="468"/>
      <c r="P107" s="468"/>
      <c r="Q107" s="468"/>
      <c r="R107" s="468"/>
      <c r="S107" s="468"/>
      <c r="T107" s="468"/>
      <c r="U107" s="468"/>
      <c r="V107" s="468"/>
      <c r="W107" s="468"/>
      <c r="X107" s="468"/>
      <c r="Y107" s="468"/>
      <c r="Z107" s="468"/>
      <c r="AA107" s="468"/>
      <c r="AB107" s="468"/>
      <c r="AC107" s="468"/>
      <c r="AD107" s="468"/>
      <c r="AE107" s="468"/>
      <c r="AF107" s="13"/>
      <c r="AG107" s="13"/>
      <c r="AH107" s="468"/>
      <c r="AI107" s="468"/>
      <c r="AJ107" s="468"/>
      <c r="AK107" s="468"/>
      <c r="AL107" s="468"/>
      <c r="AM107" s="13"/>
      <c r="AN107" s="468"/>
      <c r="AO107" s="468"/>
      <c r="AP107" s="468"/>
      <c r="AQ107" s="468"/>
      <c r="AR107" s="468"/>
      <c r="AS107" s="468"/>
      <c r="AT107" s="468"/>
      <c r="AU107" s="468"/>
      <c r="AV107" s="468"/>
      <c r="AW107" s="468"/>
      <c r="AX107" s="468"/>
      <c r="AY107" s="468"/>
      <c r="AZ107" s="468"/>
      <c r="BA107" s="468"/>
      <c r="BB107" s="468"/>
      <c r="BC107" s="468"/>
      <c r="BD107" s="468"/>
      <c r="BE107" s="468"/>
      <c r="BF107" s="468"/>
      <c r="BG107" s="468"/>
      <c r="BH107" s="468"/>
      <c r="BI107" s="468"/>
      <c r="BJ107" s="468"/>
      <c r="BK107" s="13"/>
      <c r="BL107" s="13"/>
      <c r="BM107" s="468"/>
      <c r="BN107" s="468"/>
      <c r="BO107" s="468"/>
      <c r="BP107" s="468"/>
      <c r="BQ107" s="468"/>
      <c r="BR107" s="468"/>
      <c r="BS107" s="468"/>
      <c r="BT107" s="23"/>
      <c r="BU107" s="24"/>
      <c r="BY107" s="469"/>
      <c r="CA107" s="470"/>
      <c r="CB107" s="471"/>
      <c r="CC107" s="472"/>
      <c r="CD107" s="471"/>
      <c r="CE107" s="472"/>
    </row>
    <row r="108" spans="1:107" x14ac:dyDescent="0.25">
      <c r="A108" s="2"/>
      <c r="B108" s="25" t="s">
        <v>215</v>
      </c>
      <c r="C108" s="473"/>
      <c r="D108" s="473"/>
      <c r="E108" s="473"/>
      <c r="F108" s="473"/>
      <c r="G108" s="473"/>
      <c r="H108" s="473"/>
      <c r="I108" s="473">
        <f>COUNTA(I12:I23)</f>
        <v>0</v>
      </c>
      <c r="J108" s="473">
        <f>COUNTA(J12:J23)</f>
        <v>0</v>
      </c>
      <c r="K108" s="473">
        <f>COUNTA(K12:K23)</f>
        <v>0</v>
      </c>
      <c r="L108" s="473">
        <f>COUNTA(L12:L23)</f>
        <v>0</v>
      </c>
      <c r="M108" s="473">
        <f>COUNTA(M12:M23)</f>
        <v>0</v>
      </c>
      <c r="N108" s="473">
        <f>SUM(N12:N23)</f>
        <v>0</v>
      </c>
      <c r="O108" s="473">
        <f>SUM(O12:O23)</f>
        <v>0</v>
      </c>
      <c r="P108" s="473">
        <f>SUM(P12:P23)</f>
        <v>0</v>
      </c>
      <c r="Q108" s="473">
        <f t="shared" ref="Q108:AE108" si="99">SUM(Q12:Q106)</f>
        <v>0</v>
      </c>
      <c r="R108" s="473">
        <f t="shared" si="99"/>
        <v>0</v>
      </c>
      <c r="S108" s="473">
        <f t="shared" si="99"/>
        <v>0</v>
      </c>
      <c r="T108" s="473">
        <f t="shared" si="99"/>
        <v>0</v>
      </c>
      <c r="U108" s="473">
        <f t="shared" si="99"/>
        <v>0</v>
      </c>
      <c r="V108" s="473">
        <f t="shared" si="99"/>
        <v>0</v>
      </c>
      <c r="W108" s="473">
        <f t="shared" si="99"/>
        <v>0</v>
      </c>
      <c r="X108" s="473">
        <f t="shared" si="99"/>
        <v>0</v>
      </c>
      <c r="Y108" s="473">
        <f t="shared" si="99"/>
        <v>0</v>
      </c>
      <c r="Z108" s="473">
        <f t="shared" si="99"/>
        <v>0</v>
      </c>
      <c r="AA108" s="473">
        <f t="shared" si="99"/>
        <v>0</v>
      </c>
      <c r="AB108" s="473">
        <f t="shared" si="99"/>
        <v>0</v>
      </c>
      <c r="AC108" s="473">
        <f t="shared" si="99"/>
        <v>0</v>
      </c>
      <c r="AD108" s="473">
        <f t="shared" si="99"/>
        <v>1</v>
      </c>
      <c r="AE108" s="473">
        <f t="shared" si="99"/>
        <v>15</v>
      </c>
      <c r="AF108" s="473">
        <f>SUM(AF13:AF107)</f>
        <v>3</v>
      </c>
      <c r="AG108" s="473">
        <f>SUM(AG13:AG107)</f>
        <v>5</v>
      </c>
      <c r="AH108" s="473">
        <f t="shared" ref="AH108:AM108" si="100">SUM(AH12:AH23)</f>
        <v>1</v>
      </c>
      <c r="AI108" s="473">
        <f t="shared" si="100"/>
        <v>0</v>
      </c>
      <c r="AJ108" s="473">
        <f t="shared" si="100"/>
        <v>1</v>
      </c>
      <c r="AK108" s="473">
        <f t="shared" si="100"/>
        <v>1</v>
      </c>
      <c r="AL108" s="473">
        <f t="shared" si="100"/>
        <v>0</v>
      </c>
      <c r="AM108" s="473">
        <f t="shared" si="100"/>
        <v>0</v>
      </c>
      <c r="AN108" s="473">
        <f>COUNTA(AN12:AN23)</f>
        <v>0</v>
      </c>
      <c r="AO108" s="473">
        <f>COUNTA(AO12:AO23)</f>
        <v>2</v>
      </c>
      <c r="AP108" s="473">
        <f>COUNTA(AP12:AP23)</f>
        <v>1</v>
      </c>
      <c r="AQ108" s="473">
        <f>COUNTA(AQ12:AQ23)</f>
        <v>2</v>
      </c>
      <c r="AR108" s="473">
        <f>COUNTA(AR12:AR23)</f>
        <v>2</v>
      </c>
      <c r="AS108" s="473">
        <f>SUM(AS12:AS23)</f>
        <v>1</v>
      </c>
      <c r="AT108" s="473">
        <f>SUM(AT12:AT23)</f>
        <v>0</v>
      </c>
      <c r="AU108" s="473">
        <f>SUM(AU12:AU23)</f>
        <v>1</v>
      </c>
      <c r="AV108" s="473">
        <f t="shared" ref="AV108:BJ108" si="101">SUM(AV12:AV106)</f>
        <v>8</v>
      </c>
      <c r="AW108" s="473">
        <f t="shared" si="101"/>
        <v>5</v>
      </c>
      <c r="AX108" s="473">
        <f t="shared" si="101"/>
        <v>6</v>
      </c>
      <c r="AY108" s="473">
        <f t="shared" si="101"/>
        <v>7</v>
      </c>
      <c r="AZ108" s="473">
        <f t="shared" si="101"/>
        <v>8</v>
      </c>
      <c r="BA108" s="473">
        <f t="shared" si="101"/>
        <v>0</v>
      </c>
      <c r="BB108" s="473">
        <f t="shared" si="101"/>
        <v>0</v>
      </c>
      <c r="BC108" s="473">
        <f t="shared" si="101"/>
        <v>0</v>
      </c>
      <c r="BD108" s="473">
        <f t="shared" si="101"/>
        <v>0</v>
      </c>
      <c r="BE108" s="473">
        <f t="shared" si="101"/>
        <v>0</v>
      </c>
      <c r="BF108" s="473">
        <f t="shared" si="101"/>
        <v>0</v>
      </c>
      <c r="BG108" s="473">
        <f t="shared" si="101"/>
        <v>0</v>
      </c>
      <c r="BH108" s="473">
        <f t="shared" si="101"/>
        <v>0</v>
      </c>
      <c r="BI108" s="473">
        <f t="shared" si="101"/>
        <v>0</v>
      </c>
      <c r="BJ108" s="473">
        <f t="shared" si="101"/>
        <v>0</v>
      </c>
      <c r="BK108" s="473">
        <f>SUM(BK13:BK107)</f>
        <v>0</v>
      </c>
      <c r="BL108" s="473">
        <f>SUM(BL13:BL107)</f>
        <v>0</v>
      </c>
      <c r="BM108" s="473">
        <f>SUM(BM12:BM23)</f>
        <v>0</v>
      </c>
      <c r="BN108" s="473">
        <f>SUM(BN12:BN23)</f>
        <v>0</v>
      </c>
      <c r="BO108" s="473">
        <f>SUM(BO12:BO23)</f>
        <v>0</v>
      </c>
      <c r="BP108" s="474">
        <f>SUM(BP13:BP106)</f>
        <v>138</v>
      </c>
      <c r="BQ108" s="26"/>
      <c r="BR108" s="26"/>
      <c r="BS108" s="475"/>
      <c r="BT108" s="476">
        <f>SUM(BT13:BT106)</f>
        <v>3976878.2099999995</v>
      </c>
      <c r="BU108" s="476">
        <f>SUM(BU13:BU106)</f>
        <v>3181502.568</v>
      </c>
      <c r="BW108" s="477"/>
      <c r="BX108" s="478">
        <f>SUM(BX12:BX106)</f>
        <v>350.61000000000013</v>
      </c>
      <c r="BY108" s="479">
        <f>BU108/BX108</f>
        <v>9074.1923162488201</v>
      </c>
      <c r="CA108" s="497" t="s">
        <v>196</v>
      </c>
      <c r="CB108" s="480">
        <f>CB33+CB45+CB58+CB106+CB100+CB90+CB83</f>
        <v>60</v>
      </c>
      <c r="CC108" s="481">
        <f>CC33+CC45+CC58+CC106+CC100+CC90+CC83</f>
        <v>2154704.44</v>
      </c>
      <c r="CD108" s="480">
        <f>CD33+CD45+CD58+CD106+CD100+CD90+CD83</f>
        <v>78</v>
      </c>
      <c r="CE108" s="481">
        <f>CE33+CE45+CE58+CE106+CE100+CE90+CE83</f>
        <v>1026798.1279999998</v>
      </c>
    </row>
    <row r="109" spans="1:107" s="2" customFormat="1" ht="10" x14ac:dyDescent="0.2">
      <c r="H109" s="428"/>
      <c r="BT109" s="492" t="s">
        <v>277</v>
      </c>
      <c r="BU109" s="482">
        <f>SUM(BU59:BU89)</f>
        <v>490307.20799999987</v>
      </c>
      <c r="CA109" s="428"/>
      <c r="CB109" s="428"/>
      <c r="CC109" s="580"/>
      <c r="CD109" s="581"/>
      <c r="CE109" s="582"/>
      <c r="CF109" s="427"/>
    </row>
    <row r="110" spans="1:107" s="427" customFormat="1" ht="11.5" customHeight="1" x14ac:dyDescent="0.2">
      <c r="A110" s="2"/>
      <c r="B110" s="618" t="s">
        <v>388</v>
      </c>
      <c r="C110" s="618"/>
      <c r="D110" s="618"/>
      <c r="E110" s="618"/>
      <c r="F110" s="618"/>
      <c r="G110" s="618"/>
      <c r="H110" s="428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  <c r="AC110" s="2"/>
      <c r="AD110" s="2"/>
      <c r="AE110" s="2"/>
      <c r="AF110" s="2"/>
      <c r="AG110" s="2"/>
      <c r="AH110" s="2"/>
      <c r="AI110" s="2"/>
      <c r="AJ110" s="2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  <c r="BA110" s="2"/>
      <c r="BB110" s="2"/>
      <c r="BC110" s="2"/>
      <c r="BD110" s="2"/>
      <c r="BE110" s="2"/>
      <c r="BF110" s="2"/>
      <c r="BG110" s="2"/>
      <c r="BH110" s="2"/>
      <c r="BI110" s="2"/>
      <c r="BJ110" s="2"/>
      <c r="BK110" s="2"/>
      <c r="BL110" s="2"/>
      <c r="BM110" s="2"/>
      <c r="BN110" s="2"/>
      <c r="BO110" s="2"/>
      <c r="BP110" s="2"/>
      <c r="BQ110" s="2"/>
      <c r="BR110" s="2"/>
      <c r="BS110" s="2"/>
      <c r="BT110" s="493" t="s">
        <v>278</v>
      </c>
      <c r="BU110" s="430">
        <f>BU108-BU109</f>
        <v>2691195.3600000003</v>
      </c>
      <c r="BV110" s="2"/>
      <c r="BW110" s="619" t="s">
        <v>381</v>
      </c>
      <c r="BX110" s="619"/>
      <c r="BY110" s="487" t="s">
        <v>380</v>
      </c>
      <c r="BZ110" s="2"/>
      <c r="CA110" s="428"/>
      <c r="CB110" s="428"/>
      <c r="CC110" s="428"/>
      <c r="CD110" s="500" t="s">
        <v>152</v>
      </c>
      <c r="CE110" s="501">
        <f>CC108+CE108</f>
        <v>3181502.568</v>
      </c>
      <c r="CG110" s="2"/>
      <c r="CH110" s="2"/>
      <c r="CI110" s="2"/>
      <c r="CJ110" s="2"/>
      <c r="CK110" s="2"/>
      <c r="CL110" s="2"/>
      <c r="CM110" s="2"/>
      <c r="CN110" s="2"/>
      <c r="CO110" s="2"/>
      <c r="CP110" s="2"/>
      <c r="CQ110" s="2"/>
      <c r="CR110" s="2"/>
      <c r="CS110" s="2"/>
      <c r="CT110" s="2"/>
      <c r="CU110" s="2"/>
      <c r="CV110" s="2"/>
      <c r="CW110" s="2"/>
      <c r="CX110" s="2"/>
      <c r="CY110" s="2"/>
      <c r="CZ110" s="2"/>
      <c r="DA110" s="2"/>
      <c r="DB110" s="2"/>
      <c r="DC110" s="2"/>
    </row>
    <row r="111" spans="1:107" s="427" customFormat="1" ht="11.5" customHeight="1" x14ac:dyDescent="0.2">
      <c r="A111" s="2"/>
      <c r="B111" s="436" t="s">
        <v>389</v>
      </c>
      <c r="C111" s="436" t="s">
        <v>390</v>
      </c>
      <c r="D111" s="583" t="s">
        <v>391</v>
      </c>
      <c r="E111" s="436" t="s">
        <v>12</v>
      </c>
      <c r="F111" s="436" t="s">
        <v>392</v>
      </c>
      <c r="G111" s="436" t="s">
        <v>393</v>
      </c>
      <c r="H111" s="428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  <c r="AC111" s="2"/>
      <c r="AD111" s="2"/>
      <c r="AE111" s="2"/>
      <c r="AF111" s="2"/>
      <c r="AG111" s="2"/>
      <c r="AH111" s="2"/>
      <c r="AI111" s="2"/>
      <c r="AJ111" s="2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  <c r="BA111" s="2"/>
      <c r="BB111" s="2"/>
      <c r="BC111" s="2"/>
      <c r="BD111" s="2"/>
      <c r="BE111" s="2"/>
      <c r="BF111" s="2"/>
      <c r="BG111" s="2"/>
      <c r="BH111" s="2"/>
      <c r="BI111" s="2"/>
      <c r="BJ111" s="2"/>
      <c r="BK111" s="2"/>
      <c r="BL111" s="2"/>
      <c r="BM111" s="2"/>
      <c r="BN111" s="2"/>
      <c r="BO111" s="2"/>
      <c r="BP111" s="2"/>
      <c r="BQ111" s="2"/>
      <c r="BR111" s="2"/>
      <c r="BS111" s="2"/>
      <c r="BT111" s="2"/>
      <c r="BU111" s="430"/>
      <c r="BV111" s="2"/>
      <c r="BW111" s="572" t="s">
        <v>375</v>
      </c>
      <c r="BX111" s="573">
        <v>0.52</v>
      </c>
      <c r="BY111" s="576">
        <v>14277800</v>
      </c>
      <c r="BZ111" s="2"/>
      <c r="CA111" s="428"/>
      <c r="CB111" s="428"/>
      <c r="CC111" s="428"/>
      <c r="CD111" s="428"/>
      <c r="CE111" s="502" t="b">
        <f>CE110=BU108</f>
        <v>1</v>
      </c>
      <c r="CG111" s="2"/>
      <c r="CH111" s="2"/>
      <c r="CI111" s="2"/>
      <c r="CJ111" s="2"/>
      <c r="CK111" s="2"/>
      <c r="CL111" s="2"/>
      <c r="CM111" s="2"/>
      <c r="CN111" s="2"/>
      <c r="CO111" s="2"/>
      <c r="CP111" s="2"/>
      <c r="CQ111" s="2"/>
      <c r="CR111" s="2"/>
      <c r="CS111" s="2"/>
      <c r="CT111" s="2"/>
      <c r="CU111" s="2"/>
      <c r="CV111" s="2"/>
      <c r="CW111" s="2"/>
      <c r="CX111" s="2"/>
      <c r="CY111" s="2"/>
      <c r="CZ111" s="2"/>
      <c r="DA111" s="2"/>
      <c r="DB111" s="2"/>
      <c r="DC111" s="2"/>
    </row>
    <row r="112" spans="1:107" s="427" customFormat="1" ht="10" x14ac:dyDescent="0.2">
      <c r="A112" s="2"/>
      <c r="B112" s="429" t="s">
        <v>182</v>
      </c>
      <c r="C112" s="586">
        <f>SUM(CB33,CD33)</f>
        <v>30</v>
      </c>
      <c r="D112" s="584">
        <f>SUM(CC33,CE33)</f>
        <v>1874886.2399999998</v>
      </c>
      <c r="E112" s="586">
        <f>SUM(BX13:BX32)</f>
        <v>235.36</v>
      </c>
      <c r="F112" s="585">
        <v>0.56000000000000005</v>
      </c>
      <c r="G112" s="585">
        <f>D112/$D$119</f>
        <v>0.58930841636208908</v>
      </c>
      <c r="H112" s="428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  <c r="AC112" s="2"/>
      <c r="AD112" s="2"/>
      <c r="AE112" s="2"/>
      <c r="AF112" s="2"/>
      <c r="AG112" s="2"/>
      <c r="AH112" s="2"/>
      <c r="AI112" s="2"/>
      <c r="AJ112" s="2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  <c r="BA112" s="2"/>
      <c r="BB112" s="2"/>
      <c r="BC112" s="2"/>
      <c r="BD112" s="2"/>
      <c r="BE112" s="2"/>
      <c r="BF112" s="2"/>
      <c r="BG112" s="2"/>
      <c r="BH112" s="2"/>
      <c r="BI112" s="2"/>
      <c r="BJ112" s="2"/>
      <c r="BK112" s="2"/>
      <c r="BL112" s="2"/>
      <c r="BM112" s="2"/>
      <c r="BN112" s="2"/>
      <c r="BO112" s="2"/>
      <c r="BP112" s="2"/>
      <c r="BQ112" s="2"/>
      <c r="BR112" s="2"/>
      <c r="BS112" s="593"/>
      <c r="BU112" s="430"/>
      <c r="BV112" s="2"/>
      <c r="BW112" s="572" t="s">
        <v>376</v>
      </c>
      <c r="BX112" s="574">
        <f>BY111*BX111</f>
        <v>7424456</v>
      </c>
      <c r="BY112" s="2"/>
      <c r="BZ112" s="2"/>
      <c r="CA112" s="428"/>
      <c r="CB112" s="428"/>
      <c r="CC112" s="428"/>
      <c r="CD112" s="428"/>
      <c r="CE112" s="428"/>
      <c r="CG112" s="2"/>
      <c r="CH112" s="2"/>
      <c r="CI112" s="2"/>
      <c r="CJ112" s="2"/>
      <c r="CK112" s="2"/>
      <c r="CL112" s="2"/>
      <c r="CM112" s="2"/>
      <c r="CN112" s="2"/>
      <c r="CO112" s="2"/>
      <c r="CP112" s="2"/>
      <c r="CQ112" s="2"/>
      <c r="CR112" s="2"/>
      <c r="CS112" s="2"/>
      <c r="CT112" s="2"/>
      <c r="CU112" s="2"/>
      <c r="CV112" s="2"/>
      <c r="CW112" s="2"/>
      <c r="CX112" s="2"/>
      <c r="CY112" s="2"/>
      <c r="CZ112" s="2"/>
      <c r="DA112" s="2"/>
      <c r="DB112" s="2"/>
      <c r="DC112" s="2"/>
    </row>
    <row r="113" spans="2:84" s="2" customFormat="1" ht="10" x14ac:dyDescent="0.2">
      <c r="B113" s="429" t="s">
        <v>17</v>
      </c>
      <c r="C113" s="586">
        <f>SUM(CB45,CD45)</f>
        <v>18</v>
      </c>
      <c r="D113" s="584">
        <f>SUM(CC45,CE45)</f>
        <v>88344.000000000015</v>
      </c>
      <c r="E113" s="586">
        <f>SUM(BX34:BX44)</f>
        <v>11.3</v>
      </c>
      <c r="F113" s="585">
        <v>0.03</v>
      </c>
      <c r="G113" s="585">
        <f t="shared" ref="G113:G118" si="102">D113/$D$119</f>
        <v>2.776801153284501E-2</v>
      </c>
      <c r="H113" s="428"/>
      <c r="BS113" s="593"/>
      <c r="BU113" s="592"/>
      <c r="BW113" s="572" t="s">
        <v>377</v>
      </c>
      <c r="BX113" s="572">
        <v>4.0999999999999996</v>
      </c>
      <c r="CA113" s="428"/>
      <c r="CB113" s="428"/>
      <c r="CC113" s="428"/>
      <c r="CD113" s="428"/>
      <c r="CE113" s="428"/>
      <c r="CF113" s="427"/>
    </row>
    <row r="114" spans="2:84" s="2" customFormat="1" ht="10" x14ac:dyDescent="0.2">
      <c r="B114" s="429" t="s">
        <v>254</v>
      </c>
      <c r="C114" s="586">
        <f>SUM(CB58,CD58)</f>
        <v>24</v>
      </c>
      <c r="D114" s="584">
        <f>SUM(CC58,CE58)</f>
        <v>679462.55999999994</v>
      </c>
      <c r="E114" s="586">
        <f>SUM(BX46:BX57)</f>
        <v>56.040000000000006</v>
      </c>
      <c r="F114" s="585">
        <v>0.2</v>
      </c>
      <c r="G114" s="585">
        <f t="shared" si="102"/>
        <v>0.21356656028950907</v>
      </c>
      <c r="H114" s="428"/>
      <c r="BS114" s="593"/>
      <c r="BU114" s="430"/>
      <c r="BW114" s="572" t="s">
        <v>378</v>
      </c>
      <c r="BX114" s="574">
        <f>BY111*BX108%</f>
        <v>50059394.580000021</v>
      </c>
      <c r="CA114" s="428"/>
      <c r="CB114" s="428"/>
      <c r="CC114" s="428"/>
      <c r="CD114" s="428"/>
      <c r="CE114" s="428"/>
      <c r="CF114" s="427"/>
    </row>
    <row r="115" spans="2:84" s="2" customFormat="1" ht="10" x14ac:dyDescent="0.2">
      <c r="B115" s="429" t="s">
        <v>261</v>
      </c>
      <c r="C115" s="586">
        <f>SUM(CB83,CD83)</f>
        <v>25</v>
      </c>
      <c r="D115" s="584">
        <f>SUM(CC83,CE83)</f>
        <v>409671.64799999993</v>
      </c>
      <c r="E115" s="586">
        <f>SUM(BX71:BX82)</f>
        <v>24.910000000000004</v>
      </c>
      <c r="F115" s="585">
        <v>0.15</v>
      </c>
      <c r="G115" s="585">
        <f t="shared" si="102"/>
        <v>0.12876671926043215</v>
      </c>
      <c r="H115" s="428"/>
      <c r="BS115" s="593"/>
      <c r="BW115" s="572" t="s">
        <v>31</v>
      </c>
      <c r="BX115" s="575">
        <f>BU108/BX114*1000</f>
        <v>63.554555437454084</v>
      </c>
      <c r="CA115" s="428"/>
      <c r="CB115" s="428"/>
      <c r="CC115" s="428"/>
      <c r="CD115" s="428"/>
      <c r="CE115" s="428"/>
      <c r="CF115" s="427"/>
    </row>
    <row r="116" spans="2:84" s="2" customFormat="1" ht="10" x14ac:dyDescent="0.2">
      <c r="B116" s="429" t="s">
        <v>279</v>
      </c>
      <c r="C116" s="586">
        <f>SUM(CB90,CD90)</f>
        <v>14</v>
      </c>
      <c r="D116" s="584">
        <f>SUM(CC90,CE90)</f>
        <v>80635.560000000012</v>
      </c>
      <c r="E116" s="586">
        <f>SUM(BX84:BX89)</f>
        <v>3.0400000000000005</v>
      </c>
      <c r="F116" s="585">
        <v>0.03</v>
      </c>
      <c r="G116" s="585">
        <f t="shared" si="102"/>
        <v>2.5345118627608167E-2</v>
      </c>
      <c r="H116" s="428"/>
      <c r="BS116" s="593"/>
      <c r="CA116" s="428"/>
      <c r="CB116" s="428"/>
      <c r="CC116" s="428"/>
      <c r="CD116" s="428"/>
      <c r="CE116" s="428"/>
      <c r="CF116" s="427"/>
    </row>
    <row r="117" spans="2:84" s="2" customFormat="1" ht="10" x14ac:dyDescent="0.2">
      <c r="B117" s="429" t="s">
        <v>287</v>
      </c>
      <c r="C117" s="586">
        <f>SUM(CB100,CD100)</f>
        <v>17</v>
      </c>
      <c r="D117" s="584">
        <f>SUM(CC100,CE100)</f>
        <v>26457.599999999999</v>
      </c>
      <c r="E117" s="586">
        <f>SUM(BX91:BX99)</f>
        <v>2.2200000000000002</v>
      </c>
      <c r="F117" s="585">
        <v>0.01</v>
      </c>
      <c r="G117" s="585">
        <f t="shared" si="102"/>
        <v>8.316070609564883E-3</v>
      </c>
      <c r="H117" s="428"/>
      <c r="BT117" s="593"/>
      <c r="CA117" s="428"/>
      <c r="CB117" s="428"/>
      <c r="CC117" s="428"/>
      <c r="CD117" s="428"/>
      <c r="CE117" s="428"/>
      <c r="CF117" s="427"/>
    </row>
    <row r="118" spans="2:84" s="2" customFormat="1" ht="10" x14ac:dyDescent="0.2">
      <c r="B118" s="429" t="s">
        <v>299</v>
      </c>
      <c r="C118" s="586">
        <f>SUM(CB106,CD106)</f>
        <v>10</v>
      </c>
      <c r="D118" s="584">
        <f>SUM(CC106,CE106)</f>
        <v>22044.960000000006</v>
      </c>
      <c r="E118" s="586">
        <f>SUM(BX101:BX105)</f>
        <v>2.2799999999999998</v>
      </c>
      <c r="F118" s="585">
        <v>0.01</v>
      </c>
      <c r="G118" s="585">
        <f t="shared" si="102"/>
        <v>6.9291033179514966E-3</v>
      </c>
      <c r="H118" s="428"/>
      <c r="CA118" s="428"/>
      <c r="CB118" s="428"/>
      <c r="CC118" s="428"/>
      <c r="CD118" s="428"/>
      <c r="CE118" s="428"/>
      <c r="CF118" s="427"/>
    </row>
    <row r="119" spans="2:84" x14ac:dyDescent="0.25">
      <c r="B119" s="587"/>
      <c r="C119" s="587"/>
      <c r="D119" s="588">
        <f>SUM(D112:D118)</f>
        <v>3181502.568</v>
      </c>
      <c r="E119" s="589">
        <f>SUM(E112:E118)</f>
        <v>335.15000000000009</v>
      </c>
      <c r="F119" s="587"/>
      <c r="G119" s="587"/>
    </row>
    <row r="121" spans="2:84" ht="16" x14ac:dyDescent="0.4">
      <c r="B121"/>
    </row>
  </sheetData>
  <mergeCells count="25">
    <mergeCell ref="CA8:CE9"/>
    <mergeCell ref="CA10:CA12"/>
    <mergeCell ref="CB10:CC11"/>
    <mergeCell ref="CD10:CE11"/>
    <mergeCell ref="BS8:BS10"/>
    <mergeCell ref="BT8:BT10"/>
    <mergeCell ref="BW8:BW10"/>
    <mergeCell ref="BX8:BX10"/>
    <mergeCell ref="BY8:BY10"/>
    <mergeCell ref="B110:G110"/>
    <mergeCell ref="BW110:BX110"/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</mergeCells>
  <conditionalFormatting sqref="I12:BO106">
    <cfRule type="notContainsBlanks" dxfId="134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DDE05-313A-41E1-A838-A81A8EA76496}">
  <dimension ref="A1:DC79"/>
  <sheetViews>
    <sheetView showGridLines="0" zoomScaleNormal="100" workbookViewId="0">
      <pane xSplit="4" ySplit="10" topLeftCell="BU70" activePane="bottomRight" state="frozen"/>
      <selection activeCell="BY74" sqref="BY74:BY75"/>
      <selection pane="topRight" activeCell="BY74" sqref="BY74:BY75"/>
      <selection pane="bottomLeft" activeCell="BY74" sqref="BY74:BY75"/>
      <selection pane="bottomRight" activeCell="CA117" sqref="CA117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425" customWidth="1"/>
    <col min="80" max="80" width="3.6640625" style="425" customWidth="1"/>
    <col min="81" max="81" width="15.5" style="425" customWidth="1"/>
    <col min="82" max="82" width="3.6640625" style="425" customWidth="1"/>
    <col min="83" max="83" width="15.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42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429"/>
      <c r="BT5" s="2"/>
      <c r="BU5" s="430"/>
      <c r="CC5" s="431"/>
    </row>
    <row r="6" spans="1:84" ht="14" customHeight="1" x14ac:dyDescent="0.4">
      <c r="A6" s="2"/>
      <c r="B6" s="6" t="s">
        <v>164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32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" si="1">AH10+1</f>
        <v>27</v>
      </c>
      <c r="AJ10" s="7">
        <f t="shared" ref="AJ10" si="2">AI10+1</f>
        <v>28</v>
      </c>
      <c r="AK10" s="7">
        <f t="shared" ref="AK10" si="3">AJ10+1</f>
        <v>29</v>
      </c>
      <c r="AL10" s="7">
        <f t="shared" ref="AL10" si="4">AK10+1</f>
        <v>30</v>
      </c>
      <c r="AM10" s="8">
        <f t="shared" ref="AM10" si="5">AL10+1</f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" si="6">BF10+1</f>
        <v>20</v>
      </c>
      <c r="BH10" s="8">
        <f t="shared" ref="BH10" si="7">BG10+1</f>
        <v>21</v>
      </c>
      <c r="BI10" s="8">
        <f t="shared" ref="BI10" si="8">BH10+1</f>
        <v>22</v>
      </c>
      <c r="BJ10" s="7">
        <f t="shared" ref="BJ10" si="9">BI10+1</f>
        <v>23</v>
      </c>
      <c r="BK10" s="7">
        <f t="shared" ref="BK10" si="10">BJ10+1</f>
        <v>24</v>
      </c>
      <c r="BL10" s="7">
        <f t="shared" ref="BL10" si="11">BK10+1</f>
        <v>25</v>
      </c>
      <c r="BM10" s="7">
        <f>BL10+1</f>
        <v>26</v>
      </c>
      <c r="BN10" s="7">
        <f t="shared" ref="BN10" si="12">BM10+1</f>
        <v>27</v>
      </c>
      <c r="BO10" s="8">
        <f t="shared" ref="BO10" si="13">BN10+1</f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444"/>
      <c r="BX12" s="445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61" t="s">
        <v>236</v>
      </c>
      <c r="C13" s="446" t="s">
        <v>208</v>
      </c>
      <c r="D13" s="447" t="s">
        <v>213</v>
      </c>
      <c r="E13" s="448" t="s">
        <v>230</v>
      </c>
      <c r="F13" s="448">
        <v>0.81944444444444442</v>
      </c>
      <c r="G13" s="448">
        <v>0.85416666666666663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/>
      <c r="AJ13" s="11">
        <v>1</v>
      </c>
      <c r="AK13" s="12"/>
      <c r="AL13" s="12"/>
      <c r="AM13" s="13"/>
      <c r="AN13" s="13"/>
      <c r="AO13" s="11"/>
      <c r="AP13" s="12"/>
      <c r="AQ13" s="12"/>
      <c r="AR13" s="12"/>
      <c r="AS13" s="11"/>
      <c r="AT13" s="13"/>
      <c r="AU13" s="13"/>
      <c r="AV13" s="11"/>
      <c r="AW13" s="12"/>
      <c r="AX13" s="12"/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1</v>
      </c>
      <c r="BQ13" s="15">
        <v>217403</v>
      </c>
      <c r="BR13" s="19">
        <v>1</v>
      </c>
      <c r="BS13" s="20">
        <f>BQ13*(1-BR13)</f>
        <v>0</v>
      </c>
      <c r="BT13" s="21">
        <f>BS13*BP13</f>
        <v>0</v>
      </c>
      <c r="BU13" s="21">
        <f t="shared" ref="BU13:BU14" si="14">BT13*0.8</f>
        <v>0</v>
      </c>
      <c r="BW13" s="561">
        <v>12.33</v>
      </c>
      <c r="BX13" s="568">
        <f>BW13*BP13</f>
        <v>12.33</v>
      </c>
      <c r="BY13" s="452">
        <f>IFERROR(BU13/BX13,0)</f>
        <v>0</v>
      </c>
      <c r="BZ13" s="2"/>
      <c r="CA13" s="453" t="s">
        <v>208</v>
      </c>
      <c r="CB13" s="454">
        <f>COUNTA(I13:AM13)</f>
        <v>1</v>
      </c>
      <c r="CC13" s="455">
        <f>CB13*BS13*0.8</f>
        <v>0</v>
      </c>
      <c r="CD13" s="454">
        <f>COUNTA(AN13:BO13)</f>
        <v>0</v>
      </c>
      <c r="CE13" s="455">
        <f>CD13*BS13*0.8</f>
        <v>0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/>
      <c r="D14" s="459" t="s">
        <v>225</v>
      </c>
      <c r="E14" s="448" t="s">
        <v>230</v>
      </c>
      <c r="F14" s="448">
        <v>0.88888888888888884</v>
      </c>
      <c r="G14" s="448">
        <v>0.93402777777777779</v>
      </c>
      <c r="H14" s="464">
        <v>30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/>
      <c r="AF14" s="13"/>
      <c r="AG14" s="13"/>
      <c r="AH14" s="11">
        <v>1</v>
      </c>
      <c r="AI14" s="11"/>
      <c r="AJ14" s="11"/>
      <c r="AK14" s="12">
        <v>1</v>
      </c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2</v>
      </c>
      <c r="BQ14" s="460">
        <v>318624</v>
      </c>
      <c r="BR14" s="19">
        <v>0</v>
      </c>
      <c r="BS14" s="20">
        <f t="shared" ref="BS14" si="15">BQ14*(1-BR14)</f>
        <v>318624</v>
      </c>
      <c r="BT14" s="21">
        <f t="shared" ref="BT14" si="16">BS14*BP14</f>
        <v>637248</v>
      </c>
      <c r="BU14" s="22">
        <f t="shared" si="14"/>
        <v>509798.40000000002</v>
      </c>
      <c r="BV14" s="1"/>
      <c r="BW14" s="561">
        <v>13.35</v>
      </c>
      <c r="BX14" s="568">
        <f>BW14*BP14</f>
        <v>26.7</v>
      </c>
      <c r="BY14" s="452">
        <f>IFERROR(BU14/BX14,0)</f>
        <v>19093.573033707868</v>
      </c>
      <c r="BZ14" s="2"/>
      <c r="CA14" s="453" t="s">
        <v>208</v>
      </c>
      <c r="CB14" s="454">
        <f t="shared" ref="CB14:CB16" si="17">COUNTA(I14:AM14)</f>
        <v>2</v>
      </c>
      <c r="CC14" s="455">
        <f t="shared" ref="CC14:CC16" si="18">CB14*BS14*0.8</f>
        <v>509798.40000000002</v>
      </c>
      <c r="CD14" s="454">
        <f t="shared" ref="CD14:CD16" si="19">COUNTA(AN14:BO14)</f>
        <v>0</v>
      </c>
      <c r="CE14" s="455">
        <f t="shared" ref="CE14:CE16" si="20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/>
      <c r="E15" s="448"/>
      <c r="F15" s="448"/>
      <c r="G15" s="448"/>
      <c r="H15" s="464"/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/>
      <c r="AL15" s="12"/>
      <c r="AM15" s="13"/>
      <c r="AN15" s="13"/>
      <c r="AO15" s="11"/>
      <c r="AP15" s="12"/>
      <c r="AQ15" s="12"/>
      <c r="AR15" s="12"/>
      <c r="AS15" s="11"/>
      <c r="AT15" s="13"/>
      <c r="AU15" s="13"/>
      <c r="AV15" s="11"/>
      <c r="AW15" s="12"/>
      <c r="AX15" s="12"/>
      <c r="AY15" s="12"/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/>
      <c r="BQ15" s="15"/>
      <c r="BR15" s="19"/>
      <c r="BS15" s="20"/>
      <c r="BT15" s="21"/>
      <c r="BU15" s="22"/>
      <c r="BV15" s="1"/>
      <c r="BW15" s="563"/>
      <c r="BX15" s="569"/>
      <c r="BY15" s="452"/>
      <c r="BZ15" s="2"/>
      <c r="CA15" s="453"/>
      <c r="CB15" s="454"/>
      <c r="CC15" s="455"/>
      <c r="CD15" s="454"/>
      <c r="CE15" s="455"/>
      <c r="CF15" s="427"/>
    </row>
    <row r="16" spans="1:84" ht="14" customHeight="1" x14ac:dyDescent="0.25">
      <c r="A16" s="435"/>
      <c r="B16" s="446"/>
      <c r="C16" s="446"/>
      <c r="D16" s="447" t="s">
        <v>213</v>
      </c>
      <c r="E16" s="448" t="s">
        <v>230</v>
      </c>
      <c r="F16" s="448">
        <v>0.81944444444444442</v>
      </c>
      <c r="G16" s="448">
        <v>0.85416666666666663</v>
      </c>
      <c r="H16" s="464">
        <v>30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/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>
        <v>1</v>
      </c>
      <c r="AP16" s="12"/>
      <c r="AQ16" s="12"/>
      <c r="AR16" s="12">
        <v>1</v>
      </c>
      <c r="AS16" s="11"/>
      <c r="AT16" s="13"/>
      <c r="AU16" s="13"/>
      <c r="AV16" s="11"/>
      <c r="AW16" s="12">
        <v>1</v>
      </c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3</v>
      </c>
      <c r="BQ16" s="15">
        <v>217403</v>
      </c>
      <c r="BR16" s="19">
        <v>0</v>
      </c>
      <c r="BS16" s="20">
        <f t="shared" ref="BS16:BS17" si="21">BQ16*(1-BR16)</f>
        <v>217403</v>
      </c>
      <c r="BT16" s="21">
        <f t="shared" ref="BT16:BT17" si="22">BS16*BP16</f>
        <v>652209</v>
      </c>
      <c r="BU16" s="22">
        <f t="shared" ref="BU16:BU17" si="23">BT16*0.8</f>
        <v>521767.2</v>
      </c>
      <c r="BW16" s="561">
        <v>12.33</v>
      </c>
      <c r="BX16" s="568">
        <f t="shared" ref="BX16:BX17" si="24">BW16*BP16</f>
        <v>36.99</v>
      </c>
      <c r="BY16" s="452">
        <f t="shared" ref="BY16:BY17" si="25">IFERROR(BU16/BX16,0)</f>
        <v>14105.628548256285</v>
      </c>
      <c r="BZ16" s="2"/>
      <c r="CA16" s="453" t="s">
        <v>208</v>
      </c>
      <c r="CB16" s="454">
        <f t="shared" si="17"/>
        <v>0</v>
      </c>
      <c r="CC16" s="455">
        <f t="shared" si="18"/>
        <v>0</v>
      </c>
      <c r="CD16" s="454">
        <f t="shared" si="19"/>
        <v>3</v>
      </c>
      <c r="CE16" s="455">
        <f t="shared" si="20"/>
        <v>521767.2</v>
      </c>
      <c r="CF16" s="427" t="b">
        <f>SUM(CC16,CE16)=BU16</f>
        <v>1</v>
      </c>
    </row>
    <row r="17" spans="1:84" ht="14" customHeight="1" x14ac:dyDescent="0.25">
      <c r="A17" s="435"/>
      <c r="B17" s="446"/>
      <c r="C17" s="446"/>
      <c r="D17" s="463" t="s">
        <v>226</v>
      </c>
      <c r="E17" s="448" t="s">
        <v>230</v>
      </c>
      <c r="F17" s="448">
        <v>0.76736111111111116</v>
      </c>
      <c r="G17" s="448">
        <v>0.79861111111111116</v>
      </c>
      <c r="H17" s="464">
        <v>30</v>
      </c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>
        <v>1</v>
      </c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449">
        <f>SUM(I17:BO17)</f>
        <v>1</v>
      </c>
      <c r="BQ17" s="15">
        <v>163381</v>
      </c>
      <c r="BR17" s="19">
        <v>1</v>
      </c>
      <c r="BS17" s="20">
        <f t="shared" si="21"/>
        <v>0</v>
      </c>
      <c r="BT17" s="21">
        <f t="shared" si="22"/>
        <v>0</v>
      </c>
      <c r="BU17" s="22">
        <f t="shared" si="23"/>
        <v>0</v>
      </c>
      <c r="BW17" s="561">
        <v>8.51</v>
      </c>
      <c r="BX17" s="568">
        <f t="shared" si="24"/>
        <v>8.51</v>
      </c>
      <c r="BY17" s="452">
        <f t="shared" si="25"/>
        <v>0</v>
      </c>
      <c r="BZ17" s="2"/>
      <c r="CA17" s="453" t="s">
        <v>208</v>
      </c>
      <c r="CB17" s="454">
        <f t="shared" ref="CB17:CB31" si="26">COUNTA(I17:AM17)</f>
        <v>0</v>
      </c>
      <c r="CC17" s="455">
        <f t="shared" ref="CC17:CC31" si="27">CB17*BS17*0.8</f>
        <v>0</v>
      </c>
      <c r="CD17" s="454">
        <f t="shared" ref="CD17:CD31" si="28">COUNTA(AN17:BO17)</f>
        <v>1</v>
      </c>
      <c r="CE17" s="455">
        <f t="shared" ref="CE17:CE31" si="29">CD17*BS17*0.8</f>
        <v>0</v>
      </c>
      <c r="CF17" s="427" t="b">
        <f>SUM(CC17,CE17)=BU17</f>
        <v>1</v>
      </c>
    </row>
    <row r="18" spans="1:84" s="458" customFormat="1" ht="14" customHeight="1" x14ac:dyDescent="0.25">
      <c r="A18" s="435"/>
      <c r="B18" s="446"/>
      <c r="C18" s="446"/>
      <c r="D18" s="466"/>
      <c r="E18" s="448"/>
      <c r="F18" s="448"/>
      <c r="G18" s="448"/>
      <c r="H18" s="464"/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/>
      <c r="AJ18" s="11"/>
      <c r="AK18" s="12"/>
      <c r="AL18" s="12"/>
      <c r="AM18" s="13"/>
      <c r="AN18" s="13"/>
      <c r="AO18" s="11"/>
      <c r="AP18" s="12"/>
      <c r="AQ18" s="12"/>
      <c r="AR18" s="12"/>
      <c r="AS18" s="11"/>
      <c r="AT18" s="13"/>
      <c r="AU18" s="13"/>
      <c r="AV18" s="11"/>
      <c r="AW18" s="12"/>
      <c r="AX18" s="12"/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/>
      <c r="BQ18" s="15"/>
      <c r="BR18" s="456"/>
      <c r="BS18" s="15"/>
      <c r="BT18" s="22"/>
      <c r="BU18" s="22"/>
      <c r="BV18" s="1"/>
      <c r="BW18" s="563"/>
      <c r="BX18" s="569"/>
      <c r="BY18" s="452"/>
      <c r="BZ18" s="2"/>
      <c r="CA18" s="453"/>
      <c r="CB18" s="454"/>
      <c r="CC18" s="455"/>
      <c r="CD18" s="454"/>
      <c r="CE18" s="455"/>
      <c r="CF18" s="427"/>
    </row>
    <row r="19" spans="1:84" s="458" customFormat="1" ht="14" customHeight="1" x14ac:dyDescent="0.25">
      <c r="A19" s="435"/>
      <c r="B19" s="446"/>
      <c r="C19" s="446"/>
      <c r="D19" s="466" t="s">
        <v>212</v>
      </c>
      <c r="E19" s="448" t="s">
        <v>230</v>
      </c>
      <c r="F19" s="448">
        <v>0.85416666666666663</v>
      </c>
      <c r="G19" s="448">
        <v>0.88888888888888884</v>
      </c>
      <c r="H19" s="464">
        <v>30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>
        <v>1</v>
      </c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>
        <f t="shared" ref="BP19:BP21" si="30">SUM(I19:BO19)</f>
        <v>1</v>
      </c>
      <c r="BQ19" s="15">
        <v>316309</v>
      </c>
      <c r="BR19" s="19">
        <v>0</v>
      </c>
      <c r="BS19" s="20">
        <f>BQ19*(1-BR19)</f>
        <v>316309</v>
      </c>
      <c r="BT19" s="21">
        <f>BS19*BP19</f>
        <v>316309</v>
      </c>
      <c r="BU19" s="22">
        <f>BT19*0.8</f>
        <v>253047.2</v>
      </c>
      <c r="BV19" s="1"/>
      <c r="BW19" s="561">
        <v>13.07</v>
      </c>
      <c r="BX19" s="568">
        <f t="shared" ref="BX19:BX21" si="31">BW19*BP19</f>
        <v>13.07</v>
      </c>
      <c r="BY19" s="452">
        <f t="shared" ref="BY19:BY21" si="32">IFERROR(BU19/BX19,0)</f>
        <v>19360.918133129304</v>
      </c>
      <c r="BZ19" s="2"/>
      <c r="CA19" s="453" t="s">
        <v>208</v>
      </c>
      <c r="CB19" s="454">
        <f t="shared" si="26"/>
        <v>0</v>
      </c>
      <c r="CC19" s="455">
        <f t="shared" si="27"/>
        <v>0</v>
      </c>
      <c r="CD19" s="454">
        <f t="shared" si="28"/>
        <v>1</v>
      </c>
      <c r="CE19" s="455">
        <f t="shared" si="29"/>
        <v>253047.2</v>
      </c>
      <c r="CF19" s="427" t="b">
        <f>SUM(CC19,CE19)=BU19</f>
        <v>1</v>
      </c>
    </row>
    <row r="20" spans="1:84" s="458" customFormat="1" ht="14" customHeight="1" x14ac:dyDescent="0.25">
      <c r="A20" s="435"/>
      <c r="B20" s="446"/>
      <c r="C20" s="446"/>
      <c r="D20" s="447" t="s">
        <v>227</v>
      </c>
      <c r="E20" s="448" t="s">
        <v>232</v>
      </c>
      <c r="F20" s="448">
        <v>0.85416666666666663</v>
      </c>
      <c r="G20" s="448">
        <v>0.96527777777777779</v>
      </c>
      <c r="H20" s="46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>
        <v>1</v>
      </c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>
        <f t="shared" si="30"/>
        <v>1</v>
      </c>
      <c r="BQ20" s="15">
        <v>252044</v>
      </c>
      <c r="BR20" s="19">
        <v>0</v>
      </c>
      <c r="BS20" s="20">
        <f>BQ20*(1-BR20)</f>
        <v>252044</v>
      </c>
      <c r="BT20" s="21">
        <f>BS20*BP20</f>
        <v>252044</v>
      </c>
      <c r="BU20" s="22">
        <f>BT20*0.8</f>
        <v>201635.20000000001</v>
      </c>
      <c r="BV20" s="1"/>
      <c r="BW20" s="561">
        <v>8.8000000000000007</v>
      </c>
      <c r="BX20" s="568">
        <f t="shared" si="31"/>
        <v>8.8000000000000007</v>
      </c>
      <c r="BY20" s="452">
        <f t="shared" si="32"/>
        <v>22913.090909090908</v>
      </c>
      <c r="BZ20" s="2"/>
      <c r="CA20" s="453" t="s">
        <v>208</v>
      </c>
      <c r="CB20" s="454">
        <f t="shared" si="26"/>
        <v>0</v>
      </c>
      <c r="CC20" s="455">
        <f t="shared" si="27"/>
        <v>0</v>
      </c>
      <c r="CD20" s="454">
        <f t="shared" si="28"/>
        <v>1</v>
      </c>
      <c r="CE20" s="455">
        <f t="shared" si="29"/>
        <v>201635.20000000001</v>
      </c>
      <c r="CF20" s="427" t="b">
        <f>SUM(CC20,CE20)=BU20</f>
        <v>1</v>
      </c>
    </row>
    <row r="21" spans="1:84" ht="14" customHeight="1" x14ac:dyDescent="0.25">
      <c r="A21" s="435"/>
      <c r="B21" s="446"/>
      <c r="C21" s="446"/>
      <c r="D21" s="447" t="s">
        <v>209</v>
      </c>
      <c r="E21" s="448" t="s">
        <v>230</v>
      </c>
      <c r="F21" s="448">
        <v>4.1666666666666664E-2</v>
      </c>
      <c r="G21" s="448">
        <v>7.6388888888888895E-2</v>
      </c>
      <c r="H21" s="46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>
        <v>1</v>
      </c>
      <c r="AP21" s="12"/>
      <c r="AQ21" s="12">
        <v>1</v>
      </c>
      <c r="AR21" s="12"/>
      <c r="AS21" s="11"/>
      <c r="AT21" s="13"/>
      <c r="AU21" s="13"/>
      <c r="AV21" s="11"/>
      <c r="AW21" s="12">
        <v>1</v>
      </c>
      <c r="AX21" s="12"/>
      <c r="AY21" s="12">
        <v>1</v>
      </c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 t="shared" si="30"/>
        <v>4</v>
      </c>
      <c r="BQ21" s="15">
        <v>43682</v>
      </c>
      <c r="BR21" s="19">
        <v>1</v>
      </c>
      <c r="BS21" s="20">
        <f t="shared" ref="BS21" si="33">BQ21*(1-BR21)</f>
        <v>0</v>
      </c>
      <c r="BT21" s="21">
        <f>BS21*BP21</f>
        <v>0</v>
      </c>
      <c r="BU21" s="22">
        <f t="shared" ref="BU21" si="34">BT21*0.8</f>
        <v>0</v>
      </c>
      <c r="BW21" s="561">
        <v>3.7</v>
      </c>
      <c r="BX21" s="568">
        <f t="shared" si="31"/>
        <v>14.8</v>
      </c>
      <c r="BY21" s="452">
        <f t="shared" si="32"/>
        <v>0</v>
      </c>
      <c r="BZ21" s="2"/>
      <c r="CA21" s="453" t="s">
        <v>208</v>
      </c>
      <c r="CB21" s="454">
        <f t="shared" si="26"/>
        <v>0</v>
      </c>
      <c r="CC21" s="455">
        <f t="shared" si="27"/>
        <v>0</v>
      </c>
      <c r="CD21" s="454">
        <f t="shared" si="28"/>
        <v>4</v>
      </c>
      <c r="CE21" s="455">
        <f t="shared" si="29"/>
        <v>0</v>
      </c>
      <c r="CF21" s="427" t="b">
        <f>SUM(CC21,CE21)=BU21</f>
        <v>1</v>
      </c>
    </row>
    <row r="22" spans="1:84" ht="14" customHeight="1" x14ac:dyDescent="0.25">
      <c r="A22" s="435"/>
      <c r="B22" s="446"/>
      <c r="C22" s="446"/>
      <c r="D22" s="463"/>
      <c r="E22" s="448"/>
      <c r="F22" s="448"/>
      <c r="G22" s="448"/>
      <c r="H22" s="464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449"/>
      <c r="BQ22" s="15"/>
      <c r="BR22" s="19"/>
      <c r="BS22" s="20"/>
      <c r="BT22" s="21"/>
      <c r="BU22" s="22"/>
      <c r="BW22" s="563"/>
      <c r="BX22" s="569"/>
      <c r="BY22" s="465"/>
      <c r="BZ22" s="2"/>
      <c r="CA22" s="453"/>
      <c r="CB22" s="454"/>
      <c r="CC22" s="455"/>
      <c r="CD22" s="454"/>
      <c r="CE22" s="455"/>
    </row>
    <row r="23" spans="1:84" s="458" customFormat="1" ht="14" customHeight="1" x14ac:dyDescent="0.25">
      <c r="A23" s="435"/>
      <c r="B23" s="446"/>
      <c r="C23" s="446"/>
      <c r="D23" s="447" t="s">
        <v>226</v>
      </c>
      <c r="E23" s="448" t="s">
        <v>230</v>
      </c>
      <c r="F23" s="448">
        <v>0.76736111111111116</v>
      </c>
      <c r="G23" s="448">
        <v>0.79861111111111116</v>
      </c>
      <c r="H23" s="46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>
        <v>1</v>
      </c>
      <c r="AI23" s="11"/>
      <c r="AJ23" s="11"/>
      <c r="AK23" s="12">
        <v>1</v>
      </c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>
        <f>SUM(I23:BO23)</f>
        <v>2</v>
      </c>
      <c r="BQ23" s="15">
        <v>163381</v>
      </c>
      <c r="BR23" s="19">
        <v>0</v>
      </c>
      <c r="BS23" s="20">
        <f>BQ23*(1-BR23)</f>
        <v>163381</v>
      </c>
      <c r="BT23" s="21">
        <f>BS23*BP23</f>
        <v>326762</v>
      </c>
      <c r="BU23" s="22">
        <f>BT23*0.8</f>
        <v>261409.6</v>
      </c>
      <c r="BV23" s="1"/>
      <c r="BW23" s="561">
        <v>8.51</v>
      </c>
      <c r="BX23" s="568">
        <f t="shared" ref="BX23:BX25" si="35">BW23*BP23</f>
        <v>17.02</v>
      </c>
      <c r="BY23" s="452">
        <f t="shared" ref="BY23:BY25" si="36">IFERROR(BU23/BX23,0)</f>
        <v>15358.965922444184</v>
      </c>
      <c r="BZ23" s="2"/>
      <c r="CA23" s="453" t="s">
        <v>208</v>
      </c>
      <c r="CB23" s="454">
        <f t="shared" si="26"/>
        <v>2</v>
      </c>
      <c r="CC23" s="455">
        <f t="shared" si="27"/>
        <v>261409.6</v>
      </c>
      <c r="CD23" s="454">
        <f t="shared" si="28"/>
        <v>0</v>
      </c>
      <c r="CE23" s="455">
        <f t="shared" si="29"/>
        <v>0</v>
      </c>
      <c r="CF23" s="427" t="b">
        <f>SUM(CC23,CE23)=BU23</f>
        <v>1</v>
      </c>
    </row>
    <row r="24" spans="1:84" s="458" customFormat="1" ht="14" customHeight="1" x14ac:dyDescent="0.25">
      <c r="A24" s="435"/>
      <c r="B24" s="446"/>
      <c r="C24" s="446"/>
      <c r="D24" s="459" t="s">
        <v>213</v>
      </c>
      <c r="E24" s="448" t="s">
        <v>230</v>
      </c>
      <c r="F24" s="448">
        <v>0.81944444444444442</v>
      </c>
      <c r="G24" s="448">
        <v>0.85416666666666663</v>
      </c>
      <c r="H24" s="46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/>
      <c r="AL24" s="12">
        <v>1</v>
      </c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 t="shared" ref="BP24:BP25" si="37">SUM(I24:BO24)</f>
        <v>2</v>
      </c>
      <c r="BQ24" s="15">
        <v>217403</v>
      </c>
      <c r="BR24" s="19">
        <v>0</v>
      </c>
      <c r="BS24" s="20">
        <f>BQ24*(1-BR24)</f>
        <v>217403</v>
      </c>
      <c r="BT24" s="21">
        <f>BS24*BP24</f>
        <v>434806</v>
      </c>
      <c r="BU24" s="22">
        <f>BT24*0.8</f>
        <v>347844.80000000005</v>
      </c>
      <c r="BV24" s="1"/>
      <c r="BW24" s="561">
        <v>12.33</v>
      </c>
      <c r="BX24" s="568">
        <f t="shared" si="35"/>
        <v>24.66</v>
      </c>
      <c r="BY24" s="452">
        <f t="shared" si="36"/>
        <v>14105.628548256287</v>
      </c>
      <c r="BZ24" s="2"/>
      <c r="CA24" s="453" t="s">
        <v>208</v>
      </c>
      <c r="CB24" s="454">
        <f t="shared" si="26"/>
        <v>2</v>
      </c>
      <c r="CC24" s="455">
        <f t="shared" si="27"/>
        <v>347844.80000000005</v>
      </c>
      <c r="CD24" s="454">
        <f t="shared" si="28"/>
        <v>0</v>
      </c>
      <c r="CE24" s="455">
        <f t="shared" si="29"/>
        <v>0</v>
      </c>
      <c r="CF24" s="427" t="b">
        <f>SUM(CC24,CE24)=BU24</f>
        <v>1</v>
      </c>
    </row>
    <row r="25" spans="1:84" s="458" customFormat="1" ht="14" customHeight="1" x14ac:dyDescent="0.25">
      <c r="A25" s="435"/>
      <c r="B25" s="446"/>
      <c r="C25" s="446"/>
      <c r="D25" s="459" t="s">
        <v>228</v>
      </c>
      <c r="E25" s="448" t="s">
        <v>233</v>
      </c>
      <c r="F25" s="448">
        <v>0.77777777777777779</v>
      </c>
      <c r="G25" s="448">
        <v>0.80902777777777779</v>
      </c>
      <c r="H25" s="46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>
        <v>1</v>
      </c>
      <c r="AN25" s="13"/>
      <c r="AO25" s="11"/>
      <c r="AP25" s="12"/>
      <c r="AQ25" s="12"/>
      <c r="AR25" s="12"/>
      <c r="AS25" s="11"/>
      <c r="AT25" s="13">
        <v>1</v>
      </c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>
        <f t="shared" si="37"/>
        <v>2</v>
      </c>
      <c r="BQ25" s="15">
        <v>172884</v>
      </c>
      <c r="BR25" s="19">
        <v>1</v>
      </c>
      <c r="BS25" s="20">
        <f>BQ25*(1-BR25)</f>
        <v>0</v>
      </c>
      <c r="BT25" s="21">
        <f>BS25*BP25</f>
        <v>0</v>
      </c>
      <c r="BU25" s="22">
        <f>BT25*0.8</f>
        <v>0</v>
      </c>
      <c r="BV25" s="1"/>
      <c r="BW25" s="561">
        <v>11.08</v>
      </c>
      <c r="BX25" s="568">
        <f t="shared" si="35"/>
        <v>22.16</v>
      </c>
      <c r="BY25" s="452">
        <f t="shared" si="36"/>
        <v>0</v>
      </c>
      <c r="BZ25" s="2"/>
      <c r="CA25" s="453" t="s">
        <v>208</v>
      </c>
      <c r="CB25" s="454">
        <f t="shared" si="26"/>
        <v>1</v>
      </c>
      <c r="CC25" s="455">
        <f t="shared" si="27"/>
        <v>0</v>
      </c>
      <c r="CD25" s="454">
        <f t="shared" si="28"/>
        <v>1</v>
      </c>
      <c r="CE25" s="455">
        <f t="shared" si="29"/>
        <v>0</v>
      </c>
      <c r="CF25" s="427" t="b">
        <f>SUM(CC25,CE25)=BU25</f>
        <v>1</v>
      </c>
    </row>
    <row r="26" spans="1:84" s="458" customFormat="1" ht="14" customHeight="1" x14ac:dyDescent="0.25">
      <c r="A26" s="435"/>
      <c r="B26" s="446"/>
      <c r="C26" s="446"/>
      <c r="D26" s="466"/>
      <c r="E26" s="448"/>
      <c r="F26" s="448"/>
      <c r="G26" s="448"/>
      <c r="H26" s="46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449"/>
      <c r="BQ26" s="15"/>
      <c r="BR26" s="456"/>
      <c r="BS26" s="15"/>
      <c r="BT26" s="22"/>
      <c r="BU26" s="22"/>
      <c r="BV26" s="1"/>
      <c r="BW26" s="563"/>
      <c r="BX26" s="569"/>
      <c r="BY26" s="452"/>
      <c r="BZ26" s="2"/>
      <c r="CA26" s="453"/>
      <c r="CB26" s="454"/>
      <c r="CC26" s="455"/>
      <c r="CD26" s="454"/>
      <c r="CE26" s="455"/>
      <c r="CF26" s="427"/>
    </row>
    <row r="27" spans="1:84" s="458" customFormat="1" ht="14" customHeight="1" x14ac:dyDescent="0.25">
      <c r="A27" s="435"/>
      <c r="B27" s="446"/>
      <c r="C27" s="446"/>
      <c r="D27" s="447" t="s">
        <v>225</v>
      </c>
      <c r="E27" s="448" t="s">
        <v>230</v>
      </c>
      <c r="F27" s="448">
        <v>0.88888888888888884</v>
      </c>
      <c r="G27" s="448">
        <v>0.93402777777777779</v>
      </c>
      <c r="H27" s="46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>
        <v>1</v>
      </c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449">
        <f>SUM(I27:BO27)</f>
        <v>1</v>
      </c>
      <c r="BQ27" s="460">
        <f>318624*2</f>
        <v>637248</v>
      </c>
      <c r="BR27" s="19">
        <v>0</v>
      </c>
      <c r="BS27" s="20">
        <f>BQ27*(1-BR27)</f>
        <v>637248</v>
      </c>
      <c r="BT27" s="21">
        <f>BS27*BP27</f>
        <v>637248</v>
      </c>
      <c r="BU27" s="22">
        <f>BT27*0.8</f>
        <v>509798.40000000002</v>
      </c>
      <c r="BV27" s="1"/>
      <c r="BW27" s="561">
        <v>13.35</v>
      </c>
      <c r="BX27" s="568">
        <f t="shared" ref="BX27:BX29" si="38">BW27*BP27</f>
        <v>13.35</v>
      </c>
      <c r="BY27" s="452">
        <f t="shared" ref="BY27:BY29" si="39">IFERROR(BU27/BX27,0)</f>
        <v>38187.146067415735</v>
      </c>
      <c r="BZ27" s="2"/>
      <c r="CA27" s="453" t="s">
        <v>208</v>
      </c>
      <c r="CB27" s="454">
        <f t="shared" si="26"/>
        <v>1</v>
      </c>
      <c r="CC27" s="455">
        <f t="shared" si="27"/>
        <v>509798.40000000002</v>
      </c>
      <c r="CD27" s="454">
        <f t="shared" si="28"/>
        <v>0</v>
      </c>
      <c r="CE27" s="455">
        <f t="shared" si="29"/>
        <v>0</v>
      </c>
      <c r="CF27" s="427" t="b">
        <f>SUM(CC27,CE27)=BU27</f>
        <v>1</v>
      </c>
    </row>
    <row r="28" spans="1:84" s="458" customFormat="1" ht="14" customHeight="1" x14ac:dyDescent="0.25">
      <c r="A28" s="435"/>
      <c r="B28" s="446"/>
      <c r="C28" s="446"/>
      <c r="D28" s="447" t="s">
        <v>234</v>
      </c>
      <c r="E28" s="448" t="s">
        <v>233</v>
      </c>
      <c r="F28" s="448">
        <v>0.88888888888888884</v>
      </c>
      <c r="G28" s="448">
        <v>0.93402777777777779</v>
      </c>
      <c r="H28" s="464">
        <v>60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>
        <v>1</v>
      </c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449">
        <f t="shared" ref="BP28:BP29" si="40">SUM(I28:BO28)</f>
        <v>1</v>
      </c>
      <c r="BQ28" s="15">
        <f>257775*2</f>
        <v>515550</v>
      </c>
      <c r="BR28" s="19">
        <v>0</v>
      </c>
      <c r="BS28" s="20">
        <f>BQ28*(1-BR28)</f>
        <v>515550</v>
      </c>
      <c r="BT28" s="21">
        <f>BS28*BP28</f>
        <v>515550</v>
      </c>
      <c r="BU28" s="22">
        <f>BT28*0.8</f>
        <v>412440</v>
      </c>
      <c r="BV28" s="1"/>
      <c r="BW28" s="561">
        <v>11.18</v>
      </c>
      <c r="BX28" s="568">
        <f t="shared" si="38"/>
        <v>11.18</v>
      </c>
      <c r="BY28" s="452">
        <f t="shared" si="39"/>
        <v>36890.87656529517</v>
      </c>
      <c r="BZ28" s="2"/>
      <c r="CA28" s="453" t="s">
        <v>208</v>
      </c>
      <c r="CB28" s="454">
        <f t="shared" si="26"/>
        <v>1</v>
      </c>
      <c r="CC28" s="455">
        <f t="shared" si="27"/>
        <v>412440</v>
      </c>
      <c r="CD28" s="454">
        <f t="shared" si="28"/>
        <v>0</v>
      </c>
      <c r="CE28" s="455">
        <f t="shared" si="29"/>
        <v>0</v>
      </c>
      <c r="CF28" s="427" t="b">
        <f>SUM(CC28,CE28)=BU28</f>
        <v>1</v>
      </c>
    </row>
    <row r="29" spans="1:84" s="458" customFormat="1" ht="14" customHeight="1" x14ac:dyDescent="0.25">
      <c r="A29" s="435"/>
      <c r="B29" s="446"/>
      <c r="C29" s="446"/>
      <c r="D29" s="459" t="s">
        <v>213</v>
      </c>
      <c r="E29" s="448" t="s">
        <v>230</v>
      </c>
      <c r="F29" s="448">
        <v>0.81944444444444442</v>
      </c>
      <c r="G29" s="448">
        <v>0.85416666666666663</v>
      </c>
      <c r="H29" s="46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449">
        <f t="shared" si="40"/>
        <v>1</v>
      </c>
      <c r="BQ29" s="15">
        <f>217403*2</f>
        <v>434806</v>
      </c>
      <c r="BR29" s="19">
        <v>1</v>
      </c>
      <c r="BS29" s="20">
        <f>BQ29*(1-BR29)</f>
        <v>0</v>
      </c>
      <c r="BT29" s="21">
        <f>BS29*BP29</f>
        <v>0</v>
      </c>
      <c r="BU29" s="22">
        <f>BT29*0.8</f>
        <v>0</v>
      </c>
      <c r="BV29" s="1"/>
      <c r="BW29" s="561">
        <v>12.33</v>
      </c>
      <c r="BX29" s="568">
        <f t="shared" si="38"/>
        <v>12.33</v>
      </c>
      <c r="BY29" s="452">
        <f t="shared" si="39"/>
        <v>0</v>
      </c>
      <c r="BZ29" s="2"/>
      <c r="CA29" s="453" t="s">
        <v>208</v>
      </c>
      <c r="CB29" s="454">
        <f t="shared" si="26"/>
        <v>1</v>
      </c>
      <c r="CC29" s="455">
        <f t="shared" si="27"/>
        <v>0</v>
      </c>
      <c r="CD29" s="454">
        <f t="shared" si="28"/>
        <v>0</v>
      </c>
      <c r="CE29" s="455">
        <f t="shared" si="29"/>
        <v>0</v>
      </c>
      <c r="CF29" s="427" t="b">
        <f>SUM(CC29,CE29)=BU29</f>
        <v>1</v>
      </c>
    </row>
    <row r="30" spans="1:84" s="458" customFormat="1" ht="14" customHeight="1" x14ac:dyDescent="0.25">
      <c r="A30" s="435"/>
      <c r="B30" s="446"/>
      <c r="C30" s="446"/>
      <c r="D30" s="466"/>
      <c r="E30" s="448"/>
      <c r="F30" s="448"/>
      <c r="G30" s="448"/>
      <c r="H30" s="464"/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/>
      <c r="AI30" s="11"/>
      <c r="AJ30" s="11"/>
      <c r="AK30" s="12"/>
      <c r="AL30" s="12"/>
      <c r="AM30" s="13"/>
      <c r="AN30" s="13"/>
      <c r="AO30" s="11"/>
      <c r="AP30" s="12"/>
      <c r="AQ30" s="12"/>
      <c r="AR30" s="12"/>
      <c r="AS30" s="11"/>
      <c r="AT30" s="13"/>
      <c r="AU30" s="13"/>
      <c r="AV30" s="11"/>
      <c r="AW30" s="12"/>
      <c r="AX30" s="12"/>
      <c r="AY30" s="12"/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449"/>
      <c r="BQ30" s="15"/>
      <c r="BR30" s="456"/>
      <c r="BS30" s="15"/>
      <c r="BT30" s="22"/>
      <c r="BU30" s="22"/>
      <c r="BV30" s="1"/>
      <c r="BW30" s="563"/>
      <c r="BX30" s="569"/>
      <c r="BY30" s="452"/>
      <c r="BZ30" s="2"/>
      <c r="CA30" s="453"/>
      <c r="CB30" s="454"/>
      <c r="CC30" s="455"/>
      <c r="CD30" s="454"/>
      <c r="CE30" s="455"/>
      <c r="CF30" s="427"/>
    </row>
    <row r="31" spans="1:84" s="458" customFormat="1" ht="14" customHeight="1" x14ac:dyDescent="0.25">
      <c r="A31" s="435"/>
      <c r="B31" s="446"/>
      <c r="C31" s="446"/>
      <c r="D31" s="447" t="s">
        <v>355</v>
      </c>
      <c r="E31" s="448" t="s">
        <v>230</v>
      </c>
      <c r="F31" s="448">
        <v>0.85416666666666663</v>
      </c>
      <c r="G31" s="448">
        <v>0.88888888888888884</v>
      </c>
      <c r="H31" s="46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>
        <v>1</v>
      </c>
      <c r="AD31" s="12"/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449">
        <f>SUM(I31:BO31)</f>
        <v>1</v>
      </c>
      <c r="BQ31" s="15">
        <f>(316309*2)*1.2</f>
        <v>759141.6</v>
      </c>
      <c r="BR31" s="19">
        <v>0.1</v>
      </c>
      <c r="BS31" s="20">
        <f>BQ31*(1-BR31)</f>
        <v>683227.44</v>
      </c>
      <c r="BT31" s="21">
        <f>BS31*BP31</f>
        <v>683227.44</v>
      </c>
      <c r="BU31" s="22">
        <f>BT31*0.8</f>
        <v>546581.95199999993</v>
      </c>
      <c r="BV31" s="1"/>
      <c r="BW31" s="561">
        <v>13.07</v>
      </c>
      <c r="BX31" s="568">
        <f>BW31*BP31</f>
        <v>13.07</v>
      </c>
      <c r="BY31" s="452">
        <f>IFERROR(BU31/BX31,0)</f>
        <v>41819.583167559293</v>
      </c>
      <c r="BZ31" s="2"/>
      <c r="CA31" s="453" t="s">
        <v>208</v>
      </c>
      <c r="CB31" s="454">
        <f t="shared" si="26"/>
        <v>1</v>
      </c>
      <c r="CC31" s="455">
        <f t="shared" si="27"/>
        <v>546581.95199999993</v>
      </c>
      <c r="CD31" s="454">
        <f t="shared" si="28"/>
        <v>0</v>
      </c>
      <c r="CE31" s="455">
        <f t="shared" si="29"/>
        <v>0</v>
      </c>
      <c r="CF31" s="427" t="b">
        <f>SUM(CC31,CE31)=BU31</f>
        <v>1</v>
      </c>
    </row>
    <row r="32" spans="1:84" s="427" customFormat="1" ht="14" customHeight="1" x14ac:dyDescent="0.25">
      <c r="A32" s="435"/>
      <c r="B32" s="488"/>
      <c r="C32" s="489"/>
      <c r="D32" s="490"/>
      <c r="E32" s="490"/>
      <c r="F32" s="490"/>
      <c r="G32" s="490"/>
      <c r="H32" s="49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78"/>
      <c r="BQ32" s="15"/>
      <c r="BR32" s="19"/>
      <c r="BS32" s="20"/>
      <c r="BT32" s="21"/>
      <c r="BU32" s="21"/>
      <c r="BV32" s="1"/>
      <c r="BW32" s="561"/>
      <c r="BX32" s="568"/>
      <c r="BY32" s="21"/>
      <c r="BZ32" s="2"/>
      <c r="CA32" s="494" t="s">
        <v>152</v>
      </c>
      <c r="CB32" s="495">
        <f>SUM(CB13:CB31)</f>
        <v>12</v>
      </c>
      <c r="CC32" s="496">
        <f>SUM(CC13:CC31)</f>
        <v>2587873.1520000002</v>
      </c>
      <c r="CD32" s="495">
        <f>SUM(CD13:CD31)</f>
        <v>11</v>
      </c>
      <c r="CE32" s="496">
        <f>SUM(CE13:CE31)</f>
        <v>976449.60000000009</v>
      </c>
    </row>
    <row r="33" spans="1:84" ht="14" customHeight="1" x14ac:dyDescent="0.25">
      <c r="A33" s="435"/>
      <c r="B33" s="461"/>
      <c r="C33" s="446" t="s">
        <v>17</v>
      </c>
      <c r="D33" s="447" t="s">
        <v>237</v>
      </c>
      <c r="E33" s="448" t="s">
        <v>230</v>
      </c>
      <c r="F33" s="448">
        <v>0.375</v>
      </c>
      <c r="G33" s="448" t="s">
        <v>241</v>
      </c>
      <c r="H33" s="46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/>
      <c r="AJ33" s="11"/>
      <c r="AK33" s="12">
        <v>1</v>
      </c>
      <c r="AL33" s="12"/>
      <c r="AM33" s="13"/>
      <c r="AN33" s="13"/>
      <c r="AO33" s="11"/>
      <c r="AP33" s="12"/>
      <c r="AQ33" s="12"/>
      <c r="AR33" s="12">
        <v>1</v>
      </c>
      <c r="AS33" s="11"/>
      <c r="AT33" s="13"/>
      <c r="AU33" s="13"/>
      <c r="AV33" s="11"/>
      <c r="AW33" s="12"/>
      <c r="AX33" s="12"/>
      <c r="AY33" s="12">
        <v>1</v>
      </c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449">
        <f>SUM(I33:BO33)</f>
        <v>3</v>
      </c>
      <c r="BQ33" s="15">
        <v>18884</v>
      </c>
      <c r="BR33" s="19">
        <v>0.85</v>
      </c>
      <c r="BS33" s="20">
        <f>BQ33*(1-BR33)</f>
        <v>2832.6000000000004</v>
      </c>
      <c r="BT33" s="21">
        <f>BS33*BP33</f>
        <v>8497.8000000000011</v>
      </c>
      <c r="BU33" s="21">
        <f t="shared" ref="BU33:BU34" si="41">BT33*0.8</f>
        <v>6798.2400000000016</v>
      </c>
      <c r="BW33" s="561">
        <v>0.24</v>
      </c>
      <c r="BX33" s="568">
        <f t="shared" ref="BX33:BX43" si="42">BW33*BP33</f>
        <v>0.72</v>
      </c>
      <c r="BY33" s="452">
        <f t="shared" ref="BY33:BY43" si="43">IFERROR(BU33/BX33,0)</f>
        <v>9442.0000000000018</v>
      </c>
      <c r="BZ33" s="2"/>
      <c r="CA33" s="453" t="s">
        <v>17</v>
      </c>
      <c r="CB33" s="454">
        <f t="shared" ref="CB33:CB43" si="44">COUNTA(I33:AM33)</f>
        <v>1</v>
      </c>
      <c r="CC33" s="455">
        <f t="shared" ref="CC33:CC43" si="45">CB33*BS33*0.8</f>
        <v>2266.0800000000004</v>
      </c>
      <c r="CD33" s="454">
        <f t="shared" ref="CD33:CD43" si="46">COUNTA(AN33:BO33)</f>
        <v>2</v>
      </c>
      <c r="CE33" s="455">
        <f t="shared" ref="CE33:CE43" si="47">CD33*BS33*0.8</f>
        <v>4532.1600000000008</v>
      </c>
      <c r="CF33" s="427" t="b">
        <f>SUM(CC33,CE33)=BU33</f>
        <v>1</v>
      </c>
    </row>
    <row r="34" spans="1:84" s="458" customFormat="1" ht="14" customHeight="1" x14ac:dyDescent="0.25">
      <c r="A34" s="435"/>
      <c r="B34" s="446"/>
      <c r="C34" s="446"/>
      <c r="D34" s="459" t="s">
        <v>237</v>
      </c>
      <c r="E34" s="448" t="s">
        <v>230</v>
      </c>
      <c r="F34" s="448">
        <v>0.375</v>
      </c>
      <c r="G34" s="448" t="s">
        <v>241</v>
      </c>
      <c r="H34" s="46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>
        <v>1</v>
      </c>
      <c r="AE34" s="11"/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449">
        <f>SUM(I34:BO34)</f>
        <v>1</v>
      </c>
      <c r="BQ34" s="460">
        <v>37768</v>
      </c>
      <c r="BR34" s="19">
        <v>0.85</v>
      </c>
      <c r="BS34" s="20">
        <f t="shared" ref="BS34" si="48">BQ34*(1-BR34)</f>
        <v>5665.2000000000007</v>
      </c>
      <c r="BT34" s="21">
        <f t="shared" ref="BT34" si="49">BS34*BP34</f>
        <v>5665.2000000000007</v>
      </c>
      <c r="BU34" s="22">
        <f t="shared" si="41"/>
        <v>4532.1600000000008</v>
      </c>
      <c r="BV34" s="1"/>
      <c r="BW34" s="561">
        <v>0.24</v>
      </c>
      <c r="BX34" s="568">
        <f t="shared" si="42"/>
        <v>0.24</v>
      </c>
      <c r="BY34" s="452">
        <f t="shared" si="43"/>
        <v>18884.000000000004</v>
      </c>
      <c r="BZ34" s="2"/>
      <c r="CA34" s="453" t="s">
        <v>17</v>
      </c>
      <c r="CB34" s="454">
        <f t="shared" si="44"/>
        <v>1</v>
      </c>
      <c r="CC34" s="455">
        <f t="shared" si="45"/>
        <v>4532.1600000000008</v>
      </c>
      <c r="CD34" s="454">
        <f t="shared" si="46"/>
        <v>0</v>
      </c>
      <c r="CE34" s="455">
        <f t="shared" si="47"/>
        <v>0</v>
      </c>
      <c r="CF34" s="427" t="b">
        <f>SUM(CC34,CE34)=BU34</f>
        <v>1</v>
      </c>
    </row>
    <row r="35" spans="1:84" s="458" customFormat="1" ht="14" customHeight="1" x14ac:dyDescent="0.25">
      <c r="A35" s="435"/>
      <c r="B35" s="446"/>
      <c r="C35" s="446"/>
      <c r="D35" s="447" t="s">
        <v>238</v>
      </c>
      <c r="E35" s="448" t="s">
        <v>231</v>
      </c>
      <c r="F35" s="448">
        <v>0.66666666666666663</v>
      </c>
      <c r="G35" s="448" t="s">
        <v>242</v>
      </c>
      <c r="H35" s="46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/>
      <c r="AI35" s="11"/>
      <c r="AJ35" s="11"/>
      <c r="AK35" s="12"/>
      <c r="AL35" s="12">
        <v>1</v>
      </c>
      <c r="AM35" s="13"/>
      <c r="AN35" s="13"/>
      <c r="AO35" s="11"/>
      <c r="AP35" s="12"/>
      <c r="AQ35" s="12"/>
      <c r="AR35" s="12"/>
      <c r="AS35" s="11">
        <v>1</v>
      </c>
      <c r="AT35" s="13"/>
      <c r="AU35" s="13"/>
      <c r="AV35" s="11"/>
      <c r="AW35" s="12"/>
      <c r="AX35" s="12"/>
      <c r="AY35" s="12"/>
      <c r="AZ35" s="11">
        <v>1</v>
      </c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449">
        <f t="shared" ref="BP35:BP43" si="50">SUM(I35:BO35)</f>
        <v>3</v>
      </c>
      <c r="BQ35" s="460">
        <v>66878</v>
      </c>
      <c r="BR35" s="19">
        <v>0.85</v>
      </c>
      <c r="BS35" s="20">
        <f t="shared" ref="BS35:BS43" si="51">BQ35*(1-BR35)</f>
        <v>10031.700000000001</v>
      </c>
      <c r="BT35" s="21">
        <f t="shared" ref="BT35:BT43" si="52">BS35*BP35</f>
        <v>30095.100000000002</v>
      </c>
      <c r="BU35" s="22">
        <f t="shared" ref="BU35:BU43" si="53">BT35*0.8</f>
        <v>24076.080000000002</v>
      </c>
      <c r="BV35" s="1"/>
      <c r="BW35" s="561">
        <v>1.43</v>
      </c>
      <c r="BX35" s="568">
        <f t="shared" si="42"/>
        <v>4.29</v>
      </c>
      <c r="BY35" s="452">
        <f t="shared" si="43"/>
        <v>5612.1398601398605</v>
      </c>
      <c r="BZ35" s="2"/>
      <c r="CA35" s="453" t="s">
        <v>17</v>
      </c>
      <c r="CB35" s="454">
        <f t="shared" si="44"/>
        <v>1</v>
      </c>
      <c r="CC35" s="455">
        <f t="shared" si="45"/>
        <v>8025.3600000000006</v>
      </c>
      <c r="CD35" s="454">
        <f t="shared" si="46"/>
        <v>2</v>
      </c>
      <c r="CE35" s="455">
        <f t="shared" si="47"/>
        <v>16050.720000000001</v>
      </c>
      <c r="CF35" s="427" t="b">
        <f t="shared" ref="CF35:CF42" si="54">SUM(CC35,CE35)=BU35</f>
        <v>1</v>
      </c>
    </row>
    <row r="36" spans="1:84" ht="14" customHeight="1" x14ac:dyDescent="0.25">
      <c r="A36" s="435"/>
      <c r="B36" s="446"/>
      <c r="C36" s="446"/>
      <c r="D36" s="447" t="s">
        <v>238</v>
      </c>
      <c r="E36" s="448" t="s">
        <v>231</v>
      </c>
      <c r="F36" s="448">
        <v>0.66666666666666663</v>
      </c>
      <c r="G36" s="448" t="s">
        <v>242</v>
      </c>
      <c r="H36" s="46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/>
      <c r="AE36" s="11">
        <v>1</v>
      </c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449">
        <f t="shared" si="50"/>
        <v>1</v>
      </c>
      <c r="BQ36" s="460">
        <v>133756</v>
      </c>
      <c r="BR36" s="19">
        <v>0.85</v>
      </c>
      <c r="BS36" s="20">
        <f t="shared" si="51"/>
        <v>20063.400000000001</v>
      </c>
      <c r="BT36" s="21">
        <f t="shared" si="52"/>
        <v>20063.400000000001</v>
      </c>
      <c r="BU36" s="22">
        <f t="shared" si="53"/>
        <v>16050.720000000001</v>
      </c>
      <c r="BW36" s="561">
        <v>1.43</v>
      </c>
      <c r="BX36" s="568">
        <f t="shared" si="42"/>
        <v>1.43</v>
      </c>
      <c r="BY36" s="452">
        <f t="shared" si="43"/>
        <v>11224.279720279721</v>
      </c>
      <c r="BZ36" s="2"/>
      <c r="CA36" s="453" t="s">
        <v>17</v>
      </c>
      <c r="CB36" s="454">
        <f t="shared" si="44"/>
        <v>1</v>
      </c>
      <c r="CC36" s="455">
        <f t="shared" si="45"/>
        <v>16050.720000000001</v>
      </c>
      <c r="CD36" s="454">
        <f t="shared" si="46"/>
        <v>0</v>
      </c>
      <c r="CE36" s="455">
        <f t="shared" si="47"/>
        <v>0</v>
      </c>
      <c r="CF36" s="427" t="b">
        <f t="shared" si="54"/>
        <v>1</v>
      </c>
    </row>
    <row r="37" spans="1:84" ht="14" customHeight="1" x14ac:dyDescent="0.25">
      <c r="A37" s="435"/>
      <c r="B37" s="446"/>
      <c r="C37" s="446"/>
      <c r="D37" s="463" t="s">
        <v>239</v>
      </c>
      <c r="E37" s="448" t="s">
        <v>232</v>
      </c>
      <c r="F37" s="448">
        <v>0.95833333333333337</v>
      </c>
      <c r="G37" s="448" t="s">
        <v>243</v>
      </c>
      <c r="H37" s="464">
        <v>30</v>
      </c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>
        <v>1</v>
      </c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449">
        <f t="shared" si="50"/>
        <v>1</v>
      </c>
      <c r="BQ37" s="460">
        <v>34546</v>
      </c>
      <c r="BR37" s="19">
        <v>0.85</v>
      </c>
      <c r="BS37" s="20">
        <f t="shared" si="51"/>
        <v>5181.9000000000005</v>
      </c>
      <c r="BT37" s="21">
        <f t="shared" si="52"/>
        <v>5181.9000000000005</v>
      </c>
      <c r="BU37" s="22">
        <f t="shared" si="53"/>
        <v>4145.5200000000004</v>
      </c>
      <c r="BW37" s="561">
        <v>0.21</v>
      </c>
      <c r="BX37" s="568">
        <f t="shared" si="42"/>
        <v>0.21</v>
      </c>
      <c r="BY37" s="452">
        <f t="shared" si="43"/>
        <v>19740.571428571431</v>
      </c>
      <c r="BZ37" s="2"/>
      <c r="CA37" s="453" t="s">
        <v>17</v>
      </c>
      <c r="CB37" s="454">
        <f t="shared" si="44"/>
        <v>0</v>
      </c>
      <c r="CC37" s="455">
        <f t="shared" si="45"/>
        <v>0</v>
      </c>
      <c r="CD37" s="454">
        <f t="shared" si="46"/>
        <v>1</v>
      </c>
      <c r="CE37" s="455">
        <f t="shared" si="47"/>
        <v>4145.5200000000004</v>
      </c>
      <c r="CF37" s="427" t="b">
        <f t="shared" si="54"/>
        <v>1</v>
      </c>
    </row>
    <row r="38" spans="1:84" s="458" customFormat="1" ht="14" customHeight="1" x14ac:dyDescent="0.25">
      <c r="A38" s="435"/>
      <c r="B38" s="446"/>
      <c r="C38" s="446"/>
      <c r="D38" s="466" t="s">
        <v>239</v>
      </c>
      <c r="E38" s="448" t="s">
        <v>232</v>
      </c>
      <c r="F38" s="448">
        <v>0.95833333333333337</v>
      </c>
      <c r="G38" s="448" t="s">
        <v>243</v>
      </c>
      <c r="H38" s="464">
        <v>60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>
        <v>1</v>
      </c>
      <c r="AH38" s="11"/>
      <c r="AI38" s="11"/>
      <c r="AJ38" s="11"/>
      <c r="AK38" s="12"/>
      <c r="AL38" s="12"/>
      <c r="AM38" s="13"/>
      <c r="AN38" s="13"/>
      <c r="AO38" s="11"/>
      <c r="AP38" s="12"/>
      <c r="AQ38" s="12"/>
      <c r="AR38" s="12"/>
      <c r="AS38" s="11"/>
      <c r="AT38" s="13"/>
      <c r="AU38" s="13"/>
      <c r="AV38" s="11"/>
      <c r="AW38" s="12"/>
      <c r="AX38" s="12"/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449">
        <f t="shared" si="50"/>
        <v>1</v>
      </c>
      <c r="BQ38" s="460">
        <v>69092</v>
      </c>
      <c r="BR38" s="19">
        <v>0.85</v>
      </c>
      <c r="BS38" s="20">
        <f t="shared" si="51"/>
        <v>10363.800000000001</v>
      </c>
      <c r="BT38" s="21">
        <f t="shared" si="52"/>
        <v>10363.800000000001</v>
      </c>
      <c r="BU38" s="22">
        <f t="shared" si="53"/>
        <v>8291.0400000000009</v>
      </c>
      <c r="BV38" s="1"/>
      <c r="BW38" s="561">
        <v>0.21</v>
      </c>
      <c r="BX38" s="568">
        <f t="shared" si="42"/>
        <v>0.21</v>
      </c>
      <c r="BY38" s="452">
        <f t="shared" si="43"/>
        <v>39481.142857142862</v>
      </c>
      <c r="BZ38" s="2"/>
      <c r="CA38" s="453" t="s">
        <v>17</v>
      </c>
      <c r="CB38" s="454">
        <f t="shared" si="44"/>
        <v>1</v>
      </c>
      <c r="CC38" s="455">
        <f t="shared" si="45"/>
        <v>8291.0400000000009</v>
      </c>
      <c r="CD38" s="454">
        <f t="shared" si="46"/>
        <v>0</v>
      </c>
      <c r="CE38" s="455">
        <f t="shared" si="47"/>
        <v>0</v>
      </c>
      <c r="CF38" s="427" t="b">
        <f t="shared" si="54"/>
        <v>1</v>
      </c>
    </row>
    <row r="39" spans="1:84" s="458" customFormat="1" ht="14" customHeight="1" x14ac:dyDescent="0.25">
      <c r="A39" s="435"/>
      <c r="B39" s="446"/>
      <c r="C39" s="446"/>
      <c r="D39" s="466" t="s">
        <v>240</v>
      </c>
      <c r="E39" s="448" t="s">
        <v>230</v>
      </c>
      <c r="F39" s="448">
        <v>1.0416666666666666E-2</v>
      </c>
      <c r="G39" s="448" t="s">
        <v>244</v>
      </c>
      <c r="H39" s="464">
        <v>30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/>
      <c r="AE39" s="11"/>
      <c r="AF39" s="13"/>
      <c r="AG39" s="13"/>
      <c r="AH39" s="11"/>
      <c r="AI39" s="11"/>
      <c r="AJ39" s="11">
        <v>1</v>
      </c>
      <c r="AK39" s="12"/>
      <c r="AL39" s="12"/>
      <c r="AM39" s="13"/>
      <c r="AN39" s="13"/>
      <c r="AO39" s="11"/>
      <c r="AP39" s="12"/>
      <c r="AQ39" s="12">
        <v>1</v>
      </c>
      <c r="AR39" s="12"/>
      <c r="AS39" s="11"/>
      <c r="AT39" s="13"/>
      <c r="AU39" s="13"/>
      <c r="AV39" s="11"/>
      <c r="AW39" s="12"/>
      <c r="AX39" s="12">
        <v>1</v>
      </c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449">
        <f t="shared" si="50"/>
        <v>3</v>
      </c>
      <c r="BQ39" s="460">
        <v>36271</v>
      </c>
      <c r="BR39" s="19">
        <v>0.85</v>
      </c>
      <c r="BS39" s="20">
        <f t="shared" si="51"/>
        <v>5440.6500000000005</v>
      </c>
      <c r="BT39" s="21">
        <f t="shared" si="52"/>
        <v>16321.95</v>
      </c>
      <c r="BU39" s="22">
        <f t="shared" si="53"/>
        <v>13057.560000000001</v>
      </c>
      <c r="BV39" s="1"/>
      <c r="BW39" s="561">
        <v>0.34</v>
      </c>
      <c r="BX39" s="568">
        <f t="shared" si="42"/>
        <v>1.02</v>
      </c>
      <c r="BY39" s="452">
        <f t="shared" si="43"/>
        <v>12801.529411764706</v>
      </c>
      <c r="BZ39" s="2"/>
      <c r="CA39" s="453" t="s">
        <v>17</v>
      </c>
      <c r="CB39" s="454">
        <f t="shared" si="44"/>
        <v>1</v>
      </c>
      <c r="CC39" s="455">
        <f t="shared" si="45"/>
        <v>4352.5200000000004</v>
      </c>
      <c r="CD39" s="454">
        <f t="shared" si="46"/>
        <v>2</v>
      </c>
      <c r="CE39" s="455">
        <f t="shared" si="47"/>
        <v>8705.0400000000009</v>
      </c>
      <c r="CF39" s="427" t="b">
        <f t="shared" si="54"/>
        <v>1</v>
      </c>
    </row>
    <row r="40" spans="1:84" s="458" customFormat="1" ht="14" customHeight="1" x14ac:dyDescent="0.25">
      <c r="A40" s="435"/>
      <c r="B40" s="446"/>
      <c r="C40" s="446"/>
      <c r="D40" s="447" t="s">
        <v>240</v>
      </c>
      <c r="E40" s="448" t="s">
        <v>230</v>
      </c>
      <c r="F40" s="448">
        <v>1.0416666666666666E-2</v>
      </c>
      <c r="G40" s="448" t="s">
        <v>244</v>
      </c>
      <c r="H40" s="464">
        <v>60</v>
      </c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>
        <v>1</v>
      </c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449">
        <f t="shared" si="50"/>
        <v>1</v>
      </c>
      <c r="BQ40" s="460">
        <v>72542</v>
      </c>
      <c r="BR40" s="19">
        <v>0.85</v>
      </c>
      <c r="BS40" s="20">
        <f t="shared" si="51"/>
        <v>10881.300000000001</v>
      </c>
      <c r="BT40" s="21">
        <f t="shared" si="52"/>
        <v>10881.300000000001</v>
      </c>
      <c r="BU40" s="22">
        <f t="shared" si="53"/>
        <v>8705.0400000000009</v>
      </c>
      <c r="BV40" s="1"/>
      <c r="BW40" s="561">
        <v>0.34</v>
      </c>
      <c r="BX40" s="568">
        <f t="shared" si="42"/>
        <v>0.34</v>
      </c>
      <c r="BY40" s="452">
        <f t="shared" si="43"/>
        <v>25603.058823529413</v>
      </c>
      <c r="BZ40" s="2"/>
      <c r="CA40" s="453" t="s">
        <v>17</v>
      </c>
      <c r="CB40" s="454">
        <f t="shared" si="44"/>
        <v>1</v>
      </c>
      <c r="CC40" s="455">
        <f t="shared" si="45"/>
        <v>8705.0400000000009</v>
      </c>
      <c r="CD40" s="454">
        <f t="shared" si="46"/>
        <v>0</v>
      </c>
      <c r="CE40" s="455">
        <f t="shared" si="47"/>
        <v>0</v>
      </c>
      <c r="CF40" s="427" t="b">
        <f t="shared" si="54"/>
        <v>1</v>
      </c>
    </row>
    <row r="41" spans="1:84" ht="14" customHeight="1" x14ac:dyDescent="0.25">
      <c r="A41" s="435"/>
      <c r="B41" s="446"/>
      <c r="C41" s="446"/>
      <c r="D41" s="447" t="s">
        <v>226</v>
      </c>
      <c r="E41" s="448" t="s">
        <v>230</v>
      </c>
      <c r="F41" s="448">
        <v>0.29166666666666669</v>
      </c>
      <c r="G41" s="448" t="s">
        <v>245</v>
      </c>
      <c r="H41" s="46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/>
      <c r="AJ41" s="11"/>
      <c r="AK41" s="12"/>
      <c r="AL41" s="12"/>
      <c r="AM41" s="13"/>
      <c r="AN41" s="13"/>
      <c r="AO41" s="11"/>
      <c r="AP41" s="12"/>
      <c r="AQ41" s="12"/>
      <c r="AR41" s="12"/>
      <c r="AS41" s="11"/>
      <c r="AT41" s="13"/>
      <c r="AU41" s="13"/>
      <c r="AV41" s="11"/>
      <c r="AW41" s="12"/>
      <c r="AX41" s="12"/>
      <c r="AY41" s="12"/>
      <c r="AZ41" s="11"/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449">
        <f t="shared" si="50"/>
        <v>0</v>
      </c>
      <c r="BQ41" s="460">
        <v>16564</v>
      </c>
      <c r="BR41" s="19">
        <v>0.85</v>
      </c>
      <c r="BS41" s="20">
        <f t="shared" si="51"/>
        <v>2484.6000000000004</v>
      </c>
      <c r="BT41" s="21">
        <f t="shared" si="52"/>
        <v>0</v>
      </c>
      <c r="BU41" s="22">
        <f t="shared" si="53"/>
        <v>0</v>
      </c>
      <c r="BW41" s="561">
        <v>0.1</v>
      </c>
      <c r="BX41" s="568">
        <f t="shared" si="42"/>
        <v>0</v>
      </c>
      <c r="BY41" s="452">
        <f t="shared" si="43"/>
        <v>0</v>
      </c>
      <c r="BZ41" s="2"/>
      <c r="CA41" s="453" t="s">
        <v>17</v>
      </c>
      <c r="CB41" s="454">
        <f t="shared" si="44"/>
        <v>0</v>
      </c>
      <c r="CC41" s="455">
        <f t="shared" si="45"/>
        <v>0</v>
      </c>
      <c r="CD41" s="454">
        <f t="shared" si="46"/>
        <v>0</v>
      </c>
      <c r="CE41" s="455">
        <f t="shared" si="47"/>
        <v>0</v>
      </c>
      <c r="CF41" s="427" t="b">
        <f t="shared" si="54"/>
        <v>1</v>
      </c>
    </row>
    <row r="42" spans="1:84" ht="14" customHeight="1" x14ac:dyDescent="0.25">
      <c r="A42" s="435"/>
      <c r="B42" s="446"/>
      <c r="C42" s="446"/>
      <c r="D42" s="463" t="s">
        <v>213</v>
      </c>
      <c r="E42" s="448" t="s">
        <v>230</v>
      </c>
      <c r="F42" s="448">
        <v>0.85416666666666663</v>
      </c>
      <c r="G42" s="448" t="s">
        <v>246</v>
      </c>
      <c r="H42" s="464">
        <v>30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/>
      <c r="AF42" s="13"/>
      <c r="AG42" s="13"/>
      <c r="AH42" s="11">
        <v>1</v>
      </c>
      <c r="AI42" s="11"/>
      <c r="AJ42" s="11"/>
      <c r="AK42" s="12"/>
      <c r="AL42" s="12"/>
      <c r="AM42" s="13"/>
      <c r="AN42" s="13"/>
      <c r="AO42" s="11">
        <v>1</v>
      </c>
      <c r="AP42" s="12"/>
      <c r="AQ42" s="12"/>
      <c r="AR42" s="12"/>
      <c r="AS42" s="11"/>
      <c r="AT42" s="13"/>
      <c r="AU42" s="13"/>
      <c r="AV42" s="11">
        <v>1</v>
      </c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449">
        <f t="shared" si="50"/>
        <v>3</v>
      </c>
      <c r="BQ42" s="460">
        <v>118356</v>
      </c>
      <c r="BR42" s="19">
        <v>0.85</v>
      </c>
      <c r="BS42" s="20">
        <f t="shared" si="51"/>
        <v>17753.400000000001</v>
      </c>
      <c r="BT42" s="21">
        <f t="shared" si="52"/>
        <v>53260.200000000004</v>
      </c>
      <c r="BU42" s="22">
        <f t="shared" si="53"/>
        <v>42608.160000000003</v>
      </c>
      <c r="BW42" s="561">
        <v>0.71</v>
      </c>
      <c r="BX42" s="568">
        <f t="shared" si="42"/>
        <v>2.13</v>
      </c>
      <c r="BY42" s="452">
        <f t="shared" si="43"/>
        <v>20003.830985915494</v>
      </c>
      <c r="BZ42" s="2"/>
      <c r="CA42" s="453" t="s">
        <v>17</v>
      </c>
      <c r="CB42" s="454">
        <f t="shared" si="44"/>
        <v>1</v>
      </c>
      <c r="CC42" s="455">
        <f t="shared" si="45"/>
        <v>14202.720000000001</v>
      </c>
      <c r="CD42" s="454">
        <f t="shared" si="46"/>
        <v>2</v>
      </c>
      <c r="CE42" s="455">
        <f t="shared" si="47"/>
        <v>28405.440000000002</v>
      </c>
      <c r="CF42" s="427" t="b">
        <f t="shared" si="54"/>
        <v>1</v>
      </c>
    </row>
    <row r="43" spans="1:84" s="458" customFormat="1" ht="14" customHeight="1" x14ac:dyDescent="0.25">
      <c r="A43" s="435"/>
      <c r="B43" s="446"/>
      <c r="C43" s="446"/>
      <c r="D43" s="447" t="s">
        <v>213</v>
      </c>
      <c r="E43" s="448" t="s">
        <v>230</v>
      </c>
      <c r="F43" s="448">
        <v>0.85416666666666663</v>
      </c>
      <c r="G43" s="448" t="s">
        <v>246</v>
      </c>
      <c r="H43" s="464">
        <v>60</v>
      </c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>
        <v>1</v>
      </c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449">
        <f t="shared" si="50"/>
        <v>1</v>
      </c>
      <c r="BQ43" s="460">
        <v>236712</v>
      </c>
      <c r="BR43" s="19">
        <v>0.85</v>
      </c>
      <c r="BS43" s="20">
        <f t="shared" si="51"/>
        <v>35506.800000000003</v>
      </c>
      <c r="BT43" s="21">
        <f t="shared" si="52"/>
        <v>35506.800000000003</v>
      </c>
      <c r="BU43" s="22">
        <f t="shared" si="53"/>
        <v>28405.440000000002</v>
      </c>
      <c r="BV43" s="1"/>
      <c r="BW43" s="561">
        <v>0.71</v>
      </c>
      <c r="BX43" s="568">
        <f t="shared" si="42"/>
        <v>0.71</v>
      </c>
      <c r="BY43" s="452">
        <f t="shared" si="43"/>
        <v>40007.661971830988</v>
      </c>
      <c r="BZ43" s="2"/>
      <c r="CA43" s="453" t="s">
        <v>17</v>
      </c>
      <c r="CB43" s="454">
        <f t="shared" si="44"/>
        <v>1</v>
      </c>
      <c r="CC43" s="455">
        <f t="shared" si="45"/>
        <v>28405.440000000002</v>
      </c>
      <c r="CD43" s="454">
        <f t="shared" si="46"/>
        <v>0</v>
      </c>
      <c r="CE43" s="455">
        <f t="shared" si="47"/>
        <v>0</v>
      </c>
      <c r="CF43" s="427" t="b">
        <f>SUM(CC43,CE43)=BU43</f>
        <v>1</v>
      </c>
    </row>
    <row r="44" spans="1:84" s="458" customFormat="1" ht="14" customHeight="1" x14ac:dyDescent="0.25">
      <c r="A44" s="435"/>
      <c r="B44" s="446"/>
      <c r="C44" s="446"/>
      <c r="D44" s="459"/>
      <c r="E44" s="448"/>
      <c r="F44" s="448"/>
      <c r="G44" s="448"/>
      <c r="H44" s="464"/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/>
      <c r="AI44" s="11"/>
      <c r="AJ44" s="11"/>
      <c r="AK44" s="12"/>
      <c r="AL44" s="12"/>
      <c r="AM44" s="13"/>
      <c r="AN44" s="13"/>
      <c r="AO44" s="11"/>
      <c r="AP44" s="12"/>
      <c r="AQ44" s="12"/>
      <c r="AR44" s="12"/>
      <c r="AS44" s="11"/>
      <c r="AT44" s="13"/>
      <c r="AU44" s="13"/>
      <c r="AV44" s="11"/>
      <c r="AW44" s="12"/>
      <c r="AX44" s="12"/>
      <c r="AY44" s="12"/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449"/>
      <c r="BQ44" s="15"/>
      <c r="BR44" s="19"/>
      <c r="BS44" s="20"/>
      <c r="BT44" s="21"/>
      <c r="BU44" s="22"/>
      <c r="BV44" s="1"/>
      <c r="BW44" s="563"/>
      <c r="BX44" s="569"/>
      <c r="BY44" s="452"/>
      <c r="BZ44" s="2"/>
      <c r="CA44" s="494" t="s">
        <v>152</v>
      </c>
      <c r="CB44" s="495">
        <f>SUM(CB33:CB43)</f>
        <v>9</v>
      </c>
      <c r="CC44" s="496">
        <f>SUM(CC33:CC43)</f>
        <v>94831.080000000016</v>
      </c>
      <c r="CD44" s="495">
        <f>SUM(CD33:CD43)</f>
        <v>9</v>
      </c>
      <c r="CE44" s="496">
        <f>SUM(CE33:CE43)</f>
        <v>61838.880000000005</v>
      </c>
      <c r="CF44" s="427"/>
    </row>
    <row r="45" spans="1:84" s="458" customFormat="1" ht="14" customHeight="1" x14ac:dyDescent="0.25">
      <c r="A45" s="435"/>
      <c r="B45" s="446"/>
      <c r="C45" s="446" t="s">
        <v>254</v>
      </c>
      <c r="D45" s="459" t="s">
        <v>247</v>
      </c>
      <c r="E45" s="448" t="s">
        <v>233</v>
      </c>
      <c r="F45" s="448">
        <v>0.875</v>
      </c>
      <c r="G45" s="448" t="s">
        <v>255</v>
      </c>
      <c r="H45" s="464">
        <v>30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/>
      <c r="AE45" s="11"/>
      <c r="AF45" s="13"/>
      <c r="AG45" s="13"/>
      <c r="AH45" s="11"/>
      <c r="AI45" s="11"/>
      <c r="AJ45" s="11"/>
      <c r="AK45" s="12"/>
      <c r="AL45" s="12"/>
      <c r="AM45" s="13">
        <v>1</v>
      </c>
      <c r="AN45" s="13"/>
      <c r="AO45" s="11"/>
      <c r="AP45" s="12"/>
      <c r="AQ45" s="12"/>
      <c r="AR45" s="12"/>
      <c r="AS45" s="11"/>
      <c r="AT45" s="13">
        <v>1</v>
      </c>
      <c r="AU45" s="13"/>
      <c r="AV45" s="11"/>
      <c r="AW45" s="12"/>
      <c r="AX45" s="12"/>
      <c r="AY45" s="12"/>
      <c r="AZ45" s="11"/>
      <c r="BA45" s="13">
        <v>1</v>
      </c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449">
        <f t="shared" ref="BP45:BP56" si="55">SUM(I45:BO45)</f>
        <v>3</v>
      </c>
      <c r="BQ45" s="460">
        <v>68258</v>
      </c>
      <c r="BR45" s="19">
        <v>0.8</v>
      </c>
      <c r="BS45" s="20">
        <f t="shared" ref="BS45:BS56" si="56">BQ45*(1-BR45)</f>
        <v>13651.599999999997</v>
      </c>
      <c r="BT45" s="21">
        <f t="shared" ref="BT45:BT56" si="57">BS45*BP45</f>
        <v>40954.799999999988</v>
      </c>
      <c r="BU45" s="22">
        <f t="shared" ref="BU45:BU56" si="58">BT45*0.8</f>
        <v>32763.839999999993</v>
      </c>
      <c r="BV45" s="1"/>
      <c r="BW45" s="561">
        <v>2.19</v>
      </c>
      <c r="BX45" s="568">
        <f t="shared" ref="BX45:BX56" si="59">BW45*BP45</f>
        <v>6.57</v>
      </c>
      <c r="BY45" s="452">
        <f t="shared" ref="BY45:BY56" si="60">IFERROR(BU45/BX45,0)</f>
        <v>4986.8858447488574</v>
      </c>
      <c r="BZ45" s="2"/>
      <c r="CA45" s="453" t="s">
        <v>254</v>
      </c>
      <c r="CB45" s="454">
        <f t="shared" ref="CB45:CB56" si="61">COUNTA(I45:AM45)</f>
        <v>1</v>
      </c>
      <c r="CC45" s="455">
        <f t="shared" ref="CC45:CC56" si="62">CB45*BS45*0.8</f>
        <v>10921.279999999999</v>
      </c>
      <c r="CD45" s="454">
        <f t="shared" ref="CD45:CD56" si="63">COUNTA(AN45:BO45)</f>
        <v>2</v>
      </c>
      <c r="CE45" s="455">
        <f t="shared" ref="CE45:CE56" si="64">CD45*BS45*0.8</f>
        <v>21842.559999999998</v>
      </c>
      <c r="CF45" s="427" t="b">
        <f t="shared" ref="CF45:CF56" si="65">SUM(CC45,CE45)=BU45</f>
        <v>1</v>
      </c>
    </row>
    <row r="46" spans="1:84" s="458" customFormat="1" ht="14" customHeight="1" x14ac:dyDescent="0.25">
      <c r="A46" s="435"/>
      <c r="B46" s="446"/>
      <c r="C46" s="446"/>
      <c r="D46" s="466" t="s">
        <v>247</v>
      </c>
      <c r="E46" s="448" t="s">
        <v>233</v>
      </c>
      <c r="F46" s="448">
        <v>0.875</v>
      </c>
      <c r="G46" s="448" t="s">
        <v>255</v>
      </c>
      <c r="H46" s="464">
        <v>60</v>
      </c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>
        <v>1</v>
      </c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449">
        <f t="shared" si="55"/>
        <v>1</v>
      </c>
      <c r="BQ46" s="460">
        <v>136516</v>
      </c>
      <c r="BR46" s="19">
        <v>0.8</v>
      </c>
      <c r="BS46" s="20">
        <f t="shared" si="56"/>
        <v>27303.199999999993</v>
      </c>
      <c r="BT46" s="21">
        <f t="shared" si="57"/>
        <v>27303.199999999993</v>
      </c>
      <c r="BU46" s="22">
        <f t="shared" si="58"/>
        <v>21842.559999999998</v>
      </c>
      <c r="BV46" s="1"/>
      <c r="BW46" s="561">
        <v>2.19</v>
      </c>
      <c r="BX46" s="568">
        <f t="shared" si="59"/>
        <v>2.19</v>
      </c>
      <c r="BY46" s="452">
        <f t="shared" si="60"/>
        <v>9973.7716894977166</v>
      </c>
      <c r="BZ46" s="2"/>
      <c r="CA46" s="453" t="s">
        <v>254</v>
      </c>
      <c r="CB46" s="454">
        <f t="shared" si="61"/>
        <v>1</v>
      </c>
      <c r="CC46" s="455">
        <f t="shared" si="62"/>
        <v>21842.559999999998</v>
      </c>
      <c r="CD46" s="454">
        <f t="shared" si="63"/>
        <v>0</v>
      </c>
      <c r="CE46" s="455">
        <f t="shared" si="64"/>
        <v>0</v>
      </c>
      <c r="CF46" s="427" t="b">
        <f t="shared" si="65"/>
        <v>1</v>
      </c>
    </row>
    <row r="47" spans="1:84" s="458" customFormat="1" ht="14" customHeight="1" x14ac:dyDescent="0.25">
      <c r="A47" s="435"/>
      <c r="B47" s="446"/>
      <c r="C47" s="446"/>
      <c r="D47" s="447" t="s">
        <v>248</v>
      </c>
      <c r="E47" s="448" t="s">
        <v>232</v>
      </c>
      <c r="F47" s="448">
        <v>0.75</v>
      </c>
      <c r="G47" s="448" t="s">
        <v>256</v>
      </c>
      <c r="H47" s="464">
        <v>30</v>
      </c>
      <c r="I47" s="11"/>
      <c r="J47" s="11"/>
      <c r="K47" s="13"/>
      <c r="L47" s="13"/>
      <c r="M47" s="11"/>
      <c r="N47" s="12"/>
      <c r="O47" s="12"/>
      <c r="P47" s="12"/>
      <c r="Q47" s="11"/>
      <c r="R47" s="13"/>
      <c r="S47" s="13"/>
      <c r="T47" s="11"/>
      <c r="U47" s="12"/>
      <c r="V47" s="12"/>
      <c r="W47" s="12"/>
      <c r="X47" s="11"/>
      <c r="Y47" s="13"/>
      <c r="Z47" s="13"/>
      <c r="AA47" s="11"/>
      <c r="AB47" s="12"/>
      <c r="AC47" s="12"/>
      <c r="AD47" s="12"/>
      <c r="AE47" s="11"/>
      <c r="AF47" s="13"/>
      <c r="AG47" s="13"/>
      <c r="AH47" s="11"/>
      <c r="AI47" s="11"/>
      <c r="AJ47" s="11"/>
      <c r="AK47" s="12"/>
      <c r="AL47" s="12"/>
      <c r="AM47" s="13"/>
      <c r="AN47" s="13">
        <v>1</v>
      </c>
      <c r="AO47" s="11"/>
      <c r="AP47" s="12"/>
      <c r="AQ47" s="12"/>
      <c r="AR47" s="12"/>
      <c r="AS47" s="11"/>
      <c r="AT47" s="13"/>
      <c r="AU47" s="13">
        <v>1</v>
      </c>
      <c r="AV47" s="11"/>
      <c r="AW47" s="12"/>
      <c r="AX47" s="12"/>
      <c r="AY47" s="12"/>
      <c r="AZ47" s="11"/>
      <c r="BA47" s="13"/>
      <c r="BB47" s="13">
        <v>1</v>
      </c>
      <c r="BC47" s="11"/>
      <c r="BD47" s="12"/>
      <c r="BE47" s="12"/>
      <c r="BF47" s="12"/>
      <c r="BG47" s="11"/>
      <c r="BH47" s="13"/>
      <c r="BI47" s="13"/>
      <c r="BJ47" s="11"/>
      <c r="BK47" s="12"/>
      <c r="BL47" s="12"/>
      <c r="BM47" s="12"/>
      <c r="BN47" s="11"/>
      <c r="BO47" s="13"/>
      <c r="BP47" s="449">
        <f t="shared" si="55"/>
        <v>3</v>
      </c>
      <c r="BQ47" s="460">
        <v>393224</v>
      </c>
      <c r="BR47" s="19">
        <v>0.8</v>
      </c>
      <c r="BS47" s="20">
        <f t="shared" si="56"/>
        <v>78644.799999999988</v>
      </c>
      <c r="BT47" s="21">
        <f t="shared" si="57"/>
        <v>235934.39999999997</v>
      </c>
      <c r="BU47" s="22">
        <f t="shared" si="58"/>
        <v>188747.51999999999</v>
      </c>
      <c r="BV47" s="1"/>
      <c r="BW47" s="561">
        <v>3.05</v>
      </c>
      <c r="BX47" s="568">
        <f t="shared" si="59"/>
        <v>9.1499999999999986</v>
      </c>
      <c r="BY47" s="452">
        <f t="shared" si="60"/>
        <v>20628.144262295085</v>
      </c>
      <c r="BZ47" s="2"/>
      <c r="CA47" s="453" t="s">
        <v>254</v>
      </c>
      <c r="CB47" s="454">
        <f t="shared" si="61"/>
        <v>0</v>
      </c>
      <c r="CC47" s="455">
        <f t="shared" si="62"/>
        <v>0</v>
      </c>
      <c r="CD47" s="454">
        <f t="shared" si="63"/>
        <v>3</v>
      </c>
      <c r="CE47" s="455">
        <f t="shared" si="64"/>
        <v>188747.51999999999</v>
      </c>
      <c r="CF47" s="427" t="b">
        <f t="shared" si="65"/>
        <v>1</v>
      </c>
    </row>
    <row r="48" spans="1:84" s="458" customFormat="1" ht="14" customHeight="1" x14ac:dyDescent="0.25">
      <c r="A48" s="435"/>
      <c r="B48" s="446"/>
      <c r="C48" s="446"/>
      <c r="D48" s="447" t="s">
        <v>248</v>
      </c>
      <c r="E48" s="448" t="s">
        <v>232</v>
      </c>
      <c r="F48" s="448">
        <v>0.75</v>
      </c>
      <c r="G48" s="448" t="s">
        <v>256</v>
      </c>
      <c r="H48" s="464">
        <v>60</v>
      </c>
      <c r="I48" s="11"/>
      <c r="J48" s="11"/>
      <c r="K48" s="13"/>
      <c r="L48" s="13"/>
      <c r="M48" s="11"/>
      <c r="N48" s="12"/>
      <c r="O48" s="12"/>
      <c r="P48" s="12"/>
      <c r="Q48" s="11"/>
      <c r="R48" s="13"/>
      <c r="S48" s="13"/>
      <c r="T48" s="11"/>
      <c r="U48" s="12"/>
      <c r="V48" s="12"/>
      <c r="W48" s="12"/>
      <c r="X48" s="11"/>
      <c r="Y48" s="13"/>
      <c r="Z48" s="13"/>
      <c r="AA48" s="11"/>
      <c r="AB48" s="12"/>
      <c r="AC48" s="12"/>
      <c r="AD48" s="12"/>
      <c r="AE48" s="11"/>
      <c r="AF48" s="13"/>
      <c r="AG48" s="13">
        <v>1</v>
      </c>
      <c r="AH48" s="11"/>
      <c r="AI48" s="11"/>
      <c r="AJ48" s="11"/>
      <c r="AK48" s="12"/>
      <c r="AL48" s="12"/>
      <c r="AM48" s="13"/>
      <c r="AN48" s="13"/>
      <c r="AO48" s="11"/>
      <c r="AP48" s="12"/>
      <c r="AQ48" s="12"/>
      <c r="AR48" s="12"/>
      <c r="AS48" s="11"/>
      <c r="AT48" s="13"/>
      <c r="AU48" s="13"/>
      <c r="AV48" s="11"/>
      <c r="AW48" s="12"/>
      <c r="AX48" s="12"/>
      <c r="AY48" s="12"/>
      <c r="AZ48" s="11"/>
      <c r="BA48" s="13"/>
      <c r="BB48" s="13"/>
      <c r="BC48" s="11"/>
      <c r="BD48" s="12"/>
      <c r="BE48" s="12"/>
      <c r="BF48" s="12"/>
      <c r="BG48" s="11"/>
      <c r="BH48" s="13"/>
      <c r="BI48" s="13"/>
      <c r="BJ48" s="11"/>
      <c r="BK48" s="12"/>
      <c r="BL48" s="12"/>
      <c r="BM48" s="12"/>
      <c r="BN48" s="11"/>
      <c r="BO48" s="13"/>
      <c r="BP48" s="449">
        <f t="shared" si="55"/>
        <v>1</v>
      </c>
      <c r="BQ48" s="460">
        <v>786448</v>
      </c>
      <c r="BR48" s="19">
        <v>0.8</v>
      </c>
      <c r="BS48" s="20">
        <f t="shared" si="56"/>
        <v>157289.59999999998</v>
      </c>
      <c r="BT48" s="21">
        <f t="shared" si="57"/>
        <v>157289.59999999998</v>
      </c>
      <c r="BU48" s="22">
        <f t="shared" si="58"/>
        <v>125831.67999999999</v>
      </c>
      <c r="BV48" s="1"/>
      <c r="BW48" s="561">
        <v>3.05</v>
      </c>
      <c r="BX48" s="568">
        <f t="shared" si="59"/>
        <v>3.05</v>
      </c>
      <c r="BY48" s="452">
        <f t="shared" si="60"/>
        <v>41256.288524590163</v>
      </c>
      <c r="BZ48" s="2"/>
      <c r="CA48" s="453" t="s">
        <v>254</v>
      </c>
      <c r="CB48" s="454">
        <f t="shared" si="61"/>
        <v>1</v>
      </c>
      <c r="CC48" s="455">
        <f t="shared" si="62"/>
        <v>125831.67999999999</v>
      </c>
      <c r="CD48" s="454">
        <f t="shared" si="63"/>
        <v>0</v>
      </c>
      <c r="CE48" s="455">
        <f t="shared" si="64"/>
        <v>0</v>
      </c>
      <c r="CF48" s="427" t="b">
        <f t="shared" si="65"/>
        <v>1</v>
      </c>
    </row>
    <row r="49" spans="1:84" s="458" customFormat="1" ht="14" customHeight="1" x14ac:dyDescent="0.25">
      <c r="A49" s="435"/>
      <c r="B49" s="446"/>
      <c r="C49" s="446"/>
      <c r="D49" s="459" t="s">
        <v>249</v>
      </c>
      <c r="E49" s="448" t="s">
        <v>230</v>
      </c>
      <c r="F49" s="448">
        <v>0.35416666666666669</v>
      </c>
      <c r="G49" s="448" t="s">
        <v>257</v>
      </c>
      <c r="H49" s="464">
        <v>30</v>
      </c>
      <c r="I49" s="11"/>
      <c r="J49" s="11"/>
      <c r="K49" s="13"/>
      <c r="L49" s="13"/>
      <c r="M49" s="11"/>
      <c r="N49" s="12"/>
      <c r="O49" s="12"/>
      <c r="P49" s="12"/>
      <c r="Q49" s="11"/>
      <c r="R49" s="13"/>
      <c r="S49" s="13"/>
      <c r="T49" s="11"/>
      <c r="U49" s="12"/>
      <c r="V49" s="12"/>
      <c r="W49" s="12"/>
      <c r="X49" s="11"/>
      <c r="Y49" s="13"/>
      <c r="Z49" s="13"/>
      <c r="AA49" s="11"/>
      <c r="AB49" s="12"/>
      <c r="AC49" s="12"/>
      <c r="AD49" s="12"/>
      <c r="AE49" s="11"/>
      <c r="AF49" s="13"/>
      <c r="AG49" s="13"/>
      <c r="AH49" s="11"/>
      <c r="AI49" s="11"/>
      <c r="AJ49" s="11">
        <v>1</v>
      </c>
      <c r="AK49" s="12"/>
      <c r="AL49" s="12"/>
      <c r="AM49" s="13"/>
      <c r="AN49" s="13"/>
      <c r="AO49" s="11"/>
      <c r="AP49" s="12"/>
      <c r="AQ49" s="12">
        <v>1</v>
      </c>
      <c r="AR49" s="12"/>
      <c r="AS49" s="11"/>
      <c r="AT49" s="13"/>
      <c r="AU49" s="13"/>
      <c r="AV49" s="11"/>
      <c r="AW49" s="12"/>
      <c r="AX49" s="12">
        <v>1</v>
      </c>
      <c r="AY49" s="12"/>
      <c r="AZ49" s="11"/>
      <c r="BA49" s="13"/>
      <c r="BB49" s="13"/>
      <c r="BC49" s="11"/>
      <c r="BD49" s="12"/>
      <c r="BE49" s="12"/>
      <c r="BF49" s="12"/>
      <c r="BG49" s="11"/>
      <c r="BH49" s="13"/>
      <c r="BI49" s="13"/>
      <c r="BJ49" s="11"/>
      <c r="BK49" s="12"/>
      <c r="BL49" s="12"/>
      <c r="BM49" s="12"/>
      <c r="BN49" s="11"/>
      <c r="BO49" s="13"/>
      <c r="BP49" s="449">
        <f t="shared" si="55"/>
        <v>3</v>
      </c>
      <c r="BQ49" s="460">
        <v>88342</v>
      </c>
      <c r="BR49" s="19">
        <v>0.8</v>
      </c>
      <c r="BS49" s="20">
        <f t="shared" si="56"/>
        <v>17668.399999999998</v>
      </c>
      <c r="BT49" s="21">
        <f t="shared" si="57"/>
        <v>53005.2</v>
      </c>
      <c r="BU49" s="22">
        <f t="shared" si="58"/>
        <v>42404.160000000003</v>
      </c>
      <c r="BV49" s="1"/>
      <c r="BW49" s="561">
        <v>1.95</v>
      </c>
      <c r="BX49" s="568">
        <f t="shared" si="59"/>
        <v>5.85</v>
      </c>
      <c r="BY49" s="452">
        <f t="shared" si="60"/>
        <v>7248.5743589743597</v>
      </c>
      <c r="BZ49" s="2"/>
      <c r="CA49" s="453" t="s">
        <v>254</v>
      </c>
      <c r="CB49" s="454">
        <f t="shared" si="61"/>
        <v>1</v>
      </c>
      <c r="CC49" s="455">
        <f t="shared" si="62"/>
        <v>14134.72</v>
      </c>
      <c r="CD49" s="454">
        <f t="shared" si="63"/>
        <v>2</v>
      </c>
      <c r="CE49" s="455">
        <f t="shared" si="64"/>
        <v>28269.439999999999</v>
      </c>
      <c r="CF49" s="427" t="b">
        <f t="shared" si="65"/>
        <v>1</v>
      </c>
    </row>
    <row r="50" spans="1:84" s="458" customFormat="1" ht="14" customHeight="1" x14ac:dyDescent="0.25">
      <c r="A50" s="435"/>
      <c r="B50" s="446"/>
      <c r="C50" s="446"/>
      <c r="D50" s="466" t="s">
        <v>249</v>
      </c>
      <c r="E50" s="448" t="s">
        <v>230</v>
      </c>
      <c r="F50" s="448">
        <v>0.35416666666666669</v>
      </c>
      <c r="G50" s="448" t="s">
        <v>257</v>
      </c>
      <c r="H50" s="464">
        <v>60</v>
      </c>
      <c r="I50" s="11"/>
      <c r="J50" s="11"/>
      <c r="K50" s="13"/>
      <c r="L50" s="13"/>
      <c r="M50" s="11"/>
      <c r="N50" s="12"/>
      <c r="O50" s="12"/>
      <c r="P50" s="12"/>
      <c r="Q50" s="11"/>
      <c r="R50" s="13"/>
      <c r="S50" s="13"/>
      <c r="T50" s="11"/>
      <c r="U50" s="12"/>
      <c r="V50" s="12"/>
      <c r="W50" s="12"/>
      <c r="X50" s="11"/>
      <c r="Y50" s="13"/>
      <c r="Z50" s="13"/>
      <c r="AA50" s="11"/>
      <c r="AB50" s="12"/>
      <c r="AC50" s="12"/>
      <c r="AD50" s="12"/>
      <c r="AE50" s="11">
        <v>1</v>
      </c>
      <c r="AF50" s="13"/>
      <c r="AG50" s="13"/>
      <c r="AH50" s="11"/>
      <c r="AI50" s="11"/>
      <c r="AJ50" s="11"/>
      <c r="AK50" s="12"/>
      <c r="AL50" s="12"/>
      <c r="AM50" s="13"/>
      <c r="AN50" s="13"/>
      <c r="AO50" s="11"/>
      <c r="AP50" s="12"/>
      <c r="AQ50" s="12"/>
      <c r="AR50" s="12"/>
      <c r="AS50" s="11"/>
      <c r="AT50" s="13"/>
      <c r="AU50" s="13"/>
      <c r="AV50" s="11"/>
      <c r="AW50" s="12"/>
      <c r="AX50" s="12"/>
      <c r="AY50" s="12"/>
      <c r="AZ50" s="11"/>
      <c r="BA50" s="13"/>
      <c r="BB50" s="13"/>
      <c r="BC50" s="11"/>
      <c r="BD50" s="12"/>
      <c r="BE50" s="12"/>
      <c r="BF50" s="12"/>
      <c r="BG50" s="11"/>
      <c r="BH50" s="13"/>
      <c r="BI50" s="13"/>
      <c r="BJ50" s="11"/>
      <c r="BK50" s="12"/>
      <c r="BL50" s="12"/>
      <c r="BM50" s="12"/>
      <c r="BN50" s="11"/>
      <c r="BO50" s="13"/>
      <c r="BP50" s="449">
        <f t="shared" si="55"/>
        <v>1</v>
      </c>
      <c r="BQ50" s="460">
        <v>176684</v>
      </c>
      <c r="BR50" s="19">
        <v>0.8</v>
      </c>
      <c r="BS50" s="20">
        <f t="shared" si="56"/>
        <v>35336.799999999996</v>
      </c>
      <c r="BT50" s="21">
        <f t="shared" si="57"/>
        <v>35336.799999999996</v>
      </c>
      <c r="BU50" s="22">
        <f t="shared" si="58"/>
        <v>28269.439999999999</v>
      </c>
      <c r="BV50" s="1"/>
      <c r="BW50" s="561">
        <v>1.95</v>
      </c>
      <c r="BX50" s="568">
        <f t="shared" si="59"/>
        <v>1.95</v>
      </c>
      <c r="BY50" s="452">
        <f t="shared" si="60"/>
        <v>14497.148717948718</v>
      </c>
      <c r="BZ50" s="2"/>
      <c r="CA50" s="453" t="s">
        <v>254</v>
      </c>
      <c r="CB50" s="454">
        <f t="shared" si="61"/>
        <v>1</v>
      </c>
      <c r="CC50" s="455">
        <f t="shared" si="62"/>
        <v>28269.439999999999</v>
      </c>
      <c r="CD50" s="454">
        <f t="shared" si="63"/>
        <v>0</v>
      </c>
      <c r="CE50" s="455">
        <f t="shared" si="64"/>
        <v>0</v>
      </c>
      <c r="CF50" s="427" t="b">
        <f t="shared" si="65"/>
        <v>1</v>
      </c>
    </row>
    <row r="51" spans="1:84" s="458" customFormat="1" ht="14" customHeight="1" x14ac:dyDescent="0.25">
      <c r="A51" s="435"/>
      <c r="B51" s="446"/>
      <c r="C51" s="446"/>
      <c r="D51" s="447" t="s">
        <v>250</v>
      </c>
      <c r="E51" s="448" t="s">
        <v>230</v>
      </c>
      <c r="F51" s="448">
        <v>0.39930555555555558</v>
      </c>
      <c r="G51" s="448" t="s">
        <v>258</v>
      </c>
      <c r="H51" s="464">
        <v>30</v>
      </c>
      <c r="I51" s="11"/>
      <c r="J51" s="11"/>
      <c r="K51" s="13"/>
      <c r="L51" s="13"/>
      <c r="M51" s="11"/>
      <c r="N51" s="12"/>
      <c r="O51" s="12"/>
      <c r="P51" s="12"/>
      <c r="Q51" s="11"/>
      <c r="R51" s="13"/>
      <c r="S51" s="13"/>
      <c r="T51" s="11"/>
      <c r="U51" s="12"/>
      <c r="V51" s="12"/>
      <c r="W51" s="12"/>
      <c r="X51" s="11"/>
      <c r="Y51" s="13"/>
      <c r="Z51" s="13"/>
      <c r="AA51" s="11"/>
      <c r="AB51" s="12"/>
      <c r="AC51" s="12"/>
      <c r="AD51" s="12"/>
      <c r="AE51" s="11"/>
      <c r="AF51" s="13"/>
      <c r="AG51" s="13"/>
      <c r="AH51" s="11"/>
      <c r="AI51" s="11">
        <v>1</v>
      </c>
      <c r="AJ51" s="11"/>
      <c r="AK51" s="12"/>
      <c r="AL51" s="12"/>
      <c r="AM51" s="13"/>
      <c r="AN51" s="13"/>
      <c r="AO51" s="11"/>
      <c r="AP51" s="12">
        <v>1</v>
      </c>
      <c r="AQ51" s="12"/>
      <c r="AR51" s="12"/>
      <c r="AS51" s="11"/>
      <c r="AT51" s="13"/>
      <c r="AU51" s="13"/>
      <c r="AV51" s="11"/>
      <c r="AW51" s="12">
        <v>1</v>
      </c>
      <c r="AX51" s="12"/>
      <c r="AY51" s="12"/>
      <c r="AZ51" s="11"/>
      <c r="BA51" s="13"/>
      <c r="BB51" s="13"/>
      <c r="BC51" s="11"/>
      <c r="BD51" s="12"/>
      <c r="BE51" s="12"/>
      <c r="BF51" s="12"/>
      <c r="BG51" s="11"/>
      <c r="BH51" s="13"/>
      <c r="BI51" s="13"/>
      <c r="BJ51" s="11"/>
      <c r="BK51" s="12"/>
      <c r="BL51" s="12"/>
      <c r="BM51" s="12"/>
      <c r="BN51" s="11"/>
      <c r="BO51" s="13"/>
      <c r="BP51" s="449">
        <f t="shared" si="55"/>
        <v>3</v>
      </c>
      <c r="BQ51" s="460">
        <v>68116</v>
      </c>
      <c r="BR51" s="19">
        <v>0.8</v>
      </c>
      <c r="BS51" s="20">
        <f t="shared" si="56"/>
        <v>13623.199999999997</v>
      </c>
      <c r="BT51" s="21">
        <f t="shared" si="57"/>
        <v>40869.599999999991</v>
      </c>
      <c r="BU51" s="22">
        <f t="shared" si="58"/>
        <v>32695.679999999993</v>
      </c>
      <c r="BV51" s="1"/>
      <c r="BW51" s="561">
        <v>2.0099999999999998</v>
      </c>
      <c r="BX51" s="568">
        <f t="shared" si="59"/>
        <v>6.0299999999999994</v>
      </c>
      <c r="BY51" s="452">
        <f t="shared" si="60"/>
        <v>5422.1691542288554</v>
      </c>
      <c r="BZ51" s="2"/>
      <c r="CA51" s="453" t="s">
        <v>254</v>
      </c>
      <c r="CB51" s="454">
        <f t="shared" si="61"/>
        <v>1</v>
      </c>
      <c r="CC51" s="455">
        <f t="shared" si="62"/>
        <v>10898.559999999998</v>
      </c>
      <c r="CD51" s="454">
        <f t="shared" si="63"/>
        <v>2</v>
      </c>
      <c r="CE51" s="455">
        <f t="shared" si="64"/>
        <v>21797.119999999995</v>
      </c>
      <c r="CF51" s="427" t="b">
        <f t="shared" si="65"/>
        <v>1</v>
      </c>
    </row>
    <row r="52" spans="1:84" s="458" customFormat="1" ht="14" customHeight="1" x14ac:dyDescent="0.25">
      <c r="A52" s="435"/>
      <c r="B52" s="446"/>
      <c r="C52" s="446"/>
      <c r="D52" s="459" t="s">
        <v>251</v>
      </c>
      <c r="E52" s="448" t="s">
        <v>230</v>
      </c>
      <c r="F52" s="448">
        <v>0.91666666666666663</v>
      </c>
      <c r="G52" s="448" t="s">
        <v>255</v>
      </c>
      <c r="H52" s="464">
        <v>30</v>
      </c>
      <c r="I52" s="11"/>
      <c r="J52" s="11"/>
      <c r="K52" s="13"/>
      <c r="L52" s="13"/>
      <c r="M52" s="11"/>
      <c r="N52" s="12"/>
      <c r="O52" s="12"/>
      <c r="P52" s="12"/>
      <c r="Q52" s="11"/>
      <c r="R52" s="13"/>
      <c r="S52" s="13"/>
      <c r="T52" s="11"/>
      <c r="U52" s="12"/>
      <c r="V52" s="12"/>
      <c r="W52" s="12"/>
      <c r="X52" s="11"/>
      <c r="Y52" s="13"/>
      <c r="Z52" s="13"/>
      <c r="AA52" s="11"/>
      <c r="AB52" s="12"/>
      <c r="AC52" s="12"/>
      <c r="AD52" s="12"/>
      <c r="AE52" s="11"/>
      <c r="AF52" s="13"/>
      <c r="AG52" s="13"/>
      <c r="AH52" s="11"/>
      <c r="AI52" s="11"/>
      <c r="AJ52" s="11"/>
      <c r="AK52" s="12">
        <v>1</v>
      </c>
      <c r="AL52" s="12"/>
      <c r="AM52" s="13"/>
      <c r="AN52" s="13"/>
      <c r="AO52" s="11"/>
      <c r="AP52" s="12"/>
      <c r="AQ52" s="12"/>
      <c r="AR52" s="12">
        <v>1</v>
      </c>
      <c r="AS52" s="11"/>
      <c r="AT52" s="13"/>
      <c r="AU52" s="13"/>
      <c r="AV52" s="11"/>
      <c r="AW52" s="12"/>
      <c r="AX52" s="12"/>
      <c r="AY52" s="12">
        <v>1</v>
      </c>
      <c r="AZ52" s="11"/>
      <c r="BA52" s="13"/>
      <c r="BB52" s="13"/>
      <c r="BC52" s="11"/>
      <c r="BD52" s="12"/>
      <c r="BE52" s="12"/>
      <c r="BF52" s="12"/>
      <c r="BG52" s="11"/>
      <c r="BH52" s="13"/>
      <c r="BI52" s="13"/>
      <c r="BJ52" s="11"/>
      <c r="BK52" s="12"/>
      <c r="BL52" s="12"/>
      <c r="BM52" s="12"/>
      <c r="BN52" s="11"/>
      <c r="BO52" s="13"/>
      <c r="BP52" s="449">
        <f t="shared" si="55"/>
        <v>3</v>
      </c>
      <c r="BQ52" s="460">
        <v>235310</v>
      </c>
      <c r="BR52" s="19">
        <v>0.8</v>
      </c>
      <c r="BS52" s="20">
        <f t="shared" si="56"/>
        <v>47061.999999999993</v>
      </c>
      <c r="BT52" s="21">
        <f t="shared" si="57"/>
        <v>141185.99999999997</v>
      </c>
      <c r="BU52" s="22">
        <f t="shared" si="58"/>
        <v>112948.79999999999</v>
      </c>
      <c r="BV52" s="1"/>
      <c r="BW52" s="561">
        <v>2.27</v>
      </c>
      <c r="BX52" s="568">
        <f t="shared" si="59"/>
        <v>6.8100000000000005</v>
      </c>
      <c r="BY52" s="452">
        <f t="shared" si="60"/>
        <v>16585.726872246694</v>
      </c>
      <c r="BZ52" s="2"/>
      <c r="CA52" s="453" t="s">
        <v>254</v>
      </c>
      <c r="CB52" s="454">
        <f t="shared" si="61"/>
        <v>1</v>
      </c>
      <c r="CC52" s="455">
        <f t="shared" si="62"/>
        <v>37649.599999999999</v>
      </c>
      <c r="CD52" s="454">
        <f t="shared" si="63"/>
        <v>2</v>
      </c>
      <c r="CE52" s="455">
        <f t="shared" si="64"/>
        <v>75299.199999999997</v>
      </c>
      <c r="CF52" s="427" t="b">
        <f t="shared" si="65"/>
        <v>1</v>
      </c>
    </row>
    <row r="53" spans="1:84" s="458" customFormat="1" ht="14" customHeight="1" x14ac:dyDescent="0.25">
      <c r="A53" s="435"/>
      <c r="B53" s="446"/>
      <c r="C53" s="446"/>
      <c r="D53" s="466" t="s">
        <v>251</v>
      </c>
      <c r="E53" s="448" t="s">
        <v>230</v>
      </c>
      <c r="F53" s="448">
        <v>0.91666666666666663</v>
      </c>
      <c r="G53" s="448" t="s">
        <v>255</v>
      </c>
      <c r="H53" s="464">
        <v>60</v>
      </c>
      <c r="I53" s="11"/>
      <c r="J53" s="11"/>
      <c r="K53" s="13"/>
      <c r="L53" s="13"/>
      <c r="M53" s="11"/>
      <c r="N53" s="12"/>
      <c r="O53" s="12"/>
      <c r="P53" s="12"/>
      <c r="Q53" s="11"/>
      <c r="R53" s="13"/>
      <c r="S53" s="13"/>
      <c r="T53" s="11"/>
      <c r="U53" s="12"/>
      <c r="V53" s="12"/>
      <c r="W53" s="12"/>
      <c r="X53" s="11"/>
      <c r="Y53" s="13"/>
      <c r="Z53" s="13"/>
      <c r="AA53" s="11"/>
      <c r="AB53" s="12"/>
      <c r="AC53" s="12"/>
      <c r="AD53" s="12">
        <v>1</v>
      </c>
      <c r="AE53" s="11"/>
      <c r="AF53" s="13"/>
      <c r="AG53" s="13"/>
      <c r="AH53" s="11"/>
      <c r="AI53" s="11"/>
      <c r="AJ53" s="11"/>
      <c r="AK53" s="12"/>
      <c r="AL53" s="12"/>
      <c r="AM53" s="13"/>
      <c r="AN53" s="13"/>
      <c r="AO53" s="11"/>
      <c r="AP53" s="12"/>
      <c r="AQ53" s="12"/>
      <c r="AR53" s="12"/>
      <c r="AS53" s="11"/>
      <c r="AT53" s="13"/>
      <c r="AU53" s="13"/>
      <c r="AV53" s="11"/>
      <c r="AW53" s="12"/>
      <c r="AX53" s="12"/>
      <c r="AY53" s="12"/>
      <c r="AZ53" s="11"/>
      <c r="BA53" s="13"/>
      <c r="BB53" s="13"/>
      <c r="BC53" s="11"/>
      <c r="BD53" s="12"/>
      <c r="BE53" s="12"/>
      <c r="BF53" s="12"/>
      <c r="BG53" s="11"/>
      <c r="BH53" s="13"/>
      <c r="BI53" s="13"/>
      <c r="BJ53" s="11"/>
      <c r="BK53" s="12"/>
      <c r="BL53" s="12"/>
      <c r="BM53" s="12"/>
      <c r="BN53" s="11"/>
      <c r="BO53" s="13"/>
      <c r="BP53" s="449">
        <f t="shared" si="55"/>
        <v>1</v>
      </c>
      <c r="BQ53" s="460">
        <v>470620</v>
      </c>
      <c r="BR53" s="19">
        <v>0.8</v>
      </c>
      <c r="BS53" s="20">
        <f t="shared" si="56"/>
        <v>94123.999999999985</v>
      </c>
      <c r="BT53" s="21">
        <f t="shared" si="57"/>
        <v>94123.999999999985</v>
      </c>
      <c r="BU53" s="22">
        <f t="shared" si="58"/>
        <v>75299.199999999997</v>
      </c>
      <c r="BV53" s="1"/>
      <c r="BW53" s="561">
        <v>2.27</v>
      </c>
      <c r="BX53" s="568">
        <f t="shared" si="59"/>
        <v>2.27</v>
      </c>
      <c r="BY53" s="452">
        <f t="shared" si="60"/>
        <v>33171.453744493389</v>
      </c>
      <c r="BZ53" s="2"/>
      <c r="CA53" s="453" t="s">
        <v>254</v>
      </c>
      <c r="CB53" s="454">
        <f t="shared" si="61"/>
        <v>1</v>
      </c>
      <c r="CC53" s="455">
        <f t="shared" si="62"/>
        <v>75299.199999999997</v>
      </c>
      <c r="CD53" s="454">
        <f t="shared" si="63"/>
        <v>0</v>
      </c>
      <c r="CE53" s="455">
        <f t="shared" si="64"/>
        <v>0</v>
      </c>
      <c r="CF53" s="427" t="b">
        <f t="shared" si="65"/>
        <v>1</v>
      </c>
    </row>
    <row r="54" spans="1:84" s="458" customFormat="1" ht="14" customHeight="1" x14ac:dyDescent="0.25">
      <c r="A54" s="435"/>
      <c r="B54" s="446"/>
      <c r="C54" s="446"/>
      <c r="D54" s="447" t="s">
        <v>252</v>
      </c>
      <c r="E54" s="448" t="s">
        <v>230</v>
      </c>
      <c r="F54" s="448">
        <v>0.875</v>
      </c>
      <c r="G54" s="448" t="s">
        <v>259</v>
      </c>
      <c r="H54" s="464">
        <v>30</v>
      </c>
      <c r="I54" s="11"/>
      <c r="J54" s="11"/>
      <c r="K54" s="13"/>
      <c r="L54" s="13"/>
      <c r="M54" s="11"/>
      <c r="N54" s="12"/>
      <c r="O54" s="12"/>
      <c r="P54" s="12"/>
      <c r="Q54" s="11"/>
      <c r="R54" s="13"/>
      <c r="S54" s="13"/>
      <c r="T54" s="11"/>
      <c r="U54" s="12"/>
      <c r="V54" s="12"/>
      <c r="W54" s="12"/>
      <c r="X54" s="11"/>
      <c r="Y54" s="13"/>
      <c r="Z54" s="13"/>
      <c r="AA54" s="11"/>
      <c r="AB54" s="12"/>
      <c r="AC54" s="12"/>
      <c r="AD54" s="12"/>
      <c r="AE54" s="11"/>
      <c r="AF54" s="13"/>
      <c r="AG54" s="13"/>
      <c r="AH54" s="11"/>
      <c r="AI54" s="11"/>
      <c r="AJ54" s="11"/>
      <c r="AK54" s="12"/>
      <c r="AL54" s="12">
        <v>1</v>
      </c>
      <c r="AM54" s="13"/>
      <c r="AN54" s="13"/>
      <c r="AO54" s="11"/>
      <c r="AP54" s="12"/>
      <c r="AQ54" s="12"/>
      <c r="AR54" s="12"/>
      <c r="AS54" s="11">
        <v>1</v>
      </c>
      <c r="AT54" s="13"/>
      <c r="AU54" s="13"/>
      <c r="AV54" s="11"/>
      <c r="AW54" s="12"/>
      <c r="AX54" s="12"/>
      <c r="AY54" s="12"/>
      <c r="AZ54" s="11">
        <v>1</v>
      </c>
      <c r="BA54" s="13"/>
      <c r="BB54" s="13"/>
      <c r="BC54" s="11"/>
      <c r="BD54" s="12"/>
      <c r="BE54" s="12"/>
      <c r="BF54" s="12"/>
      <c r="BG54" s="11"/>
      <c r="BH54" s="13"/>
      <c r="BI54" s="13"/>
      <c r="BJ54" s="11"/>
      <c r="BK54" s="12"/>
      <c r="BL54" s="12"/>
      <c r="BM54" s="12"/>
      <c r="BN54" s="11"/>
      <c r="BO54" s="13"/>
      <c r="BP54" s="449">
        <f t="shared" si="55"/>
        <v>3</v>
      </c>
      <c r="BQ54" s="460">
        <v>297974</v>
      </c>
      <c r="BR54" s="19">
        <v>0.8</v>
      </c>
      <c r="BS54" s="20">
        <f t="shared" si="56"/>
        <v>59594.799999999988</v>
      </c>
      <c r="BT54" s="21">
        <f t="shared" si="57"/>
        <v>178784.39999999997</v>
      </c>
      <c r="BU54" s="22">
        <f t="shared" si="58"/>
        <v>143027.51999999999</v>
      </c>
      <c r="BV54" s="1"/>
      <c r="BW54" s="561">
        <v>2.56</v>
      </c>
      <c r="BX54" s="568">
        <f t="shared" si="59"/>
        <v>7.68</v>
      </c>
      <c r="BY54" s="452">
        <f t="shared" si="60"/>
        <v>18623.375</v>
      </c>
      <c r="BZ54" s="2"/>
      <c r="CA54" s="453" t="s">
        <v>254</v>
      </c>
      <c r="CB54" s="454">
        <f t="shared" si="61"/>
        <v>1</v>
      </c>
      <c r="CC54" s="455">
        <f t="shared" si="62"/>
        <v>47675.839999999997</v>
      </c>
      <c r="CD54" s="454">
        <f t="shared" si="63"/>
        <v>2</v>
      </c>
      <c r="CE54" s="455">
        <f t="shared" si="64"/>
        <v>95351.679999999993</v>
      </c>
      <c r="CF54" s="427" t="b">
        <f t="shared" si="65"/>
        <v>1</v>
      </c>
    </row>
    <row r="55" spans="1:84" s="458" customFormat="1" ht="14" customHeight="1" x14ac:dyDescent="0.25">
      <c r="A55" s="435"/>
      <c r="B55" s="446"/>
      <c r="C55" s="446"/>
      <c r="D55" s="447" t="s">
        <v>252</v>
      </c>
      <c r="E55" s="448" t="s">
        <v>230</v>
      </c>
      <c r="F55" s="448">
        <v>0.875</v>
      </c>
      <c r="G55" s="448" t="s">
        <v>259</v>
      </c>
      <c r="H55" s="464">
        <v>60</v>
      </c>
      <c r="I55" s="11"/>
      <c r="J55" s="11"/>
      <c r="K55" s="13"/>
      <c r="L55" s="13"/>
      <c r="M55" s="11"/>
      <c r="N55" s="12"/>
      <c r="O55" s="12"/>
      <c r="P55" s="12"/>
      <c r="Q55" s="11"/>
      <c r="R55" s="13"/>
      <c r="S55" s="13"/>
      <c r="T55" s="11"/>
      <c r="U55" s="12"/>
      <c r="V55" s="12"/>
      <c r="W55" s="12"/>
      <c r="X55" s="11"/>
      <c r="Y55" s="13"/>
      <c r="Z55" s="13"/>
      <c r="AA55" s="11"/>
      <c r="AB55" s="12"/>
      <c r="AC55" s="12"/>
      <c r="AD55" s="12"/>
      <c r="AE55" s="11">
        <v>1</v>
      </c>
      <c r="AF55" s="13"/>
      <c r="AG55" s="13"/>
      <c r="AH55" s="11"/>
      <c r="AI55" s="11"/>
      <c r="AJ55" s="11"/>
      <c r="AK55" s="12"/>
      <c r="AL55" s="12"/>
      <c r="AM55" s="13"/>
      <c r="AN55" s="13"/>
      <c r="AO55" s="11"/>
      <c r="AP55" s="12"/>
      <c r="AQ55" s="12"/>
      <c r="AR55" s="12"/>
      <c r="AS55" s="11"/>
      <c r="AT55" s="13"/>
      <c r="AU55" s="13"/>
      <c r="AV55" s="11"/>
      <c r="AW55" s="12"/>
      <c r="AX55" s="12"/>
      <c r="AY55" s="12"/>
      <c r="AZ55" s="11"/>
      <c r="BA55" s="13"/>
      <c r="BB55" s="13"/>
      <c r="BC55" s="11"/>
      <c r="BD55" s="12"/>
      <c r="BE55" s="12"/>
      <c r="BF55" s="12"/>
      <c r="BG55" s="11"/>
      <c r="BH55" s="13"/>
      <c r="BI55" s="13"/>
      <c r="BJ55" s="11"/>
      <c r="BK55" s="12"/>
      <c r="BL55" s="12"/>
      <c r="BM55" s="12"/>
      <c r="BN55" s="11"/>
      <c r="BO55" s="13"/>
      <c r="BP55" s="449">
        <f t="shared" si="55"/>
        <v>1</v>
      </c>
      <c r="BQ55" s="460">
        <v>595948</v>
      </c>
      <c r="BR55" s="19">
        <v>0.8</v>
      </c>
      <c r="BS55" s="20">
        <f t="shared" si="56"/>
        <v>119189.59999999998</v>
      </c>
      <c r="BT55" s="21">
        <f t="shared" si="57"/>
        <v>119189.59999999998</v>
      </c>
      <c r="BU55" s="22">
        <f t="shared" si="58"/>
        <v>95351.679999999993</v>
      </c>
      <c r="BV55" s="1"/>
      <c r="BW55" s="561">
        <v>2.56</v>
      </c>
      <c r="BX55" s="568">
        <f t="shared" si="59"/>
        <v>2.56</v>
      </c>
      <c r="BY55" s="452">
        <f t="shared" si="60"/>
        <v>37246.75</v>
      </c>
      <c r="BZ55" s="2"/>
      <c r="CA55" s="453" t="s">
        <v>254</v>
      </c>
      <c r="CB55" s="454">
        <f t="shared" si="61"/>
        <v>1</v>
      </c>
      <c r="CC55" s="455">
        <f t="shared" si="62"/>
        <v>95351.679999999993</v>
      </c>
      <c r="CD55" s="454">
        <f t="shared" si="63"/>
        <v>0</v>
      </c>
      <c r="CE55" s="455">
        <f t="shared" si="64"/>
        <v>0</v>
      </c>
      <c r="CF55" s="427" t="b">
        <f t="shared" si="65"/>
        <v>1</v>
      </c>
    </row>
    <row r="56" spans="1:84" s="458" customFormat="1" ht="14" customHeight="1" x14ac:dyDescent="0.25">
      <c r="A56" s="435"/>
      <c r="B56" s="446"/>
      <c r="C56" s="446"/>
      <c r="D56" s="459" t="s">
        <v>253</v>
      </c>
      <c r="E56" s="448" t="s">
        <v>230</v>
      </c>
      <c r="F56" s="448">
        <v>0.64583333333333337</v>
      </c>
      <c r="G56" s="448" t="s">
        <v>260</v>
      </c>
      <c r="H56" s="464">
        <v>30</v>
      </c>
      <c r="I56" s="11"/>
      <c r="J56" s="11"/>
      <c r="K56" s="13"/>
      <c r="L56" s="13"/>
      <c r="M56" s="11"/>
      <c r="N56" s="12"/>
      <c r="O56" s="12"/>
      <c r="P56" s="12"/>
      <c r="Q56" s="11"/>
      <c r="R56" s="13"/>
      <c r="S56" s="13"/>
      <c r="T56" s="11"/>
      <c r="U56" s="12"/>
      <c r="V56" s="12"/>
      <c r="W56" s="12"/>
      <c r="X56" s="11"/>
      <c r="Y56" s="13"/>
      <c r="Z56" s="13"/>
      <c r="AA56" s="11"/>
      <c r="AB56" s="12"/>
      <c r="AC56" s="12"/>
      <c r="AD56" s="12"/>
      <c r="AE56" s="11"/>
      <c r="AF56" s="13"/>
      <c r="AG56" s="13"/>
      <c r="AH56" s="11">
        <v>1</v>
      </c>
      <c r="AI56" s="11"/>
      <c r="AJ56" s="11"/>
      <c r="AK56" s="12"/>
      <c r="AL56" s="12"/>
      <c r="AM56" s="13"/>
      <c r="AN56" s="13"/>
      <c r="AO56" s="11">
        <v>1</v>
      </c>
      <c r="AP56" s="12"/>
      <c r="AQ56" s="12"/>
      <c r="AR56" s="12"/>
      <c r="AS56" s="11"/>
      <c r="AT56" s="13"/>
      <c r="AU56" s="13"/>
      <c r="AV56" s="11">
        <v>1</v>
      </c>
      <c r="AW56" s="12"/>
      <c r="AX56" s="12"/>
      <c r="AY56" s="12"/>
      <c r="AZ56" s="11"/>
      <c r="BA56" s="13"/>
      <c r="BB56" s="13"/>
      <c r="BC56" s="11"/>
      <c r="BD56" s="12"/>
      <c r="BE56" s="12"/>
      <c r="BF56" s="12"/>
      <c r="BG56" s="11"/>
      <c r="BH56" s="13"/>
      <c r="BI56" s="13"/>
      <c r="BJ56" s="11"/>
      <c r="BK56" s="12"/>
      <c r="BL56" s="12"/>
      <c r="BM56" s="12"/>
      <c r="BN56" s="11"/>
      <c r="BO56" s="13"/>
      <c r="BP56" s="449">
        <f t="shared" si="55"/>
        <v>3</v>
      </c>
      <c r="BQ56" s="460">
        <v>87447</v>
      </c>
      <c r="BR56" s="19">
        <v>0.8</v>
      </c>
      <c r="BS56" s="20">
        <f t="shared" si="56"/>
        <v>17489.399999999998</v>
      </c>
      <c r="BT56" s="21">
        <f t="shared" si="57"/>
        <v>52468.2</v>
      </c>
      <c r="BU56" s="22">
        <f t="shared" si="58"/>
        <v>41974.559999999998</v>
      </c>
      <c r="BV56" s="1"/>
      <c r="BW56" s="561">
        <v>2.39</v>
      </c>
      <c r="BX56" s="568">
        <f t="shared" si="59"/>
        <v>7.17</v>
      </c>
      <c r="BY56" s="452">
        <f t="shared" si="60"/>
        <v>5854.1924686192469</v>
      </c>
      <c r="BZ56" s="2"/>
      <c r="CA56" s="453" t="s">
        <v>254</v>
      </c>
      <c r="CB56" s="454">
        <f t="shared" si="61"/>
        <v>1</v>
      </c>
      <c r="CC56" s="455">
        <f t="shared" si="62"/>
        <v>13991.519999999999</v>
      </c>
      <c r="CD56" s="454">
        <f t="shared" si="63"/>
        <v>2</v>
      </c>
      <c r="CE56" s="455">
        <f t="shared" si="64"/>
        <v>27983.039999999997</v>
      </c>
      <c r="CF56" s="427" t="b">
        <f t="shared" si="65"/>
        <v>1</v>
      </c>
    </row>
    <row r="57" spans="1:84" s="458" customFormat="1" ht="14" customHeight="1" x14ac:dyDescent="0.25">
      <c r="A57" s="435"/>
      <c r="B57" s="446"/>
      <c r="C57" s="446"/>
      <c r="D57" s="466"/>
      <c r="E57" s="448"/>
      <c r="F57" s="448"/>
      <c r="G57" s="448"/>
      <c r="H57" s="464"/>
      <c r="I57" s="11"/>
      <c r="J57" s="11"/>
      <c r="K57" s="13"/>
      <c r="L57" s="13"/>
      <c r="M57" s="11"/>
      <c r="N57" s="12"/>
      <c r="O57" s="12"/>
      <c r="P57" s="12"/>
      <c r="Q57" s="11"/>
      <c r="R57" s="13"/>
      <c r="S57" s="13"/>
      <c r="T57" s="11"/>
      <c r="U57" s="12"/>
      <c r="V57" s="12"/>
      <c r="W57" s="12"/>
      <c r="X57" s="11"/>
      <c r="Y57" s="13"/>
      <c r="Z57" s="13"/>
      <c r="AA57" s="11"/>
      <c r="AB57" s="12"/>
      <c r="AC57" s="12"/>
      <c r="AD57" s="12"/>
      <c r="AE57" s="11"/>
      <c r="AF57" s="13"/>
      <c r="AG57" s="13"/>
      <c r="AH57" s="11"/>
      <c r="AI57" s="11"/>
      <c r="AJ57" s="11"/>
      <c r="AK57" s="12"/>
      <c r="AL57" s="12"/>
      <c r="AM57" s="13"/>
      <c r="AN57" s="13"/>
      <c r="AO57" s="11"/>
      <c r="AP57" s="12"/>
      <c r="AQ57" s="12"/>
      <c r="AR57" s="12"/>
      <c r="AS57" s="11"/>
      <c r="AT57" s="13"/>
      <c r="AU57" s="13"/>
      <c r="AV57" s="11"/>
      <c r="AW57" s="12"/>
      <c r="AX57" s="12"/>
      <c r="AY57" s="12"/>
      <c r="AZ57" s="11"/>
      <c r="BA57" s="13"/>
      <c r="BB57" s="13"/>
      <c r="BC57" s="11"/>
      <c r="BD57" s="12"/>
      <c r="BE57" s="12"/>
      <c r="BF57" s="12"/>
      <c r="BG57" s="11"/>
      <c r="BH57" s="13"/>
      <c r="BI57" s="13"/>
      <c r="BJ57" s="11"/>
      <c r="BK57" s="12"/>
      <c r="BL57" s="12"/>
      <c r="BM57" s="12"/>
      <c r="BN57" s="11"/>
      <c r="BO57" s="13"/>
      <c r="BP57" s="449"/>
      <c r="BQ57" s="15"/>
      <c r="BR57" s="456"/>
      <c r="BS57" s="15"/>
      <c r="BT57" s="22"/>
      <c r="BU57" s="22"/>
      <c r="BV57" s="1"/>
      <c r="BW57" s="563"/>
      <c r="BX57" s="569"/>
      <c r="BY57" s="452"/>
      <c r="BZ57" s="2"/>
      <c r="CA57" s="494" t="s">
        <v>152</v>
      </c>
      <c r="CB57" s="495">
        <f>SUM(CB45:CB56)</f>
        <v>11</v>
      </c>
      <c r="CC57" s="496">
        <f>SUM(CC45:CC56)</f>
        <v>481866.08</v>
      </c>
      <c r="CD57" s="495">
        <f>SUM(CD45:CD56)</f>
        <v>15</v>
      </c>
      <c r="CE57" s="496">
        <f>SUM(CE45:CE56)</f>
        <v>459290.55999999994</v>
      </c>
      <c r="CF57" s="427"/>
    </row>
    <row r="58" spans="1:84" s="458" customFormat="1" ht="14" customHeight="1" x14ac:dyDescent="0.25">
      <c r="A58" s="435"/>
      <c r="B58" s="446"/>
      <c r="C58" s="446" t="s">
        <v>261</v>
      </c>
      <c r="D58" s="459" t="s">
        <v>262</v>
      </c>
      <c r="E58" s="448" t="s">
        <v>230</v>
      </c>
      <c r="F58" s="448">
        <v>0.45833333333333331</v>
      </c>
      <c r="G58" s="448" t="s">
        <v>270</v>
      </c>
      <c r="H58" s="464">
        <v>30</v>
      </c>
      <c r="I58" s="11"/>
      <c r="J58" s="11"/>
      <c r="K58" s="13"/>
      <c r="L58" s="13"/>
      <c r="M58" s="11"/>
      <c r="N58" s="12"/>
      <c r="O58" s="12"/>
      <c r="P58" s="12"/>
      <c r="Q58" s="11"/>
      <c r="R58" s="13"/>
      <c r="S58" s="13"/>
      <c r="T58" s="11"/>
      <c r="U58" s="12"/>
      <c r="V58" s="12"/>
      <c r="W58" s="12"/>
      <c r="X58" s="11"/>
      <c r="Y58" s="13"/>
      <c r="Z58" s="13"/>
      <c r="AA58" s="11"/>
      <c r="AB58" s="12"/>
      <c r="AC58" s="12"/>
      <c r="AD58" s="12"/>
      <c r="AE58" s="11"/>
      <c r="AF58" s="13"/>
      <c r="AG58" s="13"/>
      <c r="AH58" s="11">
        <v>1</v>
      </c>
      <c r="AI58" s="11"/>
      <c r="AJ58" s="11"/>
      <c r="AK58" s="12"/>
      <c r="AL58" s="12"/>
      <c r="AM58" s="13"/>
      <c r="AN58" s="13"/>
      <c r="AO58" s="11">
        <v>1</v>
      </c>
      <c r="AP58" s="12"/>
      <c r="AQ58" s="12"/>
      <c r="AR58" s="12"/>
      <c r="AS58" s="11"/>
      <c r="AT58" s="13"/>
      <c r="AU58" s="13"/>
      <c r="AV58" s="11">
        <v>1</v>
      </c>
      <c r="AW58" s="12"/>
      <c r="AX58" s="12"/>
      <c r="AY58" s="12"/>
      <c r="AZ58" s="11"/>
      <c r="BA58" s="13"/>
      <c r="BB58" s="13"/>
      <c r="BC58" s="11"/>
      <c r="BD58" s="12"/>
      <c r="BE58" s="12"/>
      <c r="BF58" s="12"/>
      <c r="BG58" s="11"/>
      <c r="BH58" s="13"/>
      <c r="BI58" s="13"/>
      <c r="BJ58" s="11"/>
      <c r="BK58" s="12"/>
      <c r="BL58" s="12"/>
      <c r="BM58" s="12"/>
      <c r="BN58" s="11"/>
      <c r="BO58" s="13"/>
      <c r="BP58" s="449">
        <f t="shared" ref="BP58:BP69" si="66">SUM(I58:BO58)</f>
        <v>3</v>
      </c>
      <c r="BQ58" s="460">
        <v>89256</v>
      </c>
      <c r="BR58" s="19">
        <v>0.75</v>
      </c>
      <c r="BS58" s="20">
        <f t="shared" ref="BS58:BS69" si="67">BQ58*(1-BR58)</f>
        <v>22314</v>
      </c>
      <c r="BT58" s="21">
        <f t="shared" ref="BT58:BT69" si="68">BS58*BP58</f>
        <v>66942</v>
      </c>
      <c r="BU58" s="491">
        <f t="shared" ref="BU58:BU69" si="69">BT58*0.8</f>
        <v>53553.600000000006</v>
      </c>
      <c r="BV58" s="1"/>
      <c r="BW58" s="561">
        <v>1.45</v>
      </c>
      <c r="BX58" s="568">
        <f t="shared" ref="BX58:BX69" si="70">BW58*BP58</f>
        <v>4.3499999999999996</v>
      </c>
      <c r="BY58" s="452">
        <f t="shared" ref="BY58:BY69" si="71">IFERROR(BU58/BX58,0)</f>
        <v>12311.172413793105</v>
      </c>
      <c r="BZ58" s="2"/>
      <c r="CA58" s="453" t="s">
        <v>261</v>
      </c>
      <c r="CB58" s="454">
        <f t="shared" ref="CB58" si="72">COUNTA(I58:AM58)</f>
        <v>1</v>
      </c>
      <c r="CC58" s="455">
        <f t="shared" ref="CC58" si="73">CB58*BS58*0.8</f>
        <v>17851.2</v>
      </c>
      <c r="CD58" s="454">
        <f t="shared" ref="CD58" si="74">COUNTA(AN58:BO58)</f>
        <v>2</v>
      </c>
      <c r="CE58" s="455">
        <f t="shared" ref="CE58" si="75">CD58*BS58*0.8</f>
        <v>35702.400000000001</v>
      </c>
      <c r="CF58" s="427" t="b">
        <f t="shared" ref="CF58:CF69" si="76">SUM(CC58,CE58)=BU58</f>
        <v>1</v>
      </c>
    </row>
    <row r="59" spans="1:84" s="458" customFormat="1" ht="14" customHeight="1" x14ac:dyDescent="0.25">
      <c r="A59" s="435"/>
      <c r="B59" s="446"/>
      <c r="C59" s="446"/>
      <c r="D59" s="466" t="s">
        <v>263</v>
      </c>
      <c r="E59" s="448" t="s">
        <v>232</v>
      </c>
      <c r="F59" s="448">
        <v>0.46875</v>
      </c>
      <c r="G59" s="448" t="s">
        <v>271</v>
      </c>
      <c r="H59" s="464">
        <v>30</v>
      </c>
      <c r="I59" s="11"/>
      <c r="J59" s="11"/>
      <c r="K59" s="13"/>
      <c r="L59" s="13"/>
      <c r="M59" s="11"/>
      <c r="N59" s="12"/>
      <c r="O59" s="12"/>
      <c r="P59" s="12"/>
      <c r="Q59" s="11"/>
      <c r="R59" s="13"/>
      <c r="S59" s="13"/>
      <c r="T59" s="11"/>
      <c r="U59" s="12"/>
      <c r="V59" s="12"/>
      <c r="W59" s="12"/>
      <c r="X59" s="11"/>
      <c r="Y59" s="13"/>
      <c r="Z59" s="13"/>
      <c r="AA59" s="11"/>
      <c r="AB59" s="12"/>
      <c r="AC59" s="12"/>
      <c r="AD59" s="12"/>
      <c r="AE59" s="11"/>
      <c r="AF59" s="13"/>
      <c r="AG59" s="13"/>
      <c r="AH59" s="11"/>
      <c r="AI59" s="11"/>
      <c r="AJ59" s="11"/>
      <c r="AK59" s="12"/>
      <c r="AL59" s="12"/>
      <c r="AM59" s="13"/>
      <c r="AN59" s="13">
        <v>1</v>
      </c>
      <c r="AO59" s="11"/>
      <c r="AP59" s="12"/>
      <c r="AQ59" s="12"/>
      <c r="AR59" s="12"/>
      <c r="AS59" s="11"/>
      <c r="AT59" s="13"/>
      <c r="AU59" s="13">
        <v>1</v>
      </c>
      <c r="AV59" s="11"/>
      <c r="AW59" s="12"/>
      <c r="AX59" s="12"/>
      <c r="AY59" s="12"/>
      <c r="AZ59" s="11"/>
      <c r="BA59" s="13"/>
      <c r="BB59" s="13">
        <v>1</v>
      </c>
      <c r="BC59" s="11"/>
      <c r="BD59" s="12"/>
      <c r="BE59" s="12"/>
      <c r="BF59" s="12"/>
      <c r="BG59" s="11"/>
      <c r="BH59" s="13"/>
      <c r="BI59" s="13"/>
      <c r="BJ59" s="11"/>
      <c r="BK59" s="12"/>
      <c r="BL59" s="12"/>
      <c r="BM59" s="12"/>
      <c r="BN59" s="11"/>
      <c r="BO59" s="13"/>
      <c r="BP59" s="449">
        <f t="shared" si="66"/>
        <v>3</v>
      </c>
      <c r="BQ59" s="460">
        <v>206148</v>
      </c>
      <c r="BR59" s="19">
        <v>0.75</v>
      </c>
      <c r="BS59" s="20">
        <f t="shared" si="67"/>
        <v>51537</v>
      </c>
      <c r="BT59" s="21">
        <f t="shared" si="68"/>
        <v>154611</v>
      </c>
      <c r="BU59" s="491">
        <f t="shared" si="69"/>
        <v>123688.8</v>
      </c>
      <c r="BV59" s="1"/>
      <c r="BW59" s="561">
        <v>2.99</v>
      </c>
      <c r="BX59" s="568">
        <f t="shared" si="70"/>
        <v>8.9700000000000006</v>
      </c>
      <c r="BY59" s="452">
        <f t="shared" si="71"/>
        <v>13789.163879598662</v>
      </c>
      <c r="BZ59" s="2"/>
      <c r="CA59" s="453" t="s">
        <v>261</v>
      </c>
      <c r="CB59" s="454">
        <f t="shared" ref="CB59:CB69" si="77">COUNTA(I59:AM59)</f>
        <v>0</v>
      </c>
      <c r="CC59" s="455">
        <f t="shared" ref="CC59:CC69" si="78">CB59*BS59*0.8</f>
        <v>0</v>
      </c>
      <c r="CD59" s="454">
        <f t="shared" ref="CD59:CD69" si="79">COUNTA(AN59:BO59)</f>
        <v>3</v>
      </c>
      <c r="CE59" s="455">
        <f t="shared" ref="CE59:CE69" si="80">CD59*BS59*0.8</f>
        <v>123688.8</v>
      </c>
      <c r="CF59" s="427" t="b">
        <f t="shared" si="76"/>
        <v>1</v>
      </c>
    </row>
    <row r="60" spans="1:84" s="458" customFormat="1" ht="14" customHeight="1" x14ac:dyDescent="0.25">
      <c r="A60" s="435"/>
      <c r="B60" s="446"/>
      <c r="C60" s="446"/>
      <c r="D60" s="447" t="s">
        <v>263</v>
      </c>
      <c r="E60" s="448" t="s">
        <v>232</v>
      </c>
      <c r="F60" s="448">
        <v>0.46875</v>
      </c>
      <c r="G60" s="448" t="s">
        <v>271</v>
      </c>
      <c r="H60" s="464">
        <v>60</v>
      </c>
      <c r="I60" s="11"/>
      <c r="J60" s="11"/>
      <c r="K60" s="13"/>
      <c r="L60" s="13"/>
      <c r="M60" s="11"/>
      <c r="N60" s="12"/>
      <c r="O60" s="12"/>
      <c r="P60" s="12"/>
      <c r="Q60" s="11"/>
      <c r="R60" s="13"/>
      <c r="S60" s="13"/>
      <c r="T60" s="11"/>
      <c r="U60" s="12"/>
      <c r="V60" s="12"/>
      <c r="W60" s="12"/>
      <c r="X60" s="11"/>
      <c r="Y60" s="13"/>
      <c r="Z60" s="13"/>
      <c r="AA60" s="11"/>
      <c r="AB60" s="12"/>
      <c r="AC60" s="12"/>
      <c r="AD60" s="12"/>
      <c r="AE60" s="11"/>
      <c r="AF60" s="13"/>
      <c r="AG60" s="13">
        <v>1</v>
      </c>
      <c r="AH60" s="11"/>
      <c r="AI60" s="11"/>
      <c r="AJ60" s="11"/>
      <c r="AK60" s="12"/>
      <c r="AL60" s="12"/>
      <c r="AM60" s="13"/>
      <c r="AN60" s="13"/>
      <c r="AO60" s="11"/>
      <c r="AP60" s="12"/>
      <c r="AQ60" s="12"/>
      <c r="AR60" s="12"/>
      <c r="AS60" s="11"/>
      <c r="AT60" s="13"/>
      <c r="AU60" s="13"/>
      <c r="AV60" s="11"/>
      <c r="AW60" s="12"/>
      <c r="AX60" s="12"/>
      <c r="AY60" s="12"/>
      <c r="AZ60" s="11"/>
      <c r="BA60" s="13"/>
      <c r="BB60" s="13"/>
      <c r="BC60" s="11"/>
      <c r="BD60" s="12"/>
      <c r="BE60" s="12"/>
      <c r="BF60" s="12"/>
      <c r="BG60" s="11"/>
      <c r="BH60" s="13"/>
      <c r="BI60" s="13"/>
      <c r="BJ60" s="11"/>
      <c r="BK60" s="12"/>
      <c r="BL60" s="12"/>
      <c r="BM60" s="12"/>
      <c r="BN60" s="11"/>
      <c r="BO60" s="13"/>
      <c r="BP60" s="449">
        <f t="shared" si="66"/>
        <v>1</v>
      </c>
      <c r="BQ60" s="460">
        <v>412296</v>
      </c>
      <c r="BR60" s="19">
        <v>0.75</v>
      </c>
      <c r="BS60" s="20">
        <f t="shared" si="67"/>
        <v>103074</v>
      </c>
      <c r="BT60" s="21">
        <f t="shared" si="68"/>
        <v>103074</v>
      </c>
      <c r="BU60" s="491">
        <f t="shared" si="69"/>
        <v>82459.200000000012</v>
      </c>
      <c r="BV60" s="1"/>
      <c r="BW60" s="561">
        <v>2.99</v>
      </c>
      <c r="BX60" s="568">
        <f t="shared" si="70"/>
        <v>2.99</v>
      </c>
      <c r="BY60" s="452">
        <f t="shared" si="71"/>
        <v>27578.327759197327</v>
      </c>
      <c r="BZ60" s="2"/>
      <c r="CA60" s="453" t="s">
        <v>261</v>
      </c>
      <c r="CB60" s="454">
        <f t="shared" si="77"/>
        <v>1</v>
      </c>
      <c r="CC60" s="455">
        <f t="shared" si="78"/>
        <v>82459.200000000012</v>
      </c>
      <c r="CD60" s="454">
        <f t="shared" si="79"/>
        <v>0</v>
      </c>
      <c r="CE60" s="455">
        <f t="shared" si="80"/>
        <v>0</v>
      </c>
      <c r="CF60" s="427" t="b">
        <f t="shared" si="76"/>
        <v>1</v>
      </c>
    </row>
    <row r="61" spans="1:84" s="458" customFormat="1" ht="14" customHeight="1" x14ac:dyDescent="0.25">
      <c r="A61" s="435"/>
      <c r="B61" s="446"/>
      <c r="C61" s="446"/>
      <c r="D61" s="447" t="s">
        <v>264</v>
      </c>
      <c r="E61" s="448" t="s">
        <v>230</v>
      </c>
      <c r="F61" s="448">
        <v>0.875</v>
      </c>
      <c r="G61" s="448" t="s">
        <v>272</v>
      </c>
      <c r="H61" s="464">
        <v>30</v>
      </c>
      <c r="I61" s="11"/>
      <c r="J61" s="11"/>
      <c r="K61" s="13"/>
      <c r="L61" s="13"/>
      <c r="M61" s="11"/>
      <c r="N61" s="12"/>
      <c r="O61" s="12"/>
      <c r="P61" s="12"/>
      <c r="Q61" s="11"/>
      <c r="R61" s="13"/>
      <c r="S61" s="13"/>
      <c r="T61" s="11"/>
      <c r="U61" s="12"/>
      <c r="V61" s="12"/>
      <c r="W61" s="12"/>
      <c r="X61" s="11"/>
      <c r="Y61" s="13"/>
      <c r="Z61" s="13"/>
      <c r="AA61" s="11"/>
      <c r="AB61" s="12"/>
      <c r="AC61" s="12"/>
      <c r="AD61" s="12"/>
      <c r="AE61" s="11"/>
      <c r="AF61" s="13"/>
      <c r="AG61" s="13"/>
      <c r="AH61" s="11">
        <v>1</v>
      </c>
      <c r="AI61" s="11"/>
      <c r="AJ61" s="11"/>
      <c r="AK61" s="12"/>
      <c r="AL61" s="12"/>
      <c r="AM61" s="13"/>
      <c r="AN61" s="13"/>
      <c r="AO61" s="11">
        <v>1</v>
      </c>
      <c r="AP61" s="12"/>
      <c r="AQ61" s="12"/>
      <c r="AR61" s="12"/>
      <c r="AS61" s="11"/>
      <c r="AT61" s="13"/>
      <c r="AU61" s="13"/>
      <c r="AV61" s="11">
        <v>1</v>
      </c>
      <c r="AW61" s="12"/>
      <c r="AX61" s="12"/>
      <c r="AY61" s="12"/>
      <c r="AZ61" s="11"/>
      <c r="BA61" s="13"/>
      <c r="BB61" s="13"/>
      <c r="BC61" s="11"/>
      <c r="BD61" s="12"/>
      <c r="BE61" s="12"/>
      <c r="BF61" s="12"/>
      <c r="BG61" s="11"/>
      <c r="BH61" s="13"/>
      <c r="BI61" s="13"/>
      <c r="BJ61" s="11"/>
      <c r="BK61" s="12"/>
      <c r="BL61" s="12"/>
      <c r="BM61" s="12"/>
      <c r="BN61" s="11"/>
      <c r="BO61" s="13"/>
      <c r="BP61" s="449">
        <f t="shared" si="66"/>
        <v>3</v>
      </c>
      <c r="BQ61" s="460">
        <v>249316</v>
      </c>
      <c r="BR61" s="19">
        <v>0.75</v>
      </c>
      <c r="BS61" s="20">
        <f t="shared" si="67"/>
        <v>62329</v>
      </c>
      <c r="BT61" s="21">
        <f t="shared" si="68"/>
        <v>186987</v>
      </c>
      <c r="BU61" s="491">
        <f t="shared" si="69"/>
        <v>149589.6</v>
      </c>
      <c r="BV61" s="1"/>
      <c r="BW61" s="561">
        <v>2.14</v>
      </c>
      <c r="BX61" s="568">
        <f t="shared" si="70"/>
        <v>6.42</v>
      </c>
      <c r="BY61" s="452">
        <f t="shared" si="71"/>
        <v>23300.560747663552</v>
      </c>
      <c r="BZ61" s="2"/>
      <c r="CA61" s="453" t="s">
        <v>261</v>
      </c>
      <c r="CB61" s="454">
        <f t="shared" si="77"/>
        <v>1</v>
      </c>
      <c r="CC61" s="455">
        <f t="shared" si="78"/>
        <v>49863.200000000004</v>
      </c>
      <c r="CD61" s="454">
        <f t="shared" si="79"/>
        <v>2</v>
      </c>
      <c r="CE61" s="455">
        <f t="shared" si="80"/>
        <v>99726.400000000009</v>
      </c>
      <c r="CF61" s="427" t="b">
        <f t="shared" si="76"/>
        <v>1</v>
      </c>
    </row>
    <row r="62" spans="1:84" s="458" customFormat="1" ht="14" customHeight="1" x14ac:dyDescent="0.25">
      <c r="A62" s="435"/>
      <c r="B62" s="446"/>
      <c r="C62" s="446"/>
      <c r="D62" s="459" t="s">
        <v>264</v>
      </c>
      <c r="E62" s="448" t="s">
        <v>230</v>
      </c>
      <c r="F62" s="448">
        <v>0.875</v>
      </c>
      <c r="G62" s="448" t="s">
        <v>272</v>
      </c>
      <c r="H62" s="464">
        <v>60</v>
      </c>
      <c r="I62" s="11"/>
      <c r="J62" s="11"/>
      <c r="K62" s="13"/>
      <c r="L62" s="13"/>
      <c r="M62" s="11"/>
      <c r="N62" s="12"/>
      <c r="O62" s="12"/>
      <c r="P62" s="12"/>
      <c r="Q62" s="11"/>
      <c r="R62" s="13"/>
      <c r="S62" s="13"/>
      <c r="T62" s="11"/>
      <c r="U62" s="12"/>
      <c r="V62" s="12"/>
      <c r="W62" s="12"/>
      <c r="X62" s="11"/>
      <c r="Y62" s="13"/>
      <c r="Z62" s="13"/>
      <c r="AA62" s="11"/>
      <c r="AB62" s="12"/>
      <c r="AC62" s="12"/>
      <c r="AD62" s="12">
        <v>1</v>
      </c>
      <c r="AE62" s="11"/>
      <c r="AF62" s="13"/>
      <c r="AG62" s="13"/>
      <c r="AH62" s="11"/>
      <c r="AI62" s="11"/>
      <c r="AJ62" s="11"/>
      <c r="AK62" s="12"/>
      <c r="AL62" s="12"/>
      <c r="AM62" s="13"/>
      <c r="AN62" s="13"/>
      <c r="AO62" s="11"/>
      <c r="AP62" s="12"/>
      <c r="AQ62" s="12"/>
      <c r="AR62" s="12"/>
      <c r="AS62" s="11"/>
      <c r="AT62" s="13"/>
      <c r="AU62" s="13"/>
      <c r="AV62" s="11"/>
      <c r="AW62" s="12"/>
      <c r="AX62" s="12"/>
      <c r="AY62" s="12"/>
      <c r="AZ62" s="11"/>
      <c r="BA62" s="13"/>
      <c r="BB62" s="13"/>
      <c r="BC62" s="11"/>
      <c r="BD62" s="12"/>
      <c r="BE62" s="12"/>
      <c r="BF62" s="12"/>
      <c r="BG62" s="11"/>
      <c r="BH62" s="13"/>
      <c r="BI62" s="13"/>
      <c r="BJ62" s="11"/>
      <c r="BK62" s="12"/>
      <c r="BL62" s="12"/>
      <c r="BM62" s="12"/>
      <c r="BN62" s="11"/>
      <c r="BO62" s="13"/>
      <c r="BP62" s="449">
        <f t="shared" si="66"/>
        <v>1</v>
      </c>
      <c r="BQ62" s="460">
        <v>498632</v>
      </c>
      <c r="BR62" s="19">
        <v>0.75</v>
      </c>
      <c r="BS62" s="20">
        <f t="shared" si="67"/>
        <v>124658</v>
      </c>
      <c r="BT62" s="21">
        <f t="shared" si="68"/>
        <v>124658</v>
      </c>
      <c r="BU62" s="491">
        <f t="shared" si="69"/>
        <v>99726.400000000009</v>
      </c>
      <c r="BV62" s="1"/>
      <c r="BW62" s="561">
        <v>2.14</v>
      </c>
      <c r="BX62" s="568">
        <f t="shared" si="70"/>
        <v>2.14</v>
      </c>
      <c r="BY62" s="452">
        <f t="shared" si="71"/>
        <v>46601.121495327105</v>
      </c>
      <c r="BZ62" s="2"/>
      <c r="CA62" s="453" t="s">
        <v>261</v>
      </c>
      <c r="CB62" s="454">
        <f t="shared" si="77"/>
        <v>1</v>
      </c>
      <c r="CC62" s="455">
        <f t="shared" si="78"/>
        <v>99726.400000000009</v>
      </c>
      <c r="CD62" s="454">
        <f t="shared" si="79"/>
        <v>0</v>
      </c>
      <c r="CE62" s="455">
        <f t="shared" si="80"/>
        <v>0</v>
      </c>
      <c r="CF62" s="427" t="b">
        <f t="shared" si="76"/>
        <v>1</v>
      </c>
    </row>
    <row r="63" spans="1:84" s="458" customFormat="1" ht="14" customHeight="1" x14ac:dyDescent="0.25">
      <c r="A63" s="435"/>
      <c r="B63" s="446"/>
      <c r="C63" s="446"/>
      <c r="D63" s="466" t="s">
        <v>265</v>
      </c>
      <c r="E63" s="448" t="s">
        <v>230</v>
      </c>
      <c r="F63" s="448">
        <v>0.73958333333333337</v>
      </c>
      <c r="G63" s="448" t="s">
        <v>273</v>
      </c>
      <c r="H63" s="464">
        <v>30</v>
      </c>
      <c r="I63" s="11"/>
      <c r="J63" s="11"/>
      <c r="K63" s="13"/>
      <c r="L63" s="13"/>
      <c r="M63" s="11"/>
      <c r="N63" s="12"/>
      <c r="O63" s="12"/>
      <c r="P63" s="12"/>
      <c r="Q63" s="11"/>
      <c r="R63" s="13"/>
      <c r="S63" s="13"/>
      <c r="T63" s="11"/>
      <c r="U63" s="12"/>
      <c r="V63" s="12"/>
      <c r="W63" s="12"/>
      <c r="X63" s="11"/>
      <c r="Y63" s="13"/>
      <c r="Z63" s="13"/>
      <c r="AA63" s="11"/>
      <c r="AB63" s="12"/>
      <c r="AC63" s="12"/>
      <c r="AD63" s="12"/>
      <c r="AE63" s="11"/>
      <c r="AF63" s="13"/>
      <c r="AG63" s="13"/>
      <c r="AH63" s="11"/>
      <c r="AI63" s="11"/>
      <c r="AJ63" s="11"/>
      <c r="AK63" s="12">
        <v>1</v>
      </c>
      <c r="AL63" s="12"/>
      <c r="AM63" s="13"/>
      <c r="AN63" s="13"/>
      <c r="AO63" s="11"/>
      <c r="AP63" s="12"/>
      <c r="AQ63" s="12"/>
      <c r="AR63" s="12">
        <v>1</v>
      </c>
      <c r="AS63" s="11"/>
      <c r="AT63" s="13"/>
      <c r="AU63" s="13"/>
      <c r="AV63" s="11"/>
      <c r="AW63" s="12"/>
      <c r="AX63" s="12"/>
      <c r="AY63" s="12">
        <v>1</v>
      </c>
      <c r="AZ63" s="11"/>
      <c r="BA63" s="13"/>
      <c r="BB63" s="13"/>
      <c r="BC63" s="11"/>
      <c r="BD63" s="12"/>
      <c r="BE63" s="12"/>
      <c r="BF63" s="12"/>
      <c r="BG63" s="11"/>
      <c r="BH63" s="13"/>
      <c r="BI63" s="13"/>
      <c r="BJ63" s="11"/>
      <c r="BK63" s="12"/>
      <c r="BL63" s="12"/>
      <c r="BM63" s="12"/>
      <c r="BN63" s="11"/>
      <c r="BO63" s="13"/>
      <c r="BP63" s="449">
        <f t="shared" si="66"/>
        <v>3</v>
      </c>
      <c r="BQ63" s="460">
        <v>149464</v>
      </c>
      <c r="BR63" s="19">
        <v>0.75</v>
      </c>
      <c r="BS63" s="20">
        <f t="shared" si="67"/>
        <v>37366</v>
      </c>
      <c r="BT63" s="21">
        <f t="shared" si="68"/>
        <v>112098</v>
      </c>
      <c r="BU63" s="491">
        <f t="shared" si="69"/>
        <v>89678.400000000009</v>
      </c>
      <c r="BV63" s="1"/>
      <c r="BW63" s="561">
        <v>1.08</v>
      </c>
      <c r="BX63" s="568">
        <f t="shared" si="70"/>
        <v>3.24</v>
      </c>
      <c r="BY63" s="452">
        <f t="shared" si="71"/>
        <v>27678.518518518518</v>
      </c>
      <c r="BZ63" s="2"/>
      <c r="CA63" s="453" t="s">
        <v>261</v>
      </c>
      <c r="CB63" s="454">
        <f t="shared" si="77"/>
        <v>1</v>
      </c>
      <c r="CC63" s="455">
        <f t="shared" si="78"/>
        <v>29892.800000000003</v>
      </c>
      <c r="CD63" s="454">
        <f t="shared" si="79"/>
        <v>2</v>
      </c>
      <c r="CE63" s="455">
        <f t="shared" si="80"/>
        <v>59785.600000000006</v>
      </c>
      <c r="CF63" s="427" t="b">
        <f t="shared" si="76"/>
        <v>1</v>
      </c>
    </row>
    <row r="64" spans="1:84" s="458" customFormat="1" ht="14" customHeight="1" x14ac:dyDescent="0.25">
      <c r="A64" s="435"/>
      <c r="B64" s="446"/>
      <c r="C64" s="446"/>
      <c r="D64" s="447" t="s">
        <v>266</v>
      </c>
      <c r="E64" s="448" t="s">
        <v>230</v>
      </c>
      <c r="F64" s="448">
        <v>0.60416666666666663</v>
      </c>
      <c r="G64" s="448" t="s">
        <v>274</v>
      </c>
      <c r="H64" s="464">
        <v>30</v>
      </c>
      <c r="I64" s="11"/>
      <c r="J64" s="11"/>
      <c r="K64" s="13"/>
      <c r="L64" s="13"/>
      <c r="M64" s="11"/>
      <c r="N64" s="12"/>
      <c r="O64" s="12"/>
      <c r="P64" s="12"/>
      <c r="Q64" s="11"/>
      <c r="R64" s="13"/>
      <c r="S64" s="13"/>
      <c r="T64" s="11"/>
      <c r="U64" s="12"/>
      <c r="V64" s="12"/>
      <c r="W64" s="12"/>
      <c r="X64" s="11"/>
      <c r="Y64" s="13"/>
      <c r="Z64" s="13"/>
      <c r="AA64" s="11"/>
      <c r="AB64" s="12"/>
      <c r="AC64" s="12"/>
      <c r="AD64" s="12"/>
      <c r="AE64" s="11"/>
      <c r="AF64" s="13"/>
      <c r="AG64" s="13"/>
      <c r="AH64" s="11"/>
      <c r="AI64" s="11"/>
      <c r="AJ64" s="11">
        <v>1</v>
      </c>
      <c r="AK64" s="12"/>
      <c r="AL64" s="12"/>
      <c r="AM64" s="13"/>
      <c r="AN64" s="13"/>
      <c r="AO64" s="11"/>
      <c r="AP64" s="12"/>
      <c r="AQ64" s="12">
        <v>1</v>
      </c>
      <c r="AR64" s="12"/>
      <c r="AS64" s="11"/>
      <c r="AT64" s="13"/>
      <c r="AU64" s="13"/>
      <c r="AV64" s="11"/>
      <c r="AW64" s="12"/>
      <c r="AX64" s="12">
        <v>1</v>
      </c>
      <c r="AY64" s="12"/>
      <c r="AZ64" s="11"/>
      <c r="BA64" s="13"/>
      <c r="BB64" s="13"/>
      <c r="BC64" s="11"/>
      <c r="BD64" s="12"/>
      <c r="BE64" s="12"/>
      <c r="BF64" s="12"/>
      <c r="BG64" s="11"/>
      <c r="BH64" s="13"/>
      <c r="BI64" s="13"/>
      <c r="BJ64" s="11"/>
      <c r="BK64" s="12"/>
      <c r="BL64" s="12"/>
      <c r="BM64" s="12"/>
      <c r="BN64" s="11"/>
      <c r="BO64" s="13"/>
      <c r="BP64" s="449">
        <f t="shared" si="66"/>
        <v>3</v>
      </c>
      <c r="BQ64" s="460">
        <v>128521</v>
      </c>
      <c r="BR64" s="19">
        <v>0.75</v>
      </c>
      <c r="BS64" s="20">
        <f t="shared" si="67"/>
        <v>32130.25</v>
      </c>
      <c r="BT64" s="21">
        <f t="shared" si="68"/>
        <v>96390.75</v>
      </c>
      <c r="BU64" s="491">
        <f t="shared" si="69"/>
        <v>77112.600000000006</v>
      </c>
      <c r="BV64" s="1"/>
      <c r="BW64" s="561">
        <v>1.58</v>
      </c>
      <c r="BX64" s="568">
        <f t="shared" si="70"/>
        <v>4.74</v>
      </c>
      <c r="BY64" s="452">
        <f t="shared" si="71"/>
        <v>16268.481012658229</v>
      </c>
      <c r="BZ64" s="2"/>
      <c r="CA64" s="453" t="s">
        <v>261</v>
      </c>
      <c r="CB64" s="454">
        <f t="shared" si="77"/>
        <v>1</v>
      </c>
      <c r="CC64" s="455">
        <f t="shared" si="78"/>
        <v>25704.2</v>
      </c>
      <c r="CD64" s="454">
        <f t="shared" si="79"/>
        <v>2</v>
      </c>
      <c r="CE64" s="455">
        <f t="shared" si="80"/>
        <v>51408.4</v>
      </c>
      <c r="CF64" s="427" t="b">
        <f t="shared" si="76"/>
        <v>1</v>
      </c>
    </row>
    <row r="65" spans="1:107" s="458" customFormat="1" ht="14" customHeight="1" x14ac:dyDescent="0.25">
      <c r="A65" s="435"/>
      <c r="B65" s="446"/>
      <c r="C65" s="446"/>
      <c r="D65" s="459" t="s">
        <v>267</v>
      </c>
      <c r="E65" s="448" t="s">
        <v>230</v>
      </c>
      <c r="F65" s="448">
        <v>0.35416666666666669</v>
      </c>
      <c r="G65" s="448" t="s">
        <v>241</v>
      </c>
      <c r="H65" s="464">
        <v>30</v>
      </c>
      <c r="I65" s="11"/>
      <c r="J65" s="11"/>
      <c r="K65" s="13"/>
      <c r="L65" s="13"/>
      <c r="M65" s="11"/>
      <c r="N65" s="12"/>
      <c r="O65" s="12"/>
      <c r="P65" s="12"/>
      <c r="Q65" s="11"/>
      <c r="R65" s="13"/>
      <c r="S65" s="13"/>
      <c r="T65" s="11"/>
      <c r="U65" s="12"/>
      <c r="V65" s="12"/>
      <c r="W65" s="12"/>
      <c r="X65" s="11"/>
      <c r="Y65" s="13"/>
      <c r="Z65" s="13"/>
      <c r="AA65" s="11"/>
      <c r="AB65" s="12"/>
      <c r="AC65" s="12"/>
      <c r="AD65" s="12"/>
      <c r="AE65" s="11"/>
      <c r="AF65" s="13"/>
      <c r="AG65" s="13"/>
      <c r="AH65" s="11"/>
      <c r="AI65" s="11">
        <v>1</v>
      </c>
      <c r="AJ65" s="11"/>
      <c r="AK65" s="12"/>
      <c r="AL65" s="12"/>
      <c r="AM65" s="13"/>
      <c r="AN65" s="13"/>
      <c r="AO65" s="11"/>
      <c r="AP65" s="12">
        <v>1</v>
      </c>
      <c r="AQ65" s="12"/>
      <c r="AR65" s="12"/>
      <c r="AS65" s="11"/>
      <c r="AT65" s="13"/>
      <c r="AU65" s="13"/>
      <c r="AV65" s="11"/>
      <c r="AW65" s="12">
        <v>1</v>
      </c>
      <c r="AX65" s="12"/>
      <c r="AY65" s="12"/>
      <c r="AZ65" s="11"/>
      <c r="BA65" s="13"/>
      <c r="BB65" s="13"/>
      <c r="BC65" s="11"/>
      <c r="BD65" s="12"/>
      <c r="BE65" s="12"/>
      <c r="BF65" s="12"/>
      <c r="BG65" s="11"/>
      <c r="BH65" s="13"/>
      <c r="BI65" s="13"/>
      <c r="BJ65" s="11"/>
      <c r="BK65" s="12"/>
      <c r="BL65" s="12"/>
      <c r="BM65" s="12"/>
      <c r="BN65" s="11"/>
      <c r="BO65" s="13"/>
      <c r="BP65" s="449">
        <f t="shared" si="66"/>
        <v>3</v>
      </c>
      <c r="BQ65" s="460">
        <v>73583</v>
      </c>
      <c r="BR65" s="19">
        <v>0.75</v>
      </c>
      <c r="BS65" s="20">
        <f t="shared" si="67"/>
        <v>18395.75</v>
      </c>
      <c r="BT65" s="21">
        <f t="shared" si="68"/>
        <v>55187.25</v>
      </c>
      <c r="BU65" s="491">
        <f t="shared" si="69"/>
        <v>44149.8</v>
      </c>
      <c r="BV65" s="1"/>
      <c r="BW65" s="561">
        <v>1.38</v>
      </c>
      <c r="BX65" s="568">
        <f t="shared" si="70"/>
        <v>4.1399999999999997</v>
      </c>
      <c r="BY65" s="452">
        <f t="shared" si="71"/>
        <v>10664.202898550726</v>
      </c>
      <c r="BZ65" s="2"/>
      <c r="CA65" s="453" t="s">
        <v>261</v>
      </c>
      <c r="CB65" s="454">
        <f t="shared" si="77"/>
        <v>1</v>
      </c>
      <c r="CC65" s="455">
        <f t="shared" si="78"/>
        <v>14716.6</v>
      </c>
      <c r="CD65" s="454">
        <f t="shared" si="79"/>
        <v>2</v>
      </c>
      <c r="CE65" s="455">
        <f t="shared" si="80"/>
        <v>29433.200000000001</v>
      </c>
      <c r="CF65" s="427" t="b">
        <f t="shared" si="76"/>
        <v>1</v>
      </c>
    </row>
    <row r="66" spans="1:107" s="458" customFormat="1" ht="14" customHeight="1" x14ac:dyDescent="0.25">
      <c r="A66" s="435"/>
      <c r="B66" s="446"/>
      <c r="C66" s="446"/>
      <c r="D66" s="466" t="s">
        <v>268</v>
      </c>
      <c r="E66" s="448" t="s">
        <v>230</v>
      </c>
      <c r="F66" s="448">
        <v>0.3125</v>
      </c>
      <c r="G66" s="448" t="s">
        <v>275</v>
      </c>
      <c r="H66" s="464">
        <v>30</v>
      </c>
      <c r="I66" s="11"/>
      <c r="J66" s="11"/>
      <c r="K66" s="13"/>
      <c r="L66" s="13"/>
      <c r="M66" s="11"/>
      <c r="N66" s="12"/>
      <c r="O66" s="12"/>
      <c r="P66" s="12"/>
      <c r="Q66" s="11"/>
      <c r="R66" s="13"/>
      <c r="S66" s="13"/>
      <c r="T66" s="11"/>
      <c r="U66" s="12"/>
      <c r="V66" s="12"/>
      <c r="W66" s="12"/>
      <c r="X66" s="11"/>
      <c r="Y66" s="13"/>
      <c r="Z66" s="13"/>
      <c r="AA66" s="11"/>
      <c r="AB66" s="12"/>
      <c r="AC66" s="12"/>
      <c r="AD66" s="12"/>
      <c r="AE66" s="11"/>
      <c r="AF66" s="13"/>
      <c r="AG66" s="13"/>
      <c r="AH66" s="11"/>
      <c r="AI66" s="11"/>
      <c r="AJ66" s="11"/>
      <c r="AK66" s="12"/>
      <c r="AL66" s="12">
        <v>1</v>
      </c>
      <c r="AM66" s="13"/>
      <c r="AN66" s="13"/>
      <c r="AO66" s="11"/>
      <c r="AP66" s="12"/>
      <c r="AQ66" s="12"/>
      <c r="AR66" s="12"/>
      <c r="AS66" s="11">
        <v>1</v>
      </c>
      <c r="AT66" s="13"/>
      <c r="AU66" s="13"/>
      <c r="AV66" s="11"/>
      <c r="AW66" s="12"/>
      <c r="AX66" s="12"/>
      <c r="AY66" s="12"/>
      <c r="AZ66" s="11">
        <v>1</v>
      </c>
      <c r="BA66" s="13"/>
      <c r="BB66" s="13"/>
      <c r="BC66" s="11"/>
      <c r="BD66" s="12"/>
      <c r="BE66" s="12"/>
      <c r="BF66" s="12"/>
      <c r="BG66" s="11"/>
      <c r="BH66" s="13"/>
      <c r="BI66" s="13"/>
      <c r="BJ66" s="11"/>
      <c r="BK66" s="12"/>
      <c r="BL66" s="12"/>
      <c r="BM66" s="12"/>
      <c r="BN66" s="11"/>
      <c r="BO66" s="13"/>
      <c r="BP66" s="449">
        <f t="shared" si="66"/>
        <v>3</v>
      </c>
      <c r="BQ66" s="460">
        <v>73583</v>
      </c>
      <c r="BR66" s="19">
        <v>0.75</v>
      </c>
      <c r="BS66" s="20">
        <f t="shared" si="67"/>
        <v>18395.75</v>
      </c>
      <c r="BT66" s="21">
        <f t="shared" si="68"/>
        <v>55187.25</v>
      </c>
      <c r="BU66" s="491">
        <f t="shared" si="69"/>
        <v>44149.8</v>
      </c>
      <c r="BV66" s="1"/>
      <c r="BW66" s="561">
        <v>1.25</v>
      </c>
      <c r="BX66" s="568">
        <f t="shared" si="70"/>
        <v>3.75</v>
      </c>
      <c r="BY66" s="452">
        <f t="shared" si="71"/>
        <v>11773.28</v>
      </c>
      <c r="BZ66" s="2"/>
      <c r="CA66" s="453" t="s">
        <v>261</v>
      </c>
      <c r="CB66" s="454">
        <f t="shared" si="77"/>
        <v>1</v>
      </c>
      <c r="CC66" s="455">
        <f t="shared" si="78"/>
        <v>14716.6</v>
      </c>
      <c r="CD66" s="454">
        <f t="shared" si="79"/>
        <v>2</v>
      </c>
      <c r="CE66" s="455">
        <f t="shared" si="80"/>
        <v>29433.200000000001</v>
      </c>
      <c r="CF66" s="427" t="b">
        <f t="shared" si="76"/>
        <v>1</v>
      </c>
    </row>
    <row r="67" spans="1:107" s="458" customFormat="1" ht="14" customHeight="1" x14ac:dyDescent="0.25">
      <c r="A67" s="435"/>
      <c r="B67" s="446"/>
      <c r="C67" s="446"/>
      <c r="D67" s="447" t="s">
        <v>268</v>
      </c>
      <c r="E67" s="448" t="s">
        <v>230</v>
      </c>
      <c r="F67" s="448">
        <v>0.3125</v>
      </c>
      <c r="G67" s="448" t="s">
        <v>275</v>
      </c>
      <c r="H67" s="464">
        <v>60</v>
      </c>
      <c r="I67" s="11"/>
      <c r="J67" s="11"/>
      <c r="K67" s="13"/>
      <c r="L67" s="13"/>
      <c r="M67" s="11"/>
      <c r="N67" s="12"/>
      <c r="O67" s="12"/>
      <c r="P67" s="12"/>
      <c r="Q67" s="11"/>
      <c r="R67" s="13"/>
      <c r="S67" s="13"/>
      <c r="T67" s="11"/>
      <c r="U67" s="12"/>
      <c r="V67" s="12"/>
      <c r="W67" s="12"/>
      <c r="X67" s="11"/>
      <c r="Y67" s="13"/>
      <c r="Z67" s="13"/>
      <c r="AA67" s="11"/>
      <c r="AB67" s="12"/>
      <c r="AC67" s="12"/>
      <c r="AD67" s="12"/>
      <c r="AE67" s="11">
        <v>1</v>
      </c>
      <c r="AF67" s="13"/>
      <c r="AG67" s="13"/>
      <c r="AH67" s="11"/>
      <c r="AI67" s="11"/>
      <c r="AJ67" s="11"/>
      <c r="AK67" s="12"/>
      <c r="AL67" s="12"/>
      <c r="AM67" s="13"/>
      <c r="AN67" s="13"/>
      <c r="AO67" s="11"/>
      <c r="AP67" s="12"/>
      <c r="AQ67" s="12"/>
      <c r="AR67" s="12"/>
      <c r="AS67" s="11"/>
      <c r="AT67" s="13"/>
      <c r="AU67" s="13"/>
      <c r="AV67" s="11"/>
      <c r="AW67" s="12"/>
      <c r="AX67" s="12"/>
      <c r="AY67" s="12"/>
      <c r="AZ67" s="11"/>
      <c r="BA67" s="13"/>
      <c r="BB67" s="13"/>
      <c r="BC67" s="11"/>
      <c r="BD67" s="12"/>
      <c r="BE67" s="12"/>
      <c r="BF67" s="12"/>
      <c r="BG67" s="11"/>
      <c r="BH67" s="13"/>
      <c r="BI67" s="13"/>
      <c r="BJ67" s="11"/>
      <c r="BK67" s="12"/>
      <c r="BL67" s="12"/>
      <c r="BM67" s="12"/>
      <c r="BN67" s="11"/>
      <c r="BO67" s="13"/>
      <c r="BP67" s="449">
        <f t="shared" si="66"/>
        <v>1</v>
      </c>
      <c r="BQ67" s="460">
        <v>147166</v>
      </c>
      <c r="BR67" s="19">
        <v>0.75</v>
      </c>
      <c r="BS67" s="20">
        <f t="shared" si="67"/>
        <v>36791.5</v>
      </c>
      <c r="BT67" s="21">
        <f t="shared" si="68"/>
        <v>36791.5</v>
      </c>
      <c r="BU67" s="491">
        <f t="shared" si="69"/>
        <v>29433.200000000001</v>
      </c>
      <c r="BV67" s="1"/>
      <c r="BW67" s="561">
        <v>1.25</v>
      </c>
      <c r="BX67" s="568">
        <f t="shared" si="70"/>
        <v>1.25</v>
      </c>
      <c r="BY67" s="452">
        <f t="shared" si="71"/>
        <v>23546.560000000001</v>
      </c>
      <c r="BZ67" s="2"/>
      <c r="CA67" s="453" t="s">
        <v>261</v>
      </c>
      <c r="CB67" s="454">
        <f t="shared" si="77"/>
        <v>1</v>
      </c>
      <c r="CC67" s="455">
        <f t="shared" si="78"/>
        <v>29433.200000000001</v>
      </c>
      <c r="CD67" s="454">
        <f t="shared" si="79"/>
        <v>0</v>
      </c>
      <c r="CE67" s="455">
        <f t="shared" si="80"/>
        <v>0</v>
      </c>
      <c r="CF67" s="427" t="b">
        <f t="shared" si="76"/>
        <v>1</v>
      </c>
    </row>
    <row r="68" spans="1:107" s="458" customFormat="1" ht="14" customHeight="1" x14ac:dyDescent="0.25">
      <c r="A68" s="435"/>
      <c r="B68" s="446"/>
      <c r="C68" s="446"/>
      <c r="D68" s="447" t="s">
        <v>269</v>
      </c>
      <c r="E68" s="448" t="s">
        <v>230</v>
      </c>
      <c r="F68" s="448">
        <v>0.45833333333333331</v>
      </c>
      <c r="G68" s="448" t="s">
        <v>276</v>
      </c>
      <c r="H68" s="464">
        <v>30</v>
      </c>
      <c r="I68" s="11"/>
      <c r="J68" s="11"/>
      <c r="K68" s="13"/>
      <c r="L68" s="13"/>
      <c r="M68" s="11"/>
      <c r="N68" s="12"/>
      <c r="O68" s="12"/>
      <c r="P68" s="12"/>
      <c r="Q68" s="11"/>
      <c r="R68" s="13"/>
      <c r="S68" s="13"/>
      <c r="T68" s="11"/>
      <c r="U68" s="12"/>
      <c r="V68" s="12"/>
      <c r="W68" s="12"/>
      <c r="X68" s="11"/>
      <c r="Y68" s="13"/>
      <c r="Z68" s="13"/>
      <c r="AA68" s="11"/>
      <c r="AB68" s="12"/>
      <c r="AC68" s="12"/>
      <c r="AD68" s="12"/>
      <c r="AE68" s="11"/>
      <c r="AF68" s="13"/>
      <c r="AG68" s="13"/>
      <c r="AH68" s="11"/>
      <c r="AI68" s="11"/>
      <c r="AJ68" s="11"/>
      <c r="AK68" s="12"/>
      <c r="AL68" s="12"/>
      <c r="AM68" s="13">
        <v>1</v>
      </c>
      <c r="AN68" s="13"/>
      <c r="AO68" s="11"/>
      <c r="AP68" s="12"/>
      <c r="AQ68" s="12"/>
      <c r="AR68" s="12"/>
      <c r="AS68" s="11"/>
      <c r="AT68" s="13">
        <v>1</v>
      </c>
      <c r="AU68" s="13"/>
      <c r="AV68" s="11"/>
      <c r="AW68" s="12"/>
      <c r="AX68" s="12"/>
      <c r="AY68" s="12"/>
      <c r="AZ68" s="11"/>
      <c r="BA68" s="13">
        <v>1</v>
      </c>
      <c r="BB68" s="13"/>
      <c r="BC68" s="11"/>
      <c r="BD68" s="12"/>
      <c r="BE68" s="12"/>
      <c r="BF68" s="12"/>
      <c r="BG68" s="11"/>
      <c r="BH68" s="13"/>
      <c r="BI68" s="13"/>
      <c r="BJ68" s="11"/>
      <c r="BK68" s="12"/>
      <c r="BL68" s="12"/>
      <c r="BM68" s="12"/>
      <c r="BN68" s="11"/>
      <c r="BO68" s="13"/>
      <c r="BP68" s="449">
        <f t="shared" si="66"/>
        <v>3</v>
      </c>
      <c r="BQ68" s="460">
        <v>73583</v>
      </c>
      <c r="BR68" s="19">
        <v>0.75</v>
      </c>
      <c r="BS68" s="20">
        <f t="shared" si="67"/>
        <v>18395.75</v>
      </c>
      <c r="BT68" s="21">
        <f t="shared" si="68"/>
        <v>55187.25</v>
      </c>
      <c r="BU68" s="491">
        <f t="shared" si="69"/>
        <v>44149.8</v>
      </c>
      <c r="BV68" s="1"/>
      <c r="BW68" s="561">
        <v>1.17</v>
      </c>
      <c r="BX68" s="568">
        <f t="shared" si="70"/>
        <v>3.51</v>
      </c>
      <c r="BY68" s="452">
        <f t="shared" si="71"/>
        <v>12578.2905982906</v>
      </c>
      <c r="BZ68" s="2"/>
      <c r="CA68" s="453" t="s">
        <v>261</v>
      </c>
      <c r="CB68" s="454">
        <f t="shared" si="77"/>
        <v>1</v>
      </c>
      <c r="CC68" s="455">
        <f t="shared" si="78"/>
        <v>14716.6</v>
      </c>
      <c r="CD68" s="454">
        <f t="shared" si="79"/>
        <v>2</v>
      </c>
      <c r="CE68" s="455">
        <f t="shared" si="80"/>
        <v>29433.200000000001</v>
      </c>
      <c r="CF68" s="427" t="b">
        <f t="shared" si="76"/>
        <v>1</v>
      </c>
    </row>
    <row r="69" spans="1:107" s="458" customFormat="1" ht="14" customHeight="1" x14ac:dyDescent="0.25">
      <c r="A69" s="435"/>
      <c r="B69" s="446"/>
      <c r="C69" s="446"/>
      <c r="D69" s="459" t="s">
        <v>269</v>
      </c>
      <c r="E69" s="448" t="s">
        <v>230</v>
      </c>
      <c r="F69" s="448">
        <v>0.45833333333333331</v>
      </c>
      <c r="G69" s="448" t="s">
        <v>276</v>
      </c>
      <c r="H69" s="464">
        <v>60</v>
      </c>
      <c r="I69" s="11"/>
      <c r="J69" s="11"/>
      <c r="K69" s="13"/>
      <c r="L69" s="13"/>
      <c r="M69" s="11"/>
      <c r="N69" s="12"/>
      <c r="O69" s="12"/>
      <c r="P69" s="12"/>
      <c r="Q69" s="11"/>
      <c r="R69" s="13"/>
      <c r="S69" s="13"/>
      <c r="T69" s="11"/>
      <c r="U69" s="12"/>
      <c r="V69" s="12"/>
      <c r="W69" s="12"/>
      <c r="X69" s="11"/>
      <c r="Y69" s="13"/>
      <c r="Z69" s="13"/>
      <c r="AA69" s="11"/>
      <c r="AB69" s="12"/>
      <c r="AC69" s="12"/>
      <c r="AD69" s="12"/>
      <c r="AE69" s="11"/>
      <c r="AF69" s="13">
        <v>1</v>
      </c>
      <c r="AG69" s="13"/>
      <c r="AH69" s="11"/>
      <c r="AI69" s="11"/>
      <c r="AJ69" s="11"/>
      <c r="AK69" s="12"/>
      <c r="AL69" s="12"/>
      <c r="AM69" s="13"/>
      <c r="AN69" s="13"/>
      <c r="AO69" s="11"/>
      <c r="AP69" s="12"/>
      <c r="AQ69" s="12"/>
      <c r="AR69" s="12"/>
      <c r="AS69" s="11"/>
      <c r="AT69" s="13"/>
      <c r="AU69" s="13"/>
      <c r="AV69" s="11"/>
      <c r="AW69" s="12"/>
      <c r="AX69" s="12"/>
      <c r="AY69" s="12"/>
      <c r="AZ69" s="11"/>
      <c r="BA69" s="13"/>
      <c r="BB69" s="13"/>
      <c r="BC69" s="11"/>
      <c r="BD69" s="12"/>
      <c r="BE69" s="12"/>
      <c r="BF69" s="12"/>
      <c r="BG69" s="11"/>
      <c r="BH69" s="13"/>
      <c r="BI69" s="13"/>
      <c r="BJ69" s="11"/>
      <c r="BK69" s="12"/>
      <c r="BL69" s="12"/>
      <c r="BM69" s="12"/>
      <c r="BN69" s="11"/>
      <c r="BO69" s="13"/>
      <c r="BP69" s="449">
        <f t="shared" si="66"/>
        <v>1</v>
      </c>
      <c r="BQ69" s="460">
        <v>147166</v>
      </c>
      <c r="BR69" s="19">
        <v>0.75</v>
      </c>
      <c r="BS69" s="20">
        <f t="shared" si="67"/>
        <v>36791.5</v>
      </c>
      <c r="BT69" s="21">
        <f t="shared" si="68"/>
        <v>36791.5</v>
      </c>
      <c r="BU69" s="491">
        <f t="shared" si="69"/>
        <v>29433.200000000001</v>
      </c>
      <c r="BV69" s="1"/>
      <c r="BW69" s="561">
        <v>1.17</v>
      </c>
      <c r="BX69" s="568">
        <f t="shared" si="70"/>
        <v>1.17</v>
      </c>
      <c r="BY69" s="452">
        <f t="shared" si="71"/>
        <v>25156.581196581199</v>
      </c>
      <c r="BZ69" s="2"/>
      <c r="CA69" s="453" t="s">
        <v>261</v>
      </c>
      <c r="CB69" s="454">
        <f t="shared" si="77"/>
        <v>1</v>
      </c>
      <c r="CC69" s="455">
        <f t="shared" si="78"/>
        <v>29433.200000000001</v>
      </c>
      <c r="CD69" s="454">
        <f t="shared" si="79"/>
        <v>0</v>
      </c>
      <c r="CE69" s="455">
        <f t="shared" si="80"/>
        <v>0</v>
      </c>
      <c r="CF69" s="427" t="b">
        <f t="shared" si="76"/>
        <v>1</v>
      </c>
    </row>
    <row r="70" spans="1:107" s="458" customFormat="1" ht="14" customHeight="1" x14ac:dyDescent="0.25">
      <c r="A70" s="435"/>
      <c r="B70" s="446"/>
      <c r="C70" s="446"/>
      <c r="D70" s="466"/>
      <c r="E70" s="448"/>
      <c r="F70" s="448"/>
      <c r="G70" s="448"/>
      <c r="H70" s="464"/>
      <c r="I70" s="11"/>
      <c r="J70" s="11"/>
      <c r="K70" s="13"/>
      <c r="L70" s="13"/>
      <c r="M70" s="11"/>
      <c r="N70" s="12"/>
      <c r="O70" s="12"/>
      <c r="P70" s="12"/>
      <c r="Q70" s="11"/>
      <c r="R70" s="13"/>
      <c r="S70" s="13"/>
      <c r="T70" s="11"/>
      <c r="U70" s="12"/>
      <c r="V70" s="12"/>
      <c r="W70" s="12"/>
      <c r="X70" s="11"/>
      <c r="Y70" s="13"/>
      <c r="Z70" s="13"/>
      <c r="AA70" s="11"/>
      <c r="AB70" s="12"/>
      <c r="AC70" s="12"/>
      <c r="AD70" s="12"/>
      <c r="AE70" s="11"/>
      <c r="AF70" s="13"/>
      <c r="AG70" s="13"/>
      <c r="AH70" s="11"/>
      <c r="AI70" s="11"/>
      <c r="AJ70" s="11"/>
      <c r="AK70" s="12"/>
      <c r="AL70" s="12"/>
      <c r="AM70" s="13"/>
      <c r="AN70" s="13"/>
      <c r="AO70" s="11"/>
      <c r="AP70" s="12"/>
      <c r="AQ70" s="12"/>
      <c r="AR70" s="12"/>
      <c r="AS70" s="11"/>
      <c r="AT70" s="13"/>
      <c r="AU70" s="13"/>
      <c r="AV70" s="11"/>
      <c r="AW70" s="12"/>
      <c r="AX70" s="12"/>
      <c r="AY70" s="12"/>
      <c r="AZ70" s="11"/>
      <c r="BA70" s="13"/>
      <c r="BB70" s="13"/>
      <c r="BC70" s="11"/>
      <c r="BD70" s="12"/>
      <c r="BE70" s="12"/>
      <c r="BF70" s="12"/>
      <c r="BG70" s="11"/>
      <c r="BH70" s="13"/>
      <c r="BI70" s="13"/>
      <c r="BJ70" s="11"/>
      <c r="BK70" s="12"/>
      <c r="BL70" s="12"/>
      <c r="BM70" s="12"/>
      <c r="BN70" s="11"/>
      <c r="BO70" s="13"/>
      <c r="BP70" s="449"/>
      <c r="BQ70" s="15"/>
      <c r="BR70" s="456"/>
      <c r="BS70" s="15"/>
      <c r="BT70" s="22"/>
      <c r="BU70" s="22"/>
      <c r="BV70" s="1"/>
      <c r="BW70" s="571"/>
      <c r="BX70" s="565"/>
      <c r="BY70" s="566"/>
      <c r="BZ70" s="2"/>
      <c r="CA70" s="494" t="s">
        <v>152</v>
      </c>
      <c r="CB70" s="495">
        <f>SUM(CB58:CB69)</f>
        <v>11</v>
      </c>
      <c r="CC70" s="496">
        <f>SUM(CC58:CC69)</f>
        <v>408513.19999999995</v>
      </c>
      <c r="CD70" s="495">
        <f>SUM(CD58:CD69)</f>
        <v>17</v>
      </c>
      <c r="CE70" s="496">
        <f>SUM(CE58:CE69)</f>
        <v>458611.20000000013</v>
      </c>
      <c r="CF70" s="427"/>
    </row>
    <row r="71" spans="1:107" ht="3.75" customHeight="1" x14ac:dyDescent="0.25">
      <c r="A71" s="435"/>
      <c r="B71" s="467"/>
      <c r="C71" s="468"/>
      <c r="D71" s="468"/>
      <c r="E71" s="468"/>
      <c r="F71" s="468"/>
      <c r="G71" s="468"/>
      <c r="H71" s="468"/>
      <c r="I71" s="468"/>
      <c r="J71" s="468"/>
      <c r="K71" s="468"/>
      <c r="L71" s="468"/>
      <c r="M71" s="468"/>
      <c r="N71" s="468"/>
      <c r="O71" s="468"/>
      <c r="P71" s="468"/>
      <c r="Q71" s="468"/>
      <c r="R71" s="468"/>
      <c r="S71" s="468"/>
      <c r="T71" s="468"/>
      <c r="U71" s="468"/>
      <c r="V71" s="468"/>
      <c r="W71" s="468"/>
      <c r="X71" s="468"/>
      <c r="Y71" s="468"/>
      <c r="Z71" s="468"/>
      <c r="AA71" s="468"/>
      <c r="AB71" s="468"/>
      <c r="AC71" s="468"/>
      <c r="AD71" s="468"/>
      <c r="AE71" s="468"/>
      <c r="AF71" s="13"/>
      <c r="AG71" s="13"/>
      <c r="AH71" s="468"/>
      <c r="AI71" s="468"/>
      <c r="AJ71" s="468"/>
      <c r="AK71" s="468"/>
      <c r="AL71" s="468"/>
      <c r="AM71" s="13"/>
      <c r="AN71" s="468"/>
      <c r="AO71" s="468"/>
      <c r="AP71" s="468"/>
      <c r="AQ71" s="468"/>
      <c r="AR71" s="468"/>
      <c r="AS71" s="468"/>
      <c r="AT71" s="468"/>
      <c r="AU71" s="468"/>
      <c r="AV71" s="468"/>
      <c r="AW71" s="468"/>
      <c r="AX71" s="468"/>
      <c r="AY71" s="468"/>
      <c r="AZ71" s="468"/>
      <c r="BA71" s="468"/>
      <c r="BB71" s="468"/>
      <c r="BC71" s="468"/>
      <c r="BD71" s="468"/>
      <c r="BE71" s="468"/>
      <c r="BF71" s="468"/>
      <c r="BG71" s="468"/>
      <c r="BH71" s="468"/>
      <c r="BI71" s="468"/>
      <c r="BJ71" s="468"/>
      <c r="BK71" s="13"/>
      <c r="BL71" s="13"/>
      <c r="BM71" s="468"/>
      <c r="BN71" s="468"/>
      <c r="BO71" s="468"/>
      <c r="BP71" s="468"/>
      <c r="BQ71" s="468"/>
      <c r="BR71" s="468"/>
      <c r="BS71" s="468"/>
      <c r="BT71" s="23"/>
      <c r="BU71" s="24"/>
      <c r="BY71" s="469"/>
      <c r="CA71" s="470"/>
      <c r="CB71" s="471"/>
      <c r="CC71" s="472"/>
      <c r="CD71" s="471"/>
      <c r="CE71" s="472"/>
    </row>
    <row r="72" spans="1:107" x14ac:dyDescent="0.25">
      <c r="A72" s="2"/>
      <c r="B72" s="25" t="s">
        <v>215</v>
      </c>
      <c r="C72" s="473"/>
      <c r="D72" s="473"/>
      <c r="E72" s="473"/>
      <c r="F72" s="473"/>
      <c r="G72" s="473"/>
      <c r="H72" s="473"/>
      <c r="I72" s="473">
        <f>COUNTA(I12:I22)</f>
        <v>0</v>
      </c>
      <c r="J72" s="473">
        <f>COUNTA(J12:J22)</f>
        <v>0</v>
      </c>
      <c r="K72" s="473">
        <f>COUNTA(K12:K22)</f>
        <v>0</v>
      </c>
      <c r="L72" s="473">
        <f>COUNTA(L12:L22)</f>
        <v>0</v>
      </c>
      <c r="M72" s="473">
        <f>COUNTA(M12:M22)</f>
        <v>0</v>
      </c>
      <c r="N72" s="473">
        <f>SUM(N12:N22)</f>
        <v>0</v>
      </c>
      <c r="O72" s="473">
        <f>SUM(O12:O22)</f>
        <v>0</v>
      </c>
      <c r="P72" s="473">
        <f>SUM(P12:P22)</f>
        <v>0</v>
      </c>
      <c r="Q72" s="473">
        <f t="shared" ref="Q72:AA72" si="81">SUM(Q12:Q70)</f>
        <v>0</v>
      </c>
      <c r="R72" s="473">
        <f t="shared" si="81"/>
        <v>0</v>
      </c>
      <c r="S72" s="473">
        <f t="shared" si="81"/>
        <v>0</v>
      </c>
      <c r="T72" s="473">
        <f t="shared" si="81"/>
        <v>0</v>
      </c>
      <c r="U72" s="473">
        <f t="shared" si="81"/>
        <v>0</v>
      </c>
      <c r="V72" s="473">
        <f t="shared" si="81"/>
        <v>0</v>
      </c>
      <c r="W72" s="473">
        <f t="shared" si="81"/>
        <v>0</v>
      </c>
      <c r="X72" s="473">
        <f t="shared" si="81"/>
        <v>0</v>
      </c>
      <c r="Y72" s="473">
        <f t="shared" si="81"/>
        <v>0</v>
      </c>
      <c r="Z72" s="473">
        <f t="shared" si="81"/>
        <v>0</v>
      </c>
      <c r="AA72" s="473">
        <f t="shared" si="81"/>
        <v>0</v>
      </c>
      <c r="AB72" s="473">
        <f t="shared" ref="AB72:BB72" si="82">SUM(AB12:AB70)</f>
        <v>0</v>
      </c>
      <c r="AC72" s="473">
        <f t="shared" si="82"/>
        <v>1</v>
      </c>
      <c r="AD72" s="473">
        <f t="shared" si="82"/>
        <v>5</v>
      </c>
      <c r="AE72" s="473">
        <f t="shared" si="82"/>
        <v>6</v>
      </c>
      <c r="AF72" s="473">
        <f t="shared" si="82"/>
        <v>3</v>
      </c>
      <c r="AG72" s="473">
        <f t="shared" si="82"/>
        <v>3</v>
      </c>
      <c r="AH72" s="473">
        <f t="shared" si="82"/>
        <v>6</v>
      </c>
      <c r="AI72" s="473">
        <f t="shared" si="82"/>
        <v>3</v>
      </c>
      <c r="AJ72" s="473">
        <f t="shared" si="82"/>
        <v>4</v>
      </c>
      <c r="AK72" s="473">
        <f t="shared" si="82"/>
        <v>5</v>
      </c>
      <c r="AL72" s="473">
        <f t="shared" si="82"/>
        <v>4</v>
      </c>
      <c r="AM72" s="473">
        <f t="shared" si="82"/>
        <v>3</v>
      </c>
      <c r="AN72" s="473">
        <f t="shared" si="82"/>
        <v>2</v>
      </c>
      <c r="AO72" s="473">
        <f t="shared" si="82"/>
        <v>6</v>
      </c>
      <c r="AP72" s="473">
        <f t="shared" si="82"/>
        <v>2</v>
      </c>
      <c r="AQ72" s="473">
        <f t="shared" si="82"/>
        <v>4</v>
      </c>
      <c r="AR72" s="473">
        <f t="shared" si="82"/>
        <v>4</v>
      </c>
      <c r="AS72" s="473">
        <f t="shared" si="82"/>
        <v>4</v>
      </c>
      <c r="AT72" s="473">
        <f t="shared" si="82"/>
        <v>3</v>
      </c>
      <c r="AU72" s="473">
        <f t="shared" si="82"/>
        <v>4</v>
      </c>
      <c r="AV72" s="473">
        <f t="shared" si="82"/>
        <v>5</v>
      </c>
      <c r="AW72" s="473">
        <f t="shared" si="82"/>
        <v>4</v>
      </c>
      <c r="AX72" s="473">
        <f t="shared" si="82"/>
        <v>3</v>
      </c>
      <c r="AY72" s="473">
        <f t="shared" si="82"/>
        <v>4</v>
      </c>
      <c r="AZ72" s="473">
        <f t="shared" si="82"/>
        <v>3</v>
      </c>
      <c r="BA72" s="473">
        <f t="shared" si="82"/>
        <v>2</v>
      </c>
      <c r="BB72" s="473">
        <f t="shared" si="82"/>
        <v>2</v>
      </c>
      <c r="BC72" s="473">
        <f t="shared" ref="BC72:BJ72" si="83">SUM(BC12:BC70)</f>
        <v>0</v>
      </c>
      <c r="BD72" s="473">
        <f t="shared" si="83"/>
        <v>0</v>
      </c>
      <c r="BE72" s="473">
        <f t="shared" si="83"/>
        <v>0</v>
      </c>
      <c r="BF72" s="473">
        <f t="shared" si="83"/>
        <v>0</v>
      </c>
      <c r="BG72" s="473">
        <f t="shared" si="83"/>
        <v>0</v>
      </c>
      <c r="BH72" s="473">
        <f t="shared" si="83"/>
        <v>0</v>
      </c>
      <c r="BI72" s="473">
        <f t="shared" si="83"/>
        <v>0</v>
      </c>
      <c r="BJ72" s="473">
        <f t="shared" si="83"/>
        <v>0</v>
      </c>
      <c r="BK72" s="473">
        <f>SUM(BK13:BK71)</f>
        <v>0</v>
      </c>
      <c r="BL72" s="473">
        <f>SUM(BL13:BL71)</f>
        <v>0</v>
      </c>
      <c r="BM72" s="473">
        <f>SUM(BM12:BM22)</f>
        <v>0</v>
      </c>
      <c r="BN72" s="473">
        <f>SUM(BN12:BN22)</f>
        <v>0</v>
      </c>
      <c r="BO72" s="473">
        <f>SUM(BO12:BO22)</f>
        <v>0</v>
      </c>
      <c r="BP72" s="474">
        <f>SUM(BP13:BP70)</f>
        <v>95</v>
      </c>
      <c r="BQ72" s="26"/>
      <c r="BR72" s="26"/>
      <c r="BS72" s="475"/>
      <c r="BT72" s="476">
        <f>SUM(BT13:BT70)</f>
        <v>6911592.1899999995</v>
      </c>
      <c r="BU72" s="476">
        <f>SUM(BU13:BU70)</f>
        <v>5529273.7520000003</v>
      </c>
      <c r="BW72" s="477"/>
      <c r="BX72" s="478">
        <f>SUM(BX12:BX70)</f>
        <v>354.22000000000014</v>
      </c>
      <c r="BY72" s="479">
        <f>BU72/BX72</f>
        <v>15609.716424820728</v>
      </c>
      <c r="CA72" s="497" t="s">
        <v>196</v>
      </c>
      <c r="CB72" s="480">
        <f>CB32+CB44+CB57+CB70</f>
        <v>43</v>
      </c>
      <c r="CC72" s="481">
        <f>CC32+CC44+CC57+CC70</f>
        <v>3573083.5120000001</v>
      </c>
      <c r="CD72" s="480">
        <f>CD32+CD44+CD57+CD70</f>
        <v>52</v>
      </c>
      <c r="CE72" s="481">
        <f>CE32+CE44+CE57+CE70</f>
        <v>1956190.2400000002</v>
      </c>
    </row>
    <row r="73" spans="1:107" x14ac:dyDescent="0.25">
      <c r="A73" s="2"/>
      <c r="B73" s="2"/>
      <c r="C73" s="2"/>
      <c r="D73" s="2"/>
      <c r="E73" s="2"/>
      <c r="F73" s="2"/>
      <c r="G73" s="2"/>
      <c r="H73" s="428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  <c r="AC73" s="2"/>
      <c r="AD73" s="2"/>
      <c r="AE73" s="2"/>
      <c r="AF73" s="2"/>
      <c r="AG73" s="2"/>
      <c r="AH73" s="2"/>
      <c r="AI73" s="2"/>
      <c r="AJ73" s="2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  <c r="BA73" s="2"/>
      <c r="BB73" s="2"/>
      <c r="BC73" s="2"/>
      <c r="BD73" s="2"/>
      <c r="BE73" s="2"/>
      <c r="BF73" s="2"/>
      <c r="BG73" s="2"/>
      <c r="BH73" s="2"/>
      <c r="BI73" s="2"/>
      <c r="BJ73" s="2"/>
      <c r="BK73" s="2"/>
      <c r="BL73" s="2"/>
      <c r="BM73" s="2"/>
      <c r="BN73" s="2"/>
      <c r="BO73" s="2"/>
      <c r="BP73" s="2"/>
      <c r="BQ73" s="2"/>
      <c r="BR73" s="2"/>
      <c r="BS73" s="2"/>
      <c r="BT73" s="492" t="s">
        <v>277</v>
      </c>
      <c r="BU73" s="482">
        <f>SUM(BU58:BU69)</f>
        <v>867124.40000000014</v>
      </c>
      <c r="CC73" s="431"/>
      <c r="CD73" s="498"/>
      <c r="CE73" s="499"/>
    </row>
    <row r="74" spans="1:107" s="427" customFormat="1" x14ac:dyDescent="0.25">
      <c r="A74" s="1"/>
      <c r="B74" s="1"/>
      <c r="C74" s="1"/>
      <c r="D74" s="484"/>
      <c r="E74" s="1"/>
      <c r="F74" s="1"/>
      <c r="G74" s="1"/>
      <c r="H74" s="425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493" t="s">
        <v>278</v>
      </c>
      <c r="BU74" s="430">
        <f>BU72-BU73</f>
        <v>4662149.352</v>
      </c>
      <c r="BV74" s="1"/>
      <c r="BW74" s="619" t="s">
        <v>374</v>
      </c>
      <c r="BX74" s="619"/>
      <c r="BY74" s="487" t="s">
        <v>379</v>
      </c>
      <c r="BZ74" s="1"/>
      <c r="CA74" s="425"/>
      <c r="CB74" s="425"/>
      <c r="CC74" s="425"/>
      <c r="CD74" s="500" t="s">
        <v>152</v>
      </c>
      <c r="CE74" s="501">
        <f>CC72+CE72</f>
        <v>5529273.7520000003</v>
      </c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</row>
    <row r="75" spans="1:107" s="427" customFormat="1" x14ac:dyDescent="0.25">
      <c r="A75" s="1"/>
      <c r="B75" s="1"/>
      <c r="C75" s="1"/>
      <c r="D75" s="484"/>
      <c r="E75" s="1"/>
      <c r="F75" s="1"/>
      <c r="G75" s="1"/>
      <c r="H75" s="425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483"/>
      <c r="BV75" s="1"/>
      <c r="BW75" s="572" t="s">
        <v>375</v>
      </c>
      <c r="BX75" s="573">
        <v>0.52</v>
      </c>
      <c r="BY75" s="576">
        <v>32157000</v>
      </c>
      <c r="BZ75" s="1"/>
      <c r="CA75" s="425"/>
      <c r="CB75" s="425"/>
      <c r="CC75" s="425"/>
      <c r="CD75" s="425"/>
      <c r="CE75" s="502" t="b">
        <f>CE74=BU72</f>
        <v>1</v>
      </c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</row>
    <row r="76" spans="1:107" s="427" customFormat="1" x14ac:dyDescent="0.25">
      <c r="A76" s="1"/>
      <c r="B76" s="1"/>
      <c r="C76" s="1"/>
      <c r="D76" s="1"/>
      <c r="E76" s="1"/>
      <c r="F76" s="1"/>
      <c r="G76" s="1"/>
      <c r="H76" s="425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483"/>
      <c r="BV76" s="1"/>
      <c r="BW76" s="572" t="s">
        <v>376</v>
      </c>
      <c r="BX76" s="574">
        <f>BY75*BX75</f>
        <v>16721640</v>
      </c>
      <c r="BY76" s="2"/>
      <c r="BZ76" s="1"/>
      <c r="CA76" s="425"/>
      <c r="CB76" s="425"/>
      <c r="CC76" s="425"/>
      <c r="CD76" s="425"/>
      <c r="CE76" s="425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</row>
    <row r="77" spans="1:107" x14ac:dyDescent="0.25">
      <c r="BW77" s="572" t="s">
        <v>377</v>
      </c>
      <c r="BX77" s="572">
        <v>4.0999999999999996</v>
      </c>
      <c r="BY77" s="2"/>
    </row>
    <row r="78" spans="1:107" x14ac:dyDescent="0.25">
      <c r="BW78" s="572" t="s">
        <v>378</v>
      </c>
      <c r="BX78" s="574">
        <f>BY75*BX72%</f>
        <v>113906525.40000005</v>
      </c>
      <c r="BY78" s="2"/>
    </row>
    <row r="79" spans="1:107" x14ac:dyDescent="0.25">
      <c r="BW79" s="572" t="s">
        <v>31</v>
      </c>
      <c r="BX79" s="575">
        <f>BU72/BX78*1000</f>
        <v>48.542203640951357</v>
      </c>
      <c r="BY79" s="2"/>
    </row>
  </sheetData>
  <mergeCells count="24">
    <mergeCell ref="CA8:CE9"/>
    <mergeCell ref="CA10:CA12"/>
    <mergeCell ref="CB10:CC11"/>
    <mergeCell ref="CD10:CE11"/>
    <mergeCell ref="I8:AM8"/>
    <mergeCell ref="AN8:BO8"/>
    <mergeCell ref="BW8:BW10"/>
    <mergeCell ref="BX8:BX10"/>
    <mergeCell ref="BP8:BP10"/>
    <mergeCell ref="BQ8:BQ10"/>
    <mergeCell ref="BR8:BR10"/>
    <mergeCell ref="BS8:BS10"/>
    <mergeCell ref="BT8:BT10"/>
    <mergeCell ref="BU8:BU10"/>
    <mergeCell ref="BW74:BX74"/>
    <mergeCell ref="BW7:BY7"/>
    <mergeCell ref="B8:B10"/>
    <mergeCell ref="C8:C10"/>
    <mergeCell ref="D8:D10"/>
    <mergeCell ref="F8:F10"/>
    <mergeCell ref="G8:G10"/>
    <mergeCell ref="H8:H10"/>
    <mergeCell ref="BY8:BY10"/>
    <mergeCell ref="E8:E10"/>
  </mergeCells>
  <conditionalFormatting sqref="I12:BO70">
    <cfRule type="notContainsBlanks" dxfId="133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F229A8-7B26-4566-94AF-D12A16262C35}">
  <sheetPr>
    <tabColor theme="4"/>
  </sheetPr>
  <dimension ref="A1:DC34"/>
  <sheetViews>
    <sheetView showGridLines="0" zoomScale="85" zoomScaleNormal="85" workbookViewId="0">
      <pane xSplit="4" ySplit="10" topLeftCell="H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BW15" sqref="BW15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425" customWidth="1"/>
    <col min="80" max="80" width="3.6640625" style="425" customWidth="1"/>
    <col min="81" max="81" width="15.5" style="425" customWidth="1"/>
    <col min="82" max="82" width="3.6640625" style="425" customWidth="1"/>
    <col min="83" max="83" width="15.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42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429"/>
      <c r="BT5" s="2"/>
      <c r="BU5" s="430"/>
      <c r="CC5" s="431"/>
    </row>
    <row r="6" spans="1:84" ht="14" customHeight="1" x14ac:dyDescent="0.4">
      <c r="A6" s="2"/>
      <c r="B6" s="6" t="s">
        <v>164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32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444"/>
      <c r="BX12" s="445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61" t="s">
        <v>235</v>
      </c>
      <c r="C13" s="446" t="s">
        <v>208</v>
      </c>
      <c r="D13" s="447" t="s">
        <v>306</v>
      </c>
      <c r="E13" s="448" t="s">
        <v>230</v>
      </c>
      <c r="F13" s="448">
        <v>0.48958333333333331</v>
      </c>
      <c r="G13" s="448" t="s">
        <v>307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8</v>
      </c>
      <c r="BQ13" s="15">
        <v>27572</v>
      </c>
      <c r="BR13" s="19">
        <v>0.1</v>
      </c>
      <c r="BS13" s="20">
        <f>BQ13*(1-BR13)</f>
        <v>24814.799999999999</v>
      </c>
      <c r="BT13" s="21">
        <f>BS13*BP13</f>
        <v>198518.39999999999</v>
      </c>
      <c r="BU13" s="21">
        <f t="shared" ref="BU13:BU16" si="4">BT13*0.8</f>
        <v>158814.72</v>
      </c>
      <c r="BW13" s="462">
        <v>5.24</v>
      </c>
      <c r="BX13" s="451">
        <f>BW13*BP13</f>
        <v>41.92</v>
      </c>
      <c r="BY13" s="452">
        <f>IFERROR(BU13/BX13,0)</f>
        <v>3788.5190839694656</v>
      </c>
      <c r="BZ13" s="2"/>
      <c r="CA13" s="453" t="s">
        <v>208</v>
      </c>
      <c r="CB13" s="454">
        <f>COUNTA(I13:AM13)</f>
        <v>3</v>
      </c>
      <c r="CC13" s="455">
        <f>CB13*BS13*0.8</f>
        <v>59555.519999999997</v>
      </c>
      <c r="CD13" s="454">
        <f>COUNTA(AN13:BO13)</f>
        <v>5</v>
      </c>
      <c r="CE13" s="455">
        <f>CD13*BS13*0.8</f>
        <v>99259.200000000012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/>
      <c r="D14" s="459"/>
      <c r="E14" s="448" t="s">
        <v>230</v>
      </c>
      <c r="F14" s="448">
        <v>0.48958333333333331</v>
      </c>
      <c r="G14" s="448" t="s">
        <v>307</v>
      </c>
      <c r="H14" s="46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1</v>
      </c>
      <c r="BQ14" s="460">
        <v>55144</v>
      </c>
      <c r="BR14" s="19">
        <v>0.1</v>
      </c>
      <c r="BS14" s="20">
        <f t="shared" ref="BS14:BS16" si="5">BQ14*(1-BR14)</f>
        <v>49629.599999999999</v>
      </c>
      <c r="BT14" s="21">
        <f t="shared" ref="BT14:BT16" si="6">BS14*BP14</f>
        <v>49629.599999999999</v>
      </c>
      <c r="BU14" s="22">
        <f t="shared" si="4"/>
        <v>39703.68</v>
      </c>
      <c r="BV14" s="1"/>
      <c r="BW14" s="450">
        <v>5.24</v>
      </c>
      <c r="BX14" s="451">
        <f>BW14*BP14</f>
        <v>5.24</v>
      </c>
      <c r="BY14" s="452">
        <f>IFERROR(BU14/BX14,0)</f>
        <v>7577.0381679389311</v>
      </c>
      <c r="BZ14" s="2"/>
      <c r="CA14" s="453" t="s">
        <v>208</v>
      </c>
      <c r="CB14" s="454">
        <f t="shared" ref="CB14:CB16" si="7">COUNTA(I14:AM14)</f>
        <v>1</v>
      </c>
      <c r="CC14" s="455">
        <f t="shared" ref="CC14:CC16" si="8">CB14*BS14*0.8</f>
        <v>39703.68</v>
      </c>
      <c r="CD14" s="454">
        <f t="shared" ref="CD14:CD16" si="9">COUNTA(AN14:BO14)</f>
        <v>0</v>
      </c>
      <c r="CE14" s="455">
        <f t="shared" ref="CE14:CE16" si="10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 t="s">
        <v>211</v>
      </c>
      <c r="E15" s="448" t="s">
        <v>230</v>
      </c>
      <c r="F15" s="448">
        <v>0.79861111111111116</v>
      </c>
      <c r="G15" s="448" t="s">
        <v>308</v>
      </c>
      <c r="H15" s="46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>
        <f>SUM(I15:BO15)</f>
        <v>4</v>
      </c>
      <c r="BQ15" s="15">
        <v>112324</v>
      </c>
      <c r="BR15" s="19">
        <v>0.1</v>
      </c>
      <c r="BS15" s="20">
        <f t="shared" si="5"/>
        <v>101091.6</v>
      </c>
      <c r="BT15" s="21">
        <f t="shared" si="6"/>
        <v>404366.4</v>
      </c>
      <c r="BU15" s="22">
        <f t="shared" si="4"/>
        <v>323493.12000000005</v>
      </c>
      <c r="BV15" s="1"/>
      <c r="BW15" s="450">
        <v>12.39</v>
      </c>
      <c r="BX15" s="451">
        <f>BW15*BP15</f>
        <v>49.56</v>
      </c>
      <c r="BY15" s="452">
        <f>IFERROR(BU15/BX15,0)</f>
        <v>6527.3026634382577</v>
      </c>
      <c r="BZ15" s="2"/>
      <c r="CA15" s="453" t="s">
        <v>208</v>
      </c>
      <c r="CB15" s="454">
        <f t="shared" si="7"/>
        <v>1</v>
      </c>
      <c r="CC15" s="455">
        <f t="shared" si="8"/>
        <v>80873.280000000013</v>
      </c>
      <c r="CD15" s="454">
        <f t="shared" si="9"/>
        <v>3</v>
      </c>
      <c r="CE15" s="455">
        <f t="shared" si="10"/>
        <v>242619.84000000005</v>
      </c>
      <c r="CF15" s="427" t="b">
        <f>SUM(CC15,CE15)=BU15</f>
        <v>1</v>
      </c>
    </row>
    <row r="16" spans="1:84" ht="14" customHeight="1" x14ac:dyDescent="0.25">
      <c r="A16" s="435"/>
      <c r="B16" s="446"/>
      <c r="C16" s="446"/>
      <c r="D16" s="447"/>
      <c r="E16" s="448" t="s">
        <v>230</v>
      </c>
      <c r="F16" s="448">
        <v>0.79861111111111116</v>
      </c>
      <c r="G16" s="448" t="s">
        <v>308</v>
      </c>
      <c r="H16" s="46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1</v>
      </c>
      <c r="BQ16" s="15">
        <v>224648</v>
      </c>
      <c r="BR16" s="19">
        <v>0.1</v>
      </c>
      <c r="BS16" s="20">
        <f t="shared" si="5"/>
        <v>202183.2</v>
      </c>
      <c r="BT16" s="21">
        <f t="shared" si="6"/>
        <v>202183.2</v>
      </c>
      <c r="BU16" s="22">
        <f t="shared" si="4"/>
        <v>161746.56000000003</v>
      </c>
      <c r="BW16" s="450">
        <v>12.39</v>
      </c>
      <c r="BX16" s="451">
        <f t="shared" ref="BX16" si="11">BW16*BP16</f>
        <v>12.39</v>
      </c>
      <c r="BY16" s="452">
        <f t="shared" ref="BY16" si="12">IFERROR(BU16/BX16,0)</f>
        <v>13054.605326876515</v>
      </c>
      <c r="BZ16" s="2"/>
      <c r="CA16" s="453" t="s">
        <v>208</v>
      </c>
      <c r="CB16" s="454">
        <f t="shared" si="7"/>
        <v>1</v>
      </c>
      <c r="CC16" s="455">
        <f t="shared" si="8"/>
        <v>161746.56000000003</v>
      </c>
      <c r="CD16" s="454">
        <f t="shared" si="9"/>
        <v>0</v>
      </c>
      <c r="CE16" s="455">
        <f t="shared" si="10"/>
        <v>0</v>
      </c>
      <c r="CF16" s="427" t="b">
        <f>SUM(CC16,CE16)=BU16</f>
        <v>1</v>
      </c>
    </row>
    <row r="17" spans="1:107" s="427" customFormat="1" ht="14" customHeight="1" x14ac:dyDescent="0.25">
      <c r="A17" s="435"/>
      <c r="B17" s="488"/>
      <c r="C17" s="489"/>
      <c r="D17" s="490"/>
      <c r="E17" s="490"/>
      <c r="F17" s="490"/>
      <c r="G17" s="490"/>
      <c r="H17" s="49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8"/>
      <c r="BQ17" s="15"/>
      <c r="BR17" s="19"/>
      <c r="BS17" s="20"/>
      <c r="BT17" s="21"/>
      <c r="BU17" s="21"/>
      <c r="BV17" s="1"/>
      <c r="BW17" s="462"/>
      <c r="BX17" s="451"/>
      <c r="BY17" s="21"/>
      <c r="BZ17" s="2"/>
      <c r="CA17" s="494" t="s">
        <v>152</v>
      </c>
      <c r="CB17" s="495">
        <f>SUM(CB13:CB16)</f>
        <v>6</v>
      </c>
      <c r="CC17" s="496">
        <f>SUM(CC13:CC16)</f>
        <v>341879.04000000004</v>
      </c>
      <c r="CD17" s="495">
        <f>SUM(CD13:CD16)</f>
        <v>8</v>
      </c>
      <c r="CE17" s="496">
        <f>SUM(CE13:CE16)</f>
        <v>341879.04000000004</v>
      </c>
    </row>
    <row r="18" spans="1:107" ht="14" customHeight="1" x14ac:dyDescent="0.25">
      <c r="A18" s="435"/>
      <c r="B18" s="461"/>
      <c r="C18" s="446" t="s">
        <v>17</v>
      </c>
      <c r="D18" s="447" t="s">
        <v>309</v>
      </c>
      <c r="E18" s="448" t="s">
        <v>230</v>
      </c>
      <c r="F18" s="448">
        <v>0.80555555555555558</v>
      </c>
      <c r="G18" s="448" t="s">
        <v>214</v>
      </c>
      <c r="H18" s="46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>
        <f>SUM(I18:BO18)</f>
        <v>6</v>
      </c>
      <c r="BQ18" s="15">
        <v>107608</v>
      </c>
      <c r="BR18" s="19">
        <v>0.85</v>
      </c>
      <c r="BS18" s="20">
        <f>BQ18*(1-BR18)</f>
        <v>16141.200000000003</v>
      </c>
      <c r="BT18" s="21">
        <f>BS18*BP18</f>
        <v>96847.200000000012</v>
      </c>
      <c r="BU18" s="21">
        <f t="shared" ref="BU18:BU19" si="13">BT18*0.8</f>
        <v>77477.760000000009</v>
      </c>
      <c r="BW18" s="462">
        <v>1.59</v>
      </c>
      <c r="BX18" s="451">
        <f t="shared" ref="BX18:BX19" si="14">BW18*BP18</f>
        <v>9.5400000000000009</v>
      </c>
      <c r="BY18" s="452">
        <f t="shared" ref="BY18:BY19" si="15">IFERROR(BU18/BX18,0)</f>
        <v>8121.3584905660382</v>
      </c>
      <c r="BZ18" s="2"/>
      <c r="CA18" s="453" t="s">
        <v>17</v>
      </c>
      <c r="CB18" s="454">
        <f t="shared" ref="CB18:CB19" si="16">COUNTA(I18:AM18)</f>
        <v>2</v>
      </c>
      <c r="CC18" s="455">
        <f t="shared" ref="CC18:CC19" si="17">CB18*BS18*0.8</f>
        <v>25825.920000000006</v>
      </c>
      <c r="CD18" s="454">
        <f t="shared" ref="CD18:CD19" si="18">COUNTA(AN18:BO18)</f>
        <v>4</v>
      </c>
      <c r="CE18" s="455">
        <f t="shared" ref="CE18:CE19" si="19">CD18*BS18*0.8</f>
        <v>51651.840000000011</v>
      </c>
      <c r="CF18" s="427" t="b">
        <f>SUM(CC18,CE18)=BU18</f>
        <v>1</v>
      </c>
    </row>
    <row r="19" spans="1:107" s="458" customFormat="1" ht="14" customHeight="1" x14ac:dyDescent="0.25">
      <c r="A19" s="435"/>
      <c r="B19" s="446"/>
      <c r="C19" s="446"/>
      <c r="D19" s="459"/>
      <c r="E19" s="448" t="s">
        <v>230</v>
      </c>
      <c r="F19" s="448">
        <v>0.80555555555555558</v>
      </c>
      <c r="G19" s="448" t="s">
        <v>214</v>
      </c>
      <c r="H19" s="46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>
        <f>SUM(I19:BO19)</f>
        <v>1</v>
      </c>
      <c r="BQ19" s="460">
        <v>215216</v>
      </c>
      <c r="BR19" s="19">
        <v>0.85</v>
      </c>
      <c r="BS19" s="20">
        <f t="shared" ref="BS19" si="20">BQ19*(1-BR19)</f>
        <v>32282.400000000005</v>
      </c>
      <c r="BT19" s="21">
        <f t="shared" ref="BT19" si="21">BS19*BP19</f>
        <v>32282.400000000005</v>
      </c>
      <c r="BU19" s="22">
        <f t="shared" si="13"/>
        <v>25825.920000000006</v>
      </c>
      <c r="BV19" s="1"/>
      <c r="BW19" s="450">
        <v>1.59</v>
      </c>
      <c r="BX19" s="451">
        <f t="shared" si="14"/>
        <v>1.59</v>
      </c>
      <c r="BY19" s="452">
        <f t="shared" si="15"/>
        <v>16242.716981132078</v>
      </c>
      <c r="BZ19" s="2"/>
      <c r="CA19" s="453" t="s">
        <v>17</v>
      </c>
      <c r="CB19" s="454">
        <f t="shared" si="16"/>
        <v>1</v>
      </c>
      <c r="CC19" s="455">
        <f t="shared" si="17"/>
        <v>25825.920000000006</v>
      </c>
      <c r="CD19" s="454">
        <f t="shared" si="18"/>
        <v>0</v>
      </c>
      <c r="CE19" s="455">
        <f t="shared" si="19"/>
        <v>0</v>
      </c>
      <c r="CF19" s="427" t="b">
        <f>SUM(CC19,CE19)=BU19</f>
        <v>1</v>
      </c>
    </row>
    <row r="20" spans="1:107" s="458" customFormat="1" ht="14" customHeight="1" x14ac:dyDescent="0.25">
      <c r="A20" s="435"/>
      <c r="B20" s="446"/>
      <c r="C20" s="446"/>
      <c r="D20" s="459"/>
      <c r="E20" s="448"/>
      <c r="F20" s="448"/>
      <c r="G20" s="448"/>
      <c r="H20" s="46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/>
      <c r="BQ20" s="15"/>
      <c r="BR20" s="19"/>
      <c r="BS20" s="20"/>
      <c r="BT20" s="21"/>
      <c r="BU20" s="22"/>
      <c r="BV20" s="1"/>
      <c r="BW20" s="450"/>
      <c r="BX20" s="457"/>
      <c r="BY20" s="452"/>
      <c r="BZ20" s="2"/>
      <c r="CA20" s="494" t="s">
        <v>152</v>
      </c>
      <c r="CB20" s="495">
        <f>SUM(CB18:CB19)</f>
        <v>3</v>
      </c>
      <c r="CC20" s="496">
        <f>SUM(CC18:CC19)</f>
        <v>51651.840000000011</v>
      </c>
      <c r="CD20" s="495">
        <f>SUM(CD18:CD19)</f>
        <v>4</v>
      </c>
      <c r="CE20" s="496">
        <f>SUM(CE18:CE19)</f>
        <v>51651.840000000011</v>
      </c>
      <c r="CF20" s="427"/>
    </row>
    <row r="21" spans="1:107" s="458" customFormat="1" ht="14" customHeight="1" x14ac:dyDescent="0.25">
      <c r="A21" s="435"/>
      <c r="B21" s="446"/>
      <c r="C21" s="446" t="s">
        <v>254</v>
      </c>
      <c r="D21" s="459" t="s">
        <v>310</v>
      </c>
      <c r="E21" s="448" t="s">
        <v>230</v>
      </c>
      <c r="F21" s="448">
        <v>0.82986111111111116</v>
      </c>
      <c r="G21" s="448" t="s">
        <v>294</v>
      </c>
      <c r="H21" s="46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 t="shared" ref="BP21:BP22" si="22">SUM(I21:BO21)</f>
        <v>6</v>
      </c>
      <c r="BQ21" s="460">
        <v>335107</v>
      </c>
      <c r="BR21" s="19">
        <v>0.8</v>
      </c>
      <c r="BS21" s="20">
        <f t="shared" ref="BS21:BS22" si="23">BQ21*(1-BR21)</f>
        <v>67021.39999999998</v>
      </c>
      <c r="BT21" s="21">
        <f t="shared" ref="BT21:BT22" si="24">BS21*BP21</f>
        <v>402128.39999999991</v>
      </c>
      <c r="BU21" s="22">
        <f t="shared" ref="BU21:BU22" si="25">BT21*0.8</f>
        <v>321702.71999999997</v>
      </c>
      <c r="BV21" s="1"/>
      <c r="BW21" s="450">
        <v>3.53</v>
      </c>
      <c r="BX21" s="451">
        <f t="shared" ref="BX21:BX22" si="26">BW21*BP21</f>
        <v>21.18</v>
      </c>
      <c r="BY21" s="452">
        <f t="shared" ref="BY21:BY22" si="27">IFERROR(BU21/BX21,0)</f>
        <v>15188.985835694049</v>
      </c>
      <c r="BZ21" s="2"/>
      <c r="CA21" s="453" t="s">
        <v>254</v>
      </c>
      <c r="CB21" s="454">
        <f t="shared" ref="CB21:CB22" si="28">COUNTA(I21:AM21)</f>
        <v>2</v>
      </c>
      <c r="CC21" s="455">
        <f t="shared" ref="CC21:CC22" si="29">CB21*BS21*0.8</f>
        <v>107234.23999999998</v>
      </c>
      <c r="CD21" s="454">
        <f t="shared" ref="CD21:CD22" si="30">COUNTA(AN21:BO21)</f>
        <v>4</v>
      </c>
      <c r="CE21" s="455">
        <f t="shared" ref="CE21:CE22" si="31">CD21*BS21*0.8</f>
        <v>214468.47999999995</v>
      </c>
      <c r="CF21" s="427" t="b">
        <f t="shared" ref="CF21:CF22" si="32">SUM(CC21,CE21)=BU21</f>
        <v>1</v>
      </c>
    </row>
    <row r="22" spans="1:107" s="458" customFormat="1" ht="14" customHeight="1" x14ac:dyDescent="0.25">
      <c r="A22" s="435"/>
      <c r="B22" s="446"/>
      <c r="C22" s="446"/>
      <c r="D22" s="466"/>
      <c r="E22" s="448" t="s">
        <v>230</v>
      </c>
      <c r="F22" s="448">
        <v>0.82986111111111116</v>
      </c>
      <c r="G22" s="448" t="s">
        <v>294</v>
      </c>
      <c r="H22" s="46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449">
        <f t="shared" si="22"/>
        <v>1</v>
      </c>
      <c r="BQ22" s="460">
        <v>670214</v>
      </c>
      <c r="BR22" s="19">
        <v>0.8</v>
      </c>
      <c r="BS22" s="20">
        <f t="shared" si="23"/>
        <v>134042.79999999996</v>
      </c>
      <c r="BT22" s="21">
        <f t="shared" si="24"/>
        <v>134042.79999999996</v>
      </c>
      <c r="BU22" s="22">
        <f t="shared" si="25"/>
        <v>107234.23999999998</v>
      </c>
      <c r="BV22" s="1"/>
      <c r="BW22" s="450">
        <v>3.53</v>
      </c>
      <c r="BX22" s="451">
        <f t="shared" si="26"/>
        <v>3.53</v>
      </c>
      <c r="BY22" s="452">
        <f t="shared" si="27"/>
        <v>30377.971671388095</v>
      </c>
      <c r="BZ22" s="2"/>
      <c r="CA22" s="453" t="s">
        <v>254</v>
      </c>
      <c r="CB22" s="454">
        <f t="shared" si="28"/>
        <v>1</v>
      </c>
      <c r="CC22" s="455">
        <f t="shared" si="29"/>
        <v>107234.23999999998</v>
      </c>
      <c r="CD22" s="454">
        <f t="shared" si="30"/>
        <v>0</v>
      </c>
      <c r="CE22" s="455">
        <f t="shared" si="31"/>
        <v>0</v>
      </c>
      <c r="CF22" s="427" t="b">
        <f t="shared" si="32"/>
        <v>1</v>
      </c>
    </row>
    <row r="23" spans="1:107" s="458" customFormat="1" ht="14" customHeight="1" x14ac:dyDescent="0.25">
      <c r="A23" s="435"/>
      <c r="B23" s="446"/>
      <c r="C23" s="446"/>
      <c r="D23" s="466"/>
      <c r="E23" s="448"/>
      <c r="F23" s="448"/>
      <c r="G23" s="448"/>
      <c r="H23" s="46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/>
      <c r="BQ23" s="15"/>
      <c r="BR23" s="456"/>
      <c r="BS23" s="15"/>
      <c r="BT23" s="22"/>
      <c r="BU23" s="22"/>
      <c r="BV23" s="1"/>
      <c r="BW23" s="450"/>
      <c r="BX23" s="457"/>
      <c r="BY23" s="452"/>
      <c r="BZ23" s="2"/>
      <c r="CA23" s="494" t="s">
        <v>152</v>
      </c>
      <c r="CB23" s="495">
        <f>SUM(CB21:CB22)</f>
        <v>3</v>
      </c>
      <c r="CC23" s="496">
        <f>SUM(CC21:CC22)</f>
        <v>214468.47999999995</v>
      </c>
      <c r="CD23" s="495">
        <f>SUM(CD21:CD22)</f>
        <v>4</v>
      </c>
      <c r="CE23" s="496">
        <f>SUM(CE21:CE22)</f>
        <v>214468.47999999995</v>
      </c>
      <c r="CF23" s="427"/>
    </row>
    <row r="24" spans="1:107" s="458" customFormat="1" ht="14" customHeight="1" x14ac:dyDescent="0.25">
      <c r="A24" s="435"/>
      <c r="B24" s="446"/>
      <c r="C24" s="446" t="s">
        <v>261</v>
      </c>
      <c r="D24" s="459" t="s">
        <v>311</v>
      </c>
      <c r="E24" s="448" t="s">
        <v>230</v>
      </c>
      <c r="F24" s="448">
        <v>0.82291666666666663</v>
      </c>
      <c r="G24" s="448" t="s">
        <v>294</v>
      </c>
      <c r="H24" s="46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 t="shared" ref="BP24" si="33">SUM(I24:BO24)</f>
        <v>6</v>
      </c>
      <c r="BQ24" s="460">
        <v>155300</v>
      </c>
      <c r="BR24" s="19">
        <v>0.75</v>
      </c>
      <c r="BS24" s="20">
        <f t="shared" ref="BS24" si="34">BQ24*(1-BR24)</f>
        <v>38825</v>
      </c>
      <c r="BT24" s="21">
        <f t="shared" ref="BT24" si="35">BS24*BP24</f>
        <v>232950</v>
      </c>
      <c r="BU24" s="491">
        <f t="shared" ref="BU24" si="36">BT24*0.8</f>
        <v>186360</v>
      </c>
      <c r="BV24" s="1"/>
      <c r="BW24" s="450">
        <v>1.91</v>
      </c>
      <c r="BX24" s="451">
        <f t="shared" ref="BX24" si="37">BW24*BP24</f>
        <v>11.459999999999999</v>
      </c>
      <c r="BY24" s="452">
        <f t="shared" ref="BY24" si="38">IFERROR(BU24/BX24,0)</f>
        <v>16261.780104712043</v>
      </c>
      <c r="BZ24" s="2"/>
      <c r="CA24" s="453" t="s">
        <v>261</v>
      </c>
      <c r="CB24" s="454">
        <f t="shared" ref="CB24" si="39">COUNTA(I24:AM24)</f>
        <v>2</v>
      </c>
      <c r="CC24" s="455">
        <f t="shared" ref="CC24" si="40">CB24*BS24*0.8</f>
        <v>62120</v>
      </c>
      <c r="CD24" s="454">
        <f t="shared" ref="CD24" si="41">COUNTA(AN24:BO24)</f>
        <v>4</v>
      </c>
      <c r="CE24" s="455">
        <f t="shared" ref="CE24" si="42">CD24*BS24*0.8</f>
        <v>124240</v>
      </c>
      <c r="CF24" s="427" t="b">
        <f t="shared" ref="CF24" si="43">SUM(CC24,CE24)=BU24</f>
        <v>1</v>
      </c>
    </row>
    <row r="25" spans="1:107" s="458" customFormat="1" ht="14" customHeight="1" x14ac:dyDescent="0.25">
      <c r="A25" s="435"/>
      <c r="B25" s="446"/>
      <c r="C25" s="446"/>
      <c r="D25" s="447"/>
      <c r="E25" s="448"/>
      <c r="F25" s="448"/>
      <c r="G25" s="448"/>
      <c r="H25" s="46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/>
      <c r="BQ25" s="460"/>
      <c r="BR25" s="19"/>
      <c r="BS25" s="20"/>
      <c r="BT25" s="21"/>
      <c r="BU25" s="170"/>
      <c r="BV25" s="1"/>
      <c r="BW25" s="450"/>
      <c r="BX25" s="451"/>
      <c r="BY25" s="452"/>
      <c r="BZ25" s="2"/>
      <c r="CA25" s="494" t="s">
        <v>152</v>
      </c>
      <c r="CB25" s="495">
        <f>SUM(CB24)</f>
        <v>2</v>
      </c>
      <c r="CC25" s="496">
        <f>SUM(CC24)</f>
        <v>62120</v>
      </c>
      <c r="CD25" s="495">
        <f>SUM(CD24)</f>
        <v>4</v>
      </c>
      <c r="CE25" s="496">
        <f>SUM(CE24)</f>
        <v>124240</v>
      </c>
      <c r="CF25" s="427"/>
    </row>
    <row r="26" spans="1:107" s="458" customFormat="1" ht="14" customHeight="1" x14ac:dyDescent="0.25">
      <c r="A26" s="435"/>
      <c r="B26" s="446"/>
      <c r="C26" s="446" t="s">
        <v>279</v>
      </c>
      <c r="D26" s="459" t="s">
        <v>312</v>
      </c>
      <c r="E26" s="448" t="s">
        <v>230</v>
      </c>
      <c r="F26" s="448">
        <v>0.82986111111111116</v>
      </c>
      <c r="G26" s="448" t="s">
        <v>214</v>
      </c>
      <c r="H26" s="464">
        <v>30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>
        <v>1</v>
      </c>
      <c r="AJ26" s="11"/>
      <c r="AK26" s="12"/>
      <c r="AL26" s="12">
        <v>1</v>
      </c>
      <c r="AM26" s="13"/>
      <c r="AN26" s="13"/>
      <c r="AO26" s="11"/>
      <c r="AP26" s="12">
        <v>1</v>
      </c>
      <c r="AQ26" s="12"/>
      <c r="AR26" s="12"/>
      <c r="AS26" s="11">
        <v>1</v>
      </c>
      <c r="AT26" s="13"/>
      <c r="AU26" s="13"/>
      <c r="AV26" s="11"/>
      <c r="AW26" s="12">
        <v>1</v>
      </c>
      <c r="AX26" s="12"/>
      <c r="AY26" s="12"/>
      <c r="AZ26" s="11">
        <v>1</v>
      </c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449">
        <f t="shared" ref="BP26:BP27" si="44">SUM(I26:BO26)</f>
        <v>6</v>
      </c>
      <c r="BQ26" s="460">
        <v>83652</v>
      </c>
      <c r="BR26" s="19">
        <v>0.85</v>
      </c>
      <c r="BS26" s="20">
        <f t="shared" ref="BS26:BS27" si="45">BQ26*(1-BR26)</f>
        <v>12547.800000000001</v>
      </c>
      <c r="BT26" s="21">
        <f t="shared" ref="BT26:BT27" si="46">BS26*BP26</f>
        <v>75286.8</v>
      </c>
      <c r="BU26" s="491">
        <f t="shared" ref="BU26:BU27" si="47">BT26*0.8</f>
        <v>60229.440000000002</v>
      </c>
      <c r="BV26" s="1"/>
      <c r="BW26" s="450">
        <v>0.14000000000000001</v>
      </c>
      <c r="BX26" s="451">
        <f t="shared" ref="BX26:BX27" si="48">BW26*BP26</f>
        <v>0.84000000000000008</v>
      </c>
      <c r="BY26" s="452">
        <f>IFERROR(BU26/BX26,0)</f>
        <v>71701.714285714275</v>
      </c>
      <c r="BZ26" s="2"/>
      <c r="CA26" s="453" t="s">
        <v>279</v>
      </c>
      <c r="CB26" s="454">
        <f>COUNTA(I26:AM26)</f>
        <v>2</v>
      </c>
      <c r="CC26" s="455">
        <f t="shared" ref="CC26:CC27" si="49">CB26*BS26*0.8</f>
        <v>20076.480000000003</v>
      </c>
      <c r="CD26" s="454">
        <f t="shared" ref="CD26:CD27" si="50">COUNTA(AN26:BO26)</f>
        <v>4</v>
      </c>
      <c r="CE26" s="455">
        <f t="shared" ref="CE26:CE27" si="51">CD26*BS26*0.8</f>
        <v>40152.960000000006</v>
      </c>
      <c r="CF26" s="427" t="b">
        <f t="shared" ref="CF26:CF27" si="52">SUM(CC26,CE26)=BU26</f>
        <v>1</v>
      </c>
    </row>
    <row r="27" spans="1:107" s="458" customFormat="1" ht="14" customHeight="1" x14ac:dyDescent="0.25">
      <c r="A27" s="435"/>
      <c r="B27" s="446"/>
      <c r="C27" s="446"/>
      <c r="D27" s="466"/>
      <c r="E27" s="448" t="s">
        <v>230</v>
      </c>
      <c r="F27" s="448">
        <v>0.82986111111111116</v>
      </c>
      <c r="G27" s="448" t="s">
        <v>214</v>
      </c>
      <c r="H27" s="464">
        <v>60</v>
      </c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>
        <v>1</v>
      </c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449">
        <f t="shared" si="44"/>
        <v>1</v>
      </c>
      <c r="BQ27" s="460">
        <v>167304</v>
      </c>
      <c r="BR27" s="19">
        <v>0.85</v>
      </c>
      <c r="BS27" s="20">
        <f t="shared" si="45"/>
        <v>25095.600000000002</v>
      </c>
      <c r="BT27" s="21">
        <f t="shared" si="46"/>
        <v>25095.600000000002</v>
      </c>
      <c r="BU27" s="491">
        <f t="shared" si="47"/>
        <v>20076.480000000003</v>
      </c>
      <c r="BV27" s="1"/>
      <c r="BW27" s="450">
        <v>0.14000000000000001</v>
      </c>
      <c r="BX27" s="451">
        <f t="shared" si="48"/>
        <v>0.14000000000000001</v>
      </c>
      <c r="BY27" s="452">
        <f t="shared" ref="BY27" si="53">IFERROR(BU27/BX27,0)</f>
        <v>143403.42857142858</v>
      </c>
      <c r="BZ27" s="2"/>
      <c r="CA27" s="453" t="s">
        <v>279</v>
      </c>
      <c r="CB27" s="454">
        <f t="shared" ref="CB27" si="54">COUNTA(I27:AM27)</f>
        <v>1</v>
      </c>
      <c r="CC27" s="455">
        <f t="shared" si="49"/>
        <v>20076.480000000003</v>
      </c>
      <c r="CD27" s="454">
        <f t="shared" si="50"/>
        <v>0</v>
      </c>
      <c r="CE27" s="455">
        <f t="shared" si="51"/>
        <v>0</v>
      </c>
      <c r="CF27" s="427" t="b">
        <f t="shared" si="52"/>
        <v>1</v>
      </c>
    </row>
    <row r="28" spans="1:107" s="458" customFormat="1" ht="14" customHeight="1" x14ac:dyDescent="0.25">
      <c r="A28" s="435"/>
      <c r="B28" s="446"/>
      <c r="C28" s="446"/>
      <c r="D28" s="466"/>
      <c r="E28" s="448"/>
      <c r="F28" s="448"/>
      <c r="G28" s="448"/>
      <c r="H28" s="464"/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/>
      <c r="AJ28" s="11"/>
      <c r="AK28" s="12"/>
      <c r="AL28" s="12"/>
      <c r="AM28" s="13"/>
      <c r="AN28" s="13"/>
      <c r="AO28" s="11"/>
      <c r="AP28" s="12"/>
      <c r="AQ28" s="12"/>
      <c r="AR28" s="12"/>
      <c r="AS28" s="11"/>
      <c r="AT28" s="13"/>
      <c r="AU28" s="13"/>
      <c r="AV28" s="11"/>
      <c r="AW28" s="12"/>
      <c r="AX28" s="12"/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449"/>
      <c r="BQ28" s="15"/>
      <c r="BR28" s="456"/>
      <c r="BS28" s="15"/>
      <c r="BT28" s="22"/>
      <c r="BU28" s="22"/>
      <c r="BV28" s="1"/>
      <c r="BW28" s="525"/>
      <c r="BX28" s="526"/>
      <c r="BY28" s="527"/>
      <c r="BZ28" s="2"/>
      <c r="CA28" s="494" t="s">
        <v>152</v>
      </c>
      <c r="CB28" s="495">
        <f>SUM(CB26:CB27)</f>
        <v>3</v>
      </c>
      <c r="CC28" s="496">
        <f>SUM(CC26:CC27)</f>
        <v>40152.960000000006</v>
      </c>
      <c r="CD28" s="495">
        <f>SUM(CD26:CD27)</f>
        <v>4</v>
      </c>
      <c r="CE28" s="496">
        <f>SUM(CE26:CE27)</f>
        <v>40152.960000000006</v>
      </c>
      <c r="CF28" s="427"/>
    </row>
    <row r="29" spans="1:107" ht="3.75" customHeight="1" x14ac:dyDescent="0.25">
      <c r="A29" s="435"/>
      <c r="B29" s="467"/>
      <c r="C29" s="468"/>
      <c r="D29" s="468"/>
      <c r="E29" s="468"/>
      <c r="F29" s="468"/>
      <c r="G29" s="468"/>
      <c r="H29" s="468"/>
      <c r="I29" s="468"/>
      <c r="J29" s="468"/>
      <c r="K29" s="468"/>
      <c r="L29" s="468"/>
      <c r="M29" s="468"/>
      <c r="N29" s="468"/>
      <c r="O29" s="468"/>
      <c r="P29" s="468"/>
      <c r="Q29" s="468"/>
      <c r="R29" s="468"/>
      <c r="S29" s="468"/>
      <c r="T29" s="468"/>
      <c r="U29" s="468"/>
      <c r="V29" s="468"/>
      <c r="W29" s="468"/>
      <c r="X29" s="468"/>
      <c r="Y29" s="468"/>
      <c r="Z29" s="468"/>
      <c r="AA29" s="468"/>
      <c r="AB29" s="468"/>
      <c r="AC29" s="468"/>
      <c r="AD29" s="468"/>
      <c r="AE29" s="468"/>
      <c r="AF29" s="13"/>
      <c r="AG29" s="13"/>
      <c r="AH29" s="468"/>
      <c r="AI29" s="468"/>
      <c r="AJ29" s="468"/>
      <c r="AK29" s="468"/>
      <c r="AL29" s="468"/>
      <c r="AM29" s="13"/>
      <c r="AN29" s="468"/>
      <c r="AO29" s="468"/>
      <c r="AP29" s="468"/>
      <c r="AQ29" s="468"/>
      <c r="AR29" s="468"/>
      <c r="AS29" s="468"/>
      <c r="AT29" s="468"/>
      <c r="AU29" s="468"/>
      <c r="AV29" s="468"/>
      <c r="AW29" s="468"/>
      <c r="AX29" s="468"/>
      <c r="AY29" s="468"/>
      <c r="AZ29" s="468"/>
      <c r="BA29" s="468"/>
      <c r="BB29" s="468"/>
      <c r="BC29" s="468"/>
      <c r="BD29" s="468"/>
      <c r="BE29" s="468"/>
      <c r="BF29" s="468"/>
      <c r="BG29" s="468"/>
      <c r="BH29" s="468"/>
      <c r="BI29" s="468"/>
      <c r="BJ29" s="468"/>
      <c r="BK29" s="13"/>
      <c r="BL29" s="13"/>
      <c r="BM29" s="468"/>
      <c r="BN29" s="468"/>
      <c r="BO29" s="468"/>
      <c r="BP29" s="468"/>
      <c r="BQ29" s="468"/>
      <c r="BR29" s="468"/>
      <c r="BS29" s="468"/>
      <c r="BT29" s="23"/>
      <c r="BU29" s="24"/>
      <c r="BY29" s="469"/>
      <c r="CA29" s="470"/>
      <c r="CB29" s="471"/>
      <c r="CC29" s="472"/>
      <c r="CD29" s="471"/>
      <c r="CE29" s="472"/>
    </row>
    <row r="30" spans="1:107" s="506" customFormat="1" x14ac:dyDescent="0.4">
      <c r="A30" s="503"/>
      <c r="B30" s="25" t="s">
        <v>215</v>
      </c>
      <c r="C30" s="473"/>
      <c r="D30" s="473"/>
      <c r="E30" s="473"/>
      <c r="F30" s="473"/>
      <c r="G30" s="473"/>
      <c r="H30" s="473"/>
      <c r="I30" s="473">
        <f>COUNTA(I12:I16)</f>
        <v>0</v>
      </c>
      <c r="J30" s="473">
        <f>COUNTA(J12:J16)</f>
        <v>0</v>
      </c>
      <c r="K30" s="473">
        <f>COUNTA(K12:K16)</f>
        <v>0</v>
      </c>
      <c r="L30" s="473">
        <f>COUNTA(L12:L16)</f>
        <v>0</v>
      </c>
      <c r="M30" s="473">
        <f>COUNTA(M12:M16)</f>
        <v>0</v>
      </c>
      <c r="N30" s="473">
        <f>SUM(N12:N16)</f>
        <v>0</v>
      </c>
      <c r="O30" s="473">
        <f>SUM(O12:O16)</f>
        <v>0</v>
      </c>
      <c r="P30" s="473">
        <f>SUM(P12:P16)</f>
        <v>0</v>
      </c>
      <c r="Q30" s="473">
        <f t="shared" ref="Q30:BJ30" si="55">SUM(Q12:Q28)</f>
        <v>0</v>
      </c>
      <c r="R30" s="473">
        <f t="shared" si="55"/>
        <v>0</v>
      </c>
      <c r="S30" s="473">
        <f t="shared" si="55"/>
        <v>0</v>
      </c>
      <c r="T30" s="473">
        <f t="shared" si="55"/>
        <v>0</v>
      </c>
      <c r="U30" s="473">
        <f t="shared" si="55"/>
        <v>0</v>
      </c>
      <c r="V30" s="473">
        <f t="shared" si="55"/>
        <v>0</v>
      </c>
      <c r="W30" s="473">
        <f t="shared" si="55"/>
        <v>0</v>
      </c>
      <c r="X30" s="473">
        <f t="shared" si="55"/>
        <v>0</v>
      </c>
      <c r="Y30" s="473">
        <f t="shared" si="55"/>
        <v>0</v>
      </c>
      <c r="Z30" s="473">
        <f t="shared" si="55"/>
        <v>0</v>
      </c>
      <c r="AA30" s="473">
        <f t="shared" si="55"/>
        <v>0</v>
      </c>
      <c r="AB30" s="473">
        <f t="shared" si="55"/>
        <v>0</v>
      </c>
      <c r="AC30" s="473">
        <f t="shared" si="55"/>
        <v>0</v>
      </c>
      <c r="AD30" s="473">
        <f t="shared" si="55"/>
        <v>2</v>
      </c>
      <c r="AE30" s="473">
        <f t="shared" si="55"/>
        <v>3</v>
      </c>
      <c r="AF30" s="473">
        <f t="shared" si="55"/>
        <v>0</v>
      </c>
      <c r="AG30" s="473">
        <f t="shared" si="55"/>
        <v>0</v>
      </c>
      <c r="AH30" s="473">
        <f t="shared" si="55"/>
        <v>1</v>
      </c>
      <c r="AI30" s="473">
        <f t="shared" si="55"/>
        <v>3</v>
      </c>
      <c r="AJ30" s="473">
        <f t="shared" si="55"/>
        <v>2</v>
      </c>
      <c r="AK30" s="473">
        <f t="shared" si="55"/>
        <v>3</v>
      </c>
      <c r="AL30" s="473">
        <f t="shared" si="55"/>
        <v>3</v>
      </c>
      <c r="AM30" s="473">
        <f t="shared" si="55"/>
        <v>0</v>
      </c>
      <c r="AN30" s="473">
        <f t="shared" si="55"/>
        <v>0</v>
      </c>
      <c r="AO30" s="473">
        <f t="shared" si="55"/>
        <v>1</v>
      </c>
      <c r="AP30" s="473">
        <f t="shared" si="55"/>
        <v>4</v>
      </c>
      <c r="AQ30" s="473">
        <f t="shared" si="55"/>
        <v>1</v>
      </c>
      <c r="AR30" s="473">
        <f t="shared" si="55"/>
        <v>3</v>
      </c>
      <c r="AS30" s="473">
        <f t="shared" si="55"/>
        <v>3</v>
      </c>
      <c r="AT30" s="473">
        <f t="shared" si="55"/>
        <v>0</v>
      </c>
      <c r="AU30" s="473">
        <f t="shared" si="55"/>
        <v>0</v>
      </c>
      <c r="AV30" s="473">
        <f t="shared" si="55"/>
        <v>1</v>
      </c>
      <c r="AW30" s="473">
        <f t="shared" si="55"/>
        <v>3</v>
      </c>
      <c r="AX30" s="473">
        <f t="shared" si="55"/>
        <v>2</v>
      </c>
      <c r="AY30" s="473">
        <f t="shared" si="55"/>
        <v>3</v>
      </c>
      <c r="AZ30" s="473">
        <f t="shared" si="55"/>
        <v>3</v>
      </c>
      <c r="BA30" s="473">
        <f t="shared" si="55"/>
        <v>0</v>
      </c>
      <c r="BB30" s="473">
        <f t="shared" si="55"/>
        <v>0</v>
      </c>
      <c r="BC30" s="473">
        <f t="shared" si="55"/>
        <v>0</v>
      </c>
      <c r="BD30" s="473">
        <f t="shared" si="55"/>
        <v>0</v>
      </c>
      <c r="BE30" s="473">
        <f t="shared" si="55"/>
        <v>0</v>
      </c>
      <c r="BF30" s="473">
        <f t="shared" si="55"/>
        <v>0</v>
      </c>
      <c r="BG30" s="473">
        <f t="shared" si="55"/>
        <v>0</v>
      </c>
      <c r="BH30" s="473">
        <f t="shared" si="55"/>
        <v>0</v>
      </c>
      <c r="BI30" s="473">
        <f t="shared" si="55"/>
        <v>0</v>
      </c>
      <c r="BJ30" s="473">
        <f t="shared" si="55"/>
        <v>0</v>
      </c>
      <c r="BK30" s="473">
        <f>SUM(BK13:BK29)</f>
        <v>0</v>
      </c>
      <c r="BL30" s="473">
        <f>SUM(BL13:BL29)</f>
        <v>0</v>
      </c>
      <c r="BM30" s="473">
        <f>SUM(BM12:BM16)</f>
        <v>0</v>
      </c>
      <c r="BN30" s="473">
        <f>SUM(BN12:BN16)</f>
        <v>0</v>
      </c>
      <c r="BO30" s="473">
        <f>SUM(BO12:BO16)</f>
        <v>0</v>
      </c>
      <c r="BP30" s="474">
        <f>SUM(BP13:BP28)</f>
        <v>41</v>
      </c>
      <c r="BQ30" s="26"/>
      <c r="BR30" s="26"/>
      <c r="BS30" s="504"/>
      <c r="BT30" s="505">
        <f>SUM(BT13:BT28)</f>
        <v>1853330.8000000003</v>
      </c>
      <c r="BU30" s="505">
        <f>SUM(BU13:BU28)</f>
        <v>1482664.64</v>
      </c>
      <c r="BW30" s="507"/>
      <c r="BX30" s="508">
        <f>SUM(BX13:BX27)</f>
        <v>157.39000000000001</v>
      </c>
      <c r="BY30" s="509">
        <f>BU30/BX30</f>
        <v>9420.3230192515384</v>
      </c>
      <c r="CA30" s="497" t="s">
        <v>196</v>
      </c>
      <c r="CB30" s="510">
        <f>CB17+CB20+CB23+CB28+CB25</f>
        <v>17</v>
      </c>
      <c r="CC30" s="511">
        <f>CC17+CC20+CC23+CC28+CC25</f>
        <v>710272.32</v>
      </c>
      <c r="CD30" s="510">
        <f>CD17+CD20+CD23+CD28+CD25</f>
        <v>24</v>
      </c>
      <c r="CE30" s="511">
        <f>CE17+CE20+CE23+CE28+CE25</f>
        <v>772392.32</v>
      </c>
      <c r="CF30" s="512"/>
    </row>
    <row r="31" spans="1:107" x14ac:dyDescent="0.25">
      <c r="A31" s="2"/>
      <c r="B31" s="2"/>
      <c r="C31" s="2"/>
      <c r="D31" s="2"/>
      <c r="E31" s="2"/>
      <c r="F31" s="2"/>
      <c r="G31" s="2"/>
      <c r="H31" s="428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  <c r="AC31" s="2"/>
      <c r="AD31" s="2"/>
      <c r="AE31" s="2"/>
      <c r="AF31" s="2"/>
      <c r="AG31" s="2"/>
      <c r="AH31" s="2"/>
      <c r="AI31" s="2"/>
      <c r="AJ31" s="2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  <c r="BA31" s="2"/>
      <c r="BB31" s="2"/>
      <c r="BC31" s="2"/>
      <c r="BD31" s="2"/>
      <c r="BE31" s="2"/>
      <c r="BF31" s="2"/>
      <c r="BG31" s="2"/>
      <c r="BH31" s="2"/>
      <c r="BI31" s="2"/>
      <c r="BJ31" s="2"/>
      <c r="BK31" s="2"/>
      <c r="BL31" s="2"/>
      <c r="BM31" s="2"/>
      <c r="BN31" s="2"/>
      <c r="BO31" s="2"/>
      <c r="BP31" s="2"/>
      <c r="BQ31" s="2"/>
      <c r="BR31" s="2"/>
      <c r="BS31" s="2"/>
      <c r="BT31" s="492" t="s">
        <v>277</v>
      </c>
      <c r="BU31" s="482">
        <f>SUM(BU24:BU27)</f>
        <v>266665.92</v>
      </c>
      <c r="CC31" s="431"/>
      <c r="CD31" s="498"/>
      <c r="CE31" s="499"/>
    </row>
    <row r="32" spans="1:107" s="427" customFormat="1" x14ac:dyDescent="0.25">
      <c r="A32" s="1"/>
      <c r="B32" s="1"/>
      <c r="C32" s="1"/>
      <c r="D32" s="484"/>
      <c r="E32" s="1"/>
      <c r="F32" s="1"/>
      <c r="G32" s="1"/>
      <c r="H32" s="42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493" t="s">
        <v>278</v>
      </c>
      <c r="BU32" s="430">
        <f>BU30-BU31</f>
        <v>1215998.72</v>
      </c>
      <c r="BV32" s="1"/>
      <c r="BW32" s="1"/>
      <c r="BX32" s="1"/>
      <c r="BY32" s="1"/>
      <c r="BZ32" s="1"/>
      <c r="CA32" s="425"/>
      <c r="CB32" s="425"/>
      <c r="CC32" s="425"/>
      <c r="CD32" s="500" t="s">
        <v>152</v>
      </c>
      <c r="CE32" s="501">
        <f>CC30+CE30</f>
        <v>1482664.64</v>
      </c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  <row r="33" spans="1:107" s="427" customFormat="1" x14ac:dyDescent="0.25">
      <c r="A33" s="1"/>
      <c r="B33" s="1"/>
      <c r="C33" s="1"/>
      <c r="D33" s="484"/>
      <c r="E33" s="1"/>
      <c r="F33" s="1"/>
      <c r="G33" s="1"/>
      <c r="H33" s="425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483"/>
      <c r="BV33" s="1"/>
      <c r="BW33" s="1"/>
      <c r="BX33" s="1"/>
      <c r="BY33" s="1"/>
      <c r="BZ33" s="1"/>
      <c r="CA33" s="425"/>
      <c r="CB33" s="425"/>
      <c r="CC33" s="425"/>
      <c r="CD33" s="425"/>
      <c r="CE33" s="502" t="b">
        <f>CE32=BU30</f>
        <v>1</v>
      </c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</row>
    <row r="34" spans="1:107" s="427" customFormat="1" x14ac:dyDescent="0.25">
      <c r="A34" s="1"/>
      <c r="B34" s="1"/>
      <c r="C34" s="1"/>
      <c r="D34" s="1"/>
      <c r="E34" s="1"/>
      <c r="F34" s="1"/>
      <c r="G34" s="1"/>
      <c r="H34" s="425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483"/>
      <c r="BV34" s="1"/>
      <c r="BW34" s="1"/>
      <c r="BX34" s="1"/>
      <c r="BY34" s="1"/>
      <c r="BZ34" s="1"/>
      <c r="CA34" s="425"/>
      <c r="CB34" s="425"/>
      <c r="CC34" s="425"/>
      <c r="CD34" s="425"/>
      <c r="CE34" s="425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8">
    <cfRule type="notContainsBlanks" dxfId="132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4E72AD-0757-4202-9016-8643A9822149}">
  <sheetPr>
    <tabColor theme="4"/>
  </sheetPr>
  <dimension ref="A1:DC31"/>
  <sheetViews>
    <sheetView showGridLines="0" zoomScaleNormal="100" workbookViewId="0">
      <pane xSplit="4" ySplit="10" topLeftCell="BP11" activePane="bottomRight" state="frozen"/>
      <selection activeCell="CA117" sqref="CA117"/>
      <selection pane="topRight" activeCell="CA117" sqref="CA117"/>
      <selection pane="bottomLeft" activeCell="CA117" sqref="CA117"/>
      <selection pane="bottomRight" activeCell="CA117" sqref="CA117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425" customWidth="1"/>
    <col min="80" max="80" width="3.6640625" style="425" customWidth="1"/>
    <col min="81" max="81" width="15.5" style="425" customWidth="1"/>
    <col min="82" max="82" width="3.6640625" style="425" customWidth="1"/>
    <col min="83" max="83" width="15.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42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429"/>
      <c r="BT5" s="2"/>
      <c r="BU5" s="430"/>
      <c r="CC5" s="431"/>
    </row>
    <row r="6" spans="1:84" ht="14" customHeight="1" x14ac:dyDescent="0.4">
      <c r="A6" s="2"/>
      <c r="B6" s="6" t="s">
        <v>164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32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444"/>
      <c r="BX12" s="445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61" t="s">
        <v>236</v>
      </c>
      <c r="C13" s="446" t="s">
        <v>208</v>
      </c>
      <c r="D13" s="447" t="s">
        <v>306</v>
      </c>
      <c r="E13" s="448" t="s">
        <v>230</v>
      </c>
      <c r="F13" s="448">
        <v>0.48958333333333331</v>
      </c>
      <c r="G13" s="448" t="s">
        <v>307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>
        <v>1</v>
      </c>
      <c r="AI13" s="11"/>
      <c r="AJ13" s="11">
        <v>1</v>
      </c>
      <c r="AK13" s="12"/>
      <c r="AL13" s="12">
        <v>1</v>
      </c>
      <c r="AM13" s="13"/>
      <c r="AN13" s="13"/>
      <c r="AO13" s="11"/>
      <c r="AP13" s="12">
        <v>1</v>
      </c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>
        <v>1</v>
      </c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8</v>
      </c>
      <c r="BQ13" s="15">
        <v>64054</v>
      </c>
      <c r="BR13" s="19">
        <v>0.1</v>
      </c>
      <c r="BS13" s="20">
        <f>BQ13*(1-BR13)</f>
        <v>57648.6</v>
      </c>
      <c r="BT13" s="21">
        <f>BS13*BP13</f>
        <v>461188.8</v>
      </c>
      <c r="BU13" s="21">
        <f t="shared" ref="BU13:BU15" si="4">BT13*0.8</f>
        <v>368951.04000000004</v>
      </c>
      <c r="BW13" s="462">
        <v>5.24</v>
      </c>
      <c r="BX13" s="451">
        <f>BW13*BP13</f>
        <v>41.92</v>
      </c>
      <c r="BY13" s="452">
        <f>IFERROR(BU13/BX13,0)</f>
        <v>8801.3129770992364</v>
      </c>
      <c r="BZ13" s="2"/>
      <c r="CA13" s="453" t="s">
        <v>208</v>
      </c>
      <c r="CB13" s="454">
        <f>COUNTA(I13:AM13)</f>
        <v>3</v>
      </c>
      <c r="CC13" s="455">
        <f>CB13*BS13*0.8</f>
        <v>138356.63999999998</v>
      </c>
      <c r="CD13" s="454">
        <f>COUNTA(AN13:BO13)</f>
        <v>5</v>
      </c>
      <c r="CE13" s="455">
        <f>CD13*BS13*0.8</f>
        <v>230594.40000000002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/>
      <c r="D14" s="459"/>
      <c r="E14" s="448" t="s">
        <v>230</v>
      </c>
      <c r="F14" s="448">
        <v>0.48958333333333331</v>
      </c>
      <c r="G14" s="448" t="s">
        <v>307</v>
      </c>
      <c r="H14" s="46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1</v>
      </c>
      <c r="BQ14" s="460">
        <v>128108</v>
      </c>
      <c r="BR14" s="19">
        <v>0.1</v>
      </c>
      <c r="BS14" s="20">
        <f t="shared" ref="BS14:BS15" si="5">BQ14*(1-BR14)</f>
        <v>115297.2</v>
      </c>
      <c r="BT14" s="21">
        <f t="shared" ref="BT14:BT15" si="6">BS14*BP14</f>
        <v>115297.2</v>
      </c>
      <c r="BU14" s="22">
        <f t="shared" si="4"/>
        <v>92237.760000000009</v>
      </c>
      <c r="BV14" s="1"/>
      <c r="BW14" s="450">
        <v>5.24</v>
      </c>
      <c r="BX14" s="451">
        <f>BW14*BP14</f>
        <v>5.24</v>
      </c>
      <c r="BY14" s="452">
        <f>IFERROR(BU14/BX14,0)</f>
        <v>17602.625954198473</v>
      </c>
      <c r="BZ14" s="2"/>
      <c r="CA14" s="453" t="s">
        <v>208</v>
      </c>
      <c r="CB14" s="454">
        <f t="shared" ref="CB14:CB16" si="7">COUNTA(I14:AM14)</f>
        <v>1</v>
      </c>
      <c r="CC14" s="455">
        <f t="shared" ref="CC14:CC16" si="8">CB14*BS14*0.8</f>
        <v>92237.760000000009</v>
      </c>
      <c r="CD14" s="454">
        <f t="shared" ref="CD14:CD16" si="9">COUNTA(AN14:BO14)</f>
        <v>0</v>
      </c>
      <c r="CE14" s="455">
        <f t="shared" ref="CE14:CE16" si="10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 t="s">
        <v>211</v>
      </c>
      <c r="E15" s="448" t="s">
        <v>230</v>
      </c>
      <c r="F15" s="448">
        <v>0.79861111111111116</v>
      </c>
      <c r="G15" s="448" t="s">
        <v>308</v>
      </c>
      <c r="H15" s="46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/>
      <c r="AI15" s="11"/>
      <c r="AJ15" s="11"/>
      <c r="AK15" s="12">
        <v>1</v>
      </c>
      <c r="AL15" s="12"/>
      <c r="AM15" s="13"/>
      <c r="AN15" s="13"/>
      <c r="AO15" s="11">
        <v>1</v>
      </c>
      <c r="AP15" s="12"/>
      <c r="AQ15" s="12"/>
      <c r="AR15" s="12"/>
      <c r="AS15" s="11">
        <v>1</v>
      </c>
      <c r="AT15" s="13"/>
      <c r="AU15" s="13"/>
      <c r="AV15" s="11"/>
      <c r="AW15" s="12"/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>
        <f>SUM(I15:BO15)</f>
        <v>4</v>
      </c>
      <c r="BQ15" s="15">
        <v>200802</v>
      </c>
      <c r="BR15" s="19">
        <v>0.1</v>
      </c>
      <c r="BS15" s="20">
        <f t="shared" si="5"/>
        <v>180721.80000000002</v>
      </c>
      <c r="BT15" s="21">
        <f t="shared" si="6"/>
        <v>722887.20000000007</v>
      </c>
      <c r="BU15" s="22">
        <f t="shared" si="4"/>
        <v>578309.76000000013</v>
      </c>
      <c r="BV15" s="1"/>
      <c r="BW15" s="450">
        <v>12.39</v>
      </c>
      <c r="BX15" s="451">
        <f>BW15*BP15</f>
        <v>49.56</v>
      </c>
      <c r="BY15" s="452">
        <f>IFERROR(BU15/BX15,0)</f>
        <v>11668.881355932206</v>
      </c>
      <c r="BZ15" s="2"/>
      <c r="CA15" s="453" t="s">
        <v>208</v>
      </c>
      <c r="CB15" s="454">
        <f t="shared" si="7"/>
        <v>1</v>
      </c>
      <c r="CC15" s="455">
        <f t="shared" si="8"/>
        <v>144577.44000000003</v>
      </c>
      <c r="CD15" s="454">
        <f t="shared" si="9"/>
        <v>3</v>
      </c>
      <c r="CE15" s="455">
        <f t="shared" si="10"/>
        <v>433732.32000000007</v>
      </c>
      <c r="CF15" s="427" t="b">
        <f>SUM(CC15,CE15)=BU15</f>
        <v>1</v>
      </c>
    </row>
    <row r="16" spans="1:84" ht="14" customHeight="1" x14ac:dyDescent="0.25">
      <c r="A16" s="435"/>
      <c r="B16" s="446"/>
      <c r="C16" s="446"/>
      <c r="D16" s="447"/>
      <c r="E16" s="448" t="s">
        <v>230</v>
      </c>
      <c r="F16" s="448">
        <v>0.79861111111111116</v>
      </c>
      <c r="G16" s="448" t="s">
        <v>308</v>
      </c>
      <c r="H16" s="46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1</v>
      </c>
      <c r="BQ16" s="15">
        <v>401604</v>
      </c>
      <c r="BR16" s="19">
        <v>0.1</v>
      </c>
      <c r="BS16" s="20">
        <f t="shared" ref="BS16" si="11">BQ16*(1-BR16)</f>
        <v>361443.60000000003</v>
      </c>
      <c r="BT16" s="21">
        <f t="shared" ref="BT16" si="12">BS16*BP16</f>
        <v>361443.60000000003</v>
      </c>
      <c r="BU16" s="22">
        <f t="shared" ref="BU16" si="13">BT16*0.8</f>
        <v>289154.88000000006</v>
      </c>
      <c r="BW16" s="450">
        <v>12.39</v>
      </c>
      <c r="BX16" s="451">
        <f t="shared" ref="BX16" si="14">BW16*BP16</f>
        <v>12.39</v>
      </c>
      <c r="BY16" s="452">
        <f t="shared" ref="BY16" si="15">IFERROR(BU16/BX16,0)</f>
        <v>23337.762711864412</v>
      </c>
      <c r="BZ16" s="2"/>
      <c r="CA16" s="453" t="s">
        <v>208</v>
      </c>
      <c r="CB16" s="454">
        <f t="shared" si="7"/>
        <v>1</v>
      </c>
      <c r="CC16" s="455">
        <f t="shared" si="8"/>
        <v>289154.88000000006</v>
      </c>
      <c r="CD16" s="454">
        <f t="shared" si="9"/>
        <v>0</v>
      </c>
      <c r="CE16" s="455">
        <f t="shared" si="10"/>
        <v>0</v>
      </c>
      <c r="CF16" s="427" t="b">
        <f>SUM(CC16,CE16)=BU16</f>
        <v>1</v>
      </c>
    </row>
    <row r="17" spans="1:107" s="427" customFormat="1" ht="14" customHeight="1" x14ac:dyDescent="0.25">
      <c r="A17" s="435"/>
      <c r="B17" s="488"/>
      <c r="C17" s="489"/>
      <c r="D17" s="490"/>
      <c r="E17" s="490"/>
      <c r="F17" s="490"/>
      <c r="G17" s="490"/>
      <c r="H17" s="49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8"/>
      <c r="BQ17" s="15"/>
      <c r="BR17" s="19"/>
      <c r="BS17" s="20"/>
      <c r="BT17" s="21"/>
      <c r="BU17" s="21"/>
      <c r="BV17" s="1"/>
      <c r="BW17" s="462"/>
      <c r="BX17" s="451"/>
      <c r="BY17" s="21"/>
      <c r="BZ17" s="2"/>
      <c r="CA17" s="494" t="s">
        <v>152</v>
      </c>
      <c r="CB17" s="495">
        <f>SUM(CB13:CB16)</f>
        <v>6</v>
      </c>
      <c r="CC17" s="496">
        <f>SUM(CC13:CC16)</f>
        <v>664326.72000000009</v>
      </c>
      <c r="CD17" s="495">
        <f>SUM(CD13:CD16)</f>
        <v>8</v>
      </c>
      <c r="CE17" s="496">
        <f>SUM(CE13:CE16)</f>
        <v>664326.72000000009</v>
      </c>
    </row>
    <row r="18" spans="1:107" ht="14" customHeight="1" x14ac:dyDescent="0.25">
      <c r="A18" s="435"/>
      <c r="B18" s="461"/>
      <c r="C18" s="446" t="s">
        <v>17</v>
      </c>
      <c r="D18" s="447" t="s">
        <v>309</v>
      </c>
      <c r="E18" s="448" t="s">
        <v>230</v>
      </c>
      <c r="F18" s="448">
        <v>0.80555555555555558</v>
      </c>
      <c r="G18" s="448" t="s">
        <v>214</v>
      </c>
      <c r="H18" s="46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/>
      <c r="AW18" s="12">
        <v>1</v>
      </c>
      <c r="AX18" s="12"/>
      <c r="AY18" s="12">
        <v>1</v>
      </c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>
        <f>SUM(I18:BO18)</f>
        <v>6</v>
      </c>
      <c r="BQ18" s="15">
        <v>190834</v>
      </c>
      <c r="BR18" s="19">
        <v>0.85</v>
      </c>
      <c r="BS18" s="20">
        <f>BQ18*(1-BR18)</f>
        <v>28625.100000000006</v>
      </c>
      <c r="BT18" s="21">
        <f>BS18*BP18</f>
        <v>171750.60000000003</v>
      </c>
      <c r="BU18" s="21">
        <f t="shared" ref="BU18:BU19" si="16">BT18*0.8</f>
        <v>137400.48000000004</v>
      </c>
      <c r="BW18" s="462">
        <v>1.59</v>
      </c>
      <c r="BX18" s="451">
        <f t="shared" ref="BX18:BX19" si="17">BW18*BP18</f>
        <v>9.5400000000000009</v>
      </c>
      <c r="BY18" s="452">
        <f t="shared" ref="BY18:BY19" si="18">IFERROR(BU18/BX18,0)</f>
        <v>14402.566037735853</v>
      </c>
      <c r="BZ18" s="2"/>
      <c r="CA18" s="453" t="s">
        <v>17</v>
      </c>
      <c r="CB18" s="454">
        <f t="shared" ref="CB18:CB19" si="19">COUNTA(I18:AM18)</f>
        <v>2</v>
      </c>
      <c r="CC18" s="455">
        <f t="shared" ref="CC18:CC19" si="20">CB18*BS18*0.8</f>
        <v>45800.160000000011</v>
      </c>
      <c r="CD18" s="454">
        <f t="shared" ref="CD18:CD19" si="21">COUNTA(AN18:BO18)</f>
        <v>4</v>
      </c>
      <c r="CE18" s="455">
        <f t="shared" ref="CE18:CE19" si="22">CD18*BS18*0.8</f>
        <v>91600.320000000022</v>
      </c>
      <c r="CF18" s="427" t="b">
        <f>SUM(CC18,CE18)=BU18</f>
        <v>1</v>
      </c>
    </row>
    <row r="19" spans="1:107" s="458" customFormat="1" ht="14" customHeight="1" x14ac:dyDescent="0.25">
      <c r="A19" s="435"/>
      <c r="B19" s="446"/>
      <c r="C19" s="446"/>
      <c r="D19" s="459"/>
      <c r="E19" s="448" t="s">
        <v>230</v>
      </c>
      <c r="F19" s="448">
        <v>0.80555555555555558</v>
      </c>
      <c r="G19" s="448" t="s">
        <v>214</v>
      </c>
      <c r="H19" s="46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>
        <f>SUM(I19:BO19)</f>
        <v>1</v>
      </c>
      <c r="BQ19" s="460">
        <v>381668</v>
      </c>
      <c r="BR19" s="19">
        <v>0.85</v>
      </c>
      <c r="BS19" s="20">
        <f t="shared" ref="BS19" si="23">BQ19*(1-BR19)</f>
        <v>57250.200000000012</v>
      </c>
      <c r="BT19" s="21">
        <f t="shared" ref="BT19" si="24">BS19*BP19</f>
        <v>57250.200000000012</v>
      </c>
      <c r="BU19" s="22">
        <f t="shared" si="16"/>
        <v>45800.160000000011</v>
      </c>
      <c r="BV19" s="1"/>
      <c r="BW19" s="450">
        <v>1.59</v>
      </c>
      <c r="BX19" s="451">
        <f t="shared" si="17"/>
        <v>1.59</v>
      </c>
      <c r="BY19" s="452">
        <f t="shared" si="18"/>
        <v>28805.132075471702</v>
      </c>
      <c r="BZ19" s="2"/>
      <c r="CA19" s="453" t="s">
        <v>17</v>
      </c>
      <c r="CB19" s="454">
        <f t="shared" si="19"/>
        <v>1</v>
      </c>
      <c r="CC19" s="455">
        <f t="shared" si="20"/>
        <v>45800.160000000011</v>
      </c>
      <c r="CD19" s="454">
        <f t="shared" si="21"/>
        <v>0</v>
      </c>
      <c r="CE19" s="455">
        <f t="shared" si="22"/>
        <v>0</v>
      </c>
      <c r="CF19" s="427" t="b">
        <f>SUM(CC19,CE19)=BU19</f>
        <v>1</v>
      </c>
    </row>
    <row r="20" spans="1:107" s="458" customFormat="1" ht="14" customHeight="1" x14ac:dyDescent="0.25">
      <c r="A20" s="435"/>
      <c r="B20" s="446"/>
      <c r="C20" s="446"/>
      <c r="D20" s="459"/>
      <c r="E20" s="448"/>
      <c r="F20" s="448"/>
      <c r="G20" s="448"/>
      <c r="H20" s="46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/>
      <c r="BQ20" s="15"/>
      <c r="BR20" s="19"/>
      <c r="BS20" s="20"/>
      <c r="BT20" s="21"/>
      <c r="BU20" s="22"/>
      <c r="BV20" s="1"/>
      <c r="BW20" s="450"/>
      <c r="BX20" s="457"/>
      <c r="BY20" s="452"/>
      <c r="BZ20" s="2"/>
      <c r="CA20" s="494" t="s">
        <v>152</v>
      </c>
      <c r="CB20" s="495">
        <f>SUM(CB18:CB19)</f>
        <v>3</v>
      </c>
      <c r="CC20" s="496">
        <f>SUM(CC18:CC19)</f>
        <v>91600.320000000022</v>
      </c>
      <c r="CD20" s="495">
        <f>SUM(CD18:CD19)</f>
        <v>4</v>
      </c>
      <c r="CE20" s="496">
        <f>SUM(CE18:CE19)</f>
        <v>91600.320000000022</v>
      </c>
      <c r="CF20" s="427"/>
    </row>
    <row r="21" spans="1:107" s="458" customFormat="1" ht="14" customHeight="1" x14ac:dyDescent="0.25">
      <c r="A21" s="435"/>
      <c r="B21" s="446"/>
      <c r="C21" s="446" t="s">
        <v>254</v>
      </c>
      <c r="D21" s="459" t="s">
        <v>310</v>
      </c>
      <c r="E21" s="448" t="s">
        <v>230</v>
      </c>
      <c r="F21" s="448">
        <v>0.82986111111111116</v>
      </c>
      <c r="G21" s="448" t="s">
        <v>294</v>
      </c>
      <c r="H21" s="46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/>
      <c r="AJ21" s="11">
        <v>1</v>
      </c>
      <c r="AK21" s="12"/>
      <c r="AL21" s="12">
        <v>1</v>
      </c>
      <c r="AM21" s="13"/>
      <c r="AN21" s="13"/>
      <c r="AO21" s="11"/>
      <c r="AP21" s="12"/>
      <c r="AQ21" s="12">
        <v>1</v>
      </c>
      <c r="AR21" s="12"/>
      <c r="AS21" s="11">
        <v>1</v>
      </c>
      <c r="AT21" s="13"/>
      <c r="AU21" s="13"/>
      <c r="AV21" s="11"/>
      <c r="AW21" s="12"/>
      <c r="AX21" s="12">
        <v>1</v>
      </c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 t="shared" ref="BP21:BP22" si="25">SUM(I21:BO21)</f>
        <v>6</v>
      </c>
      <c r="BQ21" s="460">
        <v>405550</v>
      </c>
      <c r="BR21" s="19">
        <v>0.8</v>
      </c>
      <c r="BS21" s="20">
        <f t="shared" ref="BS21:BS22" si="26">BQ21*(1-BR21)</f>
        <v>81109.999999999985</v>
      </c>
      <c r="BT21" s="21">
        <f t="shared" ref="BT21:BT22" si="27">BS21*BP21</f>
        <v>486659.99999999988</v>
      </c>
      <c r="BU21" s="22">
        <f t="shared" ref="BU21:BU22" si="28">BT21*0.8</f>
        <v>389327.99999999994</v>
      </c>
      <c r="BV21" s="1"/>
      <c r="BW21" s="450">
        <v>3.53</v>
      </c>
      <c r="BX21" s="451">
        <f t="shared" ref="BX21:BX22" si="29">BW21*BP21</f>
        <v>21.18</v>
      </c>
      <c r="BY21" s="452">
        <f t="shared" ref="BY21:BY22" si="30">IFERROR(BU21/BX21,0)</f>
        <v>18381.869688385268</v>
      </c>
      <c r="BZ21" s="2"/>
      <c r="CA21" s="453" t="s">
        <v>254</v>
      </c>
      <c r="CB21" s="454">
        <f t="shared" ref="CB21:CB22" si="31">COUNTA(I21:AM21)</f>
        <v>2</v>
      </c>
      <c r="CC21" s="455">
        <f t="shared" ref="CC21:CC22" si="32">CB21*BS21*0.8</f>
        <v>129775.99999999999</v>
      </c>
      <c r="CD21" s="454">
        <f t="shared" ref="CD21:CD22" si="33">COUNTA(AN21:BO21)</f>
        <v>4</v>
      </c>
      <c r="CE21" s="455">
        <f t="shared" ref="CE21:CE22" si="34">CD21*BS21*0.8</f>
        <v>259551.99999999997</v>
      </c>
      <c r="CF21" s="427" t="b">
        <f t="shared" ref="CF21:CF22" si="35">SUM(CC21,CE21)=BU21</f>
        <v>1</v>
      </c>
    </row>
    <row r="22" spans="1:107" s="458" customFormat="1" ht="14" customHeight="1" x14ac:dyDescent="0.25">
      <c r="A22" s="435"/>
      <c r="B22" s="446"/>
      <c r="C22" s="446"/>
      <c r="D22" s="466"/>
      <c r="E22" s="448" t="s">
        <v>230</v>
      </c>
      <c r="F22" s="448">
        <v>0.82986111111111116</v>
      </c>
      <c r="G22" s="448" t="s">
        <v>294</v>
      </c>
      <c r="H22" s="46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449">
        <f t="shared" si="25"/>
        <v>1</v>
      </c>
      <c r="BQ22" s="460">
        <v>811100</v>
      </c>
      <c r="BR22" s="19">
        <v>0.8</v>
      </c>
      <c r="BS22" s="20">
        <f t="shared" si="26"/>
        <v>162219.99999999997</v>
      </c>
      <c r="BT22" s="21">
        <f t="shared" si="27"/>
        <v>162219.99999999997</v>
      </c>
      <c r="BU22" s="22">
        <f t="shared" si="28"/>
        <v>129775.99999999999</v>
      </c>
      <c r="BV22" s="1"/>
      <c r="BW22" s="450">
        <v>3.53</v>
      </c>
      <c r="BX22" s="451">
        <f t="shared" si="29"/>
        <v>3.53</v>
      </c>
      <c r="BY22" s="452">
        <f t="shared" si="30"/>
        <v>36763.739376770536</v>
      </c>
      <c r="BZ22" s="2"/>
      <c r="CA22" s="453" t="s">
        <v>254</v>
      </c>
      <c r="CB22" s="454">
        <f t="shared" si="31"/>
        <v>1</v>
      </c>
      <c r="CC22" s="455">
        <f t="shared" si="32"/>
        <v>129775.99999999999</v>
      </c>
      <c r="CD22" s="454">
        <f t="shared" si="33"/>
        <v>0</v>
      </c>
      <c r="CE22" s="455">
        <f t="shared" si="34"/>
        <v>0</v>
      </c>
      <c r="CF22" s="427" t="b">
        <f t="shared" si="35"/>
        <v>1</v>
      </c>
    </row>
    <row r="23" spans="1:107" s="458" customFormat="1" ht="14" customHeight="1" x14ac:dyDescent="0.25">
      <c r="A23" s="435"/>
      <c r="B23" s="446"/>
      <c r="C23" s="446"/>
      <c r="D23" s="466"/>
      <c r="E23" s="448"/>
      <c r="F23" s="448"/>
      <c r="G23" s="448"/>
      <c r="H23" s="46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/>
      <c r="BQ23" s="15"/>
      <c r="BR23" s="456"/>
      <c r="BS23" s="15"/>
      <c r="BT23" s="22"/>
      <c r="BU23" s="22"/>
      <c r="BV23" s="1"/>
      <c r="BW23" s="450"/>
      <c r="BX23" s="457"/>
      <c r="BY23" s="452"/>
      <c r="BZ23" s="2"/>
      <c r="CA23" s="494" t="s">
        <v>152</v>
      </c>
      <c r="CB23" s="495">
        <f>SUM(CB21:CB22)</f>
        <v>3</v>
      </c>
      <c r="CC23" s="496">
        <f>SUM(CC21:CC22)</f>
        <v>259551.99999999997</v>
      </c>
      <c r="CD23" s="495">
        <f>SUM(CD21:CD22)</f>
        <v>4</v>
      </c>
      <c r="CE23" s="496">
        <f>SUM(CE21:CE22)</f>
        <v>259551.99999999997</v>
      </c>
      <c r="CF23" s="427"/>
    </row>
    <row r="24" spans="1:107" s="458" customFormat="1" ht="14" customHeight="1" x14ac:dyDescent="0.25">
      <c r="A24" s="435"/>
      <c r="B24" s="446"/>
      <c r="C24" s="446" t="s">
        <v>261</v>
      </c>
      <c r="D24" s="459" t="s">
        <v>311</v>
      </c>
      <c r="E24" s="448" t="s">
        <v>230</v>
      </c>
      <c r="F24" s="448">
        <v>0.82291666666666663</v>
      </c>
      <c r="G24" s="448" t="s">
        <v>294</v>
      </c>
      <c r="H24" s="46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/>
      <c r="AI24" s="11">
        <v>1</v>
      </c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 t="shared" ref="BP24" si="36">SUM(I24:BO24)</f>
        <v>6</v>
      </c>
      <c r="BQ24" s="460">
        <v>201971</v>
      </c>
      <c r="BR24" s="19">
        <v>0.75</v>
      </c>
      <c r="BS24" s="20">
        <f t="shared" ref="BS24" si="37">BQ24*(1-BR24)</f>
        <v>50492.75</v>
      </c>
      <c r="BT24" s="21">
        <f t="shared" ref="BT24" si="38">BS24*BP24</f>
        <v>302956.5</v>
      </c>
      <c r="BU24" s="491">
        <f t="shared" ref="BU24" si="39">BT24*0.8</f>
        <v>242365.2</v>
      </c>
      <c r="BV24" s="1"/>
      <c r="BW24" s="450">
        <v>1.91</v>
      </c>
      <c r="BX24" s="451">
        <f t="shared" ref="BX24" si="40">BW24*BP24</f>
        <v>11.459999999999999</v>
      </c>
      <c r="BY24" s="452">
        <f t="shared" ref="BY24" si="41">IFERROR(BU24/BX24,0)</f>
        <v>21148.795811518328</v>
      </c>
      <c r="BZ24" s="2"/>
      <c r="CA24" s="453" t="s">
        <v>261</v>
      </c>
      <c r="CB24" s="454">
        <f t="shared" ref="CB24" si="42">COUNTA(I24:AM24)</f>
        <v>2</v>
      </c>
      <c r="CC24" s="455">
        <f t="shared" ref="CC24" si="43">CB24*BS24*0.8</f>
        <v>80788.400000000009</v>
      </c>
      <c r="CD24" s="454">
        <f t="shared" ref="CD24" si="44">COUNTA(AN24:BO24)</f>
        <v>4</v>
      </c>
      <c r="CE24" s="455">
        <f t="shared" ref="CE24" si="45">CD24*BS24*0.8</f>
        <v>161576.80000000002</v>
      </c>
      <c r="CF24" s="427" t="b">
        <f t="shared" ref="CF24" si="46">SUM(CC24,CE24)=BU24</f>
        <v>1</v>
      </c>
    </row>
    <row r="25" spans="1:107" s="458" customFormat="1" ht="14" customHeight="1" x14ac:dyDescent="0.25">
      <c r="A25" s="435"/>
      <c r="B25" s="446"/>
      <c r="C25" s="446"/>
      <c r="D25" s="466"/>
      <c r="E25" s="448"/>
      <c r="F25" s="448"/>
      <c r="G25" s="448"/>
      <c r="H25" s="464"/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/>
      <c r="BQ25" s="15"/>
      <c r="BR25" s="456"/>
      <c r="BS25" s="15"/>
      <c r="BT25" s="22"/>
      <c r="BU25" s="22"/>
      <c r="BV25" s="1"/>
      <c r="BW25" s="525"/>
      <c r="BX25" s="526"/>
      <c r="BY25" s="527"/>
      <c r="BZ25" s="2"/>
      <c r="CA25" s="494" t="s">
        <v>152</v>
      </c>
      <c r="CB25" s="495">
        <f>SUM(CB24)</f>
        <v>2</v>
      </c>
      <c r="CC25" s="496">
        <f>SUM(CC24)</f>
        <v>80788.400000000009</v>
      </c>
      <c r="CD25" s="495">
        <f>SUM(CD24)</f>
        <v>4</v>
      </c>
      <c r="CE25" s="496">
        <f>SUM(CE24)</f>
        <v>161576.80000000002</v>
      </c>
      <c r="CF25" s="427"/>
    </row>
    <row r="26" spans="1:107" ht="3.75" customHeight="1" x14ac:dyDescent="0.25">
      <c r="A26" s="435"/>
      <c r="B26" s="467"/>
      <c r="C26" s="468"/>
      <c r="D26" s="468"/>
      <c r="E26" s="468"/>
      <c r="F26" s="468"/>
      <c r="G26" s="468"/>
      <c r="H26" s="468"/>
      <c r="I26" s="468"/>
      <c r="J26" s="468"/>
      <c r="K26" s="468"/>
      <c r="L26" s="468"/>
      <c r="M26" s="468"/>
      <c r="N26" s="468"/>
      <c r="O26" s="468"/>
      <c r="P26" s="468"/>
      <c r="Q26" s="468"/>
      <c r="R26" s="468"/>
      <c r="S26" s="468"/>
      <c r="T26" s="468"/>
      <c r="U26" s="468"/>
      <c r="V26" s="468"/>
      <c r="W26" s="468"/>
      <c r="X26" s="468"/>
      <c r="Y26" s="468"/>
      <c r="Z26" s="468"/>
      <c r="AA26" s="468"/>
      <c r="AB26" s="468"/>
      <c r="AC26" s="468"/>
      <c r="AD26" s="468"/>
      <c r="AE26" s="468"/>
      <c r="AF26" s="13"/>
      <c r="AG26" s="13"/>
      <c r="AH26" s="468"/>
      <c r="AI26" s="468"/>
      <c r="AJ26" s="468"/>
      <c r="AK26" s="468"/>
      <c r="AL26" s="468"/>
      <c r="AM26" s="13"/>
      <c r="AN26" s="468"/>
      <c r="AO26" s="468"/>
      <c r="AP26" s="468"/>
      <c r="AQ26" s="468"/>
      <c r="AR26" s="468"/>
      <c r="AS26" s="468"/>
      <c r="AT26" s="468"/>
      <c r="AU26" s="468"/>
      <c r="AV26" s="468"/>
      <c r="AW26" s="468"/>
      <c r="AX26" s="468"/>
      <c r="AY26" s="468"/>
      <c r="AZ26" s="468"/>
      <c r="BA26" s="468"/>
      <c r="BB26" s="468"/>
      <c r="BC26" s="468"/>
      <c r="BD26" s="468"/>
      <c r="BE26" s="468"/>
      <c r="BF26" s="468"/>
      <c r="BG26" s="468"/>
      <c r="BH26" s="468"/>
      <c r="BI26" s="468"/>
      <c r="BJ26" s="468"/>
      <c r="BK26" s="13"/>
      <c r="BL26" s="13"/>
      <c r="BM26" s="468"/>
      <c r="BN26" s="468"/>
      <c r="BO26" s="468"/>
      <c r="BP26" s="468"/>
      <c r="BQ26" s="468"/>
      <c r="BR26" s="468"/>
      <c r="BS26" s="468"/>
      <c r="BT26" s="23"/>
      <c r="BU26" s="24"/>
      <c r="BY26" s="469"/>
      <c r="CA26" s="470"/>
      <c r="CB26" s="471"/>
      <c r="CC26" s="472"/>
      <c r="CD26" s="471"/>
      <c r="CE26" s="472"/>
    </row>
    <row r="27" spans="1:107" x14ac:dyDescent="0.25">
      <c r="A27" s="2"/>
      <c r="B27" s="25" t="s">
        <v>215</v>
      </c>
      <c r="C27" s="473"/>
      <c r="D27" s="473"/>
      <c r="E27" s="473"/>
      <c r="F27" s="473"/>
      <c r="G27" s="473"/>
      <c r="H27" s="473"/>
      <c r="I27" s="473">
        <f>COUNTA(I12:I16)</f>
        <v>0</v>
      </c>
      <c r="J27" s="473">
        <f>COUNTA(J12:J16)</f>
        <v>0</v>
      </c>
      <c r="K27" s="473">
        <f>COUNTA(K12:K16)</f>
        <v>0</v>
      </c>
      <c r="L27" s="473">
        <f>COUNTA(L12:L16)</f>
        <v>0</v>
      </c>
      <c r="M27" s="473">
        <f>COUNTA(M12:M16)</f>
        <v>0</v>
      </c>
      <c r="N27" s="473">
        <f>SUM(N12:N16)</f>
        <v>0</v>
      </c>
      <c r="O27" s="473">
        <f>SUM(O12:O16)</f>
        <v>0</v>
      </c>
      <c r="P27" s="473">
        <f>SUM(P12:P16)</f>
        <v>0</v>
      </c>
      <c r="Q27" s="473">
        <f t="shared" ref="Q27:BJ27" si="47">SUM(Q12:Q25)</f>
        <v>0</v>
      </c>
      <c r="R27" s="473">
        <f t="shared" si="47"/>
        <v>0</v>
      </c>
      <c r="S27" s="473">
        <f t="shared" si="47"/>
        <v>0</v>
      </c>
      <c r="T27" s="473">
        <f t="shared" si="47"/>
        <v>0</v>
      </c>
      <c r="U27" s="473">
        <f t="shared" si="47"/>
        <v>0</v>
      </c>
      <c r="V27" s="473">
        <f t="shared" si="47"/>
        <v>0</v>
      </c>
      <c r="W27" s="473">
        <f t="shared" si="47"/>
        <v>0</v>
      </c>
      <c r="X27" s="473">
        <f t="shared" si="47"/>
        <v>0</v>
      </c>
      <c r="Y27" s="473">
        <f t="shared" si="47"/>
        <v>0</v>
      </c>
      <c r="Z27" s="473">
        <f t="shared" si="47"/>
        <v>0</v>
      </c>
      <c r="AA27" s="473">
        <f t="shared" si="47"/>
        <v>0</v>
      </c>
      <c r="AB27" s="473">
        <f t="shared" si="47"/>
        <v>0</v>
      </c>
      <c r="AC27" s="473">
        <f t="shared" si="47"/>
        <v>0</v>
      </c>
      <c r="AD27" s="473">
        <f t="shared" si="47"/>
        <v>2</v>
      </c>
      <c r="AE27" s="473">
        <f t="shared" si="47"/>
        <v>2</v>
      </c>
      <c r="AF27" s="473">
        <f t="shared" si="47"/>
        <v>0</v>
      </c>
      <c r="AG27" s="473">
        <f t="shared" si="47"/>
        <v>0</v>
      </c>
      <c r="AH27" s="473">
        <f t="shared" si="47"/>
        <v>1</v>
      </c>
      <c r="AI27" s="473">
        <f t="shared" si="47"/>
        <v>2</v>
      </c>
      <c r="AJ27" s="473">
        <f t="shared" si="47"/>
        <v>2</v>
      </c>
      <c r="AK27" s="473">
        <f t="shared" si="47"/>
        <v>3</v>
      </c>
      <c r="AL27" s="473">
        <f t="shared" si="47"/>
        <v>2</v>
      </c>
      <c r="AM27" s="473">
        <f t="shared" si="47"/>
        <v>0</v>
      </c>
      <c r="AN27" s="473">
        <f t="shared" si="47"/>
        <v>0</v>
      </c>
      <c r="AO27" s="473">
        <f t="shared" si="47"/>
        <v>1</v>
      </c>
      <c r="AP27" s="473">
        <f t="shared" si="47"/>
        <v>3</v>
      </c>
      <c r="AQ27" s="473">
        <f t="shared" si="47"/>
        <v>1</v>
      </c>
      <c r="AR27" s="473">
        <f t="shared" si="47"/>
        <v>3</v>
      </c>
      <c r="AS27" s="473">
        <f t="shared" si="47"/>
        <v>2</v>
      </c>
      <c r="AT27" s="473">
        <f t="shared" si="47"/>
        <v>0</v>
      </c>
      <c r="AU27" s="473">
        <f t="shared" si="47"/>
        <v>0</v>
      </c>
      <c r="AV27" s="473">
        <f t="shared" si="47"/>
        <v>1</v>
      </c>
      <c r="AW27" s="473">
        <f t="shared" si="47"/>
        <v>2</v>
      </c>
      <c r="AX27" s="473">
        <f t="shared" si="47"/>
        <v>2</v>
      </c>
      <c r="AY27" s="473">
        <f t="shared" si="47"/>
        <v>3</v>
      </c>
      <c r="AZ27" s="473">
        <f t="shared" si="47"/>
        <v>2</v>
      </c>
      <c r="BA27" s="473">
        <f t="shared" si="47"/>
        <v>0</v>
      </c>
      <c r="BB27" s="473">
        <f t="shared" si="47"/>
        <v>0</v>
      </c>
      <c r="BC27" s="473">
        <f t="shared" si="47"/>
        <v>0</v>
      </c>
      <c r="BD27" s="473">
        <f t="shared" si="47"/>
        <v>0</v>
      </c>
      <c r="BE27" s="473">
        <f t="shared" si="47"/>
        <v>0</v>
      </c>
      <c r="BF27" s="473">
        <f t="shared" si="47"/>
        <v>0</v>
      </c>
      <c r="BG27" s="473">
        <f t="shared" si="47"/>
        <v>0</v>
      </c>
      <c r="BH27" s="473">
        <f t="shared" si="47"/>
        <v>0</v>
      </c>
      <c r="BI27" s="473">
        <f t="shared" si="47"/>
        <v>0</v>
      </c>
      <c r="BJ27" s="473">
        <f t="shared" si="47"/>
        <v>0</v>
      </c>
      <c r="BK27" s="473">
        <f>SUM(BK13:BK26)</f>
        <v>0</v>
      </c>
      <c r="BL27" s="473">
        <f>SUM(BL13:BL26)</f>
        <v>0</v>
      </c>
      <c r="BM27" s="473">
        <f>SUM(BM12:BM16)</f>
        <v>0</v>
      </c>
      <c r="BN27" s="473">
        <f>SUM(BN12:BN16)</f>
        <v>0</v>
      </c>
      <c r="BO27" s="473">
        <f>SUM(BO12:BO16)</f>
        <v>0</v>
      </c>
      <c r="BP27" s="474">
        <f>SUM(BP13:BP25)</f>
        <v>34</v>
      </c>
      <c r="BQ27" s="26"/>
      <c r="BR27" s="26"/>
      <c r="BS27" s="475"/>
      <c r="BT27" s="476">
        <f>SUM(BT13:BT25)</f>
        <v>2841654.1</v>
      </c>
      <c r="BU27" s="476">
        <f>SUM(BU13:BU25)</f>
        <v>2273323.2800000003</v>
      </c>
      <c r="BW27" s="477"/>
      <c r="BX27" s="478">
        <f>SUM(BX13:BX25)</f>
        <v>156.41000000000003</v>
      </c>
      <c r="BY27" s="479">
        <f>BU27/BX27</f>
        <v>14534.385780960296</v>
      </c>
      <c r="CA27" s="497" t="s">
        <v>196</v>
      </c>
      <c r="CB27" s="510">
        <f>CB17+CB20+CB23+CB25</f>
        <v>14</v>
      </c>
      <c r="CC27" s="511">
        <f>CC17+CC20+CC23+CC25</f>
        <v>1096267.4400000002</v>
      </c>
      <c r="CD27" s="510">
        <f>CD17+CD20+CD23+CD25</f>
        <v>20</v>
      </c>
      <c r="CE27" s="511">
        <f>CE17+CE20+CE23+CE25</f>
        <v>1177055.8400000001</v>
      </c>
    </row>
    <row r="28" spans="1:107" x14ac:dyDescent="0.25">
      <c r="A28" s="2"/>
      <c r="B28" s="2"/>
      <c r="C28" s="2"/>
      <c r="D28" s="2"/>
      <c r="E28" s="2"/>
      <c r="F28" s="2"/>
      <c r="G28" s="2"/>
      <c r="H28" s="428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  <c r="AC28" s="2"/>
      <c r="AD28" s="2"/>
      <c r="AE28" s="2"/>
      <c r="AF28" s="2"/>
      <c r="AG28" s="2"/>
      <c r="AH28" s="2"/>
      <c r="AI28" s="2"/>
      <c r="AJ28" s="2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  <c r="BA28" s="2"/>
      <c r="BB28" s="2"/>
      <c r="BC28" s="2"/>
      <c r="BD28" s="2"/>
      <c r="BE28" s="2"/>
      <c r="BF28" s="2"/>
      <c r="BG28" s="2"/>
      <c r="BH28" s="2"/>
      <c r="BI28" s="2"/>
      <c r="BJ28" s="2"/>
      <c r="BK28" s="2"/>
      <c r="BL28" s="2"/>
      <c r="BM28" s="2"/>
      <c r="BN28" s="2"/>
      <c r="BO28" s="2"/>
      <c r="BP28" s="2"/>
      <c r="BQ28" s="2"/>
      <c r="BR28" s="2"/>
      <c r="BS28" s="2"/>
      <c r="BT28" s="492" t="s">
        <v>277</v>
      </c>
      <c r="BU28" s="482">
        <f>SUM(BU24:BU24)</f>
        <v>242365.2</v>
      </c>
      <c r="CC28" s="431"/>
      <c r="CD28" s="498"/>
      <c r="CE28" s="499"/>
    </row>
    <row r="29" spans="1:107" s="427" customFormat="1" x14ac:dyDescent="0.25">
      <c r="A29" s="1"/>
      <c r="B29" s="1"/>
      <c r="C29" s="1"/>
      <c r="D29" s="484"/>
      <c r="E29" s="1"/>
      <c r="F29" s="1"/>
      <c r="G29" s="1"/>
      <c r="H29" s="425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493" t="s">
        <v>278</v>
      </c>
      <c r="BU29" s="430">
        <f>BU27-BU28</f>
        <v>2030958.0800000003</v>
      </c>
      <c r="BV29" s="1"/>
      <c r="BW29" s="1"/>
      <c r="BX29" s="1"/>
      <c r="BY29" s="1"/>
      <c r="BZ29" s="1"/>
      <c r="CA29" s="425"/>
      <c r="CB29" s="425"/>
      <c r="CC29" s="425"/>
      <c r="CD29" s="500" t="s">
        <v>152</v>
      </c>
      <c r="CE29" s="501">
        <f>CC27+CE27</f>
        <v>2273323.2800000003</v>
      </c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</row>
    <row r="30" spans="1:107" s="427" customFormat="1" x14ac:dyDescent="0.25">
      <c r="A30" s="1"/>
      <c r="B30" s="1"/>
      <c r="C30" s="1"/>
      <c r="D30" s="484"/>
      <c r="E30" s="1"/>
      <c r="F30" s="1"/>
      <c r="G30" s="1"/>
      <c r="H30" s="425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483"/>
      <c r="BV30" s="1"/>
      <c r="BW30" s="1"/>
      <c r="BX30" s="1"/>
      <c r="BY30" s="1"/>
      <c r="BZ30" s="1"/>
      <c r="CA30" s="425"/>
      <c r="CB30" s="425"/>
      <c r="CC30" s="425"/>
      <c r="CD30" s="425"/>
      <c r="CE30" s="502" t="b">
        <f>CE29=BU27</f>
        <v>1</v>
      </c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</row>
    <row r="31" spans="1:107" s="427" customFormat="1" x14ac:dyDescent="0.25">
      <c r="A31" s="1"/>
      <c r="B31" s="1"/>
      <c r="C31" s="1"/>
      <c r="D31" s="1"/>
      <c r="E31" s="1"/>
      <c r="F31" s="1"/>
      <c r="G31" s="1"/>
      <c r="H31" s="4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83"/>
      <c r="BV31" s="1"/>
      <c r="BW31" s="1"/>
      <c r="BX31" s="1"/>
      <c r="BY31" s="1"/>
      <c r="BZ31" s="1"/>
      <c r="CA31" s="425"/>
      <c r="CB31" s="425"/>
      <c r="CC31" s="425"/>
      <c r="CD31" s="425"/>
      <c r="CE31" s="425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5">
    <cfRule type="notContainsBlanks" dxfId="131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B00BF8-4655-46E3-9F8D-BA4E88E82C4D}">
  <dimension ref="A1:DC32"/>
  <sheetViews>
    <sheetView showGridLines="0" zoomScale="70" zoomScaleNormal="70" workbookViewId="0">
      <pane xSplit="4" ySplit="10" topLeftCell="E11" activePane="bottomRight" state="frozen"/>
      <selection activeCell="BQ32" sqref="BQ32"/>
      <selection pane="topRight" activeCell="BQ32" sqref="BQ32"/>
      <selection pane="bottomLeft" activeCell="BQ32" sqref="BQ32"/>
      <selection pane="bottomRight" activeCell="D14" sqref="D14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425" customWidth="1"/>
    <col min="80" max="80" width="4.1640625" style="425" customWidth="1"/>
    <col min="81" max="81" width="15.5" style="425" customWidth="1"/>
    <col min="82" max="82" width="4.1640625" style="425" customWidth="1"/>
    <col min="83" max="83" width="15.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42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429"/>
      <c r="BT5" s="2"/>
      <c r="BU5" s="430"/>
      <c r="CC5" s="431"/>
    </row>
    <row r="6" spans="1:84" ht="14" customHeight="1" x14ac:dyDescent="0.4">
      <c r="A6" s="2"/>
      <c r="B6" s="6" t="s">
        <v>164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32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444"/>
      <c r="BX12" s="445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46" t="s">
        <v>235</v>
      </c>
      <c r="C13" s="446" t="s">
        <v>313</v>
      </c>
      <c r="D13" s="447" t="s">
        <v>314</v>
      </c>
      <c r="E13" s="448" t="s">
        <v>230</v>
      </c>
      <c r="F13" s="448">
        <v>0.83333333333333337</v>
      </c>
      <c r="G13" s="448" t="s">
        <v>259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578">
        <v>0.05</v>
      </c>
      <c r="BX13" s="451">
        <f>BW13*BP13</f>
        <v>0.30000000000000004</v>
      </c>
      <c r="BY13" s="452">
        <f>IFERROR(BU13/BX13,0)</f>
        <v>40128</v>
      </c>
      <c r="BZ13" s="2"/>
      <c r="CA13" s="518" t="s">
        <v>313</v>
      </c>
      <c r="CB13" s="519">
        <f>COUNTA(I13:AM13)</f>
        <v>2</v>
      </c>
      <c r="CC13" s="520">
        <f>CB13*BS13*0.8</f>
        <v>4012.8</v>
      </c>
      <c r="CD13" s="519">
        <f>COUNTA(AN13:BO13)</f>
        <v>4</v>
      </c>
      <c r="CE13" s="520">
        <f>CD13*BS13*0.8</f>
        <v>8025.6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/>
      <c r="D14" s="459"/>
      <c r="E14" s="448" t="s">
        <v>230</v>
      </c>
      <c r="F14" s="448">
        <v>0.83333333333333337</v>
      </c>
      <c r="G14" s="448" t="s">
        <v>259</v>
      </c>
      <c r="H14" s="46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1</v>
      </c>
      <c r="BQ14" s="46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578">
        <v>0.05</v>
      </c>
      <c r="BX14" s="451">
        <f>BW14*BP14</f>
        <v>0.05</v>
      </c>
      <c r="BY14" s="452">
        <f>IFERROR(BU14/BX14,0)</f>
        <v>80256</v>
      </c>
      <c r="BZ14" s="2"/>
      <c r="CA14" s="518" t="s">
        <v>313</v>
      </c>
      <c r="CB14" s="519">
        <f t="shared" ref="CB14:CB16" si="7">COUNTA(I14:AM14)</f>
        <v>1</v>
      </c>
      <c r="CC14" s="520">
        <f t="shared" ref="CC14:CC16" si="8">CB14*BS14*0.8</f>
        <v>4012.8</v>
      </c>
      <c r="CD14" s="519">
        <f t="shared" ref="CD14:CD16" si="9">COUNTA(AN14:BO14)</f>
        <v>0</v>
      </c>
      <c r="CE14" s="520">
        <f t="shared" ref="CE14:CE16" si="10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 t="s">
        <v>315</v>
      </c>
      <c r="E15" s="448" t="s">
        <v>230</v>
      </c>
      <c r="F15" s="448">
        <v>0.91666666666666663</v>
      </c>
      <c r="G15" s="448" t="s">
        <v>243</v>
      </c>
      <c r="H15" s="46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578">
        <v>0.05</v>
      </c>
      <c r="BX15" s="451">
        <f>BW15*BP15</f>
        <v>0.30000000000000004</v>
      </c>
      <c r="BY15" s="452">
        <f>IFERROR(BU15/BX15,0)</f>
        <v>55295.999999999993</v>
      </c>
      <c r="BZ15" s="2"/>
      <c r="CA15" s="518" t="s">
        <v>313</v>
      </c>
      <c r="CB15" s="519">
        <f t="shared" si="7"/>
        <v>2</v>
      </c>
      <c r="CC15" s="520">
        <f t="shared" si="8"/>
        <v>5529.6</v>
      </c>
      <c r="CD15" s="519">
        <f t="shared" si="9"/>
        <v>4</v>
      </c>
      <c r="CE15" s="520">
        <f t="shared" si="10"/>
        <v>11059.2</v>
      </c>
      <c r="CF15" s="427" t="b">
        <f>SUM(CC15,CE15)=BU15</f>
        <v>1</v>
      </c>
    </row>
    <row r="16" spans="1:84" ht="14" customHeight="1" x14ac:dyDescent="0.25">
      <c r="A16" s="435"/>
      <c r="B16" s="446"/>
      <c r="C16" s="446"/>
      <c r="D16" s="447"/>
      <c r="E16" s="448" t="s">
        <v>230</v>
      </c>
      <c r="F16" s="448">
        <v>0.91666666666666663</v>
      </c>
      <c r="G16" s="448" t="s">
        <v>243</v>
      </c>
      <c r="H16" s="46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578">
        <v>0.05</v>
      </c>
      <c r="BX16" s="451">
        <f t="shared" ref="BX16" si="11">BW16*BP16</f>
        <v>0.05</v>
      </c>
      <c r="BY16" s="452">
        <f t="shared" ref="BY16" si="12">IFERROR(BU16/BX16,0)</f>
        <v>110592</v>
      </c>
      <c r="BZ16" s="2"/>
      <c r="CA16" s="518" t="s">
        <v>313</v>
      </c>
      <c r="CB16" s="519">
        <f t="shared" si="7"/>
        <v>1</v>
      </c>
      <c r="CC16" s="520">
        <f t="shared" si="8"/>
        <v>5529.6</v>
      </c>
      <c r="CD16" s="519">
        <f t="shared" si="9"/>
        <v>0</v>
      </c>
      <c r="CE16" s="520">
        <f t="shared" si="10"/>
        <v>0</v>
      </c>
      <c r="CF16" s="427" t="b">
        <f>SUM(CC16,CE16)=BU16</f>
        <v>1</v>
      </c>
    </row>
    <row r="17" spans="1:107" s="427" customFormat="1" ht="14" customHeight="1" x14ac:dyDescent="0.25">
      <c r="A17" s="435"/>
      <c r="B17" s="488"/>
      <c r="C17" s="489"/>
      <c r="D17" s="490"/>
      <c r="E17" s="490"/>
      <c r="F17" s="490"/>
      <c r="G17" s="490"/>
      <c r="H17" s="49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8"/>
      <c r="BQ17" s="15"/>
      <c r="BR17" s="19"/>
      <c r="BS17" s="20"/>
      <c r="BT17" s="21"/>
      <c r="BU17" s="21"/>
      <c r="BV17" s="1"/>
      <c r="BW17" s="578"/>
      <c r="BX17" s="451"/>
      <c r="BY17" s="21"/>
      <c r="BZ17" s="2"/>
      <c r="CA17" s="521" t="s">
        <v>152</v>
      </c>
      <c r="CB17" s="495">
        <f>SUM(CB13:CB16)</f>
        <v>6</v>
      </c>
      <c r="CC17" s="496">
        <f>SUM(CC13:CC16)</f>
        <v>19084.800000000003</v>
      </c>
      <c r="CD17" s="495">
        <f>SUM(CD13:CD16)</f>
        <v>8</v>
      </c>
      <c r="CE17" s="496">
        <f>SUM(CE13:CE16)</f>
        <v>19084.800000000003</v>
      </c>
    </row>
    <row r="18" spans="1:107" ht="14" customHeight="1" x14ac:dyDescent="0.25">
      <c r="A18" s="435"/>
      <c r="B18" s="461"/>
      <c r="C18" s="446" t="s">
        <v>320</v>
      </c>
      <c r="D18" s="447" t="s">
        <v>321</v>
      </c>
      <c r="E18" s="448" t="s">
        <v>230</v>
      </c>
      <c r="F18" s="448">
        <v>0.83333333333333337</v>
      </c>
      <c r="G18" s="448" t="s">
        <v>259</v>
      </c>
      <c r="H18" s="46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/>
      <c r="AP18" s="12">
        <v>1</v>
      </c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>
        <f>SUM(I18:BO18)</f>
        <v>6</v>
      </c>
      <c r="BQ18" s="15">
        <v>11130</v>
      </c>
      <c r="BR18" s="19">
        <v>0.5</v>
      </c>
      <c r="BS18" s="20">
        <f>BQ18*(1-BR18)</f>
        <v>5565</v>
      </c>
      <c r="BT18" s="21">
        <f>BS18*BP18</f>
        <v>33390</v>
      </c>
      <c r="BU18" s="21">
        <f t="shared" ref="BU18:BU19" si="13">BT18*0.8</f>
        <v>26712</v>
      </c>
      <c r="BW18" s="578">
        <v>0.11</v>
      </c>
      <c r="BX18" s="451">
        <f t="shared" ref="BX18:BX19" si="14">BW18*BP18</f>
        <v>0.66</v>
      </c>
      <c r="BY18" s="452">
        <f t="shared" ref="BY18:BY19" si="15">IFERROR(BU18/BX18,0)</f>
        <v>40472.727272727272</v>
      </c>
      <c r="BZ18" s="2"/>
      <c r="CA18" s="518" t="s">
        <v>320</v>
      </c>
      <c r="CB18" s="519">
        <f t="shared" ref="CB18:CB19" si="16">COUNTA(I18:AM18)</f>
        <v>2</v>
      </c>
      <c r="CC18" s="520">
        <f t="shared" ref="CC18:CC19" si="17">CB18*BS18*0.8</f>
        <v>8904</v>
      </c>
      <c r="CD18" s="519">
        <f t="shared" ref="CD18:CD19" si="18">COUNTA(AN18:BO18)</f>
        <v>4</v>
      </c>
      <c r="CE18" s="520">
        <f t="shared" ref="CE18:CE19" si="19">CD18*BS18*0.8</f>
        <v>17808</v>
      </c>
      <c r="CF18" s="427" t="b">
        <f>SUM(CC18,CE18)=BU18</f>
        <v>1</v>
      </c>
    </row>
    <row r="19" spans="1:107" s="458" customFormat="1" ht="14" customHeight="1" x14ac:dyDescent="0.25">
      <c r="A19" s="435"/>
      <c r="B19" s="446"/>
      <c r="C19" s="446"/>
      <c r="D19" s="459"/>
      <c r="E19" s="448" t="s">
        <v>230</v>
      </c>
      <c r="F19" s="448">
        <v>0.83333333333333337</v>
      </c>
      <c r="G19" s="448" t="s">
        <v>259</v>
      </c>
      <c r="H19" s="46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>
        <v>1</v>
      </c>
      <c r="AE19" s="11"/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>
        <f>SUM(I19:BO19)</f>
        <v>1</v>
      </c>
      <c r="BQ19" s="460">
        <v>22260</v>
      </c>
      <c r="BR19" s="19">
        <v>0.5</v>
      </c>
      <c r="BS19" s="20">
        <f t="shared" ref="BS19" si="20">BQ19*(1-BR19)</f>
        <v>11130</v>
      </c>
      <c r="BT19" s="21">
        <f t="shared" ref="BT19" si="21">BS19*BP19</f>
        <v>11130</v>
      </c>
      <c r="BU19" s="22">
        <f t="shared" si="13"/>
        <v>8904</v>
      </c>
      <c r="BV19" s="1"/>
      <c r="BW19" s="579">
        <v>0.11</v>
      </c>
      <c r="BX19" s="451">
        <f t="shared" si="14"/>
        <v>0.11</v>
      </c>
      <c r="BY19" s="452">
        <f t="shared" si="15"/>
        <v>80945.454545454544</v>
      </c>
      <c r="BZ19" s="2"/>
      <c r="CA19" s="518" t="s">
        <v>320</v>
      </c>
      <c r="CB19" s="519">
        <f t="shared" si="16"/>
        <v>1</v>
      </c>
      <c r="CC19" s="520">
        <f t="shared" si="17"/>
        <v>8904</v>
      </c>
      <c r="CD19" s="519">
        <f t="shared" si="18"/>
        <v>0</v>
      </c>
      <c r="CE19" s="520">
        <f t="shared" si="19"/>
        <v>0</v>
      </c>
      <c r="CF19" s="427" t="b">
        <f>SUM(CC19,CE19)=BU19</f>
        <v>1</v>
      </c>
    </row>
    <row r="20" spans="1:107" s="458" customFormat="1" ht="14" customHeight="1" x14ac:dyDescent="0.25">
      <c r="A20" s="435"/>
      <c r="B20" s="446"/>
      <c r="C20" s="446"/>
      <c r="D20" s="459"/>
      <c r="E20" s="448"/>
      <c r="F20" s="448"/>
      <c r="G20" s="448"/>
      <c r="H20" s="464"/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/>
      <c r="AI20" s="11"/>
      <c r="AJ20" s="11"/>
      <c r="AK20" s="12"/>
      <c r="AL20" s="12"/>
      <c r="AM20" s="13"/>
      <c r="AN20" s="13"/>
      <c r="AO20" s="11"/>
      <c r="AP20" s="12"/>
      <c r="AQ20" s="12"/>
      <c r="AR20" s="12"/>
      <c r="AS20" s="11"/>
      <c r="AT20" s="13"/>
      <c r="AU20" s="13"/>
      <c r="AV20" s="11"/>
      <c r="AW20" s="12"/>
      <c r="AX20" s="12"/>
      <c r="AY20" s="12"/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/>
      <c r="BQ20" s="15"/>
      <c r="BR20" s="19"/>
      <c r="BS20" s="20"/>
      <c r="BT20" s="21"/>
      <c r="BU20" s="22"/>
      <c r="BV20" s="1"/>
      <c r="BW20" s="579"/>
      <c r="BX20" s="457"/>
      <c r="BY20" s="452"/>
      <c r="BZ20" s="2"/>
      <c r="CA20" s="521" t="s">
        <v>152</v>
      </c>
      <c r="CB20" s="495">
        <f>SUM(CB18:CB19)</f>
        <v>3</v>
      </c>
      <c r="CC20" s="496">
        <f>SUM(CC18:CC19)</f>
        <v>17808</v>
      </c>
      <c r="CD20" s="495">
        <f>SUM(CD18:CD19)</f>
        <v>4</v>
      </c>
      <c r="CE20" s="496">
        <f>SUM(CE18:CE19)</f>
        <v>17808</v>
      </c>
      <c r="CF20" s="427"/>
    </row>
    <row r="21" spans="1:107" s="458" customFormat="1" ht="14" customHeight="1" x14ac:dyDescent="0.25">
      <c r="A21" s="435"/>
      <c r="B21" s="446" t="s">
        <v>236</v>
      </c>
      <c r="C21" s="446" t="s">
        <v>322</v>
      </c>
      <c r="D21" s="459" t="s">
        <v>323</v>
      </c>
      <c r="E21" s="448" t="s">
        <v>230</v>
      </c>
      <c r="F21" s="448">
        <v>0.875</v>
      </c>
      <c r="G21" s="448" t="s">
        <v>259</v>
      </c>
      <c r="H21" s="464">
        <v>30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/>
      <c r="AE21" s="11"/>
      <c r="AF21" s="13"/>
      <c r="AG21" s="13"/>
      <c r="AH21" s="11"/>
      <c r="AI21" s="11">
        <v>1</v>
      </c>
      <c r="AJ21" s="11"/>
      <c r="AK21" s="12"/>
      <c r="AL21" s="12">
        <v>1</v>
      </c>
      <c r="AM21" s="13"/>
      <c r="AN21" s="13"/>
      <c r="AO21" s="11"/>
      <c r="AP21" s="12"/>
      <c r="AQ21" s="12"/>
      <c r="AR21" s="12">
        <v>1</v>
      </c>
      <c r="AS21" s="11">
        <v>1</v>
      </c>
      <c r="AT21" s="13"/>
      <c r="AU21" s="13"/>
      <c r="AV21" s="11"/>
      <c r="AW21" s="12">
        <v>1</v>
      </c>
      <c r="AX21" s="12"/>
      <c r="AY21" s="12"/>
      <c r="AZ21" s="11">
        <v>1</v>
      </c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 t="shared" ref="BP21:BP22" si="22">SUM(I21:BO21)</f>
        <v>6</v>
      </c>
      <c r="BQ21" s="460">
        <v>22000</v>
      </c>
      <c r="BR21" s="19">
        <v>0.75</v>
      </c>
      <c r="BS21" s="20">
        <f t="shared" ref="BS21:BS22" si="23">BQ21*(1-BR21)</f>
        <v>5500</v>
      </c>
      <c r="BT21" s="21">
        <f t="shared" ref="BT21:BT22" si="24">BS21*BP21</f>
        <v>33000</v>
      </c>
      <c r="BU21" s="22">
        <f t="shared" ref="BU21:BU22" si="25">BT21*0.8</f>
        <v>26400</v>
      </c>
      <c r="BV21" s="1"/>
      <c r="BW21" s="579">
        <v>0.13</v>
      </c>
      <c r="BX21" s="451">
        <f t="shared" ref="BX21:BX22" si="26">BW21*BP21</f>
        <v>0.78</v>
      </c>
      <c r="BY21" s="452">
        <f t="shared" ref="BY21:BY22" si="27">IFERROR(BU21/BX21,0)</f>
        <v>33846.153846153844</v>
      </c>
      <c r="BZ21" s="2"/>
      <c r="CA21" s="518" t="s">
        <v>322</v>
      </c>
      <c r="CB21" s="519">
        <f t="shared" ref="CB21:CB22" si="28">COUNTA(I21:AM21)</f>
        <v>2</v>
      </c>
      <c r="CC21" s="520">
        <f t="shared" ref="CC21:CC22" si="29">CB21*BS21*0.8</f>
        <v>8800</v>
      </c>
      <c r="CD21" s="519">
        <f t="shared" ref="CD21:CD22" si="30">COUNTA(AN21:BO21)</f>
        <v>4</v>
      </c>
      <c r="CE21" s="520">
        <f t="shared" ref="CE21:CE22" si="31">CD21*BS21*0.8</f>
        <v>17600</v>
      </c>
      <c r="CF21" s="427" t="b">
        <f t="shared" ref="CF21:CF22" si="32">SUM(CC21,CE21)=BU21</f>
        <v>1</v>
      </c>
    </row>
    <row r="22" spans="1:107" s="458" customFormat="1" ht="14" customHeight="1" x14ac:dyDescent="0.25">
      <c r="A22" s="435"/>
      <c r="B22" s="446"/>
      <c r="C22" s="446"/>
      <c r="D22" s="466"/>
      <c r="E22" s="448" t="s">
        <v>230</v>
      </c>
      <c r="F22" s="448">
        <v>0.875</v>
      </c>
      <c r="G22" s="448" t="s">
        <v>259</v>
      </c>
      <c r="H22" s="464">
        <v>60</v>
      </c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>
        <v>1</v>
      </c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449">
        <f t="shared" si="22"/>
        <v>1</v>
      </c>
      <c r="BQ22" s="460">
        <v>44000</v>
      </c>
      <c r="BR22" s="19">
        <v>0.75</v>
      </c>
      <c r="BS22" s="20">
        <f t="shared" si="23"/>
        <v>11000</v>
      </c>
      <c r="BT22" s="21">
        <f t="shared" si="24"/>
        <v>11000</v>
      </c>
      <c r="BU22" s="22">
        <f t="shared" si="25"/>
        <v>8800</v>
      </c>
      <c r="BV22" s="1"/>
      <c r="BW22" s="579">
        <v>0.13</v>
      </c>
      <c r="BX22" s="451">
        <f t="shared" si="26"/>
        <v>0.13</v>
      </c>
      <c r="BY22" s="452">
        <f t="shared" si="27"/>
        <v>67692.307692307688</v>
      </c>
      <c r="BZ22" s="2"/>
      <c r="CA22" s="518" t="s">
        <v>322</v>
      </c>
      <c r="CB22" s="519">
        <f t="shared" si="28"/>
        <v>1</v>
      </c>
      <c r="CC22" s="520">
        <f t="shared" si="29"/>
        <v>8800</v>
      </c>
      <c r="CD22" s="519">
        <f t="shared" si="30"/>
        <v>0</v>
      </c>
      <c r="CE22" s="520">
        <f t="shared" si="31"/>
        <v>0</v>
      </c>
      <c r="CF22" s="427" t="b">
        <f t="shared" si="32"/>
        <v>1</v>
      </c>
    </row>
    <row r="23" spans="1:107" s="458" customFormat="1" ht="14" customHeight="1" x14ac:dyDescent="0.25">
      <c r="A23" s="435"/>
      <c r="B23" s="446"/>
      <c r="C23" s="446"/>
      <c r="D23" s="466"/>
      <c r="E23" s="448"/>
      <c r="F23" s="448"/>
      <c r="G23" s="448"/>
      <c r="H23" s="464"/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/>
      <c r="AJ23" s="11"/>
      <c r="AK23" s="12"/>
      <c r="AL23" s="12"/>
      <c r="AM23" s="13"/>
      <c r="AN23" s="13"/>
      <c r="AO23" s="11"/>
      <c r="AP23" s="12"/>
      <c r="AQ23" s="12"/>
      <c r="AR23" s="12"/>
      <c r="AS23" s="11"/>
      <c r="AT23" s="13"/>
      <c r="AU23" s="13"/>
      <c r="AV23" s="11"/>
      <c r="AW23" s="12"/>
      <c r="AX23" s="12"/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/>
      <c r="BQ23" s="15"/>
      <c r="BR23" s="456"/>
      <c r="BS23" s="15"/>
      <c r="BT23" s="22"/>
      <c r="BU23" s="22"/>
      <c r="BV23" s="1"/>
      <c r="BW23" s="579"/>
      <c r="BX23" s="457"/>
      <c r="BY23" s="452"/>
      <c r="BZ23" s="2"/>
      <c r="CA23" s="521" t="s">
        <v>152</v>
      </c>
      <c r="CB23" s="495">
        <f>SUM(CB21:CB22)</f>
        <v>3</v>
      </c>
      <c r="CC23" s="496">
        <f>SUM(CC21:CC22)</f>
        <v>17600</v>
      </c>
      <c r="CD23" s="495">
        <f>SUM(CD21:CD22)</f>
        <v>4</v>
      </c>
      <c r="CE23" s="496">
        <f>SUM(CE21:CE22)</f>
        <v>17600</v>
      </c>
      <c r="CF23" s="427"/>
    </row>
    <row r="24" spans="1:107" s="458" customFormat="1" ht="14" customHeight="1" x14ac:dyDescent="0.25">
      <c r="A24" s="435"/>
      <c r="B24" s="446" t="s">
        <v>235</v>
      </c>
      <c r="C24" s="446" t="s">
        <v>324</v>
      </c>
      <c r="D24" s="459" t="s">
        <v>325</v>
      </c>
      <c r="E24" s="448" t="s">
        <v>230</v>
      </c>
      <c r="F24" s="448">
        <v>0.8125</v>
      </c>
      <c r="G24" s="448">
        <v>0.85416666666666663</v>
      </c>
      <c r="H24" s="464">
        <v>30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/>
      <c r="AF24" s="13"/>
      <c r="AG24" s="13"/>
      <c r="AH24" s="11">
        <v>1</v>
      </c>
      <c r="AI24" s="11"/>
      <c r="AJ24" s="11"/>
      <c r="AK24" s="12">
        <v>1</v>
      </c>
      <c r="AL24" s="12"/>
      <c r="AM24" s="13"/>
      <c r="AN24" s="13"/>
      <c r="AO24" s="11"/>
      <c r="AP24" s="12">
        <v>1</v>
      </c>
      <c r="AQ24" s="12"/>
      <c r="AR24" s="12">
        <v>1</v>
      </c>
      <c r="AS24" s="11"/>
      <c r="AT24" s="13"/>
      <c r="AU24" s="13"/>
      <c r="AV24" s="11"/>
      <c r="AW24" s="12">
        <v>1</v>
      </c>
      <c r="AX24" s="12"/>
      <c r="AY24" s="12">
        <v>1</v>
      </c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 t="shared" ref="BP24:BP25" si="33">SUM(I24:BO24)</f>
        <v>6</v>
      </c>
      <c r="BQ24" s="460">
        <v>9631</v>
      </c>
      <c r="BR24" s="19">
        <v>0.7</v>
      </c>
      <c r="BS24" s="20">
        <f t="shared" ref="BS24:BS25" si="34">BQ24*(1-BR24)</f>
        <v>2889.3000000000006</v>
      </c>
      <c r="BT24" s="21">
        <f t="shared" ref="BT24:BT25" si="35">BS24*BP24</f>
        <v>17335.800000000003</v>
      </c>
      <c r="BU24" s="170">
        <f t="shared" ref="BU24:BU25" si="36">BT24*0.8</f>
        <v>13868.640000000003</v>
      </c>
      <c r="BV24" s="1"/>
      <c r="BW24" s="579">
        <v>1.4999999999999999E-2</v>
      </c>
      <c r="BX24" s="451">
        <f t="shared" ref="BX24" si="37">BW24*BP24</f>
        <v>0.09</v>
      </c>
      <c r="BY24" s="452">
        <f t="shared" ref="BY24:BY25" si="38">IFERROR(BU24/BX24,0)</f>
        <v>154096.00000000003</v>
      </c>
      <c r="BZ24" s="2"/>
      <c r="CA24" s="518" t="s">
        <v>324</v>
      </c>
      <c r="CB24" s="519">
        <f t="shared" ref="CB24:CB25" si="39">COUNTA(I24:AM24)</f>
        <v>2</v>
      </c>
      <c r="CC24" s="520">
        <f t="shared" ref="CC24:CC25" si="40">CB24*BS24*0.8</f>
        <v>4622.880000000001</v>
      </c>
      <c r="CD24" s="519">
        <f t="shared" ref="CD24:CD25" si="41">COUNTA(AN24:BO24)</f>
        <v>4</v>
      </c>
      <c r="CE24" s="520">
        <f t="shared" ref="CE24:CE25" si="42">CD24*BS24*0.8</f>
        <v>9245.760000000002</v>
      </c>
      <c r="CF24" s="427" t="b">
        <f t="shared" ref="CF24:CF25" si="43">SUM(CC24,CE24)=BU24</f>
        <v>1</v>
      </c>
    </row>
    <row r="25" spans="1:107" s="458" customFormat="1" ht="14" customHeight="1" x14ac:dyDescent="0.25">
      <c r="A25" s="435"/>
      <c r="B25" s="446"/>
      <c r="C25" s="446"/>
      <c r="D25" s="459"/>
      <c r="E25" s="448" t="s">
        <v>230</v>
      </c>
      <c r="F25" s="448">
        <v>0.8125</v>
      </c>
      <c r="G25" s="448">
        <v>0.85416666666666663</v>
      </c>
      <c r="H25" s="464">
        <v>60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>
        <v>1</v>
      </c>
      <c r="AE25" s="11"/>
      <c r="AF25" s="13"/>
      <c r="AG25" s="13"/>
      <c r="AH25" s="11"/>
      <c r="AI25" s="11"/>
      <c r="AJ25" s="11"/>
      <c r="AK25" s="12"/>
      <c r="AL25" s="12"/>
      <c r="AM25" s="13"/>
      <c r="AN25" s="13"/>
      <c r="AO25" s="11"/>
      <c r="AP25" s="12"/>
      <c r="AQ25" s="12"/>
      <c r="AR25" s="12"/>
      <c r="AS25" s="11"/>
      <c r="AT25" s="13"/>
      <c r="AU25" s="13"/>
      <c r="AV25" s="11"/>
      <c r="AW25" s="12"/>
      <c r="AX25" s="12"/>
      <c r="AY25" s="12"/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>
        <f t="shared" si="33"/>
        <v>1</v>
      </c>
      <c r="BQ25" s="460">
        <v>19262</v>
      </c>
      <c r="BR25" s="19">
        <v>0.7</v>
      </c>
      <c r="BS25" s="20">
        <f t="shared" si="34"/>
        <v>5778.6000000000013</v>
      </c>
      <c r="BT25" s="21">
        <f t="shared" si="35"/>
        <v>5778.6000000000013</v>
      </c>
      <c r="BU25" s="170">
        <f t="shared" si="36"/>
        <v>4622.880000000001</v>
      </c>
      <c r="BV25" s="1"/>
      <c r="BW25" s="579">
        <v>1.4999999999999999E-2</v>
      </c>
      <c r="BX25" s="451">
        <f>BW25*BP25</f>
        <v>1.4999999999999999E-2</v>
      </c>
      <c r="BY25" s="452">
        <f t="shared" si="38"/>
        <v>308192.00000000006</v>
      </c>
      <c r="BZ25" s="2"/>
      <c r="CA25" s="518" t="s">
        <v>324</v>
      </c>
      <c r="CB25" s="519">
        <f t="shared" si="39"/>
        <v>1</v>
      </c>
      <c r="CC25" s="520">
        <f t="shared" si="40"/>
        <v>4622.880000000001</v>
      </c>
      <c r="CD25" s="519">
        <f t="shared" si="41"/>
        <v>0</v>
      </c>
      <c r="CE25" s="520">
        <f t="shared" si="42"/>
        <v>0</v>
      </c>
      <c r="CF25" s="427" t="b">
        <f t="shared" si="43"/>
        <v>1</v>
      </c>
    </row>
    <row r="26" spans="1:107" s="458" customFormat="1" ht="14" customHeight="1" x14ac:dyDescent="0.25">
      <c r="A26" s="435"/>
      <c r="B26" s="446"/>
      <c r="C26" s="446"/>
      <c r="D26" s="466"/>
      <c r="E26" s="448"/>
      <c r="F26" s="448"/>
      <c r="G26" s="448"/>
      <c r="H26" s="464"/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/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449"/>
      <c r="BQ26" s="15"/>
      <c r="BR26" s="456"/>
      <c r="BS26" s="15"/>
      <c r="BT26" s="22"/>
      <c r="BU26" s="22"/>
      <c r="BV26" s="1"/>
      <c r="BW26" s="571"/>
      <c r="BX26" s="565"/>
      <c r="BY26" s="566"/>
      <c r="BZ26" s="2"/>
      <c r="CA26" s="521" t="s">
        <v>152</v>
      </c>
      <c r="CB26" s="495">
        <f>SUM(CB24:CB25)</f>
        <v>3</v>
      </c>
      <c r="CC26" s="496">
        <f>SUM(CC24:CC25)</f>
        <v>9245.760000000002</v>
      </c>
      <c r="CD26" s="495">
        <f>SUM(CD24:CD25)</f>
        <v>4</v>
      </c>
      <c r="CE26" s="496">
        <f>SUM(CE24:CE25)</f>
        <v>9245.760000000002</v>
      </c>
      <c r="CF26" s="427"/>
    </row>
    <row r="27" spans="1:107" ht="3.75" customHeight="1" x14ac:dyDescent="0.25">
      <c r="A27" s="435"/>
      <c r="B27" s="467"/>
      <c r="C27" s="468"/>
      <c r="D27" s="468"/>
      <c r="E27" s="468"/>
      <c r="F27" s="468"/>
      <c r="G27" s="468"/>
      <c r="H27" s="468"/>
      <c r="I27" s="468"/>
      <c r="J27" s="468"/>
      <c r="K27" s="468"/>
      <c r="L27" s="468"/>
      <c r="M27" s="468"/>
      <c r="N27" s="468"/>
      <c r="O27" s="468"/>
      <c r="P27" s="468"/>
      <c r="Q27" s="468"/>
      <c r="R27" s="468"/>
      <c r="S27" s="468"/>
      <c r="T27" s="468"/>
      <c r="U27" s="468"/>
      <c r="V27" s="468"/>
      <c r="W27" s="468"/>
      <c r="X27" s="468"/>
      <c r="Y27" s="468"/>
      <c r="Z27" s="468"/>
      <c r="AA27" s="468"/>
      <c r="AB27" s="468"/>
      <c r="AC27" s="468"/>
      <c r="AD27" s="468"/>
      <c r="AE27" s="468"/>
      <c r="AF27" s="13"/>
      <c r="AG27" s="13"/>
      <c r="AH27" s="468"/>
      <c r="AI27" s="468"/>
      <c r="AJ27" s="468"/>
      <c r="AK27" s="468"/>
      <c r="AL27" s="468"/>
      <c r="AM27" s="13"/>
      <c r="AN27" s="468"/>
      <c r="AO27" s="468"/>
      <c r="AP27" s="468"/>
      <c r="AQ27" s="468"/>
      <c r="AR27" s="468"/>
      <c r="AS27" s="468"/>
      <c r="AT27" s="468"/>
      <c r="AU27" s="468"/>
      <c r="AV27" s="468"/>
      <c r="AW27" s="468"/>
      <c r="AX27" s="468"/>
      <c r="AY27" s="468"/>
      <c r="AZ27" s="468"/>
      <c r="BA27" s="468"/>
      <c r="BB27" s="468"/>
      <c r="BC27" s="468"/>
      <c r="BD27" s="468"/>
      <c r="BE27" s="468"/>
      <c r="BF27" s="468"/>
      <c r="BG27" s="468"/>
      <c r="BH27" s="468"/>
      <c r="BI27" s="468"/>
      <c r="BJ27" s="468"/>
      <c r="BK27" s="13"/>
      <c r="BL27" s="13"/>
      <c r="BM27" s="468"/>
      <c r="BN27" s="468"/>
      <c r="BO27" s="468"/>
      <c r="BP27" s="468"/>
      <c r="BQ27" s="468"/>
      <c r="BR27" s="468"/>
      <c r="BS27" s="468"/>
      <c r="BT27" s="23"/>
      <c r="BU27" s="24"/>
      <c r="BY27" s="469"/>
      <c r="CA27" s="522"/>
      <c r="CB27" s="523"/>
      <c r="CC27" s="524"/>
      <c r="CD27" s="523"/>
      <c r="CE27" s="524"/>
    </row>
    <row r="28" spans="1:107" s="506" customFormat="1" x14ac:dyDescent="0.4">
      <c r="A28" s="503"/>
      <c r="B28" s="25" t="s">
        <v>195</v>
      </c>
      <c r="C28" s="473"/>
      <c r="D28" s="473"/>
      <c r="E28" s="473"/>
      <c r="F28" s="473"/>
      <c r="G28" s="473"/>
      <c r="H28" s="473"/>
      <c r="I28" s="473">
        <f>COUNTA(I12:I16)</f>
        <v>0</v>
      </c>
      <c r="J28" s="473">
        <f>COUNTA(J12:J16)</f>
        <v>0</v>
      </c>
      <c r="K28" s="473">
        <f>COUNTA(K12:K16)</f>
        <v>0</v>
      </c>
      <c r="L28" s="473">
        <f>COUNTA(L12:L16)</f>
        <v>0</v>
      </c>
      <c r="M28" s="473">
        <f>COUNTA(M12:M16)</f>
        <v>0</v>
      </c>
      <c r="N28" s="473">
        <f>SUM(N12:N16)</f>
        <v>0</v>
      </c>
      <c r="O28" s="473">
        <f>SUM(O12:O16)</f>
        <v>0</v>
      </c>
      <c r="P28" s="473">
        <f>SUM(P12:P16)</f>
        <v>0</v>
      </c>
      <c r="Q28" s="473">
        <f t="shared" ref="Q28:BJ28" si="44">SUM(Q12:Q26)</f>
        <v>0</v>
      </c>
      <c r="R28" s="473">
        <f t="shared" si="44"/>
        <v>0</v>
      </c>
      <c r="S28" s="473">
        <f t="shared" si="44"/>
        <v>0</v>
      </c>
      <c r="T28" s="473">
        <f t="shared" si="44"/>
        <v>0</v>
      </c>
      <c r="U28" s="473">
        <f t="shared" si="44"/>
        <v>0</v>
      </c>
      <c r="V28" s="473">
        <f t="shared" si="44"/>
        <v>0</v>
      </c>
      <c r="W28" s="473">
        <f t="shared" si="44"/>
        <v>0</v>
      </c>
      <c r="X28" s="473">
        <f t="shared" si="44"/>
        <v>0</v>
      </c>
      <c r="Y28" s="473">
        <f t="shared" si="44"/>
        <v>0</v>
      </c>
      <c r="Z28" s="473">
        <f t="shared" si="44"/>
        <v>0</v>
      </c>
      <c r="AA28" s="473">
        <f t="shared" si="44"/>
        <v>0</v>
      </c>
      <c r="AB28" s="473">
        <f t="shared" si="44"/>
        <v>0</v>
      </c>
      <c r="AC28" s="473">
        <f t="shared" si="44"/>
        <v>0</v>
      </c>
      <c r="AD28" s="473">
        <f t="shared" si="44"/>
        <v>3</v>
      </c>
      <c r="AE28" s="473">
        <f t="shared" si="44"/>
        <v>2</v>
      </c>
      <c r="AF28" s="473">
        <f t="shared" si="44"/>
        <v>0</v>
      </c>
      <c r="AG28" s="473">
        <f t="shared" si="44"/>
        <v>0</v>
      </c>
      <c r="AH28" s="473">
        <f t="shared" si="44"/>
        <v>2</v>
      </c>
      <c r="AI28" s="473">
        <f t="shared" si="44"/>
        <v>3</v>
      </c>
      <c r="AJ28" s="473">
        <f t="shared" si="44"/>
        <v>1</v>
      </c>
      <c r="AK28" s="473">
        <f t="shared" si="44"/>
        <v>3</v>
      </c>
      <c r="AL28" s="473">
        <f t="shared" si="44"/>
        <v>1</v>
      </c>
      <c r="AM28" s="473">
        <f t="shared" si="44"/>
        <v>0</v>
      </c>
      <c r="AN28" s="473">
        <f t="shared" si="44"/>
        <v>0</v>
      </c>
      <c r="AO28" s="473">
        <f t="shared" si="44"/>
        <v>1</v>
      </c>
      <c r="AP28" s="473">
        <f t="shared" si="44"/>
        <v>3</v>
      </c>
      <c r="AQ28" s="473">
        <f t="shared" si="44"/>
        <v>0</v>
      </c>
      <c r="AR28" s="473">
        <f t="shared" si="44"/>
        <v>4</v>
      </c>
      <c r="AS28" s="473">
        <f t="shared" si="44"/>
        <v>2</v>
      </c>
      <c r="AT28" s="473">
        <f t="shared" si="44"/>
        <v>0</v>
      </c>
      <c r="AU28" s="473">
        <f t="shared" si="44"/>
        <v>0</v>
      </c>
      <c r="AV28" s="473">
        <f t="shared" si="44"/>
        <v>2</v>
      </c>
      <c r="AW28" s="473">
        <f t="shared" si="44"/>
        <v>3</v>
      </c>
      <c r="AX28" s="473">
        <f t="shared" si="44"/>
        <v>2</v>
      </c>
      <c r="AY28" s="473">
        <f t="shared" si="44"/>
        <v>2</v>
      </c>
      <c r="AZ28" s="473">
        <f t="shared" si="44"/>
        <v>1</v>
      </c>
      <c r="BA28" s="473">
        <f t="shared" si="44"/>
        <v>0</v>
      </c>
      <c r="BB28" s="473">
        <f t="shared" si="44"/>
        <v>0</v>
      </c>
      <c r="BC28" s="473">
        <f t="shared" si="44"/>
        <v>0</v>
      </c>
      <c r="BD28" s="473">
        <f t="shared" si="44"/>
        <v>0</v>
      </c>
      <c r="BE28" s="473">
        <f t="shared" si="44"/>
        <v>0</v>
      </c>
      <c r="BF28" s="473">
        <f t="shared" si="44"/>
        <v>0</v>
      </c>
      <c r="BG28" s="473">
        <f t="shared" si="44"/>
        <v>0</v>
      </c>
      <c r="BH28" s="473">
        <f t="shared" si="44"/>
        <v>0</v>
      </c>
      <c r="BI28" s="473">
        <f t="shared" si="44"/>
        <v>0</v>
      </c>
      <c r="BJ28" s="473">
        <f t="shared" si="44"/>
        <v>0</v>
      </c>
      <c r="BK28" s="473">
        <f>SUM(BK13:BK27)</f>
        <v>0</v>
      </c>
      <c r="BL28" s="473">
        <f>SUM(BL13:BL27)</f>
        <v>0</v>
      </c>
      <c r="BM28" s="473">
        <f>SUM(BM12:BM16)</f>
        <v>0</v>
      </c>
      <c r="BN28" s="473">
        <f>SUM(BN12:BN16)</f>
        <v>0</v>
      </c>
      <c r="BO28" s="473">
        <f>SUM(BO12:BO16)</f>
        <v>0</v>
      </c>
      <c r="BP28" s="474">
        <f>SUM(BP13:BP26)</f>
        <v>35</v>
      </c>
      <c r="BQ28" s="26"/>
      <c r="BR28" s="26"/>
      <c r="BS28" s="504"/>
      <c r="BT28" s="505">
        <f>SUM(BT13:BT26)</f>
        <v>159346.4</v>
      </c>
      <c r="BU28" s="505">
        <f>SUM(BU13:BU26)</f>
        <v>127477.12000000001</v>
      </c>
      <c r="BW28" s="507"/>
      <c r="BX28" s="508">
        <f>SUM(BX13:BX26)</f>
        <v>2.4850000000000003</v>
      </c>
      <c r="BY28" s="509">
        <f>BU28/BX28</f>
        <v>51298.6398390342</v>
      </c>
      <c r="CA28" s="497" t="s">
        <v>196</v>
      </c>
      <c r="CB28" s="510">
        <f>CB20+CB23+CB26</f>
        <v>9</v>
      </c>
      <c r="CC28" s="511">
        <f>CC17+CC20+CC23+CC26</f>
        <v>63738.560000000005</v>
      </c>
      <c r="CD28" s="510">
        <f>CD20+CD23+CD26</f>
        <v>12</v>
      </c>
      <c r="CE28" s="511">
        <f>CE17+CE20+CE23+CE26</f>
        <v>63738.560000000005</v>
      </c>
      <c r="CF28" s="512"/>
    </row>
    <row r="29" spans="1:107" x14ac:dyDescent="0.25">
      <c r="A29" s="2"/>
      <c r="B29" s="2"/>
      <c r="C29" s="2"/>
      <c r="D29" s="2"/>
      <c r="E29" s="2"/>
      <c r="F29" s="2"/>
      <c r="G29" s="2"/>
      <c r="H29" s="428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  <c r="AC29" s="2"/>
      <c r="AD29" s="2"/>
      <c r="AE29" s="2"/>
      <c r="AF29" s="2"/>
      <c r="AG29" s="2"/>
      <c r="AH29" s="2"/>
      <c r="AI29" s="2"/>
      <c r="AJ29" s="2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  <c r="BA29" s="2"/>
      <c r="BB29" s="2"/>
      <c r="BC29" s="2"/>
      <c r="BD29" s="2"/>
      <c r="BE29" s="2"/>
      <c r="BF29" s="2"/>
      <c r="BG29" s="2"/>
      <c r="BH29" s="2"/>
      <c r="BI29" s="2"/>
      <c r="BJ29" s="2"/>
      <c r="BK29" s="2"/>
      <c r="BL29" s="2"/>
      <c r="BM29" s="2"/>
      <c r="BN29" s="2"/>
      <c r="BO29" s="2"/>
      <c r="BP29" s="2"/>
      <c r="BQ29" s="2"/>
      <c r="BR29" s="2"/>
      <c r="BS29" s="2"/>
      <c r="BT29" s="492"/>
      <c r="BU29" s="482"/>
      <c r="CC29" s="431"/>
      <c r="CD29" s="498"/>
      <c r="CE29" s="499"/>
    </row>
    <row r="30" spans="1:107" s="512" customFormat="1" x14ac:dyDescent="0.4">
      <c r="A30" s="506"/>
      <c r="B30" s="506"/>
      <c r="C30" s="506"/>
      <c r="D30" s="513"/>
      <c r="E30" s="506"/>
      <c r="F30" s="506"/>
      <c r="G30" s="506"/>
      <c r="H30" s="514"/>
      <c r="I30" s="506"/>
      <c r="J30" s="506"/>
      <c r="K30" s="506"/>
      <c r="L30" s="506"/>
      <c r="M30" s="506"/>
      <c r="N30" s="506"/>
      <c r="O30" s="506"/>
      <c r="P30" s="506"/>
      <c r="Q30" s="506"/>
      <c r="R30" s="506"/>
      <c r="S30" s="506"/>
      <c r="T30" s="506"/>
      <c r="U30" s="506"/>
      <c r="V30" s="506"/>
      <c r="W30" s="506"/>
      <c r="X30" s="506"/>
      <c r="Y30" s="506"/>
      <c r="Z30" s="506"/>
      <c r="AA30" s="506"/>
      <c r="AB30" s="506"/>
      <c r="AC30" s="506"/>
      <c r="AD30" s="506"/>
      <c r="AE30" s="506"/>
      <c r="AF30" s="506"/>
      <c r="AG30" s="506"/>
      <c r="AH30" s="506"/>
      <c r="AI30" s="506"/>
      <c r="AJ30" s="506"/>
      <c r="AK30" s="506"/>
      <c r="AL30" s="506"/>
      <c r="AM30" s="506"/>
      <c r="AN30" s="506"/>
      <c r="AO30" s="506"/>
      <c r="AP30" s="506"/>
      <c r="AQ30" s="506"/>
      <c r="AR30" s="506"/>
      <c r="AS30" s="506"/>
      <c r="AT30" s="506"/>
      <c r="AU30" s="506"/>
      <c r="AV30" s="506"/>
      <c r="AW30" s="506"/>
      <c r="AX30" s="506"/>
      <c r="AY30" s="506"/>
      <c r="AZ30" s="506"/>
      <c r="BA30" s="506"/>
      <c r="BB30" s="506"/>
      <c r="BC30" s="506"/>
      <c r="BD30" s="506"/>
      <c r="BE30" s="506"/>
      <c r="BF30" s="506"/>
      <c r="BG30" s="506"/>
      <c r="BH30" s="506"/>
      <c r="BI30" s="506"/>
      <c r="BJ30" s="506"/>
      <c r="BK30" s="506"/>
      <c r="BL30" s="506"/>
      <c r="BM30" s="506"/>
      <c r="BN30" s="506"/>
      <c r="BO30" s="506"/>
      <c r="BP30" s="506"/>
      <c r="BQ30" s="506"/>
      <c r="BR30" s="506"/>
      <c r="BS30" s="506"/>
      <c r="BT30" s="515"/>
      <c r="BU30" s="516"/>
      <c r="BV30" s="506"/>
      <c r="BW30" s="506"/>
      <c r="BX30" s="506"/>
      <c r="BY30" s="506"/>
      <c r="BZ30" s="506"/>
      <c r="CA30" s="514"/>
      <c r="CB30" s="514"/>
      <c r="CC30" s="514"/>
      <c r="CD30" s="487" t="s">
        <v>152</v>
      </c>
      <c r="CE30" s="517">
        <f>CC28+CE28</f>
        <v>127477.12000000001</v>
      </c>
      <c r="CG30" s="506"/>
      <c r="CH30" s="506"/>
      <c r="CI30" s="506"/>
      <c r="CJ30" s="506"/>
      <c r="CK30" s="506"/>
      <c r="CL30" s="506"/>
      <c r="CM30" s="506"/>
      <c r="CN30" s="506"/>
      <c r="CO30" s="506"/>
      <c r="CP30" s="506"/>
      <c r="CQ30" s="506"/>
      <c r="CR30" s="506"/>
      <c r="CS30" s="506"/>
      <c r="CT30" s="506"/>
      <c r="CU30" s="506"/>
      <c r="CV30" s="506"/>
      <c r="CW30" s="506"/>
      <c r="CX30" s="506"/>
      <c r="CY30" s="506"/>
      <c r="CZ30" s="506"/>
      <c r="DA30" s="506"/>
      <c r="DB30" s="506"/>
      <c r="DC30" s="506"/>
    </row>
    <row r="31" spans="1:107" s="427" customFormat="1" x14ac:dyDescent="0.25">
      <c r="A31" s="1"/>
      <c r="B31" s="1"/>
      <c r="C31" s="1"/>
      <c r="D31" s="484"/>
      <c r="E31" s="1"/>
      <c r="F31" s="1"/>
      <c r="G31" s="1"/>
      <c r="H31" s="425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483"/>
      <c r="BV31" s="1"/>
      <c r="BW31" s="1"/>
      <c r="BX31" s="1"/>
      <c r="BY31" s="1"/>
      <c r="BZ31" s="1"/>
      <c r="CA31" s="425"/>
      <c r="CB31" s="425"/>
      <c r="CC31" s="425"/>
      <c r="CD31" s="425"/>
      <c r="CE31" s="502" t="b">
        <f>CE30=BU28</f>
        <v>1</v>
      </c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</row>
    <row r="32" spans="1:107" s="427" customFormat="1" x14ac:dyDescent="0.25">
      <c r="A32" s="1"/>
      <c r="B32" s="1"/>
      <c r="C32" s="1"/>
      <c r="D32" s="1"/>
      <c r="E32" s="1"/>
      <c r="F32" s="1"/>
      <c r="G32" s="1"/>
      <c r="H32" s="425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483"/>
      <c r="BV32" s="1"/>
      <c r="BW32" s="1"/>
      <c r="BX32" s="1"/>
      <c r="BY32" s="1"/>
      <c r="BZ32" s="1"/>
      <c r="CA32" s="425"/>
      <c r="CB32" s="425"/>
      <c r="CC32" s="425"/>
      <c r="CD32" s="425"/>
      <c r="CE32" s="425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26">
    <cfRule type="notContainsBlanks" dxfId="130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A32531-C0B1-4A3E-98EF-157A3ABD8CF7}">
  <dimension ref="A1:DC52"/>
  <sheetViews>
    <sheetView showGridLines="0" zoomScaleNormal="100" workbookViewId="0">
      <pane xSplit="4" ySplit="10" topLeftCell="BB11" activePane="bottomRight" state="frozen"/>
      <selection pane="topRight" activeCell="E1" sqref="E1"/>
      <selection pane="bottomLeft" activeCell="A14" sqref="A14"/>
      <selection pane="bottomRight" activeCell="BW44" sqref="BW44"/>
    </sheetView>
  </sheetViews>
  <sheetFormatPr defaultColWidth="8.83203125" defaultRowHeight="12.5" x14ac:dyDescent="0.25"/>
  <cols>
    <col min="1" max="1" width="4" style="1" customWidth="1"/>
    <col min="2" max="2" width="20.1640625" style="1" customWidth="1"/>
    <col min="3" max="3" width="13.5" style="1" customWidth="1"/>
    <col min="4" max="4" width="30.33203125" style="1" bestFit="1" customWidth="1"/>
    <col min="5" max="7" width="13.6640625" style="1" customWidth="1"/>
    <col min="8" max="8" width="10.4140625" style="425" customWidth="1"/>
    <col min="9" max="26" width="4.33203125" style="1" hidden="1" customWidth="1"/>
    <col min="27" max="54" width="4.33203125" style="1" customWidth="1"/>
    <col min="55" max="67" width="4.33203125" style="1" hidden="1" customWidth="1"/>
    <col min="68" max="68" width="9" style="1" customWidth="1"/>
    <col min="69" max="69" width="12.5" style="1" customWidth="1"/>
    <col min="70" max="70" width="8.83203125" style="1"/>
    <col min="71" max="71" width="14.83203125" style="1" customWidth="1"/>
    <col min="72" max="72" width="16.58203125" style="1" customWidth="1"/>
    <col min="73" max="73" width="18.33203125" style="1" customWidth="1"/>
    <col min="74" max="74" width="2.6640625" style="1" customWidth="1"/>
    <col min="75" max="76" width="11.6640625" style="1" customWidth="1"/>
    <col min="77" max="77" width="14" style="1" customWidth="1"/>
    <col min="78" max="78" width="3.6640625" style="1" customWidth="1"/>
    <col min="79" max="79" width="16.4140625" style="425" customWidth="1"/>
    <col min="80" max="80" width="3.6640625" style="425" customWidth="1"/>
    <col min="81" max="81" width="15.5" style="425" customWidth="1"/>
    <col min="82" max="82" width="3.6640625" style="425" customWidth="1"/>
    <col min="83" max="83" width="15.5" style="425" customWidth="1"/>
    <col min="84" max="84" width="11.58203125" style="427" customWidth="1"/>
    <col min="85" max="16384" width="8.83203125" style="1"/>
  </cols>
  <sheetData>
    <row r="1" spans="1:84" x14ac:dyDescent="0.25">
      <c r="N1" s="426"/>
      <c r="O1" s="426"/>
      <c r="AS1" s="426"/>
      <c r="AT1" s="426"/>
    </row>
    <row r="2" spans="1:84" ht="16" x14ac:dyDescent="0.4">
      <c r="Z2"/>
      <c r="AA2"/>
      <c r="AB2"/>
      <c r="AC2"/>
      <c r="AD2"/>
      <c r="AE2"/>
      <c r="AF2"/>
      <c r="AG2"/>
      <c r="AH2"/>
      <c r="AI2"/>
      <c r="AJ2"/>
      <c r="AK2"/>
      <c r="AL2"/>
      <c r="AM2"/>
      <c r="BE2"/>
      <c r="BF2"/>
      <c r="BG2"/>
      <c r="BH2"/>
      <c r="BI2"/>
      <c r="BJ2"/>
      <c r="BK2"/>
      <c r="BL2"/>
      <c r="BM2"/>
      <c r="BN2"/>
      <c r="BO2"/>
      <c r="BP2"/>
    </row>
    <row r="3" spans="1:84" ht="16" x14ac:dyDescent="0.4">
      <c r="A3" s="2"/>
      <c r="B3" s="3"/>
      <c r="C3" s="2"/>
      <c r="D3" s="2"/>
      <c r="E3" s="2"/>
      <c r="F3" s="2"/>
      <c r="G3" s="2"/>
      <c r="H3" s="428"/>
      <c r="I3" s="2"/>
      <c r="J3" s="2"/>
      <c r="K3" s="2"/>
      <c r="L3" s="2"/>
      <c r="M3" s="2"/>
      <c r="V3" s="2"/>
      <c r="W3" s="2"/>
      <c r="Z3"/>
      <c r="AA3"/>
      <c r="AB3"/>
      <c r="AC3"/>
      <c r="AD3"/>
      <c r="AE3"/>
      <c r="AF3"/>
      <c r="AG3"/>
      <c r="AH3"/>
      <c r="AI3"/>
      <c r="AJ3"/>
      <c r="AK3"/>
      <c r="AL3"/>
      <c r="AM3"/>
      <c r="AN3" s="2"/>
      <c r="AO3" s="2"/>
      <c r="AP3" s="2"/>
      <c r="AQ3" s="2"/>
      <c r="AR3" s="2"/>
      <c r="BA3" s="2"/>
      <c r="BB3" s="2"/>
      <c r="BE3"/>
      <c r="BF3"/>
      <c r="BG3"/>
      <c r="BH3"/>
      <c r="BI3"/>
      <c r="BJ3"/>
      <c r="BK3"/>
      <c r="BL3"/>
      <c r="BM3"/>
      <c r="BN3"/>
      <c r="BO3"/>
      <c r="BP3"/>
      <c r="BQ3" s="4"/>
      <c r="BR3" s="4"/>
      <c r="BS3" s="429"/>
      <c r="BT3" s="2"/>
      <c r="BU3" s="2"/>
    </row>
    <row r="4" spans="1:84" ht="16" x14ac:dyDescent="0.4">
      <c r="A4" s="2"/>
      <c r="B4" s="3"/>
      <c r="C4" s="2"/>
      <c r="D4" s="2"/>
      <c r="E4" s="2"/>
      <c r="F4" s="2"/>
      <c r="G4" s="2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 s="2"/>
      <c r="X4" s="2"/>
      <c r="Y4" s="2"/>
      <c r="Z4"/>
      <c r="AA4"/>
      <c r="AB4"/>
      <c r="AC4"/>
      <c r="AD4"/>
      <c r="AE4"/>
      <c r="AF4"/>
      <c r="AG4"/>
      <c r="AH4"/>
      <c r="AI4"/>
      <c r="AJ4"/>
      <c r="AK4"/>
      <c r="AL4"/>
      <c r="AM4"/>
      <c r="AN4"/>
      <c r="AO4"/>
      <c r="AP4"/>
      <c r="AQ4"/>
      <c r="AR4"/>
      <c r="AS4"/>
      <c r="AT4"/>
      <c r="AU4"/>
      <c r="AV4"/>
      <c r="AW4"/>
      <c r="AX4"/>
      <c r="AY4"/>
      <c r="AZ4"/>
      <c r="BA4"/>
      <c r="BB4" s="2"/>
      <c r="BC4" s="2"/>
      <c r="BD4" s="2"/>
      <c r="BE4"/>
      <c r="BF4"/>
      <c r="BG4"/>
      <c r="BH4"/>
      <c r="BI4"/>
      <c r="BJ4"/>
      <c r="BK4"/>
      <c r="BL4"/>
      <c r="BM4"/>
      <c r="BN4"/>
      <c r="BO4"/>
      <c r="BP4"/>
      <c r="BQ4" s="4"/>
      <c r="BR4" s="4"/>
      <c r="BS4" s="429"/>
      <c r="BT4" s="2"/>
      <c r="BU4" s="2"/>
    </row>
    <row r="5" spans="1:84" ht="14" customHeight="1" x14ac:dyDescent="0.4">
      <c r="A5" s="2"/>
      <c r="B5" s="5" t="s">
        <v>0</v>
      </c>
      <c r="C5" s="2"/>
      <c r="D5" s="2"/>
      <c r="E5" s="2"/>
      <c r="F5" s="2"/>
      <c r="G5" s="2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 s="2"/>
      <c r="X5" s="2"/>
      <c r="Y5" s="2"/>
      <c r="Z5"/>
      <c r="AA5"/>
      <c r="AB5"/>
      <c r="AC5"/>
      <c r="AD5"/>
      <c r="AE5"/>
      <c r="AF5"/>
      <c r="AG5"/>
      <c r="AH5"/>
      <c r="AI5"/>
      <c r="AJ5"/>
      <c r="AK5"/>
      <c r="AL5"/>
      <c r="AM5"/>
      <c r="AN5"/>
      <c r="AO5"/>
      <c r="AP5"/>
      <c r="AQ5"/>
      <c r="AR5"/>
      <c r="AS5"/>
      <c r="AT5"/>
      <c r="AU5"/>
      <c r="AV5"/>
      <c r="AW5"/>
      <c r="AX5"/>
      <c r="AY5"/>
      <c r="AZ5"/>
      <c r="BA5"/>
      <c r="BB5" s="2"/>
      <c r="BC5" s="2"/>
      <c r="BD5" s="2"/>
      <c r="BE5"/>
      <c r="BF5"/>
      <c r="BG5"/>
      <c r="BH5"/>
      <c r="BI5"/>
      <c r="BJ5"/>
      <c r="BK5"/>
      <c r="BL5"/>
      <c r="BM5"/>
      <c r="BN5"/>
      <c r="BO5"/>
      <c r="BP5"/>
      <c r="BQ5" s="4"/>
      <c r="BR5" s="4"/>
      <c r="BS5" s="429"/>
      <c r="BT5" s="2"/>
      <c r="BU5" s="430"/>
      <c r="CC5" s="431"/>
    </row>
    <row r="6" spans="1:84" ht="14" customHeight="1" x14ac:dyDescent="0.4">
      <c r="A6" s="2"/>
      <c r="B6" s="6" t="s">
        <v>164</v>
      </c>
      <c r="C6" s="4"/>
      <c r="D6" s="4"/>
      <c r="E6" s="4"/>
      <c r="F6" s="4"/>
      <c r="G6" s="4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32"/>
      <c r="BT6" s="433"/>
      <c r="BU6" s="434"/>
    </row>
    <row r="7" spans="1:84" s="427" customFormat="1" ht="15" customHeight="1" x14ac:dyDescent="0.25">
      <c r="A7" s="2"/>
      <c r="B7" s="3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33"/>
      <c r="BU7" s="433"/>
      <c r="BV7" s="1"/>
      <c r="BW7" s="621" t="s">
        <v>198</v>
      </c>
      <c r="BX7" s="621"/>
      <c r="BY7" s="621"/>
      <c r="BZ7" s="1"/>
      <c r="CA7" s="425"/>
      <c r="CB7" s="425"/>
      <c r="CC7" s="425"/>
      <c r="CD7" s="425"/>
      <c r="CE7" s="425"/>
    </row>
    <row r="8" spans="1:84" s="427" customFormat="1" ht="15.75" customHeight="1" x14ac:dyDescent="0.25">
      <c r="A8" s="435"/>
      <c r="B8" s="622" t="s">
        <v>3</v>
      </c>
      <c r="C8" s="618" t="s">
        <v>4</v>
      </c>
      <c r="D8" s="618" t="s">
        <v>199</v>
      </c>
      <c r="E8" s="623" t="s">
        <v>229</v>
      </c>
      <c r="F8" s="623" t="s">
        <v>200</v>
      </c>
      <c r="G8" s="623" t="s">
        <v>201</v>
      </c>
      <c r="H8" s="626" t="s">
        <v>197</v>
      </c>
      <c r="I8" s="629" t="s">
        <v>6</v>
      </c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0"/>
      <c r="AK8" s="630"/>
      <c r="AL8" s="630"/>
      <c r="AM8" s="631"/>
      <c r="AN8" s="629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0"/>
      <c r="BM8" s="630"/>
      <c r="BN8" s="630"/>
      <c r="BO8" s="631"/>
      <c r="BP8" s="622" t="s">
        <v>7</v>
      </c>
      <c r="BQ8" s="620" t="s">
        <v>8</v>
      </c>
      <c r="BR8" s="622" t="s">
        <v>9</v>
      </c>
      <c r="BS8" s="620" t="s">
        <v>10</v>
      </c>
      <c r="BT8" s="620" t="s">
        <v>11</v>
      </c>
      <c r="BU8" s="620" t="s">
        <v>202</v>
      </c>
      <c r="BV8" s="1"/>
      <c r="BW8" s="635" t="s">
        <v>203</v>
      </c>
      <c r="BX8" s="635" t="s">
        <v>12</v>
      </c>
      <c r="BY8" s="635" t="s">
        <v>204</v>
      </c>
      <c r="BZ8" s="1"/>
      <c r="CA8" s="632" t="s">
        <v>205</v>
      </c>
      <c r="CB8" s="619"/>
      <c r="CC8" s="619"/>
      <c r="CD8" s="619"/>
      <c r="CE8" s="619"/>
    </row>
    <row r="9" spans="1:84" s="427" customFormat="1" ht="15.75" customHeight="1" x14ac:dyDescent="0.25">
      <c r="A9" s="435"/>
      <c r="B9" s="622"/>
      <c r="C9" s="618"/>
      <c r="D9" s="618"/>
      <c r="E9" s="624"/>
      <c r="F9" s="624"/>
      <c r="G9" s="624"/>
      <c r="H9" s="627"/>
      <c r="I9" s="7" t="s">
        <v>14</v>
      </c>
      <c r="J9" s="7" t="s">
        <v>2</v>
      </c>
      <c r="K9" s="8" t="s">
        <v>16</v>
      </c>
      <c r="L9" s="8" t="s">
        <v>16</v>
      </c>
      <c r="M9" s="7" t="s">
        <v>13</v>
      </c>
      <c r="N9" s="7" t="s">
        <v>14</v>
      </c>
      <c r="O9" s="7" t="s">
        <v>15</v>
      </c>
      <c r="P9" s="7" t="s">
        <v>14</v>
      </c>
      <c r="Q9" s="7" t="s">
        <v>2</v>
      </c>
      <c r="R9" s="8" t="s">
        <v>16</v>
      </c>
      <c r="S9" s="8" t="s">
        <v>16</v>
      </c>
      <c r="T9" s="7" t="s">
        <v>13</v>
      </c>
      <c r="U9" s="7" t="s">
        <v>14</v>
      </c>
      <c r="V9" s="7" t="s">
        <v>15</v>
      </c>
      <c r="W9" s="7" t="s">
        <v>14</v>
      </c>
      <c r="X9" s="7" t="s">
        <v>2</v>
      </c>
      <c r="Y9" s="8" t="s">
        <v>16</v>
      </c>
      <c r="Z9" s="8" t="s">
        <v>16</v>
      </c>
      <c r="AA9" s="7" t="s">
        <v>13</v>
      </c>
      <c r="AB9" s="7" t="s">
        <v>14</v>
      </c>
      <c r="AC9" s="7" t="s">
        <v>15</v>
      </c>
      <c r="AD9" s="7" t="s">
        <v>14</v>
      </c>
      <c r="AE9" s="7" t="s">
        <v>2</v>
      </c>
      <c r="AF9" s="8" t="s">
        <v>16</v>
      </c>
      <c r="AG9" s="8" t="s">
        <v>16</v>
      </c>
      <c r="AH9" s="7" t="s">
        <v>13</v>
      </c>
      <c r="AI9" s="7" t="s">
        <v>14</v>
      </c>
      <c r="AJ9" s="7" t="s">
        <v>15</v>
      </c>
      <c r="AK9" s="7" t="s">
        <v>14</v>
      </c>
      <c r="AL9" s="7" t="s">
        <v>2</v>
      </c>
      <c r="AM9" s="8" t="s">
        <v>16</v>
      </c>
      <c r="AN9" s="8" t="s">
        <v>16</v>
      </c>
      <c r="AO9" s="7" t="s">
        <v>13</v>
      </c>
      <c r="AP9" s="7" t="s">
        <v>14</v>
      </c>
      <c r="AQ9" s="7" t="s">
        <v>15</v>
      </c>
      <c r="AR9" s="7" t="s">
        <v>14</v>
      </c>
      <c r="AS9" s="7" t="s">
        <v>2</v>
      </c>
      <c r="AT9" s="8" t="s">
        <v>16</v>
      </c>
      <c r="AU9" s="8" t="s">
        <v>16</v>
      </c>
      <c r="AV9" s="7" t="s">
        <v>13</v>
      </c>
      <c r="AW9" s="7" t="s">
        <v>14</v>
      </c>
      <c r="AX9" s="7" t="s">
        <v>15</v>
      </c>
      <c r="AY9" s="7" t="s">
        <v>14</v>
      </c>
      <c r="AZ9" s="7" t="s">
        <v>2</v>
      </c>
      <c r="BA9" s="8" t="s">
        <v>16</v>
      </c>
      <c r="BB9" s="8" t="s">
        <v>16</v>
      </c>
      <c r="BC9" s="7" t="s">
        <v>13</v>
      </c>
      <c r="BD9" s="7" t="s">
        <v>14</v>
      </c>
      <c r="BE9" s="7" t="s">
        <v>15</v>
      </c>
      <c r="BF9" s="7" t="s">
        <v>14</v>
      </c>
      <c r="BG9" s="7" t="s">
        <v>2</v>
      </c>
      <c r="BH9" s="8" t="s">
        <v>16</v>
      </c>
      <c r="BI9" s="8" t="s">
        <v>16</v>
      </c>
      <c r="BJ9" s="7" t="s">
        <v>13</v>
      </c>
      <c r="BK9" s="7" t="s">
        <v>14</v>
      </c>
      <c r="BL9" s="7" t="s">
        <v>15</v>
      </c>
      <c r="BM9" s="7" t="s">
        <v>14</v>
      </c>
      <c r="BN9" s="7" t="s">
        <v>2</v>
      </c>
      <c r="BO9" s="8" t="s">
        <v>16</v>
      </c>
      <c r="BP9" s="622"/>
      <c r="BQ9" s="620"/>
      <c r="BR9" s="622"/>
      <c r="BS9" s="620"/>
      <c r="BT9" s="620"/>
      <c r="BU9" s="620"/>
      <c r="BV9" s="1"/>
      <c r="BW9" s="636"/>
      <c r="BX9" s="636"/>
      <c r="BY9" s="636"/>
      <c r="BZ9" s="1"/>
      <c r="CA9" s="632"/>
      <c r="CB9" s="619"/>
      <c r="CC9" s="619"/>
      <c r="CD9" s="619"/>
      <c r="CE9" s="619"/>
    </row>
    <row r="10" spans="1:84" s="427" customFormat="1" ht="15.75" customHeight="1" x14ac:dyDescent="0.25">
      <c r="A10" s="435"/>
      <c r="B10" s="622"/>
      <c r="C10" s="618"/>
      <c r="D10" s="618"/>
      <c r="E10" s="625"/>
      <c r="F10" s="625"/>
      <c r="G10" s="625"/>
      <c r="H10" s="628"/>
      <c r="I10" s="7">
        <v>1</v>
      </c>
      <c r="J10" s="7">
        <v>2</v>
      </c>
      <c r="K10" s="8">
        <v>3</v>
      </c>
      <c r="L10" s="8">
        <v>4</v>
      </c>
      <c r="M10" s="7">
        <v>5</v>
      </c>
      <c r="N10" s="7">
        <v>6</v>
      </c>
      <c r="O10" s="7">
        <v>7</v>
      </c>
      <c r="P10" s="7">
        <v>8</v>
      </c>
      <c r="Q10" s="7">
        <v>9</v>
      </c>
      <c r="R10" s="8">
        <v>10</v>
      </c>
      <c r="S10" s="8">
        <v>11</v>
      </c>
      <c r="T10" s="7">
        <v>12</v>
      </c>
      <c r="U10" s="7">
        <v>13</v>
      </c>
      <c r="V10" s="7">
        <v>14</v>
      </c>
      <c r="W10" s="7">
        <v>15</v>
      </c>
      <c r="X10" s="7">
        <v>16</v>
      </c>
      <c r="Y10" s="8">
        <v>17</v>
      </c>
      <c r="Z10" s="8">
        <f>Y10+1</f>
        <v>18</v>
      </c>
      <c r="AA10" s="7">
        <f>Z10+1</f>
        <v>19</v>
      </c>
      <c r="AB10" s="7">
        <f t="shared" ref="AB10:AG10" si="0">AA10+1</f>
        <v>20</v>
      </c>
      <c r="AC10" s="7">
        <f t="shared" si="0"/>
        <v>21</v>
      </c>
      <c r="AD10" s="7">
        <f t="shared" si="0"/>
        <v>22</v>
      </c>
      <c r="AE10" s="7">
        <f t="shared" si="0"/>
        <v>23</v>
      </c>
      <c r="AF10" s="8">
        <f t="shared" si="0"/>
        <v>24</v>
      </c>
      <c r="AG10" s="8">
        <f t="shared" si="0"/>
        <v>25</v>
      </c>
      <c r="AH10" s="7">
        <f>AG10+1</f>
        <v>26</v>
      </c>
      <c r="AI10" s="7">
        <f t="shared" ref="AI10:AM10" si="1">AH10+1</f>
        <v>27</v>
      </c>
      <c r="AJ10" s="7">
        <f t="shared" si="1"/>
        <v>28</v>
      </c>
      <c r="AK10" s="7">
        <f t="shared" si="1"/>
        <v>29</v>
      </c>
      <c r="AL10" s="7">
        <f t="shared" si="1"/>
        <v>30</v>
      </c>
      <c r="AM10" s="8">
        <f t="shared" si="1"/>
        <v>31</v>
      </c>
      <c r="AN10" s="8">
        <v>1</v>
      </c>
      <c r="AO10" s="7">
        <v>2</v>
      </c>
      <c r="AP10" s="7">
        <v>3</v>
      </c>
      <c r="AQ10" s="7">
        <v>4</v>
      </c>
      <c r="AR10" s="7">
        <v>5</v>
      </c>
      <c r="AS10" s="7">
        <v>6</v>
      </c>
      <c r="AT10" s="8">
        <v>7</v>
      </c>
      <c r="AU10" s="8">
        <v>8</v>
      </c>
      <c r="AV10" s="7">
        <v>9</v>
      </c>
      <c r="AW10" s="7">
        <v>10</v>
      </c>
      <c r="AX10" s="7">
        <v>11</v>
      </c>
      <c r="AY10" s="7">
        <v>12</v>
      </c>
      <c r="AZ10" s="7">
        <v>13</v>
      </c>
      <c r="BA10" s="8">
        <v>14</v>
      </c>
      <c r="BB10" s="8">
        <v>15</v>
      </c>
      <c r="BC10" s="7">
        <v>16</v>
      </c>
      <c r="BD10" s="7">
        <v>17</v>
      </c>
      <c r="BE10" s="7">
        <f>BD10+1</f>
        <v>18</v>
      </c>
      <c r="BF10" s="7">
        <f>BE10+1</f>
        <v>19</v>
      </c>
      <c r="BG10" s="7">
        <f t="shared" ref="BG10:BL10" si="2">BF10+1</f>
        <v>20</v>
      </c>
      <c r="BH10" s="8">
        <f t="shared" si="2"/>
        <v>21</v>
      </c>
      <c r="BI10" s="8">
        <f t="shared" si="2"/>
        <v>22</v>
      </c>
      <c r="BJ10" s="7">
        <f t="shared" si="2"/>
        <v>23</v>
      </c>
      <c r="BK10" s="7">
        <f t="shared" si="2"/>
        <v>24</v>
      </c>
      <c r="BL10" s="7">
        <f t="shared" si="2"/>
        <v>25</v>
      </c>
      <c r="BM10" s="7">
        <f>BL10+1</f>
        <v>26</v>
      </c>
      <c r="BN10" s="7">
        <f t="shared" ref="BN10:BO10" si="3">BM10+1</f>
        <v>27</v>
      </c>
      <c r="BO10" s="8">
        <f t="shared" si="3"/>
        <v>28</v>
      </c>
      <c r="BP10" s="622"/>
      <c r="BQ10" s="620"/>
      <c r="BR10" s="622"/>
      <c r="BS10" s="620"/>
      <c r="BT10" s="620"/>
      <c r="BU10" s="620"/>
      <c r="BV10" s="1"/>
      <c r="BW10" s="637"/>
      <c r="BX10" s="637"/>
      <c r="BY10" s="637"/>
      <c r="BZ10" s="1"/>
      <c r="CA10" s="633" t="s">
        <v>4</v>
      </c>
      <c r="CB10" s="618" t="s">
        <v>6</v>
      </c>
      <c r="CC10" s="618"/>
      <c r="CD10" s="618" t="s">
        <v>143</v>
      </c>
      <c r="CE10" s="618"/>
    </row>
    <row r="11" spans="1:84" s="427" customFormat="1" ht="16" customHeight="1" x14ac:dyDescent="0.25">
      <c r="A11" s="435"/>
      <c r="B11" s="437"/>
      <c r="C11" s="438"/>
      <c r="D11" s="438"/>
      <c r="E11" s="438"/>
      <c r="F11" s="438"/>
      <c r="G11" s="438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  <c r="AB11" s="2"/>
      <c r="AC11" s="2"/>
      <c r="AD11" s="2"/>
      <c r="AE11" s="2"/>
      <c r="AH11" s="2"/>
      <c r="AI11" s="2"/>
      <c r="AJ11" s="2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  <c r="BA11" s="2"/>
      <c r="BB11" s="2"/>
      <c r="BC11" s="2"/>
      <c r="BD11" s="2"/>
      <c r="BE11" s="2"/>
      <c r="BF11" s="2"/>
      <c r="BG11" s="2"/>
      <c r="BH11" s="2"/>
      <c r="BI11" s="2"/>
      <c r="BJ11" s="2"/>
      <c r="BM11" s="2"/>
      <c r="BN11" s="2"/>
      <c r="BO11" s="2"/>
      <c r="BP11" s="2"/>
      <c r="BQ11" s="2"/>
      <c r="BR11" s="2"/>
      <c r="BS11" s="2"/>
      <c r="BT11" s="2"/>
      <c r="BU11" s="9"/>
      <c r="BV11" s="1"/>
      <c r="BW11" s="10"/>
      <c r="BX11" s="10"/>
      <c r="BY11" s="10"/>
      <c r="BZ11" s="1"/>
      <c r="CA11" s="632"/>
      <c r="CB11" s="618"/>
      <c r="CC11" s="618"/>
      <c r="CD11" s="618"/>
      <c r="CE11" s="618"/>
    </row>
    <row r="12" spans="1:84" s="427" customFormat="1" ht="14" customHeight="1" x14ac:dyDescent="0.25">
      <c r="A12" s="435"/>
      <c r="B12" s="439"/>
      <c r="C12" s="440"/>
      <c r="D12" s="441"/>
      <c r="E12" s="442"/>
      <c r="F12" s="442"/>
      <c r="G12" s="442"/>
      <c r="H12" s="442"/>
      <c r="I12" s="11"/>
      <c r="J12" s="11"/>
      <c r="K12" s="13"/>
      <c r="L12" s="13"/>
      <c r="M12" s="11"/>
      <c r="N12" s="12"/>
      <c r="O12" s="12"/>
      <c r="P12" s="12"/>
      <c r="Q12" s="11"/>
      <c r="R12" s="13"/>
      <c r="S12" s="13"/>
      <c r="T12" s="11"/>
      <c r="U12" s="12"/>
      <c r="V12" s="12"/>
      <c r="W12" s="12"/>
      <c r="X12" s="11"/>
      <c r="Y12" s="13"/>
      <c r="Z12" s="13"/>
      <c r="AA12" s="11"/>
      <c r="AB12" s="12"/>
      <c r="AC12" s="12"/>
      <c r="AD12" s="12"/>
      <c r="AE12" s="11"/>
      <c r="AF12" s="13"/>
      <c r="AG12" s="13"/>
      <c r="AH12" s="11"/>
      <c r="AI12" s="11"/>
      <c r="AJ12" s="11"/>
      <c r="AK12" s="12"/>
      <c r="AL12" s="12"/>
      <c r="AM12" s="13"/>
      <c r="AN12" s="13"/>
      <c r="AO12" s="11"/>
      <c r="AP12" s="12"/>
      <c r="AQ12" s="12"/>
      <c r="AR12" s="12"/>
      <c r="AS12" s="11"/>
      <c r="AT12" s="13"/>
      <c r="AU12" s="13"/>
      <c r="AV12" s="11"/>
      <c r="AW12" s="12"/>
      <c r="AX12" s="12"/>
      <c r="AY12" s="12"/>
      <c r="AZ12" s="11"/>
      <c r="BA12" s="13"/>
      <c r="BB12" s="13"/>
      <c r="BC12" s="11"/>
      <c r="BD12" s="12"/>
      <c r="BE12" s="12"/>
      <c r="BF12" s="12"/>
      <c r="BG12" s="11"/>
      <c r="BH12" s="13"/>
      <c r="BI12" s="13"/>
      <c r="BJ12" s="11"/>
      <c r="BK12" s="12"/>
      <c r="BL12" s="12"/>
      <c r="BM12" s="12"/>
      <c r="BN12" s="11"/>
      <c r="BO12" s="13"/>
      <c r="BP12" s="14"/>
      <c r="BQ12" s="443"/>
      <c r="BR12" s="16"/>
      <c r="BS12" s="17"/>
      <c r="BT12" s="18"/>
      <c r="BU12" s="18"/>
      <c r="BV12" s="1"/>
      <c r="BW12" s="444"/>
      <c r="BX12" s="445"/>
      <c r="BY12" s="18"/>
      <c r="BZ12" s="2"/>
      <c r="CA12" s="634"/>
      <c r="CB12" s="436" t="s">
        <v>206</v>
      </c>
      <c r="CC12" s="436" t="s">
        <v>207</v>
      </c>
      <c r="CD12" s="436" t="s">
        <v>206</v>
      </c>
      <c r="CE12" s="436" t="s">
        <v>207</v>
      </c>
    </row>
    <row r="13" spans="1:84" ht="14" customHeight="1" x14ac:dyDescent="0.25">
      <c r="A13" s="435"/>
      <c r="B13" s="461" t="s">
        <v>236</v>
      </c>
      <c r="C13" s="446" t="s">
        <v>313</v>
      </c>
      <c r="D13" s="447" t="s">
        <v>314</v>
      </c>
      <c r="E13" s="448" t="s">
        <v>230</v>
      </c>
      <c r="F13" s="448">
        <v>0.83333333333333337</v>
      </c>
      <c r="G13" s="448" t="s">
        <v>259</v>
      </c>
      <c r="H13" s="464">
        <v>30</v>
      </c>
      <c r="I13" s="11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3"/>
      <c r="Z13" s="13"/>
      <c r="AA13" s="11"/>
      <c r="AB13" s="12"/>
      <c r="AC13" s="12"/>
      <c r="AD13" s="12"/>
      <c r="AE13" s="11"/>
      <c r="AF13" s="13"/>
      <c r="AG13" s="13"/>
      <c r="AH13" s="11"/>
      <c r="AI13" s="11">
        <v>1</v>
      </c>
      <c r="AJ13" s="11"/>
      <c r="AK13" s="12">
        <v>1</v>
      </c>
      <c r="AL13" s="12"/>
      <c r="AM13" s="13"/>
      <c r="AN13" s="13"/>
      <c r="AO13" s="11">
        <v>1</v>
      </c>
      <c r="AP13" s="12"/>
      <c r="AQ13" s="12"/>
      <c r="AR13" s="12">
        <v>1</v>
      </c>
      <c r="AS13" s="11"/>
      <c r="AT13" s="13"/>
      <c r="AU13" s="13"/>
      <c r="AV13" s="11">
        <v>1</v>
      </c>
      <c r="AW13" s="12"/>
      <c r="AX13" s="12">
        <v>1</v>
      </c>
      <c r="AY13" s="12"/>
      <c r="AZ13" s="11"/>
      <c r="BA13" s="13"/>
      <c r="BB13" s="13"/>
      <c r="BC13" s="11"/>
      <c r="BD13" s="12"/>
      <c r="BE13" s="12"/>
      <c r="BF13" s="12"/>
      <c r="BG13" s="11"/>
      <c r="BH13" s="13"/>
      <c r="BI13" s="13"/>
      <c r="BJ13" s="11"/>
      <c r="BK13" s="12"/>
      <c r="BL13" s="12"/>
      <c r="BM13" s="12"/>
      <c r="BN13" s="11"/>
      <c r="BO13" s="13"/>
      <c r="BP13" s="449">
        <f>SUM(I13:BO13)</f>
        <v>6</v>
      </c>
      <c r="BQ13" s="15">
        <v>4180</v>
      </c>
      <c r="BR13" s="19">
        <v>0.4</v>
      </c>
      <c r="BS13" s="20">
        <f>BQ13*(1-BR13)</f>
        <v>2508</v>
      </c>
      <c r="BT13" s="21">
        <f>BS13*BP13</f>
        <v>15048</v>
      </c>
      <c r="BU13" s="21">
        <f t="shared" ref="BU13:BU16" si="4">BT13*0.8</f>
        <v>12038.400000000001</v>
      </c>
      <c r="BW13" s="578">
        <v>0.05</v>
      </c>
      <c r="BX13" s="451">
        <f>BW13*BP13</f>
        <v>0.30000000000000004</v>
      </c>
      <c r="BY13" s="452">
        <f>IFERROR(BU13/BX13,0)</f>
        <v>40128</v>
      </c>
      <c r="BZ13" s="2"/>
      <c r="CA13" s="518" t="s">
        <v>313</v>
      </c>
      <c r="CB13" s="519">
        <f>COUNTA(I13:AM13)</f>
        <v>2</v>
      </c>
      <c r="CC13" s="520">
        <f>CB13*BS13*0.8</f>
        <v>4012.8</v>
      </c>
      <c r="CD13" s="519">
        <f>COUNTA(AN13:BO13)</f>
        <v>4</v>
      </c>
      <c r="CE13" s="520">
        <f>CD13*BS13*0.8</f>
        <v>8025.6</v>
      </c>
      <c r="CF13" s="427" t="b">
        <f>SUM(CC13,CE13)=BU13</f>
        <v>1</v>
      </c>
    </row>
    <row r="14" spans="1:84" s="458" customFormat="1" ht="14" customHeight="1" x14ac:dyDescent="0.25">
      <c r="A14" s="435"/>
      <c r="B14" s="446"/>
      <c r="C14" s="446" t="s">
        <v>193</v>
      </c>
      <c r="D14" s="459"/>
      <c r="E14" s="448" t="s">
        <v>230</v>
      </c>
      <c r="F14" s="448">
        <v>0.83333333333333337</v>
      </c>
      <c r="G14" s="448" t="s">
        <v>259</v>
      </c>
      <c r="H14" s="464">
        <v>60</v>
      </c>
      <c r="I14" s="11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3"/>
      <c r="Z14" s="13"/>
      <c r="AA14" s="11"/>
      <c r="AB14" s="12"/>
      <c r="AC14" s="12"/>
      <c r="AD14" s="12"/>
      <c r="AE14" s="11">
        <v>1</v>
      </c>
      <c r="AF14" s="13"/>
      <c r="AG14" s="13"/>
      <c r="AH14" s="11"/>
      <c r="AI14" s="11"/>
      <c r="AJ14" s="11"/>
      <c r="AK14" s="12"/>
      <c r="AL14" s="12"/>
      <c r="AM14" s="13"/>
      <c r="AN14" s="13"/>
      <c r="AO14" s="11"/>
      <c r="AP14" s="12"/>
      <c r="AQ14" s="12"/>
      <c r="AR14" s="12"/>
      <c r="AS14" s="11"/>
      <c r="AT14" s="13"/>
      <c r="AU14" s="13"/>
      <c r="AV14" s="11"/>
      <c r="AW14" s="12"/>
      <c r="AX14" s="12"/>
      <c r="AY14" s="12"/>
      <c r="AZ14" s="11"/>
      <c r="BA14" s="13"/>
      <c r="BB14" s="13"/>
      <c r="BC14" s="11"/>
      <c r="BD14" s="12"/>
      <c r="BE14" s="12"/>
      <c r="BF14" s="12"/>
      <c r="BG14" s="11"/>
      <c r="BH14" s="13"/>
      <c r="BI14" s="13"/>
      <c r="BJ14" s="11"/>
      <c r="BK14" s="12"/>
      <c r="BL14" s="12"/>
      <c r="BM14" s="12"/>
      <c r="BN14" s="11"/>
      <c r="BO14" s="13"/>
      <c r="BP14" s="449">
        <f>SUM(I14:BO14)</f>
        <v>1</v>
      </c>
      <c r="BQ14" s="460">
        <v>8360</v>
      </c>
      <c r="BR14" s="19">
        <v>0.4</v>
      </c>
      <c r="BS14" s="20">
        <f t="shared" ref="BS14:BS16" si="5">BQ14*(1-BR14)</f>
        <v>5016</v>
      </c>
      <c r="BT14" s="21">
        <f t="shared" ref="BT14:BT16" si="6">BS14*BP14</f>
        <v>5016</v>
      </c>
      <c r="BU14" s="22">
        <f t="shared" si="4"/>
        <v>4012.8</v>
      </c>
      <c r="BV14" s="1"/>
      <c r="BW14" s="578">
        <v>0.05</v>
      </c>
      <c r="BX14" s="451">
        <f>BW14*BP14</f>
        <v>0.05</v>
      </c>
      <c r="BY14" s="452">
        <f>IFERROR(BU14/BX14,0)</f>
        <v>80256</v>
      </c>
      <c r="BZ14" s="2"/>
      <c r="CA14" s="518" t="s">
        <v>313</v>
      </c>
      <c r="CB14" s="519">
        <f t="shared" ref="CB14:CB36" si="7">COUNTA(I14:AM14)</f>
        <v>1</v>
      </c>
      <c r="CC14" s="520">
        <f t="shared" ref="CC14:CC36" si="8">CB14*BS14*0.8</f>
        <v>4012.8</v>
      </c>
      <c r="CD14" s="519">
        <f t="shared" ref="CD14:CD36" si="9">COUNTA(AN14:BO14)</f>
        <v>0</v>
      </c>
      <c r="CE14" s="520">
        <f t="shared" ref="CE14:CE36" si="10">CD14*BS14*0.8</f>
        <v>0</v>
      </c>
      <c r="CF14" s="427" t="b">
        <f>SUM(CC14,CE14)=BU14</f>
        <v>1</v>
      </c>
    </row>
    <row r="15" spans="1:84" s="458" customFormat="1" ht="14" customHeight="1" x14ac:dyDescent="0.25">
      <c r="A15" s="435"/>
      <c r="B15" s="446"/>
      <c r="C15" s="446"/>
      <c r="D15" s="447" t="s">
        <v>315</v>
      </c>
      <c r="E15" s="448" t="s">
        <v>230</v>
      </c>
      <c r="F15" s="448">
        <v>0.91666666666666663</v>
      </c>
      <c r="G15" s="448" t="s">
        <v>243</v>
      </c>
      <c r="H15" s="464">
        <v>30</v>
      </c>
      <c r="I15" s="11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3"/>
      <c r="Z15" s="13"/>
      <c r="AA15" s="11"/>
      <c r="AB15" s="12"/>
      <c r="AC15" s="12"/>
      <c r="AD15" s="12"/>
      <c r="AE15" s="11"/>
      <c r="AF15" s="13"/>
      <c r="AG15" s="13"/>
      <c r="AH15" s="11">
        <v>1</v>
      </c>
      <c r="AI15" s="11"/>
      <c r="AJ15" s="11">
        <v>1</v>
      </c>
      <c r="AK15" s="12"/>
      <c r="AL15" s="12"/>
      <c r="AM15" s="13"/>
      <c r="AN15" s="13"/>
      <c r="AO15" s="11"/>
      <c r="AP15" s="12">
        <v>1</v>
      </c>
      <c r="AQ15" s="12"/>
      <c r="AR15" s="12"/>
      <c r="AS15" s="11">
        <v>1</v>
      </c>
      <c r="AT15" s="13"/>
      <c r="AU15" s="13"/>
      <c r="AV15" s="11"/>
      <c r="AW15" s="12">
        <v>1</v>
      </c>
      <c r="AX15" s="12"/>
      <c r="AY15" s="12">
        <v>1</v>
      </c>
      <c r="AZ15" s="11"/>
      <c r="BA15" s="13"/>
      <c r="BB15" s="13"/>
      <c r="BC15" s="11"/>
      <c r="BD15" s="12"/>
      <c r="BE15" s="12"/>
      <c r="BF15" s="12"/>
      <c r="BG15" s="11"/>
      <c r="BH15" s="13"/>
      <c r="BI15" s="13"/>
      <c r="BJ15" s="11"/>
      <c r="BK15" s="12"/>
      <c r="BL15" s="12"/>
      <c r="BM15" s="12"/>
      <c r="BN15" s="11"/>
      <c r="BO15" s="13"/>
      <c r="BP15" s="449">
        <f>SUM(I15:BO15)</f>
        <v>6</v>
      </c>
      <c r="BQ15" s="15">
        <v>5760</v>
      </c>
      <c r="BR15" s="19">
        <v>0.4</v>
      </c>
      <c r="BS15" s="20">
        <f t="shared" si="5"/>
        <v>3456</v>
      </c>
      <c r="BT15" s="21">
        <f t="shared" si="6"/>
        <v>20736</v>
      </c>
      <c r="BU15" s="22">
        <f t="shared" si="4"/>
        <v>16588.8</v>
      </c>
      <c r="BV15" s="1"/>
      <c r="BW15" s="578">
        <v>0.05</v>
      </c>
      <c r="BX15" s="451">
        <f>BW15*BP15</f>
        <v>0.30000000000000004</v>
      </c>
      <c r="BY15" s="452">
        <f>IFERROR(BU15/BX15,0)</f>
        <v>55295.999999999993</v>
      </c>
      <c r="BZ15" s="2"/>
      <c r="CA15" s="518" t="s">
        <v>313</v>
      </c>
      <c r="CB15" s="519">
        <f t="shared" si="7"/>
        <v>2</v>
      </c>
      <c r="CC15" s="520">
        <f t="shared" si="8"/>
        <v>5529.6</v>
      </c>
      <c r="CD15" s="519">
        <f t="shared" si="9"/>
        <v>4</v>
      </c>
      <c r="CE15" s="520">
        <f t="shared" si="10"/>
        <v>11059.2</v>
      </c>
      <c r="CF15" s="427" t="b">
        <f>SUM(CC15,CE15)=BU15</f>
        <v>1</v>
      </c>
    </row>
    <row r="16" spans="1:84" ht="14" customHeight="1" x14ac:dyDescent="0.25">
      <c r="A16" s="435"/>
      <c r="B16" s="446"/>
      <c r="C16" s="446"/>
      <c r="D16" s="447"/>
      <c r="E16" s="448" t="s">
        <v>230</v>
      </c>
      <c r="F16" s="448">
        <v>0.91666666666666663</v>
      </c>
      <c r="G16" s="448" t="s">
        <v>243</v>
      </c>
      <c r="H16" s="464">
        <v>60</v>
      </c>
      <c r="I16" s="11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3"/>
      <c r="Z16" s="13"/>
      <c r="AA16" s="11"/>
      <c r="AB16" s="12"/>
      <c r="AC16" s="12"/>
      <c r="AD16" s="12">
        <v>1</v>
      </c>
      <c r="AE16" s="11"/>
      <c r="AF16" s="13"/>
      <c r="AG16" s="13"/>
      <c r="AH16" s="11"/>
      <c r="AI16" s="11"/>
      <c r="AJ16" s="11"/>
      <c r="AK16" s="12"/>
      <c r="AL16" s="12"/>
      <c r="AM16" s="13"/>
      <c r="AN16" s="13"/>
      <c r="AO16" s="11"/>
      <c r="AP16" s="12"/>
      <c r="AQ16" s="12"/>
      <c r="AR16" s="12"/>
      <c r="AS16" s="11"/>
      <c r="AT16" s="13"/>
      <c r="AU16" s="13"/>
      <c r="AV16" s="11"/>
      <c r="AW16" s="12"/>
      <c r="AX16" s="12"/>
      <c r="AY16" s="12"/>
      <c r="AZ16" s="11"/>
      <c r="BA16" s="13"/>
      <c r="BB16" s="13"/>
      <c r="BC16" s="11"/>
      <c r="BD16" s="12"/>
      <c r="BE16" s="12"/>
      <c r="BF16" s="12"/>
      <c r="BG16" s="11"/>
      <c r="BH16" s="13"/>
      <c r="BI16" s="13"/>
      <c r="BJ16" s="11"/>
      <c r="BK16" s="12"/>
      <c r="BL16" s="12"/>
      <c r="BM16" s="12"/>
      <c r="BN16" s="11"/>
      <c r="BO16" s="13"/>
      <c r="BP16" s="449">
        <f>SUM(I16:BO16)</f>
        <v>1</v>
      </c>
      <c r="BQ16" s="15">
        <v>11520</v>
      </c>
      <c r="BR16" s="19">
        <v>0.4</v>
      </c>
      <c r="BS16" s="20">
        <f t="shared" si="5"/>
        <v>6912</v>
      </c>
      <c r="BT16" s="21">
        <f t="shared" si="6"/>
        <v>6912</v>
      </c>
      <c r="BU16" s="22">
        <f t="shared" si="4"/>
        <v>5529.6</v>
      </c>
      <c r="BW16" s="578">
        <v>0.05</v>
      </c>
      <c r="BX16" s="451">
        <f>BW16*BP16</f>
        <v>0.05</v>
      </c>
      <c r="BY16" s="452">
        <f>IFERROR(BU16/BX16,0)</f>
        <v>110592</v>
      </c>
      <c r="BZ16" s="2"/>
      <c r="CA16" s="518" t="s">
        <v>313</v>
      </c>
      <c r="CB16" s="519">
        <f t="shared" si="7"/>
        <v>1</v>
      </c>
      <c r="CC16" s="520">
        <f t="shared" si="8"/>
        <v>5529.6</v>
      </c>
      <c r="CD16" s="519">
        <f t="shared" si="9"/>
        <v>0</v>
      </c>
      <c r="CE16" s="520">
        <f t="shared" si="10"/>
        <v>0</v>
      </c>
      <c r="CF16" s="427" t="b">
        <f>SUM(CC16,CE16)=BU16</f>
        <v>1</v>
      </c>
    </row>
    <row r="17" spans="1:84" s="427" customFormat="1" ht="14" customHeight="1" x14ac:dyDescent="0.25">
      <c r="A17" s="435"/>
      <c r="B17" s="488"/>
      <c r="C17" s="489"/>
      <c r="D17" s="490"/>
      <c r="E17" s="490"/>
      <c r="F17" s="490"/>
      <c r="G17" s="490"/>
      <c r="H17" s="490"/>
      <c r="I17" s="11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3"/>
      <c r="Z17" s="13"/>
      <c r="AA17" s="11"/>
      <c r="AB17" s="12"/>
      <c r="AC17" s="12"/>
      <c r="AD17" s="12"/>
      <c r="AE17" s="11"/>
      <c r="AF17" s="13"/>
      <c r="AG17" s="13"/>
      <c r="AH17" s="11"/>
      <c r="AI17" s="11"/>
      <c r="AJ17" s="11"/>
      <c r="AK17" s="12"/>
      <c r="AL17" s="12"/>
      <c r="AM17" s="13"/>
      <c r="AN17" s="13"/>
      <c r="AO17" s="11"/>
      <c r="AP17" s="12"/>
      <c r="AQ17" s="12"/>
      <c r="AR17" s="12"/>
      <c r="AS17" s="11"/>
      <c r="AT17" s="13"/>
      <c r="AU17" s="13"/>
      <c r="AV17" s="11"/>
      <c r="AW17" s="12"/>
      <c r="AX17" s="12"/>
      <c r="AY17" s="12"/>
      <c r="AZ17" s="11"/>
      <c r="BA17" s="13"/>
      <c r="BB17" s="13"/>
      <c r="BC17" s="11"/>
      <c r="BD17" s="12"/>
      <c r="BE17" s="12"/>
      <c r="BF17" s="12"/>
      <c r="BG17" s="11"/>
      <c r="BH17" s="13"/>
      <c r="BI17" s="13"/>
      <c r="BJ17" s="11"/>
      <c r="BK17" s="12"/>
      <c r="BL17" s="12"/>
      <c r="BM17" s="12"/>
      <c r="BN17" s="11"/>
      <c r="BO17" s="13"/>
      <c r="BP17" s="378"/>
      <c r="BQ17" s="15"/>
      <c r="BR17" s="19"/>
      <c r="BS17" s="20"/>
      <c r="BT17" s="21"/>
      <c r="BU17" s="21"/>
      <c r="BV17" s="1"/>
      <c r="BW17" s="462"/>
      <c r="BX17" s="451"/>
      <c r="BY17" s="21"/>
      <c r="BZ17" s="2"/>
      <c r="CA17" s="518"/>
      <c r="CB17" s="519"/>
      <c r="CC17" s="520"/>
      <c r="CD17" s="519"/>
      <c r="CE17" s="520"/>
    </row>
    <row r="18" spans="1:84" ht="14" customHeight="1" x14ac:dyDescent="0.25">
      <c r="A18" s="435"/>
      <c r="B18" s="461"/>
      <c r="C18" s="446" t="s">
        <v>313</v>
      </c>
      <c r="D18" s="447" t="s">
        <v>314</v>
      </c>
      <c r="E18" s="448" t="s">
        <v>230</v>
      </c>
      <c r="F18" s="448">
        <v>0.83333333333333337</v>
      </c>
      <c r="G18" s="448" t="s">
        <v>259</v>
      </c>
      <c r="H18" s="464">
        <v>30</v>
      </c>
      <c r="I18" s="11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3"/>
      <c r="Z18" s="13"/>
      <c r="AA18" s="11"/>
      <c r="AB18" s="12"/>
      <c r="AC18" s="12"/>
      <c r="AD18" s="12"/>
      <c r="AE18" s="11"/>
      <c r="AF18" s="13"/>
      <c r="AG18" s="13"/>
      <c r="AH18" s="11"/>
      <c r="AI18" s="11">
        <v>1</v>
      </c>
      <c r="AJ18" s="11"/>
      <c r="AK18" s="12">
        <v>1</v>
      </c>
      <c r="AL18" s="12"/>
      <c r="AM18" s="13"/>
      <c r="AN18" s="13"/>
      <c r="AO18" s="11">
        <v>1</v>
      </c>
      <c r="AP18" s="12"/>
      <c r="AQ18" s="12"/>
      <c r="AR18" s="12">
        <v>1</v>
      </c>
      <c r="AS18" s="11"/>
      <c r="AT18" s="13"/>
      <c r="AU18" s="13"/>
      <c r="AV18" s="11">
        <v>1</v>
      </c>
      <c r="AW18" s="12"/>
      <c r="AX18" s="12">
        <v>1</v>
      </c>
      <c r="AY18" s="12"/>
      <c r="AZ18" s="11"/>
      <c r="BA18" s="13"/>
      <c r="BB18" s="13"/>
      <c r="BC18" s="11"/>
      <c r="BD18" s="12"/>
      <c r="BE18" s="12"/>
      <c r="BF18" s="12"/>
      <c r="BG18" s="11"/>
      <c r="BH18" s="13"/>
      <c r="BI18" s="13"/>
      <c r="BJ18" s="11"/>
      <c r="BK18" s="12"/>
      <c r="BL18" s="12"/>
      <c r="BM18" s="12"/>
      <c r="BN18" s="11"/>
      <c r="BO18" s="13"/>
      <c r="BP18" s="449">
        <f>SUM(I18:BO18)</f>
        <v>6</v>
      </c>
      <c r="BQ18" s="15">
        <v>640</v>
      </c>
      <c r="BR18" s="19">
        <v>0.4</v>
      </c>
      <c r="BS18" s="20">
        <f>BQ18*(1-BR18)</f>
        <v>384</v>
      </c>
      <c r="BT18" s="21">
        <f>BS18*BP18</f>
        <v>2304</v>
      </c>
      <c r="BU18" s="21">
        <f t="shared" ref="BU18:BU21" si="11">BT18*0.8</f>
        <v>1843.2</v>
      </c>
      <c r="BW18" s="578">
        <v>0.05</v>
      </c>
      <c r="BX18" s="451">
        <f>BW18*BP18</f>
        <v>0.30000000000000004</v>
      </c>
      <c r="BY18" s="452">
        <f>IFERROR(BU18/BX18,0)</f>
        <v>6143.9999999999991</v>
      </c>
      <c r="BZ18" s="2"/>
      <c r="CA18" s="518" t="s">
        <v>313</v>
      </c>
      <c r="CB18" s="519">
        <f t="shared" si="7"/>
        <v>2</v>
      </c>
      <c r="CC18" s="520">
        <f t="shared" si="8"/>
        <v>614.40000000000009</v>
      </c>
      <c r="CD18" s="519">
        <f t="shared" si="9"/>
        <v>4</v>
      </c>
      <c r="CE18" s="520">
        <f t="shared" si="10"/>
        <v>1228.8000000000002</v>
      </c>
      <c r="CF18" s="427" t="b">
        <f>SUM(CC18,CE18)=BU18</f>
        <v>1</v>
      </c>
    </row>
    <row r="19" spans="1:84" s="458" customFormat="1" ht="14" customHeight="1" x14ac:dyDescent="0.25">
      <c r="A19" s="435"/>
      <c r="B19" s="446"/>
      <c r="C19" s="446" t="s">
        <v>316</v>
      </c>
      <c r="D19" s="459"/>
      <c r="E19" s="448" t="s">
        <v>230</v>
      </c>
      <c r="F19" s="448">
        <v>0.83333333333333337</v>
      </c>
      <c r="G19" s="448" t="s">
        <v>259</v>
      </c>
      <c r="H19" s="464">
        <v>60</v>
      </c>
      <c r="I19" s="11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3"/>
      <c r="Z19" s="13"/>
      <c r="AA19" s="11"/>
      <c r="AB19" s="12"/>
      <c r="AC19" s="12"/>
      <c r="AD19" s="12"/>
      <c r="AE19" s="11">
        <v>1</v>
      </c>
      <c r="AF19" s="13"/>
      <c r="AG19" s="13"/>
      <c r="AH19" s="11"/>
      <c r="AI19" s="11"/>
      <c r="AJ19" s="11"/>
      <c r="AK19" s="12"/>
      <c r="AL19" s="12"/>
      <c r="AM19" s="13"/>
      <c r="AN19" s="13"/>
      <c r="AO19" s="11"/>
      <c r="AP19" s="12"/>
      <c r="AQ19" s="12"/>
      <c r="AR19" s="12"/>
      <c r="AS19" s="11"/>
      <c r="AT19" s="13"/>
      <c r="AU19" s="13"/>
      <c r="AV19" s="11"/>
      <c r="AW19" s="12"/>
      <c r="AX19" s="12"/>
      <c r="AY19" s="12"/>
      <c r="AZ19" s="11"/>
      <c r="BA19" s="13"/>
      <c r="BB19" s="13"/>
      <c r="BC19" s="11"/>
      <c r="BD19" s="12"/>
      <c r="BE19" s="12"/>
      <c r="BF19" s="12"/>
      <c r="BG19" s="11"/>
      <c r="BH19" s="13"/>
      <c r="BI19" s="13"/>
      <c r="BJ19" s="11"/>
      <c r="BK19" s="12"/>
      <c r="BL19" s="12"/>
      <c r="BM19" s="12"/>
      <c r="BN19" s="11"/>
      <c r="BO19" s="13"/>
      <c r="BP19" s="449">
        <f>SUM(I19:BO19)</f>
        <v>1</v>
      </c>
      <c r="BQ19" s="460">
        <v>1280</v>
      </c>
      <c r="BR19" s="19">
        <v>0.4</v>
      </c>
      <c r="BS19" s="20">
        <f t="shared" ref="BS19:BS21" si="12">BQ19*(1-BR19)</f>
        <v>768</v>
      </c>
      <c r="BT19" s="21">
        <f t="shared" ref="BT19:BT21" si="13">BS19*BP19</f>
        <v>768</v>
      </c>
      <c r="BU19" s="22">
        <f t="shared" si="11"/>
        <v>614.40000000000009</v>
      </c>
      <c r="BV19" s="1"/>
      <c r="BW19" s="578">
        <v>0.05</v>
      </c>
      <c r="BX19" s="451">
        <f>BW19*BP19</f>
        <v>0.05</v>
      </c>
      <c r="BY19" s="452">
        <f>IFERROR(BU19/BX19,0)</f>
        <v>12288.000000000002</v>
      </c>
      <c r="BZ19" s="2"/>
      <c r="CA19" s="518" t="s">
        <v>313</v>
      </c>
      <c r="CB19" s="519">
        <f t="shared" si="7"/>
        <v>1</v>
      </c>
      <c r="CC19" s="520">
        <f t="shared" si="8"/>
        <v>614.40000000000009</v>
      </c>
      <c r="CD19" s="519">
        <f t="shared" si="9"/>
        <v>0</v>
      </c>
      <c r="CE19" s="520">
        <f t="shared" si="10"/>
        <v>0</v>
      </c>
      <c r="CF19" s="427" t="b">
        <f>SUM(CC19,CE19)=BU19</f>
        <v>1</v>
      </c>
    </row>
    <row r="20" spans="1:84" s="458" customFormat="1" ht="14" customHeight="1" x14ac:dyDescent="0.25">
      <c r="A20" s="435"/>
      <c r="B20" s="446"/>
      <c r="C20" s="446"/>
      <c r="D20" s="447" t="s">
        <v>315</v>
      </c>
      <c r="E20" s="448" t="s">
        <v>230</v>
      </c>
      <c r="F20" s="448">
        <v>0.91666666666666663</v>
      </c>
      <c r="G20" s="448" t="s">
        <v>243</v>
      </c>
      <c r="H20" s="464">
        <v>30</v>
      </c>
      <c r="I20" s="11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3"/>
      <c r="Z20" s="13"/>
      <c r="AA20" s="11"/>
      <c r="AB20" s="12"/>
      <c r="AC20" s="12"/>
      <c r="AD20" s="12"/>
      <c r="AE20" s="11"/>
      <c r="AF20" s="13"/>
      <c r="AG20" s="13"/>
      <c r="AH20" s="11">
        <v>1</v>
      </c>
      <c r="AI20" s="11"/>
      <c r="AJ20" s="11">
        <v>1</v>
      </c>
      <c r="AK20" s="12"/>
      <c r="AL20" s="12"/>
      <c r="AM20" s="13"/>
      <c r="AN20" s="13"/>
      <c r="AO20" s="11"/>
      <c r="AP20" s="12">
        <v>1</v>
      </c>
      <c r="AQ20" s="12"/>
      <c r="AR20" s="12"/>
      <c r="AS20" s="11">
        <v>1</v>
      </c>
      <c r="AT20" s="13"/>
      <c r="AU20" s="13"/>
      <c r="AV20" s="11"/>
      <c r="AW20" s="12">
        <v>1</v>
      </c>
      <c r="AX20" s="12"/>
      <c r="AY20" s="12">
        <v>1</v>
      </c>
      <c r="AZ20" s="11"/>
      <c r="BA20" s="13"/>
      <c r="BB20" s="13"/>
      <c r="BC20" s="11"/>
      <c r="BD20" s="12"/>
      <c r="BE20" s="12"/>
      <c r="BF20" s="12"/>
      <c r="BG20" s="11"/>
      <c r="BH20" s="13"/>
      <c r="BI20" s="13"/>
      <c r="BJ20" s="11"/>
      <c r="BK20" s="12"/>
      <c r="BL20" s="12"/>
      <c r="BM20" s="12"/>
      <c r="BN20" s="11"/>
      <c r="BO20" s="13"/>
      <c r="BP20" s="449">
        <f>SUM(I20:BO20)</f>
        <v>6</v>
      </c>
      <c r="BQ20" s="15">
        <v>860</v>
      </c>
      <c r="BR20" s="19">
        <v>0.4</v>
      </c>
      <c r="BS20" s="20">
        <f t="shared" si="12"/>
        <v>516</v>
      </c>
      <c r="BT20" s="21">
        <f t="shared" si="13"/>
        <v>3096</v>
      </c>
      <c r="BU20" s="22">
        <f t="shared" si="11"/>
        <v>2476.8000000000002</v>
      </c>
      <c r="BV20" s="1"/>
      <c r="BW20" s="578">
        <v>0.05</v>
      </c>
      <c r="BX20" s="451">
        <f>BW20*BP20</f>
        <v>0.30000000000000004</v>
      </c>
      <c r="BY20" s="452">
        <f>IFERROR(BU20/BX20,0)</f>
        <v>8256</v>
      </c>
      <c r="BZ20" s="2"/>
      <c r="CA20" s="518" t="s">
        <v>313</v>
      </c>
      <c r="CB20" s="519">
        <f t="shared" si="7"/>
        <v>2</v>
      </c>
      <c r="CC20" s="520">
        <f t="shared" si="8"/>
        <v>825.6</v>
      </c>
      <c r="CD20" s="519">
        <f t="shared" si="9"/>
        <v>4</v>
      </c>
      <c r="CE20" s="520">
        <f t="shared" si="10"/>
        <v>1651.2</v>
      </c>
      <c r="CF20" s="427" t="b">
        <f>SUM(CC20,CE20)=BU20</f>
        <v>1</v>
      </c>
    </row>
    <row r="21" spans="1:84" ht="14" customHeight="1" x14ac:dyDescent="0.25">
      <c r="A21" s="435"/>
      <c r="B21" s="446"/>
      <c r="C21" s="446"/>
      <c r="D21" s="447"/>
      <c r="E21" s="448" t="s">
        <v>230</v>
      </c>
      <c r="F21" s="448">
        <v>0.91666666666666663</v>
      </c>
      <c r="G21" s="448" t="s">
        <v>243</v>
      </c>
      <c r="H21" s="464">
        <v>60</v>
      </c>
      <c r="I21" s="11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3"/>
      <c r="Z21" s="13"/>
      <c r="AA21" s="11"/>
      <c r="AB21" s="12"/>
      <c r="AC21" s="12"/>
      <c r="AD21" s="12">
        <v>1</v>
      </c>
      <c r="AE21" s="11"/>
      <c r="AF21" s="13"/>
      <c r="AG21" s="13"/>
      <c r="AH21" s="11"/>
      <c r="AI21" s="11"/>
      <c r="AJ21" s="11"/>
      <c r="AK21" s="12"/>
      <c r="AL21" s="12"/>
      <c r="AM21" s="13"/>
      <c r="AN21" s="13"/>
      <c r="AO21" s="11"/>
      <c r="AP21" s="12"/>
      <c r="AQ21" s="12"/>
      <c r="AR21" s="12"/>
      <c r="AS21" s="11"/>
      <c r="AT21" s="13"/>
      <c r="AU21" s="13"/>
      <c r="AV21" s="11"/>
      <c r="AW21" s="12"/>
      <c r="AX21" s="12"/>
      <c r="AY21" s="12"/>
      <c r="AZ21" s="11"/>
      <c r="BA21" s="13"/>
      <c r="BB21" s="13"/>
      <c r="BC21" s="11"/>
      <c r="BD21" s="12"/>
      <c r="BE21" s="12"/>
      <c r="BF21" s="12"/>
      <c r="BG21" s="11"/>
      <c r="BH21" s="13"/>
      <c r="BI21" s="13"/>
      <c r="BJ21" s="11"/>
      <c r="BK21" s="12"/>
      <c r="BL21" s="12"/>
      <c r="BM21" s="12"/>
      <c r="BN21" s="11"/>
      <c r="BO21" s="13"/>
      <c r="BP21" s="449">
        <f>SUM(I21:BO21)</f>
        <v>1</v>
      </c>
      <c r="BQ21" s="15">
        <v>1720</v>
      </c>
      <c r="BR21" s="19">
        <v>0.4</v>
      </c>
      <c r="BS21" s="20">
        <f t="shared" si="12"/>
        <v>1032</v>
      </c>
      <c r="BT21" s="21">
        <f t="shared" si="13"/>
        <v>1032</v>
      </c>
      <c r="BU21" s="22">
        <f t="shared" si="11"/>
        <v>825.6</v>
      </c>
      <c r="BW21" s="578">
        <v>0.05</v>
      </c>
      <c r="BX21" s="451">
        <f>BW21*BP21</f>
        <v>0.05</v>
      </c>
      <c r="BY21" s="452">
        <f>IFERROR(BU21/BX21,0)</f>
        <v>16512</v>
      </c>
      <c r="BZ21" s="2"/>
      <c r="CA21" s="518" t="s">
        <v>313</v>
      </c>
      <c r="CB21" s="519">
        <f t="shared" si="7"/>
        <v>1</v>
      </c>
      <c r="CC21" s="520">
        <f t="shared" si="8"/>
        <v>825.6</v>
      </c>
      <c r="CD21" s="519">
        <f t="shared" si="9"/>
        <v>0</v>
      </c>
      <c r="CE21" s="520">
        <f t="shared" si="10"/>
        <v>0</v>
      </c>
      <c r="CF21" s="427" t="b">
        <f>SUM(CC21,CE21)=BU21</f>
        <v>1</v>
      </c>
    </row>
    <row r="22" spans="1:84" s="427" customFormat="1" ht="14" customHeight="1" x14ac:dyDescent="0.25">
      <c r="A22" s="435"/>
      <c r="B22" s="488"/>
      <c r="C22" s="489"/>
      <c r="D22" s="490"/>
      <c r="E22" s="490"/>
      <c r="F22" s="490"/>
      <c r="G22" s="490"/>
      <c r="H22" s="490"/>
      <c r="I22" s="11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3"/>
      <c r="Z22" s="13"/>
      <c r="AA22" s="11"/>
      <c r="AB22" s="12"/>
      <c r="AC22" s="12"/>
      <c r="AD22" s="12"/>
      <c r="AE22" s="11"/>
      <c r="AF22" s="13"/>
      <c r="AG22" s="13"/>
      <c r="AH22" s="11"/>
      <c r="AI22" s="11"/>
      <c r="AJ22" s="11"/>
      <c r="AK22" s="12"/>
      <c r="AL22" s="12"/>
      <c r="AM22" s="13"/>
      <c r="AN22" s="13"/>
      <c r="AO22" s="11"/>
      <c r="AP22" s="12"/>
      <c r="AQ22" s="12"/>
      <c r="AR22" s="12"/>
      <c r="AS22" s="11"/>
      <c r="AT22" s="13"/>
      <c r="AU22" s="13"/>
      <c r="AV22" s="11"/>
      <c r="AW22" s="12"/>
      <c r="AX22" s="12"/>
      <c r="AY22" s="12"/>
      <c r="AZ22" s="11"/>
      <c r="BA22" s="13"/>
      <c r="BB22" s="13"/>
      <c r="BC22" s="11"/>
      <c r="BD22" s="12"/>
      <c r="BE22" s="12"/>
      <c r="BF22" s="12"/>
      <c r="BG22" s="11"/>
      <c r="BH22" s="13"/>
      <c r="BI22" s="13"/>
      <c r="BJ22" s="11"/>
      <c r="BK22" s="12"/>
      <c r="BL22" s="12"/>
      <c r="BM22" s="12"/>
      <c r="BN22" s="11"/>
      <c r="BO22" s="13"/>
      <c r="BP22" s="378"/>
      <c r="BQ22" s="15"/>
      <c r="BR22" s="19"/>
      <c r="BS22" s="20"/>
      <c r="BT22" s="21"/>
      <c r="BU22" s="21"/>
      <c r="BV22" s="1"/>
      <c r="BW22" s="462"/>
      <c r="BX22" s="451"/>
      <c r="BY22" s="21"/>
      <c r="BZ22" s="2"/>
      <c r="CA22" s="518"/>
      <c r="CB22" s="519"/>
      <c r="CC22" s="520"/>
      <c r="CD22" s="519"/>
      <c r="CE22" s="520"/>
    </row>
    <row r="23" spans="1:84" ht="14" customHeight="1" x14ac:dyDescent="0.25">
      <c r="A23" s="435"/>
      <c r="B23" s="461"/>
      <c r="C23" s="446" t="s">
        <v>313</v>
      </c>
      <c r="D23" s="447" t="s">
        <v>314</v>
      </c>
      <c r="E23" s="448" t="s">
        <v>230</v>
      </c>
      <c r="F23" s="448">
        <v>0.83333333333333337</v>
      </c>
      <c r="G23" s="448" t="s">
        <v>259</v>
      </c>
      <c r="H23" s="464">
        <v>30</v>
      </c>
      <c r="I23" s="11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3"/>
      <c r="Z23" s="13"/>
      <c r="AA23" s="11"/>
      <c r="AB23" s="12"/>
      <c r="AC23" s="12"/>
      <c r="AD23" s="12"/>
      <c r="AE23" s="11"/>
      <c r="AF23" s="13"/>
      <c r="AG23" s="13"/>
      <c r="AH23" s="11"/>
      <c r="AI23" s="11">
        <v>1</v>
      </c>
      <c r="AJ23" s="11"/>
      <c r="AK23" s="12">
        <v>1</v>
      </c>
      <c r="AL23" s="12"/>
      <c r="AM23" s="13"/>
      <c r="AN23" s="13"/>
      <c r="AO23" s="11">
        <v>1</v>
      </c>
      <c r="AP23" s="12"/>
      <c r="AQ23" s="12"/>
      <c r="AR23" s="12">
        <v>1</v>
      </c>
      <c r="AS23" s="11"/>
      <c r="AT23" s="13"/>
      <c r="AU23" s="13"/>
      <c r="AV23" s="11">
        <v>1</v>
      </c>
      <c r="AW23" s="12"/>
      <c r="AX23" s="12">
        <v>1</v>
      </c>
      <c r="AY23" s="12"/>
      <c r="AZ23" s="11"/>
      <c r="BA23" s="13"/>
      <c r="BB23" s="13"/>
      <c r="BC23" s="11"/>
      <c r="BD23" s="12"/>
      <c r="BE23" s="12"/>
      <c r="BF23" s="12"/>
      <c r="BG23" s="11"/>
      <c r="BH23" s="13"/>
      <c r="BI23" s="13"/>
      <c r="BJ23" s="11"/>
      <c r="BK23" s="12"/>
      <c r="BL23" s="12"/>
      <c r="BM23" s="12"/>
      <c r="BN23" s="11"/>
      <c r="BO23" s="13"/>
      <c r="BP23" s="449">
        <f>SUM(I23:BO23)</f>
        <v>6</v>
      </c>
      <c r="BQ23" s="15">
        <v>1140</v>
      </c>
      <c r="BR23" s="19">
        <v>0.4</v>
      </c>
      <c r="BS23" s="20">
        <f>BQ23*(1-BR23)</f>
        <v>684</v>
      </c>
      <c r="BT23" s="21">
        <f>BS23*BP23</f>
        <v>4104</v>
      </c>
      <c r="BU23" s="21">
        <f t="shared" ref="BU23:BU26" si="14">BT23*0.8</f>
        <v>3283.2000000000003</v>
      </c>
      <c r="BW23" s="578">
        <v>0.05</v>
      </c>
      <c r="BX23" s="451">
        <f>BW23*BP23</f>
        <v>0.30000000000000004</v>
      </c>
      <c r="BY23" s="452">
        <f>IFERROR(BU23/BX23,0)</f>
        <v>10944</v>
      </c>
      <c r="BZ23" s="2"/>
      <c r="CA23" s="518" t="s">
        <v>313</v>
      </c>
      <c r="CB23" s="519">
        <f t="shared" si="7"/>
        <v>2</v>
      </c>
      <c r="CC23" s="520">
        <f t="shared" si="8"/>
        <v>1094.4000000000001</v>
      </c>
      <c r="CD23" s="519">
        <f t="shared" si="9"/>
        <v>4</v>
      </c>
      <c r="CE23" s="520">
        <f t="shared" si="10"/>
        <v>2188.8000000000002</v>
      </c>
      <c r="CF23" s="427" t="b">
        <f>SUM(CC23,CE23)=BU23</f>
        <v>1</v>
      </c>
    </row>
    <row r="24" spans="1:84" s="458" customFormat="1" ht="14" customHeight="1" x14ac:dyDescent="0.25">
      <c r="A24" s="435"/>
      <c r="B24" s="446"/>
      <c r="C24" s="446" t="s">
        <v>317</v>
      </c>
      <c r="D24" s="459"/>
      <c r="E24" s="448" t="s">
        <v>230</v>
      </c>
      <c r="F24" s="448">
        <v>0.83333333333333337</v>
      </c>
      <c r="G24" s="448" t="s">
        <v>259</v>
      </c>
      <c r="H24" s="464">
        <v>60</v>
      </c>
      <c r="I24" s="11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3"/>
      <c r="Z24" s="13"/>
      <c r="AA24" s="11"/>
      <c r="AB24" s="12"/>
      <c r="AC24" s="12"/>
      <c r="AD24" s="12"/>
      <c r="AE24" s="11">
        <v>1</v>
      </c>
      <c r="AF24" s="13"/>
      <c r="AG24" s="13"/>
      <c r="AH24" s="11"/>
      <c r="AI24" s="11"/>
      <c r="AJ24" s="11"/>
      <c r="AK24" s="12"/>
      <c r="AL24" s="12"/>
      <c r="AM24" s="13"/>
      <c r="AN24" s="13"/>
      <c r="AO24" s="11"/>
      <c r="AP24" s="12"/>
      <c r="AQ24" s="12"/>
      <c r="AR24" s="12"/>
      <c r="AS24" s="11"/>
      <c r="AT24" s="13"/>
      <c r="AU24" s="13"/>
      <c r="AV24" s="11"/>
      <c r="AW24" s="12"/>
      <c r="AX24" s="12"/>
      <c r="AY24" s="12"/>
      <c r="AZ24" s="11"/>
      <c r="BA24" s="13"/>
      <c r="BB24" s="13"/>
      <c r="BC24" s="11"/>
      <c r="BD24" s="12"/>
      <c r="BE24" s="12"/>
      <c r="BF24" s="12"/>
      <c r="BG24" s="11"/>
      <c r="BH24" s="13"/>
      <c r="BI24" s="13"/>
      <c r="BJ24" s="11"/>
      <c r="BK24" s="12"/>
      <c r="BL24" s="12"/>
      <c r="BM24" s="12"/>
      <c r="BN24" s="11"/>
      <c r="BO24" s="13"/>
      <c r="BP24" s="449">
        <f>SUM(I24:BO24)</f>
        <v>1</v>
      </c>
      <c r="BQ24" s="460">
        <v>2280</v>
      </c>
      <c r="BR24" s="19">
        <v>0.4</v>
      </c>
      <c r="BS24" s="20">
        <f t="shared" ref="BS24:BS26" si="15">BQ24*(1-BR24)</f>
        <v>1368</v>
      </c>
      <c r="BT24" s="21">
        <f t="shared" ref="BT24:BT26" si="16">BS24*BP24</f>
        <v>1368</v>
      </c>
      <c r="BU24" s="22">
        <f t="shared" si="14"/>
        <v>1094.4000000000001</v>
      </c>
      <c r="BV24" s="1"/>
      <c r="BW24" s="578">
        <v>0.05</v>
      </c>
      <c r="BX24" s="451">
        <f>BW24*BP24</f>
        <v>0.05</v>
      </c>
      <c r="BY24" s="452">
        <f>IFERROR(BU24/BX24,0)</f>
        <v>21888</v>
      </c>
      <c r="BZ24" s="2"/>
      <c r="CA24" s="518" t="s">
        <v>313</v>
      </c>
      <c r="CB24" s="519">
        <f t="shared" si="7"/>
        <v>1</v>
      </c>
      <c r="CC24" s="520">
        <f t="shared" si="8"/>
        <v>1094.4000000000001</v>
      </c>
      <c r="CD24" s="519">
        <f t="shared" si="9"/>
        <v>0</v>
      </c>
      <c r="CE24" s="520">
        <f t="shared" si="10"/>
        <v>0</v>
      </c>
      <c r="CF24" s="427" t="b">
        <f>SUM(CC24,CE24)=BU24</f>
        <v>1</v>
      </c>
    </row>
    <row r="25" spans="1:84" s="458" customFormat="1" ht="14" customHeight="1" x14ac:dyDescent="0.25">
      <c r="A25" s="435"/>
      <c r="B25" s="446"/>
      <c r="C25" s="446"/>
      <c r="D25" s="447" t="s">
        <v>315</v>
      </c>
      <c r="E25" s="448" t="s">
        <v>230</v>
      </c>
      <c r="F25" s="448">
        <v>0.91666666666666663</v>
      </c>
      <c r="G25" s="448" t="s">
        <v>243</v>
      </c>
      <c r="H25" s="464">
        <v>30</v>
      </c>
      <c r="I25" s="11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3"/>
      <c r="Z25" s="13"/>
      <c r="AA25" s="11"/>
      <c r="AB25" s="12"/>
      <c r="AC25" s="12"/>
      <c r="AD25" s="12"/>
      <c r="AE25" s="11"/>
      <c r="AF25" s="13"/>
      <c r="AG25" s="13"/>
      <c r="AH25" s="11">
        <v>1</v>
      </c>
      <c r="AI25" s="11"/>
      <c r="AJ25" s="11">
        <v>1</v>
      </c>
      <c r="AK25" s="12"/>
      <c r="AL25" s="12"/>
      <c r="AM25" s="13"/>
      <c r="AN25" s="13"/>
      <c r="AO25" s="11"/>
      <c r="AP25" s="12">
        <v>1</v>
      </c>
      <c r="AQ25" s="12"/>
      <c r="AR25" s="12"/>
      <c r="AS25" s="11">
        <v>1</v>
      </c>
      <c r="AT25" s="13"/>
      <c r="AU25" s="13"/>
      <c r="AV25" s="11"/>
      <c r="AW25" s="12">
        <v>1</v>
      </c>
      <c r="AX25" s="12"/>
      <c r="AY25" s="12">
        <v>1</v>
      </c>
      <c r="AZ25" s="11"/>
      <c r="BA25" s="13"/>
      <c r="BB25" s="13"/>
      <c r="BC25" s="11"/>
      <c r="BD25" s="12"/>
      <c r="BE25" s="12"/>
      <c r="BF25" s="12"/>
      <c r="BG25" s="11"/>
      <c r="BH25" s="13"/>
      <c r="BI25" s="13"/>
      <c r="BJ25" s="11"/>
      <c r="BK25" s="12"/>
      <c r="BL25" s="12"/>
      <c r="BM25" s="12"/>
      <c r="BN25" s="11"/>
      <c r="BO25" s="13"/>
      <c r="BP25" s="449">
        <f>SUM(I25:BO25)</f>
        <v>6</v>
      </c>
      <c r="BQ25" s="15">
        <v>1550</v>
      </c>
      <c r="BR25" s="19">
        <v>0.4</v>
      </c>
      <c r="BS25" s="20">
        <f t="shared" si="15"/>
        <v>930</v>
      </c>
      <c r="BT25" s="21">
        <f t="shared" si="16"/>
        <v>5580</v>
      </c>
      <c r="BU25" s="22">
        <f t="shared" si="14"/>
        <v>4464</v>
      </c>
      <c r="BV25" s="1"/>
      <c r="BW25" s="578">
        <v>0.05</v>
      </c>
      <c r="BX25" s="451">
        <f>BW25*BP25</f>
        <v>0.30000000000000004</v>
      </c>
      <c r="BY25" s="452">
        <f>IFERROR(BU25/BX25,0)</f>
        <v>14879.999999999998</v>
      </c>
      <c r="BZ25" s="2"/>
      <c r="CA25" s="518" t="s">
        <v>313</v>
      </c>
      <c r="CB25" s="519">
        <f t="shared" si="7"/>
        <v>2</v>
      </c>
      <c r="CC25" s="520">
        <f t="shared" si="8"/>
        <v>1488</v>
      </c>
      <c r="CD25" s="519">
        <f t="shared" si="9"/>
        <v>4</v>
      </c>
      <c r="CE25" s="520">
        <f t="shared" si="10"/>
        <v>2976</v>
      </c>
      <c r="CF25" s="427" t="b">
        <f>SUM(CC25,CE25)=BU25</f>
        <v>1</v>
      </c>
    </row>
    <row r="26" spans="1:84" ht="14" customHeight="1" x14ac:dyDescent="0.25">
      <c r="A26" s="435"/>
      <c r="B26" s="446"/>
      <c r="C26" s="446"/>
      <c r="D26" s="447"/>
      <c r="E26" s="448" t="s">
        <v>230</v>
      </c>
      <c r="F26" s="448">
        <v>0.91666666666666663</v>
      </c>
      <c r="G26" s="448" t="s">
        <v>243</v>
      </c>
      <c r="H26" s="464">
        <v>60</v>
      </c>
      <c r="I26" s="11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3"/>
      <c r="Z26" s="13"/>
      <c r="AA26" s="11"/>
      <c r="AB26" s="12"/>
      <c r="AC26" s="12"/>
      <c r="AD26" s="12">
        <v>1</v>
      </c>
      <c r="AE26" s="11"/>
      <c r="AF26" s="13"/>
      <c r="AG26" s="13"/>
      <c r="AH26" s="11"/>
      <c r="AI26" s="11"/>
      <c r="AJ26" s="11"/>
      <c r="AK26" s="12"/>
      <c r="AL26" s="12"/>
      <c r="AM26" s="13"/>
      <c r="AN26" s="13"/>
      <c r="AO26" s="11"/>
      <c r="AP26" s="12"/>
      <c r="AQ26" s="12"/>
      <c r="AR26" s="12"/>
      <c r="AS26" s="11"/>
      <c r="AT26" s="13"/>
      <c r="AU26" s="13"/>
      <c r="AV26" s="11"/>
      <c r="AW26" s="12"/>
      <c r="AX26" s="12"/>
      <c r="AY26" s="12"/>
      <c r="AZ26" s="11"/>
      <c r="BA26" s="13"/>
      <c r="BB26" s="13"/>
      <c r="BC26" s="11"/>
      <c r="BD26" s="12"/>
      <c r="BE26" s="12"/>
      <c r="BF26" s="12"/>
      <c r="BG26" s="11"/>
      <c r="BH26" s="13"/>
      <c r="BI26" s="13"/>
      <c r="BJ26" s="11"/>
      <c r="BK26" s="12"/>
      <c r="BL26" s="12"/>
      <c r="BM26" s="12"/>
      <c r="BN26" s="11"/>
      <c r="BO26" s="13"/>
      <c r="BP26" s="449">
        <f>SUM(I26:BO26)</f>
        <v>1</v>
      </c>
      <c r="BQ26" s="15">
        <v>3100</v>
      </c>
      <c r="BR26" s="19">
        <v>0.4</v>
      </c>
      <c r="BS26" s="20">
        <f t="shared" si="15"/>
        <v>1860</v>
      </c>
      <c r="BT26" s="21">
        <f t="shared" si="16"/>
        <v>1860</v>
      </c>
      <c r="BU26" s="22">
        <f t="shared" si="14"/>
        <v>1488</v>
      </c>
      <c r="BW26" s="578">
        <v>0.05</v>
      </c>
      <c r="BX26" s="451">
        <f>BW26*BP26</f>
        <v>0.05</v>
      </c>
      <c r="BY26" s="452">
        <f>IFERROR(BU26/BX26,0)</f>
        <v>29760</v>
      </c>
      <c r="BZ26" s="2"/>
      <c r="CA26" s="518" t="s">
        <v>313</v>
      </c>
      <c r="CB26" s="519">
        <f t="shared" si="7"/>
        <v>1</v>
      </c>
      <c r="CC26" s="520">
        <f t="shared" si="8"/>
        <v>1488</v>
      </c>
      <c r="CD26" s="519">
        <f t="shared" si="9"/>
        <v>0</v>
      </c>
      <c r="CE26" s="520">
        <f t="shared" si="10"/>
        <v>0</v>
      </c>
      <c r="CF26" s="427" t="b">
        <f>SUM(CC26,CE26)=BU26</f>
        <v>1</v>
      </c>
    </row>
    <row r="27" spans="1:84" s="427" customFormat="1" ht="14" customHeight="1" x14ac:dyDescent="0.25">
      <c r="A27" s="435"/>
      <c r="B27" s="488"/>
      <c r="C27" s="489"/>
      <c r="D27" s="490"/>
      <c r="E27" s="490"/>
      <c r="F27" s="490"/>
      <c r="G27" s="490"/>
      <c r="H27" s="490"/>
      <c r="I27" s="11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3"/>
      <c r="Z27" s="13"/>
      <c r="AA27" s="11"/>
      <c r="AB27" s="12"/>
      <c r="AC27" s="12"/>
      <c r="AD27" s="12"/>
      <c r="AE27" s="11"/>
      <c r="AF27" s="13"/>
      <c r="AG27" s="13"/>
      <c r="AH27" s="11"/>
      <c r="AI27" s="11"/>
      <c r="AJ27" s="11"/>
      <c r="AK27" s="12"/>
      <c r="AL27" s="12"/>
      <c r="AM27" s="13"/>
      <c r="AN27" s="13"/>
      <c r="AO27" s="11"/>
      <c r="AP27" s="12"/>
      <c r="AQ27" s="12"/>
      <c r="AR27" s="12"/>
      <c r="AS27" s="11"/>
      <c r="AT27" s="13"/>
      <c r="AU27" s="13"/>
      <c r="AV27" s="11"/>
      <c r="AW27" s="12"/>
      <c r="AX27" s="12"/>
      <c r="AY27" s="12"/>
      <c r="AZ27" s="11"/>
      <c r="BA27" s="13"/>
      <c r="BB27" s="13"/>
      <c r="BC27" s="11"/>
      <c r="BD27" s="12"/>
      <c r="BE27" s="12"/>
      <c r="BF27" s="12"/>
      <c r="BG27" s="11"/>
      <c r="BH27" s="13"/>
      <c r="BI27" s="13"/>
      <c r="BJ27" s="11"/>
      <c r="BK27" s="12"/>
      <c r="BL27" s="12"/>
      <c r="BM27" s="12"/>
      <c r="BN27" s="11"/>
      <c r="BO27" s="13"/>
      <c r="BP27" s="378"/>
      <c r="BQ27" s="15"/>
      <c r="BR27" s="19"/>
      <c r="BS27" s="20"/>
      <c r="BT27" s="21"/>
      <c r="BU27" s="21"/>
      <c r="BV27" s="1"/>
      <c r="BW27" s="462"/>
      <c r="BX27" s="451"/>
      <c r="BY27" s="21"/>
      <c r="BZ27" s="2"/>
      <c r="CA27" s="518"/>
      <c r="CB27" s="519"/>
      <c r="CC27" s="520"/>
      <c r="CD27" s="519"/>
      <c r="CE27" s="520"/>
    </row>
    <row r="28" spans="1:84" ht="14" customHeight="1" x14ac:dyDescent="0.25">
      <c r="A28" s="435"/>
      <c r="B28" s="461"/>
      <c r="C28" s="446" t="s">
        <v>313</v>
      </c>
      <c r="D28" s="447" t="s">
        <v>314</v>
      </c>
      <c r="E28" s="448" t="s">
        <v>230</v>
      </c>
      <c r="F28" s="448">
        <v>0.83333333333333337</v>
      </c>
      <c r="G28" s="448" t="s">
        <v>259</v>
      </c>
      <c r="H28" s="464">
        <v>30</v>
      </c>
      <c r="I28" s="11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3"/>
      <c r="Z28" s="13"/>
      <c r="AA28" s="11"/>
      <c r="AB28" s="12"/>
      <c r="AC28" s="12"/>
      <c r="AD28" s="12"/>
      <c r="AE28" s="11"/>
      <c r="AF28" s="13"/>
      <c r="AG28" s="13"/>
      <c r="AH28" s="11"/>
      <c r="AI28" s="11">
        <v>1</v>
      </c>
      <c r="AJ28" s="11"/>
      <c r="AK28" s="12">
        <v>1</v>
      </c>
      <c r="AL28" s="12"/>
      <c r="AM28" s="13"/>
      <c r="AN28" s="13"/>
      <c r="AO28" s="11">
        <v>1</v>
      </c>
      <c r="AP28" s="12"/>
      <c r="AQ28" s="12"/>
      <c r="AR28" s="12">
        <v>1</v>
      </c>
      <c r="AS28" s="11"/>
      <c r="AT28" s="13"/>
      <c r="AU28" s="13"/>
      <c r="AV28" s="11">
        <v>1</v>
      </c>
      <c r="AW28" s="12"/>
      <c r="AX28" s="12">
        <v>1</v>
      </c>
      <c r="AY28" s="12"/>
      <c r="AZ28" s="11"/>
      <c r="BA28" s="13"/>
      <c r="BB28" s="13"/>
      <c r="BC28" s="11"/>
      <c r="BD28" s="12"/>
      <c r="BE28" s="12"/>
      <c r="BF28" s="12"/>
      <c r="BG28" s="11"/>
      <c r="BH28" s="13"/>
      <c r="BI28" s="13"/>
      <c r="BJ28" s="11"/>
      <c r="BK28" s="12"/>
      <c r="BL28" s="12"/>
      <c r="BM28" s="12"/>
      <c r="BN28" s="11"/>
      <c r="BO28" s="13"/>
      <c r="BP28" s="449">
        <f>SUM(I28:BO28)</f>
        <v>6</v>
      </c>
      <c r="BQ28" s="15">
        <v>440</v>
      </c>
      <c r="BR28" s="19">
        <v>0.4</v>
      </c>
      <c r="BS28" s="20">
        <f>BQ28*(1-BR28)</f>
        <v>264</v>
      </c>
      <c r="BT28" s="21">
        <f>BS28*BP28</f>
        <v>1584</v>
      </c>
      <c r="BU28" s="21">
        <f t="shared" ref="BU28:BU31" si="17">BT28*0.8</f>
        <v>1267.2</v>
      </c>
      <c r="BW28" s="578">
        <v>0.05</v>
      </c>
      <c r="BX28" s="451">
        <f>BW28*BP28</f>
        <v>0.30000000000000004</v>
      </c>
      <c r="BY28" s="452">
        <f>IFERROR(BU28/BX28,0)</f>
        <v>4223.9999999999991</v>
      </c>
      <c r="BZ28" s="2"/>
      <c r="CA28" s="518" t="s">
        <v>313</v>
      </c>
      <c r="CB28" s="519">
        <f t="shared" si="7"/>
        <v>2</v>
      </c>
      <c r="CC28" s="520">
        <f t="shared" si="8"/>
        <v>422.40000000000003</v>
      </c>
      <c r="CD28" s="519">
        <f t="shared" si="9"/>
        <v>4</v>
      </c>
      <c r="CE28" s="520">
        <f t="shared" si="10"/>
        <v>844.80000000000007</v>
      </c>
      <c r="CF28" s="427" t="b">
        <f>SUM(CC28,CE28)=BU28</f>
        <v>1</v>
      </c>
    </row>
    <row r="29" spans="1:84" s="458" customFormat="1" ht="14" customHeight="1" x14ac:dyDescent="0.25">
      <c r="A29" s="435"/>
      <c r="B29" s="446"/>
      <c r="C29" s="446" t="s">
        <v>318</v>
      </c>
      <c r="D29" s="459"/>
      <c r="E29" s="448" t="s">
        <v>230</v>
      </c>
      <c r="F29" s="448">
        <v>0.83333333333333337</v>
      </c>
      <c r="G29" s="448" t="s">
        <v>259</v>
      </c>
      <c r="H29" s="464">
        <v>60</v>
      </c>
      <c r="I29" s="11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3"/>
      <c r="Z29" s="13"/>
      <c r="AA29" s="11"/>
      <c r="AB29" s="12"/>
      <c r="AC29" s="12"/>
      <c r="AD29" s="12"/>
      <c r="AE29" s="11">
        <v>1</v>
      </c>
      <c r="AF29" s="13"/>
      <c r="AG29" s="13"/>
      <c r="AH29" s="11"/>
      <c r="AI29" s="11"/>
      <c r="AJ29" s="11"/>
      <c r="AK29" s="12"/>
      <c r="AL29" s="12"/>
      <c r="AM29" s="13"/>
      <c r="AN29" s="13"/>
      <c r="AO29" s="11"/>
      <c r="AP29" s="12"/>
      <c r="AQ29" s="12"/>
      <c r="AR29" s="12"/>
      <c r="AS29" s="11"/>
      <c r="AT29" s="13"/>
      <c r="AU29" s="13"/>
      <c r="AV29" s="11"/>
      <c r="AW29" s="12"/>
      <c r="AX29" s="12"/>
      <c r="AY29" s="12"/>
      <c r="AZ29" s="11"/>
      <c r="BA29" s="13"/>
      <c r="BB29" s="13"/>
      <c r="BC29" s="11"/>
      <c r="BD29" s="12"/>
      <c r="BE29" s="12"/>
      <c r="BF29" s="12"/>
      <c r="BG29" s="11"/>
      <c r="BH29" s="13"/>
      <c r="BI29" s="13"/>
      <c r="BJ29" s="11"/>
      <c r="BK29" s="12"/>
      <c r="BL29" s="12"/>
      <c r="BM29" s="12"/>
      <c r="BN29" s="11"/>
      <c r="BO29" s="13"/>
      <c r="BP29" s="449">
        <f>SUM(I29:BO29)</f>
        <v>1</v>
      </c>
      <c r="BQ29" s="460">
        <v>880</v>
      </c>
      <c r="BR29" s="19">
        <v>0.4</v>
      </c>
      <c r="BS29" s="20">
        <f t="shared" ref="BS29:BS31" si="18">BQ29*(1-BR29)</f>
        <v>528</v>
      </c>
      <c r="BT29" s="21">
        <f t="shared" ref="BT29:BT31" si="19">BS29*BP29</f>
        <v>528</v>
      </c>
      <c r="BU29" s="22">
        <f t="shared" si="17"/>
        <v>422.40000000000003</v>
      </c>
      <c r="BV29" s="1"/>
      <c r="BW29" s="578">
        <v>0.05</v>
      </c>
      <c r="BX29" s="451">
        <f>BW29*BP29</f>
        <v>0.05</v>
      </c>
      <c r="BY29" s="452">
        <f>IFERROR(BU29/BX29,0)</f>
        <v>8448</v>
      </c>
      <c r="BZ29" s="2"/>
      <c r="CA29" s="518" t="s">
        <v>313</v>
      </c>
      <c r="CB29" s="519">
        <f t="shared" si="7"/>
        <v>1</v>
      </c>
      <c r="CC29" s="520">
        <f t="shared" si="8"/>
        <v>422.40000000000003</v>
      </c>
      <c r="CD29" s="519">
        <f t="shared" si="9"/>
        <v>0</v>
      </c>
      <c r="CE29" s="520">
        <f t="shared" si="10"/>
        <v>0</v>
      </c>
      <c r="CF29" s="427" t="b">
        <f>SUM(CC29,CE29)=BU29</f>
        <v>1</v>
      </c>
    </row>
    <row r="30" spans="1:84" s="458" customFormat="1" ht="14" customHeight="1" x14ac:dyDescent="0.25">
      <c r="A30" s="435"/>
      <c r="B30" s="446"/>
      <c r="C30" s="446"/>
      <c r="D30" s="447" t="s">
        <v>315</v>
      </c>
      <c r="E30" s="448" t="s">
        <v>230</v>
      </c>
      <c r="F30" s="448">
        <v>0.91666666666666663</v>
      </c>
      <c r="G30" s="448" t="s">
        <v>243</v>
      </c>
      <c r="H30" s="464">
        <v>30</v>
      </c>
      <c r="I30" s="11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3"/>
      <c r="Z30" s="13"/>
      <c r="AA30" s="11"/>
      <c r="AB30" s="12"/>
      <c r="AC30" s="12"/>
      <c r="AD30" s="12"/>
      <c r="AE30" s="11"/>
      <c r="AF30" s="13"/>
      <c r="AG30" s="13"/>
      <c r="AH30" s="11">
        <v>1</v>
      </c>
      <c r="AI30" s="11"/>
      <c r="AJ30" s="11">
        <v>1</v>
      </c>
      <c r="AK30" s="12"/>
      <c r="AL30" s="12"/>
      <c r="AM30" s="13"/>
      <c r="AN30" s="13"/>
      <c r="AO30" s="11"/>
      <c r="AP30" s="12">
        <v>1</v>
      </c>
      <c r="AQ30" s="12"/>
      <c r="AR30" s="12"/>
      <c r="AS30" s="11">
        <v>1</v>
      </c>
      <c r="AT30" s="13"/>
      <c r="AU30" s="13"/>
      <c r="AV30" s="11"/>
      <c r="AW30" s="12">
        <v>1</v>
      </c>
      <c r="AX30" s="12"/>
      <c r="AY30" s="12">
        <v>1</v>
      </c>
      <c r="AZ30" s="11"/>
      <c r="BA30" s="13"/>
      <c r="BB30" s="13"/>
      <c r="BC30" s="11"/>
      <c r="BD30" s="12"/>
      <c r="BE30" s="12"/>
      <c r="BF30" s="12"/>
      <c r="BG30" s="11"/>
      <c r="BH30" s="13"/>
      <c r="BI30" s="13"/>
      <c r="BJ30" s="11"/>
      <c r="BK30" s="12"/>
      <c r="BL30" s="12"/>
      <c r="BM30" s="12"/>
      <c r="BN30" s="11"/>
      <c r="BO30" s="13"/>
      <c r="BP30" s="449">
        <f>SUM(I30:BO30)</f>
        <v>6</v>
      </c>
      <c r="BQ30" s="15">
        <v>600</v>
      </c>
      <c r="BR30" s="19">
        <v>0.4</v>
      </c>
      <c r="BS30" s="20">
        <f t="shared" si="18"/>
        <v>360</v>
      </c>
      <c r="BT30" s="21">
        <f t="shared" si="19"/>
        <v>2160</v>
      </c>
      <c r="BU30" s="22">
        <f t="shared" si="17"/>
        <v>1728</v>
      </c>
      <c r="BV30" s="1"/>
      <c r="BW30" s="578">
        <v>0.05</v>
      </c>
      <c r="BX30" s="451">
        <f>BW30*BP30</f>
        <v>0.30000000000000004</v>
      </c>
      <c r="BY30" s="452">
        <f>IFERROR(BU30/BX30,0)</f>
        <v>5759.9999999999991</v>
      </c>
      <c r="BZ30" s="2"/>
      <c r="CA30" s="518" t="s">
        <v>313</v>
      </c>
      <c r="CB30" s="519">
        <f t="shared" si="7"/>
        <v>2</v>
      </c>
      <c r="CC30" s="520">
        <f t="shared" si="8"/>
        <v>576</v>
      </c>
      <c r="CD30" s="519">
        <f t="shared" si="9"/>
        <v>4</v>
      </c>
      <c r="CE30" s="520">
        <f t="shared" si="10"/>
        <v>1152</v>
      </c>
      <c r="CF30" s="427" t="b">
        <f>SUM(CC30,CE30)=BU30</f>
        <v>1</v>
      </c>
    </row>
    <row r="31" spans="1:84" ht="14" customHeight="1" x14ac:dyDescent="0.25">
      <c r="A31" s="435"/>
      <c r="B31" s="446"/>
      <c r="C31" s="446"/>
      <c r="D31" s="447"/>
      <c r="E31" s="448" t="s">
        <v>230</v>
      </c>
      <c r="F31" s="448">
        <v>0.91666666666666663</v>
      </c>
      <c r="G31" s="448" t="s">
        <v>243</v>
      </c>
      <c r="H31" s="464">
        <v>60</v>
      </c>
      <c r="I31" s="11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3"/>
      <c r="Z31" s="13"/>
      <c r="AA31" s="11"/>
      <c r="AB31" s="12"/>
      <c r="AC31" s="12"/>
      <c r="AD31" s="12">
        <v>1</v>
      </c>
      <c r="AE31" s="11"/>
      <c r="AF31" s="13"/>
      <c r="AG31" s="13"/>
      <c r="AH31" s="11"/>
      <c r="AI31" s="11"/>
      <c r="AJ31" s="11"/>
      <c r="AK31" s="12"/>
      <c r="AL31" s="12"/>
      <c r="AM31" s="13"/>
      <c r="AN31" s="13"/>
      <c r="AO31" s="11"/>
      <c r="AP31" s="12"/>
      <c r="AQ31" s="12"/>
      <c r="AR31" s="12"/>
      <c r="AS31" s="11"/>
      <c r="AT31" s="13"/>
      <c r="AU31" s="13"/>
      <c r="AV31" s="11"/>
      <c r="AW31" s="12"/>
      <c r="AX31" s="12"/>
      <c r="AY31" s="12"/>
      <c r="AZ31" s="11"/>
      <c r="BA31" s="13"/>
      <c r="BB31" s="13"/>
      <c r="BC31" s="11"/>
      <c r="BD31" s="12"/>
      <c r="BE31" s="12"/>
      <c r="BF31" s="12"/>
      <c r="BG31" s="11"/>
      <c r="BH31" s="13"/>
      <c r="BI31" s="13"/>
      <c r="BJ31" s="11"/>
      <c r="BK31" s="12"/>
      <c r="BL31" s="12"/>
      <c r="BM31" s="12"/>
      <c r="BN31" s="11"/>
      <c r="BO31" s="13"/>
      <c r="BP31" s="449">
        <f>SUM(I31:BO31)</f>
        <v>1</v>
      </c>
      <c r="BQ31" s="15">
        <v>1200</v>
      </c>
      <c r="BR31" s="19">
        <v>0.4</v>
      </c>
      <c r="BS31" s="20">
        <f t="shared" si="18"/>
        <v>720</v>
      </c>
      <c r="BT31" s="21">
        <f t="shared" si="19"/>
        <v>720</v>
      </c>
      <c r="BU31" s="22">
        <f t="shared" si="17"/>
        <v>576</v>
      </c>
      <c r="BW31" s="578">
        <v>0.05</v>
      </c>
      <c r="BX31" s="451">
        <f>BW31*BP31</f>
        <v>0.05</v>
      </c>
      <c r="BY31" s="452">
        <f>IFERROR(BU31/BX31,0)</f>
        <v>11520</v>
      </c>
      <c r="BZ31" s="2"/>
      <c r="CA31" s="518" t="s">
        <v>313</v>
      </c>
      <c r="CB31" s="519">
        <f t="shared" si="7"/>
        <v>1</v>
      </c>
      <c r="CC31" s="520">
        <f t="shared" si="8"/>
        <v>576</v>
      </c>
      <c r="CD31" s="519">
        <f t="shared" si="9"/>
        <v>0</v>
      </c>
      <c r="CE31" s="520">
        <f t="shared" si="10"/>
        <v>0</v>
      </c>
      <c r="CF31" s="427" t="b">
        <f>SUM(CC31,CE31)=BU31</f>
        <v>1</v>
      </c>
    </row>
    <row r="32" spans="1:84" s="427" customFormat="1" ht="14" customHeight="1" x14ac:dyDescent="0.25">
      <c r="A32" s="435"/>
      <c r="B32" s="488"/>
      <c r="C32" s="489"/>
      <c r="D32" s="490"/>
      <c r="E32" s="490"/>
      <c r="F32" s="490"/>
      <c r="G32" s="490"/>
      <c r="H32" s="490"/>
      <c r="I32" s="11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3"/>
      <c r="Z32" s="13"/>
      <c r="AA32" s="11"/>
      <c r="AB32" s="12"/>
      <c r="AC32" s="12"/>
      <c r="AD32" s="12"/>
      <c r="AE32" s="11"/>
      <c r="AF32" s="13"/>
      <c r="AG32" s="13"/>
      <c r="AH32" s="11"/>
      <c r="AI32" s="11"/>
      <c r="AJ32" s="11"/>
      <c r="AK32" s="12"/>
      <c r="AL32" s="12"/>
      <c r="AM32" s="13"/>
      <c r="AN32" s="13"/>
      <c r="AO32" s="11"/>
      <c r="AP32" s="12"/>
      <c r="AQ32" s="12"/>
      <c r="AR32" s="12"/>
      <c r="AS32" s="11"/>
      <c r="AT32" s="13"/>
      <c r="AU32" s="13"/>
      <c r="AV32" s="11"/>
      <c r="AW32" s="12"/>
      <c r="AX32" s="12"/>
      <c r="AY32" s="12"/>
      <c r="AZ32" s="11"/>
      <c r="BA32" s="13"/>
      <c r="BB32" s="13"/>
      <c r="BC32" s="11"/>
      <c r="BD32" s="12"/>
      <c r="BE32" s="12"/>
      <c r="BF32" s="12"/>
      <c r="BG32" s="11"/>
      <c r="BH32" s="13"/>
      <c r="BI32" s="13"/>
      <c r="BJ32" s="11"/>
      <c r="BK32" s="12"/>
      <c r="BL32" s="12"/>
      <c r="BM32" s="12"/>
      <c r="BN32" s="11"/>
      <c r="BO32" s="13"/>
      <c r="BP32" s="378"/>
      <c r="BQ32" s="15"/>
      <c r="BR32" s="19"/>
      <c r="BS32" s="20"/>
      <c r="BT32" s="21"/>
      <c r="BU32" s="21"/>
      <c r="BV32" s="1"/>
      <c r="BW32" s="462"/>
      <c r="BX32" s="451"/>
      <c r="BY32" s="21"/>
      <c r="BZ32" s="2"/>
      <c r="CA32" s="518"/>
      <c r="CB32" s="519"/>
      <c r="CC32" s="520"/>
      <c r="CD32" s="519"/>
      <c r="CE32" s="520"/>
    </row>
    <row r="33" spans="1:84" ht="14" customHeight="1" x14ac:dyDescent="0.25">
      <c r="A33" s="435"/>
      <c r="B33" s="461"/>
      <c r="C33" s="446" t="s">
        <v>313</v>
      </c>
      <c r="D33" s="447" t="s">
        <v>314</v>
      </c>
      <c r="E33" s="448" t="s">
        <v>230</v>
      </c>
      <c r="F33" s="448">
        <v>0.83333333333333337</v>
      </c>
      <c r="G33" s="448" t="s">
        <v>259</v>
      </c>
      <c r="H33" s="464">
        <v>30</v>
      </c>
      <c r="I33" s="11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3"/>
      <c r="Z33" s="13"/>
      <c r="AA33" s="11"/>
      <c r="AB33" s="12"/>
      <c r="AC33" s="12"/>
      <c r="AD33" s="12"/>
      <c r="AE33" s="11"/>
      <c r="AF33" s="13"/>
      <c r="AG33" s="13"/>
      <c r="AH33" s="11"/>
      <c r="AI33" s="11">
        <v>1</v>
      </c>
      <c r="AJ33" s="11"/>
      <c r="AK33" s="12">
        <v>1</v>
      </c>
      <c r="AL33" s="12"/>
      <c r="AM33" s="13"/>
      <c r="AN33" s="13"/>
      <c r="AO33" s="11">
        <v>1</v>
      </c>
      <c r="AP33" s="12"/>
      <c r="AQ33" s="12"/>
      <c r="AR33" s="12">
        <v>1</v>
      </c>
      <c r="AS33" s="11"/>
      <c r="AT33" s="13"/>
      <c r="AU33" s="13"/>
      <c r="AV33" s="11">
        <v>1</v>
      </c>
      <c r="AW33" s="12"/>
      <c r="AX33" s="12">
        <v>1</v>
      </c>
      <c r="AY33" s="12"/>
      <c r="AZ33" s="11"/>
      <c r="BA33" s="13"/>
      <c r="BB33" s="13"/>
      <c r="BC33" s="11"/>
      <c r="BD33" s="12"/>
      <c r="BE33" s="12"/>
      <c r="BF33" s="12"/>
      <c r="BG33" s="11"/>
      <c r="BH33" s="13"/>
      <c r="BI33" s="13"/>
      <c r="BJ33" s="11"/>
      <c r="BK33" s="12"/>
      <c r="BL33" s="12"/>
      <c r="BM33" s="12"/>
      <c r="BN33" s="11"/>
      <c r="BO33" s="13"/>
      <c r="BP33" s="449">
        <f>SUM(I33:BO33)</f>
        <v>6</v>
      </c>
      <c r="BQ33" s="15">
        <v>440</v>
      </c>
      <c r="BR33" s="19">
        <v>0.4</v>
      </c>
      <c r="BS33" s="20">
        <f>BQ33*(1-BR33)</f>
        <v>264</v>
      </c>
      <c r="BT33" s="21">
        <f>BS33*BP33</f>
        <v>1584</v>
      </c>
      <c r="BU33" s="21">
        <f t="shared" ref="BU33:BU36" si="20">BT33*0.8</f>
        <v>1267.2</v>
      </c>
      <c r="BW33" s="578">
        <v>0.05</v>
      </c>
      <c r="BX33" s="451">
        <f>BW33*BP33</f>
        <v>0.30000000000000004</v>
      </c>
      <c r="BY33" s="452">
        <f>IFERROR(BU33/BX33,0)</f>
        <v>4223.9999999999991</v>
      </c>
      <c r="BZ33" s="2"/>
      <c r="CA33" s="518" t="s">
        <v>313</v>
      </c>
      <c r="CB33" s="519">
        <f t="shared" si="7"/>
        <v>2</v>
      </c>
      <c r="CC33" s="520">
        <f t="shared" si="8"/>
        <v>422.40000000000003</v>
      </c>
      <c r="CD33" s="519">
        <f t="shared" si="9"/>
        <v>4</v>
      </c>
      <c r="CE33" s="520">
        <f t="shared" si="10"/>
        <v>844.80000000000007</v>
      </c>
      <c r="CF33" s="427" t="b">
        <f>SUM(CC33,CE33)=BU33</f>
        <v>1</v>
      </c>
    </row>
    <row r="34" spans="1:84" s="458" customFormat="1" ht="14" customHeight="1" x14ac:dyDescent="0.25">
      <c r="A34" s="435"/>
      <c r="B34" s="446"/>
      <c r="C34" s="446" t="s">
        <v>319</v>
      </c>
      <c r="D34" s="459"/>
      <c r="E34" s="448" t="s">
        <v>230</v>
      </c>
      <c r="F34" s="448">
        <v>0.83333333333333337</v>
      </c>
      <c r="G34" s="448" t="s">
        <v>259</v>
      </c>
      <c r="H34" s="464">
        <v>60</v>
      </c>
      <c r="I34" s="11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3"/>
      <c r="Z34" s="13"/>
      <c r="AA34" s="11"/>
      <c r="AB34" s="12"/>
      <c r="AC34" s="12"/>
      <c r="AD34" s="12"/>
      <c r="AE34" s="11">
        <v>1</v>
      </c>
      <c r="AF34" s="13"/>
      <c r="AG34" s="13"/>
      <c r="AH34" s="11"/>
      <c r="AI34" s="11"/>
      <c r="AJ34" s="11"/>
      <c r="AK34" s="12"/>
      <c r="AL34" s="12"/>
      <c r="AM34" s="13"/>
      <c r="AN34" s="13"/>
      <c r="AO34" s="11"/>
      <c r="AP34" s="12"/>
      <c r="AQ34" s="12"/>
      <c r="AR34" s="12"/>
      <c r="AS34" s="11"/>
      <c r="AT34" s="13"/>
      <c r="AU34" s="13"/>
      <c r="AV34" s="11"/>
      <c r="AW34" s="12"/>
      <c r="AX34" s="12"/>
      <c r="AY34" s="12"/>
      <c r="AZ34" s="11"/>
      <c r="BA34" s="13"/>
      <c r="BB34" s="13"/>
      <c r="BC34" s="11"/>
      <c r="BD34" s="12"/>
      <c r="BE34" s="12"/>
      <c r="BF34" s="12"/>
      <c r="BG34" s="11"/>
      <c r="BH34" s="13"/>
      <c r="BI34" s="13"/>
      <c r="BJ34" s="11"/>
      <c r="BK34" s="12"/>
      <c r="BL34" s="12"/>
      <c r="BM34" s="12"/>
      <c r="BN34" s="11"/>
      <c r="BO34" s="13"/>
      <c r="BP34" s="449">
        <f>SUM(I34:BO34)</f>
        <v>1</v>
      </c>
      <c r="BQ34" s="460">
        <v>880</v>
      </c>
      <c r="BR34" s="19">
        <v>0.4</v>
      </c>
      <c r="BS34" s="20">
        <f t="shared" ref="BS34:BS36" si="21">BQ34*(1-BR34)</f>
        <v>528</v>
      </c>
      <c r="BT34" s="21">
        <f t="shared" ref="BT34:BT36" si="22">BS34*BP34</f>
        <v>528</v>
      </c>
      <c r="BU34" s="22">
        <f t="shared" si="20"/>
        <v>422.40000000000003</v>
      </c>
      <c r="BV34" s="1"/>
      <c r="BW34" s="578">
        <v>0.05</v>
      </c>
      <c r="BX34" s="451">
        <f>BW34*BP34</f>
        <v>0.05</v>
      </c>
      <c r="BY34" s="452">
        <f>IFERROR(BU34/BX34,0)</f>
        <v>8448</v>
      </c>
      <c r="BZ34" s="2"/>
      <c r="CA34" s="518" t="s">
        <v>313</v>
      </c>
      <c r="CB34" s="519">
        <f t="shared" si="7"/>
        <v>1</v>
      </c>
      <c r="CC34" s="520">
        <f t="shared" si="8"/>
        <v>422.40000000000003</v>
      </c>
      <c r="CD34" s="519">
        <f t="shared" si="9"/>
        <v>0</v>
      </c>
      <c r="CE34" s="520">
        <f t="shared" si="10"/>
        <v>0</v>
      </c>
      <c r="CF34" s="427" t="b">
        <f>SUM(CC34,CE34)=BU34</f>
        <v>1</v>
      </c>
    </row>
    <row r="35" spans="1:84" s="458" customFormat="1" ht="14" customHeight="1" x14ac:dyDescent="0.25">
      <c r="A35" s="435"/>
      <c r="B35" s="446"/>
      <c r="C35" s="446"/>
      <c r="D35" s="447" t="s">
        <v>315</v>
      </c>
      <c r="E35" s="448" t="s">
        <v>230</v>
      </c>
      <c r="F35" s="448">
        <v>0.91666666666666663</v>
      </c>
      <c r="G35" s="448" t="s">
        <v>243</v>
      </c>
      <c r="H35" s="464">
        <v>30</v>
      </c>
      <c r="I35" s="11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3"/>
      <c r="Z35" s="13"/>
      <c r="AA35" s="11"/>
      <c r="AB35" s="12"/>
      <c r="AC35" s="12"/>
      <c r="AD35" s="12"/>
      <c r="AE35" s="11"/>
      <c r="AF35" s="13"/>
      <c r="AG35" s="13"/>
      <c r="AH35" s="11">
        <v>1</v>
      </c>
      <c r="AI35" s="11"/>
      <c r="AJ35" s="11">
        <v>1</v>
      </c>
      <c r="AK35" s="12"/>
      <c r="AL35" s="12"/>
      <c r="AM35" s="13"/>
      <c r="AN35" s="13"/>
      <c r="AO35" s="11"/>
      <c r="AP35" s="12">
        <v>1</v>
      </c>
      <c r="AQ35" s="12"/>
      <c r="AR35" s="12"/>
      <c r="AS35" s="11">
        <v>1</v>
      </c>
      <c r="AT35" s="13"/>
      <c r="AU35" s="13"/>
      <c r="AV35" s="11"/>
      <c r="AW35" s="12">
        <v>1</v>
      </c>
      <c r="AX35" s="12"/>
      <c r="AY35" s="12">
        <v>1</v>
      </c>
      <c r="AZ35" s="11"/>
      <c r="BA35" s="13"/>
      <c r="BB35" s="13"/>
      <c r="BC35" s="11"/>
      <c r="BD35" s="12"/>
      <c r="BE35" s="12"/>
      <c r="BF35" s="12"/>
      <c r="BG35" s="11"/>
      <c r="BH35" s="13"/>
      <c r="BI35" s="13"/>
      <c r="BJ35" s="11"/>
      <c r="BK35" s="12"/>
      <c r="BL35" s="12"/>
      <c r="BM35" s="12"/>
      <c r="BN35" s="11"/>
      <c r="BO35" s="13"/>
      <c r="BP35" s="449">
        <f>SUM(I35:BO35)</f>
        <v>6</v>
      </c>
      <c r="BQ35" s="15">
        <v>600</v>
      </c>
      <c r="BR35" s="19">
        <v>0.4</v>
      </c>
      <c r="BS35" s="20">
        <f t="shared" si="21"/>
        <v>360</v>
      </c>
      <c r="BT35" s="21">
        <f t="shared" si="22"/>
        <v>2160</v>
      </c>
      <c r="BU35" s="22">
        <f t="shared" si="20"/>
        <v>1728</v>
      </c>
      <c r="BV35" s="1"/>
      <c r="BW35" s="578">
        <v>0.05</v>
      </c>
      <c r="BX35" s="451">
        <f>BW35*BP35</f>
        <v>0.30000000000000004</v>
      </c>
      <c r="BY35" s="452">
        <f>IFERROR(BU35/BX35,0)</f>
        <v>5759.9999999999991</v>
      </c>
      <c r="BZ35" s="2"/>
      <c r="CA35" s="518" t="s">
        <v>313</v>
      </c>
      <c r="CB35" s="519">
        <f t="shared" si="7"/>
        <v>2</v>
      </c>
      <c r="CC35" s="520">
        <f t="shared" si="8"/>
        <v>576</v>
      </c>
      <c r="CD35" s="519">
        <f t="shared" si="9"/>
        <v>4</v>
      </c>
      <c r="CE35" s="520">
        <f t="shared" si="10"/>
        <v>1152</v>
      </c>
      <c r="CF35" s="427" t="b">
        <f>SUM(CC35,CE35)=BU35</f>
        <v>1</v>
      </c>
    </row>
    <row r="36" spans="1:84" ht="14" customHeight="1" x14ac:dyDescent="0.25">
      <c r="A36" s="435"/>
      <c r="B36" s="446"/>
      <c r="C36" s="446"/>
      <c r="D36" s="447" t="s">
        <v>315</v>
      </c>
      <c r="E36" s="448" t="s">
        <v>230</v>
      </c>
      <c r="F36" s="448">
        <v>0.91666666666666663</v>
      </c>
      <c r="G36" s="448" t="s">
        <v>243</v>
      </c>
      <c r="H36" s="464">
        <v>60</v>
      </c>
      <c r="I36" s="11"/>
      <c r="J36" s="11"/>
      <c r="K36" s="13"/>
      <c r="L36" s="13"/>
      <c r="M36" s="11"/>
      <c r="N36" s="12"/>
      <c r="O36" s="12"/>
      <c r="P36" s="12"/>
      <c r="Q36" s="11"/>
      <c r="R36" s="13"/>
      <c r="S36" s="13"/>
      <c r="T36" s="11"/>
      <c r="U36" s="12"/>
      <c r="V36" s="12"/>
      <c r="W36" s="12"/>
      <c r="X36" s="11"/>
      <c r="Y36" s="13"/>
      <c r="Z36" s="13"/>
      <c r="AA36" s="11"/>
      <c r="AB36" s="12"/>
      <c r="AC36" s="12"/>
      <c r="AD36" s="12">
        <v>1</v>
      </c>
      <c r="AE36" s="11"/>
      <c r="AF36" s="13"/>
      <c r="AG36" s="13"/>
      <c r="AH36" s="11"/>
      <c r="AI36" s="11"/>
      <c r="AJ36" s="11"/>
      <c r="AK36" s="12"/>
      <c r="AL36" s="12"/>
      <c r="AM36" s="13"/>
      <c r="AN36" s="13"/>
      <c r="AO36" s="11"/>
      <c r="AP36" s="12"/>
      <c r="AQ36" s="12"/>
      <c r="AR36" s="12"/>
      <c r="AS36" s="11"/>
      <c r="AT36" s="13"/>
      <c r="AU36" s="13"/>
      <c r="AV36" s="11"/>
      <c r="AW36" s="12"/>
      <c r="AX36" s="12"/>
      <c r="AY36" s="12"/>
      <c r="AZ36" s="11"/>
      <c r="BA36" s="13"/>
      <c r="BB36" s="13"/>
      <c r="BC36" s="11"/>
      <c r="BD36" s="12"/>
      <c r="BE36" s="12"/>
      <c r="BF36" s="12"/>
      <c r="BG36" s="11"/>
      <c r="BH36" s="13"/>
      <c r="BI36" s="13"/>
      <c r="BJ36" s="11"/>
      <c r="BK36" s="12"/>
      <c r="BL36" s="12"/>
      <c r="BM36" s="12"/>
      <c r="BN36" s="11"/>
      <c r="BO36" s="13"/>
      <c r="BP36" s="449">
        <f>SUM(I36:BO36)</f>
        <v>1</v>
      </c>
      <c r="BQ36" s="15">
        <v>1200</v>
      </c>
      <c r="BR36" s="19">
        <v>0.4</v>
      </c>
      <c r="BS36" s="20">
        <f t="shared" si="21"/>
        <v>720</v>
      </c>
      <c r="BT36" s="21">
        <f t="shared" si="22"/>
        <v>720</v>
      </c>
      <c r="BU36" s="22">
        <f t="shared" si="20"/>
        <v>576</v>
      </c>
      <c r="BW36" s="578">
        <v>0.05</v>
      </c>
      <c r="BX36" s="451">
        <f>BW36*BP36</f>
        <v>0.05</v>
      </c>
      <c r="BY36" s="452">
        <f>IFERROR(BU36/BX36,0)</f>
        <v>11520</v>
      </c>
      <c r="BZ36" s="2"/>
      <c r="CA36" s="518" t="s">
        <v>313</v>
      </c>
      <c r="CB36" s="519">
        <f t="shared" si="7"/>
        <v>1</v>
      </c>
      <c r="CC36" s="520">
        <f t="shared" si="8"/>
        <v>576</v>
      </c>
      <c r="CD36" s="519">
        <f t="shared" si="9"/>
        <v>0</v>
      </c>
      <c r="CE36" s="520">
        <f t="shared" si="10"/>
        <v>0</v>
      </c>
      <c r="CF36" s="427" t="b">
        <f>SUM(CC36,CE36)=BU36</f>
        <v>1</v>
      </c>
    </row>
    <row r="37" spans="1:84" s="427" customFormat="1" ht="14" customHeight="1" x14ac:dyDescent="0.25">
      <c r="A37" s="435"/>
      <c r="B37" s="488"/>
      <c r="C37" s="489"/>
      <c r="D37" s="490"/>
      <c r="E37" s="490"/>
      <c r="F37" s="490"/>
      <c r="G37" s="490"/>
      <c r="H37" s="490"/>
      <c r="I37" s="11"/>
      <c r="J37" s="11"/>
      <c r="K37" s="13"/>
      <c r="L37" s="13"/>
      <c r="M37" s="11"/>
      <c r="N37" s="12"/>
      <c r="O37" s="12"/>
      <c r="P37" s="12"/>
      <c r="Q37" s="11"/>
      <c r="R37" s="13"/>
      <c r="S37" s="13"/>
      <c r="T37" s="11"/>
      <c r="U37" s="12"/>
      <c r="V37" s="12"/>
      <c r="W37" s="12"/>
      <c r="X37" s="11"/>
      <c r="Y37" s="13"/>
      <c r="Z37" s="13"/>
      <c r="AA37" s="11"/>
      <c r="AB37" s="12"/>
      <c r="AC37" s="12"/>
      <c r="AD37" s="12"/>
      <c r="AE37" s="11"/>
      <c r="AF37" s="13"/>
      <c r="AG37" s="13"/>
      <c r="AH37" s="11"/>
      <c r="AI37" s="11"/>
      <c r="AJ37" s="11"/>
      <c r="AK37" s="12"/>
      <c r="AL37" s="12"/>
      <c r="AM37" s="13"/>
      <c r="AN37" s="13"/>
      <c r="AO37" s="11"/>
      <c r="AP37" s="12"/>
      <c r="AQ37" s="12"/>
      <c r="AR37" s="12"/>
      <c r="AS37" s="11"/>
      <c r="AT37" s="13"/>
      <c r="AU37" s="13"/>
      <c r="AV37" s="11"/>
      <c r="AW37" s="12"/>
      <c r="AX37" s="12"/>
      <c r="AY37" s="12"/>
      <c r="AZ37" s="11"/>
      <c r="BA37" s="13"/>
      <c r="BB37" s="13"/>
      <c r="BC37" s="11"/>
      <c r="BD37" s="12"/>
      <c r="BE37" s="12"/>
      <c r="BF37" s="12"/>
      <c r="BG37" s="11"/>
      <c r="BH37" s="13"/>
      <c r="BI37" s="13"/>
      <c r="BJ37" s="11"/>
      <c r="BK37" s="12"/>
      <c r="BL37" s="12"/>
      <c r="BM37" s="12"/>
      <c r="BN37" s="11"/>
      <c r="BO37" s="13"/>
      <c r="BP37" s="378"/>
      <c r="BQ37" s="15"/>
      <c r="BR37" s="19"/>
      <c r="BS37" s="20"/>
      <c r="BT37" s="21"/>
      <c r="BU37" s="21"/>
      <c r="BV37" s="1"/>
      <c r="BW37" s="462"/>
      <c r="BX37" s="451"/>
      <c r="BY37" s="21"/>
      <c r="BZ37" s="2"/>
      <c r="CA37" s="521" t="s">
        <v>152</v>
      </c>
      <c r="CB37" s="495">
        <f>SUM(CB13:CB36)</f>
        <v>30</v>
      </c>
      <c r="CC37" s="496">
        <f>SUM(CC13:CC36)</f>
        <v>31123.200000000012</v>
      </c>
      <c r="CD37" s="495">
        <f>SUM(CD13:CD36)</f>
        <v>40</v>
      </c>
      <c r="CE37" s="496">
        <f>SUM(CE13:CE36)</f>
        <v>31123.200000000001</v>
      </c>
    </row>
    <row r="38" spans="1:84" ht="14" customHeight="1" x14ac:dyDescent="0.25">
      <c r="A38" s="435"/>
      <c r="B38" s="461"/>
      <c r="C38" s="446" t="s">
        <v>320</v>
      </c>
      <c r="D38" s="447" t="s">
        <v>321</v>
      </c>
      <c r="E38" s="448" t="s">
        <v>230</v>
      </c>
      <c r="F38" s="448">
        <v>0.83333333333333337</v>
      </c>
      <c r="G38" s="448" t="s">
        <v>259</v>
      </c>
      <c r="H38" s="464">
        <v>30</v>
      </c>
      <c r="I38" s="11"/>
      <c r="J38" s="11"/>
      <c r="K38" s="13"/>
      <c r="L38" s="13"/>
      <c r="M38" s="11"/>
      <c r="N38" s="12"/>
      <c r="O38" s="12"/>
      <c r="P38" s="12"/>
      <c r="Q38" s="11"/>
      <c r="R38" s="13"/>
      <c r="S38" s="13"/>
      <c r="T38" s="11"/>
      <c r="U38" s="12"/>
      <c r="V38" s="12"/>
      <c r="W38" s="12"/>
      <c r="X38" s="11"/>
      <c r="Y38" s="13"/>
      <c r="Z38" s="13"/>
      <c r="AA38" s="11"/>
      <c r="AB38" s="12"/>
      <c r="AC38" s="12"/>
      <c r="AD38" s="12"/>
      <c r="AE38" s="11"/>
      <c r="AF38" s="13"/>
      <c r="AG38" s="13"/>
      <c r="AH38" s="11"/>
      <c r="AI38" s="11">
        <v>1</v>
      </c>
      <c r="AJ38" s="11"/>
      <c r="AK38" s="12">
        <v>1</v>
      </c>
      <c r="AL38" s="12"/>
      <c r="AM38" s="13"/>
      <c r="AN38" s="13"/>
      <c r="AO38" s="11"/>
      <c r="AP38" s="12">
        <v>1</v>
      </c>
      <c r="AQ38" s="12"/>
      <c r="AR38" s="12">
        <v>1</v>
      </c>
      <c r="AS38" s="11"/>
      <c r="AT38" s="13"/>
      <c r="AU38" s="13"/>
      <c r="AV38" s="11">
        <v>1</v>
      </c>
      <c r="AW38" s="12"/>
      <c r="AX38" s="12">
        <v>1</v>
      </c>
      <c r="AY38" s="12"/>
      <c r="AZ38" s="11"/>
      <c r="BA38" s="13"/>
      <c r="BB38" s="13"/>
      <c r="BC38" s="11"/>
      <c r="BD38" s="12"/>
      <c r="BE38" s="12"/>
      <c r="BF38" s="12"/>
      <c r="BG38" s="11"/>
      <c r="BH38" s="13"/>
      <c r="BI38" s="13"/>
      <c r="BJ38" s="11"/>
      <c r="BK38" s="12"/>
      <c r="BL38" s="12"/>
      <c r="BM38" s="12"/>
      <c r="BN38" s="11"/>
      <c r="BO38" s="13"/>
      <c r="BP38" s="449">
        <f>SUM(I38:BO38)</f>
        <v>6</v>
      </c>
      <c r="BQ38" s="15">
        <v>11130</v>
      </c>
      <c r="BR38" s="19">
        <v>0.5</v>
      </c>
      <c r="BS38" s="20">
        <f>BQ38*(1-BR38)</f>
        <v>5565</v>
      </c>
      <c r="BT38" s="21">
        <f>BS38*BP38</f>
        <v>33390</v>
      </c>
      <c r="BU38" s="21">
        <f t="shared" ref="BU38:BU39" si="23">BT38*0.8</f>
        <v>26712</v>
      </c>
      <c r="BW38" s="578">
        <v>0.11</v>
      </c>
      <c r="BX38" s="451">
        <f t="shared" ref="BX38:BX39" si="24">BW38*BP38</f>
        <v>0.66</v>
      </c>
      <c r="BY38" s="452">
        <f t="shared" ref="BY38:BY39" si="25">IFERROR(BU38/BX38,0)</f>
        <v>40472.727272727272</v>
      </c>
      <c r="BZ38" s="2"/>
      <c r="CA38" s="518" t="s">
        <v>320</v>
      </c>
      <c r="CB38" s="519">
        <f t="shared" ref="CB38:CB39" si="26">COUNTA(I38:AM38)</f>
        <v>2</v>
      </c>
      <c r="CC38" s="520">
        <f t="shared" ref="CC38:CC39" si="27">CB38*BS38*0.8</f>
        <v>8904</v>
      </c>
      <c r="CD38" s="519">
        <f t="shared" ref="CD38:CD39" si="28">COUNTA(AN38:BO38)</f>
        <v>4</v>
      </c>
      <c r="CE38" s="520">
        <f t="shared" ref="CE38:CE39" si="29">CD38*BS38*0.8</f>
        <v>17808</v>
      </c>
      <c r="CF38" s="427" t="b">
        <f>SUM(CC38,CE38)=BU38</f>
        <v>1</v>
      </c>
    </row>
    <row r="39" spans="1:84" s="458" customFormat="1" ht="14" customHeight="1" x14ac:dyDescent="0.25">
      <c r="A39" s="435"/>
      <c r="B39" s="446"/>
      <c r="C39" s="446"/>
      <c r="D39" s="459"/>
      <c r="E39" s="448" t="s">
        <v>230</v>
      </c>
      <c r="F39" s="448">
        <v>0.83333333333333337</v>
      </c>
      <c r="G39" s="448" t="s">
        <v>259</v>
      </c>
      <c r="H39" s="464">
        <v>60</v>
      </c>
      <c r="I39" s="11"/>
      <c r="J39" s="11"/>
      <c r="K39" s="13"/>
      <c r="L39" s="13"/>
      <c r="M39" s="11"/>
      <c r="N39" s="12"/>
      <c r="O39" s="12"/>
      <c r="P39" s="12"/>
      <c r="Q39" s="11"/>
      <c r="R39" s="13"/>
      <c r="S39" s="13"/>
      <c r="T39" s="11"/>
      <c r="U39" s="12"/>
      <c r="V39" s="12"/>
      <c r="W39" s="12"/>
      <c r="X39" s="11"/>
      <c r="Y39" s="13"/>
      <c r="Z39" s="13"/>
      <c r="AA39" s="11"/>
      <c r="AB39" s="12"/>
      <c r="AC39" s="12"/>
      <c r="AD39" s="12">
        <v>1</v>
      </c>
      <c r="AE39" s="11"/>
      <c r="AF39" s="13"/>
      <c r="AG39" s="13"/>
      <c r="AH39" s="11"/>
      <c r="AI39" s="11"/>
      <c r="AJ39" s="11"/>
      <c r="AK39" s="12"/>
      <c r="AL39" s="12"/>
      <c r="AM39" s="13"/>
      <c r="AN39" s="13"/>
      <c r="AO39" s="11"/>
      <c r="AP39" s="12"/>
      <c r="AQ39" s="12"/>
      <c r="AR39" s="12"/>
      <c r="AS39" s="11"/>
      <c r="AT39" s="13"/>
      <c r="AU39" s="13"/>
      <c r="AV39" s="11"/>
      <c r="AW39" s="12"/>
      <c r="AX39" s="12"/>
      <c r="AY39" s="12"/>
      <c r="AZ39" s="11"/>
      <c r="BA39" s="13"/>
      <c r="BB39" s="13"/>
      <c r="BC39" s="11"/>
      <c r="BD39" s="12"/>
      <c r="BE39" s="12"/>
      <c r="BF39" s="12"/>
      <c r="BG39" s="11"/>
      <c r="BH39" s="13"/>
      <c r="BI39" s="13"/>
      <c r="BJ39" s="11"/>
      <c r="BK39" s="12"/>
      <c r="BL39" s="12"/>
      <c r="BM39" s="12"/>
      <c r="BN39" s="11"/>
      <c r="BO39" s="13"/>
      <c r="BP39" s="449">
        <f>SUM(I39:BO39)</f>
        <v>1</v>
      </c>
      <c r="BQ39" s="460">
        <v>22260</v>
      </c>
      <c r="BR39" s="19">
        <v>0.5</v>
      </c>
      <c r="BS39" s="20">
        <f t="shared" ref="BS39" si="30">BQ39*(1-BR39)</f>
        <v>11130</v>
      </c>
      <c r="BT39" s="21">
        <f t="shared" ref="BT39" si="31">BS39*BP39</f>
        <v>11130</v>
      </c>
      <c r="BU39" s="22">
        <f t="shared" si="23"/>
        <v>8904</v>
      </c>
      <c r="BV39" s="1"/>
      <c r="BW39" s="579">
        <v>0.11</v>
      </c>
      <c r="BX39" s="451">
        <f t="shared" si="24"/>
        <v>0.11</v>
      </c>
      <c r="BY39" s="452">
        <f t="shared" si="25"/>
        <v>80945.454545454544</v>
      </c>
      <c r="BZ39" s="2"/>
      <c r="CA39" s="518" t="s">
        <v>320</v>
      </c>
      <c r="CB39" s="519">
        <f t="shared" si="26"/>
        <v>1</v>
      </c>
      <c r="CC39" s="520">
        <f t="shared" si="27"/>
        <v>8904</v>
      </c>
      <c r="CD39" s="519">
        <f t="shared" si="28"/>
        <v>0</v>
      </c>
      <c r="CE39" s="520">
        <f t="shared" si="29"/>
        <v>0</v>
      </c>
      <c r="CF39" s="427" t="b">
        <f>SUM(CC39,CE39)=BU39</f>
        <v>1</v>
      </c>
    </row>
    <row r="40" spans="1:84" s="458" customFormat="1" ht="14" customHeight="1" x14ac:dyDescent="0.25">
      <c r="A40" s="435"/>
      <c r="B40" s="446"/>
      <c r="C40" s="446"/>
      <c r="D40" s="459"/>
      <c r="E40" s="448"/>
      <c r="F40" s="448"/>
      <c r="G40" s="448"/>
      <c r="H40" s="464"/>
      <c r="I40" s="11"/>
      <c r="J40" s="11"/>
      <c r="K40" s="13"/>
      <c r="L40" s="13"/>
      <c r="M40" s="11"/>
      <c r="N40" s="12"/>
      <c r="O40" s="12"/>
      <c r="P40" s="12"/>
      <c r="Q40" s="11"/>
      <c r="R40" s="13"/>
      <c r="S40" s="13"/>
      <c r="T40" s="11"/>
      <c r="U40" s="12"/>
      <c r="V40" s="12"/>
      <c r="W40" s="12"/>
      <c r="X40" s="11"/>
      <c r="Y40" s="13"/>
      <c r="Z40" s="13"/>
      <c r="AA40" s="11"/>
      <c r="AB40" s="12"/>
      <c r="AC40" s="12"/>
      <c r="AD40" s="12"/>
      <c r="AE40" s="11"/>
      <c r="AF40" s="13"/>
      <c r="AG40" s="13"/>
      <c r="AH40" s="11"/>
      <c r="AI40" s="11"/>
      <c r="AJ40" s="11"/>
      <c r="AK40" s="12"/>
      <c r="AL40" s="12"/>
      <c r="AM40" s="13"/>
      <c r="AN40" s="13"/>
      <c r="AO40" s="11"/>
      <c r="AP40" s="12"/>
      <c r="AQ40" s="12"/>
      <c r="AR40" s="12"/>
      <c r="AS40" s="11"/>
      <c r="AT40" s="13"/>
      <c r="AU40" s="13"/>
      <c r="AV40" s="11"/>
      <c r="AW40" s="12"/>
      <c r="AX40" s="12"/>
      <c r="AY40" s="12"/>
      <c r="AZ40" s="11"/>
      <c r="BA40" s="13"/>
      <c r="BB40" s="13"/>
      <c r="BC40" s="11"/>
      <c r="BD40" s="12"/>
      <c r="BE40" s="12"/>
      <c r="BF40" s="12"/>
      <c r="BG40" s="11"/>
      <c r="BH40" s="13"/>
      <c r="BI40" s="13"/>
      <c r="BJ40" s="11"/>
      <c r="BK40" s="12"/>
      <c r="BL40" s="12"/>
      <c r="BM40" s="12"/>
      <c r="BN40" s="11"/>
      <c r="BO40" s="13"/>
      <c r="BP40" s="449"/>
      <c r="BQ40" s="15"/>
      <c r="BR40" s="19"/>
      <c r="BS40" s="20"/>
      <c r="BT40" s="21"/>
      <c r="BU40" s="22"/>
      <c r="BV40" s="1"/>
      <c r="BW40" s="579"/>
      <c r="BX40" s="457"/>
      <c r="BY40" s="452"/>
      <c r="BZ40" s="2"/>
      <c r="CA40" s="521" t="s">
        <v>152</v>
      </c>
      <c r="CB40" s="495">
        <f>SUM(CB38:CB39)</f>
        <v>3</v>
      </c>
      <c r="CC40" s="496">
        <f>SUM(CC38:CC39)</f>
        <v>17808</v>
      </c>
      <c r="CD40" s="495">
        <f>SUM(CD38:CD39)</f>
        <v>4</v>
      </c>
      <c r="CE40" s="496">
        <f>SUM(CE38:CE39)</f>
        <v>17808</v>
      </c>
      <c r="CF40" s="427"/>
    </row>
    <row r="41" spans="1:84" s="458" customFormat="1" ht="14" customHeight="1" x14ac:dyDescent="0.25">
      <c r="A41" s="435"/>
      <c r="B41" s="446"/>
      <c r="C41" s="446" t="s">
        <v>322</v>
      </c>
      <c r="D41" s="459" t="s">
        <v>323</v>
      </c>
      <c r="E41" s="448" t="s">
        <v>230</v>
      </c>
      <c r="F41" s="448">
        <v>0.875</v>
      </c>
      <c r="G41" s="448" t="s">
        <v>259</v>
      </c>
      <c r="H41" s="464">
        <v>30</v>
      </c>
      <c r="I41" s="11"/>
      <c r="J41" s="11"/>
      <c r="K41" s="13"/>
      <c r="L41" s="13"/>
      <c r="M41" s="11"/>
      <c r="N41" s="12"/>
      <c r="O41" s="12"/>
      <c r="P41" s="12"/>
      <c r="Q41" s="11"/>
      <c r="R41" s="13"/>
      <c r="S41" s="13"/>
      <c r="T41" s="11"/>
      <c r="U41" s="12"/>
      <c r="V41" s="12"/>
      <c r="W41" s="12"/>
      <c r="X41" s="11"/>
      <c r="Y41" s="13"/>
      <c r="Z41" s="13"/>
      <c r="AA41" s="11"/>
      <c r="AB41" s="12"/>
      <c r="AC41" s="12"/>
      <c r="AD41" s="12"/>
      <c r="AE41" s="11"/>
      <c r="AF41" s="13"/>
      <c r="AG41" s="13"/>
      <c r="AH41" s="11"/>
      <c r="AI41" s="11">
        <v>1</v>
      </c>
      <c r="AJ41" s="11"/>
      <c r="AK41" s="12"/>
      <c r="AL41" s="12">
        <v>1</v>
      </c>
      <c r="AM41" s="13"/>
      <c r="AN41" s="13"/>
      <c r="AO41" s="11"/>
      <c r="AP41" s="12"/>
      <c r="AQ41" s="12"/>
      <c r="AR41" s="12">
        <v>1</v>
      </c>
      <c r="AS41" s="11">
        <v>1</v>
      </c>
      <c r="AT41" s="13"/>
      <c r="AU41" s="13"/>
      <c r="AV41" s="11"/>
      <c r="AW41" s="12">
        <v>1</v>
      </c>
      <c r="AX41" s="12"/>
      <c r="AY41" s="12"/>
      <c r="AZ41" s="11">
        <v>1</v>
      </c>
      <c r="BA41" s="13"/>
      <c r="BB41" s="13"/>
      <c r="BC41" s="11"/>
      <c r="BD41" s="12"/>
      <c r="BE41" s="12"/>
      <c r="BF41" s="12"/>
      <c r="BG41" s="11"/>
      <c r="BH41" s="13"/>
      <c r="BI41" s="13"/>
      <c r="BJ41" s="11"/>
      <c r="BK41" s="12"/>
      <c r="BL41" s="12"/>
      <c r="BM41" s="12"/>
      <c r="BN41" s="11"/>
      <c r="BO41" s="13"/>
      <c r="BP41" s="449">
        <f t="shared" ref="BP41:BP42" si="32">SUM(I41:BO41)</f>
        <v>6</v>
      </c>
      <c r="BQ41" s="460">
        <v>22000</v>
      </c>
      <c r="BR41" s="19">
        <v>0.75</v>
      </c>
      <c r="BS41" s="20">
        <f t="shared" ref="BS41:BS42" si="33">BQ41*(1-BR41)</f>
        <v>5500</v>
      </c>
      <c r="BT41" s="21">
        <f t="shared" ref="BT41:BT42" si="34">BS41*BP41</f>
        <v>33000</v>
      </c>
      <c r="BU41" s="22">
        <f t="shared" ref="BU41:BU42" si="35">BT41*0.8</f>
        <v>26400</v>
      </c>
      <c r="BV41" s="1"/>
      <c r="BW41" s="579">
        <v>0.13</v>
      </c>
      <c r="BX41" s="451">
        <f t="shared" ref="BX41:BX42" si="36">BW41*BP41</f>
        <v>0.78</v>
      </c>
      <c r="BY41" s="452">
        <f t="shared" ref="BY41:BY42" si="37">IFERROR(BU41/BX41,0)</f>
        <v>33846.153846153844</v>
      </c>
      <c r="BZ41" s="2"/>
      <c r="CA41" s="518" t="s">
        <v>322</v>
      </c>
      <c r="CB41" s="519">
        <f t="shared" ref="CB41:CB42" si="38">COUNTA(I41:AM41)</f>
        <v>2</v>
      </c>
      <c r="CC41" s="520">
        <f t="shared" ref="CC41:CC42" si="39">CB41*BS41*0.8</f>
        <v>8800</v>
      </c>
      <c r="CD41" s="519">
        <f t="shared" ref="CD41:CD42" si="40">COUNTA(AN41:BO41)</f>
        <v>4</v>
      </c>
      <c r="CE41" s="520">
        <f t="shared" ref="CE41:CE42" si="41">CD41*BS41*0.8</f>
        <v>17600</v>
      </c>
      <c r="CF41" s="427" t="b">
        <f t="shared" ref="CF41:CF42" si="42">SUM(CC41,CE41)=BU41</f>
        <v>1</v>
      </c>
    </row>
    <row r="42" spans="1:84" s="458" customFormat="1" ht="14" customHeight="1" x14ac:dyDescent="0.25">
      <c r="A42" s="435"/>
      <c r="B42" s="446"/>
      <c r="C42" s="446"/>
      <c r="D42" s="466"/>
      <c r="E42" s="448" t="s">
        <v>230</v>
      </c>
      <c r="F42" s="448">
        <v>0.875</v>
      </c>
      <c r="G42" s="448" t="s">
        <v>259</v>
      </c>
      <c r="H42" s="464">
        <v>60</v>
      </c>
      <c r="I42" s="11"/>
      <c r="J42" s="11"/>
      <c r="K42" s="13"/>
      <c r="L42" s="13"/>
      <c r="M42" s="11"/>
      <c r="N42" s="12"/>
      <c r="O42" s="12"/>
      <c r="P42" s="12"/>
      <c r="Q42" s="11"/>
      <c r="R42" s="13"/>
      <c r="S42" s="13"/>
      <c r="T42" s="11"/>
      <c r="U42" s="12"/>
      <c r="V42" s="12"/>
      <c r="W42" s="12"/>
      <c r="X42" s="11"/>
      <c r="Y42" s="13"/>
      <c r="Z42" s="13"/>
      <c r="AA42" s="11"/>
      <c r="AB42" s="12"/>
      <c r="AC42" s="12"/>
      <c r="AD42" s="12"/>
      <c r="AE42" s="11">
        <v>1</v>
      </c>
      <c r="AF42" s="13"/>
      <c r="AG42" s="13"/>
      <c r="AH42" s="11"/>
      <c r="AI42" s="11"/>
      <c r="AJ42" s="11"/>
      <c r="AK42" s="12"/>
      <c r="AL42" s="12"/>
      <c r="AM42" s="13"/>
      <c r="AN42" s="13"/>
      <c r="AO42" s="11"/>
      <c r="AP42" s="12"/>
      <c r="AQ42" s="12"/>
      <c r="AR42" s="12"/>
      <c r="AS42" s="11"/>
      <c r="AT42" s="13"/>
      <c r="AU42" s="13"/>
      <c r="AV42" s="11"/>
      <c r="AW42" s="12"/>
      <c r="AX42" s="12"/>
      <c r="AY42" s="12"/>
      <c r="AZ42" s="11"/>
      <c r="BA42" s="13"/>
      <c r="BB42" s="13"/>
      <c r="BC42" s="11"/>
      <c r="BD42" s="12"/>
      <c r="BE42" s="12"/>
      <c r="BF42" s="12"/>
      <c r="BG42" s="11"/>
      <c r="BH42" s="13"/>
      <c r="BI42" s="13"/>
      <c r="BJ42" s="11"/>
      <c r="BK42" s="12"/>
      <c r="BL42" s="12"/>
      <c r="BM42" s="12"/>
      <c r="BN42" s="11"/>
      <c r="BO42" s="13"/>
      <c r="BP42" s="449">
        <f t="shared" si="32"/>
        <v>1</v>
      </c>
      <c r="BQ42" s="460">
        <v>44000</v>
      </c>
      <c r="BR42" s="19">
        <v>0.75</v>
      </c>
      <c r="BS42" s="20">
        <f t="shared" si="33"/>
        <v>11000</v>
      </c>
      <c r="BT42" s="21">
        <f t="shared" si="34"/>
        <v>11000</v>
      </c>
      <c r="BU42" s="22">
        <f t="shared" si="35"/>
        <v>8800</v>
      </c>
      <c r="BV42" s="1"/>
      <c r="BW42" s="579">
        <v>0.13</v>
      </c>
      <c r="BX42" s="451">
        <f t="shared" si="36"/>
        <v>0.13</v>
      </c>
      <c r="BY42" s="452">
        <f t="shared" si="37"/>
        <v>67692.307692307688</v>
      </c>
      <c r="BZ42" s="2"/>
      <c r="CA42" s="518" t="s">
        <v>322</v>
      </c>
      <c r="CB42" s="519">
        <f t="shared" si="38"/>
        <v>1</v>
      </c>
      <c r="CC42" s="520">
        <f t="shared" si="39"/>
        <v>8800</v>
      </c>
      <c r="CD42" s="519">
        <f t="shared" si="40"/>
        <v>0</v>
      </c>
      <c r="CE42" s="520">
        <f t="shared" si="41"/>
        <v>0</v>
      </c>
      <c r="CF42" s="427" t="b">
        <f t="shared" si="42"/>
        <v>1</v>
      </c>
    </row>
    <row r="43" spans="1:84" s="458" customFormat="1" ht="14" customHeight="1" x14ac:dyDescent="0.25">
      <c r="A43" s="435"/>
      <c r="B43" s="446"/>
      <c r="C43" s="446"/>
      <c r="D43" s="466"/>
      <c r="E43" s="448"/>
      <c r="F43" s="448"/>
      <c r="G43" s="448"/>
      <c r="H43" s="464"/>
      <c r="I43" s="11"/>
      <c r="J43" s="11"/>
      <c r="K43" s="13"/>
      <c r="L43" s="13"/>
      <c r="M43" s="11"/>
      <c r="N43" s="12"/>
      <c r="O43" s="12"/>
      <c r="P43" s="12"/>
      <c r="Q43" s="11"/>
      <c r="R43" s="13"/>
      <c r="S43" s="13"/>
      <c r="T43" s="11"/>
      <c r="U43" s="12"/>
      <c r="V43" s="12"/>
      <c r="W43" s="12"/>
      <c r="X43" s="11"/>
      <c r="Y43" s="13"/>
      <c r="Z43" s="13"/>
      <c r="AA43" s="11"/>
      <c r="AB43" s="12"/>
      <c r="AC43" s="12"/>
      <c r="AD43" s="12"/>
      <c r="AE43" s="11"/>
      <c r="AF43" s="13"/>
      <c r="AG43" s="13"/>
      <c r="AH43" s="11"/>
      <c r="AI43" s="11"/>
      <c r="AJ43" s="11"/>
      <c r="AK43" s="12"/>
      <c r="AL43" s="12"/>
      <c r="AM43" s="13"/>
      <c r="AN43" s="13"/>
      <c r="AO43" s="11"/>
      <c r="AP43" s="12"/>
      <c r="AQ43" s="12"/>
      <c r="AR43" s="12"/>
      <c r="AS43" s="11"/>
      <c r="AT43" s="13"/>
      <c r="AU43" s="13"/>
      <c r="AV43" s="11"/>
      <c r="AW43" s="12"/>
      <c r="AX43" s="12"/>
      <c r="AY43" s="12"/>
      <c r="AZ43" s="11"/>
      <c r="BA43" s="13"/>
      <c r="BB43" s="13"/>
      <c r="BC43" s="11"/>
      <c r="BD43" s="12"/>
      <c r="BE43" s="12"/>
      <c r="BF43" s="12"/>
      <c r="BG43" s="11"/>
      <c r="BH43" s="13"/>
      <c r="BI43" s="13"/>
      <c r="BJ43" s="11"/>
      <c r="BK43" s="12"/>
      <c r="BL43" s="12"/>
      <c r="BM43" s="12"/>
      <c r="BN43" s="11"/>
      <c r="BO43" s="13"/>
      <c r="BP43" s="449"/>
      <c r="BQ43" s="15"/>
      <c r="BR43" s="456"/>
      <c r="BS43" s="15"/>
      <c r="BT43" s="22"/>
      <c r="BU43" s="22"/>
      <c r="BV43" s="1"/>
      <c r="BW43" s="579"/>
      <c r="BX43" s="457"/>
      <c r="BY43" s="452"/>
      <c r="BZ43" s="2"/>
      <c r="CA43" s="521" t="s">
        <v>152</v>
      </c>
      <c r="CB43" s="495">
        <f>SUM(CB41:CB42)</f>
        <v>3</v>
      </c>
      <c r="CC43" s="496">
        <f>SUM(CC41:CC42)</f>
        <v>17600</v>
      </c>
      <c r="CD43" s="495">
        <f>SUM(CD41:CD42)</f>
        <v>4</v>
      </c>
      <c r="CE43" s="496">
        <f>SUM(CE41:CE42)</f>
        <v>17600</v>
      </c>
      <c r="CF43" s="427"/>
    </row>
    <row r="44" spans="1:84" s="458" customFormat="1" ht="14" customHeight="1" x14ac:dyDescent="0.25">
      <c r="A44" s="435"/>
      <c r="B44" s="446" t="s">
        <v>235</v>
      </c>
      <c r="C44" s="446" t="s">
        <v>324</v>
      </c>
      <c r="D44" s="459" t="s">
        <v>325</v>
      </c>
      <c r="E44" s="448" t="s">
        <v>230</v>
      </c>
      <c r="F44" s="448">
        <v>0.8125</v>
      </c>
      <c r="G44" s="448">
        <v>0.85416666666666663</v>
      </c>
      <c r="H44" s="464">
        <v>30</v>
      </c>
      <c r="I44" s="11"/>
      <c r="J44" s="11"/>
      <c r="K44" s="13"/>
      <c r="L44" s="13"/>
      <c r="M44" s="11"/>
      <c r="N44" s="12"/>
      <c r="O44" s="12"/>
      <c r="P44" s="12"/>
      <c r="Q44" s="11"/>
      <c r="R44" s="13"/>
      <c r="S44" s="13"/>
      <c r="T44" s="11"/>
      <c r="U44" s="12"/>
      <c r="V44" s="12"/>
      <c r="W44" s="12"/>
      <c r="X44" s="11"/>
      <c r="Y44" s="13"/>
      <c r="Z44" s="13"/>
      <c r="AA44" s="11"/>
      <c r="AB44" s="12"/>
      <c r="AC44" s="12"/>
      <c r="AD44" s="12"/>
      <c r="AE44" s="11"/>
      <c r="AF44" s="13"/>
      <c r="AG44" s="13"/>
      <c r="AH44" s="11">
        <v>1</v>
      </c>
      <c r="AI44" s="11"/>
      <c r="AJ44" s="11"/>
      <c r="AK44" s="12">
        <v>1</v>
      </c>
      <c r="AL44" s="12"/>
      <c r="AM44" s="13"/>
      <c r="AN44" s="13"/>
      <c r="AO44" s="11"/>
      <c r="AP44" s="12">
        <v>1</v>
      </c>
      <c r="AQ44" s="12"/>
      <c r="AR44" s="12">
        <v>1</v>
      </c>
      <c r="AS44" s="11"/>
      <c r="AT44" s="13"/>
      <c r="AU44" s="13"/>
      <c r="AV44" s="11"/>
      <c r="AW44" s="12">
        <v>1</v>
      </c>
      <c r="AX44" s="12"/>
      <c r="AY44" s="12">
        <v>1</v>
      </c>
      <c r="AZ44" s="11"/>
      <c r="BA44" s="13"/>
      <c r="BB44" s="13"/>
      <c r="BC44" s="11"/>
      <c r="BD44" s="12"/>
      <c r="BE44" s="12"/>
      <c r="BF44" s="12"/>
      <c r="BG44" s="11"/>
      <c r="BH44" s="13"/>
      <c r="BI44" s="13"/>
      <c r="BJ44" s="11"/>
      <c r="BK44" s="12"/>
      <c r="BL44" s="12"/>
      <c r="BM44" s="12"/>
      <c r="BN44" s="11"/>
      <c r="BO44" s="13"/>
      <c r="BP44" s="449">
        <f t="shared" ref="BP44" si="43">SUM(I44:BO44)</f>
        <v>6</v>
      </c>
      <c r="BQ44" s="460">
        <v>9631</v>
      </c>
      <c r="BR44" s="19">
        <v>0.7</v>
      </c>
      <c r="BS44" s="20">
        <f t="shared" ref="BS44" si="44">BQ44*(1-BR44)</f>
        <v>2889.3000000000006</v>
      </c>
      <c r="BT44" s="21">
        <f t="shared" ref="BT44" si="45">BS44*BP44</f>
        <v>17335.800000000003</v>
      </c>
      <c r="BU44" s="170">
        <f t="shared" ref="BU44" si="46">BT44*0.8</f>
        <v>13868.640000000003</v>
      </c>
      <c r="BV44" s="1"/>
      <c r="BW44" s="579">
        <v>1.4999999999999999E-2</v>
      </c>
      <c r="BX44" s="451">
        <f t="shared" ref="BX44" si="47">BW44*BP44</f>
        <v>0.09</v>
      </c>
      <c r="BY44" s="452">
        <f t="shared" ref="BY44:BY45" si="48">IFERROR(BU44/BX44,0)</f>
        <v>154096.00000000003</v>
      </c>
      <c r="BZ44" s="2"/>
      <c r="CA44" s="518" t="s">
        <v>324</v>
      </c>
      <c r="CB44" s="519">
        <f t="shared" ref="CB44" si="49">COUNTA(I44:AM44)</f>
        <v>2</v>
      </c>
      <c r="CC44" s="520">
        <f t="shared" ref="CC44" si="50">CB44*BS44*0.8</f>
        <v>4622.880000000001</v>
      </c>
      <c r="CD44" s="519">
        <f t="shared" ref="CD44" si="51">COUNTA(AN44:BO44)</f>
        <v>4</v>
      </c>
      <c r="CE44" s="520">
        <f t="shared" ref="CE44" si="52">CD44*BS44*0.8</f>
        <v>9245.760000000002</v>
      </c>
      <c r="CF44" s="427" t="b">
        <f t="shared" ref="CF44" si="53">SUM(CC44,CE44)=BU44</f>
        <v>1</v>
      </c>
    </row>
    <row r="45" spans="1:84" s="458" customFormat="1" ht="14" customHeight="1" x14ac:dyDescent="0.25">
      <c r="A45" s="435"/>
      <c r="B45" s="446"/>
      <c r="C45" s="446"/>
      <c r="D45" s="459"/>
      <c r="E45" s="448" t="s">
        <v>230</v>
      </c>
      <c r="F45" s="448">
        <v>0.8125</v>
      </c>
      <c r="G45" s="448">
        <v>0.85416666666666663</v>
      </c>
      <c r="H45" s="464">
        <v>60</v>
      </c>
      <c r="I45" s="11"/>
      <c r="J45" s="11"/>
      <c r="K45" s="13"/>
      <c r="L45" s="13"/>
      <c r="M45" s="11"/>
      <c r="N45" s="12"/>
      <c r="O45" s="12"/>
      <c r="P45" s="12"/>
      <c r="Q45" s="11"/>
      <c r="R45" s="13"/>
      <c r="S45" s="13"/>
      <c r="T45" s="11"/>
      <c r="U45" s="12"/>
      <c r="V45" s="12"/>
      <c r="W45" s="12"/>
      <c r="X45" s="11"/>
      <c r="Y45" s="13"/>
      <c r="Z45" s="13"/>
      <c r="AA45" s="11"/>
      <c r="AB45" s="12"/>
      <c r="AC45" s="12"/>
      <c r="AD45" s="12">
        <v>1</v>
      </c>
      <c r="AE45" s="11"/>
      <c r="AF45" s="13"/>
      <c r="AG45" s="13"/>
      <c r="AH45" s="11"/>
      <c r="AI45" s="11"/>
      <c r="AJ45" s="11"/>
      <c r="AK45" s="12"/>
      <c r="AL45" s="12"/>
      <c r="AM45" s="13"/>
      <c r="AN45" s="13"/>
      <c r="AO45" s="11"/>
      <c r="AP45" s="12"/>
      <c r="AQ45" s="12"/>
      <c r="AR45" s="12"/>
      <c r="AS45" s="11"/>
      <c r="AT45" s="13"/>
      <c r="AU45" s="13"/>
      <c r="AV45" s="11"/>
      <c r="AW45" s="12"/>
      <c r="AX45" s="12"/>
      <c r="AY45" s="12"/>
      <c r="AZ45" s="11"/>
      <c r="BA45" s="13"/>
      <c r="BB45" s="13"/>
      <c r="BC45" s="11"/>
      <c r="BD45" s="12"/>
      <c r="BE45" s="12"/>
      <c r="BF45" s="12"/>
      <c r="BG45" s="11"/>
      <c r="BH45" s="13"/>
      <c r="BI45" s="13"/>
      <c r="BJ45" s="11"/>
      <c r="BK45" s="12"/>
      <c r="BL45" s="12"/>
      <c r="BM45" s="12"/>
      <c r="BN45" s="11"/>
      <c r="BO45" s="13"/>
      <c r="BP45" s="449">
        <f t="shared" ref="BP45" si="54">SUM(I45:BO45)</f>
        <v>1</v>
      </c>
      <c r="BQ45" s="460">
        <v>19262</v>
      </c>
      <c r="BR45" s="19">
        <v>0.7</v>
      </c>
      <c r="BS45" s="20">
        <f t="shared" ref="BS45" si="55">BQ45*(1-BR45)</f>
        <v>5778.6000000000013</v>
      </c>
      <c r="BT45" s="21">
        <f t="shared" ref="BT45" si="56">BS45*BP45</f>
        <v>5778.6000000000013</v>
      </c>
      <c r="BU45" s="170">
        <f t="shared" ref="BU45" si="57">BT45*0.8</f>
        <v>4622.880000000001</v>
      </c>
      <c r="BV45" s="1"/>
      <c r="BW45" s="579">
        <v>1.4999999999999999E-2</v>
      </c>
      <c r="BX45" s="451">
        <f>BW45*BP45</f>
        <v>1.4999999999999999E-2</v>
      </c>
      <c r="BY45" s="452">
        <f t="shared" si="48"/>
        <v>308192.00000000006</v>
      </c>
      <c r="BZ45" s="2"/>
      <c r="CA45" s="518" t="s">
        <v>324</v>
      </c>
      <c r="CB45" s="519">
        <f t="shared" ref="CB45" si="58">COUNTA(I45:AM45)</f>
        <v>1</v>
      </c>
      <c r="CC45" s="520">
        <f t="shared" ref="CC45" si="59">CB45*BS45*0.8</f>
        <v>4622.880000000001</v>
      </c>
      <c r="CD45" s="519">
        <f t="shared" ref="CD45" si="60">COUNTA(AN45:BO45)</f>
        <v>0</v>
      </c>
      <c r="CE45" s="520">
        <f t="shared" ref="CE45" si="61">CD45*BS45*0.8</f>
        <v>0</v>
      </c>
      <c r="CF45" s="427" t="b">
        <f t="shared" ref="CF45" si="62">SUM(CC45,CE45)=BU45</f>
        <v>1</v>
      </c>
    </row>
    <row r="46" spans="1:84" s="458" customFormat="1" ht="14" customHeight="1" x14ac:dyDescent="0.25">
      <c r="A46" s="435"/>
      <c r="B46" s="446"/>
      <c r="C46" s="446"/>
      <c r="D46" s="466"/>
      <c r="E46" s="448"/>
      <c r="F46" s="448"/>
      <c r="G46" s="448"/>
      <c r="H46" s="464"/>
      <c r="I46" s="11"/>
      <c r="J46" s="11"/>
      <c r="K46" s="13"/>
      <c r="L46" s="13"/>
      <c r="M46" s="11"/>
      <c r="N46" s="12"/>
      <c r="O46" s="12"/>
      <c r="P46" s="12"/>
      <c r="Q46" s="11"/>
      <c r="R46" s="13"/>
      <c r="S46" s="13"/>
      <c r="T46" s="11"/>
      <c r="U46" s="12"/>
      <c r="V46" s="12"/>
      <c r="W46" s="12"/>
      <c r="X46" s="11"/>
      <c r="Y46" s="13"/>
      <c r="Z46" s="13"/>
      <c r="AA46" s="11"/>
      <c r="AB46" s="12"/>
      <c r="AC46" s="12"/>
      <c r="AD46" s="12"/>
      <c r="AE46" s="11"/>
      <c r="AF46" s="13"/>
      <c r="AG46" s="13"/>
      <c r="AH46" s="11"/>
      <c r="AI46" s="11"/>
      <c r="AJ46" s="11"/>
      <c r="AK46" s="12"/>
      <c r="AL46" s="12"/>
      <c r="AM46" s="13"/>
      <c r="AN46" s="13"/>
      <c r="AO46" s="11"/>
      <c r="AP46" s="12"/>
      <c r="AQ46" s="12"/>
      <c r="AR46" s="12"/>
      <c r="AS46" s="11"/>
      <c r="AT46" s="13"/>
      <c r="AU46" s="13"/>
      <c r="AV46" s="11"/>
      <c r="AW46" s="12"/>
      <c r="AX46" s="12"/>
      <c r="AY46" s="12"/>
      <c r="AZ46" s="11"/>
      <c r="BA46" s="13"/>
      <c r="BB46" s="13"/>
      <c r="BC46" s="11"/>
      <c r="BD46" s="12"/>
      <c r="BE46" s="12"/>
      <c r="BF46" s="12"/>
      <c r="BG46" s="11"/>
      <c r="BH46" s="13"/>
      <c r="BI46" s="13"/>
      <c r="BJ46" s="11"/>
      <c r="BK46" s="12"/>
      <c r="BL46" s="12"/>
      <c r="BM46" s="12"/>
      <c r="BN46" s="11"/>
      <c r="BO46" s="13"/>
      <c r="BP46" s="449"/>
      <c r="BQ46" s="15"/>
      <c r="BR46" s="456"/>
      <c r="BS46" s="15"/>
      <c r="BT46" s="22"/>
      <c r="BU46" s="22"/>
      <c r="BV46" s="1"/>
      <c r="BW46" s="571"/>
      <c r="BX46" s="565"/>
      <c r="BY46" s="566"/>
      <c r="BZ46" s="2"/>
      <c r="CA46" s="521" t="s">
        <v>152</v>
      </c>
      <c r="CB46" s="495">
        <f>SUM(CB44:CB45)</f>
        <v>3</v>
      </c>
      <c r="CC46" s="496">
        <f>SUM(CC44:CC45)</f>
        <v>9245.760000000002</v>
      </c>
      <c r="CD46" s="495">
        <f>SUM(CD44:CD45)</f>
        <v>4</v>
      </c>
      <c r="CE46" s="496">
        <f>SUM(CE44:CE45)</f>
        <v>9245.760000000002</v>
      </c>
      <c r="CF46" s="427"/>
    </row>
    <row r="47" spans="1:84" ht="3.75" customHeight="1" x14ac:dyDescent="0.25">
      <c r="A47" s="435"/>
      <c r="B47" s="467"/>
      <c r="C47" s="468"/>
      <c r="D47" s="468"/>
      <c r="E47" s="468"/>
      <c r="F47" s="468"/>
      <c r="G47" s="468"/>
      <c r="H47" s="468"/>
      <c r="I47" s="468"/>
      <c r="J47" s="468"/>
      <c r="K47" s="468"/>
      <c r="L47" s="468"/>
      <c r="M47" s="468"/>
      <c r="N47" s="468"/>
      <c r="O47" s="468"/>
      <c r="P47" s="468"/>
      <c r="Q47" s="468"/>
      <c r="R47" s="468"/>
      <c r="S47" s="468"/>
      <c r="T47" s="468"/>
      <c r="U47" s="468"/>
      <c r="V47" s="468"/>
      <c r="W47" s="468"/>
      <c r="X47" s="468"/>
      <c r="Y47" s="468"/>
      <c r="Z47" s="468"/>
      <c r="AA47" s="468"/>
      <c r="AB47" s="468"/>
      <c r="AC47" s="468"/>
      <c r="AD47" s="468"/>
      <c r="AE47" s="468"/>
      <c r="AF47" s="13"/>
      <c r="AG47" s="13"/>
      <c r="AH47" s="468"/>
      <c r="AI47" s="468"/>
      <c r="AJ47" s="468"/>
      <c r="AK47" s="468"/>
      <c r="AL47" s="468"/>
      <c r="AM47" s="13"/>
      <c r="AN47" s="468"/>
      <c r="AO47" s="468"/>
      <c r="AP47" s="468"/>
      <c r="AQ47" s="468"/>
      <c r="AR47" s="468"/>
      <c r="AS47" s="468"/>
      <c r="AT47" s="468"/>
      <c r="AU47" s="468"/>
      <c r="AV47" s="468"/>
      <c r="AW47" s="468"/>
      <c r="AX47" s="468"/>
      <c r="AY47" s="468"/>
      <c r="AZ47" s="468"/>
      <c r="BA47" s="468"/>
      <c r="BB47" s="468"/>
      <c r="BC47" s="468"/>
      <c r="BD47" s="468"/>
      <c r="BE47" s="468"/>
      <c r="BF47" s="468"/>
      <c r="BG47" s="468"/>
      <c r="BH47" s="468"/>
      <c r="BI47" s="468"/>
      <c r="BJ47" s="468"/>
      <c r="BK47" s="13"/>
      <c r="BL47" s="13"/>
      <c r="BM47" s="468"/>
      <c r="BN47" s="468"/>
      <c r="BO47" s="468"/>
      <c r="BP47" s="468"/>
      <c r="BQ47" s="468"/>
      <c r="BR47" s="468"/>
      <c r="BS47" s="468"/>
      <c r="BT47" s="23"/>
      <c r="BU47" s="24"/>
      <c r="BY47" s="469"/>
      <c r="CA47" s="522"/>
      <c r="CB47" s="523"/>
      <c r="CC47" s="524"/>
      <c r="CD47" s="523"/>
      <c r="CE47" s="524"/>
    </row>
    <row r="48" spans="1:84" s="506" customFormat="1" x14ac:dyDescent="0.4">
      <c r="A48" s="503"/>
      <c r="B48" s="25" t="s">
        <v>195</v>
      </c>
      <c r="C48" s="473"/>
      <c r="D48" s="473"/>
      <c r="E48" s="473"/>
      <c r="F48" s="473"/>
      <c r="G48" s="473"/>
      <c r="H48" s="473"/>
      <c r="I48" s="473">
        <f>COUNTA(I12:I16)</f>
        <v>0</v>
      </c>
      <c r="J48" s="473">
        <f>COUNTA(J12:J16)</f>
        <v>0</v>
      </c>
      <c r="K48" s="473">
        <f>COUNTA(K12:K16)</f>
        <v>0</v>
      </c>
      <c r="L48" s="473">
        <f>COUNTA(L12:L16)</f>
        <v>0</v>
      </c>
      <c r="M48" s="473">
        <f>COUNTA(M12:M16)</f>
        <v>0</v>
      </c>
      <c r="N48" s="473">
        <f>SUM(N12:N16)</f>
        <v>0</v>
      </c>
      <c r="O48" s="473">
        <f>SUM(O12:O16)</f>
        <v>0</v>
      </c>
      <c r="P48" s="473">
        <f>SUM(P12:P16)</f>
        <v>0</v>
      </c>
      <c r="Q48" s="473">
        <f t="shared" ref="Q48:BJ48" si="63">SUM(Q12:Q46)</f>
        <v>0</v>
      </c>
      <c r="R48" s="473">
        <f t="shared" si="63"/>
        <v>0</v>
      </c>
      <c r="S48" s="473">
        <f t="shared" si="63"/>
        <v>0</v>
      </c>
      <c r="T48" s="473">
        <f t="shared" si="63"/>
        <v>0</v>
      </c>
      <c r="U48" s="473">
        <f t="shared" si="63"/>
        <v>0</v>
      </c>
      <c r="V48" s="473">
        <f t="shared" si="63"/>
        <v>0</v>
      </c>
      <c r="W48" s="473">
        <f t="shared" si="63"/>
        <v>0</v>
      </c>
      <c r="X48" s="473">
        <f t="shared" si="63"/>
        <v>0</v>
      </c>
      <c r="Y48" s="473">
        <f t="shared" si="63"/>
        <v>0</v>
      </c>
      <c r="Z48" s="473">
        <f t="shared" si="63"/>
        <v>0</v>
      </c>
      <c r="AA48" s="473">
        <f t="shared" si="63"/>
        <v>0</v>
      </c>
      <c r="AB48" s="473">
        <f t="shared" si="63"/>
        <v>0</v>
      </c>
      <c r="AC48" s="473">
        <f t="shared" si="63"/>
        <v>0</v>
      </c>
      <c r="AD48" s="473">
        <f t="shared" si="63"/>
        <v>7</v>
      </c>
      <c r="AE48" s="473">
        <f t="shared" si="63"/>
        <v>6</v>
      </c>
      <c r="AF48" s="473">
        <f t="shared" si="63"/>
        <v>0</v>
      </c>
      <c r="AG48" s="473">
        <f t="shared" si="63"/>
        <v>0</v>
      </c>
      <c r="AH48" s="473">
        <f t="shared" si="63"/>
        <v>6</v>
      </c>
      <c r="AI48" s="473">
        <f t="shared" si="63"/>
        <v>7</v>
      </c>
      <c r="AJ48" s="473">
        <f t="shared" si="63"/>
        <v>5</v>
      </c>
      <c r="AK48" s="473">
        <f t="shared" si="63"/>
        <v>7</v>
      </c>
      <c r="AL48" s="473">
        <f t="shared" si="63"/>
        <v>1</v>
      </c>
      <c r="AM48" s="473">
        <f t="shared" si="63"/>
        <v>0</v>
      </c>
      <c r="AN48" s="473">
        <f t="shared" si="63"/>
        <v>0</v>
      </c>
      <c r="AO48" s="473">
        <f t="shared" si="63"/>
        <v>5</v>
      </c>
      <c r="AP48" s="473">
        <f t="shared" si="63"/>
        <v>7</v>
      </c>
      <c r="AQ48" s="473">
        <f t="shared" si="63"/>
        <v>0</v>
      </c>
      <c r="AR48" s="473">
        <f t="shared" si="63"/>
        <v>8</v>
      </c>
      <c r="AS48" s="473">
        <f t="shared" si="63"/>
        <v>6</v>
      </c>
      <c r="AT48" s="473">
        <f t="shared" si="63"/>
        <v>0</v>
      </c>
      <c r="AU48" s="473">
        <f t="shared" si="63"/>
        <v>0</v>
      </c>
      <c r="AV48" s="473">
        <f t="shared" si="63"/>
        <v>6</v>
      </c>
      <c r="AW48" s="473">
        <f t="shared" si="63"/>
        <v>7</v>
      </c>
      <c r="AX48" s="473">
        <f t="shared" si="63"/>
        <v>6</v>
      </c>
      <c r="AY48" s="473">
        <f t="shared" si="63"/>
        <v>6</v>
      </c>
      <c r="AZ48" s="473">
        <f t="shared" si="63"/>
        <v>1</v>
      </c>
      <c r="BA48" s="473">
        <f t="shared" si="63"/>
        <v>0</v>
      </c>
      <c r="BB48" s="473">
        <f t="shared" si="63"/>
        <v>0</v>
      </c>
      <c r="BC48" s="473">
        <f t="shared" si="63"/>
        <v>0</v>
      </c>
      <c r="BD48" s="473">
        <f t="shared" si="63"/>
        <v>0</v>
      </c>
      <c r="BE48" s="473">
        <f t="shared" si="63"/>
        <v>0</v>
      </c>
      <c r="BF48" s="473">
        <f t="shared" si="63"/>
        <v>0</v>
      </c>
      <c r="BG48" s="473">
        <f t="shared" si="63"/>
        <v>0</v>
      </c>
      <c r="BH48" s="473">
        <f t="shared" si="63"/>
        <v>0</v>
      </c>
      <c r="BI48" s="473">
        <f t="shared" si="63"/>
        <v>0</v>
      </c>
      <c r="BJ48" s="473">
        <f t="shared" si="63"/>
        <v>0</v>
      </c>
      <c r="BK48" s="473">
        <f>SUM(BK13:BK47)</f>
        <v>0</v>
      </c>
      <c r="BL48" s="473">
        <f>SUM(BL13:BL47)</f>
        <v>0</v>
      </c>
      <c r="BM48" s="473">
        <f>SUM(BM12:BM16)</f>
        <v>0</v>
      </c>
      <c r="BN48" s="473">
        <f>SUM(BN12:BN16)</f>
        <v>0</v>
      </c>
      <c r="BO48" s="473">
        <f>SUM(BO12:BO16)</f>
        <v>0</v>
      </c>
      <c r="BP48" s="474">
        <f>SUM(BP13:BP46)</f>
        <v>91</v>
      </c>
      <c r="BQ48" s="26"/>
      <c r="BR48" s="26"/>
      <c r="BS48" s="504"/>
      <c r="BT48" s="505">
        <f>SUM(BT13:BT46)</f>
        <v>189442.4</v>
      </c>
      <c r="BU48" s="505">
        <f>SUM(BU13:BU46)</f>
        <v>151553.92000000001</v>
      </c>
      <c r="BW48" s="507"/>
      <c r="BX48" s="508">
        <f>SUM(BX13:BX45)</f>
        <v>5.2849999999999993</v>
      </c>
      <c r="BY48" s="509">
        <f>BU48/BX48</f>
        <v>28676.238410596034</v>
      </c>
      <c r="CA48" s="497" t="s">
        <v>196</v>
      </c>
      <c r="CB48" s="510">
        <f>CB17+CB40+CB43+CB46</f>
        <v>9</v>
      </c>
      <c r="CC48" s="511">
        <f>CC37+CC40+CC43+CC46</f>
        <v>75776.960000000021</v>
      </c>
      <c r="CD48" s="510">
        <f>CD17+CD40+CD43+CD46</f>
        <v>12</v>
      </c>
      <c r="CE48" s="511">
        <f>CE37+CE40+CE43+CE46</f>
        <v>75776.959999999992</v>
      </c>
      <c r="CF48" s="512"/>
    </row>
    <row r="49" spans="1:107" x14ac:dyDescent="0.25">
      <c r="A49" s="2"/>
      <c r="B49" s="2"/>
      <c r="C49" s="2"/>
      <c r="D49" s="2"/>
      <c r="E49" s="2"/>
      <c r="F49" s="2"/>
      <c r="G49" s="2"/>
      <c r="H49" s="428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  <c r="BA49" s="2"/>
      <c r="BB49" s="2"/>
      <c r="BC49" s="2"/>
      <c r="BD49" s="2"/>
      <c r="BE49" s="2"/>
      <c r="BF49" s="2"/>
      <c r="BG49" s="2"/>
      <c r="BH49" s="2"/>
      <c r="BI49" s="2"/>
      <c r="BJ49" s="2"/>
      <c r="BK49" s="2"/>
      <c r="BL49" s="2"/>
      <c r="BM49" s="2"/>
      <c r="BN49" s="2"/>
      <c r="BO49" s="2"/>
      <c r="BP49" s="2"/>
      <c r="BQ49" s="2"/>
      <c r="BR49" s="2"/>
      <c r="BS49" s="2"/>
      <c r="BT49" s="492"/>
      <c r="BU49" s="482"/>
      <c r="CC49" s="431"/>
      <c r="CD49" s="498"/>
      <c r="CE49" s="499"/>
    </row>
    <row r="50" spans="1:107" s="512" customFormat="1" x14ac:dyDescent="0.4">
      <c r="A50" s="506"/>
      <c r="B50" s="506"/>
      <c r="C50" s="506"/>
      <c r="D50" s="513"/>
      <c r="E50" s="506"/>
      <c r="F50" s="506"/>
      <c r="G50" s="506"/>
      <c r="H50" s="514"/>
      <c r="I50" s="506"/>
      <c r="J50" s="506"/>
      <c r="K50" s="506"/>
      <c r="L50" s="506"/>
      <c r="M50" s="506"/>
      <c r="N50" s="506"/>
      <c r="O50" s="506"/>
      <c r="P50" s="506"/>
      <c r="Q50" s="506"/>
      <c r="R50" s="506"/>
      <c r="S50" s="506"/>
      <c r="T50" s="506"/>
      <c r="U50" s="506"/>
      <c r="V50" s="506"/>
      <c r="W50" s="506"/>
      <c r="X50" s="506"/>
      <c r="Y50" s="506"/>
      <c r="Z50" s="506"/>
      <c r="AA50" s="506"/>
      <c r="AB50" s="506"/>
      <c r="AC50" s="506"/>
      <c r="AD50" s="506"/>
      <c r="AE50" s="506"/>
      <c r="AF50" s="506"/>
      <c r="AG50" s="506"/>
      <c r="AH50" s="506"/>
      <c r="AI50" s="506"/>
      <c r="AJ50" s="506"/>
      <c r="AK50" s="506"/>
      <c r="AL50" s="506"/>
      <c r="AM50" s="506"/>
      <c r="AN50" s="506"/>
      <c r="AO50" s="506"/>
      <c r="AP50" s="506"/>
      <c r="AQ50" s="506"/>
      <c r="AR50" s="506"/>
      <c r="AS50" s="506"/>
      <c r="AT50" s="506"/>
      <c r="AU50" s="506"/>
      <c r="AV50" s="506"/>
      <c r="AW50" s="506"/>
      <c r="AX50" s="506"/>
      <c r="AY50" s="506"/>
      <c r="AZ50" s="506"/>
      <c r="BA50" s="506"/>
      <c r="BB50" s="506"/>
      <c r="BC50" s="506"/>
      <c r="BD50" s="506"/>
      <c r="BE50" s="506"/>
      <c r="BF50" s="506"/>
      <c r="BG50" s="506"/>
      <c r="BH50" s="506"/>
      <c r="BI50" s="506"/>
      <c r="BJ50" s="506"/>
      <c r="BK50" s="506"/>
      <c r="BL50" s="506"/>
      <c r="BM50" s="506"/>
      <c r="BN50" s="506"/>
      <c r="BO50" s="506"/>
      <c r="BP50" s="506"/>
      <c r="BQ50" s="506"/>
      <c r="BR50" s="506"/>
      <c r="BS50" s="506"/>
      <c r="BT50" s="515"/>
      <c r="BU50" s="516"/>
      <c r="BV50" s="506"/>
      <c r="BW50" s="506"/>
      <c r="BX50" s="506"/>
      <c r="BY50" s="506"/>
      <c r="BZ50" s="506"/>
      <c r="CA50" s="514"/>
      <c r="CB50" s="514"/>
      <c r="CC50" s="514"/>
      <c r="CD50" s="487" t="s">
        <v>152</v>
      </c>
      <c r="CE50" s="517">
        <f>CC48+CE48</f>
        <v>151553.92000000001</v>
      </c>
      <c r="CG50" s="506"/>
      <c r="CH50" s="506"/>
      <c r="CI50" s="506"/>
      <c r="CJ50" s="506"/>
      <c r="CK50" s="506"/>
      <c r="CL50" s="506"/>
      <c r="CM50" s="506"/>
      <c r="CN50" s="506"/>
      <c r="CO50" s="506"/>
      <c r="CP50" s="506"/>
      <c r="CQ50" s="506"/>
      <c r="CR50" s="506"/>
      <c r="CS50" s="506"/>
      <c r="CT50" s="506"/>
      <c r="CU50" s="506"/>
      <c r="CV50" s="506"/>
      <c r="CW50" s="506"/>
      <c r="CX50" s="506"/>
      <c r="CY50" s="506"/>
      <c r="CZ50" s="506"/>
      <c r="DA50" s="506"/>
      <c r="DB50" s="506"/>
      <c r="DC50" s="506"/>
    </row>
    <row r="51" spans="1:107" s="427" customFormat="1" x14ac:dyDescent="0.25">
      <c r="A51" s="1"/>
      <c r="B51" s="1"/>
      <c r="C51" s="1"/>
      <c r="D51" s="484"/>
      <c r="E51" s="1"/>
      <c r="F51" s="1"/>
      <c r="G51" s="1"/>
      <c r="H51" s="425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483"/>
      <c r="BV51" s="1"/>
      <c r="BW51" s="1"/>
      <c r="BX51" s="1"/>
      <c r="BY51" s="1"/>
      <c r="BZ51" s="1"/>
      <c r="CA51" s="425"/>
      <c r="CB51" s="425"/>
      <c r="CC51" s="425"/>
      <c r="CD51" s="425"/>
      <c r="CE51" s="502" t="b">
        <f>CE50=BU48</f>
        <v>1</v>
      </c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</row>
    <row r="52" spans="1:107" s="427" customFormat="1" x14ac:dyDescent="0.25">
      <c r="A52" s="1"/>
      <c r="B52" s="1"/>
      <c r="C52" s="1"/>
      <c r="D52" s="1"/>
      <c r="E52" s="1"/>
      <c r="F52" s="1"/>
      <c r="G52" s="1"/>
      <c r="H52" s="425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483"/>
      <c r="BV52" s="1"/>
      <c r="BW52" s="1"/>
      <c r="BX52" s="1"/>
      <c r="BY52" s="1"/>
      <c r="BZ52" s="1"/>
      <c r="CA52" s="425"/>
      <c r="CB52" s="425"/>
      <c r="CC52" s="425"/>
      <c r="CD52" s="425"/>
      <c r="CE52" s="425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</row>
  </sheetData>
  <mergeCells count="23">
    <mergeCell ref="BU8:BU10"/>
    <mergeCell ref="BW7:BY7"/>
    <mergeCell ref="B8:B10"/>
    <mergeCell ref="C8:C10"/>
    <mergeCell ref="D8:D10"/>
    <mergeCell ref="E8:E10"/>
    <mergeCell ref="F8:F10"/>
    <mergeCell ref="G8:G10"/>
    <mergeCell ref="H8:H10"/>
    <mergeCell ref="I8:AM8"/>
    <mergeCell ref="AN8:BO8"/>
    <mergeCell ref="BP8:BP10"/>
    <mergeCell ref="BQ8:BQ10"/>
    <mergeCell ref="BR8:BR10"/>
    <mergeCell ref="BS8:BS10"/>
    <mergeCell ref="BT8:BT10"/>
    <mergeCell ref="BW8:BW10"/>
    <mergeCell ref="BX8:BX10"/>
    <mergeCell ref="BY8:BY10"/>
    <mergeCell ref="CA8:CE9"/>
    <mergeCell ref="CA10:CA12"/>
    <mergeCell ref="CB10:CC11"/>
    <mergeCell ref="CD10:CE11"/>
  </mergeCells>
  <conditionalFormatting sqref="I12:BO46">
    <cfRule type="notContainsBlanks" dxfId="129" priority="1">
      <formula>LEN(TRIM(I12))&gt;0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&amp;C_x000D_&amp;1#&amp;"Aptos"&amp;10&amp;K000000 Confidential - Not for Public Consumption or Distribution</oddFooter>
  </headerFooter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7641FC-7E24-48B4-BCFB-3620680E99C4}">
  <dimension ref="A1:EO423"/>
  <sheetViews>
    <sheetView showGridLines="0" topLeftCell="A188" zoomScale="60" zoomScaleNormal="60" zoomScaleSheetLayoutView="45" workbookViewId="0">
      <pane xSplit="3" topLeftCell="D1" activePane="topRight" state="frozen"/>
      <selection activeCell="A19" sqref="A19"/>
      <selection pane="topRight" activeCell="D220" sqref="D220"/>
    </sheetView>
  </sheetViews>
  <sheetFormatPr defaultColWidth="8.83203125" defaultRowHeight="12.5" x14ac:dyDescent="0.25"/>
  <cols>
    <col min="1" max="1" width="4" style="45" customWidth="1"/>
    <col min="2" max="2" width="26.33203125" style="45" customWidth="1"/>
    <col min="3" max="3" width="30.83203125" style="45" customWidth="1"/>
    <col min="4" max="4" width="23.33203125" style="45" customWidth="1"/>
    <col min="5" max="5" width="10.5" style="45" customWidth="1"/>
    <col min="6" max="24" width="4.5" style="45" hidden="1" customWidth="1"/>
    <col min="25" max="26" width="5" style="45" hidden="1" customWidth="1"/>
    <col min="27" max="34" width="4.5" style="45" hidden="1" customWidth="1"/>
    <col min="35" max="36" width="4.83203125" style="45" hidden="1" customWidth="1"/>
    <col min="37" max="55" width="4.5" style="45" hidden="1" customWidth="1"/>
    <col min="56" max="57" width="5" style="45" customWidth="1"/>
    <col min="58" max="65" width="4.5" style="45" customWidth="1"/>
    <col min="66" max="66" width="4.83203125" style="45" customWidth="1"/>
    <col min="67" max="67" width="8.33203125" style="45" customWidth="1"/>
    <col min="68" max="68" width="16.5" style="45" customWidth="1"/>
    <col min="69" max="69" width="9.83203125" style="45" bestFit="1" customWidth="1"/>
    <col min="70" max="70" width="16.5" style="45" customWidth="1"/>
    <col min="71" max="71" width="17" style="45" customWidth="1"/>
    <col min="72" max="72" width="16.1640625" style="45" customWidth="1"/>
    <col min="73" max="73" width="3.33203125" style="45" customWidth="1"/>
    <col min="74" max="75" width="15.6640625" style="45" customWidth="1"/>
    <col min="76" max="76" width="3.33203125" style="45" customWidth="1"/>
    <col min="77" max="77" width="14.83203125" style="206" customWidth="1"/>
    <col min="78" max="78" width="14.83203125" style="207" customWidth="1"/>
    <col min="79" max="79" width="14.83203125" style="208" customWidth="1"/>
    <col min="80" max="81" width="14.83203125" style="209" customWidth="1"/>
    <col min="82" max="82" width="14.83203125" style="210" customWidth="1"/>
    <col min="83" max="83" width="12.9140625" style="45" customWidth="1"/>
    <col min="84" max="84" width="3.33203125" style="45" customWidth="1"/>
    <col min="85" max="85" width="18.33203125" style="30" customWidth="1"/>
    <col min="86" max="86" width="12.83203125" style="30" customWidth="1"/>
    <col min="87" max="87" width="7.83203125" style="30" customWidth="1"/>
    <col min="88" max="88" width="16" style="30" customWidth="1"/>
    <col min="89" max="89" width="7.83203125" style="30" customWidth="1"/>
    <col min="90" max="90" width="16" style="30" customWidth="1"/>
    <col min="91" max="91" width="16.1640625" style="50" customWidth="1"/>
    <col min="92" max="16384" width="8.83203125" style="45"/>
  </cols>
  <sheetData>
    <row r="1" spans="1:145" x14ac:dyDescent="0.25">
      <c r="BT1" s="31"/>
      <c r="BV1" s="31"/>
      <c r="BW1" s="31"/>
      <c r="BY1" s="46"/>
      <c r="BZ1" s="47"/>
      <c r="CA1" s="48"/>
      <c r="CB1" s="49"/>
      <c r="CC1" s="49"/>
      <c r="CD1" s="49"/>
      <c r="CE1" s="31"/>
      <c r="CF1" s="31"/>
    </row>
    <row r="2" spans="1:145" x14ac:dyDescent="0.25">
      <c r="BP2" s="28"/>
      <c r="BQ2" s="28"/>
      <c r="BR2" s="28"/>
      <c r="BS2" s="28"/>
      <c r="BT2" s="31"/>
      <c r="BV2" s="31"/>
      <c r="BW2" s="31"/>
      <c r="BY2" s="46"/>
      <c r="BZ2" s="47"/>
      <c r="CA2" s="48"/>
      <c r="CB2" s="49"/>
      <c r="CC2" s="49"/>
      <c r="CD2" s="49"/>
      <c r="CE2" s="31"/>
      <c r="CF2" s="31"/>
    </row>
    <row r="3" spans="1:145" x14ac:dyDescent="0.25">
      <c r="A3" s="28"/>
      <c r="B3" s="5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9"/>
      <c r="BP3" s="52"/>
      <c r="BQ3" s="52"/>
      <c r="BR3" s="52"/>
      <c r="BS3" s="52"/>
      <c r="BT3" s="31"/>
      <c r="BU3" s="28"/>
      <c r="BV3" s="31"/>
      <c r="BW3" s="31"/>
      <c r="BX3" s="28"/>
      <c r="BY3" s="46"/>
      <c r="BZ3" s="47"/>
      <c r="CA3" s="48"/>
      <c r="CB3" s="49"/>
      <c r="CC3" s="49"/>
      <c r="CD3" s="49"/>
      <c r="CE3" s="31"/>
      <c r="CF3" s="31"/>
    </row>
    <row r="4" spans="1:145" x14ac:dyDescent="0.25">
      <c r="A4" s="28"/>
      <c r="B4" s="5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53"/>
      <c r="BP4" s="52"/>
      <c r="BQ4" s="52"/>
      <c r="BR4" s="52"/>
      <c r="BS4" s="52"/>
      <c r="BT4" s="31"/>
      <c r="BU4" s="28"/>
      <c r="BV4" s="31"/>
      <c r="BW4" s="31"/>
      <c r="BX4" s="28"/>
      <c r="BY4" s="46"/>
      <c r="BZ4" s="47"/>
      <c r="CA4" s="48"/>
      <c r="CB4" s="49"/>
      <c r="CC4" s="49"/>
      <c r="CD4" s="49"/>
      <c r="CE4" s="31"/>
      <c r="CF4" s="31"/>
    </row>
    <row r="5" spans="1:145" x14ac:dyDescent="0.25">
      <c r="A5" s="28"/>
      <c r="B5" s="5" t="s"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53"/>
      <c r="BP5" s="28"/>
      <c r="BQ5" s="52"/>
      <c r="BR5" s="52"/>
      <c r="BS5" s="52"/>
      <c r="BT5" s="31"/>
      <c r="BU5" s="28"/>
      <c r="BV5" s="31"/>
      <c r="BW5" s="31"/>
      <c r="BX5" s="28"/>
      <c r="BY5" s="46"/>
      <c r="BZ5" s="47"/>
      <c r="CA5" s="48"/>
      <c r="CB5" s="49"/>
      <c r="CC5" s="49"/>
      <c r="CD5" s="49"/>
      <c r="CE5" s="31"/>
      <c r="CF5" s="31"/>
    </row>
    <row r="6" spans="1:145" x14ac:dyDescent="0.25">
      <c r="A6" s="28"/>
      <c r="B6" s="6" t="s">
        <v>1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53"/>
      <c r="BP6" s="28"/>
      <c r="BQ6" s="52"/>
      <c r="BR6" s="52"/>
      <c r="BS6" s="52"/>
      <c r="BT6" s="31"/>
      <c r="BU6" s="28"/>
      <c r="BV6" s="31"/>
      <c r="BW6" s="31"/>
      <c r="BX6" s="28"/>
      <c r="BY6" s="46"/>
      <c r="BZ6" s="47"/>
      <c r="CA6" s="48"/>
      <c r="CB6" s="49"/>
      <c r="CC6" s="49"/>
      <c r="CD6" s="49"/>
      <c r="CE6" s="31"/>
      <c r="CF6" s="31"/>
    </row>
    <row r="7" spans="1:145" x14ac:dyDescent="0.25">
      <c r="A7" s="28"/>
      <c r="B7" s="54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52"/>
      <c r="BQ7" s="52"/>
      <c r="BR7" s="52"/>
      <c r="BS7" s="52"/>
      <c r="BT7" s="31"/>
      <c r="BU7" s="28"/>
      <c r="BV7" s="31"/>
      <c r="BW7" s="31"/>
      <c r="BX7" s="28"/>
      <c r="BY7" s="46"/>
      <c r="BZ7" s="47"/>
      <c r="CA7" s="48"/>
      <c r="CB7" s="49"/>
      <c r="CC7" s="49"/>
      <c r="CD7" s="49"/>
      <c r="CE7" s="31"/>
      <c r="CF7" s="31"/>
    </row>
    <row r="8" spans="1:145" s="28" customFormat="1" ht="16" customHeight="1" x14ac:dyDescent="0.2">
      <c r="A8" s="32"/>
      <c r="B8" s="642" t="s">
        <v>3</v>
      </c>
      <c r="C8" s="642" t="s">
        <v>4</v>
      </c>
      <c r="D8" s="648" t="s">
        <v>19</v>
      </c>
      <c r="E8" s="643" t="s">
        <v>20</v>
      </c>
      <c r="F8" s="629" t="s">
        <v>21</v>
      </c>
      <c r="G8" s="630"/>
      <c r="H8" s="630"/>
      <c r="I8" s="630"/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1"/>
      <c r="AK8" s="215" t="s">
        <v>22</v>
      </c>
      <c r="AL8" s="216"/>
      <c r="AM8" s="216"/>
      <c r="AN8" s="216"/>
      <c r="AO8" s="216"/>
      <c r="AP8" s="216"/>
      <c r="AQ8" s="216"/>
      <c r="AR8" s="216"/>
      <c r="AS8" s="216"/>
      <c r="AT8" s="216"/>
      <c r="AU8" s="216"/>
      <c r="AV8" s="216"/>
      <c r="AW8" s="216"/>
      <c r="AX8" s="216"/>
      <c r="AY8" s="216"/>
      <c r="AZ8" s="216"/>
      <c r="BA8" s="216"/>
      <c r="BB8" s="216"/>
      <c r="BC8" s="216"/>
      <c r="BD8" s="630" t="s">
        <v>5</v>
      </c>
      <c r="BE8" s="630"/>
      <c r="BF8" s="630"/>
      <c r="BG8" s="631"/>
      <c r="BH8" s="629" t="s">
        <v>6</v>
      </c>
      <c r="BI8" s="630"/>
      <c r="BJ8" s="630"/>
      <c r="BK8" s="630"/>
      <c r="BL8" s="630"/>
      <c r="BM8" s="630"/>
      <c r="BN8" s="631"/>
      <c r="BO8" s="640" t="s">
        <v>7</v>
      </c>
      <c r="BP8" s="620" t="s">
        <v>8</v>
      </c>
      <c r="BQ8" s="643" t="s">
        <v>9</v>
      </c>
      <c r="BR8" s="620" t="s">
        <v>10</v>
      </c>
      <c r="BS8" s="620" t="s">
        <v>11</v>
      </c>
      <c r="BT8" s="635" t="s">
        <v>23</v>
      </c>
      <c r="BU8" s="32"/>
      <c r="BV8" s="635" t="s">
        <v>24</v>
      </c>
      <c r="BW8" s="635" t="s">
        <v>25</v>
      </c>
      <c r="BX8" s="32"/>
      <c r="BY8" s="620" t="s">
        <v>26</v>
      </c>
      <c r="BZ8" s="650" t="s">
        <v>27</v>
      </c>
      <c r="CA8" s="654" t="s">
        <v>12</v>
      </c>
      <c r="CB8" s="650" t="s">
        <v>28</v>
      </c>
      <c r="CC8" s="638" t="s">
        <v>29</v>
      </c>
      <c r="CD8" s="650" t="s">
        <v>30</v>
      </c>
      <c r="CE8" s="650" t="s">
        <v>31</v>
      </c>
      <c r="CF8" s="55"/>
      <c r="CG8" s="640" t="s">
        <v>32</v>
      </c>
      <c r="CH8" s="640" t="s">
        <v>33</v>
      </c>
      <c r="CI8" s="642" t="s">
        <v>5</v>
      </c>
      <c r="CJ8" s="642"/>
      <c r="CK8" s="642" t="s">
        <v>6</v>
      </c>
      <c r="CL8" s="642"/>
      <c r="CM8" s="50"/>
    </row>
    <row r="9" spans="1:145" s="28" customFormat="1" ht="16" customHeight="1" x14ac:dyDescent="0.2">
      <c r="A9" s="32"/>
      <c r="B9" s="642"/>
      <c r="C9" s="642"/>
      <c r="D9" s="648"/>
      <c r="E9" s="643"/>
      <c r="F9" s="7" t="s">
        <v>15</v>
      </c>
      <c r="G9" s="7" t="s">
        <v>14</v>
      </c>
      <c r="H9" s="7" t="s">
        <v>2</v>
      </c>
      <c r="I9" s="8" t="s">
        <v>16</v>
      </c>
      <c r="J9" s="8" t="s">
        <v>16</v>
      </c>
      <c r="K9" s="7" t="s">
        <v>13</v>
      </c>
      <c r="L9" s="7" t="s">
        <v>14</v>
      </c>
      <c r="M9" s="7" t="s">
        <v>15</v>
      </c>
      <c r="N9" s="7" t="s">
        <v>14</v>
      </c>
      <c r="O9" s="7" t="s">
        <v>2</v>
      </c>
      <c r="P9" s="8" t="s">
        <v>16</v>
      </c>
      <c r="Q9" s="8" t="s">
        <v>16</v>
      </c>
      <c r="R9" s="7" t="s">
        <v>13</v>
      </c>
      <c r="S9" s="7" t="s">
        <v>14</v>
      </c>
      <c r="T9" s="7" t="s">
        <v>15</v>
      </c>
      <c r="U9" s="7" t="s">
        <v>14</v>
      </c>
      <c r="V9" s="7" t="s">
        <v>2</v>
      </c>
      <c r="W9" s="8" t="s">
        <v>16</v>
      </c>
      <c r="X9" s="8" t="s">
        <v>16</v>
      </c>
      <c r="Y9" s="7" t="s">
        <v>13</v>
      </c>
      <c r="Z9" s="7" t="s">
        <v>14</v>
      </c>
      <c r="AA9" s="7" t="s">
        <v>15</v>
      </c>
      <c r="AB9" s="7" t="s">
        <v>14</v>
      </c>
      <c r="AC9" s="7" t="s">
        <v>2</v>
      </c>
      <c r="AD9" s="8" t="s">
        <v>16</v>
      </c>
      <c r="AE9" s="8" t="s">
        <v>16</v>
      </c>
      <c r="AF9" s="7" t="s">
        <v>13</v>
      </c>
      <c r="AG9" s="7" t="s">
        <v>14</v>
      </c>
      <c r="AH9" s="7" t="s">
        <v>15</v>
      </c>
      <c r="AI9" s="7" t="s">
        <v>14</v>
      </c>
      <c r="AJ9" s="7" t="s">
        <v>2</v>
      </c>
      <c r="AK9" s="8" t="s">
        <v>16</v>
      </c>
      <c r="AL9" s="8" t="s">
        <v>16</v>
      </c>
      <c r="AM9" s="7" t="s">
        <v>13</v>
      </c>
      <c r="AN9" s="7" t="s">
        <v>14</v>
      </c>
      <c r="AO9" s="7" t="s">
        <v>15</v>
      </c>
      <c r="AP9" s="7" t="s">
        <v>14</v>
      </c>
      <c r="AQ9" s="7" t="s">
        <v>2</v>
      </c>
      <c r="AR9" s="8" t="s">
        <v>16</v>
      </c>
      <c r="AS9" s="8" t="s">
        <v>16</v>
      </c>
      <c r="AT9" s="7" t="s">
        <v>13</v>
      </c>
      <c r="AU9" s="7" t="s">
        <v>14</v>
      </c>
      <c r="AV9" s="7" t="s">
        <v>15</v>
      </c>
      <c r="AW9" s="7" t="s">
        <v>14</v>
      </c>
      <c r="AX9" s="7" t="s">
        <v>2</v>
      </c>
      <c r="AY9" s="8" t="s">
        <v>16</v>
      </c>
      <c r="AZ9" s="8" t="s">
        <v>16</v>
      </c>
      <c r="BA9" s="7" t="s">
        <v>13</v>
      </c>
      <c r="BB9" s="7" t="s">
        <v>14</v>
      </c>
      <c r="BC9" s="7" t="s">
        <v>15</v>
      </c>
      <c r="BD9" s="8" t="s">
        <v>16</v>
      </c>
      <c r="BE9" s="7" t="s">
        <v>13</v>
      </c>
      <c r="BF9" s="7" t="s">
        <v>14</v>
      </c>
      <c r="BG9" s="7" t="s">
        <v>15</v>
      </c>
      <c r="BH9" s="7" t="s">
        <v>14</v>
      </c>
      <c r="BI9" s="7" t="s">
        <v>2</v>
      </c>
      <c r="BJ9" s="8" t="s">
        <v>16</v>
      </c>
      <c r="BK9" s="8" t="s">
        <v>16</v>
      </c>
      <c r="BL9" s="7" t="s">
        <v>2</v>
      </c>
      <c r="BM9" s="7" t="s">
        <v>16</v>
      </c>
      <c r="BN9" s="7" t="s">
        <v>16</v>
      </c>
      <c r="BO9" s="640"/>
      <c r="BP9" s="620"/>
      <c r="BQ9" s="643"/>
      <c r="BR9" s="620"/>
      <c r="BS9" s="620"/>
      <c r="BT9" s="636"/>
      <c r="BU9" s="32"/>
      <c r="BV9" s="636"/>
      <c r="BW9" s="636"/>
      <c r="BX9" s="32"/>
      <c r="BY9" s="620"/>
      <c r="BZ9" s="651"/>
      <c r="CA9" s="655"/>
      <c r="CB9" s="651"/>
      <c r="CC9" s="638"/>
      <c r="CD9" s="651"/>
      <c r="CE9" s="651"/>
      <c r="CF9" s="55"/>
      <c r="CG9" s="640"/>
      <c r="CH9" s="640"/>
      <c r="CI9" s="642"/>
      <c r="CJ9" s="642"/>
      <c r="CK9" s="642"/>
      <c r="CL9" s="642"/>
      <c r="CM9" s="50"/>
    </row>
    <row r="10" spans="1:145" s="28" customFormat="1" ht="16" customHeight="1" x14ac:dyDescent="0.2">
      <c r="A10" s="32"/>
      <c r="B10" s="642"/>
      <c r="C10" s="642"/>
      <c r="D10" s="648"/>
      <c r="E10" s="643"/>
      <c r="F10" s="7">
        <v>1</v>
      </c>
      <c r="G10" s="7">
        <v>2</v>
      </c>
      <c r="H10" s="7">
        <v>3</v>
      </c>
      <c r="I10" s="8">
        <v>4</v>
      </c>
      <c r="J10" s="8">
        <v>5</v>
      </c>
      <c r="K10" s="7">
        <v>6</v>
      </c>
      <c r="L10" s="7">
        <v>7</v>
      </c>
      <c r="M10" s="7">
        <v>8</v>
      </c>
      <c r="N10" s="7">
        <v>9</v>
      </c>
      <c r="O10" s="7">
        <v>10</v>
      </c>
      <c r="P10" s="8">
        <v>11</v>
      </c>
      <c r="Q10" s="8">
        <v>12</v>
      </c>
      <c r="R10" s="7">
        <v>13</v>
      </c>
      <c r="S10" s="7">
        <v>14</v>
      </c>
      <c r="T10" s="7">
        <v>15</v>
      </c>
      <c r="U10" s="7">
        <v>16</v>
      </c>
      <c r="V10" s="7">
        <v>17</v>
      </c>
      <c r="W10" s="8">
        <v>18</v>
      </c>
      <c r="X10" s="8">
        <v>19</v>
      </c>
      <c r="Y10" s="7">
        <v>20</v>
      </c>
      <c r="Z10" s="7">
        <v>21</v>
      </c>
      <c r="AA10" s="7">
        <v>22</v>
      </c>
      <c r="AB10" s="7">
        <v>23</v>
      </c>
      <c r="AC10" s="7">
        <v>24</v>
      </c>
      <c r="AD10" s="8">
        <v>25</v>
      </c>
      <c r="AE10" s="8">
        <v>26</v>
      </c>
      <c r="AF10" s="7">
        <v>27</v>
      </c>
      <c r="AG10" s="7">
        <v>28</v>
      </c>
      <c r="AH10" s="7">
        <v>29</v>
      </c>
      <c r="AI10" s="7">
        <v>30</v>
      </c>
      <c r="AJ10" s="7">
        <v>31</v>
      </c>
      <c r="AK10" s="8">
        <v>1</v>
      </c>
      <c r="AL10" s="8">
        <v>2</v>
      </c>
      <c r="AM10" s="7">
        <v>3</v>
      </c>
      <c r="AN10" s="7">
        <v>4</v>
      </c>
      <c r="AO10" s="7">
        <v>5</v>
      </c>
      <c r="AP10" s="7">
        <v>6</v>
      </c>
      <c r="AQ10" s="7">
        <v>7</v>
      </c>
      <c r="AR10" s="8">
        <v>8</v>
      </c>
      <c r="AS10" s="8">
        <v>9</v>
      </c>
      <c r="AT10" s="7">
        <v>10</v>
      </c>
      <c r="AU10" s="7">
        <v>11</v>
      </c>
      <c r="AV10" s="7">
        <v>12</v>
      </c>
      <c r="AW10" s="7">
        <v>13</v>
      </c>
      <c r="AX10" s="7">
        <v>14</v>
      </c>
      <c r="AY10" s="8">
        <v>15</v>
      </c>
      <c r="AZ10" s="8">
        <v>16</v>
      </c>
      <c r="BA10" s="7">
        <v>17</v>
      </c>
      <c r="BB10" s="7">
        <v>18</v>
      </c>
      <c r="BC10" s="7">
        <v>19</v>
      </c>
      <c r="BD10" s="8">
        <v>28</v>
      </c>
      <c r="BE10" s="7">
        <f>BD10+1</f>
        <v>29</v>
      </c>
      <c r="BF10" s="7">
        <f t="shared" ref="BF10:BG10" si="0">BE10+1</f>
        <v>30</v>
      </c>
      <c r="BG10" s="7">
        <f t="shared" si="0"/>
        <v>31</v>
      </c>
      <c r="BH10" s="7">
        <v>1</v>
      </c>
      <c r="BI10" s="7">
        <f>BH10+1</f>
        <v>2</v>
      </c>
      <c r="BJ10" s="8">
        <f t="shared" ref="BJ10:BN10" si="1">BI10+1</f>
        <v>3</v>
      </c>
      <c r="BK10" s="8">
        <f t="shared" si="1"/>
        <v>4</v>
      </c>
      <c r="BL10" s="7">
        <f t="shared" si="1"/>
        <v>5</v>
      </c>
      <c r="BM10" s="7">
        <f t="shared" si="1"/>
        <v>6</v>
      </c>
      <c r="BN10" s="7">
        <f t="shared" si="1"/>
        <v>7</v>
      </c>
      <c r="BO10" s="640"/>
      <c r="BP10" s="620"/>
      <c r="BQ10" s="643"/>
      <c r="BR10" s="620"/>
      <c r="BS10" s="620"/>
      <c r="BT10" s="637"/>
      <c r="BU10" s="32"/>
      <c r="BV10" s="637"/>
      <c r="BW10" s="637"/>
      <c r="BX10" s="32"/>
      <c r="BY10" s="620"/>
      <c r="BZ10" s="652"/>
      <c r="CA10" s="656"/>
      <c r="CB10" s="652"/>
      <c r="CC10" s="638"/>
      <c r="CD10" s="652"/>
      <c r="CE10" s="652"/>
      <c r="CF10" s="55"/>
      <c r="CG10" s="640"/>
      <c r="CH10" s="640"/>
      <c r="CI10" s="7" t="s">
        <v>7</v>
      </c>
      <c r="CJ10" s="7" t="s">
        <v>34</v>
      </c>
      <c r="CK10" s="7" t="s">
        <v>7</v>
      </c>
      <c r="CL10" s="7" t="s">
        <v>34</v>
      </c>
      <c r="CM10" s="50"/>
    </row>
    <row r="11" spans="1:145" ht="16" customHeight="1" x14ac:dyDescent="0.25">
      <c r="A11" s="32"/>
      <c r="B11" s="56"/>
      <c r="C11" s="56"/>
      <c r="D11" s="57"/>
      <c r="E11" s="57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6"/>
      <c r="BN11" s="56"/>
      <c r="BO11" s="58"/>
      <c r="BP11" s="55"/>
      <c r="BQ11" s="59"/>
      <c r="BR11" s="55"/>
      <c r="BS11" s="55"/>
      <c r="BT11" s="55"/>
      <c r="BU11" s="32"/>
      <c r="BV11" s="55"/>
      <c r="BW11" s="55"/>
      <c r="BX11" s="32"/>
      <c r="BY11" s="60"/>
      <c r="BZ11" s="61"/>
      <c r="CA11" s="62"/>
      <c r="CB11" s="61"/>
      <c r="CC11" s="61"/>
      <c r="CD11" s="55"/>
      <c r="CE11" s="55"/>
      <c r="CF11" s="55"/>
    </row>
    <row r="12" spans="1:145" s="28" customFormat="1" ht="15.5" customHeight="1" x14ac:dyDescent="0.25">
      <c r="A12" s="32"/>
      <c r="B12" s="63"/>
      <c r="C12" s="64"/>
      <c r="D12" s="64"/>
      <c r="E12" s="41"/>
      <c r="F12" s="65"/>
      <c r="G12" s="65"/>
      <c r="H12" s="65"/>
      <c r="I12" s="66"/>
      <c r="J12" s="66"/>
      <c r="K12" s="65"/>
      <c r="L12" s="65"/>
      <c r="M12" s="65"/>
      <c r="N12" s="65"/>
      <c r="O12" s="65"/>
      <c r="P12" s="66"/>
      <c r="Q12" s="66"/>
      <c r="R12" s="65"/>
      <c r="S12" s="65"/>
      <c r="T12" s="65"/>
      <c r="U12" s="65"/>
      <c r="V12" s="65"/>
      <c r="W12" s="66"/>
      <c r="X12" s="66"/>
      <c r="Y12" s="65"/>
      <c r="Z12" s="65"/>
      <c r="AA12" s="65"/>
      <c r="AB12" s="65"/>
      <c r="AC12" s="65"/>
      <c r="AD12" s="66"/>
      <c r="AE12" s="66"/>
      <c r="AF12" s="65"/>
      <c r="AG12" s="65"/>
      <c r="AH12" s="65"/>
      <c r="AI12" s="65"/>
      <c r="AJ12" s="65"/>
      <c r="AK12" s="66"/>
      <c r="AL12" s="66"/>
      <c r="AM12" s="65"/>
      <c r="AN12" s="65"/>
      <c r="AO12" s="65"/>
      <c r="AP12" s="65"/>
      <c r="AQ12" s="65"/>
      <c r="AR12" s="66"/>
      <c r="AS12" s="66"/>
      <c r="AT12" s="65"/>
      <c r="AU12" s="65"/>
      <c r="AV12" s="65"/>
      <c r="AW12" s="65"/>
      <c r="AX12" s="65"/>
      <c r="AY12" s="66"/>
      <c r="AZ12" s="66"/>
      <c r="BA12" s="65"/>
      <c r="BB12" s="65"/>
      <c r="BC12" s="65"/>
      <c r="BD12" s="66"/>
      <c r="BE12" s="65"/>
      <c r="BF12" s="214"/>
      <c r="BG12" s="214"/>
      <c r="BH12" s="65"/>
      <c r="BI12" s="65"/>
      <c r="BJ12" s="66"/>
      <c r="BK12" s="66"/>
      <c r="BL12" s="65"/>
      <c r="BM12" s="214"/>
      <c r="BN12" s="214"/>
      <c r="BO12" s="67"/>
      <c r="BP12" s="68"/>
      <c r="BQ12" s="69"/>
      <c r="BR12" s="68"/>
      <c r="BS12" s="68"/>
      <c r="BT12" s="70"/>
      <c r="BU12" s="32"/>
      <c r="BV12" s="70"/>
      <c r="BW12" s="70"/>
      <c r="BX12" s="32"/>
      <c r="BY12" s="71"/>
      <c r="BZ12" s="72"/>
      <c r="CA12" s="73"/>
      <c r="CB12" s="74"/>
      <c r="CC12" s="75"/>
      <c r="CD12" s="76"/>
      <c r="CE12" s="18"/>
      <c r="CF12" s="10"/>
      <c r="CG12" s="77"/>
      <c r="CH12" s="78"/>
      <c r="CI12" s="35"/>
      <c r="CJ12" s="79"/>
      <c r="CK12" s="35"/>
      <c r="CL12" s="79"/>
      <c r="CM12" s="50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  <c r="EN12" s="45"/>
      <c r="EO12" s="45"/>
    </row>
    <row r="13" spans="1:145" s="28" customFormat="1" ht="15.5" customHeight="1" x14ac:dyDescent="0.25">
      <c r="A13" s="32"/>
      <c r="B13" s="80" t="s">
        <v>35</v>
      </c>
      <c r="C13" s="81" t="s">
        <v>36</v>
      </c>
      <c r="D13" s="81"/>
      <c r="E13" s="39"/>
      <c r="F13" s="65"/>
      <c r="G13" s="65"/>
      <c r="H13" s="65"/>
      <c r="I13" s="66"/>
      <c r="J13" s="66"/>
      <c r="K13" s="65"/>
      <c r="L13" s="65"/>
      <c r="M13" s="65"/>
      <c r="N13" s="65"/>
      <c r="O13" s="65"/>
      <c r="P13" s="66"/>
      <c r="Q13" s="66"/>
      <c r="R13" s="65"/>
      <c r="S13" s="65"/>
      <c r="T13" s="65"/>
      <c r="U13" s="65"/>
      <c r="V13" s="65"/>
      <c r="W13" s="66"/>
      <c r="X13" s="66"/>
      <c r="Y13" s="65"/>
      <c r="Z13" s="65"/>
      <c r="AA13" s="65"/>
      <c r="AB13" s="65"/>
      <c r="AC13" s="65"/>
      <c r="AD13" s="66"/>
      <c r="AE13" s="66"/>
      <c r="AF13" s="65"/>
      <c r="AG13" s="65"/>
      <c r="AH13" s="65"/>
      <c r="AI13" s="65"/>
      <c r="AJ13" s="65"/>
      <c r="AK13" s="66"/>
      <c r="AL13" s="66"/>
      <c r="AM13" s="65"/>
      <c r="AN13" s="65"/>
      <c r="AO13" s="65"/>
      <c r="AP13" s="65"/>
      <c r="AQ13" s="65"/>
      <c r="AR13" s="66"/>
      <c r="AS13" s="66"/>
      <c r="AT13" s="65"/>
      <c r="AU13" s="65"/>
      <c r="AV13" s="65"/>
      <c r="AW13" s="65"/>
      <c r="AX13" s="65"/>
      <c r="AY13" s="66"/>
      <c r="AZ13" s="66"/>
      <c r="BA13" s="65"/>
      <c r="BB13" s="65"/>
      <c r="BC13" s="65"/>
      <c r="BD13" s="66"/>
      <c r="BE13" s="65"/>
      <c r="BF13" s="214"/>
      <c r="BG13" s="214"/>
      <c r="BH13" s="65"/>
      <c r="BI13" s="65"/>
      <c r="BJ13" s="66"/>
      <c r="BK13" s="66"/>
      <c r="BL13" s="65"/>
      <c r="BM13" s="214"/>
      <c r="BN13" s="214"/>
      <c r="BO13" s="82"/>
      <c r="BP13" s="22"/>
      <c r="BQ13" s="83"/>
      <c r="BR13" s="22"/>
      <c r="BS13" s="22"/>
      <c r="BT13" s="84"/>
      <c r="BU13" s="32"/>
      <c r="BV13" s="84"/>
      <c r="BW13" s="84"/>
      <c r="BX13" s="32"/>
      <c r="BY13" s="85"/>
      <c r="BZ13" s="86"/>
      <c r="CA13" s="87"/>
      <c r="CB13" s="88"/>
      <c r="CC13" s="89"/>
      <c r="CD13" s="90"/>
      <c r="CE13" s="21"/>
      <c r="CF13" s="10"/>
      <c r="CG13" s="44"/>
      <c r="CH13" s="91"/>
      <c r="CI13" s="37"/>
      <c r="CJ13" s="92"/>
      <c r="CK13" s="37"/>
      <c r="CL13" s="92"/>
      <c r="CM13" s="50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  <c r="EN13" s="45"/>
      <c r="EO13" s="45"/>
    </row>
    <row r="14" spans="1:145" s="28" customFormat="1" ht="15.5" customHeight="1" x14ac:dyDescent="0.25">
      <c r="A14" s="32"/>
      <c r="B14" s="93" t="s">
        <v>37</v>
      </c>
      <c r="C14" s="94" t="s">
        <v>38</v>
      </c>
      <c r="D14" s="95" t="s">
        <v>39</v>
      </c>
      <c r="E14" s="39" t="s">
        <v>40</v>
      </c>
      <c r="F14" s="65"/>
      <c r="G14" s="65"/>
      <c r="H14" s="65"/>
      <c r="I14" s="66"/>
      <c r="J14" s="66"/>
      <c r="K14" s="65"/>
      <c r="L14" s="65"/>
      <c r="M14" s="65"/>
      <c r="N14" s="65"/>
      <c r="O14" s="65"/>
      <c r="P14" s="66"/>
      <c r="Q14" s="66"/>
      <c r="R14" s="65"/>
      <c r="S14" s="65"/>
      <c r="T14" s="65"/>
      <c r="U14" s="65"/>
      <c r="V14" s="65"/>
      <c r="W14" s="66"/>
      <c r="X14" s="66"/>
      <c r="Y14" s="65"/>
      <c r="Z14" s="65"/>
      <c r="AA14" s="65"/>
      <c r="AB14" s="65"/>
      <c r="AC14" s="65"/>
      <c r="AD14" s="66"/>
      <c r="AE14" s="66"/>
      <c r="AF14" s="65"/>
      <c r="AG14" s="65"/>
      <c r="AH14" s="65"/>
      <c r="AI14" s="65"/>
      <c r="AJ14" s="65"/>
      <c r="AK14" s="66"/>
      <c r="AL14" s="66"/>
      <c r="AM14" s="65"/>
      <c r="AN14" s="65"/>
      <c r="AO14" s="65"/>
      <c r="AP14" s="65"/>
      <c r="AQ14" s="65"/>
      <c r="AR14" s="66"/>
      <c r="AS14" s="66"/>
      <c r="AT14" s="65"/>
      <c r="AU14" s="65"/>
      <c r="AV14" s="65"/>
      <c r="AW14" s="65"/>
      <c r="AX14" s="65"/>
      <c r="AY14" s="66"/>
      <c r="AZ14" s="66"/>
      <c r="BA14" s="65"/>
      <c r="BB14" s="65"/>
      <c r="BC14" s="65"/>
      <c r="BD14" s="66"/>
      <c r="BE14" s="65">
        <v>3</v>
      </c>
      <c r="BF14" s="65">
        <v>3</v>
      </c>
      <c r="BG14" s="65">
        <v>3</v>
      </c>
      <c r="BH14" s="65">
        <v>3</v>
      </c>
      <c r="BI14" s="65">
        <v>3</v>
      </c>
      <c r="BJ14" s="65">
        <v>3</v>
      </c>
      <c r="BK14" s="65">
        <v>3</v>
      </c>
      <c r="BL14" s="65">
        <v>3</v>
      </c>
      <c r="BM14" s="214"/>
      <c r="BN14" s="214"/>
      <c r="BO14" s="82">
        <f>SUM(F14:BN14)</f>
        <v>24</v>
      </c>
      <c r="BP14" s="22">
        <f>13891.5</f>
        <v>13891.5</v>
      </c>
      <c r="BQ14" s="217">
        <v>0.65990000000000004</v>
      </c>
      <c r="BR14" s="22">
        <f>BP14*(1-BQ14)</f>
        <v>4724.4991499999996</v>
      </c>
      <c r="BS14" s="22">
        <f>BR14*BO14</f>
        <v>113387.97959999999</v>
      </c>
      <c r="BT14" s="84">
        <f>BS14*0.8</f>
        <v>90710.383679999999</v>
      </c>
      <c r="BU14" s="97"/>
      <c r="BV14" s="98" cm="1">
        <f t="array" ref="BV14">SUM(BT14:BT15/$BT$29)</f>
        <v>0.31554697807736626</v>
      </c>
      <c r="BW14" s="98">
        <v>0.31796335413369642</v>
      </c>
      <c r="BX14" s="97"/>
      <c r="BY14" s="99">
        <v>0.97</v>
      </c>
      <c r="BZ14" s="86">
        <v>97631</v>
      </c>
      <c r="CA14" s="87">
        <f>BY14*BO14</f>
        <v>23.28</v>
      </c>
      <c r="CB14" s="88">
        <v>11451245</v>
      </c>
      <c r="CC14" s="100">
        <v>16255139</v>
      </c>
      <c r="CD14" s="90">
        <f>CC14*CA14/100</f>
        <v>3784196.3592000003</v>
      </c>
      <c r="CE14" s="21">
        <f>SUM(BT14:BT15)/SUM(CD14:CD15)*1000</f>
        <v>19.997899240090785</v>
      </c>
      <c r="CF14" s="10"/>
      <c r="CG14" s="44" t="s">
        <v>36</v>
      </c>
      <c r="CH14" s="91">
        <f>BR14*0.8</f>
        <v>3779.5993199999998</v>
      </c>
      <c r="CI14" s="37">
        <f>SUM(AK14:BG14)</f>
        <v>9</v>
      </c>
      <c r="CJ14" s="92">
        <f>CH14*CI14</f>
        <v>34016.393879999996</v>
      </c>
      <c r="CK14" s="37">
        <f>SUM(BH14:BN14)</f>
        <v>15</v>
      </c>
      <c r="CL14" s="92">
        <f>CK14*CH14</f>
        <v>56693.989799999996</v>
      </c>
      <c r="CM14" s="101" t="b">
        <f>(CJ14+CL14)=BT14</f>
        <v>1</v>
      </c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  <c r="EN14" s="45"/>
      <c r="EO14" s="45"/>
    </row>
    <row r="15" spans="1:145" s="28" customFormat="1" ht="15.5" customHeight="1" x14ac:dyDescent="0.25">
      <c r="A15" s="32"/>
      <c r="B15" s="102"/>
      <c r="C15" s="94" t="s">
        <v>41</v>
      </c>
      <c r="D15" s="95" t="s">
        <v>42</v>
      </c>
      <c r="E15" s="39" t="s">
        <v>40</v>
      </c>
      <c r="F15" s="65"/>
      <c r="G15" s="65"/>
      <c r="H15" s="65"/>
      <c r="I15" s="66"/>
      <c r="J15" s="66"/>
      <c r="K15" s="65"/>
      <c r="L15" s="65"/>
      <c r="M15" s="65"/>
      <c r="N15" s="65"/>
      <c r="O15" s="65"/>
      <c r="P15" s="66"/>
      <c r="Q15" s="66"/>
      <c r="R15" s="65"/>
      <c r="S15" s="65"/>
      <c r="T15" s="65"/>
      <c r="U15" s="65"/>
      <c r="V15" s="65"/>
      <c r="W15" s="66"/>
      <c r="X15" s="66"/>
      <c r="Y15" s="65"/>
      <c r="Z15" s="65"/>
      <c r="AA15" s="65"/>
      <c r="AB15" s="65"/>
      <c r="AC15" s="65"/>
      <c r="AD15" s="66"/>
      <c r="AE15" s="66"/>
      <c r="AF15" s="65"/>
      <c r="AG15" s="65"/>
      <c r="AH15" s="65"/>
      <c r="AI15" s="65"/>
      <c r="AJ15" s="65"/>
      <c r="AK15" s="66"/>
      <c r="AL15" s="66"/>
      <c r="AM15" s="65"/>
      <c r="AN15" s="65"/>
      <c r="AO15" s="65"/>
      <c r="AP15" s="65"/>
      <c r="AQ15" s="65"/>
      <c r="AR15" s="66"/>
      <c r="AS15" s="66"/>
      <c r="AT15" s="65"/>
      <c r="AU15" s="65"/>
      <c r="AV15" s="65"/>
      <c r="AW15" s="65"/>
      <c r="AX15" s="65"/>
      <c r="AY15" s="66"/>
      <c r="AZ15" s="66"/>
      <c r="BA15" s="65"/>
      <c r="BB15" s="65"/>
      <c r="BC15" s="65"/>
      <c r="BD15" s="66"/>
      <c r="BE15" s="65">
        <v>1</v>
      </c>
      <c r="BF15" s="65">
        <v>1</v>
      </c>
      <c r="BG15" s="65">
        <v>1</v>
      </c>
      <c r="BH15" s="65">
        <v>1</v>
      </c>
      <c r="BI15" s="65">
        <v>1</v>
      </c>
      <c r="BJ15" s="65">
        <v>1</v>
      </c>
      <c r="BK15" s="65">
        <v>1</v>
      </c>
      <c r="BL15" s="65">
        <v>1</v>
      </c>
      <c r="BM15" s="214"/>
      <c r="BN15" s="214"/>
      <c r="BO15" s="82">
        <f>SUM(F15:BN15)</f>
        <v>8</v>
      </c>
      <c r="BP15" s="22">
        <f>4681.95</f>
        <v>4681.95</v>
      </c>
      <c r="BQ15" s="217">
        <v>0.65990000000000004</v>
      </c>
      <c r="BR15" s="22">
        <f>BP15*(1-BQ15)</f>
        <v>1592.3311949999998</v>
      </c>
      <c r="BS15" s="22">
        <f>BR15*BO15</f>
        <v>12738.649559999998</v>
      </c>
      <c r="BT15" s="84">
        <f>BS15*0.8</f>
        <v>10190.919647999999</v>
      </c>
      <c r="BU15" s="97"/>
      <c r="BV15" s="98"/>
      <c r="BW15" s="98"/>
      <c r="BX15" s="97"/>
      <c r="BY15" s="99">
        <v>0.97</v>
      </c>
      <c r="BZ15" s="86">
        <v>97631</v>
      </c>
      <c r="CA15" s="87">
        <f>BY15*BO15</f>
        <v>7.76</v>
      </c>
      <c r="CB15" s="88">
        <v>11451245</v>
      </c>
      <c r="CC15" s="100">
        <v>16255139</v>
      </c>
      <c r="CD15" s="90">
        <f>CC15*CA15/100</f>
        <v>1261398.7864000001</v>
      </c>
      <c r="CE15" s="21"/>
      <c r="CF15" s="10"/>
      <c r="CG15" s="44"/>
      <c r="CH15" s="91">
        <f>BR15*0.8</f>
        <v>1273.8649559999999</v>
      </c>
      <c r="CI15" s="37">
        <f>SUM(AK15:BG15)</f>
        <v>3</v>
      </c>
      <c r="CJ15" s="92">
        <f>CH15*CI15</f>
        <v>3821.5948679999997</v>
      </c>
      <c r="CK15" s="37">
        <f>SUM(BH15:BN15)</f>
        <v>5</v>
      </c>
      <c r="CL15" s="92">
        <f>CK15*CH15</f>
        <v>6369.324779999999</v>
      </c>
      <c r="CM15" s="101" t="b">
        <f>(CJ15+CL15)=BT15</f>
        <v>1</v>
      </c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  <c r="EN15" s="45"/>
      <c r="EO15" s="45"/>
    </row>
    <row r="16" spans="1:145" s="28" customFormat="1" ht="15.5" customHeight="1" x14ac:dyDescent="0.25">
      <c r="A16" s="32"/>
      <c r="B16" s="102"/>
      <c r="C16" s="94"/>
      <c r="D16" s="95"/>
      <c r="E16" s="39"/>
      <c r="F16" s="65"/>
      <c r="G16" s="65"/>
      <c r="H16" s="65"/>
      <c r="I16" s="66"/>
      <c r="J16" s="66"/>
      <c r="K16" s="65"/>
      <c r="L16" s="65"/>
      <c r="M16" s="65"/>
      <c r="N16" s="65"/>
      <c r="O16" s="65"/>
      <c r="P16" s="66"/>
      <c r="Q16" s="66"/>
      <c r="R16" s="65"/>
      <c r="S16" s="65"/>
      <c r="T16" s="65"/>
      <c r="U16" s="65"/>
      <c r="V16" s="65"/>
      <c r="W16" s="66"/>
      <c r="X16" s="66"/>
      <c r="Y16" s="65"/>
      <c r="Z16" s="65"/>
      <c r="AA16" s="65"/>
      <c r="AB16" s="65"/>
      <c r="AC16" s="65"/>
      <c r="AD16" s="66"/>
      <c r="AE16" s="66"/>
      <c r="AF16" s="65"/>
      <c r="AG16" s="65"/>
      <c r="AH16" s="65"/>
      <c r="AI16" s="65"/>
      <c r="AJ16" s="65"/>
      <c r="AK16" s="66"/>
      <c r="AL16" s="66"/>
      <c r="AM16" s="65"/>
      <c r="AN16" s="65"/>
      <c r="AO16" s="65"/>
      <c r="AP16" s="65"/>
      <c r="AQ16" s="65"/>
      <c r="AR16" s="66"/>
      <c r="AS16" s="66"/>
      <c r="AT16" s="65"/>
      <c r="AU16" s="65"/>
      <c r="AV16" s="65"/>
      <c r="AW16" s="65"/>
      <c r="AX16" s="65"/>
      <c r="AY16" s="66"/>
      <c r="AZ16" s="66"/>
      <c r="BA16" s="65"/>
      <c r="BB16" s="65"/>
      <c r="BC16" s="65"/>
      <c r="BD16" s="66"/>
      <c r="BE16" s="65"/>
      <c r="BF16" s="214"/>
      <c r="BG16" s="214"/>
      <c r="BH16" s="65"/>
      <c r="BI16" s="65"/>
      <c r="BJ16" s="66"/>
      <c r="BK16" s="66"/>
      <c r="BL16" s="65"/>
      <c r="BM16" s="214"/>
      <c r="BN16" s="214"/>
      <c r="BO16" s="82"/>
      <c r="BP16" s="22"/>
      <c r="BQ16" s="103"/>
      <c r="BR16" s="22"/>
      <c r="BS16" s="22"/>
      <c r="BT16" s="104"/>
      <c r="BU16" s="97"/>
      <c r="BV16" s="105"/>
      <c r="BW16" s="105"/>
      <c r="BX16" s="97"/>
      <c r="BY16" s="106"/>
      <c r="BZ16" s="107"/>
      <c r="CA16" s="108"/>
      <c r="CB16" s="109"/>
      <c r="CC16" s="110"/>
      <c r="CD16" s="109"/>
      <c r="CE16" s="21"/>
      <c r="CF16" s="10"/>
      <c r="CG16" s="44"/>
      <c r="CH16" s="91"/>
      <c r="CI16" s="37"/>
      <c r="CJ16" s="92"/>
      <c r="CK16" s="37"/>
      <c r="CL16" s="92"/>
      <c r="CM16" s="50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  <c r="EN16" s="45"/>
      <c r="EO16" s="45"/>
    </row>
    <row r="17" spans="1:145" s="28" customFormat="1" ht="15.5" customHeight="1" x14ac:dyDescent="0.25">
      <c r="A17" s="32"/>
      <c r="B17" s="111"/>
      <c r="C17" s="81"/>
      <c r="D17" s="81"/>
      <c r="E17" s="39"/>
      <c r="F17" s="65"/>
      <c r="G17" s="65"/>
      <c r="H17" s="65"/>
      <c r="I17" s="66"/>
      <c r="J17" s="66"/>
      <c r="K17" s="65"/>
      <c r="L17" s="65"/>
      <c r="M17" s="65"/>
      <c r="N17" s="65"/>
      <c r="O17" s="65"/>
      <c r="P17" s="66"/>
      <c r="Q17" s="66"/>
      <c r="R17" s="65"/>
      <c r="S17" s="65"/>
      <c r="T17" s="65"/>
      <c r="U17" s="65"/>
      <c r="V17" s="65"/>
      <c r="W17" s="66"/>
      <c r="X17" s="66"/>
      <c r="Y17" s="65"/>
      <c r="Z17" s="65"/>
      <c r="AA17" s="65"/>
      <c r="AB17" s="65"/>
      <c r="AC17" s="65"/>
      <c r="AD17" s="66"/>
      <c r="AE17" s="66"/>
      <c r="AF17" s="65"/>
      <c r="AG17" s="65"/>
      <c r="AH17" s="65"/>
      <c r="AI17" s="65"/>
      <c r="AJ17" s="65"/>
      <c r="AK17" s="66"/>
      <c r="AL17" s="66"/>
      <c r="AM17" s="65"/>
      <c r="AN17" s="65"/>
      <c r="AO17" s="65"/>
      <c r="AP17" s="65"/>
      <c r="AQ17" s="65"/>
      <c r="AR17" s="66"/>
      <c r="AS17" s="66"/>
      <c r="AT17" s="65"/>
      <c r="AU17" s="65"/>
      <c r="AV17" s="65"/>
      <c r="AW17" s="65"/>
      <c r="AX17" s="65"/>
      <c r="AY17" s="66"/>
      <c r="AZ17" s="66"/>
      <c r="BA17" s="65"/>
      <c r="BB17" s="65"/>
      <c r="BC17" s="65"/>
      <c r="BD17" s="66"/>
      <c r="BE17" s="65"/>
      <c r="BF17" s="214"/>
      <c r="BG17" s="214"/>
      <c r="BH17" s="65"/>
      <c r="BI17" s="65"/>
      <c r="BJ17" s="66"/>
      <c r="BK17" s="66"/>
      <c r="BL17" s="65"/>
      <c r="BM17" s="214"/>
      <c r="BN17" s="214"/>
      <c r="BO17" s="67"/>
      <c r="BP17" s="68"/>
      <c r="BQ17" s="112"/>
      <c r="BR17" s="68"/>
      <c r="BS17" s="68"/>
      <c r="BT17" s="84"/>
      <c r="BU17" s="97"/>
      <c r="BV17" s="98"/>
      <c r="BW17" s="98"/>
      <c r="BX17" s="97"/>
      <c r="BY17" s="99"/>
      <c r="BZ17" s="86"/>
      <c r="CA17" s="87"/>
      <c r="CB17" s="88"/>
      <c r="CC17" s="89"/>
      <c r="CD17" s="90"/>
      <c r="CE17" s="18"/>
      <c r="CF17" s="10"/>
      <c r="CG17" s="44"/>
      <c r="CH17" s="91"/>
      <c r="CI17" s="37"/>
      <c r="CJ17" s="92"/>
      <c r="CK17" s="37"/>
      <c r="CL17" s="92"/>
      <c r="CM17" s="50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  <c r="EN17" s="45"/>
      <c r="EO17" s="45"/>
    </row>
    <row r="18" spans="1:145" ht="15.5" customHeight="1" x14ac:dyDescent="0.25">
      <c r="A18" s="32"/>
      <c r="B18" s="111"/>
      <c r="C18" s="81" t="s">
        <v>43</v>
      </c>
      <c r="D18" s="95" t="s">
        <v>39</v>
      </c>
      <c r="E18" s="39" t="s">
        <v>40</v>
      </c>
      <c r="F18" s="65"/>
      <c r="G18" s="65"/>
      <c r="H18" s="65"/>
      <c r="I18" s="66"/>
      <c r="J18" s="66"/>
      <c r="K18" s="65"/>
      <c r="L18" s="65"/>
      <c r="M18" s="65"/>
      <c r="N18" s="65"/>
      <c r="O18" s="65"/>
      <c r="P18" s="66"/>
      <c r="Q18" s="66"/>
      <c r="R18" s="65"/>
      <c r="S18" s="65"/>
      <c r="T18" s="65"/>
      <c r="U18" s="65"/>
      <c r="V18" s="65"/>
      <c r="W18" s="66"/>
      <c r="X18" s="66"/>
      <c r="Y18" s="65"/>
      <c r="Z18" s="65"/>
      <c r="AA18" s="65"/>
      <c r="AB18" s="65"/>
      <c r="AC18" s="65"/>
      <c r="AD18" s="66"/>
      <c r="AE18" s="66"/>
      <c r="AF18" s="65"/>
      <c r="AG18" s="65"/>
      <c r="AH18" s="65"/>
      <c r="AI18" s="65"/>
      <c r="AJ18" s="65"/>
      <c r="AK18" s="66"/>
      <c r="AL18" s="66"/>
      <c r="AM18" s="65"/>
      <c r="AN18" s="65"/>
      <c r="AO18" s="65"/>
      <c r="AP18" s="65"/>
      <c r="AQ18" s="65"/>
      <c r="AR18" s="66"/>
      <c r="AS18" s="66"/>
      <c r="AT18" s="65"/>
      <c r="AU18" s="65"/>
      <c r="AV18" s="65"/>
      <c r="AW18" s="65"/>
      <c r="AX18" s="65"/>
      <c r="AY18" s="66"/>
      <c r="AZ18" s="66"/>
      <c r="BA18" s="65"/>
      <c r="BB18" s="65"/>
      <c r="BC18" s="65"/>
      <c r="BD18" s="66"/>
      <c r="BE18" s="65">
        <v>5</v>
      </c>
      <c r="BF18" s="65">
        <v>5</v>
      </c>
      <c r="BG18" s="65">
        <v>5</v>
      </c>
      <c r="BH18" s="65">
        <v>4</v>
      </c>
      <c r="BI18" s="65">
        <v>4</v>
      </c>
      <c r="BJ18" s="65">
        <v>4</v>
      </c>
      <c r="BK18" s="66">
        <v>4</v>
      </c>
      <c r="BL18" s="65">
        <v>4</v>
      </c>
      <c r="BM18" s="214"/>
      <c r="BN18" s="214"/>
      <c r="BO18" s="82">
        <f>SUM(F18:BN18)</f>
        <v>35</v>
      </c>
      <c r="BP18" s="22">
        <f>7604</f>
        <v>7604</v>
      </c>
      <c r="BQ18" s="103">
        <v>0.65</v>
      </c>
      <c r="BR18" s="22">
        <f>BP18*(1-BQ18)</f>
        <v>2661.3999999999996</v>
      </c>
      <c r="BS18" s="22">
        <f>BR18*BO18</f>
        <v>93148.999999999985</v>
      </c>
      <c r="BT18" s="84">
        <f>BS18*0.8</f>
        <v>74519.199999999997</v>
      </c>
      <c r="BU18" s="97"/>
      <c r="BV18" s="98">
        <f>SUM(BT18:BT19)/$BT$29</f>
        <v>0.23304266241541877</v>
      </c>
      <c r="BW18" s="98">
        <v>0.26616162091521489</v>
      </c>
      <c r="BX18" s="97"/>
      <c r="BY18" s="99">
        <v>0.92</v>
      </c>
      <c r="BZ18" s="86">
        <v>81725</v>
      </c>
      <c r="CA18" s="87">
        <f>BY18*BO18</f>
        <v>32.200000000000003</v>
      </c>
      <c r="CB18" s="88">
        <v>11451245</v>
      </c>
      <c r="CC18" s="100">
        <v>16255139</v>
      </c>
      <c r="CD18" s="90">
        <f>CC18*CA18/100</f>
        <v>5234154.7580000004</v>
      </c>
      <c r="CE18" s="21">
        <f>BT18/CD18*1000</f>
        <v>14.237102922129532</v>
      </c>
      <c r="CF18" s="113"/>
      <c r="CG18" s="44" t="s">
        <v>43</v>
      </c>
      <c r="CH18" s="91">
        <f>BR18*0.8</f>
        <v>2129.12</v>
      </c>
      <c r="CI18" s="37">
        <f>SUM(AK18:BG18)</f>
        <v>15</v>
      </c>
      <c r="CJ18" s="92">
        <f>CH18*CI18</f>
        <v>31936.799999999999</v>
      </c>
      <c r="CK18" s="37">
        <f>SUM(BH18:BN18)</f>
        <v>20</v>
      </c>
      <c r="CL18" s="92">
        <f>CK18*CH18</f>
        <v>42582.399999999994</v>
      </c>
      <c r="CM18" s="101" t="b">
        <f>(CJ18+CL18)=BT18</f>
        <v>1</v>
      </c>
    </row>
    <row r="19" spans="1:145" ht="15.5" hidden="1" customHeight="1" x14ac:dyDescent="0.25">
      <c r="A19" s="32"/>
      <c r="B19" s="111"/>
      <c r="C19" s="94" t="s">
        <v>38</v>
      </c>
      <c r="D19" s="95"/>
      <c r="E19" s="39" t="s">
        <v>40</v>
      </c>
      <c r="F19" s="65"/>
      <c r="G19" s="65"/>
      <c r="H19" s="65"/>
      <c r="I19" s="66"/>
      <c r="J19" s="66"/>
      <c r="K19" s="65"/>
      <c r="L19" s="65"/>
      <c r="M19" s="65"/>
      <c r="N19" s="65"/>
      <c r="O19" s="65"/>
      <c r="P19" s="66"/>
      <c r="Q19" s="66"/>
      <c r="R19" s="65"/>
      <c r="S19" s="65"/>
      <c r="T19" s="65"/>
      <c r="U19" s="65"/>
      <c r="V19" s="65"/>
      <c r="W19" s="66"/>
      <c r="X19" s="66"/>
      <c r="Y19" s="65"/>
      <c r="Z19" s="65"/>
      <c r="AA19" s="65"/>
      <c r="AB19" s="65"/>
      <c r="AC19" s="65"/>
      <c r="AD19" s="66"/>
      <c r="AE19" s="66"/>
      <c r="AF19" s="65"/>
      <c r="AG19" s="65"/>
      <c r="AH19" s="65"/>
      <c r="AI19" s="65"/>
      <c r="AJ19" s="65"/>
      <c r="AK19" s="66"/>
      <c r="AL19" s="66"/>
      <c r="AM19" s="65"/>
      <c r="AN19" s="65"/>
      <c r="AO19" s="65"/>
      <c r="AP19" s="65"/>
      <c r="AQ19" s="65"/>
      <c r="AR19" s="66"/>
      <c r="AS19" s="66"/>
      <c r="AT19" s="65"/>
      <c r="AU19" s="65"/>
      <c r="AV19" s="65"/>
      <c r="AW19" s="65"/>
      <c r="AX19" s="65"/>
      <c r="AY19" s="66"/>
      <c r="AZ19" s="66"/>
      <c r="BA19" s="65"/>
      <c r="BB19" s="65"/>
      <c r="BC19" s="65"/>
      <c r="BD19" s="66"/>
      <c r="BE19" s="65"/>
      <c r="BF19" s="214"/>
      <c r="BG19" s="214"/>
      <c r="BH19" s="65"/>
      <c r="BI19" s="65"/>
      <c r="BJ19" s="66"/>
      <c r="BK19" s="66"/>
      <c r="BL19" s="65"/>
      <c r="BM19" s="214"/>
      <c r="BN19" s="214"/>
      <c r="BO19" s="82">
        <f>SUM(F19:BN19)</f>
        <v>0</v>
      </c>
      <c r="BP19" s="22">
        <f>7604</f>
        <v>7604</v>
      </c>
      <c r="BQ19" s="96">
        <v>1</v>
      </c>
      <c r="BR19" s="22">
        <f>BP19*(1-BQ19)</f>
        <v>0</v>
      </c>
      <c r="BS19" s="22">
        <f>BR19*BO19</f>
        <v>0</v>
      </c>
      <c r="BT19" s="84">
        <f>BS19*0.8</f>
        <v>0</v>
      </c>
      <c r="BU19" s="97"/>
      <c r="BV19" s="98"/>
      <c r="BW19" s="98"/>
      <c r="BX19" s="97"/>
      <c r="BY19" s="99">
        <v>0.92</v>
      </c>
      <c r="BZ19" s="86">
        <v>81725</v>
      </c>
      <c r="CA19" s="87">
        <f>BY19*BO19</f>
        <v>0</v>
      </c>
      <c r="CB19" s="88">
        <v>11451245</v>
      </c>
      <c r="CC19" s="89">
        <v>17116728</v>
      </c>
      <c r="CD19" s="90">
        <f>CC19*CA19/100</f>
        <v>0</v>
      </c>
      <c r="CE19" s="21" t="e">
        <f>BT19/CD19*1000</f>
        <v>#DIV/0!</v>
      </c>
      <c r="CF19" s="113"/>
      <c r="CG19" s="44"/>
      <c r="CH19" s="91">
        <f>BR19*0.8</f>
        <v>0</v>
      </c>
      <c r="CI19" s="37">
        <f>SUM(AK19:BN19)</f>
        <v>0</v>
      </c>
      <c r="CJ19" s="92">
        <f>CH19*CI19</f>
        <v>0</v>
      </c>
      <c r="CK19" s="37">
        <f>SUM(AM19:BP19)</f>
        <v>7604</v>
      </c>
      <c r="CL19" s="92">
        <f>CJ19*CK19</f>
        <v>0</v>
      </c>
      <c r="CM19" s="101" t="e">
        <f>SUM(#REF!,CJ19,#REF!)=BT19</f>
        <v>#REF!</v>
      </c>
    </row>
    <row r="20" spans="1:145" ht="15.5" customHeight="1" x14ac:dyDescent="0.25">
      <c r="A20" s="32"/>
      <c r="B20" s="111"/>
      <c r="C20" s="94"/>
      <c r="D20" s="95"/>
      <c r="E20" s="39"/>
      <c r="F20" s="65"/>
      <c r="G20" s="65"/>
      <c r="H20" s="65"/>
      <c r="I20" s="66"/>
      <c r="J20" s="66"/>
      <c r="K20" s="65"/>
      <c r="L20" s="65"/>
      <c r="M20" s="65"/>
      <c r="N20" s="65"/>
      <c r="O20" s="65"/>
      <c r="P20" s="66"/>
      <c r="Q20" s="66"/>
      <c r="R20" s="65"/>
      <c r="S20" s="65"/>
      <c r="T20" s="65"/>
      <c r="U20" s="65"/>
      <c r="V20" s="65"/>
      <c r="W20" s="66"/>
      <c r="X20" s="66"/>
      <c r="Y20" s="65"/>
      <c r="Z20" s="65"/>
      <c r="AA20" s="65"/>
      <c r="AB20" s="65"/>
      <c r="AC20" s="65"/>
      <c r="AD20" s="66"/>
      <c r="AE20" s="66"/>
      <c r="AF20" s="65"/>
      <c r="AG20" s="65"/>
      <c r="AH20" s="65"/>
      <c r="AI20" s="65"/>
      <c r="AJ20" s="65"/>
      <c r="AK20" s="66"/>
      <c r="AL20" s="66"/>
      <c r="AM20" s="65"/>
      <c r="AN20" s="65"/>
      <c r="AO20" s="65"/>
      <c r="AP20" s="65"/>
      <c r="AQ20" s="65"/>
      <c r="AR20" s="66"/>
      <c r="AS20" s="66"/>
      <c r="AT20" s="65"/>
      <c r="AU20" s="65"/>
      <c r="AV20" s="65"/>
      <c r="AW20" s="65"/>
      <c r="AX20" s="65"/>
      <c r="AY20" s="66"/>
      <c r="AZ20" s="66"/>
      <c r="BA20" s="65"/>
      <c r="BB20" s="65"/>
      <c r="BC20" s="65"/>
      <c r="BD20" s="66"/>
      <c r="BE20" s="65"/>
      <c r="BF20" s="214"/>
      <c r="BG20" s="214"/>
      <c r="BH20" s="65"/>
      <c r="BI20" s="65"/>
      <c r="BJ20" s="66"/>
      <c r="BK20" s="66"/>
      <c r="BL20" s="65"/>
      <c r="BM20" s="214"/>
      <c r="BN20" s="214"/>
      <c r="BO20" s="82"/>
      <c r="BP20" s="22"/>
      <c r="BQ20" s="103"/>
      <c r="BR20" s="22"/>
      <c r="BS20" s="22"/>
      <c r="BT20" s="104"/>
      <c r="BU20" s="97"/>
      <c r="BV20" s="105"/>
      <c r="BW20" s="105"/>
      <c r="BX20" s="97"/>
      <c r="BY20" s="106"/>
      <c r="BZ20" s="107"/>
      <c r="CA20" s="108"/>
      <c r="CB20" s="109"/>
      <c r="CC20" s="110"/>
      <c r="CD20" s="109"/>
      <c r="CE20" s="114"/>
      <c r="CF20" s="10"/>
      <c r="CG20" s="44"/>
      <c r="CH20" s="91"/>
      <c r="CI20" s="37"/>
      <c r="CJ20" s="92"/>
      <c r="CK20" s="37"/>
      <c r="CL20" s="92"/>
    </row>
    <row r="21" spans="1:145" ht="15.5" customHeight="1" x14ac:dyDescent="0.25">
      <c r="A21" s="32"/>
      <c r="B21" s="115"/>
      <c r="C21" s="116"/>
      <c r="D21" s="42"/>
      <c r="E21" s="117"/>
      <c r="F21" s="65"/>
      <c r="G21" s="65"/>
      <c r="H21" s="65"/>
      <c r="I21" s="66"/>
      <c r="J21" s="66"/>
      <c r="K21" s="65"/>
      <c r="L21" s="65"/>
      <c r="M21" s="65"/>
      <c r="N21" s="65"/>
      <c r="O21" s="65"/>
      <c r="P21" s="66"/>
      <c r="Q21" s="66"/>
      <c r="R21" s="65"/>
      <c r="S21" s="65"/>
      <c r="T21" s="65"/>
      <c r="U21" s="65"/>
      <c r="V21" s="65"/>
      <c r="W21" s="66"/>
      <c r="X21" s="66"/>
      <c r="Y21" s="65"/>
      <c r="Z21" s="65"/>
      <c r="AA21" s="65"/>
      <c r="AB21" s="65"/>
      <c r="AC21" s="65"/>
      <c r="AD21" s="66"/>
      <c r="AE21" s="66"/>
      <c r="AF21" s="65"/>
      <c r="AG21" s="65"/>
      <c r="AH21" s="65"/>
      <c r="AI21" s="65"/>
      <c r="AJ21" s="65"/>
      <c r="AK21" s="66"/>
      <c r="AL21" s="66"/>
      <c r="AM21" s="65"/>
      <c r="AN21" s="65"/>
      <c r="AO21" s="65"/>
      <c r="AP21" s="65"/>
      <c r="AQ21" s="65"/>
      <c r="AR21" s="66"/>
      <c r="AS21" s="66"/>
      <c r="AT21" s="65"/>
      <c r="AU21" s="65"/>
      <c r="AV21" s="65"/>
      <c r="AW21" s="65"/>
      <c r="AX21" s="65"/>
      <c r="AY21" s="66"/>
      <c r="AZ21" s="66"/>
      <c r="BA21" s="65"/>
      <c r="BB21" s="65"/>
      <c r="BC21" s="65"/>
      <c r="BD21" s="66"/>
      <c r="BE21" s="65"/>
      <c r="BF21" s="214"/>
      <c r="BG21" s="214"/>
      <c r="BH21" s="65"/>
      <c r="BI21" s="65"/>
      <c r="BJ21" s="66"/>
      <c r="BK21" s="66"/>
      <c r="BL21" s="65"/>
      <c r="BM21" s="214"/>
      <c r="BN21" s="214"/>
      <c r="BO21" s="118"/>
      <c r="BP21" s="68"/>
      <c r="BQ21" s="119"/>
      <c r="BR21" s="68"/>
      <c r="BS21" s="68"/>
      <c r="BT21" s="68"/>
      <c r="BU21" s="97"/>
      <c r="BV21" s="120"/>
      <c r="BW21" s="120"/>
      <c r="BX21" s="97"/>
      <c r="BY21" s="121"/>
      <c r="BZ21" s="122"/>
      <c r="CA21" s="123"/>
      <c r="CB21" s="90"/>
      <c r="CC21" s="89"/>
      <c r="CD21" s="90"/>
      <c r="CE21" s="18"/>
      <c r="CF21" s="10"/>
      <c r="CG21" s="44"/>
      <c r="CH21" s="91"/>
      <c r="CI21" s="37"/>
      <c r="CJ21" s="92"/>
      <c r="CK21" s="37"/>
      <c r="CL21" s="92"/>
    </row>
    <row r="22" spans="1:145" ht="15.5" customHeight="1" x14ac:dyDescent="0.25">
      <c r="A22" s="32"/>
      <c r="B22" s="111"/>
      <c r="C22" s="81" t="s">
        <v>44</v>
      </c>
      <c r="D22" s="95" t="s">
        <v>45</v>
      </c>
      <c r="E22" s="39" t="s">
        <v>40</v>
      </c>
      <c r="F22" s="65"/>
      <c r="G22" s="65"/>
      <c r="H22" s="65"/>
      <c r="I22" s="66"/>
      <c r="J22" s="66"/>
      <c r="K22" s="65"/>
      <c r="L22" s="65"/>
      <c r="M22" s="65"/>
      <c r="N22" s="65"/>
      <c r="O22" s="65"/>
      <c r="P22" s="66"/>
      <c r="Q22" s="66"/>
      <c r="R22" s="65"/>
      <c r="S22" s="65"/>
      <c r="T22" s="65"/>
      <c r="U22" s="65"/>
      <c r="V22" s="65"/>
      <c r="W22" s="66"/>
      <c r="X22" s="66"/>
      <c r="Y22" s="65"/>
      <c r="Z22" s="65"/>
      <c r="AA22" s="65"/>
      <c r="AB22" s="65"/>
      <c r="AC22" s="65"/>
      <c r="AD22" s="66"/>
      <c r="AE22" s="66"/>
      <c r="AF22" s="65"/>
      <c r="AG22" s="65"/>
      <c r="AH22" s="65"/>
      <c r="AI22" s="65"/>
      <c r="AJ22" s="65"/>
      <c r="AK22" s="66"/>
      <c r="AL22" s="66"/>
      <c r="AM22" s="65"/>
      <c r="AN22" s="65"/>
      <c r="AO22" s="65"/>
      <c r="AP22" s="65"/>
      <c r="AQ22" s="65"/>
      <c r="AR22" s="66"/>
      <c r="AS22" s="66"/>
      <c r="AT22" s="65"/>
      <c r="AU22" s="65"/>
      <c r="AV22" s="65"/>
      <c r="AW22" s="65"/>
      <c r="AX22" s="65"/>
      <c r="AY22" s="66"/>
      <c r="AZ22" s="66"/>
      <c r="BA22" s="65"/>
      <c r="BB22" s="65"/>
      <c r="BC22" s="65"/>
      <c r="BD22" s="66"/>
      <c r="BE22" s="65">
        <v>4</v>
      </c>
      <c r="BF22" s="65">
        <v>4</v>
      </c>
      <c r="BG22" s="65">
        <v>4</v>
      </c>
      <c r="BH22" s="65">
        <v>3</v>
      </c>
      <c r="BI22" s="65">
        <v>3</v>
      </c>
      <c r="BJ22" s="65">
        <v>3</v>
      </c>
      <c r="BK22" s="66">
        <v>3</v>
      </c>
      <c r="BL22" s="65">
        <v>3</v>
      </c>
      <c r="BM22" s="214"/>
      <c r="BN22" s="214"/>
      <c r="BO22" s="82">
        <f>SUM(F22:BN22)</f>
        <v>27</v>
      </c>
      <c r="BP22" s="22">
        <f>8190</f>
        <v>8190</v>
      </c>
      <c r="BQ22" s="103">
        <v>0.65</v>
      </c>
      <c r="BR22" s="22">
        <f>BP22*(1-BQ22)</f>
        <v>2866.5</v>
      </c>
      <c r="BS22" s="22">
        <f>BR22*BO22</f>
        <v>77395.5</v>
      </c>
      <c r="BT22" s="84">
        <f>BS22*0.8</f>
        <v>61916.4</v>
      </c>
      <c r="BU22" s="97"/>
      <c r="BV22" s="98" cm="1">
        <f t="array" ref="BV22">SUM(BT22:BT23/$BT$29)</f>
        <v>0.19363013428992845</v>
      </c>
      <c r="BW22" s="98">
        <v>0.19686040153690601</v>
      </c>
      <c r="BX22" s="97"/>
      <c r="BY22" s="99">
        <v>0.89</v>
      </c>
      <c r="BZ22" s="86">
        <v>60446</v>
      </c>
      <c r="CA22" s="87">
        <f>BY22*BO22</f>
        <v>24.03</v>
      </c>
      <c r="CB22" s="88">
        <v>11451245</v>
      </c>
      <c r="CC22" s="100">
        <v>16255139</v>
      </c>
      <c r="CD22" s="90">
        <f>CC22*(CA22+CA24)/100</f>
        <v>3906109.9017000003</v>
      </c>
      <c r="CE22" s="21">
        <f>BT22/CD22*1000</f>
        <v>15.851166904713308</v>
      </c>
      <c r="CF22" s="10"/>
      <c r="CG22" s="44" t="s">
        <v>44</v>
      </c>
      <c r="CH22" s="91">
        <f>BR22*0.8</f>
        <v>2293.2000000000003</v>
      </c>
      <c r="CI22" s="37">
        <f>SUM(AK22:BG22)</f>
        <v>12</v>
      </c>
      <c r="CJ22" s="92">
        <f>CH22*CI22</f>
        <v>27518.400000000001</v>
      </c>
      <c r="CK22" s="37">
        <f>SUM(BH22:BN22)</f>
        <v>15</v>
      </c>
      <c r="CL22" s="92">
        <f>CK22*CH22</f>
        <v>34398.000000000007</v>
      </c>
      <c r="CM22" s="101" t="b">
        <f>(CJ22+CL22)=BT22</f>
        <v>1</v>
      </c>
    </row>
    <row r="23" spans="1:145" ht="15.5" hidden="1" customHeight="1" x14ac:dyDescent="0.25">
      <c r="A23" s="32"/>
      <c r="B23" s="111"/>
      <c r="C23" s="94" t="s">
        <v>38</v>
      </c>
      <c r="D23" s="95"/>
      <c r="E23" s="39" t="s">
        <v>40</v>
      </c>
      <c r="F23" s="65"/>
      <c r="G23" s="65"/>
      <c r="H23" s="65"/>
      <c r="I23" s="66"/>
      <c r="J23" s="66"/>
      <c r="K23" s="65"/>
      <c r="L23" s="65"/>
      <c r="M23" s="65"/>
      <c r="N23" s="65"/>
      <c r="O23" s="65"/>
      <c r="P23" s="66"/>
      <c r="Q23" s="66"/>
      <c r="R23" s="65"/>
      <c r="S23" s="65"/>
      <c r="T23" s="65"/>
      <c r="U23" s="65"/>
      <c r="V23" s="65"/>
      <c r="W23" s="66"/>
      <c r="X23" s="66"/>
      <c r="Y23" s="65"/>
      <c r="Z23" s="65"/>
      <c r="AA23" s="65"/>
      <c r="AB23" s="65"/>
      <c r="AC23" s="65"/>
      <c r="AD23" s="66"/>
      <c r="AE23" s="66"/>
      <c r="AF23" s="65"/>
      <c r="AG23" s="65"/>
      <c r="AH23" s="65"/>
      <c r="AI23" s="65"/>
      <c r="AJ23" s="65"/>
      <c r="AK23" s="66"/>
      <c r="AL23" s="66"/>
      <c r="AM23" s="65"/>
      <c r="AN23" s="65"/>
      <c r="AO23" s="65"/>
      <c r="AP23" s="65"/>
      <c r="AQ23" s="65"/>
      <c r="AR23" s="66"/>
      <c r="AS23" s="66"/>
      <c r="AT23" s="65"/>
      <c r="AU23" s="65"/>
      <c r="AV23" s="65"/>
      <c r="AW23" s="65"/>
      <c r="AX23" s="65"/>
      <c r="AY23" s="66"/>
      <c r="AZ23" s="66"/>
      <c r="BA23" s="65"/>
      <c r="BB23" s="65"/>
      <c r="BC23" s="65"/>
      <c r="BD23" s="66"/>
      <c r="BE23" s="65"/>
      <c r="BF23" s="214"/>
      <c r="BG23" s="214"/>
      <c r="BH23" s="65"/>
      <c r="BI23" s="65"/>
      <c r="BJ23" s="66"/>
      <c r="BK23" s="66"/>
      <c r="BL23" s="65"/>
      <c r="BM23" s="214"/>
      <c r="BN23" s="214"/>
      <c r="BO23" s="82">
        <f>SUM(F23:BN23)</f>
        <v>0</v>
      </c>
      <c r="BP23" s="22">
        <f>8190</f>
        <v>8190</v>
      </c>
      <c r="BQ23" s="96">
        <v>1</v>
      </c>
      <c r="BR23" s="22">
        <f>BP23*(1-BQ23)</f>
        <v>0</v>
      </c>
      <c r="BS23" s="22">
        <f>BR23*BO23</f>
        <v>0</v>
      </c>
      <c r="BT23" s="84">
        <f>BS23*0.8</f>
        <v>0</v>
      </c>
      <c r="BU23" s="97"/>
      <c r="BV23" s="98"/>
      <c r="BW23" s="98"/>
      <c r="BX23" s="97"/>
      <c r="BY23" s="99">
        <v>0.89</v>
      </c>
      <c r="BZ23" s="86">
        <v>60446</v>
      </c>
      <c r="CA23" s="87">
        <f>BY23*BO23</f>
        <v>0</v>
      </c>
      <c r="CB23" s="88">
        <v>11451245</v>
      </c>
      <c r="CC23" s="89">
        <v>17116728</v>
      </c>
      <c r="CD23" s="90">
        <f>CC23*(CA23+CA25)/100</f>
        <v>0</v>
      </c>
      <c r="CE23" s="21" t="e">
        <f>BT23/CD23*1000</f>
        <v>#DIV/0!</v>
      </c>
      <c r="CF23" s="10"/>
      <c r="CG23" s="44"/>
      <c r="CH23" s="91">
        <f>BR23*0.8</f>
        <v>0</v>
      </c>
      <c r="CI23" s="37">
        <f>SUM(AK23:BN23)</f>
        <v>0</v>
      </c>
      <c r="CJ23" s="92">
        <f>CH23*CI23</f>
        <v>0</v>
      </c>
      <c r="CK23" s="37">
        <f>SUM(AM23:BP23)</f>
        <v>8190</v>
      </c>
      <c r="CL23" s="92">
        <f>CJ23*CK23</f>
        <v>0</v>
      </c>
    </row>
    <row r="24" spans="1:145" ht="15.5" customHeight="1" x14ac:dyDescent="0.25">
      <c r="A24" s="32"/>
      <c r="B24" s="111"/>
      <c r="C24" s="94"/>
      <c r="D24" s="95"/>
      <c r="E24" s="39"/>
      <c r="F24" s="65"/>
      <c r="G24" s="65"/>
      <c r="H24" s="65"/>
      <c r="I24" s="66"/>
      <c r="J24" s="66"/>
      <c r="K24" s="65"/>
      <c r="L24" s="65"/>
      <c r="M24" s="65"/>
      <c r="N24" s="65"/>
      <c r="O24" s="65"/>
      <c r="P24" s="66"/>
      <c r="Q24" s="66"/>
      <c r="R24" s="65"/>
      <c r="S24" s="65"/>
      <c r="T24" s="65"/>
      <c r="U24" s="65"/>
      <c r="V24" s="65"/>
      <c r="W24" s="66"/>
      <c r="X24" s="66"/>
      <c r="Y24" s="65"/>
      <c r="Z24" s="65"/>
      <c r="AA24" s="65"/>
      <c r="AB24" s="65"/>
      <c r="AC24" s="65"/>
      <c r="AD24" s="66"/>
      <c r="AE24" s="66"/>
      <c r="AF24" s="65"/>
      <c r="AG24" s="65"/>
      <c r="AH24" s="65"/>
      <c r="AI24" s="65"/>
      <c r="AJ24" s="65"/>
      <c r="AK24" s="66"/>
      <c r="AL24" s="66"/>
      <c r="AM24" s="65"/>
      <c r="AN24" s="65"/>
      <c r="AO24" s="65"/>
      <c r="AP24" s="65"/>
      <c r="AQ24" s="65"/>
      <c r="AR24" s="66"/>
      <c r="AS24" s="66"/>
      <c r="AT24" s="65"/>
      <c r="AU24" s="65"/>
      <c r="AV24" s="65"/>
      <c r="AW24" s="65"/>
      <c r="AX24" s="65"/>
      <c r="AY24" s="66"/>
      <c r="AZ24" s="66"/>
      <c r="BA24" s="65"/>
      <c r="BB24" s="65"/>
      <c r="BC24" s="65"/>
      <c r="BD24" s="66"/>
      <c r="BE24" s="65"/>
      <c r="BF24" s="214"/>
      <c r="BG24" s="214"/>
      <c r="BH24" s="65"/>
      <c r="BI24" s="65"/>
      <c r="BJ24" s="66"/>
      <c r="BK24" s="66"/>
      <c r="BL24" s="65"/>
      <c r="BM24" s="214"/>
      <c r="BN24" s="214"/>
      <c r="BO24" s="82"/>
      <c r="BP24" s="22"/>
      <c r="BQ24" s="103"/>
      <c r="BR24" s="22"/>
      <c r="BS24" s="22"/>
      <c r="BT24" s="124"/>
      <c r="BU24" s="97"/>
      <c r="BV24" s="125"/>
      <c r="BW24" s="125"/>
      <c r="BX24" s="97"/>
      <c r="BY24" s="106"/>
      <c r="BZ24" s="107"/>
      <c r="CA24" s="108"/>
      <c r="CB24" s="109"/>
      <c r="CC24" s="110"/>
      <c r="CD24" s="109"/>
      <c r="CE24" s="114"/>
      <c r="CF24" s="10"/>
      <c r="CG24" s="44"/>
      <c r="CH24" s="91"/>
      <c r="CI24" s="37"/>
      <c r="CJ24" s="92"/>
      <c r="CK24" s="37"/>
      <c r="CL24" s="92"/>
    </row>
    <row r="25" spans="1:145" ht="15.5" customHeight="1" x14ac:dyDescent="0.25">
      <c r="A25" s="32"/>
      <c r="B25" s="115"/>
      <c r="C25" s="116"/>
      <c r="D25" s="42"/>
      <c r="E25" s="117"/>
      <c r="F25" s="65"/>
      <c r="G25" s="65"/>
      <c r="H25" s="65"/>
      <c r="I25" s="66"/>
      <c r="J25" s="66"/>
      <c r="K25" s="65"/>
      <c r="L25" s="65"/>
      <c r="M25" s="65"/>
      <c r="N25" s="65"/>
      <c r="O25" s="65"/>
      <c r="P25" s="66"/>
      <c r="Q25" s="66"/>
      <c r="R25" s="65"/>
      <c r="S25" s="65"/>
      <c r="T25" s="65"/>
      <c r="U25" s="65"/>
      <c r="V25" s="65"/>
      <c r="W25" s="66"/>
      <c r="X25" s="66"/>
      <c r="Y25" s="65"/>
      <c r="Z25" s="65"/>
      <c r="AA25" s="65"/>
      <c r="AB25" s="65"/>
      <c r="AC25" s="65"/>
      <c r="AD25" s="66"/>
      <c r="AE25" s="66"/>
      <c r="AF25" s="65"/>
      <c r="AG25" s="65"/>
      <c r="AH25" s="65"/>
      <c r="AI25" s="65"/>
      <c r="AJ25" s="65"/>
      <c r="AK25" s="66"/>
      <c r="AL25" s="66"/>
      <c r="AM25" s="65"/>
      <c r="AN25" s="65"/>
      <c r="AO25" s="65"/>
      <c r="AP25" s="65"/>
      <c r="AQ25" s="65"/>
      <c r="AR25" s="66"/>
      <c r="AS25" s="66"/>
      <c r="AT25" s="65"/>
      <c r="AU25" s="65"/>
      <c r="AV25" s="65"/>
      <c r="AW25" s="65"/>
      <c r="AX25" s="65"/>
      <c r="AY25" s="66"/>
      <c r="AZ25" s="66"/>
      <c r="BA25" s="65"/>
      <c r="BB25" s="65"/>
      <c r="BC25" s="65"/>
      <c r="BD25" s="66"/>
      <c r="BE25" s="65"/>
      <c r="BF25" s="214"/>
      <c r="BG25" s="214"/>
      <c r="BH25" s="65"/>
      <c r="BI25" s="65"/>
      <c r="BJ25" s="66"/>
      <c r="BK25" s="66"/>
      <c r="BL25" s="65"/>
      <c r="BM25" s="214"/>
      <c r="BN25" s="214"/>
      <c r="BO25" s="118"/>
      <c r="BP25" s="68"/>
      <c r="BQ25" s="119"/>
      <c r="BR25" s="68"/>
      <c r="BS25" s="68"/>
      <c r="BT25" s="22"/>
      <c r="BU25" s="97"/>
      <c r="BV25" s="126"/>
      <c r="BW25" s="126"/>
      <c r="BX25" s="97"/>
      <c r="BY25" s="127"/>
      <c r="BZ25" s="128"/>
      <c r="CA25" s="129"/>
      <c r="CB25" s="76"/>
      <c r="CC25" s="75"/>
      <c r="CD25" s="76"/>
      <c r="CE25" s="18"/>
      <c r="CF25" s="10"/>
      <c r="CG25" s="44"/>
      <c r="CH25" s="91"/>
      <c r="CI25" s="37"/>
      <c r="CJ25" s="92"/>
      <c r="CK25" s="37"/>
      <c r="CL25" s="92"/>
    </row>
    <row r="26" spans="1:145" ht="15.5" customHeight="1" x14ac:dyDescent="0.25">
      <c r="A26" s="32"/>
      <c r="B26" s="111"/>
      <c r="C26" s="130" t="s">
        <v>46</v>
      </c>
      <c r="D26" s="95" t="s">
        <v>39</v>
      </c>
      <c r="E26" s="39" t="s">
        <v>40</v>
      </c>
      <c r="F26" s="65"/>
      <c r="G26" s="65"/>
      <c r="H26" s="65"/>
      <c r="I26" s="66"/>
      <c r="J26" s="66"/>
      <c r="K26" s="65"/>
      <c r="L26" s="65"/>
      <c r="M26" s="65"/>
      <c r="N26" s="65"/>
      <c r="O26" s="65"/>
      <c r="P26" s="66"/>
      <c r="Q26" s="66"/>
      <c r="R26" s="65"/>
      <c r="S26" s="65"/>
      <c r="T26" s="65"/>
      <c r="U26" s="65"/>
      <c r="V26" s="65"/>
      <c r="W26" s="66"/>
      <c r="X26" s="66"/>
      <c r="Y26" s="65"/>
      <c r="Z26" s="65"/>
      <c r="AA26" s="65"/>
      <c r="AB26" s="65"/>
      <c r="AC26" s="65"/>
      <c r="AD26" s="66"/>
      <c r="AE26" s="66"/>
      <c r="AF26" s="65"/>
      <c r="AG26" s="65"/>
      <c r="AH26" s="65"/>
      <c r="AI26" s="65"/>
      <c r="AJ26" s="65"/>
      <c r="AK26" s="66"/>
      <c r="AL26" s="66"/>
      <c r="AM26" s="65"/>
      <c r="AN26" s="65"/>
      <c r="AO26" s="65"/>
      <c r="AP26" s="65"/>
      <c r="AQ26" s="65"/>
      <c r="AR26" s="66"/>
      <c r="AS26" s="66"/>
      <c r="AT26" s="65"/>
      <c r="AU26" s="65"/>
      <c r="AV26" s="65"/>
      <c r="AW26" s="65"/>
      <c r="AX26" s="65"/>
      <c r="AY26" s="66"/>
      <c r="AZ26" s="66"/>
      <c r="BA26" s="65"/>
      <c r="BB26" s="65"/>
      <c r="BC26" s="65"/>
      <c r="BD26" s="66"/>
      <c r="BE26" s="65">
        <v>2</v>
      </c>
      <c r="BF26" s="65">
        <v>2</v>
      </c>
      <c r="BG26" s="65">
        <v>2</v>
      </c>
      <c r="BH26" s="65">
        <v>2</v>
      </c>
      <c r="BI26" s="65">
        <v>2</v>
      </c>
      <c r="BJ26" s="66">
        <v>2</v>
      </c>
      <c r="BK26" s="66">
        <v>2</v>
      </c>
      <c r="BL26" s="65">
        <v>2</v>
      </c>
      <c r="BM26" s="214"/>
      <c r="BN26" s="214"/>
      <c r="BO26" s="82">
        <f>SUM(F26:BN26)</f>
        <v>16</v>
      </c>
      <c r="BP26" s="22">
        <f>10733</f>
        <v>10733</v>
      </c>
      <c r="BQ26" s="103">
        <v>0.4</v>
      </c>
      <c r="BR26" s="22">
        <f>BP26*(1-BQ26)</f>
        <v>6439.8</v>
      </c>
      <c r="BS26" s="22">
        <f>BR26*BO26</f>
        <v>103036.8</v>
      </c>
      <c r="BT26" s="84">
        <f>BS26*0.8</f>
        <v>82429.440000000002</v>
      </c>
      <c r="BU26" s="97"/>
      <c r="BV26" s="98">
        <f>SUM(BT26:BT27)/$BT$29</f>
        <v>0.2577802252172865</v>
      </c>
      <c r="BW26" s="98">
        <v>0.25901462341418302</v>
      </c>
      <c r="BX26" s="97"/>
      <c r="BY26" s="99">
        <v>0.87</v>
      </c>
      <c r="BZ26" s="86">
        <v>67249</v>
      </c>
      <c r="CA26" s="87">
        <f>BY26*BO26</f>
        <v>13.92</v>
      </c>
      <c r="CB26" s="88">
        <v>11451245</v>
      </c>
      <c r="CC26" s="100">
        <v>16255139</v>
      </c>
      <c r="CD26" s="90">
        <f>CC26*CA26/100</f>
        <v>2262715.3487999998</v>
      </c>
      <c r="CE26" s="21">
        <f>BT26/CD26*1000</f>
        <v>36.429434238697034</v>
      </c>
      <c r="CF26" s="10"/>
      <c r="CG26" s="44" t="s">
        <v>46</v>
      </c>
      <c r="CH26" s="91">
        <f>BR26*0.8</f>
        <v>5151.84</v>
      </c>
      <c r="CI26" s="37">
        <f>SUM(AK26:BG26)</f>
        <v>6</v>
      </c>
      <c r="CJ26" s="92">
        <f>CH26*CI26</f>
        <v>30911.040000000001</v>
      </c>
      <c r="CK26" s="37">
        <f>SUM(BH26:BN26)</f>
        <v>10</v>
      </c>
      <c r="CL26" s="92">
        <f>CK26*CH26</f>
        <v>51518.400000000001</v>
      </c>
      <c r="CM26" s="101" t="b">
        <f>(CJ26+CL26)=BT26</f>
        <v>1</v>
      </c>
    </row>
    <row r="27" spans="1:145" ht="15.5" hidden="1" customHeight="1" x14ac:dyDescent="0.25">
      <c r="A27" s="32"/>
      <c r="B27" s="111"/>
      <c r="C27" s="94" t="s">
        <v>38</v>
      </c>
      <c r="D27" s="95"/>
      <c r="E27" s="39" t="s">
        <v>40</v>
      </c>
      <c r="F27" s="65"/>
      <c r="G27" s="65"/>
      <c r="H27" s="65"/>
      <c r="I27" s="66"/>
      <c r="J27" s="66"/>
      <c r="K27" s="65"/>
      <c r="L27" s="65"/>
      <c r="M27" s="65"/>
      <c r="N27" s="65"/>
      <c r="O27" s="65"/>
      <c r="P27" s="66"/>
      <c r="Q27" s="66"/>
      <c r="R27" s="65"/>
      <c r="S27" s="65"/>
      <c r="T27" s="65"/>
      <c r="U27" s="65"/>
      <c r="V27" s="65"/>
      <c r="W27" s="66"/>
      <c r="X27" s="66"/>
      <c r="Y27" s="65"/>
      <c r="Z27" s="65"/>
      <c r="AA27" s="65"/>
      <c r="AB27" s="65"/>
      <c r="AC27" s="65"/>
      <c r="AD27" s="66"/>
      <c r="AE27" s="66"/>
      <c r="AF27" s="65"/>
      <c r="AG27" s="65"/>
      <c r="AH27" s="65"/>
      <c r="AI27" s="65"/>
      <c r="AJ27" s="65"/>
      <c r="AK27" s="66"/>
      <c r="AL27" s="66"/>
      <c r="AM27" s="65"/>
      <c r="AN27" s="65"/>
      <c r="AO27" s="65"/>
      <c r="AP27" s="65"/>
      <c r="AQ27" s="65"/>
      <c r="AR27" s="66"/>
      <c r="AS27" s="66"/>
      <c r="AT27" s="65"/>
      <c r="AU27" s="65"/>
      <c r="AV27" s="65"/>
      <c r="AW27" s="65"/>
      <c r="AX27" s="65"/>
      <c r="AY27" s="66"/>
      <c r="AZ27" s="66"/>
      <c r="BA27" s="65"/>
      <c r="BB27" s="65"/>
      <c r="BC27" s="65"/>
      <c r="BD27" s="66"/>
      <c r="BE27" s="65"/>
      <c r="BF27" s="214"/>
      <c r="BG27" s="214"/>
      <c r="BH27" s="65"/>
      <c r="BI27" s="65"/>
      <c r="BJ27" s="66"/>
      <c r="BK27" s="66"/>
      <c r="BL27" s="65"/>
      <c r="BM27" s="214"/>
      <c r="BN27" s="214"/>
      <c r="BO27" s="82">
        <f>SUM(F27:BN27)</f>
        <v>0</v>
      </c>
      <c r="BP27" s="22">
        <f>10733</f>
        <v>10733</v>
      </c>
      <c r="BQ27" s="96">
        <v>1</v>
      </c>
      <c r="BR27" s="22">
        <f>BP27*(1-BQ27)</f>
        <v>0</v>
      </c>
      <c r="BS27" s="22">
        <f>BR27*BO27</f>
        <v>0</v>
      </c>
      <c r="BT27" s="84">
        <f>BS27*0.8</f>
        <v>0</v>
      </c>
      <c r="BU27" s="97"/>
      <c r="BV27" s="98"/>
      <c r="BW27" s="98"/>
      <c r="BX27" s="97"/>
      <c r="BY27" s="99">
        <v>0.87</v>
      </c>
      <c r="BZ27" s="86">
        <v>67249</v>
      </c>
      <c r="CA27" s="87">
        <f>BY27*BO27</f>
        <v>0</v>
      </c>
      <c r="CB27" s="88">
        <v>11451245</v>
      </c>
      <c r="CC27" s="89">
        <v>21515727.096000001</v>
      </c>
      <c r="CD27" s="90">
        <f>CC27*CA27/100</f>
        <v>0</v>
      </c>
      <c r="CE27" s="21" t="e">
        <f>BT27/CD27*1000</f>
        <v>#DIV/0!</v>
      </c>
      <c r="CF27" s="10"/>
      <c r="CG27" s="44"/>
      <c r="CH27" s="91">
        <f>BR27*0.8</f>
        <v>0</v>
      </c>
      <c r="CI27" s="37">
        <f>SUM(AK27:BN27)</f>
        <v>0</v>
      </c>
      <c r="CJ27" s="92">
        <f>CH27*CI27</f>
        <v>0</v>
      </c>
      <c r="CK27" s="37">
        <f>SUM(AM27:BP27)</f>
        <v>10733</v>
      </c>
      <c r="CL27" s="92">
        <f>CJ27*CK27</f>
        <v>0</v>
      </c>
    </row>
    <row r="28" spans="1:145" ht="15.5" customHeight="1" x14ac:dyDescent="0.25">
      <c r="A28" s="32"/>
      <c r="B28" s="111"/>
      <c r="C28" s="94"/>
      <c r="D28" s="95"/>
      <c r="E28" s="39"/>
      <c r="F28" s="65"/>
      <c r="G28" s="65"/>
      <c r="H28" s="65"/>
      <c r="I28" s="66"/>
      <c r="J28" s="66"/>
      <c r="K28" s="65"/>
      <c r="L28" s="65"/>
      <c r="M28" s="65"/>
      <c r="N28" s="65"/>
      <c r="O28" s="65"/>
      <c r="P28" s="66"/>
      <c r="Q28" s="66"/>
      <c r="R28" s="65"/>
      <c r="S28" s="65"/>
      <c r="T28" s="65"/>
      <c r="U28" s="65"/>
      <c r="V28" s="65"/>
      <c r="W28" s="66"/>
      <c r="X28" s="66"/>
      <c r="Y28" s="65"/>
      <c r="Z28" s="65"/>
      <c r="AA28" s="65"/>
      <c r="AB28" s="65"/>
      <c r="AC28" s="65"/>
      <c r="AD28" s="66"/>
      <c r="AE28" s="66"/>
      <c r="AF28" s="65"/>
      <c r="AG28" s="65"/>
      <c r="AH28" s="65"/>
      <c r="AI28" s="65"/>
      <c r="AJ28" s="65"/>
      <c r="AK28" s="66"/>
      <c r="AL28" s="66"/>
      <c r="AM28" s="65"/>
      <c r="AN28" s="65"/>
      <c r="AO28" s="65"/>
      <c r="AP28" s="65"/>
      <c r="AQ28" s="65"/>
      <c r="AR28" s="66"/>
      <c r="AS28" s="66"/>
      <c r="AT28" s="65"/>
      <c r="AU28" s="65"/>
      <c r="AV28" s="65"/>
      <c r="AW28" s="65"/>
      <c r="AX28" s="65"/>
      <c r="AY28" s="66"/>
      <c r="AZ28" s="66"/>
      <c r="BA28" s="65"/>
      <c r="BB28" s="65"/>
      <c r="BC28" s="65"/>
      <c r="BD28" s="66"/>
      <c r="BE28" s="65"/>
      <c r="BF28" s="214"/>
      <c r="BG28" s="214"/>
      <c r="BH28" s="65"/>
      <c r="BI28" s="65"/>
      <c r="BJ28" s="66"/>
      <c r="BK28" s="66"/>
      <c r="BL28" s="65"/>
      <c r="BM28" s="214"/>
      <c r="BN28" s="214"/>
      <c r="BO28" s="82"/>
      <c r="BP28" s="22"/>
      <c r="BQ28" s="103"/>
      <c r="BR28" s="22"/>
      <c r="BS28" s="22"/>
      <c r="BT28" s="84"/>
      <c r="BU28" s="97"/>
      <c r="BV28" s="98"/>
      <c r="BW28" s="98"/>
      <c r="BX28" s="97"/>
      <c r="BY28" s="131"/>
      <c r="BZ28" s="132"/>
      <c r="CA28" s="133"/>
      <c r="CB28" s="134"/>
      <c r="CC28" s="110"/>
      <c r="CD28" s="109"/>
      <c r="CE28" s="114"/>
      <c r="CF28" s="10"/>
      <c r="CG28" s="135"/>
      <c r="CH28" s="136"/>
      <c r="CI28" s="137"/>
      <c r="CJ28" s="138"/>
      <c r="CK28" s="137"/>
      <c r="CL28" s="138"/>
    </row>
    <row r="29" spans="1:145" x14ac:dyDescent="0.25">
      <c r="A29" s="32"/>
      <c r="B29" s="25" t="s">
        <v>47</v>
      </c>
      <c r="C29" s="139"/>
      <c r="D29" s="139"/>
      <c r="E29" s="139"/>
      <c r="F29" s="40">
        <f t="shared" ref="F29:Z29" si="2">SUM(F12:F28)</f>
        <v>0</v>
      </c>
      <c r="G29" s="40">
        <f t="shared" si="2"/>
        <v>0</v>
      </c>
      <c r="H29" s="40">
        <f t="shared" si="2"/>
        <v>0</v>
      </c>
      <c r="I29" s="40">
        <f t="shared" si="2"/>
        <v>0</v>
      </c>
      <c r="J29" s="40">
        <f t="shared" si="2"/>
        <v>0</v>
      </c>
      <c r="K29" s="40">
        <f t="shared" si="2"/>
        <v>0</v>
      </c>
      <c r="L29" s="40">
        <f t="shared" si="2"/>
        <v>0</v>
      </c>
      <c r="M29" s="40">
        <f t="shared" si="2"/>
        <v>0</v>
      </c>
      <c r="N29" s="40">
        <f t="shared" si="2"/>
        <v>0</v>
      </c>
      <c r="O29" s="40">
        <f t="shared" si="2"/>
        <v>0</v>
      </c>
      <c r="P29" s="40">
        <f t="shared" si="2"/>
        <v>0</v>
      </c>
      <c r="Q29" s="40">
        <f t="shared" si="2"/>
        <v>0</v>
      </c>
      <c r="R29" s="40">
        <f t="shared" si="2"/>
        <v>0</v>
      </c>
      <c r="S29" s="40">
        <f t="shared" si="2"/>
        <v>0</v>
      </c>
      <c r="T29" s="40">
        <f t="shared" si="2"/>
        <v>0</v>
      </c>
      <c r="U29" s="40">
        <f t="shared" si="2"/>
        <v>0</v>
      </c>
      <c r="V29" s="40">
        <f t="shared" si="2"/>
        <v>0</v>
      </c>
      <c r="W29" s="40">
        <f t="shared" si="2"/>
        <v>0</v>
      </c>
      <c r="X29" s="40">
        <f t="shared" si="2"/>
        <v>0</v>
      </c>
      <c r="Y29" s="40">
        <f t="shared" si="2"/>
        <v>0</v>
      </c>
      <c r="Z29" s="40">
        <f t="shared" si="2"/>
        <v>0</v>
      </c>
      <c r="AA29" s="40">
        <f>SUM(AA12:AA27)</f>
        <v>0</v>
      </c>
      <c r="AB29" s="40">
        <f t="shared" ref="AB29:BN29" si="3">SUM(AB12:AB28)</f>
        <v>0</v>
      </c>
      <c r="AC29" s="40">
        <f t="shared" si="3"/>
        <v>0</v>
      </c>
      <c r="AD29" s="40">
        <f t="shared" si="3"/>
        <v>0</v>
      </c>
      <c r="AE29" s="40">
        <f t="shared" si="3"/>
        <v>0</v>
      </c>
      <c r="AF29" s="40">
        <f t="shared" si="3"/>
        <v>0</v>
      </c>
      <c r="AG29" s="40">
        <f t="shared" si="3"/>
        <v>0</v>
      </c>
      <c r="AH29" s="40">
        <f t="shared" si="3"/>
        <v>0</v>
      </c>
      <c r="AI29" s="40">
        <f t="shared" si="3"/>
        <v>0</v>
      </c>
      <c r="AJ29" s="40">
        <f t="shared" si="3"/>
        <v>0</v>
      </c>
      <c r="AK29" s="40">
        <f t="shared" si="3"/>
        <v>0</v>
      </c>
      <c r="AL29" s="40">
        <f t="shared" si="3"/>
        <v>0</v>
      </c>
      <c r="AM29" s="40">
        <f t="shared" si="3"/>
        <v>0</v>
      </c>
      <c r="AN29" s="40">
        <f t="shared" si="3"/>
        <v>0</v>
      </c>
      <c r="AO29" s="40">
        <f t="shared" si="3"/>
        <v>0</v>
      </c>
      <c r="AP29" s="40">
        <f t="shared" si="3"/>
        <v>0</v>
      </c>
      <c r="AQ29" s="40">
        <f t="shared" si="3"/>
        <v>0</v>
      </c>
      <c r="AR29" s="40">
        <f t="shared" si="3"/>
        <v>0</v>
      </c>
      <c r="AS29" s="40">
        <f t="shared" si="3"/>
        <v>0</v>
      </c>
      <c r="AT29" s="40">
        <f t="shared" si="3"/>
        <v>0</v>
      </c>
      <c r="AU29" s="40">
        <f t="shared" si="3"/>
        <v>0</v>
      </c>
      <c r="AV29" s="40">
        <f t="shared" si="3"/>
        <v>0</v>
      </c>
      <c r="AW29" s="40">
        <f t="shared" si="3"/>
        <v>0</v>
      </c>
      <c r="AX29" s="40">
        <f>SUM(AX12:AX28)</f>
        <v>0</v>
      </c>
      <c r="AY29" s="40">
        <f t="shared" si="3"/>
        <v>0</v>
      </c>
      <c r="AZ29" s="40">
        <f t="shared" si="3"/>
        <v>0</v>
      </c>
      <c r="BA29" s="40">
        <f t="shared" si="3"/>
        <v>0</v>
      </c>
      <c r="BB29" s="40">
        <f t="shared" si="3"/>
        <v>0</v>
      </c>
      <c r="BC29" s="40">
        <f t="shared" si="3"/>
        <v>0</v>
      </c>
      <c r="BD29" s="40">
        <f t="shared" si="3"/>
        <v>0</v>
      </c>
      <c r="BE29" s="40">
        <f t="shared" si="3"/>
        <v>15</v>
      </c>
      <c r="BF29" s="40">
        <f t="shared" si="3"/>
        <v>15</v>
      </c>
      <c r="BG29" s="40">
        <f t="shared" si="3"/>
        <v>15</v>
      </c>
      <c r="BH29" s="40">
        <f t="shared" si="3"/>
        <v>13</v>
      </c>
      <c r="BI29" s="40">
        <f t="shared" si="3"/>
        <v>13</v>
      </c>
      <c r="BJ29" s="40">
        <f t="shared" si="3"/>
        <v>13</v>
      </c>
      <c r="BK29" s="40">
        <f t="shared" si="3"/>
        <v>13</v>
      </c>
      <c r="BL29" s="40">
        <f t="shared" si="3"/>
        <v>13</v>
      </c>
      <c r="BM29" s="40">
        <f t="shared" si="3"/>
        <v>0</v>
      </c>
      <c r="BN29" s="40">
        <f t="shared" si="3"/>
        <v>0</v>
      </c>
      <c r="BO29" s="140">
        <f>SUM(BO12:BO28)</f>
        <v>110</v>
      </c>
      <c r="BP29" s="141"/>
      <c r="BQ29" s="141"/>
      <c r="BR29" s="141"/>
      <c r="BS29" s="141">
        <f>SUM(BS12:BS28)</f>
        <v>399707.92915999994</v>
      </c>
      <c r="BT29" s="141">
        <f>SUM(BT12:BT28)</f>
        <v>319766.34332799999</v>
      </c>
      <c r="BU29" s="43"/>
      <c r="BV29" s="142"/>
      <c r="BW29" s="142"/>
      <c r="BX29" s="43"/>
      <c r="BY29" s="143"/>
      <c r="BZ29" s="144"/>
      <c r="CA29" s="145"/>
      <c r="CB29" s="146">
        <f>CB26</f>
        <v>11451245</v>
      </c>
      <c r="CC29" s="147"/>
      <c r="CD29" s="148">
        <f>SUM(CD12:CD28)</f>
        <v>16448575.154100001</v>
      </c>
      <c r="CE29" s="149">
        <f>BT29/CD29*1000</f>
        <v>19.440367346851588</v>
      </c>
      <c r="CF29" s="10"/>
      <c r="CG29" s="148"/>
      <c r="CH29" s="150"/>
      <c r="CI29" s="148">
        <f t="shared" ref="CI29:CJ29" si="4">SUM(CI12:CI28)</f>
        <v>45</v>
      </c>
      <c r="CJ29" s="150">
        <f t="shared" si="4"/>
        <v>128204.22874799999</v>
      </c>
      <c r="CK29" s="148">
        <f t="shared" ref="CK29:CL29" si="5">SUM(CK12:CK28)</f>
        <v>26592</v>
      </c>
      <c r="CL29" s="150">
        <f t="shared" si="5"/>
        <v>191562.11457999999</v>
      </c>
      <c r="CM29" s="101" t="b">
        <f>(CJ29+CL29)=BT29</f>
        <v>1</v>
      </c>
    </row>
    <row r="30" spans="1:145" s="152" customFormat="1" ht="7.5" customHeight="1" x14ac:dyDescent="0.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/>
      <c r="CH30" s="43"/>
      <c r="CI30" s="43"/>
      <c r="CJ30" s="43"/>
      <c r="CK30" s="43"/>
      <c r="CL30" s="43"/>
      <c r="CM30" s="151"/>
    </row>
    <row r="31" spans="1:145" s="28" customFormat="1" ht="16" customHeight="1" x14ac:dyDescent="0.2">
      <c r="A31" s="32"/>
      <c r="B31" s="642" t="s">
        <v>3</v>
      </c>
      <c r="C31" s="642" t="s">
        <v>4</v>
      </c>
      <c r="D31" s="648" t="s">
        <v>19</v>
      </c>
      <c r="E31" s="643" t="s">
        <v>48</v>
      </c>
      <c r="F31" s="629" t="s">
        <v>21</v>
      </c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Q31" s="630"/>
      <c r="R31" s="630"/>
      <c r="S31" s="630"/>
      <c r="T31" s="630"/>
      <c r="U31" s="630"/>
      <c r="V31" s="630"/>
      <c r="W31" s="630"/>
      <c r="X31" s="630"/>
      <c r="Y31" s="630"/>
      <c r="Z31" s="630"/>
      <c r="AA31" s="630"/>
      <c r="AB31" s="630"/>
      <c r="AC31" s="630"/>
      <c r="AD31" s="630"/>
      <c r="AE31" s="630"/>
      <c r="AF31" s="630"/>
      <c r="AG31" s="630"/>
      <c r="AH31" s="630"/>
      <c r="AI31" s="630"/>
      <c r="AJ31" s="631"/>
      <c r="AK31" s="27"/>
      <c r="AL31" s="27"/>
      <c r="AM31" s="27"/>
      <c r="AN31" s="27"/>
      <c r="AO31" s="27"/>
      <c r="AP31" s="27"/>
      <c r="AQ31" s="27"/>
      <c r="AR31" s="27"/>
      <c r="AS31" s="27"/>
      <c r="AT31" s="27"/>
      <c r="AU31" s="27"/>
      <c r="AV31" s="27"/>
      <c r="AW31" s="27"/>
      <c r="AX31" s="27"/>
      <c r="AY31" s="27"/>
      <c r="AZ31" s="27"/>
      <c r="BA31" s="27"/>
      <c r="BB31" s="27"/>
      <c r="BC31" s="27"/>
      <c r="BD31" s="630" t="s">
        <v>5</v>
      </c>
      <c r="BE31" s="630"/>
      <c r="BF31" s="630"/>
      <c r="BG31" s="631"/>
      <c r="BH31" s="629" t="s">
        <v>6</v>
      </c>
      <c r="BI31" s="630"/>
      <c r="BJ31" s="630"/>
      <c r="BK31" s="630"/>
      <c r="BL31" s="630"/>
      <c r="BM31" s="630"/>
      <c r="BN31" s="631"/>
      <c r="BO31" s="640" t="s">
        <v>7</v>
      </c>
      <c r="BP31" s="620" t="s">
        <v>8</v>
      </c>
      <c r="BQ31" s="643" t="s">
        <v>9</v>
      </c>
      <c r="BR31" s="620" t="s">
        <v>10</v>
      </c>
      <c r="BS31" s="620" t="s">
        <v>11</v>
      </c>
      <c r="BT31" s="635" t="s">
        <v>23</v>
      </c>
      <c r="BU31" s="32"/>
      <c r="BV31" s="635" t="s">
        <v>24</v>
      </c>
      <c r="BW31" s="635" t="s">
        <v>25</v>
      </c>
      <c r="BX31" s="32"/>
      <c r="BY31" s="620" t="s">
        <v>26</v>
      </c>
      <c r="BZ31" s="638" t="s">
        <v>27</v>
      </c>
      <c r="CA31" s="645" t="s">
        <v>12</v>
      </c>
      <c r="CB31" s="638" t="s">
        <v>28</v>
      </c>
      <c r="CC31" s="638" t="s">
        <v>29</v>
      </c>
      <c r="CD31" s="638" t="s">
        <v>30</v>
      </c>
      <c r="CE31" s="638" t="s">
        <v>31</v>
      </c>
      <c r="CF31" s="55"/>
      <c r="CG31" s="640" t="s">
        <v>32</v>
      </c>
      <c r="CH31" s="640" t="s">
        <v>33</v>
      </c>
      <c r="CI31" s="642" t="s">
        <v>5</v>
      </c>
      <c r="CJ31" s="642"/>
      <c r="CK31" s="642" t="s">
        <v>6</v>
      </c>
      <c r="CL31" s="642"/>
      <c r="CM31" s="50"/>
    </row>
    <row r="32" spans="1:145" s="28" customFormat="1" ht="16" customHeight="1" x14ac:dyDescent="0.2">
      <c r="A32" s="32"/>
      <c r="B32" s="642"/>
      <c r="C32" s="642"/>
      <c r="D32" s="648"/>
      <c r="E32" s="643"/>
      <c r="F32" s="7" t="s">
        <v>15</v>
      </c>
      <c r="G32" s="7" t="s">
        <v>14</v>
      </c>
      <c r="H32" s="7" t="s">
        <v>2</v>
      </c>
      <c r="I32" s="8" t="s">
        <v>16</v>
      </c>
      <c r="J32" s="8" t="s">
        <v>16</v>
      </c>
      <c r="K32" s="7" t="s">
        <v>13</v>
      </c>
      <c r="L32" s="7" t="s">
        <v>14</v>
      </c>
      <c r="M32" s="7" t="s">
        <v>15</v>
      </c>
      <c r="N32" s="7" t="s">
        <v>14</v>
      </c>
      <c r="O32" s="7" t="s">
        <v>2</v>
      </c>
      <c r="P32" s="8" t="s">
        <v>16</v>
      </c>
      <c r="Q32" s="8" t="s">
        <v>16</v>
      </c>
      <c r="R32" s="7" t="s">
        <v>13</v>
      </c>
      <c r="S32" s="7" t="s">
        <v>14</v>
      </c>
      <c r="T32" s="7" t="s">
        <v>15</v>
      </c>
      <c r="U32" s="7" t="s">
        <v>14</v>
      </c>
      <c r="V32" s="7" t="s">
        <v>2</v>
      </c>
      <c r="W32" s="8" t="s">
        <v>16</v>
      </c>
      <c r="X32" s="8" t="s">
        <v>16</v>
      </c>
      <c r="Y32" s="7" t="s">
        <v>13</v>
      </c>
      <c r="Z32" s="7" t="s">
        <v>14</v>
      </c>
      <c r="AA32" s="7" t="s">
        <v>15</v>
      </c>
      <c r="AB32" s="7" t="s">
        <v>14</v>
      </c>
      <c r="AC32" s="7" t="s">
        <v>2</v>
      </c>
      <c r="AD32" s="8" t="s">
        <v>16</v>
      </c>
      <c r="AE32" s="8" t="s">
        <v>16</v>
      </c>
      <c r="AF32" s="7" t="s">
        <v>13</v>
      </c>
      <c r="AG32" s="7" t="s">
        <v>14</v>
      </c>
      <c r="AH32" s="7" t="s">
        <v>15</v>
      </c>
      <c r="AI32" s="7" t="s">
        <v>14</v>
      </c>
      <c r="AJ32" s="7" t="s">
        <v>2</v>
      </c>
      <c r="AK32" s="8" t="s">
        <v>16</v>
      </c>
      <c r="AL32" s="8" t="s">
        <v>16</v>
      </c>
      <c r="AM32" s="7" t="s">
        <v>13</v>
      </c>
      <c r="AN32" s="7" t="s">
        <v>14</v>
      </c>
      <c r="AO32" s="7" t="s">
        <v>15</v>
      </c>
      <c r="AP32" s="7" t="s">
        <v>14</v>
      </c>
      <c r="AQ32" s="7" t="s">
        <v>2</v>
      </c>
      <c r="AR32" s="8" t="s">
        <v>16</v>
      </c>
      <c r="AS32" s="8" t="s">
        <v>16</v>
      </c>
      <c r="AT32" s="7" t="s">
        <v>13</v>
      </c>
      <c r="AU32" s="7" t="s">
        <v>14</v>
      </c>
      <c r="AV32" s="7" t="s">
        <v>15</v>
      </c>
      <c r="AW32" s="7" t="s">
        <v>14</v>
      </c>
      <c r="AX32" s="7" t="s">
        <v>2</v>
      </c>
      <c r="AY32" s="8" t="s">
        <v>16</v>
      </c>
      <c r="AZ32" s="8" t="s">
        <v>16</v>
      </c>
      <c r="BA32" s="7" t="s">
        <v>13</v>
      </c>
      <c r="BB32" s="7" t="s">
        <v>14</v>
      </c>
      <c r="BC32" s="7" t="s">
        <v>15</v>
      </c>
      <c r="BD32" s="8" t="s">
        <v>16</v>
      </c>
      <c r="BE32" s="7" t="s">
        <v>13</v>
      </c>
      <c r="BF32" s="7" t="s">
        <v>14</v>
      </c>
      <c r="BG32" s="7" t="s">
        <v>15</v>
      </c>
      <c r="BH32" s="7" t="s">
        <v>14</v>
      </c>
      <c r="BI32" s="7" t="s">
        <v>2</v>
      </c>
      <c r="BJ32" s="8" t="s">
        <v>16</v>
      </c>
      <c r="BK32" s="8" t="s">
        <v>16</v>
      </c>
      <c r="BL32" s="7" t="s">
        <v>2</v>
      </c>
      <c r="BM32" s="7" t="s">
        <v>16</v>
      </c>
      <c r="BN32" s="7" t="s">
        <v>16</v>
      </c>
      <c r="BO32" s="640"/>
      <c r="BP32" s="620"/>
      <c r="BQ32" s="643"/>
      <c r="BR32" s="620"/>
      <c r="BS32" s="620"/>
      <c r="BT32" s="636"/>
      <c r="BU32" s="32"/>
      <c r="BV32" s="636"/>
      <c r="BW32" s="636"/>
      <c r="BX32" s="32"/>
      <c r="BY32" s="620"/>
      <c r="BZ32" s="638"/>
      <c r="CA32" s="645"/>
      <c r="CB32" s="638"/>
      <c r="CC32" s="638"/>
      <c r="CD32" s="638"/>
      <c r="CE32" s="638"/>
      <c r="CF32" s="55"/>
      <c r="CG32" s="640"/>
      <c r="CH32" s="640"/>
      <c r="CI32" s="642"/>
      <c r="CJ32" s="642"/>
      <c r="CK32" s="642"/>
      <c r="CL32" s="642"/>
      <c r="CM32" s="50"/>
    </row>
    <row r="33" spans="1:145" s="28" customFormat="1" ht="16" customHeight="1" x14ac:dyDescent="0.2">
      <c r="A33" s="32"/>
      <c r="B33" s="642"/>
      <c r="C33" s="642"/>
      <c r="D33" s="648"/>
      <c r="E33" s="643"/>
      <c r="F33" s="7">
        <v>1</v>
      </c>
      <c r="G33" s="7">
        <v>2</v>
      </c>
      <c r="H33" s="7">
        <v>3</v>
      </c>
      <c r="I33" s="8">
        <v>4</v>
      </c>
      <c r="J33" s="8">
        <v>5</v>
      </c>
      <c r="K33" s="7">
        <v>6</v>
      </c>
      <c r="L33" s="7">
        <v>7</v>
      </c>
      <c r="M33" s="7">
        <v>8</v>
      </c>
      <c r="N33" s="7">
        <v>9</v>
      </c>
      <c r="O33" s="7">
        <v>10</v>
      </c>
      <c r="P33" s="8">
        <v>11</v>
      </c>
      <c r="Q33" s="8">
        <v>12</v>
      </c>
      <c r="R33" s="7">
        <v>13</v>
      </c>
      <c r="S33" s="7">
        <v>14</v>
      </c>
      <c r="T33" s="7">
        <v>15</v>
      </c>
      <c r="U33" s="7">
        <v>16</v>
      </c>
      <c r="V33" s="7">
        <v>17</v>
      </c>
      <c r="W33" s="8">
        <v>18</v>
      </c>
      <c r="X33" s="8">
        <v>19</v>
      </c>
      <c r="Y33" s="7">
        <v>20</v>
      </c>
      <c r="Z33" s="7">
        <v>21</v>
      </c>
      <c r="AA33" s="7">
        <v>22</v>
      </c>
      <c r="AB33" s="7">
        <v>23</v>
      </c>
      <c r="AC33" s="7">
        <v>24</v>
      </c>
      <c r="AD33" s="8">
        <v>25</v>
      </c>
      <c r="AE33" s="8">
        <v>26</v>
      </c>
      <c r="AF33" s="7">
        <v>27</v>
      </c>
      <c r="AG33" s="7">
        <v>28</v>
      </c>
      <c r="AH33" s="7">
        <v>29</v>
      </c>
      <c r="AI33" s="7">
        <v>30</v>
      </c>
      <c r="AJ33" s="7">
        <v>31</v>
      </c>
      <c r="AK33" s="8">
        <v>1</v>
      </c>
      <c r="AL33" s="8">
        <v>2</v>
      </c>
      <c r="AM33" s="7">
        <v>3</v>
      </c>
      <c r="AN33" s="7">
        <v>4</v>
      </c>
      <c r="AO33" s="7">
        <v>5</v>
      </c>
      <c r="AP33" s="7">
        <v>6</v>
      </c>
      <c r="AQ33" s="7">
        <v>7</v>
      </c>
      <c r="AR33" s="8">
        <v>8</v>
      </c>
      <c r="AS33" s="8">
        <v>9</v>
      </c>
      <c r="AT33" s="7">
        <v>10</v>
      </c>
      <c r="AU33" s="7">
        <v>11</v>
      </c>
      <c r="AV33" s="7">
        <v>12</v>
      </c>
      <c r="AW33" s="7">
        <v>13</v>
      </c>
      <c r="AX33" s="7">
        <v>14</v>
      </c>
      <c r="AY33" s="8">
        <v>15</v>
      </c>
      <c r="AZ33" s="8">
        <v>16</v>
      </c>
      <c r="BA33" s="7">
        <v>17</v>
      </c>
      <c r="BB33" s="7">
        <v>18</v>
      </c>
      <c r="BC33" s="7">
        <v>19</v>
      </c>
      <c r="BD33" s="8">
        <v>28</v>
      </c>
      <c r="BE33" s="7">
        <f>BD33+1</f>
        <v>29</v>
      </c>
      <c r="BF33" s="7">
        <f t="shared" ref="BF33:BG33" si="6">BE33+1</f>
        <v>30</v>
      </c>
      <c r="BG33" s="7">
        <f t="shared" si="6"/>
        <v>31</v>
      </c>
      <c r="BH33" s="7">
        <v>1</v>
      </c>
      <c r="BI33" s="7">
        <f>BH33+1</f>
        <v>2</v>
      </c>
      <c r="BJ33" s="8">
        <f t="shared" ref="BJ33:BN33" si="7">BI33+1</f>
        <v>3</v>
      </c>
      <c r="BK33" s="8">
        <f t="shared" si="7"/>
        <v>4</v>
      </c>
      <c r="BL33" s="7">
        <f t="shared" si="7"/>
        <v>5</v>
      </c>
      <c r="BM33" s="7">
        <f t="shared" si="7"/>
        <v>6</v>
      </c>
      <c r="BN33" s="7">
        <f t="shared" si="7"/>
        <v>7</v>
      </c>
      <c r="BO33" s="640"/>
      <c r="BP33" s="620"/>
      <c r="BQ33" s="643"/>
      <c r="BR33" s="620"/>
      <c r="BS33" s="620"/>
      <c r="BT33" s="637"/>
      <c r="BU33" s="32"/>
      <c r="BV33" s="637"/>
      <c r="BW33" s="637"/>
      <c r="BX33" s="32"/>
      <c r="BY33" s="620"/>
      <c r="BZ33" s="638"/>
      <c r="CA33" s="645"/>
      <c r="CB33" s="638"/>
      <c r="CC33" s="638"/>
      <c r="CD33" s="638"/>
      <c r="CE33" s="638"/>
      <c r="CF33" s="55"/>
      <c r="CG33" s="640"/>
      <c r="CH33" s="640"/>
      <c r="CI33" s="7" t="s">
        <v>7</v>
      </c>
      <c r="CJ33" s="7" t="s">
        <v>34</v>
      </c>
      <c r="CK33" s="7" t="s">
        <v>7</v>
      </c>
      <c r="CL33" s="7" t="s">
        <v>34</v>
      </c>
      <c r="CM33" s="50"/>
    </row>
    <row r="34" spans="1:145" s="152" customFormat="1" ht="15.5" customHeight="1" x14ac:dyDescent="0.4">
      <c r="A34" s="43"/>
      <c r="B34" s="153"/>
      <c r="C34" s="116"/>
      <c r="D34" s="42"/>
      <c r="E34" s="117"/>
      <c r="F34" s="65"/>
      <c r="G34" s="65"/>
      <c r="H34" s="65"/>
      <c r="I34" s="66"/>
      <c r="J34" s="66"/>
      <c r="K34" s="65"/>
      <c r="L34" s="65"/>
      <c r="M34" s="65"/>
      <c r="N34" s="65"/>
      <c r="O34" s="65"/>
      <c r="P34" s="66"/>
      <c r="Q34" s="66"/>
      <c r="R34" s="65"/>
      <c r="S34" s="65"/>
      <c r="T34" s="65"/>
      <c r="U34" s="65"/>
      <c r="V34" s="65"/>
      <c r="W34" s="66"/>
      <c r="X34" s="66"/>
      <c r="Y34" s="65"/>
      <c r="Z34" s="65"/>
      <c r="AA34" s="65"/>
      <c r="AB34" s="65"/>
      <c r="AC34" s="65"/>
      <c r="AD34" s="66"/>
      <c r="AE34" s="66"/>
      <c r="AF34" s="65"/>
      <c r="AG34" s="65"/>
      <c r="AH34" s="65"/>
      <c r="AI34" s="65"/>
      <c r="AJ34" s="65"/>
      <c r="AK34" s="66"/>
      <c r="AL34" s="66"/>
      <c r="AM34" s="65"/>
      <c r="AN34" s="65"/>
      <c r="AO34" s="65"/>
      <c r="AP34" s="65"/>
      <c r="AQ34" s="65"/>
      <c r="AR34" s="66"/>
      <c r="AS34" s="66"/>
      <c r="AT34" s="65"/>
      <c r="AU34" s="65"/>
      <c r="AV34" s="65"/>
      <c r="AW34" s="65"/>
      <c r="AX34" s="65"/>
      <c r="AY34" s="66"/>
      <c r="AZ34" s="66"/>
      <c r="BA34" s="65"/>
      <c r="BB34" s="65"/>
      <c r="BC34" s="65"/>
      <c r="BD34" s="66"/>
      <c r="BE34" s="65"/>
      <c r="BF34" s="214"/>
      <c r="BG34" s="214"/>
      <c r="BH34" s="214"/>
      <c r="BI34" s="214"/>
      <c r="BJ34" s="66"/>
      <c r="BK34" s="66"/>
      <c r="BL34" s="214"/>
      <c r="BM34" s="214"/>
      <c r="BN34" s="214"/>
      <c r="BO34" s="154"/>
      <c r="BP34" s="21"/>
      <c r="BQ34" s="21"/>
      <c r="BR34" s="21"/>
      <c r="BS34" s="21"/>
      <c r="BT34" s="21"/>
      <c r="BU34" s="97"/>
      <c r="BV34" s="155"/>
      <c r="BW34" s="155"/>
      <c r="BX34" s="97"/>
      <c r="BY34" s="156"/>
      <c r="BZ34" s="157"/>
      <c r="CA34" s="158"/>
      <c r="CB34" s="89"/>
      <c r="CC34" s="89"/>
      <c r="CD34" s="90"/>
      <c r="CE34" s="159"/>
      <c r="CF34" s="160"/>
      <c r="CG34" s="44"/>
      <c r="CH34" s="91"/>
      <c r="CI34" s="37"/>
      <c r="CJ34" s="92"/>
      <c r="CK34" s="37"/>
      <c r="CL34" s="92"/>
      <c r="CM34" s="151"/>
    </row>
    <row r="35" spans="1:145" ht="15.5" customHeight="1" x14ac:dyDescent="0.25">
      <c r="A35" s="32"/>
      <c r="B35" s="80" t="s">
        <v>49</v>
      </c>
      <c r="C35" s="81" t="s">
        <v>50</v>
      </c>
      <c r="D35" s="95" t="s">
        <v>51</v>
      </c>
      <c r="E35" s="39" t="s">
        <v>40</v>
      </c>
      <c r="F35" s="65"/>
      <c r="G35" s="65"/>
      <c r="H35" s="65"/>
      <c r="I35" s="66"/>
      <c r="J35" s="66"/>
      <c r="K35" s="65"/>
      <c r="L35" s="65"/>
      <c r="M35" s="65"/>
      <c r="N35" s="65"/>
      <c r="O35" s="65"/>
      <c r="P35" s="66"/>
      <c r="Q35" s="66"/>
      <c r="R35" s="65"/>
      <c r="S35" s="65"/>
      <c r="T35" s="65"/>
      <c r="U35" s="65"/>
      <c r="V35" s="65"/>
      <c r="W35" s="66"/>
      <c r="X35" s="66"/>
      <c r="Y35" s="65"/>
      <c r="Z35" s="65"/>
      <c r="AA35" s="65"/>
      <c r="AB35" s="65"/>
      <c r="AC35" s="65"/>
      <c r="AD35" s="66"/>
      <c r="AE35" s="66"/>
      <c r="AF35" s="65"/>
      <c r="AG35" s="65"/>
      <c r="AH35" s="65"/>
      <c r="AI35" s="65"/>
      <c r="AJ35" s="65"/>
      <c r="AK35" s="66"/>
      <c r="AL35" s="66"/>
      <c r="AM35" s="65"/>
      <c r="AN35" s="65"/>
      <c r="AO35" s="65"/>
      <c r="AP35" s="65"/>
      <c r="AQ35" s="65"/>
      <c r="AR35" s="66"/>
      <c r="AS35" s="66"/>
      <c r="AT35" s="65"/>
      <c r="AU35" s="65"/>
      <c r="AV35" s="65"/>
      <c r="AW35" s="65"/>
      <c r="AX35" s="65"/>
      <c r="AY35" s="66"/>
      <c r="AZ35" s="66"/>
      <c r="BA35" s="65"/>
      <c r="BB35" s="65"/>
      <c r="BC35" s="65"/>
      <c r="BD35" s="66"/>
      <c r="BE35" s="65">
        <v>3</v>
      </c>
      <c r="BF35" s="66">
        <v>3</v>
      </c>
      <c r="BG35" s="66">
        <v>3</v>
      </c>
      <c r="BH35" s="65">
        <v>3</v>
      </c>
      <c r="BI35" s="65">
        <v>3</v>
      </c>
      <c r="BJ35" s="66">
        <v>3</v>
      </c>
      <c r="BK35" s="66">
        <v>3</v>
      </c>
      <c r="BL35" s="65">
        <v>3</v>
      </c>
      <c r="BM35" s="214"/>
      <c r="BN35" s="214"/>
      <c r="BO35" s="82">
        <f>SUM(F35:BN35)</f>
        <v>24</v>
      </c>
      <c r="BP35" s="21">
        <f>3624</f>
        <v>3624</v>
      </c>
      <c r="BQ35" s="103">
        <v>0.63</v>
      </c>
      <c r="BR35" s="21">
        <f>BP35*(1-BQ35)</f>
        <v>1340.8799999999999</v>
      </c>
      <c r="BS35" s="21">
        <f>BR35*BO35</f>
        <v>32181.119999999995</v>
      </c>
      <c r="BT35" s="21">
        <f>BS35*0.8</f>
        <v>25744.895999999997</v>
      </c>
      <c r="BU35" s="97"/>
      <c r="BV35" s="161">
        <f>BT35/$BT$81</f>
        <v>6.2819326971923356E-2</v>
      </c>
      <c r="BW35" s="161">
        <v>5.5898254935840698E-2</v>
      </c>
      <c r="BX35" s="97"/>
      <c r="BY35" s="99">
        <f>BZ35/CC35*100</f>
        <v>0.49702669414269546</v>
      </c>
      <c r="BZ35" s="86">
        <v>80792.38</v>
      </c>
      <c r="CA35" s="87">
        <f>BY35*BO35</f>
        <v>11.928640659424691</v>
      </c>
      <c r="CB35" s="88">
        <v>11451245</v>
      </c>
      <c r="CC35" s="100">
        <v>16255139</v>
      </c>
      <c r="CD35" s="90">
        <f>CC35*CA35/100</f>
        <v>1939017.12</v>
      </c>
      <c r="CE35" s="21">
        <f>BT35/CD35*1000</f>
        <v>13.277291744592743</v>
      </c>
      <c r="CF35" s="10"/>
      <c r="CG35" s="44" t="s">
        <v>52</v>
      </c>
      <c r="CH35" s="91">
        <f>BR35*0.8</f>
        <v>1072.704</v>
      </c>
      <c r="CI35" s="37">
        <f>SUM(AK35:BG35)</f>
        <v>9</v>
      </c>
      <c r="CJ35" s="92">
        <f>CH35*CI35</f>
        <v>9654.3359999999993</v>
      </c>
      <c r="CK35" s="37">
        <f>SUM(BH35:BN35)</f>
        <v>15</v>
      </c>
      <c r="CL35" s="92">
        <f>CK35*CH35</f>
        <v>16090.56</v>
      </c>
      <c r="CM35" s="101" t="b">
        <f>(CJ35+CL35)=BT35</f>
        <v>1</v>
      </c>
    </row>
    <row r="36" spans="1:145" ht="15.5" hidden="1" customHeight="1" x14ac:dyDescent="0.25">
      <c r="A36" s="32"/>
      <c r="B36" s="93" t="s">
        <v>37</v>
      </c>
      <c r="C36" s="81"/>
      <c r="D36" s="95"/>
      <c r="E36" s="39" t="s">
        <v>40</v>
      </c>
      <c r="F36" s="65"/>
      <c r="G36" s="65"/>
      <c r="H36" s="65"/>
      <c r="I36" s="66"/>
      <c r="J36" s="66"/>
      <c r="K36" s="65"/>
      <c r="L36" s="65"/>
      <c r="M36" s="65"/>
      <c r="N36" s="65"/>
      <c r="O36" s="65"/>
      <c r="P36" s="66"/>
      <c r="Q36" s="66"/>
      <c r="R36" s="65"/>
      <c r="S36" s="65"/>
      <c r="T36" s="65"/>
      <c r="U36" s="65"/>
      <c r="V36" s="65"/>
      <c r="W36" s="66"/>
      <c r="X36" s="66"/>
      <c r="Y36" s="65"/>
      <c r="Z36" s="65"/>
      <c r="AA36" s="65"/>
      <c r="AB36" s="65"/>
      <c r="AC36" s="65"/>
      <c r="AD36" s="66"/>
      <c r="AE36" s="66"/>
      <c r="AF36" s="65"/>
      <c r="AG36" s="65"/>
      <c r="AH36" s="65"/>
      <c r="AI36" s="65"/>
      <c r="AJ36" s="65"/>
      <c r="AK36" s="66"/>
      <c r="AL36" s="66"/>
      <c r="AM36" s="65"/>
      <c r="AN36" s="65"/>
      <c r="AO36" s="65"/>
      <c r="AP36" s="65"/>
      <c r="AQ36" s="65"/>
      <c r="AR36" s="66"/>
      <c r="AS36" s="66"/>
      <c r="AT36" s="65"/>
      <c r="AU36" s="65"/>
      <c r="AV36" s="65"/>
      <c r="AW36" s="65"/>
      <c r="AX36" s="65"/>
      <c r="AY36" s="66"/>
      <c r="AZ36" s="66"/>
      <c r="BA36" s="65"/>
      <c r="BB36" s="65"/>
      <c r="BC36" s="65"/>
      <c r="BD36" s="66"/>
      <c r="BE36" s="65"/>
      <c r="BF36" s="66"/>
      <c r="BG36" s="66"/>
      <c r="BH36" s="65"/>
      <c r="BI36" s="65"/>
      <c r="BJ36" s="66"/>
      <c r="BK36" s="66"/>
      <c r="BL36" s="65"/>
      <c r="BM36" s="214"/>
      <c r="BN36" s="214"/>
      <c r="BO36" s="82">
        <f>SUM(F36:BN36)</f>
        <v>0</v>
      </c>
      <c r="BP36" s="21">
        <f>3624</f>
        <v>3624</v>
      </c>
      <c r="BQ36" s="96">
        <v>1</v>
      </c>
      <c r="BR36" s="21">
        <f>BP36*(1-BQ36)</f>
        <v>0</v>
      </c>
      <c r="BS36" s="21">
        <f>BR36*BO36</f>
        <v>0</v>
      </c>
      <c r="BT36" s="21">
        <f>BS36*0.8</f>
        <v>0</v>
      </c>
      <c r="BU36" s="97"/>
      <c r="BV36" s="161"/>
      <c r="BW36" s="161"/>
      <c r="BX36" s="97"/>
      <c r="BY36" s="99">
        <f>BZ36/CC36*100</f>
        <v>0.47200831841225732</v>
      </c>
      <c r="BZ36" s="86">
        <v>80792.38</v>
      </c>
      <c r="CA36" s="87">
        <f>BY36*BO36</f>
        <v>0</v>
      </c>
      <c r="CB36" s="88">
        <v>11451245</v>
      </c>
      <c r="CC36" s="89">
        <v>17116728</v>
      </c>
      <c r="CD36" s="90">
        <f>CC36*CA36/100</f>
        <v>0</v>
      </c>
      <c r="CE36" s="21" t="e">
        <f>BT36/CD36*1000</f>
        <v>#DIV/0!</v>
      </c>
      <c r="CF36" s="10"/>
      <c r="CG36" s="44"/>
      <c r="CH36" s="91">
        <f>BR36*0.8</f>
        <v>0</v>
      </c>
      <c r="CI36" s="37">
        <f>SUM(AK36:BN36)</f>
        <v>0</v>
      </c>
      <c r="CJ36" s="92">
        <f>CH36*CI36</f>
        <v>0</v>
      </c>
      <c r="CK36" s="37">
        <f>SUM(AM36:BP36)</f>
        <v>3624</v>
      </c>
      <c r="CL36" s="92">
        <f>CJ36*CK36</f>
        <v>0</v>
      </c>
      <c r="CM36" s="101" t="e">
        <f>SUM(#REF!,CJ36,#REF!)=BT36</f>
        <v>#REF!</v>
      </c>
    </row>
    <row r="37" spans="1:145" ht="15.5" customHeight="1" x14ac:dyDescent="0.25">
      <c r="A37" s="32"/>
      <c r="B37" s="93" t="s">
        <v>37</v>
      </c>
      <c r="C37" s="81"/>
      <c r="D37" s="162"/>
      <c r="E37" s="39"/>
      <c r="F37" s="65"/>
      <c r="G37" s="65"/>
      <c r="H37" s="65"/>
      <c r="I37" s="66"/>
      <c r="J37" s="66"/>
      <c r="K37" s="65"/>
      <c r="L37" s="65"/>
      <c r="M37" s="65"/>
      <c r="N37" s="65"/>
      <c r="O37" s="65"/>
      <c r="P37" s="66"/>
      <c r="Q37" s="66"/>
      <c r="R37" s="65"/>
      <c r="S37" s="65"/>
      <c r="T37" s="65"/>
      <c r="U37" s="65"/>
      <c r="V37" s="65"/>
      <c r="W37" s="66"/>
      <c r="X37" s="66"/>
      <c r="Y37" s="65"/>
      <c r="Z37" s="65"/>
      <c r="AA37" s="65"/>
      <c r="AB37" s="65"/>
      <c r="AC37" s="65"/>
      <c r="AD37" s="66"/>
      <c r="AE37" s="66"/>
      <c r="AF37" s="65"/>
      <c r="AG37" s="65"/>
      <c r="AH37" s="65"/>
      <c r="AI37" s="65"/>
      <c r="AJ37" s="65"/>
      <c r="AK37" s="66"/>
      <c r="AL37" s="66"/>
      <c r="AM37" s="65"/>
      <c r="AN37" s="65"/>
      <c r="AO37" s="65"/>
      <c r="AP37" s="65"/>
      <c r="AQ37" s="65"/>
      <c r="AR37" s="66"/>
      <c r="AS37" s="66"/>
      <c r="AT37" s="65"/>
      <c r="AU37" s="65"/>
      <c r="AV37" s="65"/>
      <c r="AW37" s="65"/>
      <c r="AX37" s="65"/>
      <c r="AY37" s="66"/>
      <c r="AZ37" s="66"/>
      <c r="BA37" s="65"/>
      <c r="BB37" s="65"/>
      <c r="BC37" s="65"/>
      <c r="BD37" s="66"/>
      <c r="BE37" s="214"/>
      <c r="BF37" s="214"/>
      <c r="BG37" s="214"/>
      <c r="BH37" s="214"/>
      <c r="BI37" s="214"/>
      <c r="BJ37" s="66"/>
      <c r="BK37" s="66"/>
      <c r="BL37" s="214"/>
      <c r="BM37" s="214"/>
      <c r="BN37" s="214"/>
      <c r="BO37" s="163"/>
      <c r="BP37" s="21"/>
      <c r="BQ37" s="164"/>
      <c r="BR37" s="21"/>
      <c r="BS37" s="21"/>
      <c r="BT37" s="114"/>
      <c r="BU37" s="97"/>
      <c r="BV37" s="165"/>
      <c r="BW37" s="165"/>
      <c r="BX37" s="97"/>
      <c r="BY37" s="166"/>
      <c r="BZ37" s="107"/>
      <c r="CA37" s="108"/>
      <c r="CB37" s="109"/>
      <c r="CC37" s="110"/>
      <c r="CD37" s="109"/>
      <c r="CE37" s="114"/>
      <c r="CF37" s="10"/>
      <c r="CG37" s="44"/>
      <c r="CH37" s="91"/>
      <c r="CI37" s="37"/>
      <c r="CJ37" s="92"/>
      <c r="CK37" s="37"/>
      <c r="CL37" s="92"/>
    </row>
    <row r="38" spans="1:145" ht="15.5" customHeight="1" x14ac:dyDescent="0.25">
      <c r="A38" s="32"/>
      <c r="B38" s="115"/>
      <c r="C38" s="94"/>
      <c r="D38" s="95"/>
      <c r="E38" s="117"/>
      <c r="F38" s="65"/>
      <c r="G38" s="65"/>
      <c r="H38" s="65"/>
      <c r="I38" s="66"/>
      <c r="J38" s="66"/>
      <c r="K38" s="65"/>
      <c r="L38" s="65"/>
      <c r="M38" s="65"/>
      <c r="N38" s="65"/>
      <c r="O38" s="65"/>
      <c r="P38" s="66"/>
      <c r="Q38" s="66"/>
      <c r="R38" s="65"/>
      <c r="S38" s="65"/>
      <c r="T38" s="65"/>
      <c r="U38" s="65"/>
      <c r="V38" s="65"/>
      <c r="W38" s="66"/>
      <c r="X38" s="66"/>
      <c r="Y38" s="65"/>
      <c r="Z38" s="65"/>
      <c r="AA38" s="65"/>
      <c r="AB38" s="65"/>
      <c r="AC38" s="65"/>
      <c r="AD38" s="66"/>
      <c r="AE38" s="66"/>
      <c r="AF38" s="65"/>
      <c r="AG38" s="65"/>
      <c r="AH38" s="65"/>
      <c r="AI38" s="65"/>
      <c r="AJ38" s="65"/>
      <c r="AK38" s="66"/>
      <c r="AL38" s="66"/>
      <c r="AM38" s="65"/>
      <c r="AN38" s="65"/>
      <c r="AO38" s="65"/>
      <c r="AP38" s="65"/>
      <c r="AQ38" s="65"/>
      <c r="AR38" s="66"/>
      <c r="AS38" s="66"/>
      <c r="AT38" s="65"/>
      <c r="AU38" s="65"/>
      <c r="AV38" s="65"/>
      <c r="AW38" s="65"/>
      <c r="AX38" s="65"/>
      <c r="AY38" s="66"/>
      <c r="AZ38" s="66"/>
      <c r="BA38" s="65"/>
      <c r="BB38" s="65"/>
      <c r="BC38" s="65"/>
      <c r="BD38" s="66"/>
      <c r="BE38" s="214"/>
      <c r="BF38" s="214"/>
      <c r="BG38" s="214"/>
      <c r="BH38" s="214"/>
      <c r="BI38" s="214"/>
      <c r="BJ38" s="66"/>
      <c r="BK38" s="66"/>
      <c r="BL38" s="214"/>
      <c r="BM38" s="214"/>
      <c r="BN38" s="214"/>
      <c r="BO38" s="167"/>
      <c r="BP38" s="18"/>
      <c r="BQ38" s="168"/>
      <c r="BR38" s="18"/>
      <c r="BS38" s="18"/>
      <c r="BT38" s="21"/>
      <c r="BU38" s="97"/>
      <c r="BV38" s="155"/>
      <c r="BW38" s="155"/>
      <c r="BX38" s="97"/>
      <c r="BY38" s="15"/>
      <c r="BZ38" s="122"/>
      <c r="CA38" s="123"/>
      <c r="CB38" s="90"/>
      <c r="CC38" s="89"/>
      <c r="CD38" s="90"/>
      <c r="CE38" s="18"/>
      <c r="CF38" s="10"/>
      <c r="CG38" s="44"/>
      <c r="CH38" s="91"/>
      <c r="CI38" s="37"/>
      <c r="CJ38" s="92"/>
      <c r="CK38" s="37"/>
      <c r="CL38" s="92"/>
    </row>
    <row r="39" spans="1:145" ht="15.5" customHeight="1" x14ac:dyDescent="0.25">
      <c r="A39" s="32"/>
      <c r="B39" s="111"/>
      <c r="C39" s="81" t="s">
        <v>53</v>
      </c>
      <c r="D39" s="95" t="s">
        <v>51</v>
      </c>
      <c r="E39" s="39" t="s">
        <v>40</v>
      </c>
      <c r="F39" s="65"/>
      <c r="G39" s="65"/>
      <c r="H39" s="65"/>
      <c r="I39" s="66"/>
      <c r="J39" s="66"/>
      <c r="K39" s="65"/>
      <c r="L39" s="65"/>
      <c r="M39" s="65"/>
      <c r="N39" s="65"/>
      <c r="O39" s="65"/>
      <c r="P39" s="66"/>
      <c r="Q39" s="66"/>
      <c r="R39" s="65"/>
      <c r="S39" s="65"/>
      <c r="T39" s="65"/>
      <c r="U39" s="65"/>
      <c r="V39" s="65"/>
      <c r="W39" s="66"/>
      <c r="X39" s="66"/>
      <c r="Y39" s="65"/>
      <c r="Z39" s="65"/>
      <c r="AA39" s="65"/>
      <c r="AB39" s="65"/>
      <c r="AC39" s="65"/>
      <c r="AD39" s="66"/>
      <c r="AE39" s="66"/>
      <c r="AF39" s="65"/>
      <c r="AG39" s="65"/>
      <c r="AH39" s="65"/>
      <c r="AI39" s="65"/>
      <c r="AJ39" s="65"/>
      <c r="AK39" s="66"/>
      <c r="AL39" s="66"/>
      <c r="AM39" s="65"/>
      <c r="AN39" s="65"/>
      <c r="AO39" s="65"/>
      <c r="AP39" s="65"/>
      <c r="AQ39" s="65"/>
      <c r="AR39" s="66"/>
      <c r="AS39" s="66"/>
      <c r="AT39" s="65"/>
      <c r="AU39" s="65"/>
      <c r="AV39" s="65"/>
      <c r="AW39" s="65"/>
      <c r="AX39" s="65"/>
      <c r="AY39" s="66"/>
      <c r="AZ39" s="66"/>
      <c r="BA39" s="65"/>
      <c r="BB39" s="65"/>
      <c r="BC39" s="65"/>
      <c r="BD39" s="66"/>
      <c r="BE39" s="65">
        <v>4</v>
      </c>
      <c r="BF39" s="214">
        <v>4</v>
      </c>
      <c r="BG39" s="214">
        <v>4</v>
      </c>
      <c r="BH39" s="65">
        <v>4</v>
      </c>
      <c r="BI39" s="65">
        <v>4</v>
      </c>
      <c r="BJ39" s="66">
        <v>4</v>
      </c>
      <c r="BK39" s="66">
        <v>4</v>
      </c>
      <c r="BL39" s="65">
        <v>4</v>
      </c>
      <c r="BM39" s="214"/>
      <c r="BN39" s="214"/>
      <c r="BO39" s="82">
        <f>SUM(F39:BN39)</f>
        <v>32</v>
      </c>
      <c r="BP39" s="21">
        <f>4270</f>
        <v>4270</v>
      </c>
      <c r="BQ39" s="103">
        <v>0.65</v>
      </c>
      <c r="BR39" s="21">
        <f>BP39*(1-BQ39)</f>
        <v>1494.5</v>
      </c>
      <c r="BS39" s="21">
        <f>BR39*BO39</f>
        <v>47824</v>
      </c>
      <c r="BT39" s="21">
        <f>BS39*0.8</f>
        <v>38259.200000000004</v>
      </c>
      <c r="BU39" s="97"/>
      <c r="BV39" s="155">
        <f>BT39/$BT$81</f>
        <v>9.3355094325656252E-2</v>
      </c>
      <c r="BW39" s="155">
        <v>8.5607110097819003E-2</v>
      </c>
      <c r="BX39" s="97"/>
      <c r="BY39" s="99">
        <f>BZ39/CC39*100</f>
        <v>0.76557862716523062</v>
      </c>
      <c r="BZ39" s="86">
        <v>124445.87</v>
      </c>
      <c r="CA39" s="87">
        <f>BY39*BO39</f>
        <v>24.49851606928738</v>
      </c>
      <c r="CB39" s="88">
        <v>11451245</v>
      </c>
      <c r="CC39" s="100">
        <v>16255139</v>
      </c>
      <c r="CD39" s="90">
        <f>CC39*CA39/100</f>
        <v>3982267.84</v>
      </c>
      <c r="CE39" s="21">
        <f>BT39/CD39*1000</f>
        <v>9.6073899439169832</v>
      </c>
      <c r="CF39" s="10"/>
      <c r="CG39" s="44" t="s">
        <v>53</v>
      </c>
      <c r="CH39" s="91">
        <f>BR39*0.8</f>
        <v>1195.6000000000001</v>
      </c>
      <c r="CI39" s="37">
        <f>SUM(AK39:BG39)</f>
        <v>12</v>
      </c>
      <c r="CJ39" s="92">
        <f>CH39*CI39</f>
        <v>14347.2</v>
      </c>
      <c r="CK39" s="37">
        <f>SUM(BH39:BN39)</f>
        <v>20</v>
      </c>
      <c r="CL39" s="92">
        <f>CK39*CH39</f>
        <v>23912.000000000004</v>
      </c>
      <c r="CM39" s="101" t="b">
        <f>(CJ39+CL39)=BT39</f>
        <v>1</v>
      </c>
    </row>
    <row r="40" spans="1:145" ht="15.5" hidden="1" customHeight="1" x14ac:dyDescent="0.25">
      <c r="A40" s="32"/>
      <c r="B40" s="111"/>
      <c r="C40" s="81"/>
      <c r="D40" s="95"/>
      <c r="E40" s="39" t="s">
        <v>40</v>
      </c>
      <c r="F40" s="65"/>
      <c r="G40" s="65"/>
      <c r="H40" s="65"/>
      <c r="I40" s="66"/>
      <c r="J40" s="66"/>
      <c r="K40" s="65"/>
      <c r="L40" s="65"/>
      <c r="M40" s="65"/>
      <c r="N40" s="65"/>
      <c r="O40" s="65"/>
      <c r="P40" s="66"/>
      <c r="Q40" s="66"/>
      <c r="R40" s="65"/>
      <c r="S40" s="65"/>
      <c r="T40" s="65"/>
      <c r="U40" s="65"/>
      <c r="V40" s="65"/>
      <c r="W40" s="66"/>
      <c r="X40" s="66"/>
      <c r="Y40" s="65"/>
      <c r="Z40" s="65"/>
      <c r="AA40" s="65"/>
      <c r="AB40" s="65"/>
      <c r="AC40" s="65"/>
      <c r="AD40" s="66"/>
      <c r="AE40" s="66"/>
      <c r="AF40" s="65"/>
      <c r="AG40" s="65"/>
      <c r="AH40" s="65"/>
      <c r="AI40" s="65"/>
      <c r="AJ40" s="65"/>
      <c r="AK40" s="66"/>
      <c r="AL40" s="66"/>
      <c r="AM40" s="65"/>
      <c r="AN40" s="65"/>
      <c r="AO40" s="65"/>
      <c r="AP40" s="65"/>
      <c r="AQ40" s="65"/>
      <c r="AR40" s="66"/>
      <c r="AS40" s="66"/>
      <c r="AT40" s="65"/>
      <c r="AU40" s="65"/>
      <c r="AV40" s="65"/>
      <c r="AW40" s="65"/>
      <c r="AX40" s="65"/>
      <c r="AY40" s="66"/>
      <c r="AZ40" s="66"/>
      <c r="BA40" s="65"/>
      <c r="BB40" s="65"/>
      <c r="BC40" s="65"/>
      <c r="BD40" s="66"/>
      <c r="BE40" s="65"/>
      <c r="BF40" s="214"/>
      <c r="BG40" s="214"/>
      <c r="BH40" s="65"/>
      <c r="BI40" s="65"/>
      <c r="BJ40" s="66"/>
      <c r="BK40" s="66"/>
      <c r="BL40" s="65"/>
      <c r="BM40" s="214"/>
      <c r="BN40" s="214"/>
      <c r="BO40" s="82">
        <f>SUM(F40:BN40)</f>
        <v>0</v>
      </c>
      <c r="BP40" s="21">
        <f>4270</f>
        <v>4270</v>
      </c>
      <c r="BQ40" s="96">
        <v>1</v>
      </c>
      <c r="BR40" s="21">
        <f>BP40*(1-BQ40)</f>
        <v>0</v>
      </c>
      <c r="BS40" s="21">
        <f>BR40*BO40</f>
        <v>0</v>
      </c>
      <c r="BT40" s="21">
        <f>BS40*0.8</f>
        <v>0</v>
      </c>
      <c r="BU40" s="97"/>
      <c r="BV40" s="155"/>
      <c r="BW40" s="155"/>
      <c r="BX40" s="97"/>
      <c r="BY40" s="99">
        <f>BZ40/CC40*100</f>
        <v>0.72704239969227757</v>
      </c>
      <c r="BZ40" s="86">
        <v>124445.87</v>
      </c>
      <c r="CA40" s="87">
        <f>BY40*BO40</f>
        <v>0</v>
      </c>
      <c r="CB40" s="88">
        <v>11451245</v>
      </c>
      <c r="CC40" s="89">
        <v>17116728</v>
      </c>
      <c r="CD40" s="90">
        <f>CC40*CA40/100</f>
        <v>0</v>
      </c>
      <c r="CE40" s="21" t="e">
        <f>BT40/CD40*1000</f>
        <v>#DIV/0!</v>
      </c>
      <c r="CF40" s="10"/>
      <c r="CG40" s="44"/>
      <c r="CH40" s="91">
        <f>BR40*0.8</f>
        <v>0</v>
      </c>
      <c r="CI40" s="37">
        <f>SUM(AK40:BN40)</f>
        <v>0</v>
      </c>
      <c r="CJ40" s="92">
        <f>CH40*CI40</f>
        <v>0</v>
      </c>
      <c r="CK40" s="37">
        <f>SUM(AM40:BP40)</f>
        <v>4270</v>
      </c>
      <c r="CL40" s="92">
        <f>CJ40*CK40</f>
        <v>0</v>
      </c>
      <c r="CM40" s="101" t="e">
        <f>SUM(#REF!,CJ40,#REF!)=BT40</f>
        <v>#REF!</v>
      </c>
    </row>
    <row r="41" spans="1:145" ht="15.5" customHeight="1" x14ac:dyDescent="0.25">
      <c r="A41" s="32"/>
      <c r="B41" s="111"/>
      <c r="C41" s="81"/>
      <c r="D41" s="95"/>
      <c r="E41" s="39"/>
      <c r="F41" s="65"/>
      <c r="G41" s="65"/>
      <c r="H41" s="65"/>
      <c r="I41" s="66"/>
      <c r="J41" s="66"/>
      <c r="K41" s="65"/>
      <c r="L41" s="65"/>
      <c r="M41" s="65"/>
      <c r="N41" s="65"/>
      <c r="O41" s="65"/>
      <c r="P41" s="66"/>
      <c r="Q41" s="66"/>
      <c r="R41" s="65"/>
      <c r="S41" s="65"/>
      <c r="T41" s="65"/>
      <c r="U41" s="65"/>
      <c r="V41" s="65"/>
      <c r="W41" s="66"/>
      <c r="X41" s="66"/>
      <c r="Y41" s="65"/>
      <c r="Z41" s="65"/>
      <c r="AA41" s="65"/>
      <c r="AB41" s="65"/>
      <c r="AC41" s="65"/>
      <c r="AD41" s="66"/>
      <c r="AE41" s="66"/>
      <c r="AF41" s="65"/>
      <c r="AG41" s="65"/>
      <c r="AH41" s="65"/>
      <c r="AI41" s="65"/>
      <c r="AJ41" s="65"/>
      <c r="AK41" s="66"/>
      <c r="AL41" s="66"/>
      <c r="AM41" s="65"/>
      <c r="AN41" s="65"/>
      <c r="AO41" s="65"/>
      <c r="AP41" s="65"/>
      <c r="AQ41" s="65"/>
      <c r="AR41" s="66"/>
      <c r="AS41" s="66"/>
      <c r="AT41" s="65"/>
      <c r="AU41" s="65"/>
      <c r="AV41" s="65"/>
      <c r="AW41" s="65"/>
      <c r="AX41" s="65"/>
      <c r="AY41" s="66"/>
      <c r="AZ41" s="66"/>
      <c r="BA41" s="65"/>
      <c r="BB41" s="65"/>
      <c r="BC41" s="65"/>
      <c r="BD41" s="66"/>
      <c r="BE41" s="214"/>
      <c r="BF41" s="214"/>
      <c r="BG41" s="214"/>
      <c r="BH41" s="214"/>
      <c r="BI41" s="214"/>
      <c r="BJ41" s="66"/>
      <c r="BK41" s="66"/>
      <c r="BL41" s="214"/>
      <c r="BM41" s="214"/>
      <c r="BN41" s="214"/>
      <c r="BO41" s="163"/>
      <c r="BP41" s="21"/>
      <c r="BQ41" s="103"/>
      <c r="BR41" s="21"/>
      <c r="BS41" s="21"/>
      <c r="BT41" s="114"/>
      <c r="BU41" s="97"/>
      <c r="BV41" s="165"/>
      <c r="BW41" s="165"/>
      <c r="BX41" s="97"/>
      <c r="BY41" s="166"/>
      <c r="BZ41" s="107"/>
      <c r="CA41" s="108"/>
      <c r="CB41" s="109"/>
      <c r="CC41" s="110"/>
      <c r="CD41" s="109"/>
      <c r="CE41" s="114"/>
      <c r="CF41" s="10"/>
      <c r="CG41" s="44"/>
      <c r="CH41" s="91"/>
      <c r="CI41" s="37"/>
      <c r="CJ41" s="92"/>
      <c r="CK41" s="37"/>
      <c r="CL41" s="92"/>
    </row>
    <row r="42" spans="1:145" ht="15.5" customHeight="1" x14ac:dyDescent="0.25">
      <c r="A42" s="32"/>
      <c r="B42" s="115"/>
      <c r="C42" s="94"/>
      <c r="D42" s="95"/>
      <c r="E42" s="117"/>
      <c r="F42" s="65"/>
      <c r="G42" s="65"/>
      <c r="H42" s="65"/>
      <c r="I42" s="66"/>
      <c r="J42" s="66"/>
      <c r="K42" s="65"/>
      <c r="L42" s="65"/>
      <c r="M42" s="65"/>
      <c r="N42" s="65"/>
      <c r="O42" s="65"/>
      <c r="P42" s="66"/>
      <c r="Q42" s="66"/>
      <c r="R42" s="65"/>
      <c r="S42" s="65"/>
      <c r="T42" s="65"/>
      <c r="U42" s="65"/>
      <c r="V42" s="65"/>
      <c r="W42" s="66"/>
      <c r="X42" s="66"/>
      <c r="Y42" s="65"/>
      <c r="Z42" s="65"/>
      <c r="AA42" s="65"/>
      <c r="AB42" s="65"/>
      <c r="AC42" s="65"/>
      <c r="AD42" s="66"/>
      <c r="AE42" s="66"/>
      <c r="AF42" s="65"/>
      <c r="AG42" s="65"/>
      <c r="AH42" s="65"/>
      <c r="AI42" s="65"/>
      <c r="AJ42" s="65"/>
      <c r="AK42" s="66"/>
      <c r="AL42" s="66"/>
      <c r="AM42" s="65"/>
      <c r="AN42" s="65"/>
      <c r="AO42" s="65"/>
      <c r="AP42" s="65"/>
      <c r="AQ42" s="65"/>
      <c r="AR42" s="66"/>
      <c r="AS42" s="66"/>
      <c r="AT42" s="65"/>
      <c r="AU42" s="65"/>
      <c r="AV42" s="65"/>
      <c r="AW42" s="65"/>
      <c r="AX42" s="65"/>
      <c r="AY42" s="66"/>
      <c r="AZ42" s="66"/>
      <c r="BA42" s="65"/>
      <c r="BB42" s="65"/>
      <c r="BC42" s="65"/>
      <c r="BD42" s="66"/>
      <c r="BE42" s="214"/>
      <c r="BF42" s="214"/>
      <c r="BG42" s="214"/>
      <c r="BH42" s="214"/>
      <c r="BI42" s="214"/>
      <c r="BJ42" s="66"/>
      <c r="BK42" s="66"/>
      <c r="BL42" s="214"/>
      <c r="BM42" s="214"/>
      <c r="BN42" s="214"/>
      <c r="BO42" s="167"/>
      <c r="BP42" s="18"/>
      <c r="BQ42" s="119"/>
      <c r="BR42" s="18"/>
      <c r="BS42" s="18"/>
      <c r="BT42" s="21"/>
      <c r="BU42" s="97"/>
      <c r="BV42" s="155"/>
      <c r="BW42" s="155"/>
      <c r="BX42" s="97"/>
      <c r="BY42" s="15"/>
      <c r="BZ42" s="122"/>
      <c r="CA42" s="123"/>
      <c r="CB42" s="90"/>
      <c r="CC42" s="89"/>
      <c r="CD42" s="90"/>
      <c r="CE42" s="18"/>
      <c r="CF42" s="10"/>
      <c r="CG42" s="44"/>
      <c r="CH42" s="91"/>
      <c r="CI42" s="37"/>
      <c r="CJ42" s="92"/>
      <c r="CK42" s="37"/>
      <c r="CL42" s="92"/>
    </row>
    <row r="43" spans="1:145" ht="15.5" customHeight="1" x14ac:dyDescent="0.25">
      <c r="A43" s="32"/>
      <c r="B43" s="80"/>
      <c r="C43" s="81" t="s">
        <v>54</v>
      </c>
      <c r="D43" s="95" t="s">
        <v>51</v>
      </c>
      <c r="E43" s="39" t="s">
        <v>40</v>
      </c>
      <c r="F43" s="65"/>
      <c r="G43" s="65"/>
      <c r="H43" s="65"/>
      <c r="I43" s="66"/>
      <c r="J43" s="66"/>
      <c r="K43" s="65"/>
      <c r="L43" s="65"/>
      <c r="M43" s="65"/>
      <c r="N43" s="65"/>
      <c r="O43" s="65"/>
      <c r="P43" s="66"/>
      <c r="Q43" s="66"/>
      <c r="R43" s="65"/>
      <c r="S43" s="65"/>
      <c r="T43" s="65"/>
      <c r="U43" s="65"/>
      <c r="V43" s="65"/>
      <c r="W43" s="66"/>
      <c r="X43" s="66"/>
      <c r="Y43" s="65"/>
      <c r="Z43" s="65"/>
      <c r="AA43" s="65"/>
      <c r="AB43" s="65"/>
      <c r="AC43" s="65"/>
      <c r="AD43" s="66"/>
      <c r="AE43" s="66"/>
      <c r="AF43" s="65"/>
      <c r="AG43" s="65"/>
      <c r="AH43" s="65"/>
      <c r="AI43" s="65"/>
      <c r="AJ43" s="65"/>
      <c r="AK43" s="66"/>
      <c r="AL43" s="66"/>
      <c r="AM43" s="65"/>
      <c r="AN43" s="65"/>
      <c r="AO43" s="65"/>
      <c r="AP43" s="65"/>
      <c r="AQ43" s="65"/>
      <c r="AR43" s="66"/>
      <c r="AS43" s="66"/>
      <c r="AT43" s="65"/>
      <c r="AU43" s="65"/>
      <c r="AV43" s="65"/>
      <c r="AW43" s="65"/>
      <c r="AX43" s="65"/>
      <c r="AY43" s="66"/>
      <c r="AZ43" s="66"/>
      <c r="BA43" s="65"/>
      <c r="BB43" s="65"/>
      <c r="BC43" s="65"/>
      <c r="BD43" s="66"/>
      <c r="BE43" s="65">
        <v>4</v>
      </c>
      <c r="BF43" s="214">
        <v>4</v>
      </c>
      <c r="BG43" s="214">
        <v>4</v>
      </c>
      <c r="BH43" s="65">
        <v>4</v>
      </c>
      <c r="BI43" s="65">
        <v>4</v>
      </c>
      <c r="BJ43" s="66">
        <v>4</v>
      </c>
      <c r="BK43" s="66">
        <v>4</v>
      </c>
      <c r="BL43" s="65">
        <v>4</v>
      </c>
      <c r="BM43" s="214"/>
      <c r="BN43" s="214"/>
      <c r="BO43" s="82">
        <f>SUM(F43:BN43)</f>
        <v>32</v>
      </c>
      <c r="BP43" s="21">
        <f>4448</f>
        <v>4448</v>
      </c>
      <c r="BQ43" s="103">
        <v>0.7</v>
      </c>
      <c r="BR43" s="21">
        <f>BP43*(1-BQ43)</f>
        <v>1334.4</v>
      </c>
      <c r="BS43" s="21">
        <f>BR43*BO43</f>
        <v>42700.800000000003</v>
      </c>
      <c r="BT43" s="21">
        <f>BS43*0.8</f>
        <v>34160.640000000007</v>
      </c>
      <c r="BU43" s="97"/>
      <c r="BV43" s="155">
        <f>BT43/$BT$81</f>
        <v>8.3354324435032268E-2</v>
      </c>
      <c r="BW43" s="155">
        <v>7.6893332781943394E-2</v>
      </c>
      <c r="BX43" s="97"/>
      <c r="BY43" s="99">
        <f>BZ43/CC43*100</f>
        <v>0.56035731223215013</v>
      </c>
      <c r="BZ43" s="86">
        <v>91086.86</v>
      </c>
      <c r="CA43" s="87">
        <f>BY43*BO43</f>
        <v>17.931433991428804</v>
      </c>
      <c r="CB43" s="88">
        <v>11451245</v>
      </c>
      <c r="CC43" s="100">
        <v>16255139</v>
      </c>
      <c r="CD43" s="90">
        <f>CC43*CA43/100</f>
        <v>2914779.52</v>
      </c>
      <c r="CE43" s="21">
        <f>BT43/CD43*1000</f>
        <v>11.719802395208269</v>
      </c>
      <c r="CF43" s="10"/>
      <c r="CG43" s="44" t="s">
        <v>54</v>
      </c>
      <c r="CH43" s="91">
        <f>BR43*0.8</f>
        <v>1067.5200000000002</v>
      </c>
      <c r="CI43" s="37">
        <f>SUM(AK43:BG43)</f>
        <v>12</v>
      </c>
      <c r="CJ43" s="92">
        <f>CH43*CI43</f>
        <v>12810.240000000002</v>
      </c>
      <c r="CK43" s="37">
        <f>SUM(BH43:BN43)</f>
        <v>20</v>
      </c>
      <c r="CL43" s="92">
        <f>CK43*CH43</f>
        <v>21350.400000000005</v>
      </c>
      <c r="CM43" s="101" t="b">
        <f>(CJ43+CL43)=BT43</f>
        <v>1</v>
      </c>
    </row>
    <row r="44" spans="1:145" s="28" customFormat="1" ht="15.5" customHeight="1" x14ac:dyDescent="0.25">
      <c r="A44" s="32"/>
      <c r="B44" s="111"/>
      <c r="C44" s="81"/>
      <c r="D44" s="95"/>
      <c r="E44" s="39"/>
      <c r="F44" s="65"/>
      <c r="G44" s="65"/>
      <c r="H44" s="65"/>
      <c r="I44" s="66"/>
      <c r="J44" s="66"/>
      <c r="K44" s="65"/>
      <c r="L44" s="65"/>
      <c r="M44" s="65"/>
      <c r="N44" s="65"/>
      <c r="O44" s="65"/>
      <c r="P44" s="66"/>
      <c r="Q44" s="66"/>
      <c r="R44" s="65"/>
      <c r="S44" s="65"/>
      <c r="T44" s="65"/>
      <c r="U44" s="65"/>
      <c r="V44" s="65"/>
      <c r="W44" s="66"/>
      <c r="X44" s="66"/>
      <c r="Y44" s="65"/>
      <c r="Z44" s="65"/>
      <c r="AA44" s="65"/>
      <c r="AB44" s="65"/>
      <c r="AC44" s="65"/>
      <c r="AD44" s="66"/>
      <c r="AE44" s="66"/>
      <c r="AF44" s="65"/>
      <c r="AG44" s="65"/>
      <c r="AH44" s="65"/>
      <c r="AI44" s="65"/>
      <c r="AJ44" s="65"/>
      <c r="AK44" s="66"/>
      <c r="AL44" s="66"/>
      <c r="AM44" s="65"/>
      <c r="AN44" s="65"/>
      <c r="AO44" s="65"/>
      <c r="AP44" s="65"/>
      <c r="AQ44" s="65"/>
      <c r="AR44" s="66"/>
      <c r="AS44" s="66"/>
      <c r="AT44" s="65"/>
      <c r="AU44" s="65"/>
      <c r="AV44" s="65"/>
      <c r="AW44" s="65"/>
      <c r="AX44" s="65"/>
      <c r="AY44" s="66"/>
      <c r="AZ44" s="66"/>
      <c r="BA44" s="65"/>
      <c r="BB44" s="65"/>
      <c r="BC44" s="65"/>
      <c r="BD44" s="66"/>
      <c r="BE44" s="65"/>
      <c r="BF44" s="214"/>
      <c r="BG44" s="214"/>
      <c r="BH44" s="65"/>
      <c r="BI44" s="65"/>
      <c r="BJ44" s="66"/>
      <c r="BK44" s="66"/>
      <c r="BL44" s="65"/>
      <c r="BM44" s="214"/>
      <c r="BN44" s="214"/>
      <c r="BO44" s="163"/>
      <c r="BP44" s="21"/>
      <c r="BQ44" s="103"/>
      <c r="BR44" s="21"/>
      <c r="BS44" s="21"/>
      <c r="BT44" s="114"/>
      <c r="BU44" s="97"/>
      <c r="BV44" s="165"/>
      <c r="BW44" s="165"/>
      <c r="BX44" s="97"/>
      <c r="BY44" s="166"/>
      <c r="BZ44" s="107"/>
      <c r="CA44" s="108"/>
      <c r="CB44" s="109"/>
      <c r="CC44" s="110"/>
      <c r="CD44" s="109"/>
      <c r="CE44" s="114"/>
      <c r="CF44" s="10"/>
      <c r="CG44" s="44"/>
      <c r="CH44" s="91"/>
      <c r="CI44" s="37"/>
      <c r="CJ44" s="92"/>
      <c r="CK44" s="37"/>
      <c r="CL44" s="92"/>
      <c r="CM44" s="50"/>
      <c r="CN44" s="45"/>
      <c r="CO44" s="45"/>
      <c r="CP44" s="45"/>
      <c r="CQ44" s="45"/>
      <c r="CR44" s="45"/>
      <c r="CS44" s="45"/>
      <c r="CT44" s="45"/>
      <c r="CU44" s="45"/>
      <c r="CV44" s="45"/>
      <c r="CW44" s="45"/>
      <c r="CX44" s="45"/>
      <c r="CY44" s="45"/>
      <c r="CZ44" s="45"/>
      <c r="DA44" s="45"/>
      <c r="DB44" s="45"/>
      <c r="DC44" s="45"/>
      <c r="DD44" s="45"/>
      <c r="DE44" s="45"/>
      <c r="DF44" s="45"/>
      <c r="DG44" s="45"/>
      <c r="DH44" s="45"/>
      <c r="DI44" s="45"/>
      <c r="DJ44" s="45"/>
      <c r="DK44" s="45"/>
      <c r="DL44" s="45"/>
      <c r="DM44" s="45"/>
      <c r="DN44" s="45"/>
      <c r="DO44" s="45"/>
      <c r="DP44" s="45"/>
      <c r="DQ44" s="45"/>
      <c r="DR44" s="45"/>
      <c r="DS44" s="45"/>
      <c r="DT44" s="45"/>
      <c r="DU44" s="45"/>
      <c r="DV44" s="45"/>
      <c r="DW44" s="45"/>
      <c r="DX44" s="45"/>
      <c r="DY44" s="45"/>
      <c r="DZ44" s="45"/>
      <c r="EA44" s="45"/>
      <c r="EB44" s="45"/>
      <c r="EC44" s="45"/>
      <c r="ED44" s="45"/>
      <c r="EE44" s="45"/>
      <c r="EF44" s="45"/>
      <c r="EG44" s="45"/>
      <c r="EH44" s="45"/>
      <c r="EI44" s="45"/>
      <c r="EJ44" s="45"/>
      <c r="EK44" s="45"/>
      <c r="EL44" s="45"/>
      <c r="EM44" s="45"/>
      <c r="EN44" s="45"/>
      <c r="EO44" s="45"/>
    </row>
    <row r="45" spans="1:145" s="28" customFormat="1" ht="15.5" customHeight="1" x14ac:dyDescent="0.25">
      <c r="A45" s="32"/>
      <c r="B45" s="115"/>
      <c r="C45" s="94"/>
      <c r="D45" s="95"/>
      <c r="E45" s="117"/>
      <c r="F45" s="65"/>
      <c r="G45" s="65"/>
      <c r="H45" s="65"/>
      <c r="I45" s="66"/>
      <c r="J45" s="66"/>
      <c r="K45" s="65"/>
      <c r="L45" s="65"/>
      <c r="M45" s="65"/>
      <c r="N45" s="65"/>
      <c r="O45" s="65"/>
      <c r="P45" s="66"/>
      <c r="Q45" s="66"/>
      <c r="R45" s="65"/>
      <c r="S45" s="65"/>
      <c r="T45" s="65"/>
      <c r="U45" s="65"/>
      <c r="V45" s="65"/>
      <c r="W45" s="66"/>
      <c r="X45" s="66"/>
      <c r="Y45" s="65"/>
      <c r="Z45" s="65"/>
      <c r="AA45" s="65"/>
      <c r="AB45" s="65"/>
      <c r="AC45" s="65"/>
      <c r="AD45" s="66"/>
      <c r="AE45" s="66"/>
      <c r="AF45" s="65"/>
      <c r="AG45" s="65"/>
      <c r="AH45" s="65"/>
      <c r="AI45" s="65"/>
      <c r="AJ45" s="65"/>
      <c r="AK45" s="66"/>
      <c r="AL45" s="66"/>
      <c r="AM45" s="65"/>
      <c r="AN45" s="65"/>
      <c r="AO45" s="65"/>
      <c r="AP45" s="65"/>
      <c r="AQ45" s="65"/>
      <c r="AR45" s="66"/>
      <c r="AS45" s="66"/>
      <c r="AT45" s="65"/>
      <c r="AU45" s="65"/>
      <c r="AV45" s="65"/>
      <c r="AW45" s="65"/>
      <c r="AX45" s="65"/>
      <c r="AY45" s="66"/>
      <c r="AZ45" s="66"/>
      <c r="BA45" s="65"/>
      <c r="BB45" s="65"/>
      <c r="BC45" s="65"/>
      <c r="BD45" s="66"/>
      <c r="BE45" s="65"/>
      <c r="BF45" s="214"/>
      <c r="BG45" s="214"/>
      <c r="BH45" s="65"/>
      <c r="BI45" s="65"/>
      <c r="BJ45" s="66"/>
      <c r="BK45" s="66"/>
      <c r="BL45" s="65"/>
      <c r="BM45" s="214"/>
      <c r="BN45" s="214"/>
      <c r="BO45" s="167"/>
      <c r="BP45" s="18"/>
      <c r="BQ45" s="119"/>
      <c r="BR45" s="18"/>
      <c r="BS45" s="18"/>
      <c r="BT45" s="21"/>
      <c r="BU45" s="97"/>
      <c r="BV45" s="155"/>
      <c r="BW45" s="155"/>
      <c r="BX45" s="97"/>
      <c r="BY45" s="15"/>
      <c r="BZ45" s="122"/>
      <c r="CA45" s="123"/>
      <c r="CB45" s="90"/>
      <c r="CC45" s="89"/>
      <c r="CD45" s="90"/>
      <c r="CE45" s="18"/>
      <c r="CF45" s="10"/>
      <c r="CG45" s="44"/>
      <c r="CH45" s="91"/>
      <c r="CI45" s="37"/>
      <c r="CJ45" s="92"/>
      <c r="CK45" s="37"/>
      <c r="CL45" s="92"/>
      <c r="CM45" s="50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  <c r="EN45" s="45"/>
      <c r="EO45" s="45"/>
    </row>
    <row r="46" spans="1:145" s="28" customFormat="1" ht="15.5" customHeight="1" x14ac:dyDescent="0.25">
      <c r="A46" s="32"/>
      <c r="B46" s="111"/>
      <c r="C46" s="81" t="s">
        <v>55</v>
      </c>
      <c r="D46" s="95" t="s">
        <v>51</v>
      </c>
      <c r="E46" s="39" t="s">
        <v>40</v>
      </c>
      <c r="F46" s="65"/>
      <c r="G46" s="65"/>
      <c r="H46" s="65"/>
      <c r="I46" s="66"/>
      <c r="J46" s="66"/>
      <c r="K46" s="65"/>
      <c r="L46" s="65"/>
      <c r="M46" s="65"/>
      <c r="N46" s="65"/>
      <c r="O46" s="65"/>
      <c r="P46" s="66"/>
      <c r="Q46" s="66"/>
      <c r="R46" s="65"/>
      <c r="S46" s="65"/>
      <c r="T46" s="65"/>
      <c r="U46" s="65"/>
      <c r="V46" s="65"/>
      <c r="W46" s="66"/>
      <c r="X46" s="66"/>
      <c r="Y46" s="65"/>
      <c r="Z46" s="65"/>
      <c r="AA46" s="65"/>
      <c r="AB46" s="65"/>
      <c r="AC46" s="65"/>
      <c r="AD46" s="66"/>
      <c r="AE46" s="66"/>
      <c r="AF46" s="65"/>
      <c r="AG46" s="65"/>
      <c r="AH46" s="65"/>
      <c r="AI46" s="65"/>
      <c r="AJ46" s="65"/>
      <c r="AK46" s="66"/>
      <c r="AL46" s="66"/>
      <c r="AM46" s="65"/>
      <c r="AN46" s="65"/>
      <c r="AO46" s="65"/>
      <c r="AP46" s="65"/>
      <c r="AQ46" s="65"/>
      <c r="AR46" s="66"/>
      <c r="AS46" s="66"/>
      <c r="AT46" s="65"/>
      <c r="AU46" s="65"/>
      <c r="AV46" s="65"/>
      <c r="AW46" s="65"/>
      <c r="AX46" s="65"/>
      <c r="AY46" s="66"/>
      <c r="AZ46" s="66"/>
      <c r="BA46" s="65"/>
      <c r="BB46" s="65"/>
      <c r="BC46" s="65"/>
      <c r="BD46" s="66"/>
      <c r="BE46" s="65">
        <v>4</v>
      </c>
      <c r="BF46" s="65">
        <v>4</v>
      </c>
      <c r="BG46" s="65">
        <v>4</v>
      </c>
      <c r="BH46" s="65">
        <v>3</v>
      </c>
      <c r="BI46" s="65">
        <v>3</v>
      </c>
      <c r="BJ46" s="66">
        <v>3</v>
      </c>
      <c r="BK46" s="66">
        <v>3</v>
      </c>
      <c r="BL46" s="65">
        <v>3</v>
      </c>
      <c r="BM46" s="214"/>
      <c r="BN46" s="214"/>
      <c r="BO46" s="82">
        <f>SUM(F46:BN46)</f>
        <v>27</v>
      </c>
      <c r="BP46" s="21">
        <f>4800</f>
        <v>4800</v>
      </c>
      <c r="BQ46" s="103">
        <v>0.57999999999999996</v>
      </c>
      <c r="BR46" s="21">
        <f>BP46*(1-BQ46)</f>
        <v>2016.0000000000002</v>
      </c>
      <c r="BS46" s="21">
        <f>BR46*BO46</f>
        <v>54432.000000000007</v>
      </c>
      <c r="BT46" s="21">
        <f>BS46*0.8</f>
        <v>43545.600000000006</v>
      </c>
      <c r="BU46" s="97"/>
      <c r="BV46" s="155">
        <f>BT46/$BT$81</f>
        <v>0.10625427597721063</v>
      </c>
      <c r="BW46" s="155">
        <v>9.770283969591298E-2</v>
      </c>
      <c r="BX46" s="97"/>
      <c r="BY46" s="99">
        <f>BZ46/CC46*100</f>
        <v>0.88456216830874212</v>
      </c>
      <c r="BZ46" s="86">
        <v>143786.81</v>
      </c>
      <c r="CA46" s="87">
        <f>BY46*BO46</f>
        <v>23.883178544336037</v>
      </c>
      <c r="CB46" s="88">
        <v>11451245</v>
      </c>
      <c r="CC46" s="100">
        <v>16255139</v>
      </c>
      <c r="CD46" s="90">
        <f>CC46*CA46/100</f>
        <v>3882243.8699999992</v>
      </c>
      <c r="CE46" s="21">
        <f>BT46/CD46*1000</f>
        <v>11.216606029440396</v>
      </c>
      <c r="CF46" s="10"/>
      <c r="CG46" s="44" t="s">
        <v>55</v>
      </c>
      <c r="CH46" s="91">
        <f>BR46*0.8</f>
        <v>1612.8000000000002</v>
      </c>
      <c r="CI46" s="37">
        <f>SUM(AK46:BG46)</f>
        <v>12</v>
      </c>
      <c r="CJ46" s="92">
        <f>CH46*CI46</f>
        <v>19353.600000000002</v>
      </c>
      <c r="CK46" s="37">
        <f>SUM(BH46:BN46)</f>
        <v>15</v>
      </c>
      <c r="CL46" s="92">
        <f>CK46*CH46</f>
        <v>24192.000000000004</v>
      </c>
      <c r="CM46" s="101" t="b">
        <f>(CJ46+CL46)=BT46</f>
        <v>1</v>
      </c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  <c r="EN46" s="45"/>
      <c r="EO46" s="45"/>
    </row>
    <row r="47" spans="1:145" s="28" customFormat="1" ht="15.5" customHeight="1" x14ac:dyDescent="0.25">
      <c r="A47" s="32"/>
      <c r="B47" s="111"/>
      <c r="C47" s="81"/>
      <c r="D47" s="95"/>
      <c r="E47" s="39"/>
      <c r="F47" s="65"/>
      <c r="G47" s="65"/>
      <c r="H47" s="65"/>
      <c r="I47" s="66"/>
      <c r="J47" s="66"/>
      <c r="K47" s="65"/>
      <c r="L47" s="65"/>
      <c r="M47" s="65"/>
      <c r="N47" s="65"/>
      <c r="O47" s="65"/>
      <c r="P47" s="66"/>
      <c r="Q47" s="66"/>
      <c r="R47" s="65"/>
      <c r="S47" s="65"/>
      <c r="T47" s="65"/>
      <c r="U47" s="65"/>
      <c r="V47" s="65"/>
      <c r="W47" s="66"/>
      <c r="X47" s="66"/>
      <c r="Y47" s="65"/>
      <c r="Z47" s="65"/>
      <c r="AA47" s="65"/>
      <c r="AB47" s="65"/>
      <c r="AC47" s="65"/>
      <c r="AD47" s="66"/>
      <c r="AE47" s="66"/>
      <c r="AF47" s="65"/>
      <c r="AG47" s="65"/>
      <c r="AH47" s="65"/>
      <c r="AI47" s="65"/>
      <c r="AJ47" s="65"/>
      <c r="AK47" s="66"/>
      <c r="AL47" s="66"/>
      <c r="AM47" s="65"/>
      <c r="AN47" s="65"/>
      <c r="AO47" s="65"/>
      <c r="AP47" s="65"/>
      <c r="AQ47" s="65"/>
      <c r="AR47" s="66"/>
      <c r="AS47" s="66"/>
      <c r="AT47" s="65"/>
      <c r="AU47" s="65"/>
      <c r="AV47" s="65"/>
      <c r="AW47" s="65"/>
      <c r="AX47" s="65"/>
      <c r="AY47" s="66"/>
      <c r="AZ47" s="66"/>
      <c r="BA47" s="65"/>
      <c r="BB47" s="65"/>
      <c r="BC47" s="65"/>
      <c r="BD47" s="66"/>
      <c r="BE47" s="65"/>
      <c r="BF47" s="214"/>
      <c r="BG47" s="214"/>
      <c r="BH47" s="65"/>
      <c r="BI47" s="65"/>
      <c r="BJ47" s="66"/>
      <c r="BK47" s="66"/>
      <c r="BL47" s="65"/>
      <c r="BM47" s="214"/>
      <c r="BN47" s="214"/>
      <c r="BO47" s="163"/>
      <c r="BP47" s="21"/>
      <c r="BQ47" s="103"/>
      <c r="BR47" s="21"/>
      <c r="BS47" s="21"/>
      <c r="BT47" s="114"/>
      <c r="BU47" s="97"/>
      <c r="BV47" s="165"/>
      <c r="BW47" s="165"/>
      <c r="BX47" s="97"/>
      <c r="BY47" s="166"/>
      <c r="BZ47" s="107"/>
      <c r="CA47" s="108"/>
      <c r="CB47" s="109"/>
      <c r="CC47" s="110"/>
      <c r="CD47" s="109"/>
      <c r="CE47" s="114"/>
      <c r="CF47" s="10"/>
      <c r="CG47" s="44"/>
      <c r="CH47" s="91"/>
      <c r="CI47" s="37"/>
      <c r="CJ47" s="92"/>
      <c r="CK47" s="37"/>
      <c r="CL47" s="92"/>
      <c r="CM47" s="50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  <c r="EN47" s="45"/>
      <c r="EO47" s="45"/>
    </row>
    <row r="48" spans="1:145" s="28" customFormat="1" ht="15.5" customHeight="1" x14ac:dyDescent="0.25">
      <c r="A48" s="32"/>
      <c r="B48" s="115"/>
      <c r="C48" s="94"/>
      <c r="D48" s="95"/>
      <c r="E48" s="117"/>
      <c r="F48" s="65"/>
      <c r="G48" s="65"/>
      <c r="H48" s="65"/>
      <c r="I48" s="66"/>
      <c r="J48" s="66"/>
      <c r="K48" s="65"/>
      <c r="L48" s="65"/>
      <c r="M48" s="65"/>
      <c r="N48" s="65"/>
      <c r="O48" s="65"/>
      <c r="P48" s="66"/>
      <c r="Q48" s="66"/>
      <c r="R48" s="65"/>
      <c r="S48" s="65"/>
      <c r="T48" s="65"/>
      <c r="U48" s="65"/>
      <c r="V48" s="65"/>
      <c r="W48" s="66"/>
      <c r="X48" s="66"/>
      <c r="Y48" s="65"/>
      <c r="Z48" s="65"/>
      <c r="AA48" s="65"/>
      <c r="AB48" s="65"/>
      <c r="AC48" s="65"/>
      <c r="AD48" s="66"/>
      <c r="AE48" s="66"/>
      <c r="AF48" s="65"/>
      <c r="AG48" s="65"/>
      <c r="AH48" s="65"/>
      <c r="AI48" s="65"/>
      <c r="AJ48" s="65"/>
      <c r="AK48" s="66"/>
      <c r="AL48" s="66"/>
      <c r="AM48" s="65"/>
      <c r="AN48" s="65"/>
      <c r="AO48" s="65"/>
      <c r="AP48" s="65"/>
      <c r="AQ48" s="65"/>
      <c r="AR48" s="66"/>
      <c r="AS48" s="66"/>
      <c r="AT48" s="65"/>
      <c r="AU48" s="65"/>
      <c r="AV48" s="65"/>
      <c r="AW48" s="65"/>
      <c r="AX48" s="65"/>
      <c r="AY48" s="66"/>
      <c r="AZ48" s="66"/>
      <c r="BA48" s="65"/>
      <c r="BB48" s="65"/>
      <c r="BC48" s="65"/>
      <c r="BD48" s="66"/>
      <c r="BE48" s="65"/>
      <c r="BF48" s="214"/>
      <c r="BG48" s="214"/>
      <c r="BH48" s="65"/>
      <c r="BI48" s="65"/>
      <c r="BJ48" s="66"/>
      <c r="BK48" s="66"/>
      <c r="BL48" s="65"/>
      <c r="BM48" s="214"/>
      <c r="BN48" s="214"/>
      <c r="BO48" s="167"/>
      <c r="BP48" s="18"/>
      <c r="BQ48" s="119"/>
      <c r="BR48" s="18"/>
      <c r="BS48" s="18"/>
      <c r="BT48" s="21"/>
      <c r="BU48" s="97"/>
      <c r="BV48" s="155"/>
      <c r="BW48" s="155"/>
      <c r="BX48" s="97"/>
      <c r="BY48" s="15"/>
      <c r="BZ48" s="122"/>
      <c r="CA48" s="123"/>
      <c r="CB48" s="90"/>
      <c r="CC48" s="89"/>
      <c r="CD48" s="90"/>
      <c r="CE48" s="18"/>
      <c r="CF48" s="10"/>
      <c r="CG48" s="44"/>
      <c r="CH48" s="91"/>
      <c r="CI48" s="37"/>
      <c r="CJ48" s="92"/>
      <c r="CK48" s="37"/>
      <c r="CL48" s="92"/>
      <c r="CM48" s="50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  <c r="EN48" s="45"/>
      <c r="EO48" s="45"/>
    </row>
    <row r="49" spans="1:145" s="28" customFormat="1" ht="15.5" customHeight="1" x14ac:dyDescent="0.25">
      <c r="A49" s="32"/>
      <c r="B49" s="111"/>
      <c r="C49" s="81" t="s">
        <v>56</v>
      </c>
      <c r="D49" s="95" t="s">
        <v>51</v>
      </c>
      <c r="E49" s="39" t="s">
        <v>40</v>
      </c>
      <c r="F49" s="65"/>
      <c r="G49" s="65"/>
      <c r="H49" s="65"/>
      <c r="I49" s="66"/>
      <c r="J49" s="66"/>
      <c r="K49" s="65"/>
      <c r="L49" s="65"/>
      <c r="M49" s="65"/>
      <c r="N49" s="65"/>
      <c r="O49" s="65"/>
      <c r="P49" s="66"/>
      <c r="Q49" s="66"/>
      <c r="R49" s="65"/>
      <c r="S49" s="65"/>
      <c r="T49" s="65"/>
      <c r="U49" s="65"/>
      <c r="V49" s="65"/>
      <c r="W49" s="66"/>
      <c r="X49" s="66"/>
      <c r="Y49" s="65"/>
      <c r="Z49" s="65"/>
      <c r="AA49" s="65"/>
      <c r="AB49" s="65"/>
      <c r="AC49" s="65"/>
      <c r="AD49" s="66"/>
      <c r="AE49" s="66"/>
      <c r="AF49" s="65"/>
      <c r="AG49" s="65"/>
      <c r="AH49" s="65"/>
      <c r="AI49" s="65"/>
      <c r="AJ49" s="65"/>
      <c r="AK49" s="66"/>
      <c r="AL49" s="66"/>
      <c r="AM49" s="65"/>
      <c r="AN49" s="65"/>
      <c r="AO49" s="65"/>
      <c r="AP49" s="65"/>
      <c r="AQ49" s="65"/>
      <c r="AR49" s="66"/>
      <c r="AS49" s="66"/>
      <c r="AT49" s="65"/>
      <c r="AU49" s="65"/>
      <c r="AV49" s="65"/>
      <c r="AW49" s="65"/>
      <c r="AX49" s="65"/>
      <c r="AY49" s="66"/>
      <c r="AZ49" s="66"/>
      <c r="BA49" s="65"/>
      <c r="BB49" s="65"/>
      <c r="BC49" s="65"/>
      <c r="BD49" s="66"/>
      <c r="BE49" s="65">
        <v>3</v>
      </c>
      <c r="BF49" s="65">
        <v>3</v>
      </c>
      <c r="BG49" s="65">
        <v>3</v>
      </c>
      <c r="BH49" s="65">
        <v>3</v>
      </c>
      <c r="BI49" s="65">
        <v>3</v>
      </c>
      <c r="BJ49" s="66"/>
      <c r="BK49" s="66"/>
      <c r="BL49" s="65">
        <v>3</v>
      </c>
      <c r="BM49" s="214"/>
      <c r="BN49" s="214"/>
      <c r="BO49" s="82">
        <f>SUM(F49:BN49)</f>
        <v>18</v>
      </c>
      <c r="BP49" s="21">
        <f>3700</f>
        <v>3700</v>
      </c>
      <c r="BQ49" s="169">
        <v>0.61</v>
      </c>
      <c r="BR49" s="21">
        <f>BP49*(1-BQ49)</f>
        <v>1443</v>
      </c>
      <c r="BS49" s="21">
        <f>BR49*BO49</f>
        <v>25974</v>
      </c>
      <c r="BT49" s="21">
        <f>BS49*0.8</f>
        <v>20779.2</v>
      </c>
      <c r="BU49" s="97"/>
      <c r="BV49" s="161">
        <f>BT49/$BT$81</f>
        <v>5.0702685262934831E-2</v>
      </c>
      <c r="BW49" s="161">
        <v>5.1110058463118502E-2</v>
      </c>
      <c r="BX49" s="97"/>
      <c r="BY49" s="99">
        <f>BZ49/CC49*100</f>
        <v>0.2816579421437122</v>
      </c>
      <c r="BZ49" s="86">
        <v>45783.89</v>
      </c>
      <c r="CA49" s="87">
        <f>BY49*BO49</f>
        <v>5.0698429585868201</v>
      </c>
      <c r="CB49" s="88">
        <v>11451245</v>
      </c>
      <c r="CC49" s="100">
        <v>16255139</v>
      </c>
      <c r="CD49" s="90">
        <f>CC49*(CA49+CA51)/100</f>
        <v>824110.02</v>
      </c>
      <c r="CE49" s="21">
        <f>BT49/CD49*1000</f>
        <v>25.214109154988797</v>
      </c>
      <c r="CF49" s="10"/>
      <c r="CG49" s="44" t="s">
        <v>56</v>
      </c>
      <c r="CH49" s="91">
        <f>BR49*0.8</f>
        <v>1154.4000000000001</v>
      </c>
      <c r="CI49" s="37">
        <f>SUM(AK49:BG49)</f>
        <v>9</v>
      </c>
      <c r="CJ49" s="92">
        <f>CH49*CI49</f>
        <v>10389.6</v>
      </c>
      <c r="CK49" s="37">
        <f>SUM(BH49:BN49)</f>
        <v>9</v>
      </c>
      <c r="CL49" s="92">
        <f>CK49*CH49</f>
        <v>10389.6</v>
      </c>
      <c r="CM49" s="101" t="b">
        <f>(CJ49+CL49)=BT49</f>
        <v>1</v>
      </c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  <c r="EN49" s="45"/>
      <c r="EO49" s="45"/>
    </row>
    <row r="50" spans="1:145" s="28" customFormat="1" ht="15.5" customHeight="1" x14ac:dyDescent="0.25">
      <c r="A50" s="32"/>
      <c r="B50" s="111"/>
      <c r="C50" s="81"/>
      <c r="D50" s="95"/>
      <c r="E50" s="39"/>
      <c r="F50" s="65"/>
      <c r="G50" s="65"/>
      <c r="H50" s="65"/>
      <c r="I50" s="66"/>
      <c r="J50" s="66"/>
      <c r="K50" s="65"/>
      <c r="L50" s="65"/>
      <c r="M50" s="65"/>
      <c r="N50" s="65"/>
      <c r="O50" s="65"/>
      <c r="P50" s="66"/>
      <c r="Q50" s="66"/>
      <c r="R50" s="65"/>
      <c r="S50" s="65"/>
      <c r="T50" s="65"/>
      <c r="U50" s="65"/>
      <c r="V50" s="65"/>
      <c r="W50" s="66"/>
      <c r="X50" s="66"/>
      <c r="Y50" s="65"/>
      <c r="Z50" s="65"/>
      <c r="AA50" s="65"/>
      <c r="AB50" s="65"/>
      <c r="AC50" s="65"/>
      <c r="AD50" s="66"/>
      <c r="AE50" s="66"/>
      <c r="AF50" s="65"/>
      <c r="AG50" s="65"/>
      <c r="AH50" s="65"/>
      <c r="AI50" s="65"/>
      <c r="AJ50" s="65"/>
      <c r="AK50" s="66"/>
      <c r="AL50" s="66"/>
      <c r="AM50" s="65"/>
      <c r="AN50" s="65"/>
      <c r="AO50" s="65"/>
      <c r="AP50" s="65"/>
      <c r="AQ50" s="65"/>
      <c r="AR50" s="66"/>
      <c r="AS50" s="66"/>
      <c r="AT50" s="65"/>
      <c r="AU50" s="65"/>
      <c r="AV50" s="65"/>
      <c r="AW50" s="65"/>
      <c r="AX50" s="65"/>
      <c r="AY50" s="66"/>
      <c r="AZ50" s="66"/>
      <c r="BA50" s="65"/>
      <c r="BB50" s="65"/>
      <c r="BC50" s="65"/>
      <c r="BD50" s="66"/>
      <c r="BE50" s="65"/>
      <c r="BF50" s="214"/>
      <c r="BG50" s="214"/>
      <c r="BH50" s="65"/>
      <c r="BI50" s="65"/>
      <c r="BJ50" s="66"/>
      <c r="BK50" s="66"/>
      <c r="BL50" s="65"/>
      <c r="BM50" s="214"/>
      <c r="BN50" s="214"/>
      <c r="BO50" s="82"/>
      <c r="BP50" s="21"/>
      <c r="BQ50" s="169"/>
      <c r="BR50" s="21"/>
      <c r="BS50" s="21"/>
      <c r="BT50" s="114"/>
      <c r="BU50" s="97"/>
      <c r="BV50" s="165"/>
      <c r="BW50" s="165"/>
      <c r="BX50" s="97"/>
      <c r="BY50" s="166"/>
      <c r="BZ50" s="107"/>
      <c r="CA50" s="108"/>
      <c r="CB50" s="109"/>
      <c r="CC50" s="110"/>
      <c r="CD50" s="109"/>
      <c r="CE50" s="114"/>
      <c r="CF50" s="10"/>
      <c r="CG50" s="44"/>
      <c r="CH50" s="91"/>
      <c r="CI50" s="37"/>
      <c r="CJ50" s="92"/>
      <c r="CK50" s="37"/>
      <c r="CL50" s="92"/>
      <c r="CM50" s="50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  <c r="EN50" s="45"/>
      <c r="EO50" s="45"/>
    </row>
    <row r="51" spans="1:145" s="28" customFormat="1" ht="15.5" customHeight="1" x14ac:dyDescent="0.25">
      <c r="A51" s="32"/>
      <c r="B51" s="115"/>
      <c r="C51" s="94"/>
      <c r="D51" s="95"/>
      <c r="E51" s="117"/>
      <c r="F51" s="65"/>
      <c r="G51" s="65"/>
      <c r="H51" s="65"/>
      <c r="I51" s="66"/>
      <c r="J51" s="66"/>
      <c r="K51" s="65"/>
      <c r="L51" s="65"/>
      <c r="M51" s="65"/>
      <c r="N51" s="65"/>
      <c r="O51" s="65"/>
      <c r="P51" s="66"/>
      <c r="Q51" s="66"/>
      <c r="R51" s="65"/>
      <c r="S51" s="65"/>
      <c r="T51" s="65"/>
      <c r="U51" s="65"/>
      <c r="V51" s="65"/>
      <c r="W51" s="66"/>
      <c r="X51" s="66"/>
      <c r="Y51" s="65"/>
      <c r="Z51" s="65"/>
      <c r="AA51" s="65"/>
      <c r="AB51" s="65"/>
      <c r="AC51" s="65"/>
      <c r="AD51" s="66"/>
      <c r="AE51" s="66"/>
      <c r="AF51" s="65"/>
      <c r="AG51" s="65"/>
      <c r="AH51" s="65"/>
      <c r="AI51" s="65"/>
      <c r="AJ51" s="65"/>
      <c r="AK51" s="66"/>
      <c r="AL51" s="66"/>
      <c r="AM51" s="65"/>
      <c r="AN51" s="65"/>
      <c r="AO51" s="65"/>
      <c r="AP51" s="65"/>
      <c r="AQ51" s="65"/>
      <c r="AR51" s="66"/>
      <c r="AS51" s="66"/>
      <c r="AT51" s="65"/>
      <c r="AU51" s="65"/>
      <c r="AV51" s="65"/>
      <c r="AW51" s="65"/>
      <c r="AX51" s="65"/>
      <c r="AY51" s="66"/>
      <c r="AZ51" s="66"/>
      <c r="BA51" s="65"/>
      <c r="BB51" s="65"/>
      <c r="BC51" s="65"/>
      <c r="BD51" s="66"/>
      <c r="BE51" s="65"/>
      <c r="BF51" s="214"/>
      <c r="BG51" s="214"/>
      <c r="BH51" s="65"/>
      <c r="BI51" s="65"/>
      <c r="BJ51" s="66"/>
      <c r="BK51" s="66"/>
      <c r="BL51" s="65"/>
      <c r="BM51" s="214"/>
      <c r="BN51" s="214"/>
      <c r="BO51" s="167"/>
      <c r="BP51" s="18"/>
      <c r="BQ51" s="119"/>
      <c r="BR51" s="18"/>
      <c r="BS51" s="18"/>
      <c r="BT51" s="21"/>
      <c r="BU51" s="97"/>
      <c r="BV51" s="155"/>
      <c r="BW51" s="155"/>
      <c r="BX51" s="97"/>
      <c r="BY51" s="15"/>
      <c r="BZ51" s="122"/>
      <c r="CA51" s="123"/>
      <c r="CB51" s="90"/>
      <c r="CC51" s="89"/>
      <c r="CD51" s="90"/>
      <c r="CE51" s="18"/>
      <c r="CF51" s="10"/>
      <c r="CG51" s="44"/>
      <c r="CH51" s="91"/>
      <c r="CI51" s="37"/>
      <c r="CJ51" s="92"/>
      <c r="CK51" s="37"/>
      <c r="CL51" s="92"/>
      <c r="CM51" s="50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  <c r="EN51" s="45"/>
      <c r="EO51" s="45"/>
    </row>
    <row r="52" spans="1:145" s="28" customFormat="1" ht="15.5" customHeight="1" x14ac:dyDescent="0.25">
      <c r="A52" s="32"/>
      <c r="B52" s="111"/>
      <c r="C52" s="81" t="s">
        <v>57</v>
      </c>
      <c r="D52" s="95" t="s">
        <v>51</v>
      </c>
      <c r="E52" s="39" t="s">
        <v>40</v>
      </c>
      <c r="F52" s="65"/>
      <c r="G52" s="65"/>
      <c r="H52" s="65"/>
      <c r="I52" s="66"/>
      <c r="J52" s="66"/>
      <c r="K52" s="65"/>
      <c r="L52" s="65"/>
      <c r="M52" s="65"/>
      <c r="N52" s="65"/>
      <c r="O52" s="65"/>
      <c r="P52" s="66"/>
      <c r="Q52" s="66"/>
      <c r="R52" s="65"/>
      <c r="S52" s="65"/>
      <c r="T52" s="65"/>
      <c r="U52" s="65"/>
      <c r="V52" s="65"/>
      <c r="W52" s="66"/>
      <c r="X52" s="66"/>
      <c r="Y52" s="65"/>
      <c r="Z52" s="65"/>
      <c r="AA52" s="65"/>
      <c r="AB52" s="65"/>
      <c r="AC52" s="65"/>
      <c r="AD52" s="66"/>
      <c r="AE52" s="66"/>
      <c r="AF52" s="65"/>
      <c r="AG52" s="65"/>
      <c r="AH52" s="65"/>
      <c r="AI52" s="65"/>
      <c r="AJ52" s="65"/>
      <c r="AK52" s="66"/>
      <c r="AL52" s="66"/>
      <c r="AM52" s="65"/>
      <c r="AN52" s="65"/>
      <c r="AO52" s="65"/>
      <c r="AP52" s="65"/>
      <c r="AQ52" s="65"/>
      <c r="AR52" s="66"/>
      <c r="AS52" s="66"/>
      <c r="AT52" s="65"/>
      <c r="AU52" s="65"/>
      <c r="AV52" s="65"/>
      <c r="AW52" s="65"/>
      <c r="AX52" s="65"/>
      <c r="AY52" s="66"/>
      <c r="AZ52" s="66"/>
      <c r="BA52" s="65"/>
      <c r="BB52" s="65"/>
      <c r="BC52" s="65"/>
      <c r="BD52" s="66"/>
      <c r="BE52" s="65">
        <v>4</v>
      </c>
      <c r="BF52" s="65">
        <v>4</v>
      </c>
      <c r="BG52" s="65">
        <v>4</v>
      </c>
      <c r="BH52" s="65">
        <v>4</v>
      </c>
      <c r="BI52" s="65">
        <v>4</v>
      </c>
      <c r="BJ52" s="65">
        <v>4</v>
      </c>
      <c r="BK52" s="65">
        <v>4</v>
      </c>
      <c r="BL52" s="65">
        <v>4</v>
      </c>
      <c r="BM52" s="214"/>
      <c r="BN52" s="214"/>
      <c r="BO52" s="82">
        <f>SUM(F52:BN52)</f>
        <v>32</v>
      </c>
      <c r="BP52" s="170">
        <v>990.99</v>
      </c>
      <c r="BQ52" s="103">
        <v>0.5</v>
      </c>
      <c r="BR52" s="21">
        <f>BP52*(1-BQ52)</f>
        <v>495.495</v>
      </c>
      <c r="BS52" s="21">
        <f>BR52*BO52</f>
        <v>15855.84</v>
      </c>
      <c r="BT52" s="21">
        <f>BS52*0.8</f>
        <v>12684.672</v>
      </c>
      <c r="BU52" s="97"/>
      <c r="BV52" s="155">
        <f>BT52/$BT$81</f>
        <v>3.0951477057805984E-2</v>
      </c>
      <c r="BW52" s="155">
        <v>3.1110058463118512E-2</v>
      </c>
      <c r="BX52" s="97"/>
      <c r="BY52" s="99">
        <f>BZ52/CC52*100</f>
        <v>0.29396026696541938</v>
      </c>
      <c r="BZ52" s="86">
        <v>47783.65</v>
      </c>
      <c r="CA52" s="87">
        <f>BY52*BO52</f>
        <v>9.4067285428934202</v>
      </c>
      <c r="CB52" s="88">
        <v>11451245</v>
      </c>
      <c r="CC52" s="100">
        <v>16255139</v>
      </c>
      <c r="CD52" s="90">
        <f>CC52*CA52/100</f>
        <v>1529076.8</v>
      </c>
      <c r="CE52" s="21">
        <f>BT52/CD52*1000</f>
        <v>8.2956408729764259</v>
      </c>
      <c r="CF52" s="10"/>
      <c r="CG52" s="44" t="s">
        <v>57</v>
      </c>
      <c r="CH52" s="91">
        <f>BR52*0.8</f>
        <v>396.39600000000002</v>
      </c>
      <c r="CI52" s="37">
        <f>SUM(AK52:BG52)</f>
        <v>12</v>
      </c>
      <c r="CJ52" s="92">
        <f>CH52*CI52</f>
        <v>4756.7520000000004</v>
      </c>
      <c r="CK52" s="37">
        <f>SUM(BH52:BN52)</f>
        <v>20</v>
      </c>
      <c r="CL52" s="92">
        <f>CK52*CH52</f>
        <v>7927.92</v>
      </c>
      <c r="CM52" s="101" t="b">
        <f>(CJ52+CL52)=BT52</f>
        <v>1</v>
      </c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  <c r="EN52" s="45"/>
      <c r="EO52" s="45"/>
    </row>
    <row r="53" spans="1:145" s="28" customFormat="1" ht="15.5" customHeight="1" x14ac:dyDescent="0.25">
      <c r="A53" s="32"/>
      <c r="B53" s="111"/>
      <c r="C53" s="81"/>
      <c r="D53" s="95"/>
      <c r="E53" s="39"/>
      <c r="F53" s="65"/>
      <c r="G53" s="65"/>
      <c r="H53" s="65"/>
      <c r="I53" s="66"/>
      <c r="J53" s="66"/>
      <c r="K53" s="65"/>
      <c r="L53" s="65"/>
      <c r="M53" s="65"/>
      <c r="N53" s="65"/>
      <c r="O53" s="65"/>
      <c r="P53" s="66"/>
      <c r="Q53" s="66"/>
      <c r="R53" s="65"/>
      <c r="S53" s="65"/>
      <c r="T53" s="65"/>
      <c r="U53" s="65"/>
      <c r="V53" s="65"/>
      <c r="W53" s="66"/>
      <c r="X53" s="66"/>
      <c r="Y53" s="65"/>
      <c r="Z53" s="65"/>
      <c r="AA53" s="65"/>
      <c r="AB53" s="65"/>
      <c r="AC53" s="65"/>
      <c r="AD53" s="66"/>
      <c r="AE53" s="66"/>
      <c r="AF53" s="65"/>
      <c r="AG53" s="65"/>
      <c r="AH53" s="65"/>
      <c r="AI53" s="65"/>
      <c r="AJ53" s="65"/>
      <c r="AK53" s="66"/>
      <c r="AL53" s="66"/>
      <c r="AM53" s="65"/>
      <c r="AN53" s="65"/>
      <c r="AO53" s="65"/>
      <c r="AP53" s="65"/>
      <c r="AQ53" s="65"/>
      <c r="AR53" s="66"/>
      <c r="AS53" s="66"/>
      <c r="AT53" s="65"/>
      <c r="AU53" s="65"/>
      <c r="AV53" s="65"/>
      <c r="AW53" s="65"/>
      <c r="AX53" s="65"/>
      <c r="AY53" s="66"/>
      <c r="AZ53" s="66"/>
      <c r="BA53" s="65"/>
      <c r="BB53" s="65"/>
      <c r="BC53" s="65"/>
      <c r="BD53" s="66"/>
      <c r="BE53" s="65"/>
      <c r="BF53" s="214"/>
      <c r="BG53" s="214"/>
      <c r="BH53" s="65"/>
      <c r="BI53" s="65"/>
      <c r="BJ53" s="66"/>
      <c r="BK53" s="66"/>
      <c r="BL53" s="65"/>
      <c r="BM53" s="214"/>
      <c r="BN53" s="214"/>
      <c r="BO53" s="163"/>
      <c r="BP53" s="21"/>
      <c r="BQ53" s="103"/>
      <c r="BR53" s="21"/>
      <c r="BS53" s="21"/>
      <c r="BT53" s="114"/>
      <c r="BU53" s="97"/>
      <c r="BV53" s="165"/>
      <c r="BW53" s="165"/>
      <c r="BX53" s="97"/>
      <c r="BY53" s="166"/>
      <c r="BZ53" s="107"/>
      <c r="CA53" s="108"/>
      <c r="CB53" s="109"/>
      <c r="CC53" s="110"/>
      <c r="CD53" s="109"/>
      <c r="CE53" s="114"/>
      <c r="CF53" s="10"/>
      <c r="CG53" s="44"/>
      <c r="CH53" s="91"/>
      <c r="CI53" s="37"/>
      <c r="CJ53" s="92"/>
      <c r="CK53" s="37"/>
      <c r="CL53" s="92"/>
      <c r="CM53" s="50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  <c r="EN53" s="45"/>
      <c r="EO53" s="45"/>
    </row>
    <row r="54" spans="1:145" s="28" customFormat="1" ht="15.5" customHeight="1" x14ac:dyDescent="0.25">
      <c r="A54" s="32"/>
      <c r="B54" s="115"/>
      <c r="C54" s="94"/>
      <c r="D54" s="95"/>
      <c r="E54" s="117"/>
      <c r="F54" s="65"/>
      <c r="G54" s="65"/>
      <c r="H54" s="65"/>
      <c r="I54" s="66"/>
      <c r="J54" s="66"/>
      <c r="K54" s="65"/>
      <c r="L54" s="65"/>
      <c r="M54" s="65"/>
      <c r="N54" s="65"/>
      <c r="O54" s="65"/>
      <c r="P54" s="66"/>
      <c r="Q54" s="66"/>
      <c r="R54" s="65"/>
      <c r="S54" s="65"/>
      <c r="T54" s="65"/>
      <c r="U54" s="65"/>
      <c r="V54" s="65"/>
      <c r="W54" s="66"/>
      <c r="X54" s="66"/>
      <c r="Y54" s="65"/>
      <c r="Z54" s="65"/>
      <c r="AA54" s="65"/>
      <c r="AB54" s="65"/>
      <c r="AC54" s="65"/>
      <c r="AD54" s="66"/>
      <c r="AE54" s="66"/>
      <c r="AF54" s="65"/>
      <c r="AG54" s="65"/>
      <c r="AH54" s="65"/>
      <c r="AI54" s="65"/>
      <c r="AJ54" s="65"/>
      <c r="AK54" s="66"/>
      <c r="AL54" s="66"/>
      <c r="AM54" s="65"/>
      <c r="AN54" s="65"/>
      <c r="AO54" s="65"/>
      <c r="AP54" s="65"/>
      <c r="AQ54" s="65"/>
      <c r="AR54" s="66"/>
      <c r="AS54" s="66"/>
      <c r="AT54" s="65"/>
      <c r="AU54" s="65"/>
      <c r="AV54" s="65"/>
      <c r="AW54" s="65"/>
      <c r="AX54" s="65"/>
      <c r="AY54" s="66"/>
      <c r="AZ54" s="66"/>
      <c r="BA54" s="65"/>
      <c r="BB54" s="65"/>
      <c r="BC54" s="65"/>
      <c r="BD54" s="66"/>
      <c r="BE54" s="65"/>
      <c r="BF54" s="214"/>
      <c r="BG54" s="214"/>
      <c r="BH54" s="65"/>
      <c r="BI54" s="65"/>
      <c r="BJ54" s="66"/>
      <c r="BK54" s="66"/>
      <c r="BL54" s="65"/>
      <c r="BM54" s="214"/>
      <c r="BN54" s="214"/>
      <c r="BO54" s="167"/>
      <c r="BP54" s="18"/>
      <c r="BQ54" s="119"/>
      <c r="BR54" s="18"/>
      <c r="BS54" s="18"/>
      <c r="BT54" s="18"/>
      <c r="BU54" s="97"/>
      <c r="BV54" s="171"/>
      <c r="BW54" s="171"/>
      <c r="BX54" s="97"/>
      <c r="BY54" s="15"/>
      <c r="BZ54" s="122"/>
      <c r="CA54" s="123"/>
      <c r="CB54" s="90"/>
      <c r="CC54" s="89"/>
      <c r="CD54" s="90"/>
      <c r="CE54" s="18"/>
      <c r="CF54" s="10"/>
      <c r="CG54" s="44"/>
      <c r="CH54" s="91"/>
      <c r="CI54" s="37"/>
      <c r="CJ54" s="92"/>
      <c r="CK54" s="37"/>
      <c r="CL54" s="92"/>
      <c r="CM54" s="101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  <c r="EN54" s="45"/>
      <c r="EO54" s="45"/>
    </row>
    <row r="55" spans="1:145" s="28" customFormat="1" ht="15.5" customHeight="1" x14ac:dyDescent="0.25">
      <c r="A55" s="32"/>
      <c r="B55" s="111"/>
      <c r="C55" s="81" t="s">
        <v>58</v>
      </c>
      <c r="D55" s="95" t="s">
        <v>51</v>
      </c>
      <c r="E55" s="39" t="s">
        <v>40</v>
      </c>
      <c r="F55" s="65"/>
      <c r="G55" s="65"/>
      <c r="H55" s="65"/>
      <c r="I55" s="66"/>
      <c r="J55" s="66"/>
      <c r="K55" s="65"/>
      <c r="L55" s="65"/>
      <c r="M55" s="65"/>
      <c r="N55" s="65"/>
      <c r="O55" s="65"/>
      <c r="P55" s="66"/>
      <c r="Q55" s="66"/>
      <c r="R55" s="65"/>
      <c r="S55" s="65"/>
      <c r="T55" s="65"/>
      <c r="U55" s="65"/>
      <c r="V55" s="65"/>
      <c r="W55" s="66"/>
      <c r="X55" s="66"/>
      <c r="Y55" s="65"/>
      <c r="Z55" s="65"/>
      <c r="AA55" s="65"/>
      <c r="AB55" s="65"/>
      <c r="AC55" s="65"/>
      <c r="AD55" s="66"/>
      <c r="AE55" s="66"/>
      <c r="AF55" s="65"/>
      <c r="AG55" s="65"/>
      <c r="AH55" s="65"/>
      <c r="AI55" s="65"/>
      <c r="AJ55" s="65"/>
      <c r="AK55" s="66"/>
      <c r="AL55" s="66"/>
      <c r="AM55" s="65"/>
      <c r="AN55" s="65"/>
      <c r="AO55" s="65"/>
      <c r="AP55" s="65"/>
      <c r="AQ55" s="65"/>
      <c r="AR55" s="66"/>
      <c r="AS55" s="66"/>
      <c r="AT55" s="65"/>
      <c r="AU55" s="65"/>
      <c r="AV55" s="65"/>
      <c r="AW55" s="65"/>
      <c r="AX55" s="65"/>
      <c r="AY55" s="66"/>
      <c r="AZ55" s="66"/>
      <c r="BA55" s="65"/>
      <c r="BB55" s="65"/>
      <c r="BC55" s="65"/>
      <c r="BD55" s="66"/>
      <c r="BE55" s="65">
        <v>3</v>
      </c>
      <c r="BF55" s="65">
        <v>3</v>
      </c>
      <c r="BG55" s="65">
        <v>3</v>
      </c>
      <c r="BH55" s="65">
        <v>3</v>
      </c>
      <c r="BI55" s="65">
        <v>3</v>
      </c>
      <c r="BJ55" s="65">
        <v>3</v>
      </c>
      <c r="BK55" s="65">
        <v>3</v>
      </c>
      <c r="BL55" s="65">
        <v>3</v>
      </c>
      <c r="BM55" s="214"/>
      <c r="BN55" s="214"/>
      <c r="BO55" s="82">
        <f>SUM(F55:BN55)</f>
        <v>24</v>
      </c>
      <c r="BP55" s="21">
        <f>3900</f>
        <v>3900</v>
      </c>
      <c r="BQ55" s="103">
        <v>0.70109999999999995</v>
      </c>
      <c r="BR55" s="21">
        <f>BP55*(1-BQ55)</f>
        <v>1165.7100000000003</v>
      </c>
      <c r="BS55" s="21">
        <f>BP55*BO55*(1-BQ55)</f>
        <v>27977.040000000005</v>
      </c>
      <c r="BT55" s="21">
        <f>BS55*0.8</f>
        <v>22381.632000000005</v>
      </c>
      <c r="BU55" s="97"/>
      <c r="BV55" s="161">
        <f>BT55/$BT$81</f>
        <v>5.4612730180508912E-2</v>
      </c>
      <c r="BW55" s="161">
        <v>4.7536390902329966E-2</v>
      </c>
      <c r="BX55" s="97"/>
      <c r="BY55" s="99">
        <f>BZ55/CC55*100</f>
        <v>0.43037534160735258</v>
      </c>
      <c r="BZ55" s="86">
        <v>69958.11</v>
      </c>
      <c r="CA55" s="87">
        <f>BY55*BO55</f>
        <v>10.329008198576462</v>
      </c>
      <c r="CB55" s="88">
        <v>11451245</v>
      </c>
      <c r="CC55" s="100">
        <v>16255139</v>
      </c>
      <c r="CD55" s="90">
        <f>CC55*(CA55+CA57)/100</f>
        <v>1678994.64</v>
      </c>
      <c r="CE55" s="21">
        <f>BT55/CD55*1000</f>
        <v>13.33037727863146</v>
      </c>
      <c r="CF55" s="10"/>
      <c r="CG55" s="44" t="s">
        <v>58</v>
      </c>
      <c r="CH55" s="91">
        <f>BR55*0.8</f>
        <v>932.56800000000021</v>
      </c>
      <c r="CI55" s="37">
        <f>SUM(AK55:BG55)</f>
        <v>9</v>
      </c>
      <c r="CJ55" s="92">
        <f>CH55*CI55</f>
        <v>8393.112000000001</v>
      </c>
      <c r="CK55" s="37">
        <f>SUM(BH55:BN55)</f>
        <v>15</v>
      </c>
      <c r="CL55" s="92">
        <f>CK55*CH55</f>
        <v>13988.520000000004</v>
      </c>
      <c r="CM55" s="101" t="b">
        <f>(CJ55+CL55)=BT55</f>
        <v>1</v>
      </c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  <c r="EN55" s="45"/>
      <c r="EO55" s="45"/>
    </row>
    <row r="56" spans="1:145" s="28" customFormat="1" ht="15.5" customHeight="1" x14ac:dyDescent="0.25">
      <c r="A56" s="32"/>
      <c r="B56" s="111"/>
      <c r="C56" s="81"/>
      <c r="D56" s="95"/>
      <c r="E56" s="39"/>
      <c r="F56" s="65"/>
      <c r="G56" s="65"/>
      <c r="H56" s="65"/>
      <c r="I56" s="66"/>
      <c r="J56" s="66"/>
      <c r="K56" s="65"/>
      <c r="L56" s="65"/>
      <c r="M56" s="65"/>
      <c r="N56" s="65"/>
      <c r="O56" s="65"/>
      <c r="P56" s="66"/>
      <c r="Q56" s="66"/>
      <c r="R56" s="65"/>
      <c r="S56" s="65"/>
      <c r="T56" s="65"/>
      <c r="U56" s="65"/>
      <c r="V56" s="65"/>
      <c r="W56" s="66"/>
      <c r="X56" s="66"/>
      <c r="Y56" s="65"/>
      <c r="Z56" s="65"/>
      <c r="AA56" s="65"/>
      <c r="AB56" s="65"/>
      <c r="AC56" s="65"/>
      <c r="AD56" s="66"/>
      <c r="AE56" s="66"/>
      <c r="AF56" s="65"/>
      <c r="AG56" s="65"/>
      <c r="AH56" s="65"/>
      <c r="AI56" s="65"/>
      <c r="AJ56" s="65"/>
      <c r="AK56" s="66"/>
      <c r="AL56" s="66"/>
      <c r="AM56" s="65"/>
      <c r="AN56" s="65"/>
      <c r="AO56" s="65"/>
      <c r="AP56" s="65"/>
      <c r="AQ56" s="65"/>
      <c r="AR56" s="66"/>
      <c r="AS56" s="66"/>
      <c r="AT56" s="65"/>
      <c r="AU56" s="65"/>
      <c r="AV56" s="65"/>
      <c r="AW56" s="65"/>
      <c r="AX56" s="65"/>
      <c r="AY56" s="66"/>
      <c r="AZ56" s="66"/>
      <c r="BA56" s="65"/>
      <c r="BB56" s="65"/>
      <c r="BC56" s="65"/>
      <c r="BD56" s="66"/>
      <c r="BE56" s="65"/>
      <c r="BF56" s="214"/>
      <c r="BG56" s="214"/>
      <c r="BH56" s="65"/>
      <c r="BI56" s="65"/>
      <c r="BJ56" s="66"/>
      <c r="BK56" s="66"/>
      <c r="BL56" s="65"/>
      <c r="BM56" s="214"/>
      <c r="BN56" s="214"/>
      <c r="BO56" s="82"/>
      <c r="BP56" s="21"/>
      <c r="BQ56" s="103"/>
      <c r="BR56" s="21"/>
      <c r="BS56" s="21"/>
      <c r="BT56" s="114"/>
      <c r="BU56" s="97"/>
      <c r="BV56" s="165"/>
      <c r="BW56" s="165"/>
      <c r="BX56" s="97"/>
      <c r="BY56" s="166"/>
      <c r="BZ56" s="107"/>
      <c r="CA56" s="108"/>
      <c r="CB56" s="109"/>
      <c r="CC56" s="110"/>
      <c r="CD56" s="109"/>
      <c r="CE56" s="114"/>
      <c r="CF56" s="10"/>
      <c r="CG56" s="44"/>
      <c r="CH56" s="91"/>
      <c r="CI56" s="37"/>
      <c r="CJ56" s="92"/>
      <c r="CK56" s="37"/>
      <c r="CL56" s="92"/>
      <c r="CM56" s="50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  <c r="EN56" s="45"/>
      <c r="EO56" s="45"/>
    </row>
    <row r="57" spans="1:145" s="28" customFormat="1" ht="15.5" customHeight="1" x14ac:dyDescent="0.25">
      <c r="A57" s="32"/>
      <c r="B57" s="115"/>
      <c r="C57" s="94"/>
      <c r="D57" s="95"/>
      <c r="E57" s="117"/>
      <c r="F57" s="65"/>
      <c r="G57" s="65"/>
      <c r="H57" s="65"/>
      <c r="I57" s="66"/>
      <c r="J57" s="66"/>
      <c r="K57" s="65"/>
      <c r="L57" s="65"/>
      <c r="M57" s="65"/>
      <c r="N57" s="65"/>
      <c r="O57" s="65"/>
      <c r="P57" s="66"/>
      <c r="Q57" s="66"/>
      <c r="R57" s="65"/>
      <c r="S57" s="65"/>
      <c r="T57" s="65"/>
      <c r="U57" s="65"/>
      <c r="V57" s="65"/>
      <c r="W57" s="66"/>
      <c r="X57" s="66"/>
      <c r="Y57" s="65"/>
      <c r="Z57" s="65"/>
      <c r="AA57" s="65"/>
      <c r="AB57" s="65"/>
      <c r="AC57" s="65"/>
      <c r="AD57" s="66"/>
      <c r="AE57" s="66"/>
      <c r="AF57" s="65"/>
      <c r="AG57" s="65"/>
      <c r="AH57" s="65"/>
      <c r="AI57" s="65"/>
      <c r="AJ57" s="65"/>
      <c r="AK57" s="66"/>
      <c r="AL57" s="66"/>
      <c r="AM57" s="65"/>
      <c r="AN57" s="65"/>
      <c r="AO57" s="65"/>
      <c r="AP57" s="65"/>
      <c r="AQ57" s="65"/>
      <c r="AR57" s="66"/>
      <c r="AS57" s="66"/>
      <c r="AT57" s="65"/>
      <c r="AU57" s="65"/>
      <c r="AV57" s="65"/>
      <c r="AW57" s="65"/>
      <c r="AX57" s="65"/>
      <c r="AY57" s="66"/>
      <c r="AZ57" s="66"/>
      <c r="BA57" s="65"/>
      <c r="BB57" s="65"/>
      <c r="BC57" s="65"/>
      <c r="BD57" s="66"/>
      <c r="BE57" s="65"/>
      <c r="BF57" s="214"/>
      <c r="BG57" s="214"/>
      <c r="BH57" s="65"/>
      <c r="BI57" s="65"/>
      <c r="BJ57" s="66"/>
      <c r="BK57" s="66"/>
      <c r="BL57" s="65"/>
      <c r="BM57" s="214"/>
      <c r="BN57" s="214"/>
      <c r="BO57" s="167"/>
      <c r="BP57" s="18"/>
      <c r="BQ57" s="119"/>
      <c r="BR57" s="18"/>
      <c r="BS57" s="18"/>
      <c r="BT57" s="21"/>
      <c r="BU57" s="97"/>
      <c r="BV57" s="155"/>
      <c r="BW57" s="155"/>
      <c r="BX57" s="97"/>
      <c r="BY57" s="15"/>
      <c r="BZ57" s="122"/>
      <c r="CA57" s="123"/>
      <c r="CB57" s="90"/>
      <c r="CC57" s="89"/>
      <c r="CD57" s="90"/>
      <c r="CE57" s="18"/>
      <c r="CF57" s="10"/>
      <c r="CG57" s="44"/>
      <c r="CH57" s="91"/>
      <c r="CI57" s="37"/>
      <c r="CJ57" s="92"/>
      <c r="CK57" s="37"/>
      <c r="CL57" s="92"/>
      <c r="CM57" s="50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  <c r="EN57" s="45"/>
      <c r="EO57" s="45"/>
    </row>
    <row r="58" spans="1:145" s="28" customFormat="1" ht="15.5" customHeight="1" x14ac:dyDescent="0.25">
      <c r="A58" s="32"/>
      <c r="B58" s="111"/>
      <c r="C58" s="81" t="s">
        <v>59</v>
      </c>
      <c r="D58" s="95" t="s">
        <v>51</v>
      </c>
      <c r="E58" s="39" t="s">
        <v>40</v>
      </c>
      <c r="F58" s="65"/>
      <c r="G58" s="65"/>
      <c r="H58" s="65"/>
      <c r="I58" s="66"/>
      <c r="J58" s="66"/>
      <c r="K58" s="65"/>
      <c r="L58" s="65"/>
      <c r="M58" s="65"/>
      <c r="N58" s="65"/>
      <c r="O58" s="65"/>
      <c r="P58" s="66"/>
      <c r="Q58" s="66"/>
      <c r="R58" s="65"/>
      <c r="S58" s="65"/>
      <c r="T58" s="65"/>
      <c r="U58" s="65"/>
      <c r="V58" s="65"/>
      <c r="W58" s="66"/>
      <c r="X58" s="66"/>
      <c r="Y58" s="65"/>
      <c r="Z58" s="65"/>
      <c r="AA58" s="65"/>
      <c r="AB58" s="65"/>
      <c r="AC58" s="65"/>
      <c r="AD58" s="66"/>
      <c r="AE58" s="66"/>
      <c r="AF58" s="65"/>
      <c r="AG58" s="65"/>
      <c r="AH58" s="65"/>
      <c r="AI58" s="65"/>
      <c r="AJ58" s="65"/>
      <c r="AK58" s="66"/>
      <c r="AL58" s="66"/>
      <c r="AM58" s="65"/>
      <c r="AN58" s="65"/>
      <c r="AO58" s="65"/>
      <c r="AP58" s="65"/>
      <c r="AQ58" s="65"/>
      <c r="AR58" s="66"/>
      <c r="AS58" s="66"/>
      <c r="AT58" s="65"/>
      <c r="AU58" s="65"/>
      <c r="AV58" s="65"/>
      <c r="AW58" s="65"/>
      <c r="AX58" s="65"/>
      <c r="AY58" s="66"/>
      <c r="AZ58" s="66"/>
      <c r="BA58" s="65"/>
      <c r="BB58" s="65"/>
      <c r="BC58" s="65"/>
      <c r="BD58" s="66"/>
      <c r="BE58" s="65">
        <v>4</v>
      </c>
      <c r="BF58" s="65">
        <v>4</v>
      </c>
      <c r="BG58" s="65">
        <v>4</v>
      </c>
      <c r="BH58" s="65">
        <v>4</v>
      </c>
      <c r="BI58" s="65">
        <v>4</v>
      </c>
      <c r="BJ58" s="65">
        <v>4</v>
      </c>
      <c r="BK58" s="65">
        <v>4</v>
      </c>
      <c r="BL58" s="65">
        <v>4</v>
      </c>
      <c r="BM58" s="214"/>
      <c r="BN58" s="214"/>
      <c r="BO58" s="82">
        <f>SUM(F58:BN58)</f>
        <v>32</v>
      </c>
      <c r="BP58" s="21">
        <f>2968</f>
        <v>2968</v>
      </c>
      <c r="BQ58" s="103">
        <v>0.62</v>
      </c>
      <c r="BR58" s="21">
        <f>BP58*(1-BQ58)</f>
        <v>1127.8399999999999</v>
      </c>
      <c r="BS58" s="21">
        <f>BR58*BO58</f>
        <v>36090.879999999997</v>
      </c>
      <c r="BT58" s="21">
        <f>BS58*0.8</f>
        <v>28872.703999999998</v>
      </c>
      <c r="BU58" s="97"/>
      <c r="BV58" s="155">
        <f>BT58/$BT$81</f>
        <v>7.0451394837235282E-2</v>
      </c>
      <c r="BW58" s="155">
        <v>6.8857470777019397E-2</v>
      </c>
      <c r="BX58" s="97"/>
      <c r="BY58" s="99">
        <f>BZ58/CC58*100</f>
        <v>0.44233586682956078</v>
      </c>
      <c r="BZ58" s="86">
        <v>71902.31</v>
      </c>
      <c r="CA58" s="87">
        <f>BY58*BO58</f>
        <v>14.154747738545945</v>
      </c>
      <c r="CB58" s="88">
        <v>11451245</v>
      </c>
      <c r="CC58" s="100">
        <v>16255139</v>
      </c>
      <c r="CD58" s="90">
        <f>CC58*CA58/100</f>
        <v>2300873.92</v>
      </c>
      <c r="CE58" s="21">
        <f>BT58/CD58*1000</f>
        <v>12.548581540704324</v>
      </c>
      <c r="CF58" s="10"/>
      <c r="CG58" s="44" t="s">
        <v>59</v>
      </c>
      <c r="CH58" s="91">
        <f>BR58*0.8</f>
        <v>902.27199999999993</v>
      </c>
      <c r="CI58" s="37">
        <f>SUM(AK58:BG58)</f>
        <v>12</v>
      </c>
      <c r="CJ58" s="92">
        <f>CH58*CI58</f>
        <v>10827.263999999999</v>
      </c>
      <c r="CK58" s="37">
        <f>SUM(BH58:BN58)</f>
        <v>20</v>
      </c>
      <c r="CL58" s="92">
        <f>CK58*CH58</f>
        <v>18045.439999999999</v>
      </c>
      <c r="CM58" s="101" t="b">
        <f>(CJ58+CL58)=BT58</f>
        <v>1</v>
      </c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  <c r="EN58" s="45"/>
      <c r="EO58" s="45"/>
    </row>
    <row r="59" spans="1:145" s="28" customFormat="1" ht="15.5" customHeight="1" x14ac:dyDescent="0.25">
      <c r="A59" s="32"/>
      <c r="B59" s="111"/>
      <c r="C59" s="81"/>
      <c r="D59" s="95"/>
      <c r="E59" s="39"/>
      <c r="F59" s="65"/>
      <c r="G59" s="65"/>
      <c r="H59" s="65"/>
      <c r="I59" s="66"/>
      <c r="J59" s="66"/>
      <c r="K59" s="65"/>
      <c r="L59" s="65"/>
      <c r="M59" s="65"/>
      <c r="N59" s="65"/>
      <c r="O59" s="65"/>
      <c r="P59" s="66"/>
      <c r="Q59" s="66"/>
      <c r="R59" s="65"/>
      <c r="S59" s="65"/>
      <c r="T59" s="65"/>
      <c r="U59" s="65"/>
      <c r="V59" s="65"/>
      <c r="W59" s="66"/>
      <c r="X59" s="66"/>
      <c r="Y59" s="65"/>
      <c r="Z59" s="65"/>
      <c r="AA59" s="65"/>
      <c r="AB59" s="65"/>
      <c r="AC59" s="65"/>
      <c r="AD59" s="66"/>
      <c r="AE59" s="66"/>
      <c r="AF59" s="65"/>
      <c r="AG59" s="65"/>
      <c r="AH59" s="65"/>
      <c r="AI59" s="65"/>
      <c r="AJ59" s="65"/>
      <c r="AK59" s="66"/>
      <c r="AL59" s="66"/>
      <c r="AM59" s="65"/>
      <c r="AN59" s="65"/>
      <c r="AO59" s="65"/>
      <c r="AP59" s="65"/>
      <c r="AQ59" s="65"/>
      <c r="AR59" s="66"/>
      <c r="AS59" s="66"/>
      <c r="AT59" s="65"/>
      <c r="AU59" s="65"/>
      <c r="AV59" s="65"/>
      <c r="AW59" s="65"/>
      <c r="AX59" s="65"/>
      <c r="AY59" s="66"/>
      <c r="AZ59" s="66"/>
      <c r="BA59" s="65"/>
      <c r="BB59" s="65"/>
      <c r="BC59" s="65"/>
      <c r="BD59" s="66"/>
      <c r="BE59" s="65"/>
      <c r="BF59" s="214"/>
      <c r="BG59" s="214"/>
      <c r="BH59" s="65"/>
      <c r="BI59" s="65"/>
      <c r="BJ59" s="66"/>
      <c r="BK59" s="66"/>
      <c r="BL59" s="65"/>
      <c r="BM59" s="214"/>
      <c r="BN59" s="214"/>
      <c r="BO59" s="163"/>
      <c r="BP59" s="21"/>
      <c r="BQ59" s="103"/>
      <c r="BR59" s="21"/>
      <c r="BS59" s="21"/>
      <c r="BT59" s="114"/>
      <c r="BU59" s="97"/>
      <c r="BV59" s="165"/>
      <c r="BW59" s="165"/>
      <c r="BX59" s="97"/>
      <c r="BY59" s="166"/>
      <c r="BZ59" s="107"/>
      <c r="CA59" s="108"/>
      <c r="CB59" s="109"/>
      <c r="CC59" s="110"/>
      <c r="CD59" s="109"/>
      <c r="CE59" s="114"/>
      <c r="CF59" s="10"/>
      <c r="CG59" s="44"/>
      <c r="CH59" s="91"/>
      <c r="CI59" s="37"/>
      <c r="CJ59" s="92"/>
      <c r="CK59" s="37"/>
      <c r="CL59" s="92"/>
      <c r="CM59" s="50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  <c r="EN59" s="45"/>
      <c r="EO59" s="45"/>
    </row>
    <row r="60" spans="1:145" ht="15" customHeight="1" x14ac:dyDescent="0.25">
      <c r="A60" s="32"/>
      <c r="B60" s="115"/>
      <c r="C60" s="94"/>
      <c r="D60" s="95"/>
      <c r="E60" s="117"/>
      <c r="F60" s="65"/>
      <c r="G60" s="65"/>
      <c r="H60" s="65"/>
      <c r="I60" s="66"/>
      <c r="J60" s="66"/>
      <c r="K60" s="65"/>
      <c r="L60" s="65"/>
      <c r="M60" s="65"/>
      <c r="N60" s="65"/>
      <c r="O60" s="65"/>
      <c r="P60" s="66"/>
      <c r="Q60" s="66"/>
      <c r="R60" s="65"/>
      <c r="S60" s="65"/>
      <c r="T60" s="65"/>
      <c r="U60" s="65"/>
      <c r="V60" s="65"/>
      <c r="W60" s="66"/>
      <c r="X60" s="66"/>
      <c r="Y60" s="65"/>
      <c r="Z60" s="65"/>
      <c r="AA60" s="65"/>
      <c r="AB60" s="65"/>
      <c r="AC60" s="65"/>
      <c r="AD60" s="66"/>
      <c r="AE60" s="66"/>
      <c r="AF60" s="65"/>
      <c r="AG60" s="65"/>
      <c r="AH60" s="65"/>
      <c r="AI60" s="65"/>
      <c r="AJ60" s="65"/>
      <c r="AK60" s="66"/>
      <c r="AL60" s="66"/>
      <c r="AM60" s="65"/>
      <c r="AN60" s="65"/>
      <c r="AO60" s="65"/>
      <c r="AP60" s="65"/>
      <c r="AQ60" s="65"/>
      <c r="AR60" s="66"/>
      <c r="AS60" s="66"/>
      <c r="AT60" s="65"/>
      <c r="AU60" s="65"/>
      <c r="AV60" s="65"/>
      <c r="AW60" s="65"/>
      <c r="AX60" s="65"/>
      <c r="AY60" s="66"/>
      <c r="AZ60" s="66"/>
      <c r="BA60" s="65"/>
      <c r="BB60" s="65"/>
      <c r="BC60" s="65"/>
      <c r="BD60" s="66"/>
      <c r="BE60" s="65"/>
      <c r="BF60" s="214"/>
      <c r="BG60" s="214"/>
      <c r="BH60" s="65"/>
      <c r="BI60" s="65"/>
      <c r="BJ60" s="66"/>
      <c r="BK60" s="66"/>
      <c r="BL60" s="65"/>
      <c r="BM60" s="214"/>
      <c r="BN60" s="214"/>
      <c r="BO60" s="167"/>
      <c r="BP60" s="18"/>
      <c r="BQ60" s="119"/>
      <c r="BR60" s="18"/>
      <c r="BS60" s="18"/>
      <c r="BT60" s="21"/>
      <c r="BU60" s="97"/>
      <c r="BV60" s="155"/>
      <c r="BW60" s="155"/>
      <c r="BX60" s="97"/>
      <c r="BY60" s="15"/>
      <c r="BZ60" s="122"/>
      <c r="CA60" s="123"/>
      <c r="CB60" s="90"/>
      <c r="CC60" s="89"/>
      <c r="CD60" s="90"/>
      <c r="CE60" s="18"/>
      <c r="CF60" s="10"/>
      <c r="CG60" s="44"/>
      <c r="CH60" s="91"/>
      <c r="CI60" s="37"/>
      <c r="CJ60" s="92"/>
      <c r="CK60" s="37"/>
      <c r="CL60" s="92"/>
    </row>
    <row r="61" spans="1:145" ht="15.5" customHeight="1" x14ac:dyDescent="0.25">
      <c r="A61" s="32"/>
      <c r="B61" s="111"/>
      <c r="C61" s="81" t="s">
        <v>60</v>
      </c>
      <c r="D61" s="95" t="s">
        <v>61</v>
      </c>
      <c r="E61" s="39" t="s">
        <v>40</v>
      </c>
      <c r="F61" s="65"/>
      <c r="G61" s="65"/>
      <c r="H61" s="65"/>
      <c r="I61" s="66"/>
      <c r="J61" s="66"/>
      <c r="K61" s="65"/>
      <c r="L61" s="65"/>
      <c r="M61" s="65"/>
      <c r="N61" s="65"/>
      <c r="O61" s="65"/>
      <c r="P61" s="66"/>
      <c r="Q61" s="66"/>
      <c r="R61" s="65"/>
      <c r="S61" s="65"/>
      <c r="T61" s="65"/>
      <c r="U61" s="65"/>
      <c r="V61" s="65"/>
      <c r="W61" s="66"/>
      <c r="X61" s="66"/>
      <c r="Y61" s="65"/>
      <c r="Z61" s="65"/>
      <c r="AA61" s="65"/>
      <c r="AB61" s="65"/>
      <c r="AC61" s="65"/>
      <c r="AD61" s="66"/>
      <c r="AE61" s="66"/>
      <c r="AF61" s="65"/>
      <c r="AG61" s="65"/>
      <c r="AH61" s="65"/>
      <c r="AI61" s="65"/>
      <c r="AJ61" s="65"/>
      <c r="AK61" s="66"/>
      <c r="AL61" s="66"/>
      <c r="AM61" s="65"/>
      <c r="AN61" s="65"/>
      <c r="AO61" s="65"/>
      <c r="AP61" s="65"/>
      <c r="AQ61" s="65"/>
      <c r="AR61" s="66"/>
      <c r="AS61" s="66"/>
      <c r="AT61" s="65"/>
      <c r="AU61" s="65"/>
      <c r="AV61" s="65"/>
      <c r="AW61" s="65"/>
      <c r="AX61" s="65"/>
      <c r="AY61" s="66"/>
      <c r="AZ61" s="66"/>
      <c r="BA61" s="65"/>
      <c r="BB61" s="65"/>
      <c r="BC61" s="65"/>
      <c r="BD61" s="66"/>
      <c r="BE61" s="65">
        <v>4</v>
      </c>
      <c r="BF61" s="65">
        <v>4</v>
      </c>
      <c r="BG61" s="65">
        <v>4</v>
      </c>
      <c r="BH61" s="65">
        <v>4</v>
      </c>
      <c r="BI61" s="65">
        <v>4</v>
      </c>
      <c r="BJ61" s="65">
        <v>4</v>
      </c>
      <c r="BK61" s="65">
        <v>4</v>
      </c>
      <c r="BL61" s="65">
        <v>4</v>
      </c>
      <c r="BM61" s="214"/>
      <c r="BN61" s="214"/>
      <c r="BO61" s="82">
        <f>SUM(F61:BN61)</f>
        <v>32</v>
      </c>
      <c r="BP61" s="21">
        <f>1610</f>
        <v>1610</v>
      </c>
      <c r="BQ61" s="103">
        <v>0.55000000000000004</v>
      </c>
      <c r="BR61" s="21">
        <f>BP61*(1-BQ61)</f>
        <v>724.49999999999989</v>
      </c>
      <c r="BS61" s="21">
        <f>BR61*BO61</f>
        <v>23183.999999999996</v>
      </c>
      <c r="BT61" s="21">
        <f>BS61*0.8</f>
        <v>18547.199999999997</v>
      </c>
      <c r="BU61" s="97"/>
      <c r="BV61" s="155">
        <f>BT61/$BT$81</f>
        <v>4.5256450879182293E-2</v>
      </c>
      <c r="BW61" s="155">
        <v>4.8388488101002575E-2</v>
      </c>
      <c r="BX61" s="97"/>
      <c r="BY61" s="99">
        <f>BZ61/CC61*100</f>
        <v>0.43808988652757747</v>
      </c>
      <c r="BZ61" s="86">
        <v>71212.12</v>
      </c>
      <c r="CA61" s="87">
        <f>BY61*BO61</f>
        <v>14.018876368882479</v>
      </c>
      <c r="CB61" s="88">
        <v>11451245</v>
      </c>
      <c r="CC61" s="100">
        <v>16255139</v>
      </c>
      <c r="CD61" s="90">
        <f>CC61*CA61/100</f>
        <v>2278787.84</v>
      </c>
      <c r="CE61" s="21">
        <f>BT61/CD61*1000</f>
        <v>8.1390639683244927</v>
      </c>
      <c r="CF61" s="10"/>
      <c r="CG61" s="44" t="s">
        <v>60</v>
      </c>
      <c r="CH61" s="91">
        <f>BR61*0.8</f>
        <v>579.59999999999991</v>
      </c>
      <c r="CI61" s="37">
        <f>SUM(AK61:BG61)</f>
        <v>12</v>
      </c>
      <c r="CJ61" s="92">
        <f>CH61*CI61</f>
        <v>6955.1999999999989</v>
      </c>
      <c r="CK61" s="37">
        <f>SUM(BH61:BN61)</f>
        <v>20</v>
      </c>
      <c r="CL61" s="92">
        <f>CK61*CH61</f>
        <v>11591.999999999998</v>
      </c>
      <c r="CM61" s="101" t="b">
        <f>(CJ61+CL61)=BT61</f>
        <v>1</v>
      </c>
      <c r="EO61" s="45">
        <f>SUM(F61:EN61)</f>
        <v>30119695.699675165</v>
      </c>
    </row>
    <row r="62" spans="1:145" ht="15.5" customHeight="1" x14ac:dyDescent="0.25">
      <c r="A62" s="32"/>
      <c r="B62" s="111"/>
      <c r="C62" s="81"/>
      <c r="D62" s="95"/>
      <c r="E62" s="39"/>
      <c r="F62" s="65"/>
      <c r="G62" s="65"/>
      <c r="H62" s="65"/>
      <c r="I62" s="66"/>
      <c r="J62" s="66"/>
      <c r="K62" s="65"/>
      <c r="L62" s="65"/>
      <c r="M62" s="65"/>
      <c r="N62" s="65"/>
      <c r="O62" s="65"/>
      <c r="P62" s="66"/>
      <c r="Q62" s="66"/>
      <c r="R62" s="65"/>
      <c r="S62" s="65"/>
      <c r="T62" s="65"/>
      <c r="U62" s="65"/>
      <c r="V62" s="65"/>
      <c r="W62" s="66"/>
      <c r="X62" s="66"/>
      <c r="Y62" s="65"/>
      <c r="Z62" s="65"/>
      <c r="AA62" s="65"/>
      <c r="AB62" s="65"/>
      <c r="AC62" s="65"/>
      <c r="AD62" s="66"/>
      <c r="AE62" s="66"/>
      <c r="AF62" s="65"/>
      <c r="AG62" s="65"/>
      <c r="AH62" s="65"/>
      <c r="AI62" s="65"/>
      <c r="AJ62" s="65"/>
      <c r="AK62" s="66"/>
      <c r="AL62" s="66"/>
      <c r="AM62" s="65"/>
      <c r="AN62" s="65"/>
      <c r="AO62" s="65"/>
      <c r="AP62" s="65"/>
      <c r="AQ62" s="65"/>
      <c r="AR62" s="66"/>
      <c r="AS62" s="66"/>
      <c r="AT62" s="65"/>
      <c r="AU62" s="65"/>
      <c r="AV62" s="65"/>
      <c r="AW62" s="65"/>
      <c r="AX62" s="65"/>
      <c r="AY62" s="66"/>
      <c r="AZ62" s="66"/>
      <c r="BA62" s="65"/>
      <c r="BB62" s="65"/>
      <c r="BC62" s="65"/>
      <c r="BD62" s="66"/>
      <c r="BE62" s="65"/>
      <c r="BF62" s="214"/>
      <c r="BG62" s="214"/>
      <c r="BH62" s="65"/>
      <c r="BI62" s="65"/>
      <c r="BJ62" s="66"/>
      <c r="BK62" s="66"/>
      <c r="BL62" s="65"/>
      <c r="BM62" s="214"/>
      <c r="BN62" s="214"/>
      <c r="BO62" s="172"/>
      <c r="BP62" s="21"/>
      <c r="BQ62" s="103"/>
      <c r="BR62" s="21"/>
      <c r="BS62" s="21"/>
      <c r="BT62" s="114"/>
      <c r="BU62" s="97"/>
      <c r="BV62" s="165"/>
      <c r="BW62" s="165"/>
      <c r="BX62" s="97"/>
      <c r="BY62" s="166"/>
      <c r="BZ62" s="107"/>
      <c r="CA62" s="108"/>
      <c r="CB62" s="109"/>
      <c r="CC62" s="110"/>
      <c r="CD62" s="109"/>
      <c r="CE62" s="114"/>
      <c r="CF62" s="10"/>
      <c r="CG62" s="44"/>
      <c r="CH62" s="91"/>
      <c r="CI62" s="37"/>
      <c r="CJ62" s="92"/>
      <c r="CK62" s="37"/>
      <c r="CL62" s="92"/>
    </row>
    <row r="63" spans="1:145" ht="15.5" customHeight="1" x14ac:dyDescent="0.25">
      <c r="A63" s="32"/>
      <c r="B63" s="115"/>
      <c r="C63" s="94"/>
      <c r="D63" s="95"/>
      <c r="E63" s="117"/>
      <c r="F63" s="65"/>
      <c r="G63" s="65"/>
      <c r="H63" s="65"/>
      <c r="I63" s="66"/>
      <c r="J63" s="66"/>
      <c r="K63" s="65"/>
      <c r="L63" s="65"/>
      <c r="M63" s="65"/>
      <c r="N63" s="65"/>
      <c r="O63" s="65"/>
      <c r="P63" s="66"/>
      <c r="Q63" s="66"/>
      <c r="R63" s="65"/>
      <c r="S63" s="65"/>
      <c r="T63" s="65"/>
      <c r="U63" s="65"/>
      <c r="V63" s="65"/>
      <c r="W63" s="66"/>
      <c r="X63" s="66"/>
      <c r="Y63" s="65"/>
      <c r="Z63" s="65"/>
      <c r="AA63" s="65"/>
      <c r="AB63" s="65"/>
      <c r="AC63" s="65"/>
      <c r="AD63" s="66"/>
      <c r="AE63" s="66"/>
      <c r="AF63" s="65"/>
      <c r="AG63" s="65"/>
      <c r="AH63" s="65"/>
      <c r="AI63" s="65"/>
      <c r="AJ63" s="65"/>
      <c r="AK63" s="66"/>
      <c r="AL63" s="66"/>
      <c r="AM63" s="65"/>
      <c r="AN63" s="65"/>
      <c r="AO63" s="65"/>
      <c r="AP63" s="65"/>
      <c r="AQ63" s="65"/>
      <c r="AR63" s="66"/>
      <c r="AS63" s="66"/>
      <c r="AT63" s="65"/>
      <c r="AU63" s="65"/>
      <c r="AV63" s="65"/>
      <c r="AW63" s="65"/>
      <c r="AX63" s="65"/>
      <c r="AY63" s="66"/>
      <c r="AZ63" s="66"/>
      <c r="BA63" s="65"/>
      <c r="BB63" s="65"/>
      <c r="BC63" s="65"/>
      <c r="BD63" s="66"/>
      <c r="BE63" s="65"/>
      <c r="BF63" s="214"/>
      <c r="BG63" s="214"/>
      <c r="BH63" s="65"/>
      <c r="BI63" s="65"/>
      <c r="BJ63" s="66"/>
      <c r="BK63" s="66"/>
      <c r="BL63" s="65"/>
      <c r="BM63" s="214"/>
      <c r="BN63" s="214"/>
      <c r="BO63" s="163"/>
      <c r="BP63" s="18"/>
      <c r="BQ63" s="119"/>
      <c r="BR63" s="18"/>
      <c r="BS63" s="18"/>
      <c r="BT63" s="21"/>
      <c r="BU63" s="97"/>
      <c r="BV63" s="155"/>
      <c r="BW63" s="155"/>
      <c r="BX63" s="97"/>
      <c r="BY63" s="15"/>
      <c r="BZ63" s="122"/>
      <c r="CA63" s="123"/>
      <c r="CB63" s="90"/>
      <c r="CC63" s="89"/>
      <c r="CD63" s="90"/>
      <c r="CE63" s="18"/>
      <c r="CF63" s="10"/>
      <c r="CG63" s="44"/>
      <c r="CH63" s="91"/>
      <c r="CI63" s="37"/>
      <c r="CJ63" s="92"/>
      <c r="CK63" s="37"/>
      <c r="CL63" s="92"/>
    </row>
    <row r="64" spans="1:145" ht="15.5" customHeight="1" x14ac:dyDescent="0.25">
      <c r="A64" s="32"/>
      <c r="B64" s="111"/>
      <c r="C64" s="81" t="s">
        <v>62</v>
      </c>
      <c r="D64" s="95" t="s">
        <v>51</v>
      </c>
      <c r="E64" s="39" t="s">
        <v>40</v>
      </c>
      <c r="F64" s="65"/>
      <c r="G64" s="65"/>
      <c r="H64" s="65"/>
      <c r="I64" s="66"/>
      <c r="J64" s="66"/>
      <c r="K64" s="65"/>
      <c r="L64" s="65"/>
      <c r="M64" s="65"/>
      <c r="N64" s="65"/>
      <c r="O64" s="65"/>
      <c r="P64" s="66"/>
      <c r="Q64" s="66"/>
      <c r="R64" s="65"/>
      <c r="S64" s="65"/>
      <c r="T64" s="65"/>
      <c r="U64" s="65"/>
      <c r="V64" s="65"/>
      <c r="W64" s="66"/>
      <c r="X64" s="66"/>
      <c r="Y64" s="65"/>
      <c r="Z64" s="65"/>
      <c r="AA64" s="65"/>
      <c r="AB64" s="65"/>
      <c r="AC64" s="65"/>
      <c r="AD64" s="66"/>
      <c r="AE64" s="66"/>
      <c r="AF64" s="65"/>
      <c r="AG64" s="65"/>
      <c r="AH64" s="65"/>
      <c r="AI64" s="65"/>
      <c r="AJ64" s="65"/>
      <c r="AK64" s="66"/>
      <c r="AL64" s="66"/>
      <c r="AM64" s="65"/>
      <c r="AN64" s="65"/>
      <c r="AO64" s="65"/>
      <c r="AP64" s="65"/>
      <c r="AQ64" s="65"/>
      <c r="AR64" s="66"/>
      <c r="AS64" s="66"/>
      <c r="AT64" s="65"/>
      <c r="AU64" s="65"/>
      <c r="AV64" s="65"/>
      <c r="AW64" s="65"/>
      <c r="AX64" s="65"/>
      <c r="AY64" s="66"/>
      <c r="AZ64" s="66"/>
      <c r="BA64" s="65"/>
      <c r="BB64" s="65"/>
      <c r="BC64" s="65"/>
      <c r="BD64" s="66"/>
      <c r="BE64" s="65">
        <v>3</v>
      </c>
      <c r="BF64" s="65">
        <v>3</v>
      </c>
      <c r="BG64" s="65">
        <v>3</v>
      </c>
      <c r="BH64" s="65">
        <v>3</v>
      </c>
      <c r="BI64" s="65">
        <v>3</v>
      </c>
      <c r="BJ64" s="65">
        <v>3</v>
      </c>
      <c r="BK64" s="65">
        <v>3</v>
      </c>
      <c r="BL64" s="65">
        <v>3</v>
      </c>
      <c r="BM64" s="214"/>
      <c r="BN64" s="214"/>
      <c r="BO64" s="82">
        <f>SUM(F64:BN64)</f>
        <v>24</v>
      </c>
      <c r="BP64" s="21">
        <f>5205</f>
        <v>5205</v>
      </c>
      <c r="BQ64" s="103">
        <v>0.75</v>
      </c>
      <c r="BR64" s="21">
        <f>BP64*(1-BQ64)</f>
        <v>1301.25</v>
      </c>
      <c r="BS64" s="21">
        <f>BR64*BO64</f>
        <v>31230</v>
      </c>
      <c r="BT64" s="21">
        <f>BS64*0.8</f>
        <v>24984</v>
      </c>
      <c r="BU64" s="97"/>
      <c r="BV64" s="161">
        <f>BT64/$BT$81</f>
        <v>6.0962688102004108E-2</v>
      </c>
      <c r="BW64" s="161">
        <v>5.7246938374287501E-2</v>
      </c>
      <c r="BX64" s="97"/>
      <c r="BY64" s="99">
        <f>BZ64/CC64*100</f>
        <v>0.42775475497318111</v>
      </c>
      <c r="BZ64" s="86">
        <v>69532.13</v>
      </c>
      <c r="CA64" s="87">
        <f>BY64*BO64</f>
        <v>10.266114119356347</v>
      </c>
      <c r="CB64" s="88">
        <v>11451245</v>
      </c>
      <c r="CC64" s="100">
        <v>16255139</v>
      </c>
      <c r="CD64" s="90">
        <f>CC64*CA64/100</f>
        <v>1668771.12</v>
      </c>
      <c r="CE64" s="21">
        <f>BT64/CD64*1000</f>
        <v>14.971495911314667</v>
      </c>
      <c r="CF64" s="10"/>
      <c r="CG64" s="44" t="s">
        <v>62</v>
      </c>
      <c r="CH64" s="91">
        <f>BR64*0.8</f>
        <v>1041</v>
      </c>
      <c r="CI64" s="37">
        <f>SUM(AK64:BG64)</f>
        <v>9</v>
      </c>
      <c r="CJ64" s="92">
        <f>CH64*CI64</f>
        <v>9369</v>
      </c>
      <c r="CK64" s="37">
        <f>SUM(BH64:BN64)</f>
        <v>15</v>
      </c>
      <c r="CL64" s="92">
        <f>CK64*CH64</f>
        <v>15615</v>
      </c>
      <c r="CM64" s="101" t="b">
        <f>(CJ64+CL64)=BT64</f>
        <v>1</v>
      </c>
    </row>
    <row r="65" spans="1:91" ht="15.5" customHeight="1" x14ac:dyDescent="0.25">
      <c r="A65" s="32"/>
      <c r="B65" s="111"/>
      <c r="C65" s="81"/>
      <c r="D65" s="95"/>
      <c r="E65" s="39"/>
      <c r="F65" s="65"/>
      <c r="G65" s="65"/>
      <c r="H65" s="65"/>
      <c r="I65" s="66"/>
      <c r="J65" s="66"/>
      <c r="K65" s="65"/>
      <c r="L65" s="65"/>
      <c r="M65" s="65"/>
      <c r="N65" s="65"/>
      <c r="O65" s="65"/>
      <c r="P65" s="66"/>
      <c r="Q65" s="66"/>
      <c r="R65" s="65"/>
      <c r="S65" s="65"/>
      <c r="T65" s="65"/>
      <c r="U65" s="65"/>
      <c r="V65" s="65"/>
      <c r="W65" s="66"/>
      <c r="X65" s="66"/>
      <c r="Y65" s="65"/>
      <c r="Z65" s="65"/>
      <c r="AA65" s="65"/>
      <c r="AB65" s="65"/>
      <c r="AC65" s="65"/>
      <c r="AD65" s="66"/>
      <c r="AE65" s="66"/>
      <c r="AF65" s="65"/>
      <c r="AG65" s="65"/>
      <c r="AH65" s="65"/>
      <c r="AI65" s="65"/>
      <c r="AJ65" s="65"/>
      <c r="AK65" s="66"/>
      <c r="AL65" s="66"/>
      <c r="AM65" s="65"/>
      <c r="AN65" s="65"/>
      <c r="AO65" s="65"/>
      <c r="AP65" s="65"/>
      <c r="AQ65" s="65"/>
      <c r="AR65" s="66"/>
      <c r="AS65" s="66"/>
      <c r="AT65" s="65"/>
      <c r="AU65" s="65"/>
      <c r="AV65" s="65"/>
      <c r="AW65" s="65"/>
      <c r="AX65" s="65"/>
      <c r="AY65" s="66"/>
      <c r="AZ65" s="66"/>
      <c r="BA65" s="65"/>
      <c r="BB65" s="65"/>
      <c r="BC65" s="65"/>
      <c r="BD65" s="66"/>
      <c r="BE65" s="65"/>
      <c r="BF65" s="214"/>
      <c r="BG65" s="214"/>
      <c r="BH65" s="65"/>
      <c r="BI65" s="65"/>
      <c r="BJ65" s="66"/>
      <c r="BK65" s="66"/>
      <c r="BL65" s="65"/>
      <c r="BM65" s="214"/>
      <c r="BN65" s="214"/>
      <c r="BO65" s="163"/>
      <c r="BP65" s="21"/>
      <c r="BQ65" s="103"/>
      <c r="BR65" s="21"/>
      <c r="BS65" s="21"/>
      <c r="BT65" s="114"/>
      <c r="BU65" s="97"/>
      <c r="BV65" s="165"/>
      <c r="BW65" s="165"/>
      <c r="BX65" s="97"/>
      <c r="BY65" s="166"/>
      <c r="BZ65" s="107"/>
      <c r="CA65" s="108"/>
      <c r="CB65" s="109"/>
      <c r="CC65" s="110"/>
      <c r="CD65" s="109"/>
      <c r="CE65" s="114"/>
      <c r="CF65" s="10"/>
      <c r="CG65" s="44"/>
      <c r="CH65" s="91"/>
      <c r="CI65" s="37"/>
      <c r="CJ65" s="92"/>
      <c r="CK65" s="37"/>
      <c r="CL65" s="92"/>
    </row>
    <row r="66" spans="1:91" ht="15.5" customHeight="1" x14ac:dyDescent="0.25">
      <c r="A66" s="32"/>
      <c r="B66" s="115"/>
      <c r="C66" s="94"/>
      <c r="D66" s="95"/>
      <c r="E66" s="117"/>
      <c r="F66" s="65"/>
      <c r="G66" s="65"/>
      <c r="H66" s="65"/>
      <c r="I66" s="66"/>
      <c r="J66" s="66"/>
      <c r="K66" s="65"/>
      <c r="L66" s="65"/>
      <c r="M66" s="65"/>
      <c r="N66" s="65"/>
      <c r="O66" s="65"/>
      <c r="P66" s="66"/>
      <c r="Q66" s="66"/>
      <c r="R66" s="65"/>
      <c r="S66" s="65"/>
      <c r="T66" s="65"/>
      <c r="U66" s="65"/>
      <c r="V66" s="65"/>
      <c r="W66" s="66"/>
      <c r="X66" s="66"/>
      <c r="Y66" s="65"/>
      <c r="Z66" s="65"/>
      <c r="AA66" s="65"/>
      <c r="AB66" s="65"/>
      <c r="AC66" s="65"/>
      <c r="AD66" s="66"/>
      <c r="AE66" s="66"/>
      <c r="AF66" s="65"/>
      <c r="AG66" s="65"/>
      <c r="AH66" s="65"/>
      <c r="AI66" s="65"/>
      <c r="AJ66" s="65"/>
      <c r="AK66" s="66"/>
      <c r="AL66" s="66"/>
      <c r="AM66" s="65"/>
      <c r="AN66" s="65"/>
      <c r="AO66" s="65"/>
      <c r="AP66" s="65"/>
      <c r="AQ66" s="65"/>
      <c r="AR66" s="66"/>
      <c r="AS66" s="66"/>
      <c r="AT66" s="65"/>
      <c r="AU66" s="65"/>
      <c r="AV66" s="65"/>
      <c r="AW66" s="65"/>
      <c r="AX66" s="65"/>
      <c r="AY66" s="66"/>
      <c r="AZ66" s="66"/>
      <c r="BA66" s="65"/>
      <c r="BB66" s="65"/>
      <c r="BC66" s="65"/>
      <c r="BD66" s="66"/>
      <c r="BE66" s="65"/>
      <c r="BF66" s="214"/>
      <c r="BG66" s="214"/>
      <c r="BH66" s="65"/>
      <c r="BI66" s="65"/>
      <c r="BJ66" s="66"/>
      <c r="BK66" s="66"/>
      <c r="BL66" s="65"/>
      <c r="BM66" s="214"/>
      <c r="BN66" s="214"/>
      <c r="BO66" s="167"/>
      <c r="BP66" s="18"/>
      <c r="BQ66" s="119"/>
      <c r="BR66" s="18"/>
      <c r="BS66" s="18"/>
      <c r="BT66" s="21"/>
      <c r="BU66" s="97"/>
      <c r="BV66" s="155"/>
      <c r="BW66" s="155"/>
      <c r="BX66" s="97"/>
      <c r="BY66" s="15"/>
      <c r="BZ66" s="122"/>
      <c r="CA66" s="123"/>
      <c r="CB66" s="90"/>
      <c r="CC66" s="89"/>
      <c r="CD66" s="90"/>
      <c r="CE66" s="18"/>
      <c r="CF66" s="10"/>
      <c r="CG66" s="44"/>
      <c r="CH66" s="91"/>
      <c r="CI66" s="37"/>
      <c r="CJ66" s="92"/>
      <c r="CK66" s="37"/>
      <c r="CL66" s="92"/>
    </row>
    <row r="67" spans="1:91" ht="15.5" customHeight="1" x14ac:dyDescent="0.25">
      <c r="A67" s="32"/>
      <c r="B67" s="111"/>
      <c r="C67" s="81" t="s">
        <v>63</v>
      </c>
      <c r="D67" s="95" t="s">
        <v>39</v>
      </c>
      <c r="E67" s="39" t="s">
        <v>40</v>
      </c>
      <c r="F67" s="65"/>
      <c r="G67" s="65"/>
      <c r="H67" s="65"/>
      <c r="I67" s="66"/>
      <c r="J67" s="66"/>
      <c r="K67" s="65"/>
      <c r="L67" s="65"/>
      <c r="M67" s="65"/>
      <c r="N67" s="65"/>
      <c r="O67" s="65"/>
      <c r="P67" s="66"/>
      <c r="Q67" s="66"/>
      <c r="R67" s="65"/>
      <c r="S67" s="65"/>
      <c r="T67" s="65"/>
      <c r="U67" s="65"/>
      <c r="V67" s="65"/>
      <c r="W67" s="66"/>
      <c r="X67" s="66"/>
      <c r="Y67" s="65"/>
      <c r="Z67" s="65"/>
      <c r="AA67" s="65"/>
      <c r="AB67" s="65"/>
      <c r="AC67" s="65"/>
      <c r="AD67" s="66"/>
      <c r="AE67" s="66"/>
      <c r="AF67" s="65"/>
      <c r="AG67" s="65"/>
      <c r="AH67" s="65"/>
      <c r="AI67" s="65"/>
      <c r="AJ67" s="65"/>
      <c r="AK67" s="66"/>
      <c r="AL67" s="66"/>
      <c r="AM67" s="65"/>
      <c r="AN67" s="65"/>
      <c r="AO67" s="65"/>
      <c r="AP67" s="65"/>
      <c r="AQ67" s="65"/>
      <c r="AR67" s="66"/>
      <c r="AS67" s="66"/>
      <c r="AT67" s="65"/>
      <c r="AU67" s="65"/>
      <c r="AV67" s="65"/>
      <c r="AW67" s="65"/>
      <c r="AX67" s="65"/>
      <c r="AY67" s="66"/>
      <c r="AZ67" s="66"/>
      <c r="BA67" s="65"/>
      <c r="BB67" s="65"/>
      <c r="BC67" s="65"/>
      <c r="BD67" s="66"/>
      <c r="BE67" s="65">
        <v>4</v>
      </c>
      <c r="BF67" s="65">
        <v>4</v>
      </c>
      <c r="BG67" s="65">
        <v>4</v>
      </c>
      <c r="BH67" s="65">
        <v>4</v>
      </c>
      <c r="BI67" s="65">
        <v>4</v>
      </c>
      <c r="BJ67" s="65">
        <v>4</v>
      </c>
      <c r="BK67" s="65">
        <v>4</v>
      </c>
      <c r="BL67" s="65">
        <v>4</v>
      </c>
      <c r="BM67" s="214"/>
      <c r="BN67" s="214"/>
      <c r="BO67" s="82">
        <f>SUM(F67:BN67)</f>
        <v>32</v>
      </c>
      <c r="BP67" s="21">
        <f>3877</f>
        <v>3877</v>
      </c>
      <c r="BQ67" s="103">
        <v>0.8</v>
      </c>
      <c r="BR67" s="21">
        <f>BP67*(1-BQ67)</f>
        <v>775.39999999999986</v>
      </c>
      <c r="BS67" s="21">
        <f>BR67*BO67</f>
        <v>24812.799999999996</v>
      </c>
      <c r="BT67" s="21">
        <f>BS67*0.8</f>
        <v>19850.239999999998</v>
      </c>
      <c r="BU67" s="97"/>
      <c r="BV67" s="161">
        <f>BT67/$BT$81</f>
        <v>4.8435958608306351E-2</v>
      </c>
      <c r="BW67" s="161">
        <v>4.5629448884438699E-2</v>
      </c>
      <c r="BX67" s="97"/>
      <c r="BY67" s="99">
        <f>BZ67/CC67*100</f>
        <v>0.22298511258501083</v>
      </c>
      <c r="BZ67" s="86">
        <v>36246.54</v>
      </c>
      <c r="CA67" s="87">
        <f>BY67*BO67</f>
        <v>7.1355236027203466</v>
      </c>
      <c r="CB67" s="88">
        <v>11451245</v>
      </c>
      <c r="CC67" s="100">
        <v>16255139</v>
      </c>
      <c r="CD67" s="90">
        <f>CC67*(CA67+CA69)/100</f>
        <v>1159889.2800000003</v>
      </c>
      <c r="CE67" s="21">
        <f>BT67/CD67*1000</f>
        <v>17.113909355210176</v>
      </c>
      <c r="CF67" s="10"/>
      <c r="CG67" s="44" t="s">
        <v>63</v>
      </c>
      <c r="CH67" s="91">
        <f>BR67*0.8</f>
        <v>620.31999999999994</v>
      </c>
      <c r="CI67" s="37">
        <f>SUM(AK67:BG67)</f>
        <v>12</v>
      </c>
      <c r="CJ67" s="92">
        <f>CH67*CI67</f>
        <v>7443.8399999999992</v>
      </c>
      <c r="CK67" s="37">
        <f>SUM(BH67:BN67)</f>
        <v>20</v>
      </c>
      <c r="CL67" s="92">
        <f>CK67*CH67</f>
        <v>12406.399999999998</v>
      </c>
      <c r="CM67" s="101" t="b">
        <f>(CJ67+CL67)=BT67</f>
        <v>1</v>
      </c>
    </row>
    <row r="68" spans="1:91" ht="15.5" customHeight="1" x14ac:dyDescent="0.25">
      <c r="A68" s="32"/>
      <c r="B68" s="111"/>
      <c r="C68" s="81"/>
      <c r="D68" s="95"/>
      <c r="E68" s="39"/>
      <c r="F68" s="65"/>
      <c r="G68" s="65"/>
      <c r="H68" s="65"/>
      <c r="I68" s="66"/>
      <c r="J68" s="66"/>
      <c r="K68" s="65"/>
      <c r="L68" s="65"/>
      <c r="M68" s="65"/>
      <c r="N68" s="65"/>
      <c r="O68" s="65"/>
      <c r="P68" s="66"/>
      <c r="Q68" s="66"/>
      <c r="R68" s="65"/>
      <c r="S68" s="65"/>
      <c r="T68" s="65"/>
      <c r="U68" s="65"/>
      <c r="V68" s="65"/>
      <c r="W68" s="66"/>
      <c r="X68" s="66"/>
      <c r="Y68" s="65"/>
      <c r="Z68" s="65"/>
      <c r="AA68" s="65"/>
      <c r="AB68" s="65"/>
      <c r="AC68" s="65"/>
      <c r="AD68" s="66"/>
      <c r="AE68" s="66"/>
      <c r="AF68" s="65"/>
      <c r="AG68" s="65"/>
      <c r="AH68" s="65"/>
      <c r="AI68" s="65"/>
      <c r="AJ68" s="65"/>
      <c r="AK68" s="66"/>
      <c r="AL68" s="66"/>
      <c r="AM68" s="65"/>
      <c r="AN68" s="65"/>
      <c r="AO68" s="65"/>
      <c r="AP68" s="65"/>
      <c r="AQ68" s="65"/>
      <c r="AR68" s="66"/>
      <c r="AS68" s="66"/>
      <c r="AT68" s="65"/>
      <c r="AU68" s="65"/>
      <c r="AV68" s="65"/>
      <c r="AW68" s="65"/>
      <c r="AX68" s="65"/>
      <c r="AY68" s="66"/>
      <c r="AZ68" s="66"/>
      <c r="BA68" s="65"/>
      <c r="BB68" s="65"/>
      <c r="BC68" s="65"/>
      <c r="BD68" s="66"/>
      <c r="BE68" s="65"/>
      <c r="BF68" s="65"/>
      <c r="BG68" s="65"/>
      <c r="BH68" s="65"/>
      <c r="BI68" s="65"/>
      <c r="BJ68" s="66"/>
      <c r="BK68" s="66"/>
      <c r="BL68" s="65"/>
      <c r="BM68" s="214"/>
      <c r="BN68" s="214"/>
      <c r="BO68" s="173"/>
      <c r="BP68" s="104"/>
      <c r="BQ68" s="174"/>
      <c r="BR68" s="104"/>
      <c r="BS68" s="104"/>
      <c r="BT68" s="124"/>
      <c r="BU68" s="97"/>
      <c r="BV68" s="125"/>
      <c r="BW68" s="125"/>
      <c r="BX68" s="97"/>
      <c r="BY68" s="166"/>
      <c r="BZ68" s="107"/>
      <c r="CA68" s="108"/>
      <c r="CB68" s="109"/>
      <c r="CC68" s="110"/>
      <c r="CD68" s="109"/>
      <c r="CE68" s="114"/>
      <c r="CF68" s="10"/>
      <c r="CG68" s="44"/>
      <c r="CH68" s="91"/>
      <c r="CI68" s="37"/>
      <c r="CJ68" s="92"/>
      <c r="CK68" s="37"/>
      <c r="CL68" s="92"/>
    </row>
    <row r="69" spans="1:91" ht="15.5" customHeight="1" x14ac:dyDescent="0.25">
      <c r="A69" s="32"/>
      <c r="B69" s="111"/>
      <c r="C69" s="94"/>
      <c r="D69" s="81"/>
      <c r="E69" s="39"/>
      <c r="F69" s="65"/>
      <c r="G69" s="65"/>
      <c r="H69" s="65"/>
      <c r="I69" s="66"/>
      <c r="J69" s="66"/>
      <c r="K69" s="65"/>
      <c r="L69" s="65"/>
      <c r="M69" s="65"/>
      <c r="N69" s="65"/>
      <c r="O69" s="65"/>
      <c r="P69" s="66"/>
      <c r="Q69" s="66"/>
      <c r="R69" s="65"/>
      <c r="S69" s="65"/>
      <c r="T69" s="65"/>
      <c r="U69" s="65"/>
      <c r="V69" s="65"/>
      <c r="W69" s="66"/>
      <c r="X69" s="66"/>
      <c r="Y69" s="65"/>
      <c r="Z69" s="65"/>
      <c r="AA69" s="65"/>
      <c r="AB69" s="65"/>
      <c r="AC69" s="65"/>
      <c r="AD69" s="66"/>
      <c r="AE69" s="66"/>
      <c r="AF69" s="65"/>
      <c r="AG69" s="65"/>
      <c r="AH69" s="65"/>
      <c r="AI69" s="65"/>
      <c r="AJ69" s="65"/>
      <c r="AK69" s="66"/>
      <c r="AL69" s="66"/>
      <c r="AM69" s="65"/>
      <c r="AN69" s="65"/>
      <c r="AO69" s="65"/>
      <c r="AP69" s="65"/>
      <c r="AQ69" s="65"/>
      <c r="AR69" s="66"/>
      <c r="AS69" s="66"/>
      <c r="AT69" s="65"/>
      <c r="AU69" s="65"/>
      <c r="AV69" s="65"/>
      <c r="AW69" s="65"/>
      <c r="AX69" s="65"/>
      <c r="AY69" s="66"/>
      <c r="AZ69" s="66"/>
      <c r="BA69" s="65"/>
      <c r="BB69" s="65"/>
      <c r="BC69" s="65"/>
      <c r="BD69" s="66"/>
      <c r="BE69" s="65"/>
      <c r="BF69" s="65"/>
      <c r="BG69" s="65"/>
      <c r="BH69" s="65"/>
      <c r="BI69" s="65"/>
      <c r="BJ69" s="66"/>
      <c r="BK69" s="66"/>
      <c r="BL69" s="65"/>
      <c r="BM69" s="214"/>
      <c r="BN69" s="214"/>
      <c r="BO69" s="175"/>
      <c r="BP69" s="22"/>
      <c r="BQ69" s="103"/>
      <c r="BR69" s="22"/>
      <c r="BS69" s="22"/>
      <c r="BT69" s="22"/>
      <c r="BU69" s="97"/>
      <c r="BV69" s="126"/>
      <c r="BW69" s="126"/>
      <c r="BX69" s="97"/>
      <c r="BY69" s="15"/>
      <c r="BZ69" s="122"/>
      <c r="CA69" s="123"/>
      <c r="CB69" s="90"/>
      <c r="CC69" s="89"/>
      <c r="CD69" s="90"/>
      <c r="CE69" s="18"/>
      <c r="CF69" s="10"/>
      <c r="CG69" s="44"/>
      <c r="CH69" s="91"/>
      <c r="CI69" s="37"/>
      <c r="CJ69" s="92"/>
      <c r="CK69" s="37"/>
      <c r="CL69" s="92"/>
    </row>
    <row r="70" spans="1:91" ht="15.5" customHeight="1" x14ac:dyDescent="0.25">
      <c r="A70" s="32"/>
      <c r="B70" s="111"/>
      <c r="C70" s="81" t="s">
        <v>64</v>
      </c>
      <c r="D70" s="95" t="s">
        <v>51</v>
      </c>
      <c r="E70" s="39" t="s">
        <v>40</v>
      </c>
      <c r="F70" s="65"/>
      <c r="G70" s="65"/>
      <c r="H70" s="65"/>
      <c r="I70" s="66"/>
      <c r="J70" s="66"/>
      <c r="K70" s="65"/>
      <c r="L70" s="65"/>
      <c r="M70" s="65"/>
      <c r="N70" s="65"/>
      <c r="O70" s="65"/>
      <c r="P70" s="66"/>
      <c r="Q70" s="66"/>
      <c r="R70" s="65"/>
      <c r="S70" s="65"/>
      <c r="T70" s="65"/>
      <c r="U70" s="65"/>
      <c r="V70" s="65"/>
      <c r="W70" s="66"/>
      <c r="X70" s="66"/>
      <c r="Y70" s="65"/>
      <c r="Z70" s="65"/>
      <c r="AA70" s="65"/>
      <c r="AB70" s="65"/>
      <c r="AC70" s="65"/>
      <c r="AD70" s="66"/>
      <c r="AE70" s="66"/>
      <c r="AF70" s="65"/>
      <c r="AG70" s="65"/>
      <c r="AH70" s="65"/>
      <c r="AI70" s="65"/>
      <c r="AJ70" s="65"/>
      <c r="AK70" s="66"/>
      <c r="AL70" s="66"/>
      <c r="AM70" s="65"/>
      <c r="AN70" s="65"/>
      <c r="AO70" s="65"/>
      <c r="AP70" s="65"/>
      <c r="AQ70" s="65"/>
      <c r="AR70" s="66"/>
      <c r="AS70" s="66"/>
      <c r="AT70" s="65"/>
      <c r="AU70" s="65"/>
      <c r="AV70" s="65"/>
      <c r="AW70" s="65"/>
      <c r="AX70" s="65"/>
      <c r="AY70" s="66"/>
      <c r="AZ70" s="66"/>
      <c r="BA70" s="65"/>
      <c r="BB70" s="65"/>
      <c r="BC70" s="65"/>
      <c r="BD70" s="66"/>
      <c r="BE70" s="65">
        <v>4</v>
      </c>
      <c r="BF70" s="65">
        <v>4</v>
      </c>
      <c r="BG70" s="65">
        <v>4</v>
      </c>
      <c r="BH70" s="65">
        <v>4</v>
      </c>
      <c r="BI70" s="65">
        <v>4</v>
      </c>
      <c r="BJ70" s="65">
        <v>4</v>
      </c>
      <c r="BK70" s="65">
        <v>4</v>
      </c>
      <c r="BL70" s="65">
        <v>4</v>
      </c>
      <c r="BM70" s="214"/>
      <c r="BN70" s="214"/>
      <c r="BO70" s="82">
        <f>SUM(F70:BN70)</f>
        <v>32</v>
      </c>
      <c r="BP70" s="22">
        <f>2166</f>
        <v>2166</v>
      </c>
      <c r="BQ70" s="103">
        <v>0.73</v>
      </c>
      <c r="BR70" s="22">
        <f>BP70*(1-BQ70)</f>
        <v>584.82000000000005</v>
      </c>
      <c r="BS70" s="176">
        <f>BR70*BO70</f>
        <v>18714.240000000002</v>
      </c>
      <c r="BT70" s="21">
        <f>BS70*0.8</f>
        <v>14971.392000000002</v>
      </c>
      <c r="BU70" s="97"/>
      <c r="BV70" s="155">
        <f>BT70/$BT$81</f>
        <v>3.6531232026450512E-2</v>
      </c>
      <c r="BW70" s="155">
        <v>3.6231216687996198E-2</v>
      </c>
      <c r="BX70" s="97"/>
      <c r="BY70" s="99">
        <f>BZ70/CC70*100</f>
        <v>0.30991565190552972</v>
      </c>
      <c r="BZ70" s="86">
        <v>50377.22</v>
      </c>
      <c r="CA70" s="87">
        <f>BY70*BO70</f>
        <v>9.9173008609769511</v>
      </c>
      <c r="CB70" s="88">
        <v>11451245</v>
      </c>
      <c r="CC70" s="100">
        <v>16255139</v>
      </c>
      <c r="CD70" s="90">
        <f>CC70*CA70/100</f>
        <v>1612071.0400000003</v>
      </c>
      <c r="CE70" s="21">
        <f>BT70/CD70*1000</f>
        <v>9.2870547441879481</v>
      </c>
      <c r="CF70" s="10"/>
      <c r="CG70" s="44" t="s">
        <v>64</v>
      </c>
      <c r="CH70" s="91">
        <f>BR70*0.8</f>
        <v>467.85600000000005</v>
      </c>
      <c r="CI70" s="37">
        <f>SUM(AK70:BG70)</f>
        <v>12</v>
      </c>
      <c r="CJ70" s="92">
        <f>CH70*CI70</f>
        <v>5614.2720000000008</v>
      </c>
      <c r="CK70" s="37">
        <f>SUM(BH70:BN70)</f>
        <v>20</v>
      </c>
      <c r="CL70" s="92">
        <f>CK70*CH70</f>
        <v>9357.1200000000008</v>
      </c>
      <c r="CM70" s="101" t="b">
        <f>(CJ70+CL70)=BT70</f>
        <v>1</v>
      </c>
    </row>
    <row r="71" spans="1:91" ht="15.5" customHeight="1" x14ac:dyDescent="0.25">
      <c r="A71" s="32"/>
      <c r="B71" s="111"/>
      <c r="C71" s="81"/>
      <c r="D71" s="95"/>
      <c r="E71" s="39"/>
      <c r="F71" s="65"/>
      <c r="G71" s="65"/>
      <c r="H71" s="65"/>
      <c r="I71" s="66"/>
      <c r="J71" s="66"/>
      <c r="K71" s="65"/>
      <c r="L71" s="65"/>
      <c r="M71" s="65"/>
      <c r="N71" s="65"/>
      <c r="O71" s="65"/>
      <c r="P71" s="66"/>
      <c r="Q71" s="66"/>
      <c r="R71" s="65"/>
      <c r="S71" s="65"/>
      <c r="T71" s="65"/>
      <c r="U71" s="65"/>
      <c r="V71" s="65"/>
      <c r="W71" s="66"/>
      <c r="X71" s="66"/>
      <c r="Y71" s="65"/>
      <c r="Z71" s="65"/>
      <c r="AA71" s="65"/>
      <c r="AB71" s="65"/>
      <c r="AC71" s="65"/>
      <c r="AD71" s="66"/>
      <c r="AE71" s="66"/>
      <c r="AF71" s="65"/>
      <c r="AG71" s="65"/>
      <c r="AH71" s="65"/>
      <c r="AI71" s="65"/>
      <c r="AJ71" s="65"/>
      <c r="AK71" s="66"/>
      <c r="AL71" s="66"/>
      <c r="AM71" s="65"/>
      <c r="AN71" s="65"/>
      <c r="AO71" s="65"/>
      <c r="AP71" s="65"/>
      <c r="AQ71" s="65"/>
      <c r="AR71" s="66"/>
      <c r="AS71" s="66"/>
      <c r="AT71" s="65"/>
      <c r="AU71" s="65"/>
      <c r="AV71" s="65"/>
      <c r="AW71" s="65"/>
      <c r="AX71" s="65"/>
      <c r="AY71" s="66"/>
      <c r="AZ71" s="66"/>
      <c r="BA71" s="65"/>
      <c r="BB71" s="65"/>
      <c r="BC71" s="65"/>
      <c r="BD71" s="66"/>
      <c r="BE71" s="65"/>
      <c r="BF71" s="65"/>
      <c r="BG71" s="65"/>
      <c r="BH71" s="65"/>
      <c r="BI71" s="65"/>
      <c r="BJ71" s="66"/>
      <c r="BK71" s="66"/>
      <c r="BL71" s="65"/>
      <c r="BM71" s="214"/>
      <c r="BN71" s="214"/>
      <c r="BO71" s="173"/>
      <c r="BP71" s="104"/>
      <c r="BQ71" s="174"/>
      <c r="BR71" s="104"/>
      <c r="BS71" s="104"/>
      <c r="BT71" s="124"/>
      <c r="BU71" s="97"/>
      <c r="BV71" s="125"/>
      <c r="BW71" s="125"/>
      <c r="BX71" s="97"/>
      <c r="BY71" s="166"/>
      <c r="BZ71" s="107"/>
      <c r="CA71" s="108"/>
      <c r="CB71" s="109"/>
      <c r="CC71" s="110"/>
      <c r="CD71" s="109"/>
      <c r="CE71" s="114"/>
      <c r="CF71" s="10"/>
      <c r="CG71" s="44"/>
      <c r="CH71" s="91"/>
      <c r="CI71" s="37"/>
      <c r="CJ71" s="92"/>
      <c r="CK71" s="37"/>
      <c r="CL71" s="92"/>
    </row>
    <row r="72" spans="1:91" ht="15.5" customHeight="1" x14ac:dyDescent="0.25">
      <c r="A72" s="32"/>
      <c r="B72" s="111"/>
      <c r="C72" s="94"/>
      <c r="D72" s="81"/>
      <c r="E72" s="39"/>
      <c r="F72" s="65"/>
      <c r="G72" s="65"/>
      <c r="H72" s="65"/>
      <c r="I72" s="66"/>
      <c r="J72" s="66"/>
      <c r="K72" s="65"/>
      <c r="L72" s="65"/>
      <c r="M72" s="65"/>
      <c r="N72" s="65"/>
      <c r="O72" s="65"/>
      <c r="P72" s="66"/>
      <c r="Q72" s="66"/>
      <c r="R72" s="65"/>
      <c r="S72" s="65"/>
      <c r="T72" s="65"/>
      <c r="U72" s="65"/>
      <c r="V72" s="65"/>
      <c r="W72" s="66"/>
      <c r="X72" s="66"/>
      <c r="Y72" s="65"/>
      <c r="Z72" s="65"/>
      <c r="AA72" s="65"/>
      <c r="AB72" s="65"/>
      <c r="AC72" s="65"/>
      <c r="AD72" s="66"/>
      <c r="AE72" s="66"/>
      <c r="AF72" s="65"/>
      <c r="AG72" s="65"/>
      <c r="AH72" s="65"/>
      <c r="AI72" s="65"/>
      <c r="AJ72" s="65"/>
      <c r="AK72" s="66"/>
      <c r="AL72" s="66"/>
      <c r="AM72" s="65"/>
      <c r="AN72" s="65"/>
      <c r="AO72" s="65"/>
      <c r="AP72" s="65"/>
      <c r="AQ72" s="65"/>
      <c r="AR72" s="66"/>
      <c r="AS72" s="66"/>
      <c r="AT72" s="65"/>
      <c r="AU72" s="65"/>
      <c r="AV72" s="65"/>
      <c r="AW72" s="65"/>
      <c r="AX72" s="65"/>
      <c r="AY72" s="66"/>
      <c r="AZ72" s="66"/>
      <c r="BA72" s="65"/>
      <c r="BB72" s="65"/>
      <c r="BC72" s="65"/>
      <c r="BD72" s="66"/>
      <c r="BE72" s="65"/>
      <c r="BF72" s="65"/>
      <c r="BG72" s="65"/>
      <c r="BH72" s="65"/>
      <c r="BI72" s="65"/>
      <c r="BJ72" s="66"/>
      <c r="BK72" s="66"/>
      <c r="BL72" s="65"/>
      <c r="BM72" s="214"/>
      <c r="BN72" s="214"/>
      <c r="BO72" s="82"/>
      <c r="BP72" s="22"/>
      <c r="BQ72" s="103"/>
      <c r="BR72" s="22"/>
      <c r="BS72" s="22"/>
      <c r="BT72" s="84"/>
      <c r="BU72" s="97"/>
      <c r="BV72" s="98"/>
      <c r="BW72" s="98"/>
      <c r="BX72" s="97"/>
      <c r="BY72" s="15"/>
      <c r="BZ72" s="122"/>
      <c r="CA72" s="123"/>
      <c r="CB72" s="90"/>
      <c r="CC72" s="89"/>
      <c r="CD72" s="90"/>
      <c r="CE72" s="18"/>
      <c r="CF72" s="10"/>
      <c r="CG72" s="44"/>
      <c r="CH72" s="91"/>
      <c r="CI72" s="37"/>
      <c r="CJ72" s="92"/>
      <c r="CK72" s="37"/>
      <c r="CL72" s="92"/>
    </row>
    <row r="73" spans="1:91" ht="15.5" customHeight="1" x14ac:dyDescent="0.25">
      <c r="A73" s="32"/>
      <c r="B73" s="111"/>
      <c r="C73" s="81" t="s">
        <v>65</v>
      </c>
      <c r="D73" s="95" t="s">
        <v>39</v>
      </c>
      <c r="E73" s="39" t="s">
        <v>40</v>
      </c>
      <c r="F73" s="65"/>
      <c r="G73" s="65"/>
      <c r="H73" s="65"/>
      <c r="I73" s="66"/>
      <c r="J73" s="66"/>
      <c r="K73" s="65"/>
      <c r="L73" s="65"/>
      <c r="M73" s="65"/>
      <c r="N73" s="65"/>
      <c r="O73" s="65"/>
      <c r="P73" s="66"/>
      <c r="Q73" s="66"/>
      <c r="R73" s="65"/>
      <c r="S73" s="65"/>
      <c r="T73" s="65"/>
      <c r="U73" s="65"/>
      <c r="V73" s="65"/>
      <c r="W73" s="66"/>
      <c r="X73" s="66"/>
      <c r="Y73" s="65"/>
      <c r="Z73" s="65"/>
      <c r="AA73" s="65"/>
      <c r="AB73" s="65"/>
      <c r="AC73" s="65"/>
      <c r="AD73" s="66"/>
      <c r="AE73" s="66"/>
      <c r="AF73" s="65"/>
      <c r="AG73" s="65"/>
      <c r="AH73" s="65"/>
      <c r="AI73" s="65"/>
      <c r="AJ73" s="65"/>
      <c r="AK73" s="66"/>
      <c r="AL73" s="66"/>
      <c r="AM73" s="65"/>
      <c r="AN73" s="65"/>
      <c r="AO73" s="65"/>
      <c r="AP73" s="65"/>
      <c r="AQ73" s="65"/>
      <c r="AR73" s="66"/>
      <c r="AS73" s="66"/>
      <c r="AT73" s="65"/>
      <c r="AU73" s="65"/>
      <c r="AV73" s="65"/>
      <c r="AW73" s="65"/>
      <c r="AX73" s="65"/>
      <c r="AY73" s="66"/>
      <c r="AZ73" s="66"/>
      <c r="BA73" s="65"/>
      <c r="BB73" s="65"/>
      <c r="BC73" s="65"/>
      <c r="BD73" s="66"/>
      <c r="BE73" s="65">
        <v>4</v>
      </c>
      <c r="BF73" s="65">
        <v>4</v>
      </c>
      <c r="BG73" s="65">
        <v>4</v>
      </c>
      <c r="BH73" s="65">
        <v>4</v>
      </c>
      <c r="BI73" s="65">
        <v>4</v>
      </c>
      <c r="BJ73" s="65">
        <v>4</v>
      </c>
      <c r="BK73" s="65">
        <v>4</v>
      </c>
      <c r="BL73" s="65">
        <v>4</v>
      </c>
      <c r="BM73" s="214"/>
      <c r="BN73" s="214"/>
      <c r="BO73" s="82">
        <f>SUM(F73:BN73)</f>
        <v>32</v>
      </c>
      <c r="BP73" s="22">
        <f>6617</f>
        <v>6617</v>
      </c>
      <c r="BQ73" s="103">
        <v>0.75</v>
      </c>
      <c r="BR73" s="22">
        <f>BP73*(1-BQ73)</f>
        <v>1654.25</v>
      </c>
      <c r="BS73" s="22">
        <f>BR73*BO73</f>
        <v>52936</v>
      </c>
      <c r="BT73" s="21">
        <f>BS73*0.8</f>
        <v>42348.800000000003</v>
      </c>
      <c r="BU73" s="97"/>
      <c r="BV73" s="161">
        <f>BT73/$BT$81</f>
        <v>0.10333400119653186</v>
      </c>
      <c r="BW73" s="161">
        <v>9.9775299275859694E-2</v>
      </c>
      <c r="BX73" s="97"/>
      <c r="BY73" s="99">
        <f>BZ73/CC73*100</f>
        <v>0.72225343628251959</v>
      </c>
      <c r="BZ73" s="86">
        <v>117403.3</v>
      </c>
      <c r="CA73" s="87">
        <f>BY73*BO73</f>
        <v>23.112109961040627</v>
      </c>
      <c r="CB73" s="88">
        <v>11451245</v>
      </c>
      <c r="CC73" s="100">
        <v>16255139</v>
      </c>
      <c r="CD73" s="90">
        <f>CC73*CA73/100</f>
        <v>3756905.6</v>
      </c>
      <c r="CE73" s="21">
        <f>BT73/CD73*1000</f>
        <v>11.272255549886587</v>
      </c>
      <c r="CF73" s="10"/>
      <c r="CG73" s="44" t="s">
        <v>65</v>
      </c>
      <c r="CH73" s="91">
        <f>BR73*0.8</f>
        <v>1323.4</v>
      </c>
      <c r="CI73" s="37">
        <f>SUM(AK73:BG73)</f>
        <v>12</v>
      </c>
      <c r="CJ73" s="92">
        <f>CH73*CI73</f>
        <v>15880.800000000001</v>
      </c>
      <c r="CK73" s="37">
        <f>SUM(BH73:BN73)</f>
        <v>20</v>
      </c>
      <c r="CL73" s="92">
        <f>CK73*CH73</f>
        <v>26468</v>
      </c>
      <c r="CM73" s="101" t="b">
        <f>(CJ73+CL73)=BT73</f>
        <v>1</v>
      </c>
    </row>
    <row r="74" spans="1:91" ht="15.5" customHeight="1" x14ac:dyDescent="0.25">
      <c r="A74" s="32"/>
      <c r="B74" s="111"/>
      <c r="C74" s="81"/>
      <c r="D74" s="95"/>
      <c r="E74" s="39"/>
      <c r="F74" s="65"/>
      <c r="G74" s="65"/>
      <c r="H74" s="65"/>
      <c r="I74" s="66"/>
      <c r="J74" s="66"/>
      <c r="K74" s="65"/>
      <c r="L74" s="65"/>
      <c r="M74" s="65"/>
      <c r="N74" s="65"/>
      <c r="O74" s="65"/>
      <c r="P74" s="66"/>
      <c r="Q74" s="66"/>
      <c r="R74" s="65"/>
      <c r="S74" s="65"/>
      <c r="T74" s="65"/>
      <c r="U74" s="65"/>
      <c r="V74" s="65"/>
      <c r="W74" s="66"/>
      <c r="X74" s="66"/>
      <c r="Y74" s="65"/>
      <c r="Z74" s="65"/>
      <c r="AA74" s="65"/>
      <c r="AB74" s="65"/>
      <c r="AC74" s="65"/>
      <c r="AD74" s="66"/>
      <c r="AE74" s="66"/>
      <c r="AF74" s="65"/>
      <c r="AG74" s="65"/>
      <c r="AH74" s="65"/>
      <c r="AI74" s="65"/>
      <c r="AJ74" s="65"/>
      <c r="AK74" s="66"/>
      <c r="AL74" s="66"/>
      <c r="AM74" s="65"/>
      <c r="AN74" s="65"/>
      <c r="AO74" s="65"/>
      <c r="AP74" s="65"/>
      <c r="AQ74" s="65"/>
      <c r="AR74" s="66"/>
      <c r="AS74" s="66"/>
      <c r="AT74" s="65"/>
      <c r="AU74" s="65"/>
      <c r="AV74" s="65"/>
      <c r="AW74" s="65"/>
      <c r="AX74" s="65"/>
      <c r="AY74" s="66"/>
      <c r="AZ74" s="66"/>
      <c r="BA74" s="65"/>
      <c r="BB74" s="65"/>
      <c r="BC74" s="65"/>
      <c r="BD74" s="66"/>
      <c r="BE74" s="65"/>
      <c r="BF74" s="65"/>
      <c r="BG74" s="65"/>
      <c r="BH74" s="65"/>
      <c r="BI74" s="65"/>
      <c r="BJ74" s="66"/>
      <c r="BK74" s="66"/>
      <c r="BL74" s="65"/>
      <c r="BM74" s="214"/>
      <c r="BN74" s="214"/>
      <c r="BO74" s="82"/>
      <c r="BP74" s="22"/>
      <c r="BQ74" s="103"/>
      <c r="BR74" s="22"/>
      <c r="BS74" s="22"/>
      <c r="BT74" s="104"/>
      <c r="BU74" s="97"/>
      <c r="BV74" s="105"/>
      <c r="BW74" s="105"/>
      <c r="BX74" s="97"/>
      <c r="BY74" s="166"/>
      <c r="BZ74" s="107"/>
      <c r="CA74" s="108"/>
      <c r="CB74" s="109"/>
      <c r="CC74" s="110"/>
      <c r="CD74" s="109"/>
      <c r="CE74" s="114"/>
      <c r="CF74" s="10"/>
      <c r="CG74" s="44"/>
      <c r="CH74" s="91"/>
      <c r="CI74" s="37"/>
      <c r="CJ74" s="92"/>
      <c r="CK74" s="37"/>
      <c r="CL74" s="92"/>
    </row>
    <row r="75" spans="1:91" ht="15.5" customHeight="1" x14ac:dyDescent="0.25">
      <c r="A75" s="32"/>
      <c r="B75" s="115"/>
      <c r="C75" s="94"/>
      <c r="D75" s="95"/>
      <c r="E75" s="117"/>
      <c r="F75" s="65"/>
      <c r="G75" s="65"/>
      <c r="H75" s="65"/>
      <c r="I75" s="66"/>
      <c r="J75" s="66"/>
      <c r="K75" s="65"/>
      <c r="L75" s="65"/>
      <c r="M75" s="65"/>
      <c r="N75" s="65"/>
      <c r="O75" s="65"/>
      <c r="P75" s="66"/>
      <c r="Q75" s="66"/>
      <c r="R75" s="65"/>
      <c r="S75" s="65"/>
      <c r="T75" s="65"/>
      <c r="U75" s="65"/>
      <c r="V75" s="65"/>
      <c r="W75" s="66"/>
      <c r="X75" s="66"/>
      <c r="Y75" s="65"/>
      <c r="Z75" s="65"/>
      <c r="AA75" s="65"/>
      <c r="AB75" s="65"/>
      <c r="AC75" s="65"/>
      <c r="AD75" s="66"/>
      <c r="AE75" s="66"/>
      <c r="AF75" s="65"/>
      <c r="AG75" s="65"/>
      <c r="AH75" s="65"/>
      <c r="AI75" s="65"/>
      <c r="AJ75" s="65"/>
      <c r="AK75" s="66"/>
      <c r="AL75" s="66"/>
      <c r="AM75" s="65"/>
      <c r="AN75" s="65"/>
      <c r="AO75" s="65"/>
      <c r="AP75" s="65"/>
      <c r="AQ75" s="65"/>
      <c r="AR75" s="66"/>
      <c r="AS75" s="66"/>
      <c r="AT75" s="65"/>
      <c r="AU75" s="65"/>
      <c r="AV75" s="65"/>
      <c r="AW75" s="65"/>
      <c r="AX75" s="65"/>
      <c r="AY75" s="66"/>
      <c r="AZ75" s="66"/>
      <c r="BA75" s="65"/>
      <c r="BB75" s="65"/>
      <c r="BC75" s="65"/>
      <c r="BD75" s="66"/>
      <c r="BE75" s="65"/>
      <c r="BF75" s="65"/>
      <c r="BG75" s="65"/>
      <c r="BH75" s="65"/>
      <c r="BI75" s="65"/>
      <c r="BJ75" s="66"/>
      <c r="BK75" s="66"/>
      <c r="BL75" s="65"/>
      <c r="BM75" s="214"/>
      <c r="BN75" s="214"/>
      <c r="BO75" s="118"/>
      <c r="BP75" s="68"/>
      <c r="BQ75" s="119"/>
      <c r="BR75" s="68"/>
      <c r="BS75" s="68"/>
      <c r="BT75" s="22"/>
      <c r="BU75" s="97"/>
      <c r="BV75" s="126"/>
      <c r="BW75" s="126"/>
      <c r="BX75" s="97"/>
      <c r="BY75" s="15"/>
      <c r="BZ75" s="122"/>
      <c r="CA75" s="123"/>
      <c r="CB75" s="90"/>
      <c r="CC75" s="89"/>
      <c r="CD75" s="90"/>
      <c r="CE75" s="18"/>
      <c r="CF75" s="10"/>
      <c r="CG75" s="44"/>
      <c r="CH75" s="91"/>
      <c r="CI75" s="37"/>
      <c r="CJ75" s="92"/>
      <c r="CK75" s="37"/>
      <c r="CL75" s="92"/>
    </row>
    <row r="76" spans="1:91" ht="15.5" customHeight="1" x14ac:dyDescent="0.25">
      <c r="A76" s="32"/>
      <c r="B76" s="111"/>
      <c r="C76" s="81" t="s">
        <v>66</v>
      </c>
      <c r="D76" s="95" t="s">
        <v>67</v>
      </c>
      <c r="E76" s="39" t="s">
        <v>40</v>
      </c>
      <c r="F76" s="65"/>
      <c r="G76" s="65"/>
      <c r="H76" s="65"/>
      <c r="I76" s="66"/>
      <c r="J76" s="66"/>
      <c r="K76" s="65"/>
      <c r="L76" s="65"/>
      <c r="M76" s="65"/>
      <c r="N76" s="65"/>
      <c r="O76" s="65"/>
      <c r="P76" s="66"/>
      <c r="Q76" s="66"/>
      <c r="R76" s="65"/>
      <c r="S76" s="65"/>
      <c r="T76" s="65"/>
      <c r="U76" s="65"/>
      <c r="V76" s="65"/>
      <c r="W76" s="66"/>
      <c r="X76" s="66"/>
      <c r="Y76" s="65"/>
      <c r="Z76" s="65"/>
      <c r="AA76" s="65"/>
      <c r="AB76" s="65"/>
      <c r="AC76" s="65"/>
      <c r="AD76" s="66"/>
      <c r="AE76" s="66"/>
      <c r="AF76" s="65"/>
      <c r="AG76" s="65"/>
      <c r="AH76" s="65"/>
      <c r="AI76" s="65"/>
      <c r="AJ76" s="65"/>
      <c r="AK76" s="66"/>
      <c r="AL76" s="66"/>
      <c r="AM76" s="65"/>
      <c r="AN76" s="65"/>
      <c r="AO76" s="65"/>
      <c r="AP76" s="65"/>
      <c r="AQ76" s="65"/>
      <c r="AR76" s="66"/>
      <c r="AS76" s="66"/>
      <c r="AT76" s="65"/>
      <c r="AU76" s="65"/>
      <c r="AV76" s="65"/>
      <c r="AW76" s="65"/>
      <c r="AX76" s="65"/>
      <c r="AY76" s="66"/>
      <c r="AZ76" s="66"/>
      <c r="BA76" s="65"/>
      <c r="BB76" s="65"/>
      <c r="BC76" s="65"/>
      <c r="BD76" s="66"/>
      <c r="BE76" s="65">
        <v>4</v>
      </c>
      <c r="BF76" s="65">
        <v>4</v>
      </c>
      <c r="BG76" s="65">
        <v>4</v>
      </c>
      <c r="BH76" s="65">
        <v>4</v>
      </c>
      <c r="BI76" s="65">
        <v>4</v>
      </c>
      <c r="BJ76" s="65">
        <v>4</v>
      </c>
      <c r="BK76" s="65">
        <v>4</v>
      </c>
      <c r="BL76" s="65">
        <v>4</v>
      </c>
      <c r="BM76" s="214"/>
      <c r="BN76" s="214"/>
      <c r="BO76" s="82">
        <f>SUM(F76:BN76)</f>
        <v>32</v>
      </c>
      <c r="BP76" s="21">
        <f>5275.6</f>
        <v>5275.6</v>
      </c>
      <c r="BQ76" s="103">
        <v>0.8</v>
      </c>
      <c r="BR76" s="21">
        <f>BP76*(1-BQ76)</f>
        <v>1055.1199999999999</v>
      </c>
      <c r="BS76" s="21">
        <f>BR76*BO76</f>
        <v>33763.839999999997</v>
      </c>
      <c r="BT76" s="21">
        <f>BS76*0.8</f>
        <v>27011.072</v>
      </c>
      <c r="BU76" s="97"/>
      <c r="BV76" s="161">
        <f>BT76/$BT$81</f>
        <v>6.5908883991225437E-2</v>
      </c>
      <c r="BW76" s="161">
        <v>6.5906448063666301E-2</v>
      </c>
      <c r="BX76" s="97"/>
      <c r="BY76" s="99">
        <f>BZ76/CC76*100</f>
        <v>0.37035050884523352</v>
      </c>
      <c r="BZ76" s="86">
        <v>60200.99</v>
      </c>
      <c r="CA76" s="87">
        <f>BY76*BO76</f>
        <v>11.851216283047473</v>
      </c>
      <c r="CB76" s="88">
        <v>11451245</v>
      </c>
      <c r="CC76" s="100">
        <v>16255139</v>
      </c>
      <c r="CD76" s="90">
        <f>CC76*(CA76+CA78)/100</f>
        <v>1926431.68</v>
      </c>
      <c r="CE76" s="21">
        <f>BT76/CD76*1000</f>
        <v>14.021297656400668</v>
      </c>
      <c r="CF76" s="10"/>
      <c r="CG76" s="44" t="s">
        <v>66</v>
      </c>
      <c r="CH76" s="91">
        <f>BR76*0.8</f>
        <v>844.096</v>
      </c>
      <c r="CI76" s="37">
        <f>SUM(AK76:BG76)</f>
        <v>12</v>
      </c>
      <c r="CJ76" s="92">
        <f>CH76*CI76</f>
        <v>10129.152</v>
      </c>
      <c r="CK76" s="37">
        <f>SUM(BH76:BN76)</f>
        <v>20</v>
      </c>
      <c r="CL76" s="92">
        <f>CK76*CH76</f>
        <v>16881.919999999998</v>
      </c>
      <c r="CM76" s="101" t="b">
        <f>(CJ76+CL76)=BT76</f>
        <v>1</v>
      </c>
    </row>
    <row r="77" spans="1:91" ht="15.5" customHeight="1" x14ac:dyDescent="0.25">
      <c r="A77" s="32"/>
      <c r="B77" s="111"/>
      <c r="C77" s="81"/>
      <c r="D77" s="95"/>
      <c r="E77" s="39"/>
      <c r="F77" s="65"/>
      <c r="G77" s="65"/>
      <c r="H77" s="65"/>
      <c r="I77" s="66"/>
      <c r="J77" s="66"/>
      <c r="K77" s="65"/>
      <c r="L77" s="65"/>
      <c r="M77" s="65"/>
      <c r="N77" s="65"/>
      <c r="O77" s="65"/>
      <c r="P77" s="66"/>
      <c r="Q77" s="66"/>
      <c r="R77" s="65"/>
      <c r="S77" s="65"/>
      <c r="T77" s="65"/>
      <c r="U77" s="65"/>
      <c r="V77" s="65"/>
      <c r="W77" s="66"/>
      <c r="X77" s="66"/>
      <c r="Y77" s="65"/>
      <c r="Z77" s="65"/>
      <c r="AA77" s="65"/>
      <c r="AB77" s="65"/>
      <c r="AC77" s="65"/>
      <c r="AD77" s="66"/>
      <c r="AE77" s="66"/>
      <c r="AF77" s="65"/>
      <c r="AG77" s="65"/>
      <c r="AH77" s="65"/>
      <c r="AI77" s="65"/>
      <c r="AJ77" s="65"/>
      <c r="AK77" s="66"/>
      <c r="AL77" s="66"/>
      <c r="AM77" s="65"/>
      <c r="AN77" s="65"/>
      <c r="AO77" s="65"/>
      <c r="AP77" s="65"/>
      <c r="AQ77" s="65"/>
      <c r="AR77" s="66"/>
      <c r="AS77" s="66"/>
      <c r="AT77" s="65"/>
      <c r="AU77" s="65"/>
      <c r="AV77" s="65"/>
      <c r="AW77" s="65"/>
      <c r="AX77" s="65"/>
      <c r="AY77" s="66"/>
      <c r="AZ77" s="66"/>
      <c r="BA77" s="65"/>
      <c r="BB77" s="65"/>
      <c r="BC77" s="65"/>
      <c r="BD77" s="66"/>
      <c r="BE77" s="65"/>
      <c r="BF77" s="65"/>
      <c r="BG77" s="65"/>
      <c r="BH77" s="65"/>
      <c r="BI77" s="65"/>
      <c r="BJ77" s="66"/>
      <c r="BK77" s="66"/>
      <c r="BL77" s="65"/>
      <c r="BM77" s="214"/>
      <c r="BN77" s="214"/>
      <c r="BO77" s="173"/>
      <c r="BP77" s="177"/>
      <c r="BQ77" s="178"/>
      <c r="BR77" s="177"/>
      <c r="BS77" s="177"/>
      <c r="BT77" s="179"/>
      <c r="BU77" s="97"/>
      <c r="BV77" s="180"/>
      <c r="BW77" s="180"/>
      <c r="BX77" s="97"/>
      <c r="BY77" s="166"/>
      <c r="BZ77" s="107"/>
      <c r="CA77" s="108"/>
      <c r="CB77" s="109"/>
      <c r="CC77" s="110"/>
      <c r="CD77" s="109"/>
      <c r="CE77" s="114"/>
      <c r="CF77" s="10"/>
      <c r="CG77" s="44"/>
      <c r="CH77" s="91"/>
      <c r="CI77" s="37"/>
      <c r="CJ77" s="92"/>
      <c r="CK77" s="37"/>
      <c r="CL77" s="92"/>
    </row>
    <row r="78" spans="1:91" ht="15.5" customHeight="1" x14ac:dyDescent="0.25">
      <c r="A78" s="32"/>
      <c r="B78" s="111"/>
      <c r="C78" s="94"/>
      <c r="D78" s="81"/>
      <c r="E78" s="39"/>
      <c r="F78" s="65"/>
      <c r="G78" s="65"/>
      <c r="H78" s="65"/>
      <c r="I78" s="66"/>
      <c r="J78" s="66"/>
      <c r="K78" s="65"/>
      <c r="L78" s="65"/>
      <c r="M78" s="65"/>
      <c r="N78" s="65"/>
      <c r="O78" s="65"/>
      <c r="P78" s="66"/>
      <c r="Q78" s="66"/>
      <c r="R78" s="65"/>
      <c r="S78" s="65"/>
      <c r="T78" s="65"/>
      <c r="U78" s="65"/>
      <c r="V78" s="65"/>
      <c r="W78" s="66"/>
      <c r="X78" s="66"/>
      <c r="Y78" s="65"/>
      <c r="Z78" s="65"/>
      <c r="AA78" s="65"/>
      <c r="AB78" s="65"/>
      <c r="AC78" s="65"/>
      <c r="AD78" s="66"/>
      <c r="AE78" s="66"/>
      <c r="AF78" s="65"/>
      <c r="AG78" s="65"/>
      <c r="AH78" s="65"/>
      <c r="AI78" s="65"/>
      <c r="AJ78" s="65"/>
      <c r="AK78" s="66"/>
      <c r="AL78" s="66"/>
      <c r="AM78" s="65"/>
      <c r="AN78" s="65"/>
      <c r="AO78" s="65"/>
      <c r="AP78" s="65"/>
      <c r="AQ78" s="65"/>
      <c r="AR78" s="66"/>
      <c r="AS78" s="66"/>
      <c r="AT78" s="65"/>
      <c r="AU78" s="65"/>
      <c r="AV78" s="65"/>
      <c r="AW78" s="65"/>
      <c r="AX78" s="65"/>
      <c r="AY78" s="66"/>
      <c r="AZ78" s="66"/>
      <c r="BA78" s="65"/>
      <c r="BB78" s="65"/>
      <c r="BC78" s="65"/>
      <c r="BD78" s="66"/>
      <c r="BE78" s="65"/>
      <c r="BF78" s="65"/>
      <c r="BG78" s="65"/>
      <c r="BH78" s="65"/>
      <c r="BI78" s="65"/>
      <c r="BJ78" s="66"/>
      <c r="BK78" s="66"/>
      <c r="BL78" s="65"/>
      <c r="BM78" s="214"/>
      <c r="BN78" s="214"/>
      <c r="BO78" s="82"/>
      <c r="BP78" s="22"/>
      <c r="BQ78" s="103"/>
      <c r="BR78" s="22"/>
      <c r="BS78" s="22"/>
      <c r="BT78" s="84"/>
      <c r="BU78" s="97"/>
      <c r="BV78" s="98"/>
      <c r="BW78" s="98"/>
      <c r="BX78" s="97"/>
      <c r="BY78" s="15"/>
      <c r="BZ78" s="122"/>
      <c r="CA78" s="123"/>
      <c r="CB78" s="90"/>
      <c r="CC78" s="89"/>
      <c r="CD78" s="90"/>
      <c r="CE78" s="18"/>
      <c r="CF78" s="10"/>
      <c r="CG78" s="44"/>
      <c r="CH78" s="91"/>
      <c r="CI78" s="37"/>
      <c r="CJ78" s="92"/>
      <c r="CK78" s="37"/>
      <c r="CL78" s="92"/>
    </row>
    <row r="79" spans="1:91" ht="15.5" customHeight="1" x14ac:dyDescent="0.25">
      <c r="A79" s="32"/>
      <c r="B79" s="111"/>
      <c r="C79" s="81" t="s">
        <v>68</v>
      </c>
      <c r="D79" s="95" t="s">
        <v>51</v>
      </c>
      <c r="E79" s="39" t="s">
        <v>40</v>
      </c>
      <c r="F79" s="65"/>
      <c r="G79" s="65"/>
      <c r="H79" s="65"/>
      <c r="I79" s="66"/>
      <c r="J79" s="66"/>
      <c r="K79" s="65"/>
      <c r="L79" s="65"/>
      <c r="M79" s="65"/>
      <c r="N79" s="65"/>
      <c r="O79" s="65"/>
      <c r="P79" s="66"/>
      <c r="Q79" s="66"/>
      <c r="R79" s="65"/>
      <c r="S79" s="65"/>
      <c r="T79" s="65"/>
      <c r="U79" s="65"/>
      <c r="V79" s="65"/>
      <c r="W79" s="66"/>
      <c r="X79" s="66"/>
      <c r="Y79" s="65"/>
      <c r="Z79" s="65"/>
      <c r="AA79" s="65"/>
      <c r="AB79" s="65"/>
      <c r="AC79" s="65"/>
      <c r="AD79" s="66"/>
      <c r="AE79" s="66"/>
      <c r="AF79" s="65"/>
      <c r="AG79" s="65"/>
      <c r="AH79" s="65"/>
      <c r="AI79" s="65"/>
      <c r="AJ79" s="65"/>
      <c r="AK79" s="66"/>
      <c r="AL79" s="66"/>
      <c r="AM79" s="65"/>
      <c r="AN79" s="65"/>
      <c r="AO79" s="65"/>
      <c r="AP79" s="65"/>
      <c r="AQ79" s="65"/>
      <c r="AR79" s="66"/>
      <c r="AS79" s="66"/>
      <c r="AT79" s="65"/>
      <c r="AU79" s="65"/>
      <c r="AV79" s="65"/>
      <c r="AW79" s="65"/>
      <c r="AX79" s="65"/>
      <c r="AY79" s="66"/>
      <c r="AZ79" s="66"/>
      <c r="BA79" s="65"/>
      <c r="BB79" s="65"/>
      <c r="BC79" s="65"/>
      <c r="BD79" s="66"/>
      <c r="BE79" s="65">
        <v>3</v>
      </c>
      <c r="BF79" s="65">
        <v>3</v>
      </c>
      <c r="BG79" s="65">
        <v>3</v>
      </c>
      <c r="BH79" s="65">
        <v>3</v>
      </c>
      <c r="BI79" s="65">
        <v>3</v>
      </c>
      <c r="BJ79" s="65">
        <v>3</v>
      </c>
      <c r="BK79" s="65">
        <v>3</v>
      </c>
      <c r="BL79" s="65">
        <v>3</v>
      </c>
      <c r="BM79" s="214"/>
      <c r="BN79" s="214"/>
      <c r="BO79" s="82">
        <f>SUM(F79:BN79)</f>
        <v>24</v>
      </c>
      <c r="BP79" s="22">
        <f>3717</f>
        <v>3717</v>
      </c>
      <c r="BQ79" s="103">
        <v>0.5</v>
      </c>
      <c r="BR79" s="22">
        <f>BP79*(1-BQ79)</f>
        <v>1858.5</v>
      </c>
      <c r="BS79" s="22">
        <f>BR79*BO79</f>
        <v>44604</v>
      </c>
      <c r="BT79" s="21">
        <f>BS79*0.8</f>
        <v>35683.200000000004</v>
      </c>
      <c r="BU79" s="97"/>
      <c r="BV79" s="161">
        <f>BT79/$BT$81</f>
        <v>8.7069476147992042E-2</v>
      </c>
      <c r="BW79" s="161">
        <v>8.6909352523206501E-2</v>
      </c>
      <c r="BX79" s="97"/>
      <c r="BY79" s="99">
        <f>BZ79/CC79*100</f>
        <v>0.60577033515370127</v>
      </c>
      <c r="BZ79" s="86">
        <v>98468.81</v>
      </c>
      <c r="CA79" s="87">
        <f>BY79*BO79</f>
        <v>14.53848804368883</v>
      </c>
      <c r="CB79" s="88">
        <v>11451245</v>
      </c>
      <c r="CC79" s="100">
        <v>16255139</v>
      </c>
      <c r="CD79" s="90">
        <f>CC79*(CA79+CA81)/100</f>
        <v>2363251.44</v>
      </c>
      <c r="CE79" s="21">
        <f>BT79/CD79*1000</f>
        <v>15.099197400679465</v>
      </c>
      <c r="CF79" s="10"/>
      <c r="CG79" s="44" t="s">
        <v>68</v>
      </c>
      <c r="CH79" s="91">
        <f>BR79*0.8</f>
        <v>1486.8000000000002</v>
      </c>
      <c r="CI79" s="37">
        <f>SUM(AK79:BG79)</f>
        <v>9</v>
      </c>
      <c r="CJ79" s="92">
        <f>CH79*CI79</f>
        <v>13381.2</v>
      </c>
      <c r="CK79" s="37">
        <f>SUM(BH79:BN79)</f>
        <v>15</v>
      </c>
      <c r="CL79" s="92">
        <f>CK79*CH79</f>
        <v>22302.000000000004</v>
      </c>
      <c r="CM79" s="101" t="b">
        <f>(CJ79+CL79)=BT79</f>
        <v>1</v>
      </c>
    </row>
    <row r="80" spans="1:91" ht="15.5" customHeight="1" x14ac:dyDescent="0.25">
      <c r="A80" s="32"/>
      <c r="B80" s="111"/>
      <c r="C80" s="94"/>
      <c r="D80" s="95"/>
      <c r="E80" s="39"/>
      <c r="F80" s="65"/>
      <c r="G80" s="65"/>
      <c r="H80" s="65"/>
      <c r="I80" s="66"/>
      <c r="J80" s="66"/>
      <c r="K80" s="65"/>
      <c r="L80" s="65"/>
      <c r="M80" s="65"/>
      <c r="N80" s="65"/>
      <c r="O80" s="65"/>
      <c r="P80" s="66"/>
      <c r="Q80" s="66"/>
      <c r="R80" s="65"/>
      <c r="S80" s="65"/>
      <c r="T80" s="65"/>
      <c r="U80" s="65"/>
      <c r="V80" s="65"/>
      <c r="W80" s="66"/>
      <c r="X80" s="66"/>
      <c r="Y80" s="65"/>
      <c r="Z80" s="65"/>
      <c r="AA80" s="65"/>
      <c r="AB80" s="65"/>
      <c r="AC80" s="65"/>
      <c r="AD80" s="66"/>
      <c r="AE80" s="66"/>
      <c r="AF80" s="65"/>
      <c r="AG80" s="65"/>
      <c r="AH80" s="65"/>
      <c r="AI80" s="65"/>
      <c r="AJ80" s="65"/>
      <c r="AK80" s="66"/>
      <c r="AL80" s="66"/>
      <c r="AM80" s="65"/>
      <c r="AN80" s="65"/>
      <c r="AO80" s="65"/>
      <c r="AP80" s="65"/>
      <c r="AQ80" s="65"/>
      <c r="AR80" s="66"/>
      <c r="AS80" s="66"/>
      <c r="AT80" s="65"/>
      <c r="AU80" s="65"/>
      <c r="AV80" s="65"/>
      <c r="AW80" s="65"/>
      <c r="AX80" s="65"/>
      <c r="AY80" s="66"/>
      <c r="AZ80" s="66"/>
      <c r="BA80" s="65"/>
      <c r="BB80" s="65"/>
      <c r="BC80" s="65"/>
      <c r="BD80" s="66"/>
      <c r="BE80" s="65"/>
      <c r="BF80" s="214"/>
      <c r="BG80" s="214"/>
      <c r="BH80" s="65"/>
      <c r="BI80" s="65"/>
      <c r="BJ80" s="66"/>
      <c r="BK80" s="66"/>
      <c r="BL80" s="65"/>
      <c r="BM80" s="214"/>
      <c r="BN80" s="214"/>
      <c r="BO80" s="82"/>
      <c r="BP80" s="22"/>
      <c r="BQ80" s="103"/>
      <c r="BR80" s="22"/>
      <c r="BS80" s="22"/>
      <c r="BT80" s="84"/>
      <c r="BU80" s="97"/>
      <c r="BV80" s="84"/>
      <c r="BW80" s="84"/>
      <c r="BX80" s="97"/>
      <c r="BY80" s="166"/>
      <c r="BZ80" s="107"/>
      <c r="CA80" s="108"/>
      <c r="CB80" s="109"/>
      <c r="CC80" s="110"/>
      <c r="CD80" s="109"/>
      <c r="CE80" s="114"/>
      <c r="CF80" s="10"/>
      <c r="CG80" s="137"/>
      <c r="CH80" s="136"/>
      <c r="CI80" s="137"/>
      <c r="CJ80" s="138"/>
      <c r="CK80" s="137"/>
      <c r="CL80" s="138"/>
    </row>
    <row r="81" spans="1:91" x14ac:dyDescent="0.25">
      <c r="A81" s="32"/>
      <c r="B81" s="25" t="s">
        <v>69</v>
      </c>
      <c r="C81" s="139"/>
      <c r="D81" s="139"/>
      <c r="E81" s="139"/>
      <c r="F81" s="40">
        <f t="shared" ref="F81:BO81" si="8">SUM(F34:F80)</f>
        <v>0</v>
      </c>
      <c r="G81" s="40">
        <f t="shared" si="8"/>
        <v>0</v>
      </c>
      <c r="H81" s="40">
        <f t="shared" si="8"/>
        <v>0</v>
      </c>
      <c r="I81" s="40">
        <f t="shared" si="8"/>
        <v>0</v>
      </c>
      <c r="J81" s="40">
        <f t="shared" si="8"/>
        <v>0</v>
      </c>
      <c r="K81" s="40">
        <f t="shared" si="8"/>
        <v>0</v>
      </c>
      <c r="L81" s="40">
        <f t="shared" si="8"/>
        <v>0</v>
      </c>
      <c r="M81" s="40">
        <f t="shared" si="8"/>
        <v>0</v>
      </c>
      <c r="N81" s="40">
        <f t="shared" si="8"/>
        <v>0</v>
      </c>
      <c r="O81" s="40">
        <f t="shared" si="8"/>
        <v>0</v>
      </c>
      <c r="P81" s="40">
        <f t="shared" si="8"/>
        <v>0</v>
      </c>
      <c r="Q81" s="40">
        <f t="shared" si="8"/>
        <v>0</v>
      </c>
      <c r="R81" s="40">
        <f t="shared" si="8"/>
        <v>0</v>
      </c>
      <c r="S81" s="40">
        <f t="shared" si="8"/>
        <v>0</v>
      </c>
      <c r="T81" s="40">
        <f t="shared" si="8"/>
        <v>0</v>
      </c>
      <c r="U81" s="40">
        <f t="shared" si="8"/>
        <v>0</v>
      </c>
      <c r="V81" s="40">
        <f t="shared" si="8"/>
        <v>0</v>
      </c>
      <c r="W81" s="40">
        <f t="shared" si="8"/>
        <v>0</v>
      </c>
      <c r="X81" s="40">
        <f t="shared" si="8"/>
        <v>0</v>
      </c>
      <c r="Y81" s="40">
        <f t="shared" si="8"/>
        <v>0</v>
      </c>
      <c r="Z81" s="40">
        <f t="shared" si="8"/>
        <v>0</v>
      </c>
      <c r="AA81" s="40">
        <f t="shared" si="8"/>
        <v>0</v>
      </c>
      <c r="AB81" s="40">
        <f t="shared" si="8"/>
        <v>0</v>
      </c>
      <c r="AC81" s="40">
        <f t="shared" si="8"/>
        <v>0</v>
      </c>
      <c r="AD81" s="40">
        <f t="shared" si="8"/>
        <v>0</v>
      </c>
      <c r="AE81" s="40">
        <f t="shared" si="8"/>
        <v>0</v>
      </c>
      <c r="AF81" s="40">
        <f t="shared" si="8"/>
        <v>0</v>
      </c>
      <c r="AG81" s="40">
        <f t="shared" si="8"/>
        <v>0</v>
      </c>
      <c r="AH81" s="40">
        <f t="shared" si="8"/>
        <v>0</v>
      </c>
      <c r="AI81" s="40">
        <f t="shared" si="8"/>
        <v>0</v>
      </c>
      <c r="AJ81" s="40">
        <f t="shared" si="8"/>
        <v>0</v>
      </c>
      <c r="AK81" s="40">
        <f t="shared" si="8"/>
        <v>0</v>
      </c>
      <c r="AL81" s="40">
        <f t="shared" si="8"/>
        <v>0</v>
      </c>
      <c r="AM81" s="40">
        <f t="shared" si="8"/>
        <v>0</v>
      </c>
      <c r="AN81" s="40">
        <f t="shared" si="8"/>
        <v>0</v>
      </c>
      <c r="AO81" s="40">
        <f t="shared" si="8"/>
        <v>0</v>
      </c>
      <c r="AP81" s="40">
        <f t="shared" si="8"/>
        <v>0</v>
      </c>
      <c r="AQ81" s="40">
        <f t="shared" si="8"/>
        <v>0</v>
      </c>
      <c r="AR81" s="40">
        <f t="shared" si="8"/>
        <v>0</v>
      </c>
      <c r="AS81" s="40">
        <f t="shared" si="8"/>
        <v>0</v>
      </c>
      <c r="AT81" s="40">
        <f t="shared" si="8"/>
        <v>0</v>
      </c>
      <c r="AU81" s="40">
        <f t="shared" si="8"/>
        <v>0</v>
      </c>
      <c r="AV81" s="40">
        <f t="shared" si="8"/>
        <v>0</v>
      </c>
      <c r="AW81" s="40">
        <f t="shared" si="8"/>
        <v>0</v>
      </c>
      <c r="AX81" s="40">
        <f t="shared" si="8"/>
        <v>0</v>
      </c>
      <c r="AY81" s="40">
        <f t="shared" si="8"/>
        <v>0</v>
      </c>
      <c r="AZ81" s="40">
        <f t="shared" si="8"/>
        <v>0</v>
      </c>
      <c r="BA81" s="40">
        <f t="shared" si="8"/>
        <v>0</v>
      </c>
      <c r="BB81" s="40">
        <f t="shared" si="8"/>
        <v>0</v>
      </c>
      <c r="BC81" s="40">
        <f t="shared" si="8"/>
        <v>0</v>
      </c>
      <c r="BD81" s="40">
        <f>SUM(BD34:BD80)</f>
        <v>0</v>
      </c>
      <c r="BE81" s="40">
        <f t="shared" si="8"/>
        <v>55</v>
      </c>
      <c r="BF81" s="40">
        <f t="shared" si="8"/>
        <v>55</v>
      </c>
      <c r="BG81" s="40">
        <f t="shared" si="8"/>
        <v>55</v>
      </c>
      <c r="BH81" s="40">
        <f t="shared" si="8"/>
        <v>54</v>
      </c>
      <c r="BI81" s="40">
        <f t="shared" si="8"/>
        <v>54</v>
      </c>
      <c r="BJ81" s="40">
        <f t="shared" si="8"/>
        <v>51</v>
      </c>
      <c r="BK81" s="40">
        <f t="shared" si="8"/>
        <v>51</v>
      </c>
      <c r="BL81" s="40">
        <f t="shared" si="8"/>
        <v>54</v>
      </c>
      <c r="BM81" s="40">
        <f t="shared" si="8"/>
        <v>0</v>
      </c>
      <c r="BN81" s="40">
        <f t="shared" si="8"/>
        <v>0</v>
      </c>
      <c r="BO81" s="181">
        <f t="shared" si="8"/>
        <v>429</v>
      </c>
      <c r="BP81" s="141"/>
      <c r="BQ81" s="141"/>
      <c r="BR81" s="141"/>
      <c r="BS81" s="141">
        <f>SUM(BS34:BS80)</f>
        <v>512280.55999999994</v>
      </c>
      <c r="BT81" s="141">
        <f>SUM(BT34:BT80)</f>
        <v>409824.44799999997</v>
      </c>
      <c r="BU81" s="43"/>
      <c r="BV81" s="142"/>
      <c r="BW81" s="142"/>
      <c r="BX81" s="43"/>
      <c r="BY81" s="143"/>
      <c r="BZ81" s="144"/>
      <c r="CA81" s="145"/>
      <c r="CB81" s="146">
        <f>CB79</f>
        <v>11451245</v>
      </c>
      <c r="CC81" s="147"/>
      <c r="CD81" s="148">
        <f>SUM(CD34:CD80)</f>
        <v>33817471.730000004</v>
      </c>
      <c r="CE81" s="149">
        <f>BT81/CD81*1000</f>
        <v>12.118719319766248</v>
      </c>
      <c r="CF81" s="10"/>
      <c r="CG81" s="148"/>
      <c r="CH81" s="150"/>
      <c r="CI81" s="182">
        <f t="shared" ref="CI81:CJ81" si="9">SUM(CI34:CI80)</f>
        <v>165</v>
      </c>
      <c r="CJ81" s="150">
        <f t="shared" si="9"/>
        <v>159305.568</v>
      </c>
      <c r="CK81" s="182">
        <f t="shared" ref="CK81:CL81" si="10">SUM(CK34:CK80)</f>
        <v>8158</v>
      </c>
      <c r="CL81" s="150">
        <f t="shared" si="10"/>
        <v>250518.88</v>
      </c>
      <c r="CM81" s="101" t="b">
        <f>(CJ81+CL81)=BT81</f>
        <v>1</v>
      </c>
    </row>
    <row r="82" spans="1:91" s="152" customFormat="1" ht="16" hidden="1" customHeight="1" x14ac:dyDescent="0.4">
      <c r="A82" s="43"/>
      <c r="B82" s="183"/>
      <c r="C82" s="184"/>
      <c r="D82" s="185"/>
      <c r="E82" s="186"/>
      <c r="F82" s="65"/>
      <c r="G82" s="65"/>
      <c r="H82" s="65"/>
      <c r="I82" s="65"/>
      <c r="J82" s="65"/>
      <c r="K82" s="66"/>
      <c r="L82" s="66"/>
      <c r="M82" s="65"/>
      <c r="N82" s="65"/>
      <c r="O82" s="65"/>
      <c r="P82" s="65"/>
      <c r="Q82" s="65"/>
      <c r="R82" s="66"/>
      <c r="S82" s="66"/>
      <c r="T82" s="65"/>
      <c r="U82" s="65"/>
      <c r="V82" s="65"/>
      <c r="W82" s="65"/>
      <c r="X82" s="65"/>
      <c r="Y82" s="66"/>
      <c r="Z82" s="66"/>
      <c r="AA82" s="65"/>
      <c r="AB82" s="65"/>
      <c r="AC82" s="65"/>
      <c r="AD82" s="65"/>
      <c r="AE82" s="65"/>
      <c r="AF82" s="66"/>
      <c r="AG82" s="66"/>
      <c r="AH82" s="65"/>
      <c r="AI82" s="65"/>
      <c r="AJ82" s="65"/>
      <c r="AK82" s="65"/>
      <c r="AL82" s="65"/>
      <c r="AM82" s="65"/>
      <c r="AN82" s="65"/>
      <c r="AO82" s="65"/>
      <c r="AP82" s="66"/>
      <c r="AQ82" s="66"/>
      <c r="AR82" s="65"/>
      <c r="AS82" s="65"/>
      <c r="AT82" s="65"/>
      <c r="AU82" s="65"/>
      <c r="AV82" s="65"/>
      <c r="AW82" s="66"/>
      <c r="AX82" s="66"/>
      <c r="AY82" s="65"/>
      <c r="AZ82" s="65"/>
      <c r="BA82" s="65"/>
      <c r="BB82" s="65"/>
      <c r="BC82" s="65"/>
      <c r="BD82" s="66"/>
      <c r="BE82" s="66"/>
      <c r="BF82" s="65"/>
      <c r="BG82" s="65"/>
      <c r="BH82" s="65"/>
      <c r="BI82" s="65"/>
      <c r="BJ82" s="65"/>
      <c r="BK82" s="66"/>
      <c r="BL82" s="66"/>
      <c r="BM82" s="65"/>
      <c r="BN82" s="65"/>
      <c r="BO82" s="187"/>
      <c r="BP82" s="68"/>
      <c r="BQ82" s="68"/>
      <c r="BR82" s="68"/>
      <c r="BS82" s="68"/>
      <c r="BT82" s="68"/>
      <c r="BU82" s="32"/>
      <c r="BV82" s="68"/>
      <c r="BW82" s="68"/>
      <c r="BX82" s="32"/>
      <c r="BY82" s="188"/>
      <c r="BZ82" s="189"/>
      <c r="CA82" s="190"/>
      <c r="CB82" s="191"/>
      <c r="CC82" s="192"/>
      <c r="CD82" s="191"/>
      <c r="CE82" s="193"/>
      <c r="CF82" s="160"/>
      <c r="CG82" s="30"/>
      <c r="CH82" s="194"/>
      <c r="CI82" s="30"/>
      <c r="CJ82" s="194"/>
      <c r="CK82" s="30"/>
      <c r="CL82" s="194"/>
      <c r="CM82" s="151"/>
    </row>
    <row r="83" spans="1:91" ht="16" hidden="1" customHeight="1" x14ac:dyDescent="0.25">
      <c r="A83" s="32"/>
      <c r="B83" s="653" t="s">
        <v>70</v>
      </c>
      <c r="C83" s="81" t="s">
        <v>71</v>
      </c>
      <c r="D83" s="95" t="s">
        <v>72</v>
      </c>
      <c r="E83" s="39" t="s">
        <v>18</v>
      </c>
      <c r="F83" s="65"/>
      <c r="G83" s="65"/>
      <c r="H83" s="65"/>
      <c r="I83" s="65"/>
      <c r="J83" s="65"/>
      <c r="K83" s="66"/>
      <c r="L83" s="66"/>
      <c r="M83" s="65"/>
      <c r="N83" s="65"/>
      <c r="O83" s="65"/>
      <c r="P83" s="65"/>
      <c r="Q83" s="65"/>
      <c r="R83" s="66"/>
      <c r="S83" s="66"/>
      <c r="T83" s="65"/>
      <c r="U83" s="65"/>
      <c r="V83" s="65"/>
      <c r="W83" s="65"/>
      <c r="X83" s="65"/>
      <c r="Y83" s="66"/>
      <c r="Z83" s="66"/>
      <c r="AA83" s="65"/>
      <c r="AB83" s="65"/>
      <c r="AC83" s="65"/>
      <c r="AD83" s="65"/>
      <c r="AE83" s="65"/>
      <c r="AF83" s="66"/>
      <c r="AG83" s="66"/>
      <c r="AH83" s="65"/>
      <c r="AI83" s="65"/>
      <c r="AJ83" s="65"/>
      <c r="AK83" s="65"/>
      <c r="AL83" s="65"/>
      <c r="AM83" s="65"/>
      <c r="AN83" s="65"/>
      <c r="AO83" s="65"/>
      <c r="AP83" s="66"/>
      <c r="AQ83" s="66"/>
      <c r="AR83" s="65"/>
      <c r="AS83" s="65"/>
      <c r="AT83" s="65"/>
      <c r="AU83" s="65"/>
      <c r="AV83" s="65"/>
      <c r="AW83" s="66"/>
      <c r="AX83" s="66"/>
      <c r="AY83" s="65"/>
      <c r="AZ83" s="65"/>
      <c r="BA83" s="65"/>
      <c r="BB83" s="65"/>
      <c r="BC83" s="65"/>
      <c r="BD83" s="66"/>
      <c r="BE83" s="66"/>
      <c r="BF83" s="65"/>
      <c r="BG83" s="65"/>
      <c r="BH83" s="65"/>
      <c r="BI83" s="65"/>
      <c r="BJ83" s="65"/>
      <c r="BK83" s="66"/>
      <c r="BL83" s="66"/>
      <c r="BM83" s="65"/>
      <c r="BN83" s="65"/>
      <c r="BO83" s="175">
        <f>SUM(F83:AI83)</f>
        <v>0</v>
      </c>
      <c r="BP83" s="22">
        <v>165</v>
      </c>
      <c r="BQ83" s="83">
        <v>0.57999999999999996</v>
      </c>
      <c r="BR83" s="22">
        <f>BP83*(1-BQ83)</f>
        <v>69.300000000000011</v>
      </c>
      <c r="BS83" s="22">
        <f>BR83*BO83</f>
        <v>0</v>
      </c>
      <c r="BT83" s="84">
        <f>BR83*0.8</f>
        <v>55.440000000000012</v>
      </c>
      <c r="BU83" s="32"/>
      <c r="BV83" s="84">
        <f>BS83*0.8</f>
        <v>0</v>
      </c>
      <c r="BW83" s="84"/>
      <c r="BX83" s="32"/>
      <c r="BY83" s="99">
        <f>BZ83/CC83*100</f>
        <v>3.8168404911999341</v>
      </c>
      <c r="BZ83" s="86">
        <v>2351</v>
      </c>
      <c r="CA83" s="87">
        <f>BY83*BO83</f>
        <v>0</v>
      </c>
      <c r="CB83" s="88">
        <v>125194</v>
      </c>
      <c r="CC83" s="89">
        <v>61595.448000000004</v>
      </c>
      <c r="CD83" s="90">
        <v>188080</v>
      </c>
      <c r="CE83" s="21">
        <f>BV83/CD83*1000</f>
        <v>0</v>
      </c>
      <c r="CF83" s="55"/>
      <c r="CG83" s="30" t="s">
        <v>71</v>
      </c>
      <c r="CH83" s="194"/>
      <c r="CI83" s="30" t="e">
        <f>SUM(#REF!)</f>
        <v>#REF!</v>
      </c>
      <c r="CJ83" s="194" t="e">
        <f>#REF!*CI83</f>
        <v>#REF!</v>
      </c>
      <c r="CK83" s="30" t="e">
        <f>SUM(#REF!)</f>
        <v>#REF!</v>
      </c>
      <c r="CL83" s="194" t="e">
        <f>#REF!*CK83</f>
        <v>#REF!</v>
      </c>
    </row>
    <row r="84" spans="1:91" ht="16" hidden="1" customHeight="1" x14ac:dyDescent="0.25">
      <c r="A84" s="32"/>
      <c r="B84" s="653"/>
      <c r="C84" s="116" t="s">
        <v>73</v>
      </c>
      <c r="D84" s="95"/>
      <c r="E84" s="39"/>
      <c r="F84" s="65"/>
      <c r="G84" s="65"/>
      <c r="H84" s="65"/>
      <c r="I84" s="65"/>
      <c r="J84" s="65"/>
      <c r="K84" s="66"/>
      <c r="L84" s="66"/>
      <c r="M84" s="65"/>
      <c r="N84" s="65"/>
      <c r="O84" s="65"/>
      <c r="P84" s="65"/>
      <c r="Q84" s="65"/>
      <c r="R84" s="66"/>
      <c r="S84" s="66"/>
      <c r="T84" s="65"/>
      <c r="U84" s="65"/>
      <c r="V84" s="65"/>
      <c r="W84" s="65"/>
      <c r="X84" s="65"/>
      <c r="Y84" s="66"/>
      <c r="Z84" s="66"/>
      <c r="AA84" s="65"/>
      <c r="AB84" s="65"/>
      <c r="AC84" s="65"/>
      <c r="AD84" s="65"/>
      <c r="AE84" s="65"/>
      <c r="AF84" s="66"/>
      <c r="AG84" s="66"/>
      <c r="AH84" s="65"/>
      <c r="AI84" s="65"/>
      <c r="AJ84" s="65"/>
      <c r="AK84" s="65"/>
      <c r="AL84" s="65"/>
      <c r="AM84" s="65"/>
      <c r="AN84" s="65"/>
      <c r="AO84" s="65"/>
      <c r="AP84" s="66"/>
      <c r="AQ84" s="66"/>
      <c r="AR84" s="65"/>
      <c r="AS84" s="65"/>
      <c r="AT84" s="65"/>
      <c r="AU84" s="65"/>
      <c r="AV84" s="65"/>
      <c r="AW84" s="66"/>
      <c r="AX84" s="66"/>
      <c r="AY84" s="65"/>
      <c r="AZ84" s="65"/>
      <c r="BA84" s="65"/>
      <c r="BB84" s="65"/>
      <c r="BC84" s="65"/>
      <c r="BD84" s="66"/>
      <c r="BE84" s="66"/>
      <c r="BF84" s="65"/>
      <c r="BG84" s="65"/>
      <c r="BH84" s="65"/>
      <c r="BI84" s="65"/>
      <c r="BJ84" s="65"/>
      <c r="BK84" s="66"/>
      <c r="BL84" s="66"/>
      <c r="BM84" s="65"/>
      <c r="BN84" s="65"/>
      <c r="BO84" s="173"/>
      <c r="BP84" s="104"/>
      <c r="BQ84" s="195"/>
      <c r="BR84" s="104"/>
      <c r="BS84" s="104"/>
      <c r="BT84" s="104"/>
      <c r="BU84" s="32"/>
      <c r="BV84" s="104"/>
      <c r="BW84" s="104"/>
      <c r="BX84" s="32"/>
      <c r="BY84" s="106"/>
      <c r="BZ84" s="107"/>
      <c r="CA84" s="108"/>
      <c r="CB84" s="109"/>
      <c r="CC84" s="110"/>
      <c r="CD84" s="109"/>
      <c r="CE84" s="114"/>
      <c r="CF84" s="10"/>
      <c r="CH84" s="194"/>
      <c r="CJ84" s="194"/>
      <c r="CL84" s="194"/>
    </row>
    <row r="85" spans="1:91" ht="16" hidden="1" customHeight="1" x14ac:dyDescent="0.25">
      <c r="A85" s="32"/>
      <c r="B85" s="102"/>
      <c r="C85" s="95"/>
      <c r="D85" s="95"/>
      <c r="E85" s="39"/>
      <c r="F85" s="65"/>
      <c r="G85" s="65"/>
      <c r="H85" s="65"/>
      <c r="I85" s="65"/>
      <c r="J85" s="65"/>
      <c r="K85" s="66"/>
      <c r="L85" s="66"/>
      <c r="M85" s="65"/>
      <c r="N85" s="65"/>
      <c r="O85" s="65"/>
      <c r="P85" s="65"/>
      <c r="Q85" s="65"/>
      <c r="R85" s="66"/>
      <c r="S85" s="66"/>
      <c r="T85" s="65"/>
      <c r="U85" s="65"/>
      <c r="V85" s="65"/>
      <c r="W85" s="65"/>
      <c r="X85" s="65"/>
      <c r="Y85" s="66"/>
      <c r="Z85" s="66"/>
      <c r="AA85" s="65"/>
      <c r="AB85" s="65"/>
      <c r="AC85" s="65"/>
      <c r="AD85" s="65"/>
      <c r="AE85" s="65"/>
      <c r="AF85" s="66"/>
      <c r="AG85" s="66"/>
      <c r="AH85" s="65"/>
      <c r="AI85" s="65"/>
      <c r="AJ85" s="65"/>
      <c r="AK85" s="65"/>
      <c r="AL85" s="65"/>
      <c r="AM85" s="65"/>
      <c r="AN85" s="65"/>
      <c r="AO85" s="65"/>
      <c r="AP85" s="66"/>
      <c r="AQ85" s="66"/>
      <c r="AR85" s="65"/>
      <c r="AS85" s="65"/>
      <c r="AT85" s="65"/>
      <c r="AU85" s="65"/>
      <c r="AV85" s="65"/>
      <c r="AW85" s="66"/>
      <c r="AX85" s="66"/>
      <c r="AY85" s="65"/>
      <c r="AZ85" s="65"/>
      <c r="BA85" s="65"/>
      <c r="BB85" s="65"/>
      <c r="BC85" s="65"/>
      <c r="BD85" s="66"/>
      <c r="BE85" s="66"/>
      <c r="BF85" s="65"/>
      <c r="BG85" s="65"/>
      <c r="BH85" s="65"/>
      <c r="BI85" s="65"/>
      <c r="BJ85" s="65"/>
      <c r="BK85" s="66"/>
      <c r="BL85" s="66"/>
      <c r="BM85" s="65"/>
      <c r="BN85" s="65"/>
      <c r="BO85" s="67"/>
      <c r="BP85" s="68"/>
      <c r="BQ85" s="69"/>
      <c r="BR85" s="68"/>
      <c r="BS85" s="68"/>
      <c r="BT85" s="68"/>
      <c r="BU85" s="32"/>
      <c r="BV85" s="68"/>
      <c r="BW85" s="68"/>
      <c r="BX85" s="32"/>
      <c r="BY85" s="127"/>
      <c r="BZ85" s="128"/>
      <c r="CA85" s="129"/>
      <c r="CB85" s="76"/>
      <c r="CC85" s="75"/>
      <c r="CD85" s="76"/>
      <c r="CE85" s="18"/>
      <c r="CF85" s="10"/>
      <c r="CH85" s="194"/>
      <c r="CJ85" s="194"/>
      <c r="CL85" s="194"/>
    </row>
    <row r="86" spans="1:91" s="152" customFormat="1" ht="16" hidden="1" customHeight="1" x14ac:dyDescent="0.4">
      <c r="A86" s="43"/>
      <c r="B86" s="102"/>
      <c r="C86" s="81" t="s">
        <v>74</v>
      </c>
      <c r="D86" s="95" t="s">
        <v>72</v>
      </c>
      <c r="E86" s="39" t="s">
        <v>18</v>
      </c>
      <c r="F86" s="65"/>
      <c r="G86" s="65"/>
      <c r="H86" s="65"/>
      <c r="I86" s="65"/>
      <c r="J86" s="65"/>
      <c r="K86" s="66"/>
      <c r="L86" s="66"/>
      <c r="M86" s="65"/>
      <c r="N86" s="65"/>
      <c r="O86" s="65"/>
      <c r="P86" s="65"/>
      <c r="Q86" s="65"/>
      <c r="R86" s="66"/>
      <c r="S86" s="66"/>
      <c r="T86" s="65"/>
      <c r="U86" s="65"/>
      <c r="V86" s="65"/>
      <c r="W86" s="65"/>
      <c r="X86" s="65"/>
      <c r="Y86" s="66"/>
      <c r="Z86" s="66"/>
      <c r="AA86" s="65"/>
      <c r="AB86" s="65"/>
      <c r="AC86" s="65"/>
      <c r="AD86" s="65"/>
      <c r="AE86" s="65"/>
      <c r="AF86" s="66"/>
      <c r="AG86" s="66"/>
      <c r="AH86" s="65"/>
      <c r="AI86" s="65"/>
      <c r="AJ86" s="65"/>
      <c r="AK86" s="65"/>
      <c r="AL86" s="65"/>
      <c r="AM86" s="65"/>
      <c r="AN86" s="65"/>
      <c r="AO86" s="65"/>
      <c r="AP86" s="66"/>
      <c r="AQ86" s="66"/>
      <c r="AR86" s="65"/>
      <c r="AS86" s="65"/>
      <c r="AT86" s="65"/>
      <c r="AU86" s="65"/>
      <c r="AV86" s="65"/>
      <c r="AW86" s="66"/>
      <c r="AX86" s="66"/>
      <c r="AY86" s="65"/>
      <c r="AZ86" s="65"/>
      <c r="BA86" s="65"/>
      <c r="BB86" s="65"/>
      <c r="BC86" s="65"/>
      <c r="BD86" s="66"/>
      <c r="BE86" s="66"/>
      <c r="BF86" s="65"/>
      <c r="BG86" s="65"/>
      <c r="BH86" s="65"/>
      <c r="BI86" s="65"/>
      <c r="BJ86" s="65"/>
      <c r="BK86" s="66"/>
      <c r="BL86" s="66"/>
      <c r="BM86" s="65"/>
      <c r="BN86" s="65"/>
      <c r="BO86" s="175">
        <f>SUM(F86:AI86)</f>
        <v>0</v>
      </c>
      <c r="BP86" s="22">
        <v>310</v>
      </c>
      <c r="BQ86" s="83">
        <v>0.3</v>
      </c>
      <c r="BR86" s="22">
        <f>BP86*(1-BQ86)</f>
        <v>217</v>
      </c>
      <c r="BS86" s="22">
        <f>BR86*BO86</f>
        <v>0</v>
      </c>
      <c r="BT86" s="84">
        <f>BR86*0.8</f>
        <v>173.60000000000002</v>
      </c>
      <c r="BU86" s="32"/>
      <c r="BV86" s="84">
        <f>BS86*0.8</f>
        <v>0</v>
      </c>
      <c r="BW86" s="84"/>
      <c r="BX86" s="32"/>
      <c r="BY86" s="99">
        <f>BZ86/CC86*100</f>
        <v>3.0700540793748683</v>
      </c>
      <c r="BZ86" s="86">
        <v>1402</v>
      </c>
      <c r="CA86" s="87">
        <f>BY86*BO86</f>
        <v>0</v>
      </c>
      <c r="CB86" s="88">
        <v>92819</v>
      </c>
      <c r="CC86" s="89">
        <v>45666.948000000004</v>
      </c>
      <c r="CD86" s="90">
        <v>112160</v>
      </c>
      <c r="CE86" s="21">
        <f>BV86/CD86*1000</f>
        <v>0</v>
      </c>
      <c r="CF86" s="160"/>
      <c r="CG86" s="30" t="str">
        <f>C86</f>
        <v>BEIRA MAR FM</v>
      </c>
      <c r="CH86" s="194"/>
      <c r="CI86" s="30" t="e">
        <f>SUM(#REF!)</f>
        <v>#REF!</v>
      </c>
      <c r="CJ86" s="194" t="e">
        <f>#REF!*CI86</f>
        <v>#REF!</v>
      </c>
      <c r="CK86" s="30" t="e">
        <f>SUM(#REF!)</f>
        <v>#REF!</v>
      </c>
      <c r="CL86" s="194" t="e">
        <f>#REF!*CK86</f>
        <v>#REF!</v>
      </c>
      <c r="CM86" s="151"/>
    </row>
    <row r="87" spans="1:91" ht="16" hidden="1" customHeight="1" x14ac:dyDescent="0.25">
      <c r="A87" s="32"/>
      <c r="B87" s="102"/>
      <c r="C87" s="116" t="s">
        <v>75</v>
      </c>
      <c r="D87" s="95"/>
      <c r="E87" s="39"/>
      <c r="F87" s="65"/>
      <c r="G87" s="65"/>
      <c r="H87" s="65"/>
      <c r="I87" s="65"/>
      <c r="J87" s="65"/>
      <c r="K87" s="66"/>
      <c r="L87" s="66"/>
      <c r="M87" s="65"/>
      <c r="N87" s="65"/>
      <c r="O87" s="65"/>
      <c r="P87" s="65"/>
      <c r="Q87" s="65"/>
      <c r="R87" s="66"/>
      <c r="S87" s="66"/>
      <c r="T87" s="65"/>
      <c r="U87" s="65"/>
      <c r="V87" s="65"/>
      <c r="W87" s="65"/>
      <c r="X87" s="65"/>
      <c r="Y87" s="66"/>
      <c r="Z87" s="66"/>
      <c r="AA87" s="65"/>
      <c r="AB87" s="65"/>
      <c r="AC87" s="65"/>
      <c r="AD87" s="65"/>
      <c r="AE87" s="65"/>
      <c r="AF87" s="66"/>
      <c r="AG87" s="66"/>
      <c r="AH87" s="65"/>
      <c r="AI87" s="65"/>
      <c r="AJ87" s="65"/>
      <c r="AK87" s="65"/>
      <c r="AL87" s="65"/>
      <c r="AM87" s="65"/>
      <c r="AN87" s="65"/>
      <c r="AO87" s="65"/>
      <c r="AP87" s="66"/>
      <c r="AQ87" s="66"/>
      <c r="AR87" s="65"/>
      <c r="AS87" s="65"/>
      <c r="AT87" s="65"/>
      <c r="AU87" s="65"/>
      <c r="AV87" s="65"/>
      <c r="AW87" s="66"/>
      <c r="AX87" s="66"/>
      <c r="AY87" s="65"/>
      <c r="AZ87" s="65"/>
      <c r="BA87" s="65"/>
      <c r="BB87" s="65"/>
      <c r="BC87" s="65"/>
      <c r="BD87" s="66"/>
      <c r="BE87" s="66"/>
      <c r="BF87" s="65"/>
      <c r="BG87" s="65"/>
      <c r="BH87" s="65"/>
      <c r="BI87" s="65"/>
      <c r="BJ87" s="65"/>
      <c r="BK87" s="66"/>
      <c r="BL87" s="66"/>
      <c r="BM87" s="65"/>
      <c r="BN87" s="65"/>
      <c r="BO87" s="173"/>
      <c r="BP87" s="104"/>
      <c r="BQ87" s="195"/>
      <c r="BR87" s="104"/>
      <c r="BS87" s="104"/>
      <c r="BT87" s="104"/>
      <c r="BU87" s="32"/>
      <c r="BV87" s="104"/>
      <c r="BW87" s="104"/>
      <c r="BX87" s="32"/>
      <c r="BY87" s="106"/>
      <c r="BZ87" s="107"/>
      <c r="CA87" s="108"/>
      <c r="CB87" s="109"/>
      <c r="CC87" s="110"/>
      <c r="CD87" s="109"/>
      <c r="CE87" s="114"/>
      <c r="CF87" s="10"/>
      <c r="CH87" s="194"/>
      <c r="CJ87" s="194"/>
      <c r="CL87" s="194"/>
    </row>
    <row r="88" spans="1:91" ht="16" hidden="1" customHeight="1" x14ac:dyDescent="0.25">
      <c r="A88" s="32"/>
      <c r="B88" s="102"/>
      <c r="C88" s="95"/>
      <c r="D88" s="95"/>
      <c r="E88" s="39"/>
      <c r="F88" s="65"/>
      <c r="G88" s="65"/>
      <c r="H88" s="65"/>
      <c r="I88" s="65"/>
      <c r="J88" s="65"/>
      <c r="K88" s="66"/>
      <c r="L88" s="66"/>
      <c r="M88" s="65"/>
      <c r="N88" s="65"/>
      <c r="O88" s="65"/>
      <c r="P88" s="65"/>
      <c r="Q88" s="65"/>
      <c r="R88" s="66"/>
      <c r="S88" s="66"/>
      <c r="T88" s="65"/>
      <c r="U88" s="65"/>
      <c r="V88" s="65"/>
      <c r="W88" s="65"/>
      <c r="X88" s="65"/>
      <c r="Y88" s="66"/>
      <c r="Z88" s="66"/>
      <c r="AA88" s="65"/>
      <c r="AB88" s="65"/>
      <c r="AC88" s="65"/>
      <c r="AD88" s="65"/>
      <c r="AE88" s="65"/>
      <c r="AF88" s="66"/>
      <c r="AG88" s="66"/>
      <c r="AH88" s="65"/>
      <c r="AI88" s="65"/>
      <c r="AJ88" s="65"/>
      <c r="AK88" s="65"/>
      <c r="AL88" s="65"/>
      <c r="AM88" s="65"/>
      <c r="AN88" s="65"/>
      <c r="AO88" s="65"/>
      <c r="AP88" s="66"/>
      <c r="AQ88" s="66"/>
      <c r="AR88" s="65"/>
      <c r="AS88" s="65"/>
      <c r="AT88" s="65"/>
      <c r="AU88" s="65"/>
      <c r="AV88" s="65"/>
      <c r="AW88" s="66"/>
      <c r="AX88" s="66"/>
      <c r="AY88" s="65"/>
      <c r="AZ88" s="65"/>
      <c r="BA88" s="65"/>
      <c r="BB88" s="65"/>
      <c r="BC88" s="65"/>
      <c r="BD88" s="66"/>
      <c r="BE88" s="66"/>
      <c r="BF88" s="65"/>
      <c r="BG88" s="65"/>
      <c r="BH88" s="65"/>
      <c r="BI88" s="65"/>
      <c r="BJ88" s="65"/>
      <c r="BK88" s="66"/>
      <c r="BL88" s="66"/>
      <c r="BM88" s="65"/>
      <c r="BN88" s="65"/>
      <c r="BO88" s="67"/>
      <c r="BP88" s="68"/>
      <c r="BQ88" s="69"/>
      <c r="BR88" s="68"/>
      <c r="BS88" s="68"/>
      <c r="BT88" s="68"/>
      <c r="BU88" s="32"/>
      <c r="BV88" s="68"/>
      <c r="BW88" s="68"/>
      <c r="BX88" s="32"/>
      <c r="BY88" s="127"/>
      <c r="BZ88" s="128"/>
      <c r="CA88" s="129"/>
      <c r="CB88" s="76"/>
      <c r="CC88" s="75"/>
      <c r="CD88" s="76"/>
      <c r="CE88" s="18"/>
      <c r="CF88" s="10"/>
      <c r="CH88" s="194"/>
      <c r="CJ88" s="194"/>
      <c r="CL88" s="194"/>
    </row>
    <row r="89" spans="1:91" ht="16" hidden="1" customHeight="1" x14ac:dyDescent="0.25">
      <c r="A89" s="32"/>
      <c r="B89" s="102"/>
      <c r="C89" s="81" t="s">
        <v>76</v>
      </c>
      <c r="D89" s="95" t="s">
        <v>72</v>
      </c>
      <c r="E89" s="39" t="s">
        <v>18</v>
      </c>
      <c r="F89" s="65"/>
      <c r="G89" s="65"/>
      <c r="H89" s="65"/>
      <c r="I89" s="65"/>
      <c r="J89" s="65"/>
      <c r="K89" s="66"/>
      <c r="L89" s="66"/>
      <c r="M89" s="65"/>
      <c r="N89" s="65"/>
      <c r="O89" s="65"/>
      <c r="P89" s="65"/>
      <c r="Q89" s="65"/>
      <c r="R89" s="66"/>
      <c r="S89" s="66"/>
      <c r="T89" s="65"/>
      <c r="U89" s="65"/>
      <c r="V89" s="65"/>
      <c r="W89" s="65"/>
      <c r="X89" s="65"/>
      <c r="Y89" s="66"/>
      <c r="Z89" s="66"/>
      <c r="AA89" s="65"/>
      <c r="AB89" s="65"/>
      <c r="AC89" s="65"/>
      <c r="AD89" s="65"/>
      <c r="AE89" s="65"/>
      <c r="AF89" s="66"/>
      <c r="AG89" s="66"/>
      <c r="AH89" s="65"/>
      <c r="AI89" s="65"/>
      <c r="AJ89" s="65"/>
      <c r="AK89" s="65"/>
      <c r="AL89" s="65"/>
      <c r="AM89" s="65"/>
      <c r="AN89" s="65"/>
      <c r="AO89" s="65"/>
      <c r="AP89" s="66"/>
      <c r="AQ89" s="66"/>
      <c r="AR89" s="65"/>
      <c r="AS89" s="65"/>
      <c r="AT89" s="65"/>
      <c r="AU89" s="65"/>
      <c r="AV89" s="65"/>
      <c r="AW89" s="66"/>
      <c r="AX89" s="66"/>
      <c r="AY89" s="65"/>
      <c r="AZ89" s="65"/>
      <c r="BA89" s="65"/>
      <c r="BB89" s="65"/>
      <c r="BC89" s="65"/>
      <c r="BD89" s="66"/>
      <c r="BE89" s="66"/>
      <c r="BF89" s="65"/>
      <c r="BG89" s="65"/>
      <c r="BH89" s="65"/>
      <c r="BI89" s="65"/>
      <c r="BJ89" s="65"/>
      <c r="BK89" s="66"/>
      <c r="BL89" s="66"/>
      <c r="BM89" s="65"/>
      <c r="BN89" s="65"/>
      <c r="BO89" s="175">
        <f>SUM(F89:AI89)</f>
        <v>0</v>
      </c>
      <c r="BP89" s="22">
        <v>800</v>
      </c>
      <c r="BQ89" s="83">
        <v>0.8</v>
      </c>
      <c r="BR89" s="22">
        <f>BP89*(1-BQ89)</f>
        <v>159.99999999999997</v>
      </c>
      <c r="BS89" s="22">
        <f>BR89*BO89</f>
        <v>0</v>
      </c>
      <c r="BT89" s="84">
        <f>BR89*0.8</f>
        <v>127.99999999999999</v>
      </c>
      <c r="BU89" s="32"/>
      <c r="BV89" s="84">
        <f>BS89*0.8</f>
        <v>0</v>
      </c>
      <c r="BW89" s="84"/>
      <c r="BX89" s="32"/>
      <c r="BY89" s="99" t="e">
        <f>BZ89/CC89*100</f>
        <v>#DIV/0!</v>
      </c>
      <c r="BZ89" s="86"/>
      <c r="CA89" s="87" t="e">
        <f>BY89*BO89</f>
        <v>#DIV/0!</v>
      </c>
      <c r="CB89" s="88"/>
      <c r="CC89" s="89"/>
      <c r="CD89" s="90"/>
      <c r="CE89" s="21" t="e">
        <f>BV89/CD89*1000</f>
        <v>#DIV/0!</v>
      </c>
      <c r="CF89" s="10"/>
      <c r="CG89" s="30" t="str">
        <f>C89</f>
        <v>MORADA FM</v>
      </c>
      <c r="CH89" s="194"/>
      <c r="CI89" s="30" t="e">
        <f>SUM(#REF!)</f>
        <v>#REF!</v>
      </c>
      <c r="CJ89" s="194" t="e">
        <f>#REF!*CI89</f>
        <v>#REF!</v>
      </c>
      <c r="CK89" s="30" t="e">
        <f>SUM(#REF!)</f>
        <v>#REF!</v>
      </c>
      <c r="CL89" s="194" t="e">
        <f>#REF!*CK89</f>
        <v>#REF!</v>
      </c>
    </row>
    <row r="90" spans="1:91" ht="16" hidden="1" customHeight="1" x14ac:dyDescent="0.25">
      <c r="A90" s="32"/>
      <c r="B90" s="102"/>
      <c r="C90" s="116" t="s">
        <v>77</v>
      </c>
      <c r="D90" s="95"/>
      <c r="E90" s="39"/>
      <c r="F90" s="65"/>
      <c r="G90" s="65"/>
      <c r="H90" s="65"/>
      <c r="I90" s="65"/>
      <c r="J90" s="65"/>
      <c r="K90" s="66"/>
      <c r="L90" s="66"/>
      <c r="M90" s="65"/>
      <c r="N90" s="65"/>
      <c r="O90" s="65"/>
      <c r="P90" s="65"/>
      <c r="Q90" s="65"/>
      <c r="R90" s="66"/>
      <c r="S90" s="66"/>
      <c r="T90" s="65"/>
      <c r="U90" s="65"/>
      <c r="V90" s="65"/>
      <c r="W90" s="65"/>
      <c r="X90" s="65"/>
      <c r="Y90" s="66"/>
      <c r="Z90" s="66"/>
      <c r="AA90" s="65"/>
      <c r="AB90" s="65"/>
      <c r="AC90" s="65"/>
      <c r="AD90" s="65"/>
      <c r="AE90" s="65"/>
      <c r="AF90" s="66"/>
      <c r="AG90" s="66"/>
      <c r="AH90" s="65"/>
      <c r="AI90" s="65"/>
      <c r="AJ90" s="65"/>
      <c r="AK90" s="65"/>
      <c r="AL90" s="65"/>
      <c r="AM90" s="65"/>
      <c r="AN90" s="65"/>
      <c r="AO90" s="65"/>
      <c r="AP90" s="66"/>
      <c r="AQ90" s="66"/>
      <c r="AR90" s="65"/>
      <c r="AS90" s="65"/>
      <c r="AT90" s="65"/>
      <c r="AU90" s="65"/>
      <c r="AV90" s="65"/>
      <c r="AW90" s="66"/>
      <c r="AX90" s="66"/>
      <c r="AY90" s="65"/>
      <c r="AZ90" s="65"/>
      <c r="BA90" s="65"/>
      <c r="BB90" s="65"/>
      <c r="BC90" s="65"/>
      <c r="BD90" s="66"/>
      <c r="BE90" s="66"/>
      <c r="BF90" s="65"/>
      <c r="BG90" s="65"/>
      <c r="BH90" s="65"/>
      <c r="BI90" s="65"/>
      <c r="BJ90" s="65"/>
      <c r="BK90" s="66"/>
      <c r="BL90" s="66"/>
      <c r="BM90" s="65"/>
      <c r="BN90" s="65"/>
      <c r="BO90" s="173"/>
      <c r="BP90" s="104"/>
      <c r="BQ90" s="195"/>
      <c r="BR90" s="104"/>
      <c r="BS90" s="104"/>
      <c r="BT90" s="104"/>
      <c r="BU90" s="32"/>
      <c r="BV90" s="104"/>
      <c r="BW90" s="104"/>
      <c r="BX90" s="32"/>
      <c r="BY90" s="106"/>
      <c r="BZ90" s="107"/>
      <c r="CA90" s="108"/>
      <c r="CB90" s="109"/>
      <c r="CC90" s="110"/>
      <c r="CD90" s="109"/>
      <c r="CE90" s="114"/>
      <c r="CF90" s="10"/>
      <c r="CH90" s="194"/>
      <c r="CJ90" s="194"/>
      <c r="CL90" s="194"/>
    </row>
    <row r="91" spans="1:91" ht="16" hidden="1" customHeight="1" x14ac:dyDescent="0.25">
      <c r="A91" s="32"/>
      <c r="B91" s="102"/>
      <c r="C91" s="95"/>
      <c r="D91" s="95"/>
      <c r="E91" s="39"/>
      <c r="F91" s="65"/>
      <c r="G91" s="65"/>
      <c r="H91" s="65"/>
      <c r="I91" s="65"/>
      <c r="J91" s="65"/>
      <c r="K91" s="66"/>
      <c r="L91" s="66"/>
      <c r="M91" s="65"/>
      <c r="N91" s="65"/>
      <c r="O91" s="65"/>
      <c r="P91" s="65"/>
      <c r="Q91" s="65"/>
      <c r="R91" s="66"/>
      <c r="S91" s="66"/>
      <c r="T91" s="65"/>
      <c r="U91" s="65"/>
      <c r="V91" s="65"/>
      <c r="W91" s="65"/>
      <c r="X91" s="65"/>
      <c r="Y91" s="66"/>
      <c r="Z91" s="66"/>
      <c r="AA91" s="65"/>
      <c r="AB91" s="65"/>
      <c r="AC91" s="65"/>
      <c r="AD91" s="65"/>
      <c r="AE91" s="65"/>
      <c r="AF91" s="66"/>
      <c r="AG91" s="66"/>
      <c r="AH91" s="65"/>
      <c r="AI91" s="65"/>
      <c r="AJ91" s="65"/>
      <c r="AK91" s="65"/>
      <c r="AL91" s="65"/>
      <c r="AM91" s="65"/>
      <c r="AN91" s="65"/>
      <c r="AO91" s="65"/>
      <c r="AP91" s="66"/>
      <c r="AQ91" s="66"/>
      <c r="AR91" s="65"/>
      <c r="AS91" s="65"/>
      <c r="AT91" s="65"/>
      <c r="AU91" s="65"/>
      <c r="AV91" s="65"/>
      <c r="AW91" s="66"/>
      <c r="AX91" s="66"/>
      <c r="AY91" s="65"/>
      <c r="AZ91" s="65"/>
      <c r="BA91" s="65"/>
      <c r="BB91" s="65"/>
      <c r="BC91" s="65"/>
      <c r="BD91" s="66"/>
      <c r="BE91" s="66"/>
      <c r="BF91" s="65"/>
      <c r="BG91" s="65"/>
      <c r="BH91" s="65"/>
      <c r="BI91" s="65"/>
      <c r="BJ91" s="65"/>
      <c r="BK91" s="66"/>
      <c r="BL91" s="66"/>
      <c r="BM91" s="65"/>
      <c r="BN91" s="65"/>
      <c r="BO91" s="67"/>
      <c r="BP91" s="68"/>
      <c r="BQ91" s="69"/>
      <c r="BR91" s="68"/>
      <c r="BS91" s="68"/>
      <c r="BT91" s="68"/>
      <c r="BU91" s="32"/>
      <c r="BV91" s="68"/>
      <c r="BW91" s="68"/>
      <c r="BX91" s="32"/>
      <c r="BY91" s="127"/>
      <c r="BZ91" s="128"/>
      <c r="CA91" s="129"/>
      <c r="CB91" s="76"/>
      <c r="CC91" s="75"/>
      <c r="CD91" s="76"/>
      <c r="CE91" s="18"/>
      <c r="CF91" s="10"/>
      <c r="CH91" s="194"/>
      <c r="CJ91" s="194"/>
      <c r="CL91" s="194"/>
    </row>
    <row r="92" spans="1:91" ht="16" hidden="1" customHeight="1" x14ac:dyDescent="0.25">
      <c r="A92" s="32"/>
      <c r="B92" s="102"/>
      <c r="C92" s="81" t="s">
        <v>65</v>
      </c>
      <c r="D92" s="95" t="s">
        <v>72</v>
      </c>
      <c r="E92" s="39" t="s">
        <v>18</v>
      </c>
      <c r="F92" s="65"/>
      <c r="G92" s="65"/>
      <c r="H92" s="65"/>
      <c r="I92" s="65"/>
      <c r="J92" s="65"/>
      <c r="K92" s="66"/>
      <c r="L92" s="66"/>
      <c r="M92" s="65"/>
      <c r="N92" s="65"/>
      <c r="O92" s="65"/>
      <c r="P92" s="65"/>
      <c r="Q92" s="65"/>
      <c r="R92" s="66"/>
      <c r="S92" s="66"/>
      <c r="T92" s="65"/>
      <c r="U92" s="65"/>
      <c r="V92" s="65"/>
      <c r="W92" s="65"/>
      <c r="X92" s="65"/>
      <c r="Y92" s="66"/>
      <c r="Z92" s="66"/>
      <c r="AA92" s="65"/>
      <c r="AB92" s="65"/>
      <c r="AC92" s="65"/>
      <c r="AD92" s="65"/>
      <c r="AE92" s="65"/>
      <c r="AF92" s="66"/>
      <c r="AG92" s="66"/>
      <c r="AH92" s="65"/>
      <c r="AI92" s="65"/>
      <c r="AJ92" s="65"/>
      <c r="AK92" s="65"/>
      <c r="AL92" s="65"/>
      <c r="AM92" s="65"/>
      <c r="AN92" s="65"/>
      <c r="AO92" s="65"/>
      <c r="AP92" s="66"/>
      <c r="AQ92" s="66"/>
      <c r="AR92" s="65"/>
      <c r="AS92" s="65"/>
      <c r="AT92" s="65"/>
      <c r="AU92" s="65"/>
      <c r="AV92" s="65"/>
      <c r="AW92" s="66"/>
      <c r="AX92" s="66"/>
      <c r="AY92" s="65"/>
      <c r="AZ92" s="65"/>
      <c r="BA92" s="65"/>
      <c r="BB92" s="65"/>
      <c r="BC92" s="65"/>
      <c r="BD92" s="66"/>
      <c r="BE92" s="66"/>
      <c r="BF92" s="65"/>
      <c r="BG92" s="65"/>
      <c r="BH92" s="65"/>
      <c r="BI92" s="65"/>
      <c r="BJ92" s="65"/>
      <c r="BK92" s="66"/>
      <c r="BL92" s="66"/>
      <c r="BM92" s="65"/>
      <c r="BN92" s="65"/>
      <c r="BO92" s="175">
        <f>SUM(F92:AI92)</f>
        <v>0</v>
      </c>
      <c r="BP92" s="22">
        <v>178</v>
      </c>
      <c r="BQ92" s="83">
        <v>0.78</v>
      </c>
      <c r="BR92" s="22">
        <f>BP92*(1-BQ92)</f>
        <v>39.159999999999997</v>
      </c>
      <c r="BS92" s="22">
        <f>BR92*BO92</f>
        <v>0</v>
      </c>
      <c r="BT92" s="84">
        <f>BR92*0.8</f>
        <v>31.327999999999999</v>
      </c>
      <c r="BU92" s="32"/>
      <c r="BV92" s="84">
        <f>BS92*0.8</f>
        <v>0</v>
      </c>
      <c r="BW92" s="84"/>
      <c r="BX92" s="32"/>
      <c r="BY92" s="99" t="e">
        <f>BZ92/CC92*100</f>
        <v>#DIV/0!</v>
      </c>
      <c r="BZ92" s="86"/>
      <c r="CA92" s="87" t="e">
        <f>BY92*BO92</f>
        <v>#DIV/0!</v>
      </c>
      <c r="CB92" s="88"/>
      <c r="CC92" s="89"/>
      <c r="CD92" s="90"/>
      <c r="CE92" s="21" t="e">
        <f>BV92/CD92*1000</f>
        <v>#DIV/0!</v>
      </c>
      <c r="CF92" s="10"/>
      <c r="CG92" s="30" t="str">
        <f>C92</f>
        <v>ANTENA 1</v>
      </c>
      <c r="CH92" s="194"/>
      <c r="CI92" s="30" t="e">
        <f>SUM(#REF!)</f>
        <v>#REF!</v>
      </c>
      <c r="CJ92" s="194" t="e">
        <f>#REF!*CI92</f>
        <v>#REF!</v>
      </c>
      <c r="CK92" s="30" t="e">
        <f>SUM(#REF!)</f>
        <v>#REF!</v>
      </c>
      <c r="CL92" s="194" t="e">
        <f>#REF!*CK92</f>
        <v>#REF!</v>
      </c>
    </row>
    <row r="93" spans="1:91" ht="16" hidden="1" customHeight="1" x14ac:dyDescent="0.25">
      <c r="A93" s="32"/>
      <c r="B93" s="102"/>
      <c r="C93" s="116" t="s">
        <v>78</v>
      </c>
      <c r="D93" s="95"/>
      <c r="E93" s="39"/>
      <c r="F93" s="65"/>
      <c r="G93" s="65"/>
      <c r="H93" s="65"/>
      <c r="I93" s="65"/>
      <c r="J93" s="65"/>
      <c r="K93" s="66"/>
      <c r="L93" s="66"/>
      <c r="M93" s="65"/>
      <c r="N93" s="65"/>
      <c r="O93" s="65"/>
      <c r="P93" s="65"/>
      <c r="Q93" s="65"/>
      <c r="R93" s="66"/>
      <c r="S93" s="66"/>
      <c r="T93" s="65"/>
      <c r="U93" s="65"/>
      <c r="V93" s="65"/>
      <c r="W93" s="65"/>
      <c r="X93" s="65"/>
      <c r="Y93" s="66"/>
      <c r="Z93" s="66"/>
      <c r="AA93" s="65"/>
      <c r="AB93" s="65"/>
      <c r="AC93" s="65"/>
      <c r="AD93" s="65"/>
      <c r="AE93" s="65"/>
      <c r="AF93" s="66"/>
      <c r="AG93" s="66"/>
      <c r="AH93" s="65"/>
      <c r="AI93" s="65"/>
      <c r="AJ93" s="65"/>
      <c r="AK93" s="65"/>
      <c r="AL93" s="65"/>
      <c r="AM93" s="65"/>
      <c r="AN93" s="65"/>
      <c r="AO93" s="65"/>
      <c r="AP93" s="66"/>
      <c r="AQ93" s="66"/>
      <c r="AR93" s="65"/>
      <c r="AS93" s="65"/>
      <c r="AT93" s="65"/>
      <c r="AU93" s="65"/>
      <c r="AV93" s="65"/>
      <c r="AW93" s="66"/>
      <c r="AX93" s="66"/>
      <c r="AY93" s="65"/>
      <c r="AZ93" s="65"/>
      <c r="BA93" s="65"/>
      <c r="BB93" s="65"/>
      <c r="BC93" s="65"/>
      <c r="BD93" s="66"/>
      <c r="BE93" s="66"/>
      <c r="BF93" s="65"/>
      <c r="BG93" s="65"/>
      <c r="BH93" s="65"/>
      <c r="BI93" s="65"/>
      <c r="BJ93" s="65"/>
      <c r="BK93" s="66"/>
      <c r="BL93" s="66"/>
      <c r="BM93" s="65"/>
      <c r="BN93" s="65"/>
      <c r="BO93" s="173"/>
      <c r="BP93" s="104"/>
      <c r="BQ93" s="195"/>
      <c r="BR93" s="104"/>
      <c r="BS93" s="104"/>
      <c r="BT93" s="104"/>
      <c r="BU93" s="32"/>
      <c r="BV93" s="104"/>
      <c r="BW93" s="104"/>
      <c r="BX93" s="32"/>
      <c r="BY93" s="106"/>
      <c r="BZ93" s="107"/>
      <c r="CA93" s="108"/>
      <c r="CB93" s="109"/>
      <c r="CC93" s="110"/>
      <c r="CD93" s="109"/>
      <c r="CE93" s="114"/>
      <c r="CF93" s="10"/>
      <c r="CH93" s="194"/>
      <c r="CJ93" s="194"/>
      <c r="CL93" s="194"/>
    </row>
    <row r="94" spans="1:91" ht="16" hidden="1" customHeight="1" x14ac:dyDescent="0.25">
      <c r="A94" s="32"/>
      <c r="B94" s="102"/>
      <c r="C94" s="95"/>
      <c r="D94" s="95"/>
      <c r="E94" s="39"/>
      <c r="F94" s="65"/>
      <c r="G94" s="65"/>
      <c r="H94" s="65"/>
      <c r="I94" s="65"/>
      <c r="J94" s="65"/>
      <c r="K94" s="66"/>
      <c r="L94" s="66"/>
      <c r="M94" s="65"/>
      <c r="N94" s="65"/>
      <c r="O94" s="65"/>
      <c r="P94" s="65"/>
      <c r="Q94" s="65"/>
      <c r="R94" s="66"/>
      <c r="S94" s="66"/>
      <c r="T94" s="65"/>
      <c r="U94" s="65"/>
      <c r="V94" s="65"/>
      <c r="W94" s="65"/>
      <c r="X94" s="65"/>
      <c r="Y94" s="66"/>
      <c r="Z94" s="66"/>
      <c r="AA94" s="65"/>
      <c r="AB94" s="65"/>
      <c r="AC94" s="65"/>
      <c r="AD94" s="65"/>
      <c r="AE94" s="65"/>
      <c r="AF94" s="66"/>
      <c r="AG94" s="66"/>
      <c r="AH94" s="65"/>
      <c r="AI94" s="65"/>
      <c r="AJ94" s="65"/>
      <c r="AK94" s="65"/>
      <c r="AL94" s="65"/>
      <c r="AM94" s="65"/>
      <c r="AN94" s="65"/>
      <c r="AO94" s="65"/>
      <c r="AP94" s="66"/>
      <c r="AQ94" s="66"/>
      <c r="AR94" s="65"/>
      <c r="AS94" s="65"/>
      <c r="AT94" s="65"/>
      <c r="AU94" s="65"/>
      <c r="AV94" s="65"/>
      <c r="AW94" s="66"/>
      <c r="AX94" s="66"/>
      <c r="AY94" s="65"/>
      <c r="AZ94" s="65"/>
      <c r="BA94" s="65"/>
      <c r="BB94" s="65"/>
      <c r="BC94" s="65"/>
      <c r="BD94" s="66"/>
      <c r="BE94" s="66"/>
      <c r="BF94" s="65"/>
      <c r="BG94" s="65"/>
      <c r="BH94" s="65"/>
      <c r="BI94" s="65"/>
      <c r="BJ94" s="65"/>
      <c r="BK94" s="66"/>
      <c r="BL94" s="66"/>
      <c r="BM94" s="65"/>
      <c r="BN94" s="65"/>
      <c r="BO94" s="67"/>
      <c r="BP94" s="68"/>
      <c r="BQ94" s="69"/>
      <c r="BR94" s="68"/>
      <c r="BS94" s="68"/>
      <c r="BT94" s="68"/>
      <c r="BU94" s="32"/>
      <c r="BV94" s="68"/>
      <c r="BW94" s="68"/>
      <c r="BX94" s="32"/>
      <c r="BY94" s="127"/>
      <c r="BZ94" s="128"/>
      <c r="CA94" s="129"/>
      <c r="CB94" s="76"/>
      <c r="CC94" s="75"/>
      <c r="CD94" s="76"/>
      <c r="CE94" s="18"/>
      <c r="CF94" s="10"/>
      <c r="CH94" s="194"/>
      <c r="CJ94" s="194"/>
      <c r="CL94" s="194"/>
    </row>
    <row r="95" spans="1:91" ht="16" hidden="1" customHeight="1" x14ac:dyDescent="0.25">
      <c r="A95" s="32"/>
      <c r="B95" s="102"/>
      <c r="C95" s="81" t="s">
        <v>79</v>
      </c>
      <c r="D95" s="95" t="s">
        <v>72</v>
      </c>
      <c r="E95" s="39" t="s">
        <v>18</v>
      </c>
      <c r="F95" s="65"/>
      <c r="G95" s="65"/>
      <c r="H95" s="65"/>
      <c r="I95" s="65"/>
      <c r="J95" s="65"/>
      <c r="K95" s="66"/>
      <c r="L95" s="66"/>
      <c r="M95" s="65"/>
      <c r="N95" s="65"/>
      <c r="O95" s="65"/>
      <c r="P95" s="65"/>
      <c r="Q95" s="65"/>
      <c r="R95" s="66"/>
      <c r="S95" s="66"/>
      <c r="T95" s="65"/>
      <c r="U95" s="65"/>
      <c r="V95" s="65"/>
      <c r="W95" s="65"/>
      <c r="X95" s="65"/>
      <c r="Y95" s="66"/>
      <c r="Z95" s="66"/>
      <c r="AA95" s="65"/>
      <c r="AB95" s="65"/>
      <c r="AC95" s="65"/>
      <c r="AD95" s="65"/>
      <c r="AE95" s="65"/>
      <c r="AF95" s="66"/>
      <c r="AG95" s="66"/>
      <c r="AH95" s="65"/>
      <c r="AI95" s="65"/>
      <c r="AJ95" s="65"/>
      <c r="AK95" s="65"/>
      <c r="AL95" s="65"/>
      <c r="AM95" s="65"/>
      <c r="AN95" s="65"/>
      <c r="AO95" s="65"/>
      <c r="AP95" s="66"/>
      <c r="AQ95" s="66"/>
      <c r="AR95" s="65"/>
      <c r="AS95" s="65"/>
      <c r="AT95" s="65"/>
      <c r="AU95" s="65"/>
      <c r="AV95" s="65"/>
      <c r="AW95" s="66"/>
      <c r="AX95" s="66"/>
      <c r="AY95" s="65"/>
      <c r="AZ95" s="65"/>
      <c r="BA95" s="65"/>
      <c r="BB95" s="65"/>
      <c r="BC95" s="65"/>
      <c r="BD95" s="66"/>
      <c r="BE95" s="66"/>
      <c r="BF95" s="65"/>
      <c r="BG95" s="65"/>
      <c r="BH95" s="65"/>
      <c r="BI95" s="65"/>
      <c r="BJ95" s="65"/>
      <c r="BK95" s="66"/>
      <c r="BL95" s="66"/>
      <c r="BM95" s="65"/>
      <c r="BN95" s="65"/>
      <c r="BO95" s="175" t="e">
        <f>SUM(#REF!)</f>
        <v>#REF!</v>
      </c>
      <c r="BP95" s="22"/>
      <c r="BQ95" s="83">
        <v>0.4</v>
      </c>
      <c r="BR95" s="22">
        <f>BP95*(1-BQ95)</f>
        <v>0</v>
      </c>
      <c r="BS95" s="22" t="e">
        <f>BR95*BO95</f>
        <v>#REF!</v>
      </c>
      <c r="BT95" s="84">
        <f>BR95*0.8</f>
        <v>0</v>
      </c>
      <c r="BU95" s="32"/>
      <c r="BV95" s="84" t="e">
        <f>BS95*0.8</f>
        <v>#REF!</v>
      </c>
      <c r="BW95" s="84"/>
      <c r="BX95" s="32"/>
      <c r="BY95" s="99"/>
      <c r="BZ95" s="86"/>
      <c r="CA95" s="87" t="e">
        <f>BY95*BO95</f>
        <v>#REF!</v>
      </c>
      <c r="CB95" s="88"/>
      <c r="CC95" s="89"/>
      <c r="CD95" s="90"/>
      <c r="CE95" s="21" t="e">
        <f>BV95/CD95*1000</f>
        <v>#REF!</v>
      </c>
      <c r="CF95" s="10"/>
      <c r="CG95" s="30" t="str">
        <f>C95</f>
        <v>RÁDIO PRAIA FM</v>
      </c>
      <c r="CH95" s="194"/>
      <c r="CI95" s="30" t="e">
        <f>SUM(#REF!)</f>
        <v>#REF!</v>
      </c>
      <c r="CJ95" s="194" t="e">
        <f>#REF!*CI95</f>
        <v>#REF!</v>
      </c>
      <c r="CK95" s="30" t="e">
        <f>SUM(#REF!)</f>
        <v>#REF!</v>
      </c>
      <c r="CL95" s="194" t="e">
        <f>#REF!*CK95</f>
        <v>#REF!</v>
      </c>
    </row>
    <row r="96" spans="1:91" ht="16" hidden="1" customHeight="1" x14ac:dyDescent="0.25">
      <c r="A96" s="32"/>
      <c r="B96" s="102"/>
      <c r="C96" s="116"/>
      <c r="D96" s="95"/>
      <c r="E96" s="39"/>
      <c r="F96" s="65"/>
      <c r="G96" s="65"/>
      <c r="H96" s="65"/>
      <c r="I96" s="65"/>
      <c r="J96" s="65"/>
      <c r="K96" s="66"/>
      <c r="L96" s="66"/>
      <c r="M96" s="65"/>
      <c r="N96" s="65"/>
      <c r="O96" s="65"/>
      <c r="P96" s="65"/>
      <c r="Q96" s="65"/>
      <c r="R96" s="66"/>
      <c r="S96" s="66"/>
      <c r="T96" s="65"/>
      <c r="U96" s="65"/>
      <c r="V96" s="65"/>
      <c r="W96" s="65"/>
      <c r="X96" s="65"/>
      <c r="Y96" s="66"/>
      <c r="Z96" s="66"/>
      <c r="AA96" s="65"/>
      <c r="AB96" s="65"/>
      <c r="AC96" s="65"/>
      <c r="AD96" s="65"/>
      <c r="AE96" s="65"/>
      <c r="AF96" s="66"/>
      <c r="AG96" s="66"/>
      <c r="AH96" s="65"/>
      <c r="AI96" s="65"/>
      <c r="AJ96" s="65"/>
      <c r="AK96" s="65"/>
      <c r="AL96" s="65"/>
      <c r="AM96" s="65"/>
      <c r="AN96" s="65"/>
      <c r="AO96" s="65"/>
      <c r="AP96" s="66"/>
      <c r="AQ96" s="66"/>
      <c r="AR96" s="65"/>
      <c r="AS96" s="65"/>
      <c r="AT96" s="65"/>
      <c r="AU96" s="65"/>
      <c r="AV96" s="65"/>
      <c r="AW96" s="66"/>
      <c r="AX96" s="66"/>
      <c r="AY96" s="65"/>
      <c r="AZ96" s="65"/>
      <c r="BA96" s="65"/>
      <c r="BB96" s="65"/>
      <c r="BC96" s="65"/>
      <c r="BD96" s="66"/>
      <c r="BE96" s="66"/>
      <c r="BF96" s="65"/>
      <c r="BG96" s="65"/>
      <c r="BH96" s="65"/>
      <c r="BI96" s="65"/>
      <c r="BJ96" s="65"/>
      <c r="BK96" s="66"/>
      <c r="BL96" s="66"/>
      <c r="BM96" s="65"/>
      <c r="BN96" s="65"/>
      <c r="BO96" s="173"/>
      <c r="BP96" s="104"/>
      <c r="BQ96" s="195"/>
      <c r="BR96" s="104"/>
      <c r="BS96" s="104"/>
      <c r="BT96" s="104"/>
      <c r="BU96" s="32"/>
      <c r="BV96" s="104"/>
      <c r="BW96" s="104"/>
      <c r="BX96" s="32"/>
      <c r="BY96" s="106"/>
      <c r="BZ96" s="107"/>
      <c r="CA96" s="108"/>
      <c r="CB96" s="109"/>
      <c r="CC96" s="110"/>
      <c r="CD96" s="109"/>
      <c r="CE96" s="114"/>
      <c r="CF96" s="10"/>
      <c r="CH96" s="194"/>
      <c r="CJ96" s="194"/>
      <c r="CL96" s="194"/>
    </row>
    <row r="97" spans="1:145" ht="16" hidden="1" customHeight="1" x14ac:dyDescent="0.25">
      <c r="A97" s="32"/>
      <c r="B97" s="102"/>
      <c r="C97" s="95"/>
      <c r="D97" s="95"/>
      <c r="E97" s="39"/>
      <c r="F97" s="65"/>
      <c r="G97" s="65"/>
      <c r="H97" s="65"/>
      <c r="I97" s="65"/>
      <c r="J97" s="65"/>
      <c r="K97" s="66"/>
      <c r="L97" s="66"/>
      <c r="M97" s="65"/>
      <c r="N97" s="65"/>
      <c r="O97" s="65"/>
      <c r="P97" s="65"/>
      <c r="Q97" s="65"/>
      <c r="R97" s="66"/>
      <c r="S97" s="66"/>
      <c r="T97" s="65"/>
      <c r="U97" s="65"/>
      <c r="V97" s="65"/>
      <c r="W97" s="65"/>
      <c r="X97" s="65"/>
      <c r="Y97" s="66"/>
      <c r="Z97" s="66"/>
      <c r="AA97" s="65"/>
      <c r="AB97" s="65"/>
      <c r="AC97" s="65"/>
      <c r="AD97" s="65"/>
      <c r="AE97" s="65"/>
      <c r="AF97" s="66"/>
      <c r="AG97" s="66"/>
      <c r="AH97" s="65"/>
      <c r="AI97" s="65"/>
      <c r="AJ97" s="65"/>
      <c r="AK97" s="65"/>
      <c r="AL97" s="65"/>
      <c r="AM97" s="65"/>
      <c r="AN97" s="65"/>
      <c r="AO97" s="65"/>
      <c r="AP97" s="66"/>
      <c r="AQ97" s="66"/>
      <c r="AR97" s="65"/>
      <c r="AS97" s="65"/>
      <c r="AT97" s="65"/>
      <c r="AU97" s="65"/>
      <c r="AV97" s="65"/>
      <c r="AW97" s="66"/>
      <c r="AX97" s="66"/>
      <c r="AY97" s="65"/>
      <c r="AZ97" s="65"/>
      <c r="BA97" s="65"/>
      <c r="BB97" s="65"/>
      <c r="BC97" s="65"/>
      <c r="BD97" s="66"/>
      <c r="BE97" s="66"/>
      <c r="BF97" s="65"/>
      <c r="BG97" s="65"/>
      <c r="BH97" s="65"/>
      <c r="BI97" s="65"/>
      <c r="BJ97" s="65"/>
      <c r="BK97" s="66"/>
      <c r="BL97" s="66"/>
      <c r="BM97" s="65"/>
      <c r="BN97" s="65"/>
      <c r="BO97" s="67"/>
      <c r="BP97" s="68"/>
      <c r="BQ97" s="69"/>
      <c r="BR97" s="68"/>
      <c r="BS97" s="68"/>
      <c r="BT97" s="68"/>
      <c r="BU97" s="32"/>
      <c r="BV97" s="68"/>
      <c r="BW97" s="68"/>
      <c r="BX97" s="32"/>
      <c r="BY97" s="127"/>
      <c r="BZ97" s="128"/>
      <c r="CA97" s="129"/>
      <c r="CB97" s="76"/>
      <c r="CC97" s="75"/>
      <c r="CD97" s="76"/>
      <c r="CE97" s="18"/>
      <c r="CF97" s="10"/>
      <c r="CH97" s="194"/>
      <c r="CJ97" s="194"/>
      <c r="CL97" s="194"/>
    </row>
    <row r="98" spans="1:145" ht="16" hidden="1" customHeight="1" x14ac:dyDescent="0.25">
      <c r="A98" s="32"/>
      <c r="B98" s="102"/>
      <c r="C98" s="81" t="s">
        <v>80</v>
      </c>
      <c r="D98" s="95" t="s">
        <v>72</v>
      </c>
      <c r="E98" s="39" t="s">
        <v>18</v>
      </c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6"/>
      <c r="S98" s="66"/>
      <c r="T98" s="65"/>
      <c r="U98" s="65"/>
      <c r="V98" s="65"/>
      <c r="W98" s="65"/>
      <c r="X98" s="65"/>
      <c r="Y98" s="66"/>
      <c r="Z98" s="66"/>
      <c r="AA98" s="65"/>
      <c r="AB98" s="65"/>
      <c r="AC98" s="65"/>
      <c r="AD98" s="65"/>
      <c r="AE98" s="65"/>
      <c r="AF98" s="66"/>
      <c r="AG98" s="66"/>
      <c r="AH98" s="65"/>
      <c r="AI98" s="65"/>
      <c r="AJ98" s="65"/>
      <c r="AK98" s="65"/>
      <c r="AL98" s="65"/>
      <c r="AM98" s="65"/>
      <c r="AN98" s="65"/>
      <c r="AO98" s="65"/>
      <c r="AP98" s="65"/>
      <c r="AQ98" s="65"/>
      <c r="AR98" s="65"/>
      <c r="AS98" s="65"/>
      <c r="AT98" s="65"/>
      <c r="AU98" s="65"/>
      <c r="AV98" s="65"/>
      <c r="AW98" s="66"/>
      <c r="AX98" s="66"/>
      <c r="AY98" s="65"/>
      <c r="AZ98" s="65"/>
      <c r="BA98" s="65"/>
      <c r="BB98" s="65"/>
      <c r="BC98" s="65"/>
      <c r="BD98" s="66"/>
      <c r="BE98" s="66"/>
      <c r="BF98" s="65"/>
      <c r="BG98" s="65"/>
      <c r="BH98" s="65"/>
      <c r="BI98" s="65"/>
      <c r="BJ98" s="65"/>
      <c r="BK98" s="66"/>
      <c r="BL98" s="66"/>
      <c r="BM98" s="65"/>
      <c r="BN98" s="65"/>
      <c r="BO98" s="175">
        <f>SUM(F98:AI98)</f>
        <v>0</v>
      </c>
      <c r="BP98" s="22">
        <v>120</v>
      </c>
      <c r="BQ98" s="83">
        <v>0.3</v>
      </c>
      <c r="BR98" s="22">
        <f>BP98*(1-BQ98)</f>
        <v>84</v>
      </c>
      <c r="BS98" s="22">
        <f>BR98*BO98</f>
        <v>0</v>
      </c>
      <c r="BT98" s="84">
        <f>BR98*0.8</f>
        <v>67.2</v>
      </c>
      <c r="BU98" s="32"/>
      <c r="BV98" s="84">
        <f>BS98*0.8</f>
        <v>0</v>
      </c>
      <c r="BW98" s="84"/>
      <c r="BX98" s="32"/>
      <c r="BY98" s="99"/>
      <c r="BZ98" s="86"/>
      <c r="CA98" s="87">
        <f>BY98*BO98</f>
        <v>0</v>
      </c>
      <c r="CB98" s="88"/>
      <c r="CC98" s="89"/>
      <c r="CD98" s="90"/>
      <c r="CE98" s="21" t="e">
        <f>BV98/CD98*1000</f>
        <v>#DIV/0!</v>
      </c>
      <c r="CF98" s="10"/>
      <c r="CG98" s="30" t="str">
        <f>C98</f>
        <v>RÁDIO ANTENA 8</v>
      </c>
      <c r="CH98" s="194"/>
      <c r="CI98" s="30" t="e">
        <f>SUM(#REF!)</f>
        <v>#REF!</v>
      </c>
      <c r="CJ98" s="194" t="e">
        <f>#REF!*CI98</f>
        <v>#REF!</v>
      </c>
      <c r="CK98" s="30" t="e">
        <f>SUM(#REF!)</f>
        <v>#REF!</v>
      </c>
      <c r="CL98" s="194" t="e">
        <f>#REF!*CK98</f>
        <v>#REF!</v>
      </c>
    </row>
    <row r="99" spans="1:145" ht="16" hidden="1" customHeight="1" x14ac:dyDescent="0.25">
      <c r="A99" s="32"/>
      <c r="B99" s="102"/>
      <c r="C99" s="116" t="s">
        <v>73</v>
      </c>
      <c r="D99" s="95"/>
      <c r="E99" s="39"/>
      <c r="F99" s="65"/>
      <c r="G99" s="65"/>
      <c r="H99" s="65"/>
      <c r="I99" s="65"/>
      <c r="J99" s="65"/>
      <c r="K99" s="66"/>
      <c r="L99" s="66"/>
      <c r="M99" s="65"/>
      <c r="N99" s="65"/>
      <c r="O99" s="65"/>
      <c r="P99" s="65"/>
      <c r="Q99" s="65"/>
      <c r="R99" s="66"/>
      <c r="S99" s="66"/>
      <c r="T99" s="65"/>
      <c r="U99" s="65"/>
      <c r="V99" s="65"/>
      <c r="W99" s="65"/>
      <c r="X99" s="65"/>
      <c r="Y99" s="66"/>
      <c r="Z99" s="66"/>
      <c r="AA99" s="65"/>
      <c r="AB99" s="65"/>
      <c r="AC99" s="65"/>
      <c r="AD99" s="65"/>
      <c r="AE99" s="65"/>
      <c r="AF99" s="66"/>
      <c r="AG99" s="66"/>
      <c r="AH99" s="65"/>
      <c r="AI99" s="65"/>
      <c r="AJ99" s="65"/>
      <c r="AK99" s="65"/>
      <c r="AL99" s="65"/>
      <c r="AM99" s="65"/>
      <c r="AN99" s="65"/>
      <c r="AO99" s="65"/>
      <c r="AP99" s="66"/>
      <c r="AQ99" s="66"/>
      <c r="AR99" s="65"/>
      <c r="AS99" s="65"/>
      <c r="AT99" s="65"/>
      <c r="AU99" s="65"/>
      <c r="AV99" s="65"/>
      <c r="AW99" s="66"/>
      <c r="AX99" s="66"/>
      <c r="AY99" s="65"/>
      <c r="AZ99" s="65"/>
      <c r="BA99" s="65"/>
      <c r="BB99" s="65"/>
      <c r="BC99" s="65"/>
      <c r="BD99" s="66"/>
      <c r="BE99" s="66"/>
      <c r="BF99" s="65"/>
      <c r="BG99" s="65"/>
      <c r="BH99" s="65"/>
      <c r="BI99" s="65"/>
      <c r="BJ99" s="65"/>
      <c r="BK99" s="66"/>
      <c r="BL99" s="66"/>
      <c r="BM99" s="65"/>
      <c r="BN99" s="65"/>
      <c r="BO99" s="173"/>
      <c r="BP99" s="104"/>
      <c r="BQ99" s="195"/>
      <c r="BR99" s="104"/>
      <c r="BS99" s="104"/>
      <c r="BT99" s="104"/>
      <c r="BU99" s="32"/>
      <c r="BV99" s="104"/>
      <c r="BW99" s="104"/>
      <c r="BX99" s="32"/>
      <c r="BY99" s="106"/>
      <c r="BZ99" s="107"/>
      <c r="CA99" s="108"/>
      <c r="CB99" s="109"/>
      <c r="CC99" s="110"/>
      <c r="CD99" s="109"/>
      <c r="CE99" s="114"/>
      <c r="CF99" s="10"/>
      <c r="CH99" s="194"/>
      <c r="CJ99" s="194"/>
      <c r="CL99" s="194"/>
    </row>
    <row r="100" spans="1:145" ht="16" hidden="1" customHeight="1" x14ac:dyDescent="0.25">
      <c r="A100" s="32"/>
      <c r="B100" s="102"/>
      <c r="C100" s="95"/>
      <c r="D100" s="95"/>
      <c r="E100" s="39"/>
      <c r="F100" s="65"/>
      <c r="G100" s="66"/>
      <c r="H100" s="66"/>
      <c r="I100" s="65"/>
      <c r="J100" s="65"/>
      <c r="K100" s="65"/>
      <c r="L100" s="65"/>
      <c r="M100" s="65"/>
      <c r="N100" s="66"/>
      <c r="O100" s="66"/>
      <c r="P100" s="65"/>
      <c r="Q100" s="65"/>
      <c r="R100" s="65"/>
      <c r="S100" s="65"/>
      <c r="T100" s="65"/>
      <c r="U100" s="66"/>
      <c r="V100" s="66"/>
      <c r="W100" s="65"/>
      <c r="X100" s="65"/>
      <c r="Y100" s="65"/>
      <c r="Z100" s="65"/>
      <c r="AA100" s="65"/>
      <c r="AB100" s="66"/>
      <c r="AC100" s="66"/>
      <c r="AD100" s="65"/>
      <c r="AE100" s="65"/>
      <c r="AF100" s="65"/>
      <c r="AG100" s="65"/>
      <c r="AH100" s="65"/>
      <c r="AI100" s="66"/>
      <c r="AJ100" s="66"/>
      <c r="AK100" s="65"/>
      <c r="AL100" s="66"/>
      <c r="AM100" s="66"/>
      <c r="AN100" s="65"/>
      <c r="AO100" s="65"/>
      <c r="AP100" s="65"/>
      <c r="AQ100" s="65"/>
      <c r="AR100" s="65"/>
      <c r="AS100" s="66"/>
      <c r="AT100" s="66"/>
      <c r="AU100" s="65"/>
      <c r="AV100" s="65"/>
      <c r="AW100" s="65"/>
      <c r="AX100" s="65"/>
      <c r="AY100" s="65"/>
      <c r="AZ100" s="66"/>
      <c r="BA100" s="66"/>
      <c r="BB100" s="65"/>
      <c r="BC100" s="65"/>
      <c r="BD100" s="65"/>
      <c r="BE100" s="65"/>
      <c r="BF100" s="65"/>
      <c r="BG100" s="66"/>
      <c r="BH100" s="66"/>
      <c r="BI100" s="65"/>
      <c r="BJ100" s="65"/>
      <c r="BK100" s="65"/>
      <c r="BL100" s="65"/>
      <c r="BM100" s="65"/>
      <c r="BN100" s="66"/>
      <c r="BO100" s="67"/>
      <c r="BP100" s="68"/>
      <c r="BQ100" s="69"/>
      <c r="BR100" s="68"/>
      <c r="BS100" s="68"/>
      <c r="BT100" s="68"/>
      <c r="BU100" s="32"/>
      <c r="BV100" s="68"/>
      <c r="BW100" s="68"/>
      <c r="BX100" s="32"/>
      <c r="BY100" s="127"/>
      <c r="BZ100" s="128"/>
      <c r="CA100" s="129"/>
      <c r="CB100" s="76"/>
      <c r="CC100" s="75"/>
      <c r="CD100" s="76"/>
      <c r="CE100" s="18"/>
      <c r="CF100" s="10"/>
      <c r="CH100" s="194"/>
      <c r="CJ100" s="194"/>
      <c r="CL100" s="194"/>
    </row>
    <row r="101" spans="1:145" ht="16" hidden="1" customHeight="1" x14ac:dyDescent="0.25">
      <c r="A101" s="32"/>
      <c r="B101" s="102"/>
      <c r="C101" s="81" t="s">
        <v>81</v>
      </c>
      <c r="D101" s="95" t="s">
        <v>72</v>
      </c>
      <c r="E101" s="39" t="s">
        <v>18</v>
      </c>
      <c r="F101" s="65"/>
      <c r="G101" s="66"/>
      <c r="H101" s="66"/>
      <c r="I101" s="65"/>
      <c r="J101" s="65"/>
      <c r="K101" s="65"/>
      <c r="L101" s="65"/>
      <c r="M101" s="65"/>
      <c r="N101" s="66"/>
      <c r="O101" s="66"/>
      <c r="P101" s="65"/>
      <c r="Q101" s="65"/>
      <c r="R101" s="65"/>
      <c r="S101" s="65"/>
      <c r="T101" s="65"/>
      <c r="U101" s="66"/>
      <c r="V101" s="66"/>
      <c r="W101" s="65"/>
      <c r="X101" s="65"/>
      <c r="Y101" s="65"/>
      <c r="Z101" s="65"/>
      <c r="AA101" s="65"/>
      <c r="AB101" s="66"/>
      <c r="AC101" s="66"/>
      <c r="AD101" s="65"/>
      <c r="AE101" s="65"/>
      <c r="AF101" s="65"/>
      <c r="AG101" s="65"/>
      <c r="AH101" s="65"/>
      <c r="AI101" s="66"/>
      <c r="AJ101" s="66"/>
      <c r="AK101" s="65"/>
      <c r="AL101" s="66"/>
      <c r="AM101" s="66"/>
      <c r="AN101" s="65"/>
      <c r="AO101" s="65"/>
      <c r="AP101" s="65"/>
      <c r="AQ101" s="65"/>
      <c r="AR101" s="65"/>
      <c r="AS101" s="66"/>
      <c r="AT101" s="66"/>
      <c r="AU101" s="65"/>
      <c r="AV101" s="65"/>
      <c r="AW101" s="65"/>
      <c r="AX101" s="65"/>
      <c r="AY101" s="65"/>
      <c r="AZ101" s="66"/>
      <c r="BA101" s="66"/>
      <c r="BB101" s="65"/>
      <c r="BC101" s="65"/>
      <c r="BD101" s="65"/>
      <c r="BE101" s="65"/>
      <c r="BF101" s="65"/>
      <c r="BG101" s="66"/>
      <c r="BH101" s="66"/>
      <c r="BI101" s="65"/>
      <c r="BJ101" s="65"/>
      <c r="BK101" s="65"/>
      <c r="BL101" s="65"/>
      <c r="BM101" s="65"/>
      <c r="BN101" s="66"/>
      <c r="BO101" s="175" t="e">
        <f>SUM(#REF!)</f>
        <v>#REF!</v>
      </c>
      <c r="BP101" s="22"/>
      <c r="BQ101" s="83">
        <v>0.4</v>
      </c>
      <c r="BR101" s="22">
        <f>BP101*(1-BQ101)</f>
        <v>0</v>
      </c>
      <c r="BS101" s="22" t="e">
        <f>BR101*BO101</f>
        <v>#REF!</v>
      </c>
      <c r="BT101" s="84">
        <f>BR101*0.8</f>
        <v>0</v>
      </c>
      <c r="BU101" s="32"/>
      <c r="BV101" s="84" t="e">
        <f>BS101*0.8</f>
        <v>#REF!</v>
      </c>
      <c r="BW101" s="84"/>
      <c r="BX101" s="32"/>
      <c r="BY101" s="99"/>
      <c r="BZ101" s="86"/>
      <c r="CA101" s="87" t="e">
        <f>BY101*BO101</f>
        <v>#REF!</v>
      </c>
      <c r="CB101" s="88"/>
      <c r="CC101" s="89"/>
      <c r="CD101" s="90"/>
      <c r="CE101" s="21" t="e">
        <f>BV101/CD101*1000</f>
        <v>#REF!</v>
      </c>
      <c r="CF101" s="10"/>
      <c r="CG101" s="30" t="str">
        <f>C101</f>
        <v>ROCK NEWS LITORAL</v>
      </c>
      <c r="CH101" s="194"/>
      <c r="CI101" s="30" t="e">
        <f>SUM(#REF!)</f>
        <v>#REF!</v>
      </c>
      <c r="CJ101" s="194" t="e">
        <f>#REF!*CI101</f>
        <v>#REF!</v>
      </c>
      <c r="CK101" s="30" t="e">
        <f>SUM(#REF!)</f>
        <v>#REF!</v>
      </c>
      <c r="CL101" s="194" t="e">
        <f>#REF!*CK101</f>
        <v>#REF!</v>
      </c>
    </row>
    <row r="102" spans="1:145" ht="16" hidden="1" customHeight="1" x14ac:dyDescent="0.25">
      <c r="A102" s="32"/>
      <c r="B102" s="102"/>
      <c r="C102" s="116" t="s">
        <v>77</v>
      </c>
      <c r="D102" s="95"/>
      <c r="E102" s="39"/>
      <c r="F102" s="65"/>
      <c r="G102" s="66"/>
      <c r="H102" s="66"/>
      <c r="I102" s="65"/>
      <c r="J102" s="65"/>
      <c r="K102" s="65"/>
      <c r="L102" s="65"/>
      <c r="M102" s="65"/>
      <c r="N102" s="66"/>
      <c r="O102" s="66"/>
      <c r="P102" s="65"/>
      <c r="Q102" s="65"/>
      <c r="R102" s="65"/>
      <c r="S102" s="65"/>
      <c r="T102" s="65"/>
      <c r="U102" s="66"/>
      <c r="V102" s="66"/>
      <c r="W102" s="65"/>
      <c r="X102" s="65"/>
      <c r="Y102" s="65"/>
      <c r="Z102" s="65"/>
      <c r="AA102" s="65"/>
      <c r="AB102" s="66"/>
      <c r="AC102" s="66"/>
      <c r="AD102" s="65"/>
      <c r="AE102" s="65"/>
      <c r="AF102" s="65"/>
      <c r="AG102" s="65"/>
      <c r="AH102" s="65"/>
      <c r="AI102" s="66"/>
      <c r="AJ102" s="66"/>
      <c r="AK102" s="65"/>
      <c r="AL102" s="66"/>
      <c r="AM102" s="66"/>
      <c r="AN102" s="65"/>
      <c r="AO102" s="65"/>
      <c r="AP102" s="65"/>
      <c r="AQ102" s="65"/>
      <c r="AR102" s="65"/>
      <c r="AS102" s="66"/>
      <c r="AT102" s="66"/>
      <c r="AU102" s="65"/>
      <c r="AV102" s="65"/>
      <c r="AW102" s="65"/>
      <c r="AX102" s="65"/>
      <c r="AY102" s="65"/>
      <c r="AZ102" s="66"/>
      <c r="BA102" s="66"/>
      <c r="BB102" s="65"/>
      <c r="BC102" s="65"/>
      <c r="BD102" s="65"/>
      <c r="BE102" s="65"/>
      <c r="BF102" s="65"/>
      <c r="BG102" s="66"/>
      <c r="BH102" s="66"/>
      <c r="BI102" s="65"/>
      <c r="BJ102" s="65"/>
      <c r="BK102" s="65"/>
      <c r="BL102" s="65"/>
      <c r="BM102" s="65"/>
      <c r="BN102" s="66"/>
      <c r="BO102" s="173"/>
      <c r="BP102" s="104"/>
      <c r="BQ102" s="195"/>
      <c r="BR102" s="104"/>
      <c r="BS102" s="104"/>
      <c r="BT102" s="104"/>
      <c r="BU102" s="32"/>
      <c r="BV102" s="104"/>
      <c r="BW102" s="104"/>
      <c r="BX102" s="32"/>
      <c r="BY102" s="106"/>
      <c r="BZ102" s="107"/>
      <c r="CA102" s="108"/>
      <c r="CB102" s="109"/>
      <c r="CC102" s="110"/>
      <c r="CD102" s="109"/>
      <c r="CE102" s="114"/>
      <c r="CF102" s="10"/>
      <c r="CH102" s="194"/>
      <c r="CJ102" s="194"/>
      <c r="CL102" s="194"/>
    </row>
    <row r="103" spans="1:145" ht="16" hidden="1" customHeight="1" x14ac:dyDescent="0.25">
      <c r="A103" s="32"/>
      <c r="B103" s="102"/>
      <c r="C103" s="95"/>
      <c r="D103" s="95"/>
      <c r="E103" s="39"/>
      <c r="F103" s="65"/>
      <c r="G103" s="66"/>
      <c r="H103" s="66"/>
      <c r="I103" s="65"/>
      <c r="J103" s="65"/>
      <c r="K103" s="65"/>
      <c r="L103" s="65"/>
      <c r="M103" s="65"/>
      <c r="N103" s="66"/>
      <c r="O103" s="66"/>
      <c r="P103" s="65"/>
      <c r="Q103" s="65"/>
      <c r="R103" s="65"/>
      <c r="S103" s="65"/>
      <c r="T103" s="65"/>
      <c r="U103" s="66"/>
      <c r="V103" s="66"/>
      <c r="W103" s="65"/>
      <c r="X103" s="65"/>
      <c r="Y103" s="65"/>
      <c r="Z103" s="65"/>
      <c r="AA103" s="65"/>
      <c r="AB103" s="66"/>
      <c r="AC103" s="66"/>
      <c r="AD103" s="65"/>
      <c r="AE103" s="65"/>
      <c r="AF103" s="65"/>
      <c r="AG103" s="65"/>
      <c r="AH103" s="65"/>
      <c r="AI103" s="66"/>
      <c r="AJ103" s="66"/>
      <c r="AK103" s="65"/>
      <c r="AL103" s="66"/>
      <c r="AM103" s="66"/>
      <c r="AN103" s="65"/>
      <c r="AO103" s="65"/>
      <c r="AP103" s="65"/>
      <c r="AQ103" s="65"/>
      <c r="AR103" s="65"/>
      <c r="AS103" s="66"/>
      <c r="AT103" s="66"/>
      <c r="AU103" s="65"/>
      <c r="AV103" s="65"/>
      <c r="AW103" s="65"/>
      <c r="AX103" s="65"/>
      <c r="AY103" s="65"/>
      <c r="AZ103" s="66"/>
      <c r="BA103" s="66"/>
      <c r="BB103" s="65"/>
      <c r="BC103" s="65"/>
      <c r="BD103" s="65"/>
      <c r="BE103" s="65"/>
      <c r="BF103" s="65"/>
      <c r="BG103" s="66"/>
      <c r="BH103" s="66"/>
      <c r="BI103" s="65"/>
      <c r="BJ103" s="65"/>
      <c r="BK103" s="65"/>
      <c r="BL103" s="65"/>
      <c r="BM103" s="65"/>
      <c r="BN103" s="66"/>
      <c r="BO103" s="67"/>
      <c r="BP103" s="68"/>
      <c r="BQ103" s="69"/>
      <c r="BR103" s="68"/>
      <c r="BS103" s="68"/>
      <c r="BT103" s="68"/>
      <c r="BU103" s="32"/>
      <c r="BV103" s="68"/>
      <c r="BW103" s="68"/>
      <c r="BX103" s="32"/>
      <c r="BY103" s="127"/>
      <c r="BZ103" s="128"/>
      <c r="CA103" s="129"/>
      <c r="CB103" s="76"/>
      <c r="CC103" s="75"/>
      <c r="CD103" s="76"/>
      <c r="CE103" s="18"/>
      <c r="CF103" s="10"/>
      <c r="CH103" s="194"/>
      <c r="CJ103" s="194"/>
      <c r="CL103" s="194"/>
    </row>
    <row r="104" spans="1:145" ht="16" hidden="1" customHeight="1" x14ac:dyDescent="0.25">
      <c r="A104" s="32"/>
      <c r="B104" s="102"/>
      <c r="C104" s="81" t="s">
        <v>82</v>
      </c>
      <c r="D104" s="95" t="s">
        <v>72</v>
      </c>
      <c r="E104" s="39" t="s">
        <v>18</v>
      </c>
      <c r="F104" s="65"/>
      <c r="G104" s="66"/>
      <c r="H104" s="66"/>
      <c r="I104" s="65"/>
      <c r="J104" s="65"/>
      <c r="K104" s="65"/>
      <c r="L104" s="65"/>
      <c r="M104" s="65"/>
      <c r="N104" s="66"/>
      <c r="O104" s="66"/>
      <c r="P104" s="65"/>
      <c r="Q104" s="65"/>
      <c r="R104" s="65"/>
      <c r="S104" s="65"/>
      <c r="T104" s="65"/>
      <c r="U104" s="66"/>
      <c r="V104" s="66"/>
      <c r="W104" s="65"/>
      <c r="X104" s="65"/>
      <c r="Y104" s="65"/>
      <c r="Z104" s="65"/>
      <c r="AA104" s="65"/>
      <c r="AB104" s="66"/>
      <c r="AC104" s="66"/>
      <c r="AD104" s="65"/>
      <c r="AE104" s="65"/>
      <c r="AF104" s="65"/>
      <c r="AG104" s="65"/>
      <c r="AH104" s="65"/>
      <c r="AI104" s="66"/>
      <c r="AJ104" s="66"/>
      <c r="AK104" s="65"/>
      <c r="AL104" s="66"/>
      <c r="AM104" s="66"/>
      <c r="AN104" s="65"/>
      <c r="AO104" s="65"/>
      <c r="AP104" s="65"/>
      <c r="AQ104" s="65"/>
      <c r="AR104" s="65"/>
      <c r="AS104" s="66"/>
      <c r="AT104" s="66"/>
      <c r="AU104" s="65"/>
      <c r="AV104" s="65"/>
      <c r="AW104" s="65"/>
      <c r="AX104" s="65"/>
      <c r="AY104" s="65"/>
      <c r="AZ104" s="66"/>
      <c r="BA104" s="66"/>
      <c r="BB104" s="65"/>
      <c r="BC104" s="65"/>
      <c r="BD104" s="65"/>
      <c r="BE104" s="65"/>
      <c r="BF104" s="65"/>
      <c r="BG104" s="66"/>
      <c r="BH104" s="66"/>
      <c r="BI104" s="65"/>
      <c r="BJ104" s="65"/>
      <c r="BK104" s="65"/>
      <c r="BL104" s="65"/>
      <c r="BM104" s="65"/>
      <c r="BN104" s="66"/>
      <c r="BO104" s="175" t="e">
        <f>SUM(#REF!)</f>
        <v>#REF!</v>
      </c>
      <c r="BP104" s="22"/>
      <c r="BQ104" s="83">
        <v>0.4</v>
      </c>
      <c r="BR104" s="22">
        <f>BP104*(1-BQ104)</f>
        <v>0</v>
      </c>
      <c r="BS104" s="22" t="e">
        <f>BR104*BO104</f>
        <v>#REF!</v>
      </c>
      <c r="BT104" s="84">
        <f>BR104*0.8</f>
        <v>0</v>
      </c>
      <c r="BU104" s="32"/>
      <c r="BV104" s="84" t="e">
        <f>BS104*0.8</f>
        <v>#REF!</v>
      </c>
      <c r="BW104" s="84"/>
      <c r="BX104" s="32"/>
      <c r="BY104" s="99"/>
      <c r="BZ104" s="86"/>
      <c r="CA104" s="87" t="e">
        <f>BY104*BO104</f>
        <v>#REF!</v>
      </c>
      <c r="CB104" s="88"/>
      <c r="CC104" s="89"/>
      <c r="CD104" s="90"/>
      <c r="CE104" s="21" t="e">
        <f>BV104/CD104*1000</f>
        <v>#REF!</v>
      </c>
      <c r="CF104" s="10"/>
      <c r="CG104" s="30" t="str">
        <f>C104</f>
        <v>ONDA 101.1</v>
      </c>
      <c r="CH104" s="194"/>
      <c r="CI104" s="30" t="e">
        <f>SUM(#REF!)</f>
        <v>#REF!</v>
      </c>
      <c r="CJ104" s="194" t="e">
        <f>#REF!*CI104</f>
        <v>#REF!</v>
      </c>
      <c r="CK104" s="30" t="e">
        <f>SUM(#REF!)</f>
        <v>#REF!</v>
      </c>
      <c r="CL104" s="194" t="e">
        <f>#REF!*CK104</f>
        <v>#REF!</v>
      </c>
    </row>
    <row r="105" spans="1:145" ht="16" hidden="1" customHeight="1" x14ac:dyDescent="0.25">
      <c r="A105" s="32"/>
      <c r="B105" s="102"/>
      <c r="C105" s="116" t="s">
        <v>77</v>
      </c>
      <c r="D105" s="95"/>
      <c r="E105" s="39"/>
      <c r="F105" s="65"/>
      <c r="G105" s="66"/>
      <c r="H105" s="66"/>
      <c r="I105" s="65"/>
      <c r="J105" s="65"/>
      <c r="K105" s="65"/>
      <c r="L105" s="65"/>
      <c r="M105" s="65"/>
      <c r="N105" s="66"/>
      <c r="O105" s="66"/>
      <c r="P105" s="65"/>
      <c r="Q105" s="65"/>
      <c r="R105" s="65"/>
      <c r="S105" s="65"/>
      <c r="T105" s="65"/>
      <c r="U105" s="66"/>
      <c r="V105" s="66"/>
      <c r="W105" s="65"/>
      <c r="X105" s="65"/>
      <c r="Y105" s="65"/>
      <c r="Z105" s="65"/>
      <c r="AA105" s="65"/>
      <c r="AB105" s="66"/>
      <c r="AC105" s="66"/>
      <c r="AD105" s="65"/>
      <c r="AE105" s="65"/>
      <c r="AF105" s="65"/>
      <c r="AG105" s="65"/>
      <c r="AH105" s="65"/>
      <c r="AI105" s="66"/>
      <c r="AJ105" s="66"/>
      <c r="AK105" s="65"/>
      <c r="AL105" s="66"/>
      <c r="AM105" s="66"/>
      <c r="AN105" s="65"/>
      <c r="AO105" s="65"/>
      <c r="AP105" s="65"/>
      <c r="AQ105" s="65"/>
      <c r="AR105" s="65"/>
      <c r="AS105" s="66"/>
      <c r="AT105" s="66"/>
      <c r="AU105" s="65"/>
      <c r="AV105" s="65"/>
      <c r="AW105" s="65"/>
      <c r="AX105" s="65"/>
      <c r="AY105" s="65"/>
      <c r="AZ105" s="66"/>
      <c r="BA105" s="66"/>
      <c r="BB105" s="65"/>
      <c r="BC105" s="65"/>
      <c r="BD105" s="65"/>
      <c r="BE105" s="65"/>
      <c r="BF105" s="65"/>
      <c r="BG105" s="66"/>
      <c r="BH105" s="66"/>
      <c r="BI105" s="65"/>
      <c r="BJ105" s="65"/>
      <c r="BK105" s="65"/>
      <c r="BL105" s="65"/>
      <c r="BM105" s="65"/>
      <c r="BN105" s="66"/>
      <c r="BO105" s="173"/>
      <c r="BP105" s="104"/>
      <c r="BQ105" s="195"/>
      <c r="BR105" s="104"/>
      <c r="BS105" s="104"/>
      <c r="BT105" s="104"/>
      <c r="BU105" s="32"/>
      <c r="BV105" s="104"/>
      <c r="BW105" s="104"/>
      <c r="BX105" s="32"/>
      <c r="BY105" s="106"/>
      <c r="BZ105" s="107"/>
      <c r="CA105" s="108"/>
      <c r="CB105" s="109"/>
      <c r="CC105" s="110"/>
      <c r="CD105" s="109"/>
      <c r="CE105" s="114"/>
      <c r="CF105" s="10"/>
      <c r="CH105" s="194"/>
      <c r="CJ105" s="194"/>
      <c r="CL105" s="194"/>
    </row>
    <row r="106" spans="1:145" ht="16" hidden="1" customHeight="1" x14ac:dyDescent="0.25">
      <c r="A106" s="32"/>
      <c r="B106" s="102"/>
      <c r="C106" s="95"/>
      <c r="D106" s="95"/>
      <c r="E106" s="39"/>
      <c r="F106" s="65"/>
      <c r="G106" s="66"/>
      <c r="H106" s="66"/>
      <c r="I106" s="65"/>
      <c r="J106" s="65"/>
      <c r="K106" s="65"/>
      <c r="L106" s="65"/>
      <c r="M106" s="65"/>
      <c r="N106" s="66"/>
      <c r="O106" s="66"/>
      <c r="P106" s="65"/>
      <c r="Q106" s="65"/>
      <c r="R106" s="65"/>
      <c r="S106" s="65"/>
      <c r="T106" s="65"/>
      <c r="U106" s="66"/>
      <c r="V106" s="66"/>
      <c r="W106" s="65"/>
      <c r="X106" s="65"/>
      <c r="Y106" s="65"/>
      <c r="Z106" s="65"/>
      <c r="AA106" s="65"/>
      <c r="AB106" s="66"/>
      <c r="AC106" s="66"/>
      <c r="AD106" s="65"/>
      <c r="AE106" s="65"/>
      <c r="AF106" s="65"/>
      <c r="AG106" s="65"/>
      <c r="AH106" s="65"/>
      <c r="AI106" s="66"/>
      <c r="AJ106" s="66"/>
      <c r="AK106" s="65"/>
      <c r="AL106" s="66"/>
      <c r="AM106" s="66"/>
      <c r="AN106" s="65"/>
      <c r="AO106" s="65"/>
      <c r="AP106" s="65"/>
      <c r="AQ106" s="65"/>
      <c r="AR106" s="65"/>
      <c r="AS106" s="66"/>
      <c r="AT106" s="66"/>
      <c r="AU106" s="65"/>
      <c r="AV106" s="65"/>
      <c r="AW106" s="65"/>
      <c r="AX106" s="65"/>
      <c r="AY106" s="65"/>
      <c r="AZ106" s="66"/>
      <c r="BA106" s="66"/>
      <c r="BB106" s="65"/>
      <c r="BC106" s="65"/>
      <c r="BD106" s="65"/>
      <c r="BE106" s="65"/>
      <c r="BF106" s="65"/>
      <c r="BG106" s="66"/>
      <c r="BH106" s="66"/>
      <c r="BI106" s="65"/>
      <c r="BJ106" s="65"/>
      <c r="BK106" s="65"/>
      <c r="BL106" s="65"/>
      <c r="BM106" s="65"/>
      <c r="BN106" s="66"/>
      <c r="BO106" s="67"/>
      <c r="BP106" s="68"/>
      <c r="BQ106" s="69"/>
      <c r="BR106" s="68"/>
      <c r="BS106" s="68"/>
      <c r="BT106" s="68"/>
      <c r="BU106" s="32"/>
      <c r="BV106" s="68"/>
      <c r="BW106" s="68"/>
      <c r="BX106" s="32"/>
      <c r="BY106" s="127"/>
      <c r="BZ106" s="128"/>
      <c r="CA106" s="129"/>
      <c r="CB106" s="76"/>
      <c r="CC106" s="75"/>
      <c r="CD106" s="76"/>
      <c r="CE106" s="18"/>
      <c r="CF106" s="10"/>
      <c r="CH106" s="194"/>
      <c r="CJ106" s="194"/>
      <c r="CL106" s="194"/>
    </row>
    <row r="107" spans="1:145" ht="16" hidden="1" customHeight="1" x14ac:dyDescent="0.25">
      <c r="A107" s="32"/>
      <c r="B107" s="102"/>
      <c r="C107" s="81" t="s">
        <v>83</v>
      </c>
      <c r="D107" s="95" t="s">
        <v>72</v>
      </c>
      <c r="E107" s="39" t="s">
        <v>18</v>
      </c>
      <c r="F107" s="65"/>
      <c r="G107" s="66"/>
      <c r="H107" s="66"/>
      <c r="I107" s="65"/>
      <c r="J107" s="65"/>
      <c r="K107" s="65"/>
      <c r="L107" s="65"/>
      <c r="M107" s="65"/>
      <c r="N107" s="66"/>
      <c r="O107" s="66"/>
      <c r="P107" s="65"/>
      <c r="Q107" s="65"/>
      <c r="R107" s="65"/>
      <c r="S107" s="65"/>
      <c r="T107" s="65"/>
      <c r="U107" s="66"/>
      <c r="V107" s="66"/>
      <c r="W107" s="65"/>
      <c r="X107" s="65"/>
      <c r="Y107" s="65"/>
      <c r="Z107" s="65"/>
      <c r="AA107" s="65"/>
      <c r="AB107" s="66"/>
      <c r="AC107" s="66"/>
      <c r="AD107" s="65"/>
      <c r="AE107" s="65"/>
      <c r="AF107" s="65"/>
      <c r="AG107" s="65"/>
      <c r="AH107" s="65"/>
      <c r="AI107" s="66"/>
      <c r="AJ107" s="66"/>
      <c r="AK107" s="65"/>
      <c r="AL107" s="66"/>
      <c r="AM107" s="66"/>
      <c r="AN107" s="65"/>
      <c r="AO107" s="65"/>
      <c r="AP107" s="65"/>
      <c r="AQ107" s="65"/>
      <c r="AR107" s="65"/>
      <c r="AS107" s="66"/>
      <c r="AT107" s="66"/>
      <c r="AU107" s="65"/>
      <c r="AV107" s="65"/>
      <c r="AW107" s="65"/>
      <c r="AX107" s="65"/>
      <c r="AY107" s="65"/>
      <c r="AZ107" s="66"/>
      <c r="BA107" s="66"/>
      <c r="BB107" s="65"/>
      <c r="BC107" s="65"/>
      <c r="BD107" s="65"/>
      <c r="BE107" s="65"/>
      <c r="BF107" s="65"/>
      <c r="BG107" s="66"/>
      <c r="BH107" s="66"/>
      <c r="BI107" s="65"/>
      <c r="BJ107" s="65"/>
      <c r="BK107" s="65"/>
      <c r="BL107" s="65"/>
      <c r="BM107" s="65"/>
      <c r="BN107" s="66"/>
      <c r="BO107" s="175" t="e">
        <f>SUM(#REF!)</f>
        <v>#REF!</v>
      </c>
      <c r="BP107" s="22"/>
      <c r="BQ107" s="83">
        <v>0.4</v>
      </c>
      <c r="BR107" s="22">
        <f>BP107*(1-BQ107)</f>
        <v>0</v>
      </c>
      <c r="BS107" s="22" t="e">
        <f>BR107*BO107</f>
        <v>#REF!</v>
      </c>
      <c r="BT107" s="84">
        <f>BR107*0.8</f>
        <v>0</v>
      </c>
      <c r="BU107" s="32"/>
      <c r="BV107" s="84" t="e">
        <f>BS107*0.8</f>
        <v>#REF!</v>
      </c>
      <c r="BW107" s="84"/>
      <c r="BX107" s="32"/>
      <c r="BY107" s="99"/>
      <c r="BZ107" s="86"/>
      <c r="CA107" s="87" t="e">
        <f>BY107*BO107</f>
        <v>#REF!</v>
      </c>
      <c r="CB107" s="88"/>
      <c r="CC107" s="89"/>
      <c r="CD107" s="90"/>
      <c r="CE107" s="21" t="e">
        <f>BV107/CD107*1000</f>
        <v>#REF!</v>
      </c>
      <c r="CF107" s="10"/>
      <c r="CG107" s="30" t="str">
        <f>C107</f>
        <v>COSTA AZUL</v>
      </c>
      <c r="CH107" s="194"/>
      <c r="CI107" s="30" t="e">
        <f>SUM(#REF!)</f>
        <v>#REF!</v>
      </c>
      <c r="CJ107" s="194" t="e">
        <f>#REF!*CI107</f>
        <v>#REF!</v>
      </c>
      <c r="CK107" s="30" t="e">
        <f>SUM(#REF!)</f>
        <v>#REF!</v>
      </c>
      <c r="CL107" s="194" t="e">
        <f>#REF!*CK107</f>
        <v>#REF!</v>
      </c>
    </row>
    <row r="108" spans="1:145" ht="16" hidden="1" customHeight="1" x14ac:dyDescent="0.25">
      <c r="A108" s="32"/>
      <c r="B108" s="102"/>
      <c r="C108" s="116"/>
      <c r="D108" s="95"/>
      <c r="E108" s="39"/>
      <c r="F108" s="65"/>
      <c r="G108" s="66"/>
      <c r="H108" s="66"/>
      <c r="I108" s="65"/>
      <c r="J108" s="65"/>
      <c r="K108" s="65"/>
      <c r="L108" s="65"/>
      <c r="M108" s="65"/>
      <c r="N108" s="66"/>
      <c r="O108" s="66"/>
      <c r="P108" s="65"/>
      <c r="Q108" s="65"/>
      <c r="R108" s="65"/>
      <c r="S108" s="65"/>
      <c r="T108" s="65"/>
      <c r="U108" s="66"/>
      <c r="V108" s="66"/>
      <c r="W108" s="65"/>
      <c r="X108" s="65"/>
      <c r="Y108" s="65"/>
      <c r="Z108" s="65"/>
      <c r="AA108" s="65"/>
      <c r="AB108" s="66"/>
      <c r="AC108" s="66"/>
      <c r="AD108" s="65"/>
      <c r="AE108" s="65"/>
      <c r="AF108" s="65"/>
      <c r="AG108" s="65"/>
      <c r="AH108" s="65"/>
      <c r="AI108" s="66"/>
      <c r="AJ108" s="66"/>
      <c r="AK108" s="65"/>
      <c r="AL108" s="66"/>
      <c r="AM108" s="66"/>
      <c r="AN108" s="65"/>
      <c r="AO108" s="65"/>
      <c r="AP108" s="65"/>
      <c r="AQ108" s="65"/>
      <c r="AR108" s="65"/>
      <c r="AS108" s="66"/>
      <c r="AT108" s="66"/>
      <c r="AU108" s="65"/>
      <c r="AV108" s="65"/>
      <c r="AW108" s="65"/>
      <c r="AX108" s="65"/>
      <c r="AY108" s="65"/>
      <c r="AZ108" s="66"/>
      <c r="BA108" s="66"/>
      <c r="BB108" s="65"/>
      <c r="BC108" s="65"/>
      <c r="BD108" s="65"/>
      <c r="BE108" s="65"/>
      <c r="BF108" s="65"/>
      <c r="BG108" s="66"/>
      <c r="BH108" s="66"/>
      <c r="BI108" s="65"/>
      <c r="BJ108" s="65"/>
      <c r="BK108" s="65"/>
      <c r="BL108" s="65"/>
      <c r="BM108" s="65"/>
      <c r="BN108" s="66"/>
      <c r="BO108" s="175"/>
      <c r="BP108" s="22"/>
      <c r="BQ108" s="83"/>
      <c r="BR108" s="22"/>
      <c r="BS108" s="22"/>
      <c r="BT108" s="22"/>
      <c r="BU108" s="32"/>
      <c r="BV108" s="22"/>
      <c r="BW108" s="22"/>
      <c r="BX108" s="32"/>
      <c r="BY108" s="121"/>
      <c r="BZ108" s="122"/>
      <c r="CA108" s="123"/>
      <c r="CB108" s="90"/>
      <c r="CC108" s="89"/>
      <c r="CD108" s="90"/>
      <c r="CE108" s="21"/>
      <c r="CF108" s="10"/>
      <c r="CH108" s="194"/>
      <c r="CJ108" s="194"/>
      <c r="CL108" s="194"/>
    </row>
    <row r="109" spans="1:145" ht="16" hidden="1" customHeight="1" x14ac:dyDescent="0.25">
      <c r="A109" s="32"/>
      <c r="B109" s="102"/>
      <c r="C109" s="95"/>
      <c r="D109" s="95"/>
      <c r="E109" s="39"/>
      <c r="F109" s="65"/>
      <c r="G109" s="66"/>
      <c r="H109" s="66"/>
      <c r="I109" s="65"/>
      <c r="J109" s="65"/>
      <c r="K109" s="65"/>
      <c r="L109" s="65"/>
      <c r="M109" s="65"/>
      <c r="N109" s="66"/>
      <c r="O109" s="66"/>
      <c r="P109" s="65"/>
      <c r="Q109" s="65"/>
      <c r="R109" s="65"/>
      <c r="S109" s="65"/>
      <c r="T109" s="65"/>
      <c r="U109" s="66"/>
      <c r="V109" s="66"/>
      <c r="W109" s="65"/>
      <c r="X109" s="65"/>
      <c r="Y109" s="65"/>
      <c r="Z109" s="65"/>
      <c r="AA109" s="65"/>
      <c r="AB109" s="66"/>
      <c r="AC109" s="66"/>
      <c r="AD109" s="65"/>
      <c r="AE109" s="65"/>
      <c r="AF109" s="65"/>
      <c r="AG109" s="65"/>
      <c r="AH109" s="65"/>
      <c r="AI109" s="66"/>
      <c r="AJ109" s="66"/>
      <c r="AK109" s="65"/>
      <c r="AL109" s="66"/>
      <c r="AM109" s="66"/>
      <c r="AN109" s="65"/>
      <c r="AO109" s="65"/>
      <c r="AP109" s="65"/>
      <c r="AQ109" s="65"/>
      <c r="AR109" s="65"/>
      <c r="AS109" s="66"/>
      <c r="AT109" s="66"/>
      <c r="AU109" s="65"/>
      <c r="AV109" s="65"/>
      <c r="AW109" s="65"/>
      <c r="AX109" s="65"/>
      <c r="AY109" s="65"/>
      <c r="AZ109" s="66"/>
      <c r="BA109" s="66"/>
      <c r="BB109" s="65"/>
      <c r="BC109" s="65"/>
      <c r="BD109" s="65"/>
      <c r="BE109" s="65"/>
      <c r="BF109" s="65"/>
      <c r="BG109" s="66"/>
      <c r="BH109" s="66"/>
      <c r="BI109" s="65"/>
      <c r="BJ109" s="65"/>
      <c r="BK109" s="65"/>
      <c r="BL109" s="65"/>
      <c r="BM109" s="65"/>
      <c r="BN109" s="66"/>
      <c r="BO109" s="82"/>
      <c r="BP109" s="22"/>
      <c r="BQ109" s="83"/>
      <c r="BR109" s="22"/>
      <c r="BS109" s="22"/>
      <c r="BT109" s="104"/>
      <c r="BU109" s="32"/>
      <c r="BV109" s="104"/>
      <c r="BW109" s="104"/>
      <c r="BX109" s="32"/>
      <c r="BY109" s="106"/>
      <c r="BZ109" s="107"/>
      <c r="CA109" s="108"/>
      <c r="CB109" s="109"/>
      <c r="CC109" s="110"/>
      <c r="CD109" s="109"/>
      <c r="CE109" s="114"/>
      <c r="CF109" s="10"/>
      <c r="CH109" s="194"/>
      <c r="CJ109" s="194"/>
      <c r="CL109" s="194"/>
    </row>
    <row r="110" spans="1:145" ht="16" hidden="1" customHeight="1" x14ac:dyDescent="0.25">
      <c r="A110" s="32"/>
      <c r="B110" s="25" t="s">
        <v>84</v>
      </c>
      <c r="C110" s="139"/>
      <c r="D110" s="139"/>
      <c r="E110" s="139"/>
      <c r="F110" s="40">
        <f t="shared" ref="F110:M110" si="11">SUM(F82:F109)</f>
        <v>0</v>
      </c>
      <c r="G110" s="40">
        <f t="shared" si="11"/>
        <v>0</v>
      </c>
      <c r="H110" s="40">
        <f t="shared" si="11"/>
        <v>0</v>
      </c>
      <c r="I110" s="40">
        <f t="shared" si="11"/>
        <v>0</v>
      </c>
      <c r="J110" s="40">
        <f t="shared" si="11"/>
        <v>0</v>
      </c>
      <c r="K110" s="40">
        <f t="shared" si="11"/>
        <v>0</v>
      </c>
      <c r="L110" s="40">
        <f t="shared" si="11"/>
        <v>0</v>
      </c>
      <c r="M110" s="40">
        <f t="shared" si="11"/>
        <v>0</v>
      </c>
      <c r="N110" s="40">
        <f t="shared" ref="N110:AJ110" si="12">SUM(N82:N84)</f>
        <v>0</v>
      </c>
      <c r="O110" s="40">
        <f t="shared" si="12"/>
        <v>0</v>
      </c>
      <c r="P110" s="40">
        <f t="shared" si="12"/>
        <v>0</v>
      </c>
      <c r="Q110" s="40">
        <f t="shared" si="12"/>
        <v>0</v>
      </c>
      <c r="R110" s="40">
        <f t="shared" si="12"/>
        <v>0</v>
      </c>
      <c r="S110" s="40">
        <f t="shared" si="12"/>
        <v>0</v>
      </c>
      <c r="T110" s="40">
        <f t="shared" si="12"/>
        <v>0</v>
      </c>
      <c r="U110" s="40">
        <f t="shared" si="12"/>
        <v>0</v>
      </c>
      <c r="V110" s="40">
        <f t="shared" si="12"/>
        <v>0</v>
      </c>
      <c r="W110" s="40">
        <f t="shared" si="12"/>
        <v>0</v>
      </c>
      <c r="X110" s="40">
        <f t="shared" si="12"/>
        <v>0</v>
      </c>
      <c r="Y110" s="40">
        <f t="shared" si="12"/>
        <v>0</v>
      </c>
      <c r="Z110" s="40">
        <f t="shared" si="12"/>
        <v>0</v>
      </c>
      <c r="AA110" s="40">
        <f t="shared" si="12"/>
        <v>0</v>
      </c>
      <c r="AB110" s="40">
        <f t="shared" si="12"/>
        <v>0</v>
      </c>
      <c r="AC110" s="40">
        <f t="shared" si="12"/>
        <v>0</v>
      </c>
      <c r="AD110" s="40">
        <f t="shared" si="12"/>
        <v>0</v>
      </c>
      <c r="AE110" s="40">
        <f t="shared" si="12"/>
        <v>0</v>
      </c>
      <c r="AF110" s="40">
        <f t="shared" si="12"/>
        <v>0</v>
      </c>
      <c r="AG110" s="40">
        <f t="shared" si="12"/>
        <v>0</v>
      </c>
      <c r="AH110" s="40">
        <f t="shared" si="12"/>
        <v>0</v>
      </c>
      <c r="AI110" s="40">
        <f t="shared" si="12"/>
        <v>0</v>
      </c>
      <c r="AJ110" s="40">
        <f t="shared" si="12"/>
        <v>0</v>
      </c>
      <c r="AK110" s="40">
        <f t="shared" ref="AK110:AR110" si="13">SUM(AK82:AK109)</f>
        <v>0</v>
      </c>
      <c r="AL110" s="40">
        <f t="shared" si="13"/>
        <v>0</v>
      </c>
      <c r="AM110" s="40">
        <f t="shared" si="13"/>
        <v>0</v>
      </c>
      <c r="AN110" s="40">
        <f t="shared" si="13"/>
        <v>0</v>
      </c>
      <c r="AO110" s="40">
        <f t="shared" si="13"/>
        <v>0</v>
      </c>
      <c r="AP110" s="40">
        <f t="shared" si="13"/>
        <v>0</v>
      </c>
      <c r="AQ110" s="40">
        <f t="shared" si="13"/>
        <v>0</v>
      </c>
      <c r="AR110" s="40">
        <f t="shared" si="13"/>
        <v>0</v>
      </c>
      <c r="AS110" s="40">
        <f t="shared" ref="AS110:BN110" si="14">SUM(AS82:AS84)</f>
        <v>0</v>
      </c>
      <c r="AT110" s="40">
        <f t="shared" si="14"/>
        <v>0</v>
      </c>
      <c r="AU110" s="40">
        <f t="shared" si="14"/>
        <v>0</v>
      </c>
      <c r="AV110" s="40">
        <f t="shared" si="14"/>
        <v>0</v>
      </c>
      <c r="AW110" s="40">
        <f t="shared" si="14"/>
        <v>0</v>
      </c>
      <c r="AX110" s="40">
        <f t="shared" si="14"/>
        <v>0</v>
      </c>
      <c r="AY110" s="40">
        <f t="shared" si="14"/>
        <v>0</v>
      </c>
      <c r="AZ110" s="40">
        <f t="shared" si="14"/>
        <v>0</v>
      </c>
      <c r="BA110" s="40">
        <f t="shared" si="14"/>
        <v>0</v>
      </c>
      <c r="BB110" s="40">
        <f t="shared" si="14"/>
        <v>0</v>
      </c>
      <c r="BC110" s="40">
        <f t="shared" si="14"/>
        <v>0</v>
      </c>
      <c r="BD110" s="40">
        <f t="shared" si="14"/>
        <v>0</v>
      </c>
      <c r="BE110" s="40">
        <f t="shared" si="14"/>
        <v>0</v>
      </c>
      <c r="BF110" s="40">
        <f t="shared" si="14"/>
        <v>0</v>
      </c>
      <c r="BG110" s="40">
        <f t="shared" si="14"/>
        <v>0</v>
      </c>
      <c r="BH110" s="40">
        <f t="shared" si="14"/>
        <v>0</v>
      </c>
      <c r="BI110" s="40">
        <f t="shared" si="14"/>
        <v>0</v>
      </c>
      <c r="BJ110" s="40">
        <f t="shared" si="14"/>
        <v>0</v>
      </c>
      <c r="BK110" s="40">
        <f t="shared" si="14"/>
        <v>0</v>
      </c>
      <c r="BL110" s="40">
        <f t="shared" si="14"/>
        <v>0</v>
      </c>
      <c r="BM110" s="40">
        <f t="shared" si="14"/>
        <v>0</v>
      </c>
      <c r="BN110" s="40">
        <f t="shared" si="14"/>
        <v>0</v>
      </c>
      <c r="BO110" s="40" t="e">
        <f>SUM(BO82:BO109)</f>
        <v>#REF!</v>
      </c>
      <c r="BP110" s="141"/>
      <c r="BQ110" s="141"/>
      <c r="BR110" s="141"/>
      <c r="BS110" s="141" t="e">
        <f>SUM(BS82:BS109)</f>
        <v>#REF!</v>
      </c>
      <c r="BT110" s="141">
        <f>SUM(BT82:BT109)</f>
        <v>455.56799999999998</v>
      </c>
      <c r="BU110" s="43"/>
      <c r="BV110" s="141" t="e">
        <f>SUM(BV82:BV109)</f>
        <v>#REF!</v>
      </c>
      <c r="BW110" s="141"/>
      <c r="BX110" s="43"/>
      <c r="BY110" s="196"/>
      <c r="BZ110" s="197"/>
      <c r="CA110" s="198"/>
      <c r="CB110" s="147"/>
      <c r="CC110" s="147"/>
      <c r="CD110" s="199">
        <f>SUM(CD82:CD109)</f>
        <v>300240</v>
      </c>
      <c r="CE110" s="149" t="e">
        <f>BV110/CD110*1000</f>
        <v>#REF!</v>
      </c>
      <c r="CF110" s="10"/>
      <c r="CH110" s="194"/>
      <c r="CJ110" s="194"/>
      <c r="CL110" s="194"/>
    </row>
    <row r="111" spans="1:145" s="152" customFormat="1" ht="16" hidden="1" customHeight="1" x14ac:dyDescent="0.4">
      <c r="A111" s="43"/>
      <c r="B111" s="183"/>
      <c r="C111" s="184"/>
      <c r="D111" s="185"/>
      <c r="E111" s="186"/>
      <c r="F111" s="65"/>
      <c r="G111" s="65"/>
      <c r="H111" s="65"/>
      <c r="I111" s="65"/>
      <c r="J111" s="65"/>
      <c r="K111" s="66"/>
      <c r="L111" s="66"/>
      <c r="M111" s="65"/>
      <c r="N111" s="65"/>
      <c r="O111" s="65"/>
      <c r="P111" s="65"/>
      <c r="Q111" s="65"/>
      <c r="R111" s="66"/>
      <c r="S111" s="66"/>
      <c r="T111" s="65"/>
      <c r="U111" s="65"/>
      <c r="V111" s="65"/>
      <c r="W111" s="65"/>
      <c r="X111" s="65"/>
      <c r="Y111" s="66"/>
      <c r="Z111" s="66"/>
      <c r="AA111" s="65"/>
      <c r="AB111" s="65"/>
      <c r="AC111" s="65"/>
      <c r="AD111" s="65"/>
      <c r="AE111" s="65"/>
      <c r="AF111" s="66"/>
      <c r="AG111" s="66"/>
      <c r="AH111" s="65"/>
      <c r="AI111" s="65"/>
      <c r="AJ111" s="65"/>
      <c r="AK111" s="65"/>
      <c r="AL111" s="65"/>
      <c r="AM111" s="65"/>
      <c r="AN111" s="65"/>
      <c r="AO111" s="65"/>
      <c r="AP111" s="66"/>
      <c r="AQ111" s="66"/>
      <c r="AR111" s="65"/>
      <c r="AS111" s="65"/>
      <c r="AT111" s="65"/>
      <c r="AU111" s="65"/>
      <c r="AV111" s="65"/>
      <c r="AW111" s="66"/>
      <c r="AX111" s="66"/>
      <c r="AY111" s="65"/>
      <c r="AZ111" s="65"/>
      <c r="BA111" s="65"/>
      <c r="BB111" s="65"/>
      <c r="BC111" s="65"/>
      <c r="BD111" s="66"/>
      <c r="BE111" s="66"/>
      <c r="BF111" s="65"/>
      <c r="BG111" s="65"/>
      <c r="BH111" s="65"/>
      <c r="BI111" s="65"/>
      <c r="BJ111" s="65"/>
      <c r="BK111" s="66"/>
      <c r="BL111" s="66"/>
      <c r="BM111" s="65"/>
      <c r="BN111" s="65"/>
      <c r="BO111" s="118"/>
      <c r="BP111" s="68"/>
      <c r="BQ111" s="68"/>
      <c r="BR111" s="68"/>
      <c r="BS111" s="68"/>
      <c r="BT111" s="200"/>
      <c r="BU111" s="32"/>
      <c r="BV111" s="200"/>
      <c r="BW111" s="200"/>
      <c r="BX111" s="32"/>
      <c r="BY111" s="188"/>
      <c r="BZ111" s="189"/>
      <c r="CA111" s="190"/>
      <c r="CB111" s="191"/>
      <c r="CC111" s="192"/>
      <c r="CD111" s="191"/>
      <c r="CE111" s="193"/>
      <c r="CF111" s="160"/>
      <c r="CG111" s="30"/>
      <c r="CH111" s="194"/>
      <c r="CI111" s="30"/>
      <c r="CJ111" s="194"/>
      <c r="CK111" s="30"/>
      <c r="CL111" s="194"/>
      <c r="CM111" s="151"/>
    </row>
    <row r="112" spans="1:145" s="50" customFormat="1" ht="16" hidden="1" customHeight="1" x14ac:dyDescent="0.25">
      <c r="A112" s="32"/>
      <c r="B112" s="93" t="s">
        <v>85</v>
      </c>
      <c r="C112" s="81" t="s">
        <v>86</v>
      </c>
      <c r="D112" s="95" t="s">
        <v>87</v>
      </c>
      <c r="E112" s="39" t="s">
        <v>18</v>
      </c>
      <c r="F112" s="65"/>
      <c r="G112" s="65"/>
      <c r="H112" s="65"/>
      <c r="I112" s="65"/>
      <c r="J112" s="65"/>
      <c r="K112" s="66"/>
      <c r="L112" s="66"/>
      <c r="M112" s="65"/>
      <c r="N112" s="65"/>
      <c r="O112" s="65"/>
      <c r="P112" s="65"/>
      <c r="Q112" s="65"/>
      <c r="R112" s="66"/>
      <c r="S112" s="66"/>
      <c r="T112" s="65"/>
      <c r="U112" s="65"/>
      <c r="V112" s="65"/>
      <c r="W112" s="65"/>
      <c r="X112" s="65"/>
      <c r="Y112" s="66"/>
      <c r="Z112" s="66"/>
      <c r="AA112" s="65"/>
      <c r="AB112" s="65"/>
      <c r="AC112" s="65"/>
      <c r="AD112" s="65"/>
      <c r="AE112" s="65"/>
      <c r="AF112" s="66"/>
      <c r="AG112" s="66"/>
      <c r="AH112" s="65"/>
      <c r="AI112" s="65"/>
      <c r="AJ112" s="65"/>
      <c r="AK112" s="65"/>
      <c r="AL112" s="65"/>
      <c r="AM112" s="65"/>
      <c r="AN112" s="65"/>
      <c r="AO112" s="65"/>
      <c r="AP112" s="66"/>
      <c r="AQ112" s="66"/>
      <c r="AR112" s="65"/>
      <c r="AS112" s="65"/>
      <c r="AT112" s="65"/>
      <c r="AU112" s="65"/>
      <c r="AV112" s="65"/>
      <c r="AW112" s="66"/>
      <c r="AX112" s="66"/>
      <c r="AY112" s="65"/>
      <c r="AZ112" s="65"/>
      <c r="BA112" s="65"/>
      <c r="BB112" s="65"/>
      <c r="BC112" s="65"/>
      <c r="BD112" s="66"/>
      <c r="BE112" s="66"/>
      <c r="BF112" s="65"/>
      <c r="BG112" s="65"/>
      <c r="BH112" s="65"/>
      <c r="BI112" s="65"/>
      <c r="BJ112" s="65"/>
      <c r="BK112" s="66"/>
      <c r="BL112" s="66"/>
      <c r="BM112" s="65"/>
      <c r="BN112" s="65"/>
      <c r="BO112" s="82">
        <f>SUM(F112:S112)</f>
        <v>0</v>
      </c>
      <c r="BP112" s="22">
        <v>0</v>
      </c>
      <c r="BQ112" s="83">
        <v>0</v>
      </c>
      <c r="BR112" s="22">
        <v>0</v>
      </c>
      <c r="BS112" s="22">
        <f>BR112*BO112</f>
        <v>0</v>
      </c>
      <c r="BT112" s="84">
        <f>BR112*0.8</f>
        <v>0</v>
      </c>
      <c r="BU112" s="32"/>
      <c r="BV112" s="84">
        <f>BS112*0.8</f>
        <v>0</v>
      </c>
      <c r="BW112" s="84"/>
      <c r="BX112" s="32"/>
      <c r="BY112" s="99">
        <f>BZ112/CC112*100</f>
        <v>12.336811225694557</v>
      </c>
      <c r="BZ112" s="86">
        <v>26342</v>
      </c>
      <c r="CA112" s="87">
        <f>BY112*BO112</f>
        <v>0</v>
      </c>
      <c r="CB112" s="88">
        <v>433991</v>
      </c>
      <c r="CC112" s="89">
        <v>213523.57200000001</v>
      </c>
      <c r="CD112" s="90">
        <f>CC112*CA112%</f>
        <v>0</v>
      </c>
      <c r="CE112" s="21" t="e">
        <f>BV112/CD112*1000</f>
        <v>#DIV/0!</v>
      </c>
      <c r="CF112" s="55"/>
      <c r="CG112" s="30" t="s">
        <v>86</v>
      </c>
      <c r="CH112" s="194"/>
      <c r="CI112" s="30" t="e">
        <f>SUM(#REF!)</f>
        <v>#REF!</v>
      </c>
      <c r="CJ112" s="194" t="e">
        <f>#REF!*CI112</f>
        <v>#REF!</v>
      </c>
      <c r="CK112" s="30" t="e">
        <f>SUM(#REF!)</f>
        <v>#REF!</v>
      </c>
      <c r="CL112" s="194" t="e">
        <f>#REF!*CK112</f>
        <v>#REF!</v>
      </c>
      <c r="CN112" s="45"/>
      <c r="CO112" s="45"/>
      <c r="CP112" s="45"/>
      <c r="CQ112" s="45"/>
      <c r="CR112" s="45"/>
      <c r="CS112" s="45"/>
      <c r="CT112" s="45"/>
      <c r="CU112" s="45"/>
      <c r="CV112" s="45"/>
      <c r="CW112" s="45"/>
      <c r="CX112" s="45"/>
      <c r="CY112" s="45"/>
      <c r="CZ112" s="45"/>
      <c r="DA112" s="45"/>
      <c r="DB112" s="45"/>
      <c r="DC112" s="45"/>
      <c r="DD112" s="45"/>
      <c r="DE112" s="45"/>
      <c r="DF112" s="45"/>
      <c r="DG112" s="45"/>
      <c r="DH112" s="45"/>
      <c r="DI112" s="45"/>
      <c r="DJ112" s="45"/>
      <c r="DK112" s="45"/>
      <c r="DL112" s="45"/>
      <c r="DM112" s="45"/>
      <c r="DN112" s="45"/>
      <c r="DO112" s="45"/>
      <c r="DP112" s="45"/>
      <c r="DQ112" s="45"/>
      <c r="DR112" s="45"/>
      <c r="DS112" s="45"/>
      <c r="DT112" s="45"/>
      <c r="DU112" s="45"/>
      <c r="DV112" s="45"/>
      <c r="DW112" s="45"/>
      <c r="DX112" s="45"/>
      <c r="DY112" s="45"/>
      <c r="DZ112" s="45"/>
      <c r="EA112" s="45"/>
      <c r="EB112" s="45"/>
      <c r="EC112" s="45"/>
      <c r="ED112" s="45"/>
      <c r="EE112" s="45"/>
      <c r="EF112" s="45"/>
      <c r="EG112" s="45"/>
      <c r="EH112" s="45"/>
      <c r="EI112" s="45"/>
      <c r="EJ112" s="45"/>
      <c r="EK112" s="45"/>
      <c r="EL112" s="45"/>
      <c r="EM112" s="45"/>
      <c r="EN112" s="45"/>
      <c r="EO112" s="45"/>
    </row>
    <row r="113" spans="1:145" s="50" customFormat="1" ht="16" hidden="1" customHeight="1" x14ac:dyDescent="0.25">
      <c r="A113" s="32"/>
      <c r="B113" s="102"/>
      <c r="C113" s="95"/>
      <c r="D113" s="95"/>
      <c r="E113" s="39"/>
      <c r="F113" s="65"/>
      <c r="G113" s="65"/>
      <c r="H113" s="65"/>
      <c r="I113" s="65"/>
      <c r="J113" s="65"/>
      <c r="K113" s="66"/>
      <c r="L113" s="66"/>
      <c r="M113" s="65"/>
      <c r="N113" s="65"/>
      <c r="O113" s="65"/>
      <c r="P113" s="65"/>
      <c r="Q113" s="65"/>
      <c r="R113" s="66"/>
      <c r="S113" s="66"/>
      <c r="T113" s="65"/>
      <c r="U113" s="65"/>
      <c r="V113" s="65"/>
      <c r="W113" s="65"/>
      <c r="X113" s="65"/>
      <c r="Y113" s="66"/>
      <c r="Z113" s="66"/>
      <c r="AA113" s="65"/>
      <c r="AB113" s="65"/>
      <c r="AC113" s="65"/>
      <c r="AD113" s="65"/>
      <c r="AE113" s="65"/>
      <c r="AF113" s="66"/>
      <c r="AG113" s="66"/>
      <c r="AH113" s="65"/>
      <c r="AI113" s="65"/>
      <c r="AJ113" s="65"/>
      <c r="AK113" s="65"/>
      <c r="AL113" s="65"/>
      <c r="AM113" s="65"/>
      <c r="AN113" s="65"/>
      <c r="AO113" s="65"/>
      <c r="AP113" s="66"/>
      <c r="AQ113" s="66"/>
      <c r="AR113" s="65"/>
      <c r="AS113" s="65"/>
      <c r="AT113" s="65"/>
      <c r="AU113" s="65"/>
      <c r="AV113" s="65"/>
      <c r="AW113" s="66"/>
      <c r="AX113" s="66"/>
      <c r="AY113" s="65"/>
      <c r="AZ113" s="65"/>
      <c r="BA113" s="65"/>
      <c r="BB113" s="65"/>
      <c r="BC113" s="65"/>
      <c r="BD113" s="66"/>
      <c r="BE113" s="66"/>
      <c r="BF113" s="65"/>
      <c r="BG113" s="65"/>
      <c r="BH113" s="65"/>
      <c r="BI113" s="65"/>
      <c r="BJ113" s="65"/>
      <c r="BK113" s="66"/>
      <c r="BL113" s="66"/>
      <c r="BM113" s="65"/>
      <c r="BN113" s="65"/>
      <c r="BO113" s="82"/>
      <c r="BP113" s="22"/>
      <c r="BQ113" s="83"/>
      <c r="BR113" s="22"/>
      <c r="BS113" s="22"/>
      <c r="BT113" s="104"/>
      <c r="BU113" s="32"/>
      <c r="BV113" s="104"/>
      <c r="BW113" s="104"/>
      <c r="BX113" s="32"/>
      <c r="BY113" s="106"/>
      <c r="BZ113" s="107"/>
      <c r="CA113" s="108"/>
      <c r="CB113" s="109"/>
      <c r="CC113" s="110"/>
      <c r="CD113" s="109"/>
      <c r="CE113" s="114"/>
      <c r="CF113" s="10"/>
      <c r="CG113" s="30"/>
      <c r="CH113" s="194"/>
      <c r="CI113" s="30"/>
      <c r="CJ113" s="194"/>
      <c r="CK113" s="30"/>
      <c r="CL113" s="194"/>
      <c r="CN113" s="45"/>
      <c r="CO113" s="45"/>
      <c r="CP113" s="45"/>
      <c r="CQ113" s="45"/>
      <c r="CR113" s="45"/>
      <c r="CS113" s="45"/>
      <c r="CT113" s="45"/>
      <c r="CU113" s="45"/>
      <c r="CV113" s="45"/>
      <c r="CW113" s="45"/>
      <c r="CX113" s="45"/>
      <c r="CY113" s="45"/>
      <c r="CZ113" s="45"/>
      <c r="DA113" s="45"/>
      <c r="DB113" s="45"/>
      <c r="DC113" s="45"/>
      <c r="DD113" s="45"/>
      <c r="DE113" s="45"/>
      <c r="DF113" s="45"/>
      <c r="DG113" s="45"/>
      <c r="DH113" s="45"/>
      <c r="DI113" s="45"/>
      <c r="DJ113" s="45"/>
      <c r="DK113" s="45"/>
      <c r="DL113" s="45"/>
      <c r="DM113" s="45"/>
      <c r="DN113" s="45"/>
      <c r="DO113" s="45"/>
      <c r="DP113" s="45"/>
      <c r="DQ113" s="45"/>
      <c r="DR113" s="45"/>
      <c r="DS113" s="45"/>
      <c r="DT113" s="45"/>
      <c r="DU113" s="45"/>
      <c r="DV113" s="45"/>
      <c r="DW113" s="45"/>
      <c r="DX113" s="45"/>
      <c r="DY113" s="45"/>
      <c r="DZ113" s="45"/>
      <c r="EA113" s="45"/>
      <c r="EB113" s="45"/>
      <c r="EC113" s="45"/>
      <c r="ED113" s="45"/>
      <c r="EE113" s="45"/>
      <c r="EF113" s="45"/>
      <c r="EG113" s="45"/>
      <c r="EH113" s="45"/>
      <c r="EI113" s="45"/>
      <c r="EJ113" s="45"/>
      <c r="EK113" s="45"/>
      <c r="EL113" s="45"/>
      <c r="EM113" s="45"/>
      <c r="EN113" s="45"/>
      <c r="EO113" s="45"/>
    </row>
    <row r="114" spans="1:145" s="50" customFormat="1" ht="16" hidden="1" customHeight="1" x14ac:dyDescent="0.25">
      <c r="A114" s="32"/>
      <c r="B114" s="111"/>
      <c r="C114" s="94"/>
      <c r="D114" s="42"/>
      <c r="E114" s="117"/>
      <c r="F114" s="65"/>
      <c r="G114" s="65"/>
      <c r="H114" s="65"/>
      <c r="I114" s="65"/>
      <c r="J114" s="65"/>
      <c r="K114" s="66"/>
      <c r="L114" s="66"/>
      <c r="M114" s="65"/>
      <c r="N114" s="65"/>
      <c r="O114" s="65"/>
      <c r="P114" s="65"/>
      <c r="Q114" s="65"/>
      <c r="R114" s="66"/>
      <c r="S114" s="66"/>
      <c r="T114" s="65"/>
      <c r="U114" s="65"/>
      <c r="V114" s="65"/>
      <c r="W114" s="65"/>
      <c r="X114" s="65"/>
      <c r="Y114" s="66"/>
      <c r="Z114" s="66"/>
      <c r="AA114" s="65"/>
      <c r="AB114" s="65"/>
      <c r="AC114" s="65"/>
      <c r="AD114" s="65"/>
      <c r="AE114" s="65"/>
      <c r="AF114" s="66"/>
      <c r="AG114" s="66"/>
      <c r="AH114" s="65"/>
      <c r="AI114" s="65"/>
      <c r="AJ114" s="65"/>
      <c r="AK114" s="65"/>
      <c r="AL114" s="65"/>
      <c r="AM114" s="65"/>
      <c r="AN114" s="65"/>
      <c r="AO114" s="65"/>
      <c r="AP114" s="66"/>
      <c r="AQ114" s="66"/>
      <c r="AR114" s="65"/>
      <c r="AS114" s="65"/>
      <c r="AT114" s="65"/>
      <c r="AU114" s="65"/>
      <c r="AV114" s="65"/>
      <c r="AW114" s="66"/>
      <c r="AX114" s="66"/>
      <c r="AY114" s="65"/>
      <c r="AZ114" s="65"/>
      <c r="BA114" s="65"/>
      <c r="BB114" s="65"/>
      <c r="BC114" s="65"/>
      <c r="BD114" s="66"/>
      <c r="BE114" s="66"/>
      <c r="BF114" s="65"/>
      <c r="BG114" s="65"/>
      <c r="BH114" s="65"/>
      <c r="BI114" s="65"/>
      <c r="BJ114" s="65"/>
      <c r="BK114" s="66"/>
      <c r="BL114" s="66"/>
      <c r="BM114" s="65"/>
      <c r="BN114" s="65"/>
      <c r="BO114" s="118"/>
      <c r="BP114" s="68"/>
      <c r="BQ114" s="68"/>
      <c r="BR114" s="68"/>
      <c r="BS114" s="68"/>
      <c r="BT114" s="22"/>
      <c r="BU114" s="32"/>
      <c r="BV114" s="22"/>
      <c r="BW114" s="22"/>
      <c r="BX114" s="32"/>
      <c r="BY114" s="121"/>
      <c r="BZ114" s="122"/>
      <c r="CA114" s="123"/>
      <c r="CB114" s="90"/>
      <c r="CC114" s="89"/>
      <c r="CD114" s="90"/>
      <c r="CE114" s="18"/>
      <c r="CF114" s="10"/>
      <c r="CG114" s="30"/>
      <c r="CH114" s="194"/>
      <c r="CI114" s="30"/>
      <c r="CJ114" s="194"/>
      <c r="CK114" s="30"/>
      <c r="CL114" s="194"/>
      <c r="CN114" s="45"/>
      <c r="CO114" s="45"/>
      <c r="CP114" s="45"/>
      <c r="CQ114" s="45"/>
      <c r="CR114" s="45"/>
      <c r="CS114" s="45"/>
      <c r="CT114" s="45"/>
      <c r="CU114" s="45"/>
      <c r="CV114" s="45"/>
      <c r="CW114" s="45"/>
      <c r="CX114" s="45"/>
      <c r="CY114" s="45"/>
      <c r="CZ114" s="45"/>
      <c r="DA114" s="45"/>
      <c r="DB114" s="45"/>
      <c r="DC114" s="45"/>
      <c r="DD114" s="45"/>
      <c r="DE114" s="45"/>
      <c r="DF114" s="45"/>
      <c r="DG114" s="45"/>
      <c r="DH114" s="45"/>
      <c r="DI114" s="45"/>
      <c r="DJ114" s="45"/>
      <c r="DK114" s="45"/>
      <c r="DL114" s="45"/>
      <c r="DM114" s="45"/>
      <c r="DN114" s="45"/>
      <c r="DO114" s="45"/>
      <c r="DP114" s="45"/>
      <c r="DQ114" s="45"/>
      <c r="DR114" s="45"/>
      <c r="DS114" s="45"/>
      <c r="DT114" s="45"/>
      <c r="DU114" s="45"/>
      <c r="DV114" s="45"/>
      <c r="DW114" s="45"/>
      <c r="DX114" s="45"/>
      <c r="DY114" s="45"/>
      <c r="DZ114" s="45"/>
      <c r="EA114" s="45"/>
      <c r="EB114" s="45"/>
      <c r="EC114" s="45"/>
      <c r="ED114" s="45"/>
      <c r="EE114" s="45"/>
      <c r="EF114" s="45"/>
      <c r="EG114" s="45"/>
      <c r="EH114" s="45"/>
      <c r="EI114" s="45"/>
      <c r="EJ114" s="45"/>
      <c r="EK114" s="45"/>
      <c r="EL114" s="45"/>
      <c r="EM114" s="45"/>
      <c r="EN114" s="45"/>
      <c r="EO114" s="45"/>
    </row>
    <row r="115" spans="1:145" s="50" customFormat="1" ht="16" hidden="1" customHeight="1" x14ac:dyDescent="0.25">
      <c r="A115" s="32"/>
      <c r="B115" s="111"/>
      <c r="C115" s="81" t="s">
        <v>88</v>
      </c>
      <c r="D115" s="95" t="s">
        <v>72</v>
      </c>
      <c r="E115" s="39" t="s">
        <v>18</v>
      </c>
      <c r="F115" s="65"/>
      <c r="G115" s="65"/>
      <c r="H115" s="65"/>
      <c r="I115" s="65"/>
      <c r="J115" s="65"/>
      <c r="K115" s="66"/>
      <c r="L115" s="66"/>
      <c r="M115" s="65"/>
      <c r="N115" s="65"/>
      <c r="O115" s="65"/>
      <c r="P115" s="65"/>
      <c r="Q115" s="65"/>
      <c r="R115" s="66"/>
      <c r="S115" s="66"/>
      <c r="T115" s="65"/>
      <c r="U115" s="65"/>
      <c r="V115" s="65"/>
      <c r="W115" s="65"/>
      <c r="X115" s="65"/>
      <c r="Y115" s="66"/>
      <c r="Z115" s="66"/>
      <c r="AA115" s="65"/>
      <c r="AB115" s="65"/>
      <c r="AC115" s="65"/>
      <c r="AD115" s="65"/>
      <c r="AE115" s="65"/>
      <c r="AF115" s="66"/>
      <c r="AG115" s="66"/>
      <c r="AH115" s="65"/>
      <c r="AI115" s="65"/>
      <c r="AJ115" s="65"/>
      <c r="AK115" s="65"/>
      <c r="AL115" s="65"/>
      <c r="AM115" s="65"/>
      <c r="AN115" s="65"/>
      <c r="AO115" s="65"/>
      <c r="AP115" s="66"/>
      <c r="AQ115" s="66"/>
      <c r="AR115" s="65"/>
      <c r="AS115" s="65"/>
      <c r="AT115" s="65"/>
      <c r="AU115" s="65"/>
      <c r="AV115" s="65"/>
      <c r="AW115" s="66"/>
      <c r="AX115" s="66"/>
      <c r="AY115" s="65"/>
      <c r="AZ115" s="65"/>
      <c r="BA115" s="65"/>
      <c r="BB115" s="65"/>
      <c r="BC115" s="65"/>
      <c r="BD115" s="66"/>
      <c r="BE115" s="66"/>
      <c r="BF115" s="65"/>
      <c r="BG115" s="65"/>
      <c r="BH115" s="65"/>
      <c r="BI115" s="65"/>
      <c r="BJ115" s="65"/>
      <c r="BK115" s="66"/>
      <c r="BL115" s="66"/>
      <c r="BM115" s="65"/>
      <c r="BN115" s="65"/>
      <c r="BO115" s="82">
        <f>SUM(F115:S115)</f>
        <v>0</v>
      </c>
      <c r="BP115" s="22">
        <v>500</v>
      </c>
      <c r="BQ115" s="83">
        <v>0.5</v>
      </c>
      <c r="BR115" s="22">
        <f>BP115*(1-BQ115)</f>
        <v>250</v>
      </c>
      <c r="BS115" s="22">
        <f>BR115*BO115</f>
        <v>0</v>
      </c>
      <c r="BT115" s="84">
        <f>BR115*0.8</f>
        <v>200</v>
      </c>
      <c r="BU115" s="32"/>
      <c r="BV115" s="84">
        <f>BS115*0.8</f>
        <v>0</v>
      </c>
      <c r="BW115" s="84"/>
      <c r="BX115" s="32"/>
      <c r="BY115" s="99">
        <f>BZ115/CC115*100</f>
        <v>9.7492748950453105</v>
      </c>
      <c r="BZ115" s="86">
        <v>20817</v>
      </c>
      <c r="CA115" s="87">
        <f>BY115*BO115</f>
        <v>0</v>
      </c>
      <c r="CB115" s="88">
        <v>433991</v>
      </c>
      <c r="CC115" s="89">
        <v>213523.57200000001</v>
      </c>
      <c r="CD115" s="90">
        <f>CC115*CA115%</f>
        <v>0</v>
      </c>
      <c r="CE115" s="21" t="e">
        <f>BV115/CD115*1000</f>
        <v>#DIV/0!</v>
      </c>
      <c r="CF115" s="10"/>
      <c r="CG115" s="30" t="s">
        <v>88</v>
      </c>
      <c r="CH115" s="194"/>
      <c r="CI115" s="30" t="e">
        <f>SUM(#REF!)</f>
        <v>#REF!</v>
      </c>
      <c r="CJ115" s="194" t="e">
        <f>#REF!*CI115</f>
        <v>#REF!</v>
      </c>
      <c r="CK115" s="30" t="e">
        <f>SUM(#REF!)</f>
        <v>#REF!</v>
      </c>
      <c r="CL115" s="194" t="e">
        <f>#REF!*CK115</f>
        <v>#REF!</v>
      </c>
      <c r="CN115" s="45"/>
      <c r="CO115" s="45"/>
      <c r="CP115" s="45"/>
      <c r="CQ115" s="45"/>
      <c r="CR115" s="45"/>
      <c r="CS115" s="45"/>
      <c r="CT115" s="45"/>
      <c r="CU115" s="45"/>
      <c r="CV115" s="45"/>
      <c r="CW115" s="45"/>
      <c r="CX115" s="45"/>
      <c r="CY115" s="45"/>
      <c r="CZ115" s="45"/>
      <c r="DA115" s="45"/>
      <c r="DB115" s="45"/>
      <c r="DC115" s="45"/>
      <c r="DD115" s="45"/>
      <c r="DE115" s="45"/>
      <c r="DF115" s="45"/>
      <c r="DG115" s="45"/>
      <c r="DH115" s="45"/>
      <c r="DI115" s="45"/>
      <c r="DJ115" s="45"/>
      <c r="DK115" s="45"/>
      <c r="DL115" s="45"/>
      <c r="DM115" s="45"/>
      <c r="DN115" s="45"/>
      <c r="DO115" s="45"/>
      <c r="DP115" s="45"/>
      <c r="DQ115" s="45"/>
      <c r="DR115" s="45"/>
      <c r="DS115" s="45"/>
      <c r="DT115" s="45"/>
      <c r="DU115" s="45"/>
      <c r="DV115" s="45"/>
      <c r="DW115" s="45"/>
      <c r="DX115" s="45"/>
      <c r="DY115" s="45"/>
      <c r="DZ115" s="45"/>
      <c r="EA115" s="45"/>
      <c r="EB115" s="45"/>
      <c r="EC115" s="45"/>
      <c r="ED115" s="45"/>
      <c r="EE115" s="45"/>
      <c r="EF115" s="45"/>
      <c r="EG115" s="45"/>
      <c r="EH115" s="45"/>
      <c r="EI115" s="45"/>
      <c r="EJ115" s="45"/>
      <c r="EK115" s="45"/>
      <c r="EL115" s="45"/>
      <c r="EM115" s="45"/>
      <c r="EN115" s="45"/>
      <c r="EO115" s="45"/>
    </row>
    <row r="116" spans="1:145" s="50" customFormat="1" ht="16" hidden="1" customHeight="1" x14ac:dyDescent="0.25">
      <c r="A116" s="32"/>
      <c r="B116" s="111"/>
      <c r="C116" s="95"/>
      <c r="D116" s="95"/>
      <c r="E116" s="39"/>
      <c r="F116" s="65"/>
      <c r="G116" s="65"/>
      <c r="H116" s="65"/>
      <c r="I116" s="65"/>
      <c r="J116" s="65"/>
      <c r="K116" s="66"/>
      <c r="L116" s="66"/>
      <c r="M116" s="65"/>
      <c r="N116" s="65"/>
      <c r="O116" s="65"/>
      <c r="P116" s="65"/>
      <c r="Q116" s="65"/>
      <c r="R116" s="66"/>
      <c r="S116" s="66"/>
      <c r="T116" s="65"/>
      <c r="U116" s="65"/>
      <c r="V116" s="65"/>
      <c r="W116" s="65"/>
      <c r="X116" s="65"/>
      <c r="Y116" s="66"/>
      <c r="Z116" s="66"/>
      <c r="AA116" s="65"/>
      <c r="AB116" s="65"/>
      <c r="AC116" s="65"/>
      <c r="AD116" s="65"/>
      <c r="AE116" s="65"/>
      <c r="AF116" s="66"/>
      <c r="AG116" s="66"/>
      <c r="AH116" s="65"/>
      <c r="AI116" s="65"/>
      <c r="AJ116" s="65"/>
      <c r="AK116" s="65"/>
      <c r="AL116" s="65"/>
      <c r="AM116" s="65"/>
      <c r="AN116" s="65"/>
      <c r="AO116" s="65"/>
      <c r="AP116" s="66"/>
      <c r="AQ116" s="66"/>
      <c r="AR116" s="65"/>
      <c r="AS116" s="65"/>
      <c r="AT116" s="65"/>
      <c r="AU116" s="65"/>
      <c r="AV116" s="65"/>
      <c r="AW116" s="66"/>
      <c r="AX116" s="66"/>
      <c r="AY116" s="65"/>
      <c r="AZ116" s="65"/>
      <c r="BA116" s="65"/>
      <c r="BB116" s="65"/>
      <c r="BC116" s="65"/>
      <c r="BD116" s="66"/>
      <c r="BE116" s="66"/>
      <c r="BF116" s="65"/>
      <c r="BG116" s="65"/>
      <c r="BH116" s="65"/>
      <c r="BI116" s="65"/>
      <c r="BJ116" s="65"/>
      <c r="BK116" s="66"/>
      <c r="BL116" s="66"/>
      <c r="BM116" s="65"/>
      <c r="BN116" s="65"/>
      <c r="BO116" s="82"/>
      <c r="BP116" s="22"/>
      <c r="BQ116" s="83"/>
      <c r="BR116" s="22"/>
      <c r="BS116" s="22"/>
      <c r="BT116" s="104"/>
      <c r="BU116" s="32"/>
      <c r="BV116" s="104"/>
      <c r="BW116" s="104"/>
      <c r="BX116" s="32"/>
      <c r="BY116" s="106"/>
      <c r="BZ116" s="107"/>
      <c r="CA116" s="108"/>
      <c r="CB116" s="109"/>
      <c r="CC116" s="110"/>
      <c r="CD116" s="109"/>
      <c r="CE116" s="114"/>
      <c r="CF116" s="10"/>
      <c r="CG116" s="30"/>
      <c r="CH116" s="194"/>
      <c r="CI116" s="30"/>
      <c r="CJ116" s="194"/>
      <c r="CK116" s="30"/>
      <c r="CL116" s="194"/>
      <c r="CN116" s="45"/>
      <c r="CO116" s="45"/>
      <c r="CP116" s="45"/>
      <c r="CQ116" s="45"/>
      <c r="CR116" s="45"/>
      <c r="CS116" s="45"/>
      <c r="CT116" s="45"/>
      <c r="CU116" s="45"/>
      <c r="CV116" s="45"/>
      <c r="CW116" s="45"/>
      <c r="CX116" s="45"/>
      <c r="CY116" s="45"/>
      <c r="CZ116" s="45"/>
      <c r="DA116" s="45"/>
      <c r="DB116" s="45"/>
      <c r="DC116" s="45"/>
      <c r="DD116" s="45"/>
      <c r="DE116" s="45"/>
      <c r="DF116" s="45"/>
      <c r="DG116" s="45"/>
      <c r="DH116" s="45"/>
      <c r="DI116" s="45"/>
      <c r="DJ116" s="45"/>
      <c r="DK116" s="45"/>
      <c r="DL116" s="45"/>
      <c r="DM116" s="45"/>
      <c r="DN116" s="45"/>
      <c r="DO116" s="45"/>
      <c r="DP116" s="45"/>
      <c r="DQ116" s="45"/>
      <c r="DR116" s="45"/>
      <c r="DS116" s="45"/>
      <c r="DT116" s="45"/>
      <c r="DU116" s="45"/>
      <c r="DV116" s="45"/>
      <c r="DW116" s="45"/>
      <c r="DX116" s="45"/>
      <c r="DY116" s="45"/>
      <c r="DZ116" s="45"/>
      <c r="EA116" s="45"/>
      <c r="EB116" s="45"/>
      <c r="EC116" s="45"/>
      <c r="ED116" s="45"/>
      <c r="EE116" s="45"/>
      <c r="EF116" s="45"/>
      <c r="EG116" s="45"/>
      <c r="EH116" s="45"/>
      <c r="EI116" s="45"/>
      <c r="EJ116" s="45"/>
      <c r="EK116" s="45"/>
      <c r="EL116" s="45"/>
      <c r="EM116" s="45"/>
      <c r="EN116" s="45"/>
      <c r="EO116" s="45"/>
    </row>
    <row r="117" spans="1:145" s="50" customFormat="1" ht="16" hidden="1" customHeight="1" x14ac:dyDescent="0.25">
      <c r="A117" s="32"/>
      <c r="B117" s="111"/>
      <c r="C117" s="94"/>
      <c r="D117" s="42"/>
      <c r="E117" s="117"/>
      <c r="F117" s="65"/>
      <c r="G117" s="65"/>
      <c r="H117" s="65"/>
      <c r="I117" s="65"/>
      <c r="J117" s="65"/>
      <c r="K117" s="66"/>
      <c r="L117" s="66"/>
      <c r="M117" s="65"/>
      <c r="N117" s="65"/>
      <c r="O117" s="65"/>
      <c r="P117" s="65"/>
      <c r="Q117" s="65"/>
      <c r="R117" s="66"/>
      <c r="S117" s="66"/>
      <c r="T117" s="65"/>
      <c r="U117" s="65"/>
      <c r="V117" s="65"/>
      <c r="W117" s="65"/>
      <c r="X117" s="65"/>
      <c r="Y117" s="66"/>
      <c r="Z117" s="66"/>
      <c r="AA117" s="65"/>
      <c r="AB117" s="65"/>
      <c r="AC117" s="65"/>
      <c r="AD117" s="65"/>
      <c r="AE117" s="65"/>
      <c r="AF117" s="66"/>
      <c r="AG117" s="66"/>
      <c r="AH117" s="65"/>
      <c r="AI117" s="65"/>
      <c r="AJ117" s="65"/>
      <c r="AK117" s="65"/>
      <c r="AL117" s="65"/>
      <c r="AM117" s="65"/>
      <c r="AN117" s="65"/>
      <c r="AO117" s="65"/>
      <c r="AP117" s="66"/>
      <c r="AQ117" s="66"/>
      <c r="AR117" s="65"/>
      <c r="AS117" s="65"/>
      <c r="AT117" s="65"/>
      <c r="AU117" s="65"/>
      <c r="AV117" s="65"/>
      <c r="AW117" s="66"/>
      <c r="AX117" s="66"/>
      <c r="AY117" s="65"/>
      <c r="AZ117" s="65"/>
      <c r="BA117" s="65"/>
      <c r="BB117" s="65"/>
      <c r="BC117" s="65"/>
      <c r="BD117" s="66"/>
      <c r="BE117" s="66"/>
      <c r="BF117" s="65"/>
      <c r="BG117" s="65"/>
      <c r="BH117" s="65"/>
      <c r="BI117" s="65"/>
      <c r="BJ117" s="65"/>
      <c r="BK117" s="66"/>
      <c r="BL117" s="66"/>
      <c r="BM117" s="65"/>
      <c r="BN117" s="65"/>
      <c r="BO117" s="187"/>
      <c r="BP117" s="68"/>
      <c r="BQ117" s="68"/>
      <c r="BR117" s="68"/>
      <c r="BS117" s="68"/>
      <c r="BT117" s="68"/>
      <c r="BU117" s="32"/>
      <c r="BV117" s="68"/>
      <c r="BW117" s="68"/>
      <c r="BX117" s="32"/>
      <c r="BY117" s="121"/>
      <c r="BZ117" s="122"/>
      <c r="CA117" s="123"/>
      <c r="CB117" s="90"/>
      <c r="CC117" s="89"/>
      <c r="CD117" s="90"/>
      <c r="CE117" s="18"/>
      <c r="CF117" s="10"/>
      <c r="CG117" s="30"/>
      <c r="CH117" s="194"/>
      <c r="CI117" s="30"/>
      <c r="CJ117" s="194"/>
      <c r="CK117" s="30"/>
      <c r="CL117" s="194"/>
      <c r="CN117" s="45"/>
      <c r="CO117" s="45"/>
      <c r="CP117" s="45"/>
      <c r="CQ117" s="45"/>
      <c r="CR117" s="45"/>
      <c r="CS117" s="45"/>
      <c r="CT117" s="45"/>
      <c r="CU117" s="45"/>
      <c r="CV117" s="45"/>
      <c r="CW117" s="45"/>
      <c r="CX117" s="45"/>
      <c r="CY117" s="45"/>
      <c r="CZ117" s="45"/>
      <c r="DA117" s="45"/>
      <c r="DB117" s="45"/>
      <c r="DC117" s="45"/>
      <c r="DD117" s="45"/>
      <c r="DE117" s="45"/>
      <c r="DF117" s="45"/>
      <c r="DG117" s="45"/>
      <c r="DH117" s="45"/>
      <c r="DI117" s="45"/>
      <c r="DJ117" s="45"/>
      <c r="DK117" s="45"/>
      <c r="DL117" s="45"/>
      <c r="DM117" s="45"/>
      <c r="DN117" s="45"/>
      <c r="DO117" s="45"/>
      <c r="DP117" s="45"/>
      <c r="DQ117" s="45"/>
      <c r="DR117" s="45"/>
      <c r="DS117" s="45"/>
      <c r="DT117" s="45"/>
      <c r="DU117" s="45"/>
      <c r="DV117" s="45"/>
      <c r="DW117" s="45"/>
      <c r="DX117" s="45"/>
      <c r="DY117" s="45"/>
      <c r="DZ117" s="45"/>
      <c r="EA117" s="45"/>
      <c r="EB117" s="45"/>
      <c r="EC117" s="45"/>
      <c r="ED117" s="45"/>
      <c r="EE117" s="45"/>
      <c r="EF117" s="45"/>
      <c r="EG117" s="45"/>
      <c r="EH117" s="45"/>
      <c r="EI117" s="45"/>
      <c r="EJ117" s="45"/>
      <c r="EK117" s="45"/>
      <c r="EL117" s="45"/>
      <c r="EM117" s="45"/>
      <c r="EN117" s="45"/>
      <c r="EO117" s="45"/>
    </row>
    <row r="118" spans="1:145" s="50" customFormat="1" ht="16" hidden="1" customHeight="1" x14ac:dyDescent="0.25">
      <c r="A118" s="32"/>
      <c r="B118" s="111"/>
      <c r="C118" s="81" t="s">
        <v>89</v>
      </c>
      <c r="D118" s="95" t="s">
        <v>72</v>
      </c>
      <c r="E118" s="39" t="s">
        <v>18</v>
      </c>
      <c r="F118" s="65"/>
      <c r="G118" s="65"/>
      <c r="H118" s="65"/>
      <c r="I118" s="65"/>
      <c r="J118" s="65"/>
      <c r="K118" s="66"/>
      <c r="L118" s="66"/>
      <c r="M118" s="65"/>
      <c r="N118" s="65"/>
      <c r="O118" s="65"/>
      <c r="P118" s="65"/>
      <c r="Q118" s="65"/>
      <c r="R118" s="66"/>
      <c r="S118" s="66"/>
      <c r="T118" s="65"/>
      <c r="U118" s="65"/>
      <c r="V118" s="65"/>
      <c r="W118" s="65"/>
      <c r="X118" s="65"/>
      <c r="Y118" s="66"/>
      <c r="Z118" s="66"/>
      <c r="AA118" s="65"/>
      <c r="AB118" s="65"/>
      <c r="AC118" s="65"/>
      <c r="AD118" s="65"/>
      <c r="AE118" s="65"/>
      <c r="AF118" s="66"/>
      <c r="AG118" s="66"/>
      <c r="AH118" s="65"/>
      <c r="AI118" s="65"/>
      <c r="AJ118" s="65"/>
      <c r="AK118" s="65"/>
      <c r="AL118" s="65"/>
      <c r="AM118" s="65"/>
      <c r="AN118" s="65"/>
      <c r="AO118" s="65"/>
      <c r="AP118" s="66"/>
      <c r="AQ118" s="66"/>
      <c r="AR118" s="65"/>
      <c r="AS118" s="65"/>
      <c r="AT118" s="65"/>
      <c r="AU118" s="65"/>
      <c r="AV118" s="65"/>
      <c r="AW118" s="66"/>
      <c r="AX118" s="66"/>
      <c r="AY118" s="65"/>
      <c r="AZ118" s="65"/>
      <c r="BA118" s="65"/>
      <c r="BB118" s="65"/>
      <c r="BC118" s="65"/>
      <c r="BD118" s="66"/>
      <c r="BE118" s="66"/>
      <c r="BF118" s="65"/>
      <c r="BG118" s="65"/>
      <c r="BH118" s="65"/>
      <c r="BI118" s="65"/>
      <c r="BJ118" s="65"/>
      <c r="BK118" s="66"/>
      <c r="BL118" s="66"/>
      <c r="BM118" s="65"/>
      <c r="BN118" s="65"/>
      <c r="BO118" s="82">
        <f>SUM(F118:S118)</f>
        <v>0</v>
      </c>
      <c r="BP118" s="22">
        <v>580</v>
      </c>
      <c r="BQ118" s="83">
        <v>0.5</v>
      </c>
      <c r="BR118" s="22">
        <f>BP118*(1-BQ118)</f>
        <v>290</v>
      </c>
      <c r="BS118" s="22">
        <f>BR118*BO118</f>
        <v>0</v>
      </c>
      <c r="BT118" s="84">
        <f>BR118*0.8</f>
        <v>232</v>
      </c>
      <c r="BU118" s="32"/>
      <c r="BV118" s="84">
        <f>BS118*0.8</f>
        <v>0</v>
      </c>
      <c r="BW118" s="84"/>
      <c r="BX118" s="32"/>
      <c r="BY118" s="99">
        <f>BZ118/CC118*100</f>
        <v>12.888506754654703</v>
      </c>
      <c r="BZ118" s="86">
        <v>27520</v>
      </c>
      <c r="CA118" s="87">
        <f>BY118*BO118</f>
        <v>0</v>
      </c>
      <c r="CB118" s="88">
        <v>433991</v>
      </c>
      <c r="CC118" s="89">
        <v>213523.57200000001</v>
      </c>
      <c r="CD118" s="90">
        <f>CC118*CA118%</f>
        <v>0</v>
      </c>
      <c r="CE118" s="21" t="e">
        <f>BV118/CD118*1000</f>
        <v>#DIV/0!</v>
      </c>
      <c r="CF118" s="10"/>
      <c r="CG118" s="30" t="s">
        <v>89</v>
      </c>
      <c r="CH118" s="194"/>
      <c r="CI118" s="30" t="e">
        <f>SUM(#REF!)</f>
        <v>#REF!</v>
      </c>
      <c r="CJ118" s="194" t="e">
        <f>#REF!*CI118</f>
        <v>#REF!</v>
      </c>
      <c r="CK118" s="30" t="e">
        <f>SUM(#REF!)</f>
        <v>#REF!</v>
      </c>
      <c r="CL118" s="194" t="e">
        <f>#REF!*CK118</f>
        <v>#REF!</v>
      </c>
      <c r="CN118" s="45"/>
      <c r="CO118" s="45"/>
      <c r="CP118" s="45"/>
      <c r="CQ118" s="45"/>
      <c r="CR118" s="45"/>
      <c r="CS118" s="45"/>
      <c r="CT118" s="45"/>
      <c r="CU118" s="45"/>
      <c r="CV118" s="45"/>
      <c r="CW118" s="45"/>
      <c r="CX118" s="45"/>
      <c r="CY118" s="45"/>
      <c r="CZ118" s="45"/>
      <c r="DA118" s="45"/>
      <c r="DB118" s="45"/>
      <c r="DC118" s="45"/>
      <c r="DD118" s="45"/>
      <c r="DE118" s="45"/>
      <c r="DF118" s="45"/>
      <c r="DG118" s="45"/>
      <c r="DH118" s="45"/>
      <c r="DI118" s="45"/>
      <c r="DJ118" s="45"/>
      <c r="DK118" s="45"/>
      <c r="DL118" s="45"/>
      <c r="DM118" s="45"/>
      <c r="DN118" s="45"/>
      <c r="DO118" s="45"/>
      <c r="DP118" s="45"/>
      <c r="DQ118" s="45"/>
      <c r="DR118" s="45"/>
      <c r="DS118" s="45"/>
      <c r="DT118" s="45"/>
      <c r="DU118" s="45"/>
      <c r="DV118" s="45"/>
      <c r="DW118" s="45"/>
      <c r="DX118" s="45"/>
      <c r="DY118" s="45"/>
      <c r="DZ118" s="45"/>
      <c r="EA118" s="45"/>
      <c r="EB118" s="45"/>
      <c r="EC118" s="45"/>
      <c r="ED118" s="45"/>
      <c r="EE118" s="45"/>
      <c r="EF118" s="45"/>
      <c r="EG118" s="45"/>
      <c r="EH118" s="45"/>
      <c r="EI118" s="45"/>
      <c r="EJ118" s="45"/>
      <c r="EK118" s="45"/>
      <c r="EL118" s="45"/>
      <c r="EM118" s="45"/>
      <c r="EN118" s="45"/>
      <c r="EO118" s="45"/>
    </row>
    <row r="119" spans="1:145" s="50" customFormat="1" ht="16" hidden="1" customHeight="1" x14ac:dyDescent="0.25">
      <c r="A119" s="32"/>
      <c r="B119" s="111"/>
      <c r="C119" s="95"/>
      <c r="D119" s="95"/>
      <c r="E119" s="39"/>
      <c r="F119" s="65"/>
      <c r="G119" s="65"/>
      <c r="H119" s="65"/>
      <c r="I119" s="65"/>
      <c r="J119" s="65"/>
      <c r="K119" s="66"/>
      <c r="L119" s="66"/>
      <c r="M119" s="65"/>
      <c r="N119" s="65"/>
      <c r="O119" s="65"/>
      <c r="P119" s="65"/>
      <c r="Q119" s="65"/>
      <c r="R119" s="66"/>
      <c r="S119" s="66"/>
      <c r="T119" s="65"/>
      <c r="U119" s="65"/>
      <c r="V119" s="65"/>
      <c r="W119" s="65"/>
      <c r="X119" s="65"/>
      <c r="Y119" s="66"/>
      <c r="Z119" s="66"/>
      <c r="AA119" s="65"/>
      <c r="AB119" s="65"/>
      <c r="AC119" s="65"/>
      <c r="AD119" s="65"/>
      <c r="AE119" s="65"/>
      <c r="AF119" s="66"/>
      <c r="AG119" s="66"/>
      <c r="AH119" s="65"/>
      <c r="AI119" s="65"/>
      <c r="AJ119" s="65"/>
      <c r="AK119" s="65"/>
      <c r="AL119" s="65"/>
      <c r="AM119" s="65"/>
      <c r="AN119" s="65"/>
      <c r="AO119" s="65"/>
      <c r="AP119" s="66"/>
      <c r="AQ119" s="66"/>
      <c r="AR119" s="65"/>
      <c r="AS119" s="65"/>
      <c r="AT119" s="65"/>
      <c r="AU119" s="65"/>
      <c r="AV119" s="65"/>
      <c r="AW119" s="66"/>
      <c r="AX119" s="66"/>
      <c r="AY119" s="65"/>
      <c r="AZ119" s="65"/>
      <c r="BA119" s="65"/>
      <c r="BB119" s="65"/>
      <c r="BC119" s="65"/>
      <c r="BD119" s="66"/>
      <c r="BE119" s="66"/>
      <c r="BF119" s="65"/>
      <c r="BG119" s="65"/>
      <c r="BH119" s="65"/>
      <c r="BI119" s="65"/>
      <c r="BJ119" s="65"/>
      <c r="BK119" s="66"/>
      <c r="BL119" s="66"/>
      <c r="BM119" s="65"/>
      <c r="BN119" s="65"/>
      <c r="BO119" s="173"/>
      <c r="BP119" s="104"/>
      <c r="BQ119" s="195"/>
      <c r="BR119" s="104"/>
      <c r="BS119" s="104"/>
      <c r="BT119" s="104"/>
      <c r="BU119" s="32"/>
      <c r="BV119" s="104"/>
      <c r="BW119" s="104"/>
      <c r="BX119" s="32"/>
      <c r="BY119" s="106"/>
      <c r="BZ119" s="107"/>
      <c r="CA119" s="108"/>
      <c r="CB119" s="109"/>
      <c r="CC119" s="110"/>
      <c r="CD119" s="109"/>
      <c r="CE119" s="114"/>
      <c r="CF119" s="10"/>
      <c r="CG119" s="30"/>
      <c r="CH119" s="194"/>
      <c r="CI119" s="30"/>
      <c r="CJ119" s="194"/>
      <c r="CK119" s="30"/>
      <c r="CL119" s="194"/>
      <c r="CN119" s="45"/>
      <c r="CO119" s="45"/>
      <c r="CP119" s="45"/>
      <c r="CQ119" s="45"/>
      <c r="CR119" s="45"/>
      <c r="CS119" s="45"/>
      <c r="CT119" s="45"/>
      <c r="CU119" s="45"/>
      <c r="CV119" s="45"/>
      <c r="CW119" s="45"/>
      <c r="CX119" s="45"/>
      <c r="CY119" s="45"/>
      <c r="CZ119" s="45"/>
      <c r="DA119" s="45"/>
      <c r="DB119" s="45"/>
      <c r="DC119" s="45"/>
      <c r="DD119" s="45"/>
      <c r="DE119" s="45"/>
      <c r="DF119" s="45"/>
      <c r="DG119" s="45"/>
      <c r="DH119" s="45"/>
      <c r="DI119" s="45"/>
      <c r="DJ119" s="45"/>
      <c r="DK119" s="45"/>
      <c r="DL119" s="45"/>
      <c r="DM119" s="45"/>
      <c r="DN119" s="45"/>
      <c r="DO119" s="45"/>
      <c r="DP119" s="45"/>
      <c r="DQ119" s="45"/>
      <c r="DR119" s="45"/>
      <c r="DS119" s="45"/>
      <c r="DT119" s="45"/>
      <c r="DU119" s="45"/>
      <c r="DV119" s="45"/>
      <c r="DW119" s="45"/>
      <c r="DX119" s="45"/>
      <c r="DY119" s="45"/>
      <c r="DZ119" s="45"/>
      <c r="EA119" s="45"/>
      <c r="EB119" s="45"/>
      <c r="EC119" s="45"/>
      <c r="ED119" s="45"/>
      <c r="EE119" s="45"/>
      <c r="EF119" s="45"/>
      <c r="EG119" s="45"/>
      <c r="EH119" s="45"/>
      <c r="EI119" s="45"/>
      <c r="EJ119" s="45"/>
      <c r="EK119" s="45"/>
      <c r="EL119" s="45"/>
      <c r="EM119" s="45"/>
      <c r="EN119" s="45"/>
      <c r="EO119" s="45"/>
    </row>
    <row r="120" spans="1:145" s="50" customFormat="1" ht="16" hidden="1" customHeight="1" x14ac:dyDescent="0.25">
      <c r="A120" s="32"/>
      <c r="B120" s="111"/>
      <c r="C120" s="95"/>
      <c r="D120" s="95"/>
      <c r="E120" s="39"/>
      <c r="F120" s="65"/>
      <c r="G120" s="65"/>
      <c r="H120" s="65"/>
      <c r="I120" s="65"/>
      <c r="J120" s="65"/>
      <c r="K120" s="66"/>
      <c r="L120" s="66"/>
      <c r="M120" s="65"/>
      <c r="N120" s="65"/>
      <c r="O120" s="65"/>
      <c r="P120" s="65"/>
      <c r="Q120" s="65"/>
      <c r="R120" s="66"/>
      <c r="S120" s="66"/>
      <c r="T120" s="65"/>
      <c r="U120" s="65"/>
      <c r="V120" s="65"/>
      <c r="W120" s="65"/>
      <c r="X120" s="65"/>
      <c r="Y120" s="66"/>
      <c r="Z120" s="66"/>
      <c r="AA120" s="65"/>
      <c r="AB120" s="65"/>
      <c r="AC120" s="65"/>
      <c r="AD120" s="65"/>
      <c r="AE120" s="65"/>
      <c r="AF120" s="66"/>
      <c r="AG120" s="66"/>
      <c r="AH120" s="65"/>
      <c r="AI120" s="65"/>
      <c r="AJ120" s="65"/>
      <c r="AK120" s="65"/>
      <c r="AL120" s="65"/>
      <c r="AM120" s="65"/>
      <c r="AN120" s="65"/>
      <c r="AO120" s="65"/>
      <c r="AP120" s="66"/>
      <c r="AQ120" s="66"/>
      <c r="AR120" s="65"/>
      <c r="AS120" s="65"/>
      <c r="AT120" s="65"/>
      <c r="AU120" s="65"/>
      <c r="AV120" s="65"/>
      <c r="AW120" s="66"/>
      <c r="AX120" s="66"/>
      <c r="AY120" s="65"/>
      <c r="AZ120" s="65"/>
      <c r="BA120" s="65"/>
      <c r="BB120" s="65"/>
      <c r="BC120" s="65"/>
      <c r="BD120" s="66"/>
      <c r="BE120" s="66"/>
      <c r="BF120" s="65"/>
      <c r="BG120" s="65"/>
      <c r="BH120" s="65"/>
      <c r="BI120" s="65"/>
      <c r="BJ120" s="65"/>
      <c r="BK120" s="66"/>
      <c r="BL120" s="66"/>
      <c r="BM120" s="65"/>
      <c r="BN120" s="65"/>
      <c r="BO120" s="187"/>
      <c r="BP120" s="68"/>
      <c r="BQ120" s="68"/>
      <c r="BR120" s="68"/>
      <c r="BS120" s="68"/>
      <c r="BT120" s="68"/>
      <c r="BU120" s="32"/>
      <c r="BV120" s="68"/>
      <c r="BW120" s="68"/>
      <c r="BX120" s="32"/>
      <c r="BY120" s="121"/>
      <c r="BZ120" s="122"/>
      <c r="CA120" s="123"/>
      <c r="CB120" s="90"/>
      <c r="CC120" s="89"/>
      <c r="CD120" s="90"/>
      <c r="CE120" s="18"/>
      <c r="CF120" s="10"/>
      <c r="CG120" s="30"/>
      <c r="CH120" s="194"/>
      <c r="CI120" s="30"/>
      <c r="CJ120" s="194"/>
      <c r="CK120" s="30"/>
      <c r="CL120" s="194"/>
      <c r="CN120" s="45"/>
      <c r="CO120" s="45"/>
      <c r="CP120" s="45"/>
      <c r="CQ120" s="45"/>
      <c r="CR120" s="45"/>
      <c r="CS120" s="45"/>
      <c r="CT120" s="45"/>
      <c r="CU120" s="45"/>
      <c r="CV120" s="45"/>
      <c r="CW120" s="45"/>
      <c r="CX120" s="45"/>
      <c r="CY120" s="45"/>
      <c r="CZ120" s="45"/>
      <c r="DA120" s="45"/>
      <c r="DB120" s="45"/>
      <c r="DC120" s="45"/>
      <c r="DD120" s="45"/>
      <c r="DE120" s="45"/>
      <c r="DF120" s="45"/>
      <c r="DG120" s="45"/>
      <c r="DH120" s="45"/>
      <c r="DI120" s="45"/>
      <c r="DJ120" s="45"/>
      <c r="DK120" s="45"/>
      <c r="DL120" s="45"/>
      <c r="DM120" s="45"/>
      <c r="DN120" s="45"/>
      <c r="DO120" s="45"/>
      <c r="DP120" s="45"/>
      <c r="DQ120" s="45"/>
      <c r="DR120" s="45"/>
      <c r="DS120" s="45"/>
      <c r="DT120" s="45"/>
      <c r="DU120" s="45"/>
      <c r="DV120" s="45"/>
      <c r="DW120" s="45"/>
      <c r="DX120" s="45"/>
      <c r="DY120" s="45"/>
      <c r="DZ120" s="45"/>
      <c r="EA120" s="45"/>
      <c r="EB120" s="45"/>
      <c r="EC120" s="45"/>
      <c r="ED120" s="45"/>
      <c r="EE120" s="45"/>
      <c r="EF120" s="45"/>
      <c r="EG120" s="45"/>
      <c r="EH120" s="45"/>
      <c r="EI120" s="45"/>
      <c r="EJ120" s="45"/>
      <c r="EK120" s="45"/>
      <c r="EL120" s="45"/>
      <c r="EM120" s="45"/>
      <c r="EN120" s="45"/>
      <c r="EO120" s="45"/>
    </row>
    <row r="121" spans="1:145" s="50" customFormat="1" ht="16" hidden="1" customHeight="1" x14ac:dyDescent="0.25">
      <c r="A121" s="32"/>
      <c r="B121" s="111"/>
      <c r="C121" s="95" t="s">
        <v>90</v>
      </c>
      <c r="D121" s="95" t="s">
        <v>72</v>
      </c>
      <c r="E121" s="39" t="s">
        <v>18</v>
      </c>
      <c r="F121" s="65"/>
      <c r="G121" s="65"/>
      <c r="H121" s="65"/>
      <c r="I121" s="65"/>
      <c r="J121" s="65"/>
      <c r="K121" s="66"/>
      <c r="L121" s="66"/>
      <c r="M121" s="65"/>
      <c r="N121" s="65"/>
      <c r="O121" s="65"/>
      <c r="P121" s="65"/>
      <c r="Q121" s="65"/>
      <c r="R121" s="66"/>
      <c r="S121" s="66"/>
      <c r="T121" s="65"/>
      <c r="U121" s="65"/>
      <c r="V121" s="65"/>
      <c r="W121" s="65"/>
      <c r="X121" s="65"/>
      <c r="Y121" s="66"/>
      <c r="Z121" s="66"/>
      <c r="AA121" s="65"/>
      <c r="AB121" s="65"/>
      <c r="AC121" s="65"/>
      <c r="AD121" s="65"/>
      <c r="AE121" s="65"/>
      <c r="AF121" s="66"/>
      <c r="AG121" s="66"/>
      <c r="AH121" s="65"/>
      <c r="AI121" s="65"/>
      <c r="AJ121" s="65"/>
      <c r="AK121" s="65"/>
      <c r="AL121" s="65"/>
      <c r="AM121" s="65"/>
      <c r="AN121" s="65"/>
      <c r="AO121" s="65"/>
      <c r="AP121" s="66"/>
      <c r="AQ121" s="66"/>
      <c r="AR121" s="65"/>
      <c r="AS121" s="65"/>
      <c r="AT121" s="65"/>
      <c r="AU121" s="65"/>
      <c r="AV121" s="65"/>
      <c r="AW121" s="66"/>
      <c r="AX121" s="66"/>
      <c r="AY121" s="65"/>
      <c r="AZ121" s="65"/>
      <c r="BA121" s="65"/>
      <c r="BB121" s="65"/>
      <c r="BC121" s="65"/>
      <c r="BD121" s="66"/>
      <c r="BE121" s="66"/>
      <c r="BF121" s="65"/>
      <c r="BG121" s="65"/>
      <c r="BH121" s="65"/>
      <c r="BI121" s="65"/>
      <c r="BJ121" s="65"/>
      <c r="BK121" s="66"/>
      <c r="BL121" s="66"/>
      <c r="BM121" s="65"/>
      <c r="BN121" s="65"/>
      <c r="BO121" s="82">
        <f>SUM(F121:S121)</f>
        <v>0</v>
      </c>
      <c r="BP121" s="22">
        <v>568.83000000000004</v>
      </c>
      <c r="BQ121" s="83">
        <v>0.75</v>
      </c>
      <c r="BR121" s="22">
        <f>BP121*(1-BQ121)</f>
        <v>142.20750000000001</v>
      </c>
      <c r="BS121" s="22">
        <f>BR121*BO121</f>
        <v>0</v>
      </c>
      <c r="BT121" s="84">
        <f>BR121*0.8</f>
        <v>113.76600000000002</v>
      </c>
      <c r="BU121" s="32"/>
      <c r="BV121" s="84">
        <f>BS121*0.8</f>
        <v>0</v>
      </c>
      <c r="BW121" s="84"/>
      <c r="BX121" s="32"/>
      <c r="BY121" s="99">
        <f>BZ121/CC121*100</f>
        <v>4.8612899750478133</v>
      </c>
      <c r="BZ121" s="86">
        <v>10380</v>
      </c>
      <c r="CA121" s="87">
        <f>BY121*BO121</f>
        <v>0</v>
      </c>
      <c r="CB121" s="88">
        <v>433991</v>
      </c>
      <c r="CC121" s="89">
        <v>213523.57200000001</v>
      </c>
      <c r="CD121" s="90">
        <f>CC121*CA121%</f>
        <v>0</v>
      </c>
      <c r="CE121" s="21" t="e">
        <f>BV121/CD121*1000</f>
        <v>#DIV/0!</v>
      </c>
      <c r="CF121" s="10"/>
      <c r="CG121" s="30" t="str">
        <f>C121</f>
        <v>SANTA CECILIA FM</v>
      </c>
      <c r="CH121" s="194"/>
      <c r="CI121" s="30" t="e">
        <f>SUM(#REF!)</f>
        <v>#REF!</v>
      </c>
      <c r="CJ121" s="194" t="e">
        <f>#REF!*CI121</f>
        <v>#REF!</v>
      </c>
      <c r="CK121" s="30" t="e">
        <f>SUM(#REF!)</f>
        <v>#REF!</v>
      </c>
      <c r="CL121" s="194" t="e">
        <f>#REF!*CK121</f>
        <v>#REF!</v>
      </c>
      <c r="CN121" s="45"/>
      <c r="CO121" s="45"/>
      <c r="CP121" s="45"/>
      <c r="CQ121" s="45"/>
      <c r="CR121" s="45"/>
      <c r="CS121" s="45"/>
      <c r="CT121" s="45"/>
      <c r="CU121" s="45"/>
      <c r="CV121" s="45"/>
      <c r="CW121" s="45"/>
      <c r="CX121" s="45"/>
      <c r="CY121" s="45"/>
      <c r="CZ121" s="45"/>
      <c r="DA121" s="45"/>
      <c r="DB121" s="45"/>
      <c r="DC121" s="45"/>
      <c r="DD121" s="45"/>
      <c r="DE121" s="45"/>
      <c r="DF121" s="45"/>
      <c r="DG121" s="45"/>
      <c r="DH121" s="45"/>
      <c r="DI121" s="45"/>
      <c r="DJ121" s="45"/>
      <c r="DK121" s="45"/>
      <c r="DL121" s="45"/>
      <c r="DM121" s="45"/>
      <c r="DN121" s="45"/>
      <c r="DO121" s="45"/>
      <c r="DP121" s="45"/>
      <c r="DQ121" s="45"/>
      <c r="DR121" s="45"/>
      <c r="DS121" s="45"/>
      <c r="DT121" s="45"/>
      <c r="DU121" s="45"/>
      <c r="DV121" s="45"/>
      <c r="DW121" s="45"/>
      <c r="DX121" s="45"/>
      <c r="DY121" s="45"/>
      <c r="DZ121" s="45"/>
      <c r="EA121" s="45"/>
      <c r="EB121" s="45"/>
      <c r="EC121" s="45"/>
      <c r="ED121" s="45"/>
      <c r="EE121" s="45"/>
      <c r="EF121" s="45"/>
      <c r="EG121" s="45"/>
      <c r="EH121" s="45"/>
      <c r="EI121" s="45"/>
      <c r="EJ121" s="45"/>
      <c r="EK121" s="45"/>
      <c r="EL121" s="45"/>
      <c r="EM121" s="45"/>
      <c r="EN121" s="45"/>
      <c r="EO121" s="45"/>
    </row>
    <row r="122" spans="1:145" s="50" customFormat="1" ht="16" hidden="1" customHeight="1" x14ac:dyDescent="0.25">
      <c r="A122" s="32"/>
      <c r="B122" s="111"/>
      <c r="C122" s="95"/>
      <c r="D122" s="95"/>
      <c r="E122" s="39"/>
      <c r="F122" s="65"/>
      <c r="G122" s="65"/>
      <c r="H122" s="65"/>
      <c r="I122" s="65"/>
      <c r="J122" s="65"/>
      <c r="K122" s="66"/>
      <c r="L122" s="66"/>
      <c r="M122" s="65"/>
      <c r="N122" s="65"/>
      <c r="O122" s="65"/>
      <c r="P122" s="65"/>
      <c r="Q122" s="65"/>
      <c r="R122" s="66"/>
      <c r="S122" s="66"/>
      <c r="T122" s="65"/>
      <c r="U122" s="65"/>
      <c r="V122" s="65"/>
      <c r="W122" s="65"/>
      <c r="X122" s="65"/>
      <c r="Y122" s="66"/>
      <c r="Z122" s="66"/>
      <c r="AA122" s="65"/>
      <c r="AB122" s="65"/>
      <c r="AC122" s="65"/>
      <c r="AD122" s="65"/>
      <c r="AE122" s="65"/>
      <c r="AF122" s="66"/>
      <c r="AG122" s="66"/>
      <c r="AH122" s="65"/>
      <c r="AI122" s="65"/>
      <c r="AJ122" s="65"/>
      <c r="AK122" s="65"/>
      <c r="AL122" s="65"/>
      <c r="AM122" s="65"/>
      <c r="AN122" s="65"/>
      <c r="AO122" s="65"/>
      <c r="AP122" s="66"/>
      <c r="AQ122" s="66"/>
      <c r="AR122" s="65"/>
      <c r="AS122" s="65"/>
      <c r="AT122" s="65"/>
      <c r="AU122" s="65"/>
      <c r="AV122" s="65"/>
      <c r="AW122" s="66"/>
      <c r="AX122" s="66"/>
      <c r="AY122" s="65"/>
      <c r="AZ122" s="65"/>
      <c r="BA122" s="65"/>
      <c r="BB122" s="65"/>
      <c r="BC122" s="65"/>
      <c r="BD122" s="66"/>
      <c r="BE122" s="66"/>
      <c r="BF122" s="65"/>
      <c r="BG122" s="65"/>
      <c r="BH122" s="65"/>
      <c r="BI122" s="65"/>
      <c r="BJ122" s="65"/>
      <c r="BK122" s="66"/>
      <c r="BL122" s="66"/>
      <c r="BM122" s="65"/>
      <c r="BN122" s="65"/>
      <c r="BO122" s="173"/>
      <c r="BP122" s="104"/>
      <c r="BQ122" s="195"/>
      <c r="BR122" s="104"/>
      <c r="BS122" s="104"/>
      <c r="BT122" s="104"/>
      <c r="BU122" s="32"/>
      <c r="BV122" s="104"/>
      <c r="BW122" s="104"/>
      <c r="BX122" s="32"/>
      <c r="BY122" s="106"/>
      <c r="BZ122" s="107"/>
      <c r="CA122" s="108"/>
      <c r="CB122" s="109"/>
      <c r="CC122" s="110"/>
      <c r="CD122" s="109"/>
      <c r="CE122" s="114"/>
      <c r="CF122" s="10"/>
      <c r="CG122" s="30"/>
      <c r="CH122" s="194"/>
      <c r="CI122" s="30"/>
      <c r="CJ122" s="194"/>
      <c r="CK122" s="30"/>
      <c r="CL122" s="194"/>
      <c r="CN122" s="45"/>
      <c r="CO122" s="45"/>
      <c r="CP122" s="45"/>
      <c r="CQ122" s="45"/>
      <c r="CR122" s="45"/>
      <c r="CS122" s="45"/>
      <c r="CT122" s="45"/>
      <c r="CU122" s="45"/>
      <c r="CV122" s="45"/>
      <c r="CW122" s="45"/>
      <c r="CX122" s="45"/>
      <c r="CY122" s="45"/>
      <c r="CZ122" s="45"/>
      <c r="DA122" s="45"/>
      <c r="DB122" s="45"/>
      <c r="DC122" s="45"/>
      <c r="DD122" s="45"/>
      <c r="DE122" s="45"/>
      <c r="DF122" s="45"/>
      <c r="DG122" s="45"/>
      <c r="DH122" s="45"/>
      <c r="DI122" s="45"/>
      <c r="DJ122" s="45"/>
      <c r="DK122" s="45"/>
      <c r="DL122" s="45"/>
      <c r="DM122" s="45"/>
      <c r="DN122" s="45"/>
      <c r="DO122" s="45"/>
      <c r="DP122" s="45"/>
      <c r="DQ122" s="45"/>
      <c r="DR122" s="45"/>
      <c r="DS122" s="45"/>
      <c r="DT122" s="45"/>
      <c r="DU122" s="45"/>
      <c r="DV122" s="45"/>
      <c r="DW122" s="45"/>
      <c r="DX122" s="45"/>
      <c r="DY122" s="45"/>
      <c r="DZ122" s="45"/>
      <c r="EA122" s="45"/>
      <c r="EB122" s="45"/>
      <c r="EC122" s="45"/>
      <c r="ED122" s="45"/>
      <c r="EE122" s="45"/>
      <c r="EF122" s="45"/>
      <c r="EG122" s="45"/>
      <c r="EH122" s="45"/>
      <c r="EI122" s="45"/>
      <c r="EJ122" s="45"/>
      <c r="EK122" s="45"/>
      <c r="EL122" s="45"/>
      <c r="EM122" s="45"/>
      <c r="EN122" s="45"/>
      <c r="EO122" s="45"/>
    </row>
    <row r="123" spans="1:145" s="50" customFormat="1" ht="16" hidden="1" customHeight="1" x14ac:dyDescent="0.25">
      <c r="A123" s="32"/>
      <c r="B123" s="111"/>
      <c r="C123" s="95"/>
      <c r="D123" s="95"/>
      <c r="E123" s="39"/>
      <c r="F123" s="65"/>
      <c r="G123" s="65"/>
      <c r="H123" s="65"/>
      <c r="I123" s="65"/>
      <c r="J123" s="65"/>
      <c r="K123" s="66"/>
      <c r="L123" s="66"/>
      <c r="M123" s="65"/>
      <c r="N123" s="65"/>
      <c r="O123" s="65"/>
      <c r="P123" s="65"/>
      <c r="Q123" s="65"/>
      <c r="R123" s="66"/>
      <c r="S123" s="66"/>
      <c r="T123" s="65"/>
      <c r="U123" s="65"/>
      <c r="V123" s="65"/>
      <c r="W123" s="65"/>
      <c r="X123" s="65"/>
      <c r="Y123" s="66"/>
      <c r="Z123" s="66"/>
      <c r="AA123" s="65"/>
      <c r="AB123" s="65"/>
      <c r="AC123" s="65"/>
      <c r="AD123" s="65"/>
      <c r="AE123" s="65"/>
      <c r="AF123" s="66"/>
      <c r="AG123" s="66"/>
      <c r="AH123" s="65"/>
      <c r="AI123" s="65"/>
      <c r="AJ123" s="65"/>
      <c r="AK123" s="65"/>
      <c r="AL123" s="65"/>
      <c r="AM123" s="65"/>
      <c r="AN123" s="65"/>
      <c r="AO123" s="65"/>
      <c r="AP123" s="66"/>
      <c r="AQ123" s="66"/>
      <c r="AR123" s="65"/>
      <c r="AS123" s="65"/>
      <c r="AT123" s="65"/>
      <c r="AU123" s="65"/>
      <c r="AV123" s="65"/>
      <c r="AW123" s="66"/>
      <c r="AX123" s="66"/>
      <c r="AY123" s="65"/>
      <c r="AZ123" s="65"/>
      <c r="BA123" s="65"/>
      <c r="BB123" s="65"/>
      <c r="BC123" s="65"/>
      <c r="BD123" s="66"/>
      <c r="BE123" s="66"/>
      <c r="BF123" s="65"/>
      <c r="BG123" s="65"/>
      <c r="BH123" s="65"/>
      <c r="BI123" s="65"/>
      <c r="BJ123" s="65"/>
      <c r="BK123" s="66"/>
      <c r="BL123" s="66"/>
      <c r="BM123" s="65"/>
      <c r="BN123" s="65"/>
      <c r="BO123" s="187"/>
      <c r="BP123" s="68"/>
      <c r="BQ123" s="68"/>
      <c r="BR123" s="68"/>
      <c r="BS123" s="68"/>
      <c r="BT123" s="68"/>
      <c r="BU123" s="32"/>
      <c r="BV123" s="68"/>
      <c r="BW123" s="68"/>
      <c r="BX123" s="32"/>
      <c r="BY123" s="121"/>
      <c r="BZ123" s="122"/>
      <c r="CA123" s="123"/>
      <c r="CB123" s="90"/>
      <c r="CC123" s="89"/>
      <c r="CD123" s="90"/>
      <c r="CE123" s="18"/>
      <c r="CF123" s="10"/>
      <c r="CG123" s="30"/>
      <c r="CH123" s="194"/>
      <c r="CI123" s="30"/>
      <c r="CJ123" s="194"/>
      <c r="CK123" s="30"/>
      <c r="CL123" s="194"/>
      <c r="CN123" s="45"/>
      <c r="CO123" s="45"/>
      <c r="CP123" s="45"/>
      <c r="CQ123" s="45"/>
      <c r="CR123" s="45"/>
      <c r="CS123" s="45"/>
      <c r="CT123" s="45"/>
      <c r="CU123" s="45"/>
      <c r="CV123" s="45"/>
      <c r="CW123" s="45"/>
      <c r="CX123" s="45"/>
      <c r="CY123" s="45"/>
      <c r="CZ123" s="45"/>
      <c r="DA123" s="45"/>
      <c r="DB123" s="45"/>
      <c r="DC123" s="45"/>
      <c r="DD123" s="45"/>
      <c r="DE123" s="45"/>
      <c r="DF123" s="45"/>
      <c r="DG123" s="45"/>
      <c r="DH123" s="45"/>
      <c r="DI123" s="45"/>
      <c r="DJ123" s="45"/>
      <c r="DK123" s="45"/>
      <c r="DL123" s="45"/>
      <c r="DM123" s="45"/>
      <c r="DN123" s="45"/>
      <c r="DO123" s="45"/>
      <c r="DP123" s="45"/>
      <c r="DQ123" s="45"/>
      <c r="DR123" s="45"/>
      <c r="DS123" s="45"/>
      <c r="DT123" s="45"/>
      <c r="DU123" s="45"/>
      <c r="DV123" s="45"/>
      <c r="DW123" s="45"/>
      <c r="DX123" s="45"/>
      <c r="DY123" s="45"/>
      <c r="DZ123" s="45"/>
      <c r="EA123" s="45"/>
      <c r="EB123" s="45"/>
      <c r="EC123" s="45"/>
      <c r="ED123" s="45"/>
      <c r="EE123" s="45"/>
      <c r="EF123" s="45"/>
      <c r="EG123" s="45"/>
      <c r="EH123" s="45"/>
      <c r="EI123" s="45"/>
      <c r="EJ123" s="45"/>
      <c r="EK123" s="45"/>
      <c r="EL123" s="45"/>
      <c r="EM123" s="45"/>
      <c r="EN123" s="45"/>
      <c r="EO123" s="45"/>
    </row>
    <row r="124" spans="1:145" s="50" customFormat="1" ht="16" hidden="1" customHeight="1" x14ac:dyDescent="0.25">
      <c r="A124" s="32"/>
      <c r="B124" s="111"/>
      <c r="C124" s="95" t="s">
        <v>91</v>
      </c>
      <c r="D124" s="95" t="s">
        <v>72</v>
      </c>
      <c r="E124" s="39" t="s">
        <v>18</v>
      </c>
      <c r="F124" s="65"/>
      <c r="G124" s="65"/>
      <c r="H124" s="65"/>
      <c r="I124" s="65"/>
      <c r="J124" s="65"/>
      <c r="K124" s="66"/>
      <c r="L124" s="66"/>
      <c r="M124" s="65"/>
      <c r="N124" s="65"/>
      <c r="O124" s="65"/>
      <c r="P124" s="65"/>
      <c r="Q124" s="65"/>
      <c r="R124" s="66"/>
      <c r="S124" s="66"/>
      <c r="T124" s="65"/>
      <c r="U124" s="65"/>
      <c r="V124" s="65"/>
      <c r="W124" s="65"/>
      <c r="X124" s="65"/>
      <c r="Y124" s="66"/>
      <c r="Z124" s="66"/>
      <c r="AA124" s="65"/>
      <c r="AB124" s="65"/>
      <c r="AC124" s="65"/>
      <c r="AD124" s="65"/>
      <c r="AE124" s="65"/>
      <c r="AF124" s="66"/>
      <c r="AG124" s="66"/>
      <c r="AH124" s="65"/>
      <c r="AI124" s="65"/>
      <c r="AJ124" s="65"/>
      <c r="AK124" s="65"/>
      <c r="AL124" s="65"/>
      <c r="AM124" s="65"/>
      <c r="AN124" s="65"/>
      <c r="AO124" s="65"/>
      <c r="AP124" s="66"/>
      <c r="AQ124" s="66"/>
      <c r="AR124" s="65"/>
      <c r="AS124" s="65"/>
      <c r="AT124" s="65"/>
      <c r="AU124" s="65"/>
      <c r="AV124" s="65"/>
      <c r="AW124" s="66"/>
      <c r="AX124" s="66"/>
      <c r="AY124" s="65"/>
      <c r="AZ124" s="65"/>
      <c r="BA124" s="65"/>
      <c r="BB124" s="65"/>
      <c r="BC124" s="65"/>
      <c r="BD124" s="66"/>
      <c r="BE124" s="66"/>
      <c r="BF124" s="65"/>
      <c r="BG124" s="65"/>
      <c r="BH124" s="65"/>
      <c r="BI124" s="65"/>
      <c r="BJ124" s="65"/>
      <c r="BK124" s="66"/>
      <c r="BL124" s="66"/>
      <c r="BM124" s="65"/>
      <c r="BN124" s="65"/>
      <c r="BO124" s="82">
        <f>SUM(F124:S124)</f>
        <v>0</v>
      </c>
      <c r="BP124" s="22">
        <v>330</v>
      </c>
      <c r="BQ124" s="83">
        <v>0.5</v>
      </c>
      <c r="BR124" s="22">
        <f>BP124*(1-BQ124)</f>
        <v>165</v>
      </c>
      <c r="BS124" s="22">
        <f>BR124*BO124</f>
        <v>0</v>
      </c>
      <c r="BT124" s="84">
        <f>BR124*0.8</f>
        <v>132</v>
      </c>
      <c r="BU124" s="32"/>
      <c r="BV124" s="84">
        <f>BS124*0.8</f>
        <v>0</v>
      </c>
      <c r="BW124" s="84"/>
      <c r="BX124" s="32"/>
      <c r="BY124" s="99">
        <f>BZ124/CC124*100</f>
        <v>3.4399012395689965</v>
      </c>
      <c r="BZ124" s="86">
        <v>7345</v>
      </c>
      <c r="CA124" s="87">
        <f>BY124*BO124</f>
        <v>0</v>
      </c>
      <c r="CB124" s="88">
        <v>433991</v>
      </c>
      <c r="CC124" s="89">
        <v>213523.57200000001</v>
      </c>
      <c r="CD124" s="90">
        <f>CC124*CA124%</f>
        <v>0</v>
      </c>
      <c r="CE124" s="21" t="e">
        <f>BV124/CD124*1000</f>
        <v>#DIV/0!</v>
      </c>
      <c r="CF124" s="10"/>
      <c r="CG124" s="30" t="str">
        <f>C124</f>
        <v>JOVEM PAN FM</v>
      </c>
      <c r="CH124" s="194"/>
      <c r="CI124" s="30" t="e">
        <f>SUM(#REF!)</f>
        <v>#REF!</v>
      </c>
      <c r="CJ124" s="194" t="e">
        <f>#REF!*CI124</f>
        <v>#REF!</v>
      </c>
      <c r="CK124" s="30" t="e">
        <f>SUM(#REF!)</f>
        <v>#REF!</v>
      </c>
      <c r="CL124" s="194" t="e">
        <f>#REF!*CK124</f>
        <v>#REF!</v>
      </c>
      <c r="CN124" s="45"/>
      <c r="CO124" s="45"/>
      <c r="CP124" s="45"/>
      <c r="CQ124" s="45"/>
      <c r="CR124" s="45"/>
      <c r="CS124" s="45"/>
      <c r="CT124" s="45"/>
      <c r="CU124" s="45"/>
      <c r="CV124" s="45"/>
      <c r="CW124" s="45"/>
      <c r="CX124" s="45"/>
      <c r="CY124" s="45"/>
      <c r="CZ124" s="45"/>
      <c r="DA124" s="45"/>
      <c r="DB124" s="45"/>
      <c r="DC124" s="45"/>
      <c r="DD124" s="45"/>
      <c r="DE124" s="45"/>
      <c r="DF124" s="45"/>
      <c r="DG124" s="45"/>
      <c r="DH124" s="45"/>
      <c r="DI124" s="45"/>
      <c r="DJ124" s="45"/>
      <c r="DK124" s="45"/>
      <c r="DL124" s="45"/>
      <c r="DM124" s="45"/>
      <c r="DN124" s="45"/>
      <c r="DO124" s="45"/>
      <c r="DP124" s="45"/>
      <c r="DQ124" s="45"/>
      <c r="DR124" s="45"/>
      <c r="DS124" s="45"/>
      <c r="DT124" s="45"/>
      <c r="DU124" s="45"/>
      <c r="DV124" s="45"/>
      <c r="DW124" s="45"/>
      <c r="DX124" s="45"/>
      <c r="DY124" s="45"/>
      <c r="DZ124" s="45"/>
      <c r="EA124" s="45"/>
      <c r="EB124" s="45"/>
      <c r="EC124" s="45"/>
      <c r="ED124" s="45"/>
      <c r="EE124" s="45"/>
      <c r="EF124" s="45"/>
      <c r="EG124" s="45"/>
      <c r="EH124" s="45"/>
      <c r="EI124" s="45"/>
      <c r="EJ124" s="45"/>
      <c r="EK124" s="45"/>
      <c r="EL124" s="45"/>
      <c r="EM124" s="45"/>
      <c r="EN124" s="45"/>
      <c r="EO124" s="45"/>
    </row>
    <row r="125" spans="1:145" s="50" customFormat="1" ht="16" hidden="1" customHeight="1" x14ac:dyDescent="0.25">
      <c r="A125" s="32"/>
      <c r="B125" s="111"/>
      <c r="C125" s="95"/>
      <c r="D125" s="95"/>
      <c r="E125" s="39"/>
      <c r="F125" s="65"/>
      <c r="G125" s="65"/>
      <c r="H125" s="65"/>
      <c r="I125" s="65"/>
      <c r="J125" s="65"/>
      <c r="K125" s="66"/>
      <c r="L125" s="66"/>
      <c r="M125" s="65"/>
      <c r="N125" s="65"/>
      <c r="O125" s="65"/>
      <c r="P125" s="65"/>
      <c r="Q125" s="65"/>
      <c r="R125" s="66"/>
      <c r="S125" s="66"/>
      <c r="T125" s="65"/>
      <c r="U125" s="65"/>
      <c r="V125" s="65"/>
      <c r="W125" s="65"/>
      <c r="X125" s="65"/>
      <c r="Y125" s="66"/>
      <c r="Z125" s="66"/>
      <c r="AA125" s="65"/>
      <c r="AB125" s="65"/>
      <c r="AC125" s="65"/>
      <c r="AD125" s="65"/>
      <c r="AE125" s="65"/>
      <c r="AF125" s="66"/>
      <c r="AG125" s="66"/>
      <c r="AH125" s="65"/>
      <c r="AI125" s="65"/>
      <c r="AJ125" s="65"/>
      <c r="AK125" s="65"/>
      <c r="AL125" s="65"/>
      <c r="AM125" s="65"/>
      <c r="AN125" s="65"/>
      <c r="AO125" s="65"/>
      <c r="AP125" s="66"/>
      <c r="AQ125" s="66"/>
      <c r="AR125" s="65"/>
      <c r="AS125" s="65"/>
      <c r="AT125" s="65"/>
      <c r="AU125" s="65"/>
      <c r="AV125" s="65"/>
      <c r="AW125" s="66"/>
      <c r="AX125" s="66"/>
      <c r="AY125" s="65"/>
      <c r="AZ125" s="65"/>
      <c r="BA125" s="65"/>
      <c r="BB125" s="65"/>
      <c r="BC125" s="65"/>
      <c r="BD125" s="66"/>
      <c r="BE125" s="66"/>
      <c r="BF125" s="65"/>
      <c r="BG125" s="65"/>
      <c r="BH125" s="65"/>
      <c r="BI125" s="65"/>
      <c r="BJ125" s="65"/>
      <c r="BK125" s="66"/>
      <c r="BL125" s="66"/>
      <c r="BM125" s="65"/>
      <c r="BN125" s="65"/>
      <c r="BO125" s="173"/>
      <c r="BP125" s="104"/>
      <c r="BQ125" s="195"/>
      <c r="BR125" s="104"/>
      <c r="BS125" s="104"/>
      <c r="BT125" s="104"/>
      <c r="BU125" s="32"/>
      <c r="BV125" s="104"/>
      <c r="BW125" s="104"/>
      <c r="BX125" s="32"/>
      <c r="BY125" s="106"/>
      <c r="BZ125" s="107"/>
      <c r="CA125" s="108"/>
      <c r="CB125" s="109"/>
      <c r="CC125" s="110"/>
      <c r="CD125" s="109"/>
      <c r="CE125" s="114"/>
      <c r="CF125" s="10"/>
      <c r="CG125" s="30"/>
      <c r="CH125" s="194"/>
      <c r="CI125" s="30"/>
      <c r="CJ125" s="194"/>
      <c r="CK125" s="30"/>
      <c r="CL125" s="194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  <c r="EN125" s="45"/>
      <c r="EO125" s="45"/>
    </row>
    <row r="126" spans="1:145" s="50" customFormat="1" ht="16" hidden="1" customHeight="1" x14ac:dyDescent="0.25">
      <c r="A126" s="32"/>
      <c r="B126" s="111"/>
      <c r="C126" s="95"/>
      <c r="D126" s="95"/>
      <c r="E126" s="39"/>
      <c r="F126" s="65"/>
      <c r="G126" s="65"/>
      <c r="H126" s="65"/>
      <c r="I126" s="65"/>
      <c r="J126" s="65"/>
      <c r="K126" s="66"/>
      <c r="L126" s="66"/>
      <c r="M126" s="65"/>
      <c r="N126" s="65"/>
      <c r="O126" s="65"/>
      <c r="P126" s="65"/>
      <c r="Q126" s="65"/>
      <c r="R126" s="66"/>
      <c r="S126" s="66"/>
      <c r="T126" s="65"/>
      <c r="U126" s="65"/>
      <c r="V126" s="65"/>
      <c r="W126" s="65"/>
      <c r="X126" s="65"/>
      <c r="Y126" s="66"/>
      <c r="Z126" s="66"/>
      <c r="AA126" s="65"/>
      <c r="AB126" s="65"/>
      <c r="AC126" s="65"/>
      <c r="AD126" s="65"/>
      <c r="AE126" s="65"/>
      <c r="AF126" s="66"/>
      <c r="AG126" s="66"/>
      <c r="AH126" s="65"/>
      <c r="AI126" s="65"/>
      <c r="AJ126" s="65"/>
      <c r="AK126" s="65"/>
      <c r="AL126" s="65"/>
      <c r="AM126" s="65"/>
      <c r="AN126" s="65"/>
      <c r="AO126" s="65"/>
      <c r="AP126" s="66"/>
      <c r="AQ126" s="66"/>
      <c r="AR126" s="65"/>
      <c r="AS126" s="65"/>
      <c r="AT126" s="65"/>
      <c r="AU126" s="65"/>
      <c r="AV126" s="65"/>
      <c r="AW126" s="66"/>
      <c r="AX126" s="66"/>
      <c r="AY126" s="65"/>
      <c r="AZ126" s="65"/>
      <c r="BA126" s="65"/>
      <c r="BB126" s="65"/>
      <c r="BC126" s="65"/>
      <c r="BD126" s="66"/>
      <c r="BE126" s="66"/>
      <c r="BF126" s="65"/>
      <c r="BG126" s="65"/>
      <c r="BH126" s="65"/>
      <c r="BI126" s="65"/>
      <c r="BJ126" s="65"/>
      <c r="BK126" s="66"/>
      <c r="BL126" s="66"/>
      <c r="BM126" s="65"/>
      <c r="BN126" s="65"/>
      <c r="BO126" s="187"/>
      <c r="BP126" s="68"/>
      <c r="BQ126" s="68"/>
      <c r="BR126" s="68"/>
      <c r="BS126" s="68"/>
      <c r="BT126" s="68"/>
      <c r="BU126" s="32"/>
      <c r="BV126" s="68"/>
      <c r="BW126" s="68"/>
      <c r="BX126" s="32"/>
      <c r="BY126" s="121"/>
      <c r="BZ126" s="122"/>
      <c r="CA126" s="123"/>
      <c r="CB126" s="90"/>
      <c r="CC126" s="89"/>
      <c r="CD126" s="90"/>
      <c r="CE126" s="18"/>
      <c r="CF126" s="10"/>
      <c r="CG126" s="30"/>
      <c r="CH126" s="194"/>
      <c r="CI126" s="30"/>
      <c r="CJ126" s="194"/>
      <c r="CK126" s="30"/>
      <c r="CL126" s="194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  <c r="EN126" s="45"/>
      <c r="EO126" s="45"/>
    </row>
    <row r="127" spans="1:145" s="50" customFormat="1" ht="16" hidden="1" customHeight="1" x14ac:dyDescent="0.25">
      <c r="A127" s="32"/>
      <c r="B127" s="111"/>
      <c r="C127" s="95" t="s">
        <v>92</v>
      </c>
      <c r="D127" s="95" t="s">
        <v>72</v>
      </c>
      <c r="E127" s="39" t="s">
        <v>18</v>
      </c>
      <c r="F127" s="65"/>
      <c r="G127" s="65"/>
      <c r="H127" s="65"/>
      <c r="I127" s="65"/>
      <c r="J127" s="65"/>
      <c r="K127" s="66"/>
      <c r="L127" s="66"/>
      <c r="M127" s="65"/>
      <c r="N127" s="65"/>
      <c r="O127" s="65"/>
      <c r="P127" s="65"/>
      <c r="Q127" s="65"/>
      <c r="R127" s="66"/>
      <c r="S127" s="66"/>
      <c r="T127" s="65"/>
      <c r="U127" s="65"/>
      <c r="V127" s="65"/>
      <c r="W127" s="65"/>
      <c r="X127" s="65"/>
      <c r="Y127" s="66"/>
      <c r="Z127" s="66"/>
      <c r="AA127" s="65"/>
      <c r="AB127" s="65"/>
      <c r="AC127" s="65"/>
      <c r="AD127" s="65"/>
      <c r="AE127" s="65"/>
      <c r="AF127" s="66"/>
      <c r="AG127" s="66"/>
      <c r="AH127" s="65"/>
      <c r="AI127" s="65"/>
      <c r="AJ127" s="65"/>
      <c r="AK127" s="65"/>
      <c r="AL127" s="65"/>
      <c r="AM127" s="65"/>
      <c r="AN127" s="65"/>
      <c r="AO127" s="65"/>
      <c r="AP127" s="66"/>
      <c r="AQ127" s="66"/>
      <c r="AR127" s="65"/>
      <c r="AS127" s="65"/>
      <c r="AT127" s="65"/>
      <c r="AU127" s="65"/>
      <c r="AV127" s="65"/>
      <c r="AW127" s="66"/>
      <c r="AX127" s="66"/>
      <c r="AY127" s="65"/>
      <c r="AZ127" s="65"/>
      <c r="BA127" s="65"/>
      <c r="BB127" s="65"/>
      <c r="BC127" s="65"/>
      <c r="BD127" s="66"/>
      <c r="BE127" s="66"/>
      <c r="BF127" s="65"/>
      <c r="BG127" s="65"/>
      <c r="BH127" s="65"/>
      <c r="BI127" s="65"/>
      <c r="BJ127" s="65"/>
      <c r="BK127" s="66"/>
      <c r="BL127" s="66"/>
      <c r="BM127" s="65"/>
      <c r="BN127" s="65"/>
      <c r="BO127" s="82">
        <f>SUM(F127:S127)</f>
        <v>0</v>
      </c>
      <c r="BP127" s="22">
        <v>505</v>
      </c>
      <c r="BQ127" s="83">
        <v>0.6</v>
      </c>
      <c r="BR127" s="22">
        <f>BP127*(1-BQ127)</f>
        <v>202</v>
      </c>
      <c r="BS127" s="22">
        <f>BR127*BO127</f>
        <v>0</v>
      </c>
      <c r="BT127" s="84">
        <f>BR127*0.8</f>
        <v>161.60000000000002</v>
      </c>
      <c r="BU127" s="32"/>
      <c r="BV127" s="84">
        <f>BS127*0.8</f>
        <v>0</v>
      </c>
      <c r="BW127" s="84"/>
      <c r="BX127" s="32"/>
      <c r="BY127" s="99">
        <f>BZ127/CC127*100</f>
        <v>2.1426205814878365</v>
      </c>
      <c r="BZ127" s="86">
        <v>4575</v>
      </c>
      <c r="CA127" s="87">
        <f>BY127*BO127</f>
        <v>0</v>
      </c>
      <c r="CB127" s="88">
        <v>433991</v>
      </c>
      <c r="CC127" s="89">
        <v>213523.57200000001</v>
      </c>
      <c r="CD127" s="90">
        <f>CC127*CA127%</f>
        <v>0</v>
      </c>
      <c r="CE127" s="21" t="e">
        <f>BV127/CD127*1000</f>
        <v>#DIV/0!</v>
      </c>
      <c r="CF127" s="10"/>
      <c r="CG127" s="30" t="str">
        <f>C127</f>
        <v>MIX FM</v>
      </c>
      <c r="CH127" s="194"/>
      <c r="CI127" s="30" t="e">
        <f>SUM(#REF!)</f>
        <v>#REF!</v>
      </c>
      <c r="CJ127" s="194" t="e">
        <f>#REF!*CI127</f>
        <v>#REF!</v>
      </c>
      <c r="CK127" s="30" t="e">
        <f>SUM(#REF!)</f>
        <v>#REF!</v>
      </c>
      <c r="CL127" s="194" t="e">
        <f>#REF!*CK127</f>
        <v>#REF!</v>
      </c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  <c r="EN127" s="45"/>
      <c r="EO127" s="45"/>
    </row>
    <row r="128" spans="1:145" ht="16" hidden="1" customHeight="1" x14ac:dyDescent="0.25">
      <c r="A128" s="32"/>
      <c r="B128" s="111"/>
      <c r="C128" s="95"/>
      <c r="D128" s="95"/>
      <c r="E128" s="39"/>
      <c r="F128" s="65"/>
      <c r="G128" s="65"/>
      <c r="H128" s="65"/>
      <c r="I128" s="65"/>
      <c r="J128" s="65"/>
      <c r="K128" s="66"/>
      <c r="L128" s="66"/>
      <c r="M128" s="65"/>
      <c r="N128" s="65"/>
      <c r="O128" s="65"/>
      <c r="P128" s="65"/>
      <c r="Q128" s="65"/>
      <c r="R128" s="66"/>
      <c r="S128" s="66"/>
      <c r="T128" s="65"/>
      <c r="U128" s="65"/>
      <c r="V128" s="65"/>
      <c r="W128" s="65"/>
      <c r="X128" s="65"/>
      <c r="Y128" s="66"/>
      <c r="Z128" s="66"/>
      <c r="AA128" s="65"/>
      <c r="AB128" s="65"/>
      <c r="AC128" s="65"/>
      <c r="AD128" s="65"/>
      <c r="AE128" s="65"/>
      <c r="AF128" s="66"/>
      <c r="AG128" s="66"/>
      <c r="AH128" s="65"/>
      <c r="AI128" s="65"/>
      <c r="AJ128" s="65"/>
      <c r="AK128" s="65"/>
      <c r="AL128" s="65"/>
      <c r="AM128" s="65"/>
      <c r="AN128" s="65"/>
      <c r="AO128" s="65"/>
      <c r="AP128" s="66"/>
      <c r="AQ128" s="66"/>
      <c r="AR128" s="65"/>
      <c r="AS128" s="65"/>
      <c r="AT128" s="65"/>
      <c r="AU128" s="65"/>
      <c r="AV128" s="65"/>
      <c r="AW128" s="66"/>
      <c r="AX128" s="66"/>
      <c r="AY128" s="65"/>
      <c r="AZ128" s="65"/>
      <c r="BA128" s="65"/>
      <c r="BB128" s="65"/>
      <c r="BC128" s="65"/>
      <c r="BD128" s="66"/>
      <c r="BE128" s="66"/>
      <c r="BF128" s="65"/>
      <c r="BG128" s="65"/>
      <c r="BH128" s="65"/>
      <c r="BI128" s="65"/>
      <c r="BJ128" s="65"/>
      <c r="BK128" s="66"/>
      <c r="BL128" s="66"/>
      <c r="BM128" s="65"/>
      <c r="BN128" s="65"/>
      <c r="BO128" s="173"/>
      <c r="BP128" s="104"/>
      <c r="BQ128" s="195"/>
      <c r="BR128" s="104"/>
      <c r="BS128" s="104"/>
      <c r="BT128" s="104"/>
      <c r="BU128" s="32"/>
      <c r="BV128" s="104"/>
      <c r="BW128" s="104"/>
      <c r="BX128" s="32"/>
      <c r="BY128" s="106"/>
      <c r="BZ128" s="107"/>
      <c r="CA128" s="108"/>
      <c r="CB128" s="109"/>
      <c r="CC128" s="110"/>
      <c r="CD128" s="109"/>
      <c r="CE128" s="114"/>
      <c r="CF128" s="10"/>
      <c r="CH128" s="194"/>
      <c r="CJ128" s="194"/>
      <c r="CL128" s="194"/>
    </row>
    <row r="129" spans="1:145" ht="16" hidden="1" customHeight="1" x14ac:dyDescent="0.25">
      <c r="A129" s="32"/>
      <c r="B129" s="111"/>
      <c r="C129" s="95"/>
      <c r="D129" s="95"/>
      <c r="E129" s="39"/>
      <c r="F129" s="65"/>
      <c r="G129" s="65"/>
      <c r="H129" s="65"/>
      <c r="I129" s="65"/>
      <c r="J129" s="65"/>
      <c r="K129" s="66"/>
      <c r="L129" s="66"/>
      <c r="M129" s="65"/>
      <c r="N129" s="65"/>
      <c r="O129" s="65"/>
      <c r="P129" s="65"/>
      <c r="Q129" s="65"/>
      <c r="R129" s="66"/>
      <c r="S129" s="66"/>
      <c r="T129" s="65"/>
      <c r="U129" s="65"/>
      <c r="V129" s="65"/>
      <c r="W129" s="65"/>
      <c r="X129" s="65"/>
      <c r="Y129" s="66"/>
      <c r="Z129" s="66"/>
      <c r="AA129" s="65"/>
      <c r="AB129" s="65"/>
      <c r="AC129" s="65"/>
      <c r="AD129" s="65"/>
      <c r="AE129" s="65"/>
      <c r="AF129" s="66"/>
      <c r="AG129" s="66"/>
      <c r="AH129" s="65"/>
      <c r="AI129" s="65"/>
      <c r="AJ129" s="65"/>
      <c r="AK129" s="65"/>
      <c r="AL129" s="65"/>
      <c r="AM129" s="65"/>
      <c r="AN129" s="65"/>
      <c r="AO129" s="65"/>
      <c r="AP129" s="66"/>
      <c r="AQ129" s="66"/>
      <c r="AR129" s="65"/>
      <c r="AS129" s="65"/>
      <c r="AT129" s="65"/>
      <c r="AU129" s="65"/>
      <c r="AV129" s="65"/>
      <c r="AW129" s="66"/>
      <c r="AX129" s="66"/>
      <c r="AY129" s="65"/>
      <c r="AZ129" s="65"/>
      <c r="BA129" s="65"/>
      <c r="BB129" s="65"/>
      <c r="BC129" s="65"/>
      <c r="BD129" s="66"/>
      <c r="BE129" s="66"/>
      <c r="BF129" s="65"/>
      <c r="BG129" s="65"/>
      <c r="BH129" s="65"/>
      <c r="BI129" s="65"/>
      <c r="BJ129" s="65"/>
      <c r="BK129" s="66"/>
      <c r="BL129" s="66"/>
      <c r="BM129" s="65"/>
      <c r="BN129" s="65"/>
      <c r="BO129" s="187"/>
      <c r="BP129" s="68"/>
      <c r="BQ129" s="68"/>
      <c r="BR129" s="68"/>
      <c r="BS129" s="68"/>
      <c r="BT129" s="68"/>
      <c r="BU129" s="32"/>
      <c r="BV129" s="68"/>
      <c r="BW129" s="68"/>
      <c r="BX129" s="32"/>
      <c r="BY129" s="121"/>
      <c r="BZ129" s="122"/>
      <c r="CA129" s="123"/>
      <c r="CB129" s="90"/>
      <c r="CC129" s="89"/>
      <c r="CD129" s="90"/>
      <c r="CE129" s="18"/>
      <c r="CF129" s="10"/>
      <c r="CH129" s="194"/>
      <c r="CJ129" s="194"/>
      <c r="CL129" s="194"/>
    </row>
    <row r="130" spans="1:145" ht="16" hidden="1" customHeight="1" x14ac:dyDescent="0.25">
      <c r="A130" s="32"/>
      <c r="B130" s="111"/>
      <c r="C130" s="95" t="s">
        <v>93</v>
      </c>
      <c r="D130" s="95" t="s">
        <v>72</v>
      </c>
      <c r="E130" s="39" t="s">
        <v>18</v>
      </c>
      <c r="F130" s="65"/>
      <c r="G130" s="65"/>
      <c r="H130" s="65"/>
      <c r="I130" s="65"/>
      <c r="J130" s="65"/>
      <c r="K130" s="66"/>
      <c r="L130" s="66"/>
      <c r="M130" s="65"/>
      <c r="N130" s="65"/>
      <c r="O130" s="65"/>
      <c r="P130" s="65"/>
      <c r="Q130" s="65"/>
      <c r="R130" s="66"/>
      <c r="S130" s="66"/>
      <c r="T130" s="65"/>
      <c r="U130" s="65"/>
      <c r="V130" s="65"/>
      <c r="W130" s="65"/>
      <c r="X130" s="65"/>
      <c r="Y130" s="66"/>
      <c r="Z130" s="66"/>
      <c r="AA130" s="65"/>
      <c r="AB130" s="65"/>
      <c r="AC130" s="65"/>
      <c r="AD130" s="65"/>
      <c r="AE130" s="65"/>
      <c r="AF130" s="66"/>
      <c r="AG130" s="66"/>
      <c r="AH130" s="65"/>
      <c r="AI130" s="65"/>
      <c r="AJ130" s="65"/>
      <c r="AK130" s="65"/>
      <c r="AL130" s="65"/>
      <c r="AM130" s="65"/>
      <c r="AN130" s="65"/>
      <c r="AO130" s="65"/>
      <c r="AP130" s="66"/>
      <c r="AQ130" s="66"/>
      <c r="AR130" s="65"/>
      <c r="AS130" s="65"/>
      <c r="AT130" s="65"/>
      <c r="AU130" s="65"/>
      <c r="AV130" s="65"/>
      <c r="AW130" s="66"/>
      <c r="AX130" s="66"/>
      <c r="AY130" s="65"/>
      <c r="AZ130" s="65"/>
      <c r="BA130" s="65"/>
      <c r="BB130" s="65"/>
      <c r="BC130" s="65"/>
      <c r="BD130" s="66"/>
      <c r="BE130" s="66"/>
      <c r="BF130" s="65"/>
      <c r="BG130" s="65"/>
      <c r="BH130" s="65"/>
      <c r="BI130" s="65"/>
      <c r="BJ130" s="65"/>
      <c r="BK130" s="66"/>
      <c r="BL130" s="66"/>
      <c r="BM130" s="65"/>
      <c r="BN130" s="65"/>
      <c r="BO130" s="82">
        <f>SUM(F130:S130)</f>
        <v>0</v>
      </c>
      <c r="BP130" s="22">
        <f>87.5*1.3</f>
        <v>113.75</v>
      </c>
      <c r="BQ130" s="83">
        <v>0.5</v>
      </c>
      <c r="BR130" s="22">
        <f>BP130*(1-BQ130)</f>
        <v>56.875</v>
      </c>
      <c r="BS130" s="22">
        <f>BR130*BO130</f>
        <v>0</v>
      </c>
      <c r="BT130" s="84">
        <f>BR130*0.8</f>
        <v>45.5</v>
      </c>
      <c r="BU130" s="32"/>
      <c r="BV130" s="84">
        <f>BS130*0.8</f>
        <v>0</v>
      </c>
      <c r="BW130" s="84"/>
      <c r="BX130" s="32"/>
      <c r="BY130" s="99">
        <f>BZ130/CC130*100</f>
        <v>0.11146310347412135</v>
      </c>
      <c r="BZ130" s="86">
        <v>238</v>
      </c>
      <c r="CA130" s="87">
        <f>BY130*BO130</f>
        <v>0</v>
      </c>
      <c r="CB130" s="88">
        <v>433991</v>
      </c>
      <c r="CC130" s="89">
        <v>213523.57200000001</v>
      </c>
      <c r="CD130" s="90">
        <f>CC130*CA130%</f>
        <v>0</v>
      </c>
      <c r="CE130" s="21" t="e">
        <f>BV130/CD130*1000</f>
        <v>#DIV/0!</v>
      </c>
      <c r="CF130" s="10"/>
      <c r="CG130" s="30" t="str">
        <f>C130</f>
        <v>BOA NOVA FM</v>
      </c>
      <c r="CH130" s="194"/>
      <c r="CI130" s="30" t="e">
        <f>SUM(#REF!)</f>
        <v>#REF!</v>
      </c>
      <c r="CJ130" s="194" t="e">
        <f>#REF!*CI130</f>
        <v>#REF!</v>
      </c>
      <c r="CK130" s="30" t="e">
        <f>SUM(#REF!)</f>
        <v>#REF!</v>
      </c>
      <c r="CL130" s="194" t="e">
        <f>#REF!*CK130</f>
        <v>#REF!</v>
      </c>
    </row>
    <row r="131" spans="1:145" ht="16" hidden="1" customHeight="1" x14ac:dyDescent="0.25">
      <c r="A131" s="32"/>
      <c r="B131" s="111"/>
      <c r="C131" s="95"/>
      <c r="D131" s="95"/>
      <c r="E131" s="39"/>
      <c r="F131" s="65"/>
      <c r="G131" s="65"/>
      <c r="H131" s="65"/>
      <c r="I131" s="65"/>
      <c r="J131" s="65"/>
      <c r="K131" s="66"/>
      <c r="L131" s="66"/>
      <c r="M131" s="65"/>
      <c r="N131" s="65"/>
      <c r="O131" s="65"/>
      <c r="P131" s="65"/>
      <c r="Q131" s="65"/>
      <c r="R131" s="66"/>
      <c r="S131" s="66"/>
      <c r="T131" s="65"/>
      <c r="U131" s="65"/>
      <c r="V131" s="65"/>
      <c r="W131" s="65"/>
      <c r="X131" s="65"/>
      <c r="Y131" s="66"/>
      <c r="Z131" s="66"/>
      <c r="AA131" s="65"/>
      <c r="AB131" s="65"/>
      <c r="AC131" s="65"/>
      <c r="AD131" s="65"/>
      <c r="AE131" s="65"/>
      <c r="AF131" s="66"/>
      <c r="AG131" s="66"/>
      <c r="AH131" s="65"/>
      <c r="AI131" s="65"/>
      <c r="AJ131" s="65"/>
      <c r="AK131" s="65"/>
      <c r="AL131" s="65"/>
      <c r="AM131" s="65"/>
      <c r="AN131" s="65"/>
      <c r="AO131" s="65"/>
      <c r="AP131" s="66"/>
      <c r="AQ131" s="66"/>
      <c r="AR131" s="65"/>
      <c r="AS131" s="65"/>
      <c r="AT131" s="65"/>
      <c r="AU131" s="65"/>
      <c r="AV131" s="65"/>
      <c r="AW131" s="66"/>
      <c r="AX131" s="66"/>
      <c r="AY131" s="65"/>
      <c r="AZ131" s="65"/>
      <c r="BA131" s="65"/>
      <c r="BB131" s="65"/>
      <c r="BC131" s="65"/>
      <c r="BD131" s="66"/>
      <c r="BE131" s="66"/>
      <c r="BF131" s="65"/>
      <c r="BG131" s="65"/>
      <c r="BH131" s="65"/>
      <c r="BI131" s="65"/>
      <c r="BJ131" s="65"/>
      <c r="BK131" s="66"/>
      <c r="BL131" s="66"/>
      <c r="BM131" s="65"/>
      <c r="BN131" s="65"/>
      <c r="BO131" s="173"/>
      <c r="BP131" s="104"/>
      <c r="BQ131" s="195"/>
      <c r="BR131" s="104"/>
      <c r="BS131" s="104"/>
      <c r="BT131" s="104"/>
      <c r="BU131" s="32"/>
      <c r="BV131" s="104"/>
      <c r="BW131" s="104"/>
      <c r="BX131" s="32"/>
      <c r="BY131" s="106"/>
      <c r="BZ131" s="107"/>
      <c r="CA131" s="108"/>
      <c r="CB131" s="109"/>
      <c r="CC131" s="110"/>
      <c r="CD131" s="109"/>
      <c r="CE131" s="114"/>
      <c r="CF131" s="10"/>
      <c r="CH131" s="194"/>
      <c r="CJ131" s="194"/>
      <c r="CL131" s="194"/>
    </row>
    <row r="132" spans="1:145" ht="16" hidden="1" customHeight="1" x14ac:dyDescent="0.25">
      <c r="A132" s="32"/>
      <c r="B132" s="111"/>
      <c r="C132" s="95"/>
      <c r="D132" s="95"/>
      <c r="E132" s="39"/>
      <c r="F132" s="65"/>
      <c r="G132" s="65"/>
      <c r="H132" s="65"/>
      <c r="I132" s="65"/>
      <c r="J132" s="65"/>
      <c r="K132" s="66"/>
      <c r="L132" s="66"/>
      <c r="M132" s="65"/>
      <c r="N132" s="65"/>
      <c r="O132" s="65"/>
      <c r="P132" s="65"/>
      <c r="Q132" s="65"/>
      <c r="R132" s="66"/>
      <c r="S132" s="66"/>
      <c r="T132" s="65"/>
      <c r="U132" s="65"/>
      <c r="V132" s="65"/>
      <c r="W132" s="65"/>
      <c r="X132" s="65"/>
      <c r="Y132" s="66"/>
      <c r="Z132" s="66"/>
      <c r="AA132" s="65"/>
      <c r="AB132" s="65"/>
      <c r="AC132" s="65"/>
      <c r="AD132" s="65"/>
      <c r="AE132" s="65"/>
      <c r="AF132" s="66"/>
      <c r="AG132" s="66"/>
      <c r="AH132" s="65"/>
      <c r="AI132" s="65"/>
      <c r="AJ132" s="65"/>
      <c r="AK132" s="65"/>
      <c r="AL132" s="65"/>
      <c r="AM132" s="65"/>
      <c r="AN132" s="65"/>
      <c r="AO132" s="65"/>
      <c r="AP132" s="66"/>
      <c r="AQ132" s="66"/>
      <c r="AR132" s="65"/>
      <c r="AS132" s="65"/>
      <c r="AT132" s="65"/>
      <c r="AU132" s="65"/>
      <c r="AV132" s="65"/>
      <c r="AW132" s="66"/>
      <c r="AX132" s="66"/>
      <c r="AY132" s="65"/>
      <c r="AZ132" s="65"/>
      <c r="BA132" s="65"/>
      <c r="BB132" s="65"/>
      <c r="BC132" s="65"/>
      <c r="BD132" s="66"/>
      <c r="BE132" s="66"/>
      <c r="BF132" s="65"/>
      <c r="BG132" s="65"/>
      <c r="BH132" s="65"/>
      <c r="BI132" s="65"/>
      <c r="BJ132" s="65"/>
      <c r="BK132" s="66"/>
      <c r="BL132" s="66"/>
      <c r="BM132" s="65"/>
      <c r="BN132" s="65"/>
      <c r="BO132" s="187"/>
      <c r="BP132" s="68"/>
      <c r="BQ132" s="68"/>
      <c r="BR132" s="68"/>
      <c r="BS132" s="68"/>
      <c r="BT132" s="68"/>
      <c r="BU132" s="32"/>
      <c r="BV132" s="68"/>
      <c r="BW132" s="68"/>
      <c r="BX132" s="32"/>
      <c r="BY132" s="121"/>
      <c r="BZ132" s="122"/>
      <c r="CA132" s="123"/>
      <c r="CB132" s="90"/>
      <c r="CC132" s="89"/>
      <c r="CD132" s="90"/>
      <c r="CE132" s="18"/>
      <c r="CF132" s="10"/>
      <c r="CH132" s="194"/>
      <c r="CJ132" s="194"/>
      <c r="CL132" s="194"/>
    </row>
    <row r="133" spans="1:145" ht="16" hidden="1" customHeight="1" x14ac:dyDescent="0.25">
      <c r="A133" s="32"/>
      <c r="B133" s="111"/>
      <c r="C133" s="95" t="s">
        <v>58</v>
      </c>
      <c r="D133" s="95" t="s">
        <v>72</v>
      </c>
      <c r="E133" s="39" t="s">
        <v>18</v>
      </c>
      <c r="F133" s="65"/>
      <c r="G133" s="65"/>
      <c r="H133" s="65"/>
      <c r="I133" s="65"/>
      <c r="J133" s="65"/>
      <c r="K133" s="66"/>
      <c r="L133" s="66"/>
      <c r="M133" s="65"/>
      <c r="N133" s="65"/>
      <c r="O133" s="65"/>
      <c r="P133" s="65"/>
      <c r="Q133" s="65"/>
      <c r="R133" s="66"/>
      <c r="S133" s="66"/>
      <c r="T133" s="65"/>
      <c r="U133" s="65"/>
      <c r="V133" s="65"/>
      <c r="W133" s="65"/>
      <c r="X133" s="65"/>
      <c r="Y133" s="66"/>
      <c r="Z133" s="66"/>
      <c r="AA133" s="65"/>
      <c r="AB133" s="65"/>
      <c r="AC133" s="65"/>
      <c r="AD133" s="65"/>
      <c r="AE133" s="65"/>
      <c r="AF133" s="66"/>
      <c r="AG133" s="66"/>
      <c r="AH133" s="65"/>
      <c r="AI133" s="65"/>
      <c r="AJ133" s="65"/>
      <c r="AK133" s="65"/>
      <c r="AL133" s="65"/>
      <c r="AM133" s="65"/>
      <c r="AN133" s="65"/>
      <c r="AO133" s="65"/>
      <c r="AP133" s="66"/>
      <c r="AQ133" s="66"/>
      <c r="AR133" s="65"/>
      <c r="AS133" s="65"/>
      <c r="AT133" s="65"/>
      <c r="AU133" s="65"/>
      <c r="AV133" s="65"/>
      <c r="AW133" s="66"/>
      <c r="AX133" s="66"/>
      <c r="AY133" s="65"/>
      <c r="AZ133" s="65"/>
      <c r="BA133" s="65"/>
      <c r="BB133" s="65"/>
      <c r="BC133" s="65"/>
      <c r="BD133" s="66"/>
      <c r="BE133" s="66"/>
      <c r="BF133" s="65"/>
      <c r="BG133" s="65"/>
      <c r="BH133" s="65"/>
      <c r="BI133" s="65"/>
      <c r="BJ133" s="65"/>
      <c r="BK133" s="66"/>
      <c r="BL133" s="66"/>
      <c r="BM133" s="65"/>
      <c r="BN133" s="65"/>
      <c r="BO133" s="82">
        <f>SUM(F133:S133)</f>
        <v>0</v>
      </c>
      <c r="BP133" s="22">
        <v>1058</v>
      </c>
      <c r="BQ133" s="83">
        <v>0.7</v>
      </c>
      <c r="BR133" s="22">
        <f>BP133*(1-BQ133)</f>
        <v>317.40000000000003</v>
      </c>
      <c r="BS133" s="22">
        <f>BR133*BO133</f>
        <v>0</v>
      </c>
      <c r="BT133" s="84">
        <f>BR133*0.8</f>
        <v>253.92000000000004</v>
      </c>
      <c r="BU133" s="32"/>
      <c r="BV133" s="84">
        <f>BS133*0.8</f>
        <v>0</v>
      </c>
      <c r="BW133" s="84"/>
      <c r="BX133" s="32"/>
      <c r="BY133" s="99">
        <f>BZ133/CC133*100</f>
        <v>0.58635212415798277</v>
      </c>
      <c r="BZ133" s="86">
        <v>1252</v>
      </c>
      <c r="CA133" s="87">
        <f>BY133*BO133</f>
        <v>0</v>
      </c>
      <c r="CB133" s="88">
        <v>433991</v>
      </c>
      <c r="CC133" s="89">
        <v>213523.57200000001</v>
      </c>
      <c r="CD133" s="90">
        <f>CC133*(CA133+CA134)%</f>
        <v>0</v>
      </c>
      <c r="CE133" s="21" t="e">
        <f>BV133/CD133*1000</f>
        <v>#DIV/0!</v>
      </c>
      <c r="CF133" s="10"/>
      <c r="CG133" s="30" t="str">
        <f>C133</f>
        <v>KISS FM</v>
      </c>
      <c r="CH133" s="194"/>
      <c r="CI133" s="30" t="e">
        <f>SUM(#REF!)</f>
        <v>#REF!</v>
      </c>
      <c r="CJ133" s="194" t="e">
        <f>#REF!*CI133</f>
        <v>#REF!</v>
      </c>
      <c r="CK133" s="30" t="e">
        <f>SUM(#REF!)</f>
        <v>#REF!</v>
      </c>
      <c r="CL133" s="194" t="e">
        <f>#REF!*CK133</f>
        <v>#REF!</v>
      </c>
    </row>
    <row r="134" spans="1:145" ht="16" hidden="1" customHeight="1" x14ac:dyDescent="0.25">
      <c r="A134" s="32"/>
      <c r="B134" s="111"/>
      <c r="C134" s="95"/>
      <c r="D134" s="95"/>
      <c r="E134" s="39"/>
      <c r="F134" s="65"/>
      <c r="G134" s="65"/>
      <c r="H134" s="65"/>
      <c r="I134" s="65"/>
      <c r="J134" s="65"/>
      <c r="K134" s="66"/>
      <c r="L134" s="66"/>
      <c r="M134" s="65"/>
      <c r="N134" s="65"/>
      <c r="O134" s="65"/>
      <c r="P134" s="65"/>
      <c r="Q134" s="65"/>
      <c r="R134" s="66"/>
      <c r="S134" s="66"/>
      <c r="T134" s="65"/>
      <c r="U134" s="65"/>
      <c r="V134" s="65"/>
      <c r="W134" s="65"/>
      <c r="X134" s="65"/>
      <c r="Y134" s="66"/>
      <c r="Z134" s="66"/>
      <c r="AA134" s="65"/>
      <c r="AB134" s="65"/>
      <c r="AC134" s="65"/>
      <c r="AD134" s="65"/>
      <c r="AE134" s="65"/>
      <c r="AF134" s="66"/>
      <c r="AG134" s="66"/>
      <c r="AH134" s="65"/>
      <c r="AI134" s="65"/>
      <c r="AJ134" s="65"/>
      <c r="AK134" s="65"/>
      <c r="AL134" s="65"/>
      <c r="AM134" s="65"/>
      <c r="AN134" s="65"/>
      <c r="AO134" s="65"/>
      <c r="AP134" s="66"/>
      <c r="AQ134" s="66"/>
      <c r="AR134" s="65"/>
      <c r="AS134" s="65"/>
      <c r="AT134" s="65"/>
      <c r="AU134" s="65"/>
      <c r="AV134" s="65"/>
      <c r="AW134" s="66"/>
      <c r="AX134" s="66"/>
      <c r="AY134" s="65"/>
      <c r="AZ134" s="65"/>
      <c r="BA134" s="65"/>
      <c r="BB134" s="65"/>
      <c r="BC134" s="65"/>
      <c r="BD134" s="66"/>
      <c r="BE134" s="66"/>
      <c r="BF134" s="65"/>
      <c r="BG134" s="65"/>
      <c r="BH134" s="65"/>
      <c r="BI134" s="65"/>
      <c r="BJ134" s="65"/>
      <c r="BK134" s="66"/>
      <c r="BL134" s="66"/>
      <c r="BM134" s="65"/>
      <c r="BN134" s="65"/>
      <c r="BO134" s="82">
        <f>SUM(F134:S134)</f>
        <v>0</v>
      </c>
      <c r="BP134" s="22">
        <v>847.8</v>
      </c>
      <c r="BQ134" s="83">
        <v>1</v>
      </c>
      <c r="BR134" s="22">
        <f>BP134*(1-BQ134)</f>
        <v>0</v>
      </c>
      <c r="BS134" s="22">
        <f>BR134*BO134</f>
        <v>0</v>
      </c>
      <c r="BT134" s="84">
        <f>BR134*0.8</f>
        <v>0</v>
      </c>
      <c r="BU134" s="32"/>
      <c r="BV134" s="84">
        <f>BS134*0.8</f>
        <v>0</v>
      </c>
      <c r="BW134" s="84"/>
      <c r="BX134" s="32"/>
      <c r="BY134" s="201"/>
      <c r="BZ134" s="157"/>
      <c r="CA134" s="87">
        <f>BY133*BO134</f>
        <v>0</v>
      </c>
      <c r="CB134" s="89"/>
      <c r="CC134" s="89"/>
      <c r="CD134" s="90"/>
      <c r="CE134" s="21"/>
      <c r="CF134" s="10"/>
      <c r="CH134" s="194"/>
      <c r="CJ134" s="194"/>
      <c r="CL134" s="194"/>
    </row>
    <row r="135" spans="1:145" ht="16" hidden="1" customHeight="1" x14ac:dyDescent="0.25">
      <c r="A135" s="32"/>
      <c r="B135" s="111"/>
      <c r="C135" s="95"/>
      <c r="D135" s="95"/>
      <c r="E135" s="39"/>
      <c r="F135" s="65"/>
      <c r="G135" s="65"/>
      <c r="H135" s="65"/>
      <c r="I135" s="65"/>
      <c r="J135" s="65"/>
      <c r="K135" s="66"/>
      <c r="L135" s="66"/>
      <c r="M135" s="65"/>
      <c r="N135" s="65"/>
      <c r="O135" s="65"/>
      <c r="P135" s="65"/>
      <c r="Q135" s="65"/>
      <c r="R135" s="66"/>
      <c r="S135" s="66"/>
      <c r="T135" s="65"/>
      <c r="U135" s="65"/>
      <c r="V135" s="65"/>
      <c r="W135" s="65"/>
      <c r="X135" s="65"/>
      <c r="Y135" s="66"/>
      <c r="Z135" s="66"/>
      <c r="AA135" s="65"/>
      <c r="AB135" s="65"/>
      <c r="AC135" s="65"/>
      <c r="AD135" s="65"/>
      <c r="AE135" s="65"/>
      <c r="AF135" s="66"/>
      <c r="AG135" s="66"/>
      <c r="AH135" s="65"/>
      <c r="AI135" s="65"/>
      <c r="AJ135" s="65"/>
      <c r="AK135" s="65"/>
      <c r="AL135" s="65"/>
      <c r="AM135" s="65"/>
      <c r="AN135" s="65"/>
      <c r="AO135" s="65"/>
      <c r="AP135" s="66"/>
      <c r="AQ135" s="66"/>
      <c r="AR135" s="65"/>
      <c r="AS135" s="65"/>
      <c r="AT135" s="65"/>
      <c r="AU135" s="65"/>
      <c r="AV135" s="65"/>
      <c r="AW135" s="66"/>
      <c r="AX135" s="66"/>
      <c r="AY135" s="65"/>
      <c r="AZ135" s="65"/>
      <c r="BA135" s="65"/>
      <c r="BB135" s="65"/>
      <c r="BC135" s="65"/>
      <c r="BD135" s="66"/>
      <c r="BE135" s="66"/>
      <c r="BF135" s="65"/>
      <c r="BG135" s="65"/>
      <c r="BH135" s="65"/>
      <c r="BI135" s="65"/>
      <c r="BJ135" s="65"/>
      <c r="BK135" s="66"/>
      <c r="BL135" s="66"/>
      <c r="BM135" s="65"/>
      <c r="BN135" s="65"/>
      <c r="BO135" s="173"/>
      <c r="BP135" s="104"/>
      <c r="BQ135" s="195"/>
      <c r="BR135" s="104"/>
      <c r="BS135" s="104"/>
      <c r="BT135" s="104"/>
      <c r="BU135" s="32"/>
      <c r="BV135" s="104"/>
      <c r="BW135" s="104"/>
      <c r="BX135" s="32"/>
      <c r="BY135" s="106"/>
      <c r="BZ135" s="107"/>
      <c r="CA135" s="108"/>
      <c r="CB135" s="109"/>
      <c r="CC135" s="110"/>
      <c r="CD135" s="109"/>
      <c r="CE135" s="114"/>
      <c r="CF135" s="10"/>
      <c r="CH135" s="194"/>
      <c r="CJ135" s="194"/>
      <c r="CL135" s="194"/>
    </row>
    <row r="136" spans="1:145" ht="16" hidden="1" customHeight="1" x14ac:dyDescent="0.25">
      <c r="A136" s="32"/>
      <c r="B136" s="25" t="s">
        <v>94</v>
      </c>
      <c r="C136" s="139"/>
      <c r="D136" s="139"/>
      <c r="E136" s="139"/>
      <c r="F136" s="40">
        <f t="shared" ref="F136:V136" si="15">SUM(F111:F135)</f>
        <v>0</v>
      </c>
      <c r="G136" s="40">
        <f t="shared" si="15"/>
        <v>0</v>
      </c>
      <c r="H136" s="40">
        <f t="shared" si="15"/>
        <v>0</v>
      </c>
      <c r="I136" s="40">
        <f t="shared" si="15"/>
        <v>0</v>
      </c>
      <c r="J136" s="40">
        <f t="shared" si="15"/>
        <v>0</v>
      </c>
      <c r="K136" s="40">
        <f t="shared" si="15"/>
        <v>0</v>
      </c>
      <c r="L136" s="40">
        <f t="shared" si="15"/>
        <v>0</v>
      </c>
      <c r="M136" s="40">
        <f t="shared" si="15"/>
        <v>0</v>
      </c>
      <c r="N136" s="40">
        <f t="shared" si="15"/>
        <v>0</v>
      </c>
      <c r="O136" s="40">
        <f t="shared" si="15"/>
        <v>0</v>
      </c>
      <c r="P136" s="40">
        <f t="shared" si="15"/>
        <v>0</v>
      </c>
      <c r="Q136" s="40">
        <f t="shared" si="15"/>
        <v>0</v>
      </c>
      <c r="R136" s="40">
        <f t="shared" si="15"/>
        <v>0</v>
      </c>
      <c r="S136" s="40">
        <f t="shared" si="15"/>
        <v>0</v>
      </c>
      <c r="T136" s="40">
        <f t="shared" si="15"/>
        <v>0</v>
      </c>
      <c r="U136" s="40">
        <f t="shared" si="15"/>
        <v>0</v>
      </c>
      <c r="V136" s="40">
        <f t="shared" si="15"/>
        <v>0</v>
      </c>
      <c r="W136" s="40">
        <f t="shared" ref="W136:BO136" si="16">SUM(W111:W135)</f>
        <v>0</v>
      </c>
      <c r="X136" s="40">
        <f t="shared" si="16"/>
        <v>0</v>
      </c>
      <c r="Y136" s="40">
        <f t="shared" si="16"/>
        <v>0</v>
      </c>
      <c r="Z136" s="40">
        <f t="shared" si="16"/>
        <v>0</v>
      </c>
      <c r="AA136" s="40">
        <f t="shared" si="16"/>
        <v>0</v>
      </c>
      <c r="AB136" s="40">
        <f t="shared" si="16"/>
        <v>0</v>
      </c>
      <c r="AC136" s="40">
        <f t="shared" si="16"/>
        <v>0</v>
      </c>
      <c r="AD136" s="40">
        <f t="shared" si="16"/>
        <v>0</v>
      </c>
      <c r="AE136" s="40">
        <f t="shared" si="16"/>
        <v>0</v>
      </c>
      <c r="AF136" s="40">
        <f t="shared" si="16"/>
        <v>0</v>
      </c>
      <c r="AG136" s="40">
        <f t="shared" si="16"/>
        <v>0</v>
      </c>
      <c r="AH136" s="40">
        <f t="shared" si="16"/>
        <v>0</v>
      </c>
      <c r="AI136" s="40">
        <f t="shared" si="16"/>
        <v>0</v>
      </c>
      <c r="AJ136" s="40">
        <f t="shared" si="16"/>
        <v>0</v>
      </c>
      <c r="AK136" s="40">
        <f t="shared" si="16"/>
        <v>0</v>
      </c>
      <c r="AL136" s="40">
        <f t="shared" si="16"/>
        <v>0</v>
      </c>
      <c r="AM136" s="40">
        <f t="shared" si="16"/>
        <v>0</v>
      </c>
      <c r="AN136" s="40">
        <f t="shared" si="16"/>
        <v>0</v>
      </c>
      <c r="AO136" s="40">
        <f t="shared" si="16"/>
        <v>0</v>
      </c>
      <c r="AP136" s="40">
        <f t="shared" si="16"/>
        <v>0</v>
      </c>
      <c r="AQ136" s="40">
        <f t="shared" si="16"/>
        <v>0</v>
      </c>
      <c r="AR136" s="40">
        <f t="shared" si="16"/>
        <v>0</v>
      </c>
      <c r="AS136" s="40">
        <f t="shared" si="16"/>
        <v>0</v>
      </c>
      <c r="AT136" s="40">
        <f t="shared" si="16"/>
        <v>0</v>
      </c>
      <c r="AU136" s="40">
        <f t="shared" si="16"/>
        <v>0</v>
      </c>
      <c r="AV136" s="40">
        <f t="shared" si="16"/>
        <v>0</v>
      </c>
      <c r="AW136" s="40">
        <f t="shared" si="16"/>
        <v>0</v>
      </c>
      <c r="AX136" s="40">
        <f t="shared" si="16"/>
        <v>0</v>
      </c>
      <c r="AY136" s="40">
        <f t="shared" si="16"/>
        <v>0</v>
      </c>
      <c r="AZ136" s="40">
        <f t="shared" si="16"/>
        <v>0</v>
      </c>
      <c r="BA136" s="40">
        <f t="shared" si="16"/>
        <v>0</v>
      </c>
      <c r="BB136" s="40">
        <f t="shared" si="16"/>
        <v>0</v>
      </c>
      <c r="BC136" s="40">
        <f t="shared" si="16"/>
        <v>0</v>
      </c>
      <c r="BD136" s="40">
        <f t="shared" si="16"/>
        <v>0</v>
      </c>
      <c r="BE136" s="40">
        <f t="shared" si="16"/>
        <v>0</v>
      </c>
      <c r="BF136" s="40">
        <f t="shared" si="16"/>
        <v>0</v>
      </c>
      <c r="BG136" s="40">
        <f t="shared" si="16"/>
        <v>0</v>
      </c>
      <c r="BH136" s="40">
        <f t="shared" si="16"/>
        <v>0</v>
      </c>
      <c r="BI136" s="40">
        <f t="shared" si="16"/>
        <v>0</v>
      </c>
      <c r="BJ136" s="40">
        <f t="shared" si="16"/>
        <v>0</v>
      </c>
      <c r="BK136" s="40">
        <f t="shared" si="16"/>
        <v>0</v>
      </c>
      <c r="BL136" s="40">
        <f t="shared" si="16"/>
        <v>0</v>
      </c>
      <c r="BM136" s="40">
        <f t="shared" si="16"/>
        <v>0</v>
      </c>
      <c r="BN136" s="40">
        <f t="shared" si="16"/>
        <v>0</v>
      </c>
      <c r="BO136" s="40">
        <f t="shared" si="16"/>
        <v>0</v>
      </c>
      <c r="BP136" s="141"/>
      <c r="BQ136" s="141"/>
      <c r="BR136" s="141"/>
      <c r="BS136" s="141">
        <f>SUM(BS111:BS135)</f>
        <v>0</v>
      </c>
      <c r="BT136" s="141">
        <f>SUM(BT111:BT135)</f>
        <v>1138.7860000000001</v>
      </c>
      <c r="BU136" s="43"/>
      <c r="BV136" s="141">
        <f>SUM(BV111:BV135)</f>
        <v>0</v>
      </c>
      <c r="BW136" s="141"/>
      <c r="BX136" s="43"/>
      <c r="BY136" s="196"/>
      <c r="BZ136" s="197"/>
      <c r="CA136" s="198"/>
      <c r="CB136" s="147"/>
      <c r="CC136" s="147"/>
      <c r="CD136" s="199">
        <f>SUM(CD111:CD135)</f>
        <v>0</v>
      </c>
      <c r="CE136" s="149" t="e">
        <f>BV136/CD136*1000</f>
        <v>#DIV/0!</v>
      </c>
      <c r="CF136" s="10"/>
      <c r="CH136" s="194"/>
      <c r="CJ136" s="194"/>
      <c r="CL136" s="194"/>
    </row>
    <row r="137" spans="1:145" ht="16" hidden="1" customHeight="1" x14ac:dyDescent="0.25">
      <c r="A137" s="32"/>
      <c r="B137" s="183"/>
      <c r="C137" s="184"/>
      <c r="D137" s="185"/>
      <c r="E137" s="186"/>
      <c r="F137" s="65"/>
      <c r="G137" s="66"/>
      <c r="H137" s="66"/>
      <c r="I137" s="65"/>
      <c r="J137" s="65"/>
      <c r="K137" s="65"/>
      <c r="L137" s="65"/>
      <c r="M137" s="65"/>
      <c r="N137" s="66"/>
      <c r="O137" s="66"/>
      <c r="P137" s="65"/>
      <c r="Q137" s="65"/>
      <c r="R137" s="65"/>
      <c r="S137" s="65"/>
      <c r="T137" s="65"/>
      <c r="U137" s="66"/>
      <c r="V137" s="66"/>
      <c r="W137" s="65"/>
      <c r="X137" s="65"/>
      <c r="Y137" s="65"/>
      <c r="Z137" s="65"/>
      <c r="AA137" s="65"/>
      <c r="AB137" s="66"/>
      <c r="AC137" s="66"/>
      <c r="AD137" s="65"/>
      <c r="AE137" s="65"/>
      <c r="AF137" s="65"/>
      <c r="AG137" s="65"/>
      <c r="AH137" s="65"/>
      <c r="AI137" s="66"/>
      <c r="AJ137" s="66"/>
      <c r="AK137" s="65"/>
      <c r="AL137" s="66"/>
      <c r="AM137" s="66"/>
      <c r="AN137" s="65"/>
      <c r="AO137" s="65"/>
      <c r="AP137" s="65"/>
      <c r="AQ137" s="65"/>
      <c r="AR137" s="65"/>
      <c r="AS137" s="66"/>
      <c r="AT137" s="66"/>
      <c r="AU137" s="65"/>
      <c r="AV137" s="65"/>
      <c r="AW137" s="65"/>
      <c r="AX137" s="65"/>
      <c r="AY137" s="65"/>
      <c r="AZ137" s="66"/>
      <c r="BA137" s="66"/>
      <c r="BB137" s="65"/>
      <c r="BC137" s="65"/>
      <c r="BD137" s="65"/>
      <c r="BE137" s="65"/>
      <c r="BF137" s="65"/>
      <c r="BG137" s="66"/>
      <c r="BH137" s="66"/>
      <c r="BI137" s="65"/>
      <c r="BJ137" s="65"/>
      <c r="BK137" s="65"/>
      <c r="BL137" s="65"/>
      <c r="BM137" s="65"/>
      <c r="BN137" s="66"/>
      <c r="BO137" s="118"/>
      <c r="BP137" s="68"/>
      <c r="BQ137" s="68"/>
      <c r="BR137" s="68"/>
      <c r="BS137" s="68"/>
      <c r="BT137" s="200"/>
      <c r="BU137" s="32"/>
      <c r="BV137" s="200"/>
      <c r="BW137" s="200"/>
      <c r="BX137" s="32"/>
      <c r="BY137" s="188"/>
      <c r="BZ137" s="189"/>
      <c r="CA137" s="190"/>
      <c r="CB137" s="191"/>
      <c r="CC137" s="192"/>
      <c r="CD137" s="191"/>
      <c r="CE137" s="18"/>
      <c r="CF137" s="10"/>
      <c r="CH137" s="194"/>
      <c r="CJ137" s="194"/>
      <c r="CL137" s="194"/>
    </row>
    <row r="138" spans="1:145" s="152" customFormat="1" ht="16" hidden="1" customHeight="1" x14ac:dyDescent="0.4">
      <c r="A138" s="43"/>
      <c r="C138" s="81" t="s">
        <v>95</v>
      </c>
      <c r="D138" s="95" t="s">
        <v>72</v>
      </c>
      <c r="E138" s="39" t="s">
        <v>18</v>
      </c>
      <c r="F138" s="65"/>
      <c r="G138" s="66"/>
      <c r="H138" s="66"/>
      <c r="I138" s="65"/>
      <c r="J138" s="65"/>
      <c r="K138" s="65"/>
      <c r="L138" s="65"/>
      <c r="M138" s="65"/>
      <c r="N138" s="66"/>
      <c r="O138" s="66"/>
      <c r="P138" s="65"/>
      <c r="Q138" s="65"/>
      <c r="R138" s="65"/>
      <c r="S138" s="65"/>
      <c r="T138" s="65"/>
      <c r="U138" s="66"/>
      <c r="V138" s="66"/>
      <c r="W138" s="65"/>
      <c r="X138" s="65"/>
      <c r="Y138" s="65"/>
      <c r="Z138" s="65"/>
      <c r="AA138" s="65"/>
      <c r="AB138" s="66"/>
      <c r="AC138" s="66"/>
      <c r="AD138" s="65"/>
      <c r="AE138" s="65"/>
      <c r="AF138" s="65"/>
      <c r="AG138" s="65"/>
      <c r="AH138" s="65"/>
      <c r="AI138" s="66"/>
      <c r="AJ138" s="66"/>
      <c r="AK138" s="65"/>
      <c r="AL138" s="66"/>
      <c r="AM138" s="66"/>
      <c r="AN138" s="65"/>
      <c r="AO138" s="65"/>
      <c r="AP138" s="65"/>
      <c r="AQ138" s="65"/>
      <c r="AR138" s="65"/>
      <c r="AS138" s="66"/>
      <c r="AT138" s="66"/>
      <c r="AU138" s="65"/>
      <c r="AV138" s="65"/>
      <c r="AW138" s="65"/>
      <c r="AX138" s="65"/>
      <c r="AY138" s="65"/>
      <c r="AZ138" s="66"/>
      <c r="BA138" s="66"/>
      <c r="BB138" s="65"/>
      <c r="BC138" s="65"/>
      <c r="BD138" s="65"/>
      <c r="BE138" s="65"/>
      <c r="BF138" s="65"/>
      <c r="BG138" s="66"/>
      <c r="BH138" s="66"/>
      <c r="BI138" s="65"/>
      <c r="BJ138" s="65"/>
      <c r="BK138" s="65"/>
      <c r="BL138" s="65"/>
      <c r="BM138" s="65"/>
      <c r="BN138" s="66"/>
      <c r="BO138" s="82" t="e">
        <f>SUM(#REF!)</f>
        <v>#REF!</v>
      </c>
      <c r="BP138" s="22"/>
      <c r="BQ138" s="83">
        <v>0.4</v>
      </c>
      <c r="BR138" s="22">
        <f>BP138*(1-BQ138)</f>
        <v>0</v>
      </c>
      <c r="BS138" s="22" t="e">
        <f>BR138*BO138</f>
        <v>#REF!</v>
      </c>
      <c r="BT138" s="84">
        <f>BR138*0.8</f>
        <v>0</v>
      </c>
      <c r="BU138" s="32"/>
      <c r="BV138" s="84" t="e">
        <f>BS138*0.8</f>
        <v>#REF!</v>
      </c>
      <c r="BW138" s="84"/>
      <c r="BX138" s="32"/>
      <c r="BY138" s="99">
        <f>BZ138/CC138*100</f>
        <v>2.4049146420022272</v>
      </c>
      <c r="BZ138" s="86">
        <v>3796</v>
      </c>
      <c r="CA138" s="87">
        <v>192.39317136017817</v>
      </c>
      <c r="CB138" s="88">
        <v>320820</v>
      </c>
      <c r="CC138" s="89">
        <v>157843.44</v>
      </c>
      <c r="CD138" s="90"/>
      <c r="CE138" s="114" t="e">
        <f>BV138/CD138*1000</f>
        <v>#REF!</v>
      </c>
      <c r="CF138" s="160"/>
      <c r="CG138" s="30" t="s">
        <v>95</v>
      </c>
      <c r="CH138" s="194"/>
      <c r="CI138" s="30" t="e">
        <f>SUM(#REF!)</f>
        <v>#REF!</v>
      </c>
      <c r="CJ138" s="194" t="e">
        <f>#REF!*CI138</f>
        <v>#REF!</v>
      </c>
      <c r="CK138" s="30" t="e">
        <f>SUM(#REF!)</f>
        <v>#REF!</v>
      </c>
      <c r="CL138" s="194" t="e">
        <f>#REF!*CK138</f>
        <v>#REF!</v>
      </c>
      <c r="CM138" s="151"/>
    </row>
    <row r="139" spans="1:145" ht="16" hidden="1" customHeight="1" x14ac:dyDescent="0.25">
      <c r="A139" s="32"/>
      <c r="B139" s="202"/>
      <c r="C139" s="116"/>
      <c r="D139" s="95"/>
      <c r="E139" s="39"/>
      <c r="F139" s="65"/>
      <c r="G139" s="65"/>
      <c r="H139" s="65"/>
      <c r="I139" s="65"/>
      <c r="J139" s="65"/>
      <c r="K139" s="66"/>
      <c r="L139" s="66"/>
      <c r="M139" s="65"/>
      <c r="N139" s="65"/>
      <c r="O139" s="65"/>
      <c r="P139" s="65"/>
      <c r="Q139" s="65"/>
      <c r="R139" s="66"/>
      <c r="S139" s="66"/>
      <c r="T139" s="65"/>
      <c r="U139" s="65"/>
      <c r="V139" s="65"/>
      <c r="W139" s="65"/>
      <c r="X139" s="65"/>
      <c r="Y139" s="66"/>
      <c r="Z139" s="66"/>
      <c r="AA139" s="65"/>
      <c r="AB139" s="65"/>
      <c r="AC139" s="65"/>
      <c r="AD139" s="65"/>
      <c r="AE139" s="65"/>
      <c r="AF139" s="66"/>
      <c r="AG139" s="66"/>
      <c r="AH139" s="65"/>
      <c r="AI139" s="65"/>
      <c r="AJ139" s="65"/>
      <c r="AK139" s="65"/>
      <c r="AL139" s="65"/>
      <c r="AM139" s="65"/>
      <c r="AN139" s="65"/>
      <c r="AO139" s="65"/>
      <c r="AP139" s="66"/>
      <c r="AQ139" s="66"/>
      <c r="AR139" s="65"/>
      <c r="AS139" s="65"/>
      <c r="AT139" s="65"/>
      <c r="AU139" s="65"/>
      <c r="AV139" s="65"/>
      <c r="AW139" s="66"/>
      <c r="AX139" s="66"/>
      <c r="AY139" s="65"/>
      <c r="AZ139" s="65"/>
      <c r="BA139" s="65"/>
      <c r="BB139" s="65"/>
      <c r="BC139" s="65"/>
      <c r="BD139" s="66"/>
      <c r="BE139" s="66"/>
      <c r="BF139" s="65"/>
      <c r="BG139" s="65"/>
      <c r="BH139" s="65"/>
      <c r="BI139" s="65"/>
      <c r="BJ139" s="65"/>
      <c r="BK139" s="66"/>
      <c r="BL139" s="66"/>
      <c r="BM139" s="65"/>
      <c r="BN139" s="65"/>
      <c r="BO139" s="118"/>
      <c r="BP139" s="68"/>
      <c r="BQ139" s="68"/>
      <c r="BR139" s="68"/>
      <c r="BS139" s="68"/>
      <c r="BT139" s="200"/>
      <c r="BU139" s="32"/>
      <c r="BV139" s="200"/>
      <c r="BW139" s="200"/>
      <c r="BX139" s="32"/>
      <c r="BY139" s="188"/>
      <c r="BZ139" s="189"/>
      <c r="CA139" s="190"/>
      <c r="CB139" s="191"/>
      <c r="CC139" s="192"/>
      <c r="CD139" s="191"/>
      <c r="CE139" s="18"/>
      <c r="CF139" s="10"/>
      <c r="CH139" s="194"/>
      <c r="CJ139" s="194"/>
      <c r="CL139" s="194"/>
    </row>
    <row r="140" spans="1:145" ht="16" hidden="1" customHeight="1" x14ac:dyDescent="0.25">
      <c r="A140" s="32"/>
      <c r="B140" s="93" t="s">
        <v>96</v>
      </c>
      <c r="C140" s="81" t="s">
        <v>97</v>
      </c>
      <c r="D140" s="95" t="s">
        <v>72</v>
      </c>
      <c r="E140" s="36" t="s">
        <v>18</v>
      </c>
      <c r="F140" s="65"/>
      <c r="G140" s="65"/>
      <c r="H140" s="65"/>
      <c r="I140" s="65"/>
      <c r="J140" s="65"/>
      <c r="K140" s="66"/>
      <c r="L140" s="66"/>
      <c r="M140" s="65"/>
      <c r="N140" s="65"/>
      <c r="O140" s="65"/>
      <c r="P140" s="65"/>
      <c r="Q140" s="65"/>
      <c r="R140" s="66"/>
      <c r="S140" s="66"/>
      <c r="T140" s="65"/>
      <c r="U140" s="65"/>
      <c r="V140" s="65"/>
      <c r="W140" s="65"/>
      <c r="X140" s="65"/>
      <c r="Y140" s="66"/>
      <c r="Z140" s="66"/>
      <c r="AA140" s="65"/>
      <c r="AB140" s="65"/>
      <c r="AC140" s="65"/>
      <c r="AD140" s="65"/>
      <c r="AE140" s="65"/>
      <c r="AF140" s="66"/>
      <c r="AG140" s="66"/>
      <c r="AH140" s="65"/>
      <c r="AI140" s="65"/>
      <c r="AJ140" s="65"/>
      <c r="AK140" s="65"/>
      <c r="AL140" s="65"/>
      <c r="AM140" s="65"/>
      <c r="AN140" s="65"/>
      <c r="AO140" s="65"/>
      <c r="AP140" s="66"/>
      <c r="AQ140" s="66"/>
      <c r="AR140" s="65"/>
      <c r="AS140" s="65"/>
      <c r="AT140" s="65"/>
      <c r="AU140" s="65"/>
      <c r="AV140" s="65"/>
      <c r="AW140" s="66"/>
      <c r="AX140" s="66"/>
      <c r="AY140" s="65"/>
      <c r="AZ140" s="65"/>
      <c r="BA140" s="65"/>
      <c r="BB140" s="65"/>
      <c r="BC140" s="65"/>
      <c r="BD140" s="66"/>
      <c r="BE140" s="66"/>
      <c r="BF140" s="65"/>
      <c r="BG140" s="65"/>
      <c r="BH140" s="65"/>
      <c r="BI140" s="65"/>
      <c r="BJ140" s="65"/>
      <c r="BK140" s="66"/>
      <c r="BL140" s="66"/>
      <c r="BM140" s="65"/>
      <c r="BN140" s="65"/>
      <c r="BO140" s="175">
        <f>SUM(F140:AI140)</f>
        <v>0</v>
      </c>
      <c r="BP140" s="22">
        <v>197.36842105263159</v>
      </c>
      <c r="BQ140" s="83">
        <v>0</v>
      </c>
      <c r="BR140" s="22">
        <f>BP140*(1-BQ140)</f>
        <v>197.36842105263159</v>
      </c>
      <c r="BS140" s="22">
        <v>15000</v>
      </c>
      <c r="BT140" s="84">
        <f>BR140*0.8</f>
        <v>157.89473684210529</v>
      </c>
      <c r="BU140" s="32"/>
      <c r="BV140" s="84">
        <f>BS140*0.8</f>
        <v>12000</v>
      </c>
      <c r="BW140" s="84"/>
      <c r="BX140" s="32"/>
      <c r="BY140" s="99">
        <f>BZ140/CC140*100</f>
        <v>3.4401176254141443</v>
      </c>
      <c r="BZ140" s="122">
        <v>5430</v>
      </c>
      <c r="CA140" s="123">
        <f>BY140*BO140</f>
        <v>0</v>
      </c>
      <c r="CB140" s="90">
        <v>320820</v>
      </c>
      <c r="CC140" s="89">
        <v>157843.44</v>
      </c>
      <c r="CD140" s="90">
        <f>CC140*CA140%</f>
        <v>0</v>
      </c>
      <c r="CE140" s="21" t="e">
        <f>BV140/CD140*1000</f>
        <v>#DIV/0!</v>
      </c>
      <c r="CF140" s="10"/>
      <c r="CG140" s="30" t="s">
        <v>97</v>
      </c>
      <c r="CH140" s="194"/>
      <c r="CI140" s="30" t="e">
        <f>SUM(#REF!)</f>
        <v>#REF!</v>
      </c>
      <c r="CJ140" s="194">
        <f>BX140/2</f>
        <v>0</v>
      </c>
      <c r="CK140" s="30" t="e">
        <f>SUM(#REF!)</f>
        <v>#REF!</v>
      </c>
      <c r="CL140" s="194">
        <f>BZ140/2</f>
        <v>2715</v>
      </c>
    </row>
    <row r="141" spans="1:145" ht="16" hidden="1" customHeight="1" x14ac:dyDescent="0.25">
      <c r="A141" s="32"/>
      <c r="B141" s="202"/>
      <c r="C141" s="116" t="s">
        <v>98</v>
      </c>
      <c r="D141" s="42"/>
      <c r="E141" s="117"/>
      <c r="F141" s="65"/>
      <c r="G141" s="65"/>
      <c r="H141" s="65"/>
      <c r="I141" s="65"/>
      <c r="J141" s="65"/>
      <c r="K141" s="66"/>
      <c r="L141" s="66"/>
      <c r="M141" s="65"/>
      <c r="N141" s="65"/>
      <c r="O141" s="65"/>
      <c r="P141" s="65"/>
      <c r="Q141" s="65"/>
      <c r="R141" s="66"/>
      <c r="S141" s="66"/>
      <c r="T141" s="65"/>
      <c r="U141" s="65"/>
      <c r="V141" s="65"/>
      <c r="W141" s="65"/>
      <c r="X141" s="65"/>
      <c r="Y141" s="66"/>
      <c r="Z141" s="66"/>
      <c r="AA141" s="65"/>
      <c r="AB141" s="65"/>
      <c r="AC141" s="65"/>
      <c r="AD141" s="65"/>
      <c r="AE141" s="65"/>
      <c r="AF141" s="66"/>
      <c r="AG141" s="66"/>
      <c r="AH141" s="65"/>
      <c r="AI141" s="65"/>
      <c r="AJ141" s="65"/>
      <c r="AK141" s="65"/>
      <c r="AL141" s="65"/>
      <c r="AM141" s="65"/>
      <c r="AN141" s="65"/>
      <c r="AO141" s="65"/>
      <c r="AP141" s="66"/>
      <c r="AQ141" s="66"/>
      <c r="AR141" s="65"/>
      <c r="AS141" s="65"/>
      <c r="AT141" s="65"/>
      <c r="AU141" s="65"/>
      <c r="AV141" s="65"/>
      <c r="AW141" s="66"/>
      <c r="AX141" s="66"/>
      <c r="AY141" s="65"/>
      <c r="AZ141" s="65"/>
      <c r="BA141" s="65"/>
      <c r="BB141" s="65"/>
      <c r="BC141" s="65"/>
      <c r="BD141" s="66"/>
      <c r="BE141" s="66"/>
      <c r="BF141" s="65"/>
      <c r="BG141" s="65"/>
      <c r="BH141" s="65"/>
      <c r="BI141" s="65"/>
      <c r="BJ141" s="65"/>
      <c r="BK141" s="66"/>
      <c r="BL141" s="66"/>
      <c r="BM141" s="65"/>
      <c r="BN141" s="65"/>
      <c r="BO141" s="203"/>
      <c r="BP141" s="22"/>
      <c r="BQ141" s="22"/>
      <c r="BR141" s="22"/>
      <c r="BS141" s="22"/>
      <c r="BT141" s="22"/>
      <c r="BU141" s="32"/>
      <c r="BV141" s="22"/>
      <c r="BW141" s="22"/>
      <c r="BX141" s="32"/>
      <c r="BY141" s="121"/>
      <c r="BZ141" s="122"/>
      <c r="CA141" s="123"/>
      <c r="CB141" s="90"/>
      <c r="CC141" s="89"/>
      <c r="CD141" s="90"/>
      <c r="CE141" s="114"/>
      <c r="CF141" s="10"/>
      <c r="CH141" s="194"/>
      <c r="CJ141" s="194"/>
      <c r="CL141" s="194"/>
    </row>
    <row r="142" spans="1:145" ht="16" hidden="1" customHeight="1" x14ac:dyDescent="0.25">
      <c r="A142" s="32"/>
      <c r="B142" s="202"/>
      <c r="C142" s="81"/>
      <c r="D142" s="95"/>
      <c r="E142" s="39"/>
      <c r="F142" s="65"/>
      <c r="G142" s="65"/>
      <c r="H142" s="65"/>
      <c r="I142" s="65"/>
      <c r="J142" s="65"/>
      <c r="K142" s="66"/>
      <c r="L142" s="66"/>
      <c r="M142" s="65"/>
      <c r="N142" s="65"/>
      <c r="O142" s="65"/>
      <c r="P142" s="65"/>
      <c r="Q142" s="65"/>
      <c r="R142" s="66"/>
      <c r="S142" s="66"/>
      <c r="T142" s="65"/>
      <c r="U142" s="65"/>
      <c r="V142" s="65"/>
      <c r="W142" s="65"/>
      <c r="X142" s="65"/>
      <c r="Y142" s="66"/>
      <c r="Z142" s="66"/>
      <c r="AA142" s="65"/>
      <c r="AB142" s="65"/>
      <c r="AC142" s="65"/>
      <c r="AD142" s="65"/>
      <c r="AE142" s="65"/>
      <c r="AF142" s="66"/>
      <c r="AG142" s="66"/>
      <c r="AH142" s="65"/>
      <c r="AI142" s="65"/>
      <c r="AJ142" s="65"/>
      <c r="AK142" s="65"/>
      <c r="AL142" s="65"/>
      <c r="AM142" s="65"/>
      <c r="AN142" s="65"/>
      <c r="AO142" s="65"/>
      <c r="AP142" s="66"/>
      <c r="AQ142" s="66"/>
      <c r="AR142" s="65"/>
      <c r="AS142" s="65"/>
      <c r="AT142" s="65"/>
      <c r="AU142" s="65"/>
      <c r="AV142" s="65"/>
      <c r="AW142" s="66"/>
      <c r="AX142" s="66"/>
      <c r="AY142" s="65"/>
      <c r="AZ142" s="65"/>
      <c r="BA142" s="65"/>
      <c r="BB142" s="65"/>
      <c r="BC142" s="65"/>
      <c r="BD142" s="66"/>
      <c r="BE142" s="66"/>
      <c r="BF142" s="65"/>
      <c r="BG142" s="65"/>
      <c r="BH142" s="65"/>
      <c r="BI142" s="65"/>
      <c r="BJ142" s="65"/>
      <c r="BK142" s="66"/>
      <c r="BL142" s="66"/>
      <c r="BM142" s="65"/>
      <c r="BN142" s="65"/>
      <c r="BO142" s="118"/>
      <c r="BP142" s="68"/>
      <c r="BQ142" s="68"/>
      <c r="BR142" s="68"/>
      <c r="BS142" s="68"/>
      <c r="BT142" s="200"/>
      <c r="BU142" s="32"/>
      <c r="BV142" s="200"/>
      <c r="BW142" s="200"/>
      <c r="BX142" s="32"/>
      <c r="BY142" s="188"/>
      <c r="BZ142" s="189"/>
      <c r="CA142" s="190"/>
      <c r="CB142" s="191"/>
      <c r="CC142" s="192"/>
      <c r="CD142" s="191"/>
      <c r="CE142" s="18"/>
      <c r="CF142" s="10"/>
      <c r="CH142" s="194"/>
      <c r="CJ142" s="194"/>
      <c r="CL142" s="194"/>
    </row>
    <row r="143" spans="1:145" ht="16" hidden="1" customHeight="1" x14ac:dyDescent="0.25">
      <c r="A143" s="32"/>
      <c r="B143" s="202"/>
      <c r="C143" s="81" t="s">
        <v>99</v>
      </c>
      <c r="D143" s="95" t="s">
        <v>72</v>
      </c>
      <c r="E143" s="36" t="s">
        <v>18</v>
      </c>
      <c r="F143" s="65"/>
      <c r="G143" s="65"/>
      <c r="H143" s="65"/>
      <c r="I143" s="65"/>
      <c r="J143" s="65"/>
      <c r="K143" s="66"/>
      <c r="L143" s="66"/>
      <c r="M143" s="65"/>
      <c r="N143" s="65"/>
      <c r="O143" s="65"/>
      <c r="P143" s="65"/>
      <c r="Q143" s="65"/>
      <c r="R143" s="66"/>
      <c r="S143" s="66"/>
      <c r="T143" s="65"/>
      <c r="U143" s="65"/>
      <c r="V143" s="65"/>
      <c r="W143" s="65"/>
      <c r="X143" s="65"/>
      <c r="Y143" s="66"/>
      <c r="Z143" s="66"/>
      <c r="AA143" s="65"/>
      <c r="AB143" s="65"/>
      <c r="AC143" s="65"/>
      <c r="AD143" s="65"/>
      <c r="AE143" s="65"/>
      <c r="AF143" s="66"/>
      <c r="AG143" s="66"/>
      <c r="AH143" s="65"/>
      <c r="AI143" s="65"/>
      <c r="AJ143" s="65"/>
      <c r="AK143" s="65"/>
      <c r="AL143" s="65"/>
      <c r="AM143" s="65"/>
      <c r="AN143" s="65"/>
      <c r="AO143" s="65"/>
      <c r="AP143" s="66"/>
      <c r="AQ143" s="66"/>
      <c r="AR143" s="65"/>
      <c r="AS143" s="65"/>
      <c r="AT143" s="65"/>
      <c r="AU143" s="65"/>
      <c r="AV143" s="65"/>
      <c r="AW143" s="66"/>
      <c r="AX143" s="66"/>
      <c r="AY143" s="65"/>
      <c r="AZ143" s="65"/>
      <c r="BA143" s="65"/>
      <c r="BB143" s="65"/>
      <c r="BC143" s="65"/>
      <c r="BD143" s="66"/>
      <c r="BE143" s="66"/>
      <c r="BF143" s="65"/>
      <c r="BG143" s="65"/>
      <c r="BH143" s="65"/>
      <c r="BI143" s="65"/>
      <c r="BJ143" s="65"/>
      <c r="BK143" s="66"/>
      <c r="BL143" s="66"/>
      <c r="BM143" s="65"/>
      <c r="BN143" s="65"/>
      <c r="BO143" s="175">
        <f>SUM(F143:AI143)</f>
        <v>0</v>
      </c>
      <c r="BP143" s="22">
        <v>131.57894736842104</v>
      </c>
      <c r="BQ143" s="83">
        <v>0</v>
      </c>
      <c r="BR143" s="22">
        <f>BP143*(1-BQ143)</f>
        <v>131.57894736842104</v>
      </c>
      <c r="BS143" s="22">
        <v>10000</v>
      </c>
      <c r="BT143" s="84">
        <f>BR143*0.8</f>
        <v>105.26315789473684</v>
      </c>
      <c r="BU143" s="32"/>
      <c r="BV143" s="84">
        <f>BS143*0.8</f>
        <v>8000</v>
      </c>
      <c r="BW143" s="84"/>
      <c r="BX143" s="32"/>
      <c r="BY143" s="99">
        <f>BZ143/CC143*100</f>
        <v>2.5183181512009623</v>
      </c>
      <c r="BZ143" s="122">
        <v>3975</v>
      </c>
      <c r="CA143" s="123">
        <f>BY143*BO143</f>
        <v>0</v>
      </c>
      <c r="CB143" s="90">
        <v>320820</v>
      </c>
      <c r="CC143" s="89">
        <v>157843.44</v>
      </c>
      <c r="CD143" s="90">
        <f>CC143*CA143%</f>
        <v>0</v>
      </c>
      <c r="CE143" s="21" t="e">
        <f>BV143/CD143*1000</f>
        <v>#DIV/0!</v>
      </c>
      <c r="CF143" s="10"/>
      <c r="CG143" s="30" t="str">
        <f>C143</f>
        <v>STEREO VALE</v>
      </c>
      <c r="CH143" s="194"/>
      <c r="CI143" s="30" t="e">
        <f>SUM(#REF!)</f>
        <v>#REF!</v>
      </c>
      <c r="CJ143" s="194">
        <f>BX143/2</f>
        <v>0</v>
      </c>
      <c r="CK143" s="30" t="e">
        <f>SUM(#REF!)</f>
        <v>#REF!</v>
      </c>
      <c r="CL143" s="194">
        <f>BZ143/2</f>
        <v>1987.5</v>
      </c>
    </row>
    <row r="144" spans="1:145" s="50" customFormat="1" ht="16" hidden="1" customHeight="1" x14ac:dyDescent="0.25">
      <c r="A144" s="32"/>
      <c r="B144" s="202"/>
      <c r="C144" s="116" t="s">
        <v>98</v>
      </c>
      <c r="D144" s="42"/>
      <c r="E144" s="117"/>
      <c r="F144" s="65"/>
      <c r="G144" s="65"/>
      <c r="H144" s="65"/>
      <c r="I144" s="65"/>
      <c r="J144" s="65"/>
      <c r="K144" s="66"/>
      <c r="L144" s="66"/>
      <c r="M144" s="65"/>
      <c r="N144" s="65"/>
      <c r="O144" s="65"/>
      <c r="P144" s="65"/>
      <c r="Q144" s="65"/>
      <c r="R144" s="66"/>
      <c r="S144" s="66"/>
      <c r="T144" s="65"/>
      <c r="U144" s="65"/>
      <c r="V144" s="65"/>
      <c r="W144" s="65"/>
      <c r="X144" s="65"/>
      <c r="Y144" s="66"/>
      <c r="Z144" s="66"/>
      <c r="AA144" s="65"/>
      <c r="AB144" s="65"/>
      <c r="AC144" s="65"/>
      <c r="AD144" s="65"/>
      <c r="AE144" s="65"/>
      <c r="AF144" s="66"/>
      <c r="AG144" s="66"/>
      <c r="AH144" s="65"/>
      <c r="AI144" s="65"/>
      <c r="AJ144" s="65"/>
      <c r="AK144" s="65"/>
      <c r="AL144" s="65"/>
      <c r="AM144" s="65"/>
      <c r="AN144" s="65"/>
      <c r="AO144" s="65"/>
      <c r="AP144" s="66"/>
      <c r="AQ144" s="66"/>
      <c r="AR144" s="65"/>
      <c r="AS144" s="65"/>
      <c r="AT144" s="65"/>
      <c r="AU144" s="65"/>
      <c r="AV144" s="65"/>
      <c r="AW144" s="66"/>
      <c r="AX144" s="66"/>
      <c r="AY144" s="65"/>
      <c r="AZ144" s="65"/>
      <c r="BA144" s="65"/>
      <c r="BB144" s="65"/>
      <c r="BC144" s="65"/>
      <c r="BD144" s="66"/>
      <c r="BE144" s="66"/>
      <c r="BF144" s="65"/>
      <c r="BG144" s="65"/>
      <c r="BH144" s="65"/>
      <c r="BI144" s="65"/>
      <c r="BJ144" s="65"/>
      <c r="BK144" s="66"/>
      <c r="BL144" s="66"/>
      <c r="BM144" s="65"/>
      <c r="BN144" s="65"/>
      <c r="BO144" s="203"/>
      <c r="BP144" s="22"/>
      <c r="BQ144" s="22"/>
      <c r="BR144" s="22"/>
      <c r="BS144" s="22"/>
      <c r="BT144" s="22"/>
      <c r="BU144" s="32"/>
      <c r="BV144" s="22"/>
      <c r="BW144" s="22"/>
      <c r="BX144" s="32"/>
      <c r="BY144" s="121"/>
      <c r="BZ144" s="122"/>
      <c r="CA144" s="123"/>
      <c r="CB144" s="90"/>
      <c r="CC144" s="89"/>
      <c r="CD144" s="90"/>
      <c r="CE144" s="114"/>
      <c r="CF144" s="10"/>
      <c r="CG144" s="30"/>
      <c r="CH144" s="194"/>
      <c r="CI144" s="30"/>
      <c r="CJ144" s="194"/>
      <c r="CK144" s="30"/>
      <c r="CL144" s="194"/>
      <c r="CN144" s="45"/>
      <c r="CO144" s="45"/>
      <c r="CP144" s="45"/>
      <c r="CQ144" s="45"/>
      <c r="CR144" s="45"/>
      <c r="CS144" s="45"/>
      <c r="CT144" s="45"/>
      <c r="CU144" s="45"/>
      <c r="CV144" s="45"/>
      <c r="CW144" s="45"/>
      <c r="CX144" s="45"/>
      <c r="CY144" s="45"/>
      <c r="CZ144" s="45"/>
      <c r="DA144" s="45"/>
      <c r="DB144" s="45"/>
      <c r="DC144" s="45"/>
      <c r="DD144" s="45"/>
      <c r="DE144" s="45"/>
      <c r="DF144" s="45"/>
      <c r="DG144" s="45"/>
      <c r="DH144" s="45"/>
      <c r="DI144" s="45"/>
      <c r="DJ144" s="45"/>
      <c r="DK144" s="45"/>
      <c r="DL144" s="45"/>
      <c r="DM144" s="45"/>
      <c r="DN144" s="45"/>
      <c r="DO144" s="45"/>
      <c r="DP144" s="45"/>
      <c r="DQ144" s="45"/>
      <c r="DR144" s="45"/>
      <c r="DS144" s="45"/>
      <c r="DT144" s="45"/>
      <c r="DU144" s="45"/>
      <c r="DV144" s="45"/>
      <c r="DW144" s="45"/>
      <c r="DX144" s="45"/>
      <c r="DY144" s="45"/>
      <c r="DZ144" s="45"/>
      <c r="EA144" s="45"/>
      <c r="EB144" s="45"/>
      <c r="EC144" s="45"/>
      <c r="ED144" s="45"/>
      <c r="EE144" s="45"/>
      <c r="EF144" s="45"/>
      <c r="EG144" s="45"/>
      <c r="EH144" s="45"/>
      <c r="EI144" s="45"/>
      <c r="EJ144" s="45"/>
      <c r="EK144" s="45"/>
      <c r="EL144" s="45"/>
      <c r="EM144" s="45"/>
      <c r="EN144" s="45"/>
      <c r="EO144" s="45"/>
    </row>
    <row r="145" spans="1:145" s="50" customFormat="1" ht="16" hidden="1" customHeight="1" x14ac:dyDescent="0.25">
      <c r="A145" s="32"/>
      <c r="B145" s="202"/>
      <c r="C145" s="81"/>
      <c r="D145" s="95"/>
      <c r="E145" s="39"/>
      <c r="F145" s="65"/>
      <c r="G145" s="65"/>
      <c r="H145" s="65"/>
      <c r="I145" s="65"/>
      <c r="J145" s="65"/>
      <c r="K145" s="66"/>
      <c r="L145" s="66"/>
      <c r="M145" s="65"/>
      <c r="N145" s="65"/>
      <c r="O145" s="65"/>
      <c r="P145" s="65"/>
      <c r="Q145" s="65"/>
      <c r="R145" s="66"/>
      <c r="S145" s="66"/>
      <c r="T145" s="65"/>
      <c r="U145" s="65"/>
      <c r="V145" s="65"/>
      <c r="W145" s="65"/>
      <c r="X145" s="65"/>
      <c r="Y145" s="66"/>
      <c r="Z145" s="66"/>
      <c r="AA145" s="65"/>
      <c r="AB145" s="65"/>
      <c r="AC145" s="65"/>
      <c r="AD145" s="65"/>
      <c r="AE145" s="65"/>
      <c r="AF145" s="66"/>
      <c r="AG145" s="66"/>
      <c r="AH145" s="65"/>
      <c r="AI145" s="65"/>
      <c r="AJ145" s="65"/>
      <c r="AK145" s="65"/>
      <c r="AL145" s="65"/>
      <c r="AM145" s="65"/>
      <c r="AN145" s="65"/>
      <c r="AO145" s="65"/>
      <c r="AP145" s="66"/>
      <c r="AQ145" s="66"/>
      <c r="AR145" s="65"/>
      <c r="AS145" s="65"/>
      <c r="AT145" s="65"/>
      <c r="AU145" s="65"/>
      <c r="AV145" s="65"/>
      <c r="AW145" s="66"/>
      <c r="AX145" s="66"/>
      <c r="AY145" s="65"/>
      <c r="AZ145" s="65"/>
      <c r="BA145" s="65"/>
      <c r="BB145" s="65"/>
      <c r="BC145" s="65"/>
      <c r="BD145" s="66"/>
      <c r="BE145" s="66"/>
      <c r="BF145" s="65"/>
      <c r="BG145" s="65"/>
      <c r="BH145" s="65"/>
      <c r="BI145" s="65"/>
      <c r="BJ145" s="65"/>
      <c r="BK145" s="66"/>
      <c r="BL145" s="66"/>
      <c r="BM145" s="65"/>
      <c r="BN145" s="65"/>
      <c r="BO145" s="118"/>
      <c r="BP145" s="68"/>
      <c r="BQ145" s="68"/>
      <c r="BR145" s="68"/>
      <c r="BS145" s="68"/>
      <c r="BT145" s="200"/>
      <c r="BU145" s="32"/>
      <c r="BV145" s="200"/>
      <c r="BW145" s="200"/>
      <c r="BX145" s="32"/>
      <c r="BY145" s="188"/>
      <c r="BZ145" s="189"/>
      <c r="CA145" s="190"/>
      <c r="CB145" s="191"/>
      <c r="CC145" s="192"/>
      <c r="CD145" s="191"/>
      <c r="CE145" s="18"/>
      <c r="CF145" s="10"/>
      <c r="CG145" s="30"/>
      <c r="CH145" s="194"/>
      <c r="CI145" s="30"/>
      <c r="CJ145" s="194"/>
      <c r="CK145" s="30"/>
      <c r="CL145" s="194"/>
      <c r="CN145" s="45"/>
      <c r="CO145" s="45"/>
      <c r="CP145" s="45"/>
      <c r="CQ145" s="45"/>
      <c r="CR145" s="45"/>
      <c r="CS145" s="45"/>
      <c r="CT145" s="45"/>
      <c r="CU145" s="45"/>
      <c r="CV145" s="45"/>
      <c r="CW145" s="45"/>
      <c r="CX145" s="45"/>
      <c r="CY145" s="45"/>
      <c r="CZ145" s="45"/>
      <c r="DA145" s="45"/>
      <c r="DB145" s="45"/>
      <c r="DC145" s="45"/>
      <c r="DD145" s="45"/>
      <c r="DE145" s="45"/>
      <c r="DF145" s="45"/>
      <c r="DG145" s="45"/>
      <c r="DH145" s="45"/>
      <c r="DI145" s="45"/>
      <c r="DJ145" s="45"/>
      <c r="DK145" s="45"/>
      <c r="DL145" s="45"/>
      <c r="DM145" s="45"/>
      <c r="DN145" s="45"/>
      <c r="DO145" s="45"/>
      <c r="DP145" s="45"/>
      <c r="DQ145" s="45"/>
      <c r="DR145" s="45"/>
      <c r="DS145" s="45"/>
      <c r="DT145" s="45"/>
      <c r="DU145" s="45"/>
      <c r="DV145" s="45"/>
      <c r="DW145" s="45"/>
      <c r="DX145" s="45"/>
      <c r="DY145" s="45"/>
      <c r="DZ145" s="45"/>
      <c r="EA145" s="45"/>
      <c r="EB145" s="45"/>
      <c r="EC145" s="45"/>
      <c r="ED145" s="45"/>
      <c r="EE145" s="45"/>
      <c r="EF145" s="45"/>
      <c r="EG145" s="45"/>
      <c r="EH145" s="45"/>
      <c r="EI145" s="45"/>
      <c r="EJ145" s="45"/>
      <c r="EK145" s="45"/>
      <c r="EL145" s="45"/>
      <c r="EM145" s="45"/>
      <c r="EN145" s="45"/>
      <c r="EO145" s="45"/>
    </row>
    <row r="146" spans="1:145" s="50" customFormat="1" ht="16" hidden="1" customHeight="1" x14ac:dyDescent="0.25">
      <c r="A146" s="32"/>
      <c r="B146" s="202"/>
      <c r="C146" s="81" t="s">
        <v>50</v>
      </c>
      <c r="D146" s="95" t="s">
        <v>72</v>
      </c>
      <c r="E146" s="36" t="s">
        <v>18</v>
      </c>
      <c r="F146" s="65"/>
      <c r="G146" s="65"/>
      <c r="H146" s="65"/>
      <c r="I146" s="65"/>
      <c r="J146" s="65"/>
      <c r="K146" s="66"/>
      <c r="L146" s="66"/>
      <c r="M146" s="65"/>
      <c r="N146" s="65"/>
      <c r="O146" s="65"/>
      <c r="P146" s="65"/>
      <c r="Q146" s="65"/>
      <c r="R146" s="66"/>
      <c r="S146" s="66"/>
      <c r="T146" s="65"/>
      <c r="U146" s="65"/>
      <c r="V146" s="65"/>
      <c r="W146" s="65"/>
      <c r="X146" s="65"/>
      <c r="Y146" s="66"/>
      <c r="Z146" s="66"/>
      <c r="AA146" s="65"/>
      <c r="AB146" s="65"/>
      <c r="AC146" s="65"/>
      <c r="AD146" s="65"/>
      <c r="AE146" s="65"/>
      <c r="AF146" s="66"/>
      <c r="AG146" s="66"/>
      <c r="AH146" s="65"/>
      <c r="AI146" s="65"/>
      <c r="AJ146" s="65"/>
      <c r="AK146" s="65"/>
      <c r="AL146" s="65"/>
      <c r="AM146" s="65"/>
      <c r="AN146" s="65"/>
      <c r="AO146" s="65"/>
      <c r="AP146" s="66"/>
      <c r="AQ146" s="66"/>
      <c r="AR146" s="65"/>
      <c r="AS146" s="65"/>
      <c r="AT146" s="65"/>
      <c r="AU146" s="65"/>
      <c r="AV146" s="65"/>
      <c r="AW146" s="66"/>
      <c r="AX146" s="66"/>
      <c r="AY146" s="65"/>
      <c r="AZ146" s="65"/>
      <c r="BA146" s="65"/>
      <c r="BB146" s="65"/>
      <c r="BC146" s="65"/>
      <c r="BD146" s="66"/>
      <c r="BE146" s="66"/>
      <c r="BF146" s="65"/>
      <c r="BG146" s="65"/>
      <c r="BH146" s="65"/>
      <c r="BI146" s="65"/>
      <c r="BJ146" s="65"/>
      <c r="BK146" s="66"/>
      <c r="BL146" s="66"/>
      <c r="BM146" s="65"/>
      <c r="BN146" s="65"/>
      <c r="BO146" s="175">
        <f>SUM(F146:AI146)</f>
        <v>0</v>
      </c>
      <c r="BP146" s="22">
        <v>157.89473684210526</v>
      </c>
      <c r="BQ146" s="83">
        <v>0</v>
      </c>
      <c r="BR146" s="22">
        <f>BP146*(1-BQ146)</f>
        <v>157.89473684210526</v>
      </c>
      <c r="BS146" s="22">
        <v>12000</v>
      </c>
      <c r="BT146" s="84">
        <f>BR146*0.8</f>
        <v>126.31578947368422</v>
      </c>
      <c r="BU146" s="32"/>
      <c r="BV146" s="84">
        <f>BS146*0.8</f>
        <v>9600</v>
      </c>
      <c r="BW146" s="84"/>
      <c r="BX146" s="32"/>
      <c r="BY146" s="99">
        <f>BZ146/CC146*100</f>
        <v>5.2780147214226956</v>
      </c>
      <c r="BZ146" s="122">
        <v>8331</v>
      </c>
      <c r="CA146" s="123">
        <f>BY146*BO146</f>
        <v>0</v>
      </c>
      <c r="CB146" s="90">
        <v>320820</v>
      </c>
      <c r="CC146" s="89">
        <v>157843.44</v>
      </c>
      <c r="CD146" s="90">
        <f>CC146*CA146%</f>
        <v>0</v>
      </c>
      <c r="CE146" s="21" t="e">
        <f>BV146/CD146*1000</f>
        <v>#DIV/0!</v>
      </c>
      <c r="CF146" s="10"/>
      <c r="CG146" s="30" t="str">
        <f>C146</f>
        <v>NATIVA FM</v>
      </c>
      <c r="CH146" s="194"/>
      <c r="CI146" s="30" t="e">
        <f>SUM(#REF!)</f>
        <v>#REF!</v>
      </c>
      <c r="CJ146" s="194">
        <f>BX146/2</f>
        <v>0</v>
      </c>
      <c r="CK146" s="30" t="e">
        <f>SUM(#REF!)</f>
        <v>#REF!</v>
      </c>
      <c r="CL146" s="194">
        <f>BZ146/2</f>
        <v>4165.5</v>
      </c>
      <c r="CN146" s="45"/>
      <c r="CO146" s="45"/>
      <c r="CP146" s="45"/>
      <c r="CQ146" s="45"/>
      <c r="CR146" s="45"/>
      <c r="CS146" s="45"/>
      <c r="CT146" s="45"/>
      <c r="CU146" s="45"/>
      <c r="CV146" s="45"/>
      <c r="CW146" s="45"/>
      <c r="CX146" s="45"/>
      <c r="CY146" s="45"/>
      <c r="CZ146" s="45"/>
      <c r="DA146" s="45"/>
      <c r="DB146" s="45"/>
      <c r="DC146" s="45"/>
      <c r="DD146" s="45"/>
      <c r="DE146" s="45"/>
      <c r="DF146" s="45"/>
      <c r="DG146" s="45"/>
      <c r="DH146" s="45"/>
      <c r="DI146" s="45"/>
      <c r="DJ146" s="45"/>
      <c r="DK146" s="45"/>
      <c r="DL146" s="45"/>
      <c r="DM146" s="45"/>
      <c r="DN146" s="45"/>
      <c r="DO146" s="45"/>
      <c r="DP146" s="45"/>
      <c r="DQ146" s="45"/>
      <c r="DR146" s="45"/>
      <c r="DS146" s="45"/>
      <c r="DT146" s="45"/>
      <c r="DU146" s="45"/>
      <c r="DV146" s="45"/>
      <c r="DW146" s="45"/>
      <c r="DX146" s="45"/>
      <c r="DY146" s="45"/>
      <c r="DZ146" s="45"/>
      <c r="EA146" s="45"/>
      <c r="EB146" s="45"/>
      <c r="EC146" s="45"/>
      <c r="ED146" s="45"/>
      <c r="EE146" s="45"/>
      <c r="EF146" s="45"/>
      <c r="EG146" s="45"/>
      <c r="EH146" s="45"/>
      <c r="EI146" s="45"/>
      <c r="EJ146" s="45"/>
      <c r="EK146" s="45"/>
      <c r="EL146" s="45"/>
      <c r="EM146" s="45"/>
      <c r="EN146" s="45"/>
      <c r="EO146" s="45"/>
    </row>
    <row r="147" spans="1:145" s="50" customFormat="1" ht="16" hidden="1" customHeight="1" x14ac:dyDescent="0.25">
      <c r="A147" s="32"/>
      <c r="B147" s="202"/>
      <c r="C147" s="116" t="s">
        <v>98</v>
      </c>
      <c r="D147" s="42"/>
      <c r="E147" s="117"/>
      <c r="F147" s="65"/>
      <c r="G147" s="65"/>
      <c r="H147" s="65"/>
      <c r="I147" s="65"/>
      <c r="J147" s="65"/>
      <c r="K147" s="66"/>
      <c r="L147" s="66"/>
      <c r="M147" s="65"/>
      <c r="N147" s="65"/>
      <c r="O147" s="65"/>
      <c r="P147" s="65"/>
      <c r="Q147" s="65"/>
      <c r="R147" s="66"/>
      <c r="S147" s="66"/>
      <c r="T147" s="65"/>
      <c r="U147" s="65"/>
      <c r="V147" s="65"/>
      <c r="W147" s="65"/>
      <c r="X147" s="65"/>
      <c r="Y147" s="66"/>
      <c r="Z147" s="66"/>
      <c r="AA147" s="65"/>
      <c r="AB147" s="65"/>
      <c r="AC147" s="65"/>
      <c r="AD147" s="65"/>
      <c r="AE147" s="65"/>
      <c r="AF147" s="66"/>
      <c r="AG147" s="66"/>
      <c r="AH147" s="65"/>
      <c r="AI147" s="65"/>
      <c r="AJ147" s="65"/>
      <c r="AK147" s="65"/>
      <c r="AL147" s="65"/>
      <c r="AM147" s="65"/>
      <c r="AN147" s="65"/>
      <c r="AO147" s="65"/>
      <c r="AP147" s="66"/>
      <c r="AQ147" s="66"/>
      <c r="AR147" s="65"/>
      <c r="AS147" s="65"/>
      <c r="AT147" s="65"/>
      <c r="AU147" s="65"/>
      <c r="AV147" s="65"/>
      <c r="AW147" s="66"/>
      <c r="AX147" s="66"/>
      <c r="AY147" s="65"/>
      <c r="AZ147" s="65"/>
      <c r="BA147" s="65"/>
      <c r="BB147" s="65"/>
      <c r="BC147" s="65"/>
      <c r="BD147" s="66"/>
      <c r="BE147" s="66"/>
      <c r="BF147" s="65"/>
      <c r="BG147" s="65"/>
      <c r="BH147" s="65"/>
      <c r="BI147" s="65"/>
      <c r="BJ147" s="65"/>
      <c r="BK147" s="66"/>
      <c r="BL147" s="66"/>
      <c r="BM147" s="65"/>
      <c r="BN147" s="65"/>
      <c r="BO147" s="203"/>
      <c r="BP147" s="22"/>
      <c r="BQ147" s="22"/>
      <c r="BR147" s="22"/>
      <c r="BS147" s="22"/>
      <c r="BT147" s="22"/>
      <c r="BU147" s="32"/>
      <c r="BV147" s="22"/>
      <c r="BW147" s="22"/>
      <c r="BX147" s="32"/>
      <c r="BY147" s="121"/>
      <c r="BZ147" s="122"/>
      <c r="CA147" s="123"/>
      <c r="CB147" s="90"/>
      <c r="CC147" s="89"/>
      <c r="CD147" s="90"/>
      <c r="CE147" s="114"/>
      <c r="CF147" s="10"/>
      <c r="CG147" s="30"/>
      <c r="CH147" s="194"/>
      <c r="CI147" s="30"/>
      <c r="CJ147" s="194"/>
      <c r="CK147" s="30"/>
      <c r="CL147" s="194"/>
      <c r="CN147" s="45"/>
      <c r="CO147" s="45"/>
      <c r="CP147" s="45"/>
      <c r="CQ147" s="45"/>
      <c r="CR147" s="45"/>
      <c r="CS147" s="45"/>
      <c r="CT147" s="45"/>
      <c r="CU147" s="45"/>
      <c r="CV147" s="45"/>
      <c r="CW147" s="45"/>
      <c r="CX147" s="45"/>
      <c r="CY147" s="45"/>
      <c r="CZ147" s="45"/>
      <c r="DA147" s="45"/>
      <c r="DB147" s="45"/>
      <c r="DC147" s="45"/>
      <c r="DD147" s="45"/>
      <c r="DE147" s="45"/>
      <c r="DF147" s="45"/>
      <c r="DG147" s="45"/>
      <c r="DH147" s="45"/>
      <c r="DI147" s="45"/>
      <c r="DJ147" s="45"/>
      <c r="DK147" s="45"/>
      <c r="DL147" s="45"/>
      <c r="DM147" s="45"/>
      <c r="DN147" s="45"/>
      <c r="DO147" s="45"/>
      <c r="DP147" s="45"/>
      <c r="DQ147" s="45"/>
      <c r="DR147" s="45"/>
      <c r="DS147" s="45"/>
      <c r="DT147" s="45"/>
      <c r="DU147" s="45"/>
      <c r="DV147" s="45"/>
      <c r="DW147" s="45"/>
      <c r="DX147" s="45"/>
      <c r="DY147" s="45"/>
      <c r="DZ147" s="45"/>
      <c r="EA147" s="45"/>
      <c r="EB147" s="45"/>
      <c r="EC147" s="45"/>
      <c r="ED147" s="45"/>
      <c r="EE147" s="45"/>
      <c r="EF147" s="45"/>
      <c r="EG147" s="45"/>
      <c r="EH147" s="45"/>
      <c r="EI147" s="45"/>
      <c r="EJ147" s="45"/>
      <c r="EK147" s="45"/>
      <c r="EL147" s="45"/>
      <c r="EM147" s="45"/>
      <c r="EN147" s="45"/>
      <c r="EO147" s="45"/>
    </row>
    <row r="148" spans="1:145" s="50" customFormat="1" ht="16" hidden="1" customHeight="1" x14ac:dyDescent="0.25">
      <c r="A148" s="32"/>
      <c r="B148" s="202"/>
      <c r="C148" s="81"/>
      <c r="D148" s="95"/>
      <c r="E148" s="39"/>
      <c r="F148" s="65"/>
      <c r="G148" s="65"/>
      <c r="H148" s="65"/>
      <c r="I148" s="65"/>
      <c r="J148" s="65"/>
      <c r="K148" s="66"/>
      <c r="L148" s="66"/>
      <c r="M148" s="65"/>
      <c r="N148" s="65"/>
      <c r="O148" s="65"/>
      <c r="P148" s="65"/>
      <c r="Q148" s="65"/>
      <c r="R148" s="66"/>
      <c r="S148" s="66"/>
      <c r="T148" s="65"/>
      <c r="U148" s="65"/>
      <c r="V148" s="65"/>
      <c r="W148" s="65"/>
      <c r="X148" s="65"/>
      <c r="Y148" s="66"/>
      <c r="Z148" s="66"/>
      <c r="AA148" s="65"/>
      <c r="AB148" s="65"/>
      <c r="AC148" s="65"/>
      <c r="AD148" s="65"/>
      <c r="AE148" s="65"/>
      <c r="AF148" s="66"/>
      <c r="AG148" s="66"/>
      <c r="AH148" s="65"/>
      <c r="AI148" s="65"/>
      <c r="AJ148" s="65"/>
      <c r="AK148" s="65"/>
      <c r="AL148" s="65"/>
      <c r="AM148" s="65"/>
      <c r="AN148" s="65"/>
      <c r="AO148" s="65"/>
      <c r="AP148" s="66"/>
      <c r="AQ148" s="66"/>
      <c r="AR148" s="65"/>
      <c r="AS148" s="65"/>
      <c r="AT148" s="65"/>
      <c r="AU148" s="65"/>
      <c r="AV148" s="65"/>
      <c r="AW148" s="66"/>
      <c r="AX148" s="66"/>
      <c r="AY148" s="65"/>
      <c r="AZ148" s="65"/>
      <c r="BA148" s="65"/>
      <c r="BB148" s="65"/>
      <c r="BC148" s="65"/>
      <c r="BD148" s="66"/>
      <c r="BE148" s="66"/>
      <c r="BF148" s="65"/>
      <c r="BG148" s="65"/>
      <c r="BH148" s="65"/>
      <c r="BI148" s="65"/>
      <c r="BJ148" s="65"/>
      <c r="BK148" s="66"/>
      <c r="BL148" s="66"/>
      <c r="BM148" s="65"/>
      <c r="BN148" s="65"/>
      <c r="BO148" s="118"/>
      <c r="BP148" s="68"/>
      <c r="BQ148" s="68"/>
      <c r="BR148" s="68"/>
      <c r="BS148" s="68"/>
      <c r="BT148" s="200"/>
      <c r="BU148" s="32"/>
      <c r="BV148" s="200"/>
      <c r="BW148" s="200"/>
      <c r="BX148" s="32"/>
      <c r="BY148" s="188"/>
      <c r="BZ148" s="189"/>
      <c r="CA148" s="190"/>
      <c r="CB148" s="191"/>
      <c r="CC148" s="192"/>
      <c r="CD148" s="191"/>
      <c r="CE148" s="18"/>
      <c r="CF148" s="10"/>
      <c r="CG148" s="30"/>
      <c r="CH148" s="194"/>
      <c r="CI148" s="30"/>
      <c r="CJ148" s="194"/>
      <c r="CK148" s="30"/>
      <c r="CL148" s="194"/>
      <c r="CN148" s="45"/>
      <c r="CO148" s="45"/>
      <c r="CP148" s="45"/>
      <c r="CQ148" s="45"/>
      <c r="CR148" s="45"/>
      <c r="CS148" s="45"/>
      <c r="CT148" s="45"/>
      <c r="CU148" s="45"/>
      <c r="CV148" s="45"/>
      <c r="CW148" s="45"/>
      <c r="CX148" s="45"/>
      <c r="CY148" s="45"/>
      <c r="CZ148" s="45"/>
      <c r="DA148" s="45"/>
      <c r="DB148" s="45"/>
      <c r="DC148" s="45"/>
      <c r="DD148" s="45"/>
      <c r="DE148" s="45"/>
      <c r="DF148" s="45"/>
      <c r="DG148" s="45"/>
      <c r="DH148" s="45"/>
      <c r="DI148" s="45"/>
      <c r="DJ148" s="45"/>
      <c r="DK148" s="45"/>
      <c r="DL148" s="45"/>
      <c r="DM148" s="45"/>
      <c r="DN148" s="45"/>
      <c r="DO148" s="45"/>
      <c r="DP148" s="45"/>
      <c r="DQ148" s="45"/>
      <c r="DR148" s="45"/>
      <c r="DS148" s="45"/>
      <c r="DT148" s="45"/>
      <c r="DU148" s="45"/>
      <c r="DV148" s="45"/>
      <c r="DW148" s="45"/>
      <c r="DX148" s="45"/>
      <c r="DY148" s="45"/>
      <c r="DZ148" s="45"/>
      <c r="EA148" s="45"/>
      <c r="EB148" s="45"/>
      <c r="EC148" s="45"/>
      <c r="ED148" s="45"/>
      <c r="EE148" s="45"/>
      <c r="EF148" s="45"/>
      <c r="EG148" s="45"/>
      <c r="EH148" s="45"/>
      <c r="EI148" s="45"/>
      <c r="EJ148" s="45"/>
      <c r="EK148" s="45"/>
      <c r="EL148" s="45"/>
      <c r="EM148" s="45"/>
      <c r="EN148" s="45"/>
      <c r="EO148" s="45"/>
    </row>
    <row r="149" spans="1:145" s="50" customFormat="1" ht="16" hidden="1" customHeight="1" x14ac:dyDescent="0.25">
      <c r="A149" s="32"/>
      <c r="B149" s="202"/>
      <c r="C149" s="81" t="s">
        <v>100</v>
      </c>
      <c r="D149" s="95" t="s">
        <v>72</v>
      </c>
      <c r="E149" s="36" t="s">
        <v>18</v>
      </c>
      <c r="F149" s="65"/>
      <c r="G149" s="65"/>
      <c r="H149" s="65"/>
      <c r="I149" s="65"/>
      <c r="J149" s="65"/>
      <c r="K149" s="66"/>
      <c r="L149" s="66"/>
      <c r="M149" s="65"/>
      <c r="N149" s="65"/>
      <c r="O149" s="65"/>
      <c r="P149" s="65"/>
      <c r="Q149" s="65"/>
      <c r="R149" s="66"/>
      <c r="S149" s="66"/>
      <c r="T149" s="65"/>
      <c r="U149" s="65"/>
      <c r="V149" s="65"/>
      <c r="W149" s="65"/>
      <c r="X149" s="65"/>
      <c r="Y149" s="66"/>
      <c r="Z149" s="66"/>
      <c r="AA149" s="65"/>
      <c r="AB149" s="65"/>
      <c r="AC149" s="65"/>
      <c r="AD149" s="65"/>
      <c r="AE149" s="65"/>
      <c r="AF149" s="66"/>
      <c r="AG149" s="66"/>
      <c r="AH149" s="65"/>
      <c r="AI149" s="65"/>
      <c r="AJ149" s="65"/>
      <c r="AK149" s="65"/>
      <c r="AL149" s="65"/>
      <c r="AM149" s="65"/>
      <c r="AN149" s="65"/>
      <c r="AO149" s="65"/>
      <c r="AP149" s="66"/>
      <c r="AQ149" s="66"/>
      <c r="AR149" s="65"/>
      <c r="AS149" s="65"/>
      <c r="AT149" s="65"/>
      <c r="AU149" s="65"/>
      <c r="AV149" s="65"/>
      <c r="AW149" s="66"/>
      <c r="AX149" s="66"/>
      <c r="AY149" s="65"/>
      <c r="AZ149" s="65"/>
      <c r="BA149" s="65"/>
      <c r="BB149" s="65"/>
      <c r="BC149" s="65"/>
      <c r="BD149" s="66"/>
      <c r="BE149" s="66"/>
      <c r="BF149" s="65"/>
      <c r="BG149" s="65"/>
      <c r="BH149" s="65"/>
      <c r="BI149" s="65"/>
      <c r="BJ149" s="65"/>
      <c r="BK149" s="66"/>
      <c r="BL149" s="66"/>
      <c r="BM149" s="65"/>
      <c r="BN149" s="65"/>
      <c r="BO149" s="175">
        <f>SUM(F149:AI149)</f>
        <v>0</v>
      </c>
      <c r="BP149" s="22">
        <v>255</v>
      </c>
      <c r="BQ149" s="83">
        <f>(BP149-BR149)/BP149</f>
        <v>0.4</v>
      </c>
      <c r="BR149" s="22">
        <v>153</v>
      </c>
      <c r="BS149" s="22">
        <f>BR149*BO149</f>
        <v>0</v>
      </c>
      <c r="BT149" s="84">
        <f>BR149*0.8</f>
        <v>122.4</v>
      </c>
      <c r="BU149" s="32"/>
      <c r="BV149" s="84">
        <f>BS149*0.8</f>
        <v>0</v>
      </c>
      <c r="BW149" s="84"/>
      <c r="BX149" s="32"/>
      <c r="BY149" s="99">
        <f>BZ149/CC149*100</f>
        <v>7.6189419085139045</v>
      </c>
      <c r="BZ149" s="122">
        <v>12026</v>
      </c>
      <c r="CA149" s="123">
        <f>BY149*BO149</f>
        <v>0</v>
      </c>
      <c r="CB149" s="90">
        <v>320820</v>
      </c>
      <c r="CC149" s="89">
        <v>157843.44</v>
      </c>
      <c r="CD149" s="90">
        <f>CC149*CA149%</f>
        <v>0</v>
      </c>
      <c r="CE149" s="21" t="e">
        <f>BV149/CD149*1000</f>
        <v>#DIV/0!</v>
      </c>
      <c r="CF149" s="10"/>
      <c r="CG149" s="30" t="str">
        <f>C149</f>
        <v>ÓTIMA FM</v>
      </c>
      <c r="CH149" s="194"/>
      <c r="CI149" s="30" t="e">
        <f>SUM(#REF!)</f>
        <v>#REF!</v>
      </c>
      <c r="CJ149" s="194" t="e">
        <f>#REF!*CI149</f>
        <v>#REF!</v>
      </c>
      <c r="CK149" s="30" t="e">
        <f>SUM(#REF!)</f>
        <v>#REF!</v>
      </c>
      <c r="CL149" s="194" t="e">
        <f>#REF!*CK149</f>
        <v>#REF!</v>
      </c>
      <c r="CN149" s="45"/>
      <c r="CO149" s="45"/>
      <c r="CP149" s="45"/>
      <c r="CQ149" s="45"/>
      <c r="CR149" s="45"/>
      <c r="CS149" s="45"/>
      <c r="CT149" s="45"/>
      <c r="CU149" s="45"/>
      <c r="CV149" s="45"/>
      <c r="CW149" s="45"/>
      <c r="CX149" s="45"/>
      <c r="CY149" s="45"/>
      <c r="CZ149" s="45"/>
      <c r="DA149" s="45"/>
      <c r="DB149" s="45"/>
      <c r="DC149" s="45"/>
      <c r="DD149" s="45"/>
      <c r="DE149" s="45"/>
      <c r="DF149" s="45"/>
      <c r="DG149" s="45"/>
      <c r="DH149" s="45"/>
      <c r="DI149" s="45"/>
      <c r="DJ149" s="45"/>
      <c r="DK149" s="45"/>
      <c r="DL149" s="45"/>
      <c r="DM149" s="45"/>
      <c r="DN149" s="45"/>
      <c r="DO149" s="45"/>
      <c r="DP149" s="45"/>
      <c r="DQ149" s="45"/>
      <c r="DR149" s="45"/>
      <c r="DS149" s="45"/>
      <c r="DT149" s="45"/>
      <c r="DU149" s="45"/>
      <c r="DV149" s="45"/>
      <c r="DW149" s="45"/>
      <c r="DX149" s="45"/>
      <c r="DY149" s="45"/>
      <c r="DZ149" s="45"/>
      <c r="EA149" s="45"/>
      <c r="EB149" s="45"/>
      <c r="EC149" s="45"/>
      <c r="ED149" s="45"/>
      <c r="EE149" s="45"/>
      <c r="EF149" s="45"/>
      <c r="EG149" s="45"/>
      <c r="EH149" s="45"/>
      <c r="EI149" s="45"/>
      <c r="EJ149" s="45"/>
      <c r="EK149" s="45"/>
      <c r="EL149" s="45"/>
      <c r="EM149" s="45"/>
      <c r="EN149" s="45"/>
      <c r="EO149" s="45"/>
    </row>
    <row r="150" spans="1:145" s="50" customFormat="1" ht="16" hidden="1" customHeight="1" x14ac:dyDescent="0.25">
      <c r="A150" s="32"/>
      <c r="B150" s="202"/>
      <c r="C150" s="116" t="s">
        <v>98</v>
      </c>
      <c r="D150" s="42"/>
      <c r="E150" s="117"/>
      <c r="F150" s="65"/>
      <c r="G150" s="65"/>
      <c r="H150" s="65"/>
      <c r="I150" s="65"/>
      <c r="J150" s="65"/>
      <c r="K150" s="66"/>
      <c r="L150" s="66"/>
      <c r="M150" s="65"/>
      <c r="N150" s="65"/>
      <c r="O150" s="65"/>
      <c r="P150" s="65"/>
      <c r="Q150" s="65"/>
      <c r="R150" s="66"/>
      <c r="S150" s="66"/>
      <c r="T150" s="65"/>
      <c r="U150" s="65"/>
      <c r="V150" s="65"/>
      <c r="W150" s="65"/>
      <c r="X150" s="65"/>
      <c r="Y150" s="66"/>
      <c r="Z150" s="66"/>
      <c r="AA150" s="65"/>
      <c r="AB150" s="65"/>
      <c r="AC150" s="65"/>
      <c r="AD150" s="65"/>
      <c r="AE150" s="65"/>
      <c r="AF150" s="66"/>
      <c r="AG150" s="66"/>
      <c r="AH150" s="65"/>
      <c r="AI150" s="65"/>
      <c r="AJ150" s="65"/>
      <c r="AK150" s="65"/>
      <c r="AL150" s="65"/>
      <c r="AM150" s="65"/>
      <c r="AN150" s="65"/>
      <c r="AO150" s="65"/>
      <c r="AP150" s="66"/>
      <c r="AQ150" s="66"/>
      <c r="AR150" s="65"/>
      <c r="AS150" s="65"/>
      <c r="AT150" s="65"/>
      <c r="AU150" s="65"/>
      <c r="AV150" s="65"/>
      <c r="AW150" s="66"/>
      <c r="AX150" s="66"/>
      <c r="AY150" s="65"/>
      <c r="AZ150" s="65"/>
      <c r="BA150" s="65"/>
      <c r="BB150" s="65"/>
      <c r="BC150" s="65"/>
      <c r="BD150" s="66"/>
      <c r="BE150" s="66"/>
      <c r="BF150" s="65"/>
      <c r="BG150" s="65"/>
      <c r="BH150" s="65"/>
      <c r="BI150" s="65"/>
      <c r="BJ150" s="65"/>
      <c r="BK150" s="66"/>
      <c r="BL150" s="66"/>
      <c r="BM150" s="65"/>
      <c r="BN150" s="65"/>
      <c r="BO150" s="203"/>
      <c r="BP150" s="22"/>
      <c r="BQ150" s="22"/>
      <c r="BR150" s="22"/>
      <c r="BS150" s="22"/>
      <c r="BT150" s="22"/>
      <c r="BU150" s="32"/>
      <c r="BV150" s="22"/>
      <c r="BW150" s="22"/>
      <c r="BX150" s="32"/>
      <c r="BY150" s="121"/>
      <c r="BZ150" s="122"/>
      <c r="CA150" s="123"/>
      <c r="CB150" s="90"/>
      <c r="CC150" s="89"/>
      <c r="CD150" s="90"/>
      <c r="CE150" s="114"/>
      <c r="CF150" s="10"/>
      <c r="CG150" s="30"/>
      <c r="CH150" s="194"/>
      <c r="CI150" s="30"/>
      <c r="CJ150" s="194"/>
      <c r="CK150" s="30"/>
      <c r="CL150" s="194"/>
      <c r="CN150" s="45"/>
      <c r="CO150" s="45"/>
      <c r="CP150" s="45"/>
      <c r="CQ150" s="45"/>
      <c r="CR150" s="45"/>
      <c r="CS150" s="45"/>
      <c r="CT150" s="45"/>
      <c r="CU150" s="45"/>
      <c r="CV150" s="45"/>
      <c r="CW150" s="45"/>
      <c r="CX150" s="45"/>
      <c r="CY150" s="45"/>
      <c r="CZ150" s="45"/>
      <c r="DA150" s="45"/>
      <c r="DB150" s="45"/>
      <c r="DC150" s="45"/>
      <c r="DD150" s="45"/>
      <c r="DE150" s="45"/>
      <c r="DF150" s="45"/>
      <c r="DG150" s="45"/>
      <c r="DH150" s="45"/>
      <c r="DI150" s="45"/>
      <c r="DJ150" s="45"/>
      <c r="DK150" s="45"/>
      <c r="DL150" s="45"/>
      <c r="DM150" s="45"/>
      <c r="DN150" s="45"/>
      <c r="DO150" s="45"/>
      <c r="DP150" s="45"/>
      <c r="DQ150" s="45"/>
      <c r="DR150" s="45"/>
      <c r="DS150" s="45"/>
      <c r="DT150" s="45"/>
      <c r="DU150" s="45"/>
      <c r="DV150" s="45"/>
      <c r="DW150" s="45"/>
      <c r="DX150" s="45"/>
      <c r="DY150" s="45"/>
      <c r="DZ150" s="45"/>
      <c r="EA150" s="45"/>
      <c r="EB150" s="45"/>
      <c r="EC150" s="45"/>
      <c r="ED150" s="45"/>
      <c r="EE150" s="45"/>
      <c r="EF150" s="45"/>
      <c r="EG150" s="45"/>
      <c r="EH150" s="45"/>
      <c r="EI150" s="45"/>
      <c r="EJ150" s="45"/>
      <c r="EK150" s="45"/>
      <c r="EL150" s="45"/>
      <c r="EM150" s="45"/>
      <c r="EN150" s="45"/>
      <c r="EO150" s="45"/>
    </row>
    <row r="151" spans="1:145" s="50" customFormat="1" ht="16" hidden="1" customHeight="1" x14ac:dyDescent="0.25">
      <c r="A151" s="32"/>
      <c r="B151" s="202"/>
      <c r="C151" s="81"/>
      <c r="D151" s="95"/>
      <c r="E151" s="39"/>
      <c r="F151" s="65"/>
      <c r="G151" s="65"/>
      <c r="H151" s="65"/>
      <c r="I151" s="65"/>
      <c r="J151" s="65"/>
      <c r="K151" s="66"/>
      <c r="L151" s="66"/>
      <c r="M151" s="65"/>
      <c r="N151" s="65"/>
      <c r="O151" s="65"/>
      <c r="P151" s="65"/>
      <c r="Q151" s="65"/>
      <c r="R151" s="66"/>
      <c r="S151" s="66"/>
      <c r="T151" s="65"/>
      <c r="U151" s="65"/>
      <c r="V151" s="65"/>
      <c r="W151" s="65"/>
      <c r="X151" s="65"/>
      <c r="Y151" s="66"/>
      <c r="Z151" s="66"/>
      <c r="AA151" s="65"/>
      <c r="AB151" s="65"/>
      <c r="AC151" s="65"/>
      <c r="AD151" s="65"/>
      <c r="AE151" s="65"/>
      <c r="AF151" s="66"/>
      <c r="AG151" s="66"/>
      <c r="AH151" s="65"/>
      <c r="AI151" s="65"/>
      <c r="AJ151" s="65"/>
      <c r="AK151" s="65"/>
      <c r="AL151" s="65"/>
      <c r="AM151" s="65"/>
      <c r="AN151" s="65"/>
      <c r="AO151" s="65"/>
      <c r="AP151" s="66"/>
      <c r="AQ151" s="66"/>
      <c r="AR151" s="65"/>
      <c r="AS151" s="65"/>
      <c r="AT151" s="65"/>
      <c r="AU151" s="65"/>
      <c r="AV151" s="65"/>
      <c r="AW151" s="66"/>
      <c r="AX151" s="66"/>
      <c r="AY151" s="65"/>
      <c r="AZ151" s="65"/>
      <c r="BA151" s="65"/>
      <c r="BB151" s="65"/>
      <c r="BC151" s="65"/>
      <c r="BD151" s="66"/>
      <c r="BE151" s="66"/>
      <c r="BF151" s="65"/>
      <c r="BG151" s="65"/>
      <c r="BH151" s="65"/>
      <c r="BI151" s="65"/>
      <c r="BJ151" s="65"/>
      <c r="BK151" s="66"/>
      <c r="BL151" s="66"/>
      <c r="BM151" s="65"/>
      <c r="BN151" s="65"/>
      <c r="BO151" s="118"/>
      <c r="BP151" s="68"/>
      <c r="BQ151" s="68"/>
      <c r="BR151" s="68"/>
      <c r="BS151" s="68"/>
      <c r="BT151" s="200"/>
      <c r="BU151" s="32"/>
      <c r="BV151" s="200"/>
      <c r="BW151" s="200"/>
      <c r="BX151" s="32"/>
      <c r="BY151" s="188"/>
      <c r="BZ151" s="189"/>
      <c r="CA151" s="190"/>
      <c r="CB151" s="191"/>
      <c r="CC151" s="192"/>
      <c r="CD151" s="191"/>
      <c r="CE151" s="18"/>
      <c r="CF151" s="10"/>
      <c r="CG151" s="30"/>
      <c r="CH151" s="194"/>
      <c r="CI151" s="30"/>
      <c r="CJ151" s="194"/>
      <c r="CK151" s="30"/>
      <c r="CL151" s="194"/>
      <c r="CN151" s="45"/>
      <c r="CO151" s="45"/>
      <c r="CP151" s="45"/>
      <c r="CQ151" s="45"/>
      <c r="CR151" s="45"/>
      <c r="CS151" s="45"/>
      <c r="CT151" s="45"/>
      <c r="CU151" s="45"/>
      <c r="CV151" s="45"/>
      <c r="CW151" s="45"/>
      <c r="CX151" s="45"/>
      <c r="CY151" s="45"/>
      <c r="CZ151" s="45"/>
      <c r="DA151" s="45"/>
      <c r="DB151" s="45"/>
      <c r="DC151" s="45"/>
      <c r="DD151" s="45"/>
      <c r="DE151" s="45"/>
      <c r="DF151" s="45"/>
      <c r="DG151" s="45"/>
      <c r="DH151" s="45"/>
      <c r="DI151" s="45"/>
      <c r="DJ151" s="45"/>
      <c r="DK151" s="45"/>
      <c r="DL151" s="45"/>
      <c r="DM151" s="45"/>
      <c r="DN151" s="45"/>
      <c r="DO151" s="45"/>
      <c r="DP151" s="45"/>
      <c r="DQ151" s="45"/>
      <c r="DR151" s="45"/>
      <c r="DS151" s="45"/>
      <c r="DT151" s="45"/>
      <c r="DU151" s="45"/>
      <c r="DV151" s="45"/>
      <c r="DW151" s="45"/>
      <c r="DX151" s="45"/>
      <c r="DY151" s="45"/>
      <c r="DZ151" s="45"/>
      <c r="EA151" s="45"/>
      <c r="EB151" s="45"/>
      <c r="EC151" s="45"/>
      <c r="ED151" s="45"/>
      <c r="EE151" s="45"/>
      <c r="EF151" s="45"/>
      <c r="EG151" s="45"/>
      <c r="EH151" s="45"/>
      <c r="EI151" s="45"/>
      <c r="EJ151" s="45"/>
      <c r="EK151" s="45"/>
      <c r="EL151" s="45"/>
      <c r="EM151" s="45"/>
      <c r="EN151" s="45"/>
      <c r="EO151" s="45"/>
    </row>
    <row r="152" spans="1:145" s="50" customFormat="1" ht="16" hidden="1" customHeight="1" x14ac:dyDescent="0.25">
      <c r="A152" s="32"/>
      <c r="B152" s="202"/>
      <c r="C152" s="81" t="s">
        <v>101</v>
      </c>
      <c r="D152" s="95" t="s">
        <v>72</v>
      </c>
      <c r="E152" s="36" t="s">
        <v>18</v>
      </c>
      <c r="F152" s="65"/>
      <c r="G152" s="65"/>
      <c r="H152" s="65"/>
      <c r="I152" s="65"/>
      <c r="J152" s="65"/>
      <c r="K152" s="66"/>
      <c r="L152" s="66"/>
      <c r="M152" s="65"/>
      <c r="N152" s="65"/>
      <c r="O152" s="65"/>
      <c r="P152" s="65"/>
      <c r="Q152" s="65"/>
      <c r="R152" s="66"/>
      <c r="S152" s="66"/>
      <c r="T152" s="65"/>
      <c r="U152" s="65"/>
      <c r="V152" s="65"/>
      <c r="W152" s="65"/>
      <c r="X152" s="65"/>
      <c r="Y152" s="66"/>
      <c r="Z152" s="66"/>
      <c r="AA152" s="65"/>
      <c r="AB152" s="65"/>
      <c r="AC152" s="65"/>
      <c r="AD152" s="65"/>
      <c r="AE152" s="65"/>
      <c r="AF152" s="66"/>
      <c r="AG152" s="66"/>
      <c r="AH152" s="65"/>
      <c r="AI152" s="65"/>
      <c r="AJ152" s="65"/>
      <c r="AK152" s="65"/>
      <c r="AL152" s="65"/>
      <c r="AM152" s="65"/>
      <c r="AN152" s="65"/>
      <c r="AO152" s="65"/>
      <c r="AP152" s="66"/>
      <c r="AQ152" s="66"/>
      <c r="AR152" s="65"/>
      <c r="AS152" s="65"/>
      <c r="AT152" s="65"/>
      <c r="AU152" s="65"/>
      <c r="AV152" s="65"/>
      <c r="AW152" s="66"/>
      <c r="AX152" s="66"/>
      <c r="AY152" s="65"/>
      <c r="AZ152" s="65"/>
      <c r="BA152" s="65"/>
      <c r="BB152" s="65"/>
      <c r="BC152" s="65"/>
      <c r="BD152" s="66"/>
      <c r="BE152" s="66"/>
      <c r="BF152" s="65"/>
      <c r="BG152" s="65"/>
      <c r="BH152" s="65"/>
      <c r="BI152" s="65"/>
      <c r="BJ152" s="65"/>
      <c r="BK152" s="66"/>
      <c r="BL152" s="66"/>
      <c r="BM152" s="65"/>
      <c r="BN152" s="65"/>
      <c r="BO152" s="175">
        <f>SUM(F152:AI152)</f>
        <v>0</v>
      </c>
      <c r="BP152" s="22">
        <v>331</v>
      </c>
      <c r="BQ152" s="83">
        <v>0.78</v>
      </c>
      <c r="BR152" s="22">
        <f>BP152*(1-BQ152)</f>
        <v>72.819999999999993</v>
      </c>
      <c r="BS152" s="22">
        <f>BR152*BO152</f>
        <v>0</v>
      </c>
      <c r="BT152" s="84">
        <f>BR152*0.8</f>
        <v>58.256</v>
      </c>
      <c r="BU152" s="32"/>
      <c r="BV152" s="84">
        <f>BS152*0.8</f>
        <v>0</v>
      </c>
      <c r="BW152" s="84"/>
      <c r="BX152" s="32"/>
      <c r="BY152" s="99">
        <f>BZ152/CC152*100</f>
        <v>3.5161423243183241</v>
      </c>
      <c r="BZ152" s="122">
        <v>5550</v>
      </c>
      <c r="CA152" s="123">
        <f>BY152*BO152</f>
        <v>0</v>
      </c>
      <c r="CB152" s="90">
        <v>320820</v>
      </c>
      <c r="CC152" s="89">
        <v>157843.44</v>
      </c>
      <c r="CD152" s="90">
        <f>CC152*CA152%</f>
        <v>0</v>
      </c>
      <c r="CE152" s="21" t="e">
        <f>BV152/CD152*1000</f>
        <v>#DIV/0!</v>
      </c>
      <c r="CF152" s="10"/>
      <c r="CG152" s="30" t="str">
        <f>C152</f>
        <v>ANTENA 1 FM</v>
      </c>
      <c r="CH152" s="194"/>
      <c r="CI152" s="30" t="e">
        <f>SUM(#REF!)</f>
        <v>#REF!</v>
      </c>
      <c r="CJ152" s="194" t="e">
        <f>#REF!*CI152</f>
        <v>#REF!</v>
      </c>
      <c r="CK152" s="30" t="e">
        <f>SUM(#REF!)</f>
        <v>#REF!</v>
      </c>
      <c r="CL152" s="194" t="e">
        <f>#REF!*CK152</f>
        <v>#REF!</v>
      </c>
      <c r="CN152" s="45"/>
      <c r="CO152" s="45"/>
      <c r="CP152" s="45"/>
      <c r="CQ152" s="45"/>
      <c r="CR152" s="45"/>
      <c r="CS152" s="45"/>
      <c r="CT152" s="45"/>
      <c r="CU152" s="45"/>
      <c r="CV152" s="45"/>
      <c r="CW152" s="45"/>
      <c r="CX152" s="45"/>
      <c r="CY152" s="45"/>
      <c r="CZ152" s="45"/>
      <c r="DA152" s="45"/>
      <c r="DB152" s="45"/>
      <c r="DC152" s="45"/>
      <c r="DD152" s="45"/>
      <c r="DE152" s="45"/>
      <c r="DF152" s="45"/>
      <c r="DG152" s="45"/>
      <c r="DH152" s="45"/>
      <c r="DI152" s="45"/>
      <c r="DJ152" s="45"/>
      <c r="DK152" s="45"/>
      <c r="DL152" s="45"/>
      <c r="DM152" s="45"/>
      <c r="DN152" s="45"/>
      <c r="DO152" s="45"/>
      <c r="DP152" s="45"/>
      <c r="DQ152" s="45"/>
      <c r="DR152" s="45"/>
      <c r="DS152" s="45"/>
      <c r="DT152" s="45"/>
      <c r="DU152" s="45"/>
      <c r="DV152" s="45"/>
      <c r="DW152" s="45"/>
      <c r="DX152" s="45"/>
      <c r="DY152" s="45"/>
      <c r="DZ152" s="45"/>
      <c r="EA152" s="45"/>
      <c r="EB152" s="45"/>
      <c r="EC152" s="45"/>
      <c r="ED152" s="45"/>
      <c r="EE152" s="45"/>
      <c r="EF152" s="45"/>
      <c r="EG152" s="45"/>
      <c r="EH152" s="45"/>
      <c r="EI152" s="45"/>
      <c r="EJ152" s="45"/>
      <c r="EK152" s="45"/>
      <c r="EL152" s="45"/>
      <c r="EM152" s="45"/>
      <c r="EN152" s="45"/>
      <c r="EO152" s="45"/>
    </row>
    <row r="153" spans="1:145" s="50" customFormat="1" ht="16" hidden="1" customHeight="1" x14ac:dyDescent="0.25">
      <c r="A153" s="32"/>
      <c r="B153" s="202"/>
      <c r="C153" s="116" t="s">
        <v>98</v>
      </c>
      <c r="D153" s="42"/>
      <c r="E153" s="117"/>
      <c r="F153" s="65"/>
      <c r="G153" s="65"/>
      <c r="H153" s="65"/>
      <c r="I153" s="65"/>
      <c r="J153" s="65"/>
      <c r="K153" s="66"/>
      <c r="L153" s="66"/>
      <c r="M153" s="65"/>
      <c r="N153" s="65"/>
      <c r="O153" s="65"/>
      <c r="P153" s="65"/>
      <c r="Q153" s="65"/>
      <c r="R153" s="66"/>
      <c r="S153" s="66"/>
      <c r="T153" s="65"/>
      <c r="U153" s="65"/>
      <c r="V153" s="65"/>
      <c r="W153" s="65"/>
      <c r="X153" s="65"/>
      <c r="Y153" s="66"/>
      <c r="Z153" s="66"/>
      <c r="AA153" s="65"/>
      <c r="AB153" s="65"/>
      <c r="AC153" s="65"/>
      <c r="AD153" s="65"/>
      <c r="AE153" s="65"/>
      <c r="AF153" s="66"/>
      <c r="AG153" s="66"/>
      <c r="AH153" s="65"/>
      <c r="AI153" s="65"/>
      <c r="AJ153" s="65"/>
      <c r="AK153" s="65"/>
      <c r="AL153" s="65"/>
      <c r="AM153" s="65"/>
      <c r="AN153" s="65"/>
      <c r="AO153" s="65"/>
      <c r="AP153" s="66"/>
      <c r="AQ153" s="66"/>
      <c r="AR153" s="65"/>
      <c r="AS153" s="65"/>
      <c r="AT153" s="65"/>
      <c r="AU153" s="65"/>
      <c r="AV153" s="65"/>
      <c r="AW153" s="66"/>
      <c r="AX153" s="66"/>
      <c r="AY153" s="65"/>
      <c r="AZ153" s="65"/>
      <c r="BA153" s="65"/>
      <c r="BB153" s="65"/>
      <c r="BC153" s="65"/>
      <c r="BD153" s="66"/>
      <c r="BE153" s="66"/>
      <c r="BF153" s="65"/>
      <c r="BG153" s="65"/>
      <c r="BH153" s="65"/>
      <c r="BI153" s="65"/>
      <c r="BJ153" s="65"/>
      <c r="BK153" s="66"/>
      <c r="BL153" s="66"/>
      <c r="BM153" s="65"/>
      <c r="BN153" s="65"/>
      <c r="BO153" s="203"/>
      <c r="BP153" s="22"/>
      <c r="BQ153" s="22"/>
      <c r="BR153" s="22"/>
      <c r="BS153" s="22"/>
      <c r="BT153" s="22"/>
      <c r="BU153" s="32"/>
      <c r="BV153" s="22"/>
      <c r="BW153" s="22"/>
      <c r="BX153" s="32"/>
      <c r="BY153" s="121"/>
      <c r="BZ153" s="122"/>
      <c r="CA153" s="123"/>
      <c r="CB153" s="90"/>
      <c r="CC153" s="89"/>
      <c r="CD153" s="90"/>
      <c r="CE153" s="114"/>
      <c r="CF153" s="10"/>
      <c r="CG153" s="30"/>
      <c r="CH153" s="194"/>
      <c r="CI153" s="30"/>
      <c r="CJ153" s="194"/>
      <c r="CK153" s="30"/>
      <c r="CL153" s="194"/>
      <c r="CN153" s="45"/>
      <c r="CO153" s="45"/>
      <c r="CP153" s="45"/>
      <c r="CQ153" s="45"/>
      <c r="CR153" s="45"/>
      <c r="CS153" s="45"/>
      <c r="CT153" s="45"/>
      <c r="CU153" s="45"/>
      <c r="CV153" s="45"/>
      <c r="CW153" s="45"/>
      <c r="CX153" s="45"/>
      <c r="CY153" s="45"/>
      <c r="CZ153" s="45"/>
      <c r="DA153" s="45"/>
      <c r="DB153" s="45"/>
      <c r="DC153" s="45"/>
      <c r="DD153" s="45"/>
      <c r="DE153" s="45"/>
      <c r="DF153" s="45"/>
      <c r="DG153" s="45"/>
      <c r="DH153" s="45"/>
      <c r="DI153" s="45"/>
      <c r="DJ153" s="45"/>
      <c r="DK153" s="45"/>
      <c r="DL153" s="45"/>
      <c r="DM153" s="45"/>
      <c r="DN153" s="45"/>
      <c r="DO153" s="45"/>
      <c r="DP153" s="45"/>
      <c r="DQ153" s="45"/>
      <c r="DR153" s="45"/>
      <c r="DS153" s="45"/>
      <c r="DT153" s="45"/>
      <c r="DU153" s="45"/>
      <c r="DV153" s="45"/>
      <c r="DW153" s="45"/>
      <c r="DX153" s="45"/>
      <c r="DY153" s="45"/>
      <c r="DZ153" s="45"/>
      <c r="EA153" s="45"/>
      <c r="EB153" s="45"/>
      <c r="EC153" s="45"/>
      <c r="ED153" s="45"/>
      <c r="EE153" s="45"/>
      <c r="EF153" s="45"/>
      <c r="EG153" s="45"/>
      <c r="EH153" s="45"/>
      <c r="EI153" s="45"/>
      <c r="EJ153" s="45"/>
      <c r="EK153" s="45"/>
      <c r="EL153" s="45"/>
      <c r="EM153" s="45"/>
      <c r="EN153" s="45"/>
      <c r="EO153" s="45"/>
    </row>
    <row r="154" spans="1:145" s="50" customFormat="1" ht="16" hidden="1" customHeight="1" x14ac:dyDescent="0.25">
      <c r="A154" s="32"/>
      <c r="B154" s="202"/>
      <c r="C154" s="81"/>
      <c r="D154" s="95"/>
      <c r="E154" s="39"/>
      <c r="F154" s="65"/>
      <c r="G154" s="65"/>
      <c r="H154" s="65"/>
      <c r="I154" s="65"/>
      <c r="J154" s="65"/>
      <c r="K154" s="66"/>
      <c r="L154" s="66"/>
      <c r="M154" s="65"/>
      <c r="N154" s="65"/>
      <c r="O154" s="65"/>
      <c r="P154" s="65"/>
      <c r="Q154" s="65"/>
      <c r="R154" s="66"/>
      <c r="S154" s="66"/>
      <c r="T154" s="65"/>
      <c r="U154" s="65"/>
      <c r="V154" s="65"/>
      <c r="W154" s="65"/>
      <c r="X154" s="65"/>
      <c r="Y154" s="66"/>
      <c r="Z154" s="66"/>
      <c r="AA154" s="65"/>
      <c r="AB154" s="65"/>
      <c r="AC154" s="65"/>
      <c r="AD154" s="65"/>
      <c r="AE154" s="65"/>
      <c r="AF154" s="66"/>
      <c r="AG154" s="66"/>
      <c r="AH154" s="65"/>
      <c r="AI154" s="65"/>
      <c r="AJ154" s="65"/>
      <c r="AK154" s="65"/>
      <c r="AL154" s="65"/>
      <c r="AM154" s="65"/>
      <c r="AN154" s="65"/>
      <c r="AO154" s="65"/>
      <c r="AP154" s="66"/>
      <c r="AQ154" s="66"/>
      <c r="AR154" s="65"/>
      <c r="AS154" s="65"/>
      <c r="AT154" s="65"/>
      <c r="AU154" s="65"/>
      <c r="AV154" s="65"/>
      <c r="AW154" s="66"/>
      <c r="AX154" s="66"/>
      <c r="AY154" s="65"/>
      <c r="AZ154" s="65"/>
      <c r="BA154" s="65"/>
      <c r="BB154" s="65"/>
      <c r="BC154" s="65"/>
      <c r="BD154" s="66"/>
      <c r="BE154" s="66"/>
      <c r="BF154" s="65"/>
      <c r="BG154" s="65"/>
      <c r="BH154" s="65"/>
      <c r="BI154" s="65"/>
      <c r="BJ154" s="65"/>
      <c r="BK154" s="66"/>
      <c r="BL154" s="66"/>
      <c r="BM154" s="65"/>
      <c r="BN154" s="65"/>
      <c r="BO154" s="118"/>
      <c r="BP154" s="68"/>
      <c r="BQ154" s="68"/>
      <c r="BR154" s="68"/>
      <c r="BS154" s="68"/>
      <c r="BT154" s="200"/>
      <c r="BU154" s="32"/>
      <c r="BV154" s="200"/>
      <c r="BW154" s="200"/>
      <c r="BX154" s="32"/>
      <c r="BY154" s="188"/>
      <c r="BZ154" s="189"/>
      <c r="CA154" s="190"/>
      <c r="CB154" s="191"/>
      <c r="CC154" s="192"/>
      <c r="CD154" s="191"/>
      <c r="CE154" s="18"/>
      <c r="CF154" s="10"/>
      <c r="CG154" s="30"/>
      <c r="CH154" s="194"/>
      <c r="CI154" s="30"/>
      <c r="CJ154" s="194"/>
      <c r="CK154" s="30"/>
      <c r="CL154" s="194"/>
      <c r="CN154" s="45"/>
      <c r="CO154" s="45"/>
      <c r="CP154" s="45"/>
      <c r="CQ154" s="45"/>
      <c r="CR154" s="45"/>
      <c r="CS154" s="45"/>
      <c r="CT154" s="45"/>
      <c r="CU154" s="45"/>
      <c r="CV154" s="45"/>
      <c r="CW154" s="45"/>
      <c r="CX154" s="45"/>
      <c r="CY154" s="45"/>
      <c r="CZ154" s="45"/>
      <c r="DA154" s="45"/>
      <c r="DB154" s="45"/>
      <c r="DC154" s="45"/>
      <c r="DD154" s="45"/>
      <c r="DE154" s="45"/>
      <c r="DF154" s="45"/>
      <c r="DG154" s="45"/>
      <c r="DH154" s="45"/>
      <c r="DI154" s="45"/>
      <c r="DJ154" s="45"/>
      <c r="DK154" s="45"/>
      <c r="DL154" s="45"/>
      <c r="DM154" s="45"/>
      <c r="DN154" s="45"/>
      <c r="DO154" s="45"/>
      <c r="DP154" s="45"/>
      <c r="DQ154" s="45"/>
      <c r="DR154" s="45"/>
      <c r="DS154" s="45"/>
      <c r="DT154" s="45"/>
      <c r="DU154" s="45"/>
      <c r="DV154" s="45"/>
      <c r="DW154" s="45"/>
      <c r="DX154" s="45"/>
      <c r="DY154" s="45"/>
      <c r="DZ154" s="45"/>
      <c r="EA154" s="45"/>
      <c r="EB154" s="45"/>
      <c r="EC154" s="45"/>
      <c r="ED154" s="45"/>
      <c r="EE154" s="45"/>
      <c r="EF154" s="45"/>
      <c r="EG154" s="45"/>
      <c r="EH154" s="45"/>
      <c r="EI154" s="45"/>
      <c r="EJ154" s="45"/>
      <c r="EK154" s="45"/>
      <c r="EL154" s="45"/>
      <c r="EM154" s="45"/>
      <c r="EN154" s="45"/>
      <c r="EO154" s="45"/>
    </row>
    <row r="155" spans="1:145" s="50" customFormat="1" ht="16" hidden="1" customHeight="1" x14ac:dyDescent="0.25">
      <c r="A155" s="32"/>
      <c r="B155" s="202"/>
      <c r="C155" s="81" t="s">
        <v>91</v>
      </c>
      <c r="D155" s="95" t="s">
        <v>72</v>
      </c>
      <c r="E155" s="36" t="s">
        <v>18</v>
      </c>
      <c r="F155" s="65"/>
      <c r="G155" s="65"/>
      <c r="H155" s="65"/>
      <c r="I155" s="65"/>
      <c r="J155" s="65"/>
      <c r="K155" s="66"/>
      <c r="L155" s="66"/>
      <c r="M155" s="65"/>
      <c r="N155" s="65"/>
      <c r="O155" s="65"/>
      <c r="P155" s="65"/>
      <c r="Q155" s="65"/>
      <c r="R155" s="66"/>
      <c r="S155" s="66"/>
      <c r="T155" s="65"/>
      <c r="U155" s="65"/>
      <c r="V155" s="65"/>
      <c r="W155" s="65"/>
      <c r="X155" s="65"/>
      <c r="Y155" s="66"/>
      <c r="Z155" s="66"/>
      <c r="AA155" s="65"/>
      <c r="AB155" s="65"/>
      <c r="AC155" s="65"/>
      <c r="AD155" s="65"/>
      <c r="AE155" s="65"/>
      <c r="AF155" s="66"/>
      <c r="AG155" s="66"/>
      <c r="AH155" s="65"/>
      <c r="AI155" s="65"/>
      <c r="AJ155" s="65"/>
      <c r="AK155" s="65"/>
      <c r="AL155" s="65"/>
      <c r="AM155" s="65"/>
      <c r="AN155" s="65"/>
      <c r="AO155" s="65"/>
      <c r="AP155" s="66"/>
      <c r="AQ155" s="66"/>
      <c r="AR155" s="65"/>
      <c r="AS155" s="65"/>
      <c r="AT155" s="65"/>
      <c r="AU155" s="65"/>
      <c r="AV155" s="65"/>
      <c r="AW155" s="66"/>
      <c r="AX155" s="66"/>
      <c r="AY155" s="65"/>
      <c r="AZ155" s="65"/>
      <c r="BA155" s="65"/>
      <c r="BB155" s="65"/>
      <c r="BC155" s="65"/>
      <c r="BD155" s="66"/>
      <c r="BE155" s="66"/>
      <c r="BF155" s="65"/>
      <c r="BG155" s="65"/>
      <c r="BH155" s="65"/>
      <c r="BI155" s="65"/>
      <c r="BJ155" s="65"/>
      <c r="BK155" s="66"/>
      <c r="BL155" s="66"/>
      <c r="BM155" s="65"/>
      <c r="BN155" s="65"/>
      <c r="BO155" s="175">
        <f>SUM(F155:AI155)</f>
        <v>0</v>
      </c>
      <c r="BP155" s="22">
        <v>325</v>
      </c>
      <c r="BQ155" s="83">
        <v>0.5</v>
      </c>
      <c r="BR155" s="22">
        <f>BP155*(1-BQ155)</f>
        <v>162.5</v>
      </c>
      <c r="BS155" s="22">
        <f>BR155*BO155</f>
        <v>0</v>
      </c>
      <c r="BT155" s="84">
        <f>BR155*0.8</f>
        <v>130</v>
      </c>
      <c r="BU155" s="32"/>
      <c r="BV155" s="84">
        <f>BS155*0.8</f>
        <v>0</v>
      </c>
      <c r="BW155" s="84"/>
      <c r="BX155" s="32"/>
      <c r="BY155" s="99">
        <f>BZ155/CC155*100</f>
        <v>2.4087158769474359</v>
      </c>
      <c r="BZ155" s="122">
        <v>3802</v>
      </c>
      <c r="CA155" s="123">
        <f>BY155*BO155</f>
        <v>0</v>
      </c>
      <c r="CB155" s="90">
        <v>320820</v>
      </c>
      <c r="CC155" s="89">
        <v>157843.44</v>
      </c>
      <c r="CD155" s="90">
        <f>CC155*CA155%</f>
        <v>0</v>
      </c>
      <c r="CE155" s="21" t="e">
        <f>BV155/CD155*1000</f>
        <v>#DIV/0!</v>
      </c>
      <c r="CF155" s="10"/>
      <c r="CG155" s="30" t="str">
        <f>C155</f>
        <v>JOVEM PAN FM</v>
      </c>
      <c r="CH155" s="194"/>
      <c r="CI155" s="30" t="e">
        <f>SUM(#REF!)</f>
        <v>#REF!</v>
      </c>
      <c r="CJ155" s="194" t="e">
        <f>#REF!*CI155</f>
        <v>#REF!</v>
      </c>
      <c r="CK155" s="30" t="e">
        <f>SUM(#REF!)</f>
        <v>#REF!</v>
      </c>
      <c r="CL155" s="194" t="e">
        <f>#REF!*CK155</f>
        <v>#REF!</v>
      </c>
      <c r="CN155" s="45"/>
      <c r="CO155" s="45"/>
      <c r="CP155" s="45"/>
      <c r="CQ155" s="45"/>
      <c r="CR155" s="45"/>
      <c r="CS155" s="45"/>
      <c r="CT155" s="45"/>
      <c r="CU155" s="45"/>
      <c r="CV155" s="45"/>
      <c r="CW155" s="45"/>
      <c r="CX155" s="45"/>
      <c r="CY155" s="45"/>
      <c r="CZ155" s="45"/>
      <c r="DA155" s="45"/>
      <c r="DB155" s="45"/>
      <c r="DC155" s="45"/>
      <c r="DD155" s="45"/>
      <c r="DE155" s="45"/>
      <c r="DF155" s="45"/>
      <c r="DG155" s="45"/>
      <c r="DH155" s="45"/>
      <c r="DI155" s="45"/>
      <c r="DJ155" s="45"/>
      <c r="DK155" s="45"/>
      <c r="DL155" s="45"/>
      <c r="DM155" s="45"/>
      <c r="DN155" s="45"/>
      <c r="DO155" s="45"/>
      <c r="DP155" s="45"/>
      <c r="DQ155" s="45"/>
      <c r="DR155" s="45"/>
      <c r="DS155" s="45"/>
      <c r="DT155" s="45"/>
      <c r="DU155" s="45"/>
      <c r="DV155" s="45"/>
      <c r="DW155" s="45"/>
      <c r="DX155" s="45"/>
      <c r="DY155" s="45"/>
      <c r="DZ155" s="45"/>
      <c r="EA155" s="45"/>
      <c r="EB155" s="45"/>
      <c r="EC155" s="45"/>
      <c r="ED155" s="45"/>
      <c r="EE155" s="45"/>
      <c r="EF155" s="45"/>
      <c r="EG155" s="45"/>
      <c r="EH155" s="45"/>
      <c r="EI155" s="45"/>
      <c r="EJ155" s="45"/>
      <c r="EK155" s="45"/>
      <c r="EL155" s="45"/>
      <c r="EM155" s="45"/>
      <c r="EN155" s="45"/>
      <c r="EO155" s="45"/>
    </row>
    <row r="156" spans="1:145" s="50" customFormat="1" ht="16" hidden="1" customHeight="1" x14ac:dyDescent="0.25">
      <c r="A156" s="32"/>
      <c r="B156" s="202"/>
      <c r="C156" s="116" t="s">
        <v>102</v>
      </c>
      <c r="D156" s="42"/>
      <c r="E156" s="117"/>
      <c r="F156" s="65"/>
      <c r="G156" s="65"/>
      <c r="H156" s="65"/>
      <c r="I156" s="65"/>
      <c r="J156" s="65"/>
      <c r="K156" s="66"/>
      <c r="L156" s="66"/>
      <c r="M156" s="65"/>
      <c r="N156" s="65"/>
      <c r="O156" s="65"/>
      <c r="P156" s="65"/>
      <c r="Q156" s="65"/>
      <c r="R156" s="66"/>
      <c r="S156" s="66"/>
      <c r="T156" s="65"/>
      <c r="U156" s="65"/>
      <c r="V156" s="65"/>
      <c r="W156" s="65"/>
      <c r="X156" s="65"/>
      <c r="Y156" s="66"/>
      <c r="Z156" s="66"/>
      <c r="AA156" s="65"/>
      <c r="AB156" s="65"/>
      <c r="AC156" s="65"/>
      <c r="AD156" s="65"/>
      <c r="AE156" s="65"/>
      <c r="AF156" s="66"/>
      <c r="AG156" s="66"/>
      <c r="AH156" s="65"/>
      <c r="AI156" s="65"/>
      <c r="AJ156" s="65"/>
      <c r="AK156" s="65"/>
      <c r="AL156" s="65"/>
      <c r="AM156" s="65"/>
      <c r="AN156" s="65"/>
      <c r="AO156" s="65"/>
      <c r="AP156" s="66"/>
      <c r="AQ156" s="66"/>
      <c r="AR156" s="65"/>
      <c r="AS156" s="65"/>
      <c r="AT156" s="65"/>
      <c r="AU156" s="65"/>
      <c r="AV156" s="65"/>
      <c r="AW156" s="66"/>
      <c r="AX156" s="66"/>
      <c r="AY156" s="65"/>
      <c r="AZ156" s="65"/>
      <c r="BA156" s="65"/>
      <c r="BB156" s="65"/>
      <c r="BC156" s="65"/>
      <c r="BD156" s="66"/>
      <c r="BE156" s="66"/>
      <c r="BF156" s="65"/>
      <c r="BG156" s="65"/>
      <c r="BH156" s="65"/>
      <c r="BI156" s="65"/>
      <c r="BJ156" s="65"/>
      <c r="BK156" s="66"/>
      <c r="BL156" s="66"/>
      <c r="BM156" s="65"/>
      <c r="BN156" s="65"/>
      <c r="BO156" s="203"/>
      <c r="BP156" s="22"/>
      <c r="BQ156" s="22"/>
      <c r="BR156" s="22"/>
      <c r="BS156" s="22"/>
      <c r="BT156" s="22"/>
      <c r="BU156" s="32"/>
      <c r="BV156" s="22"/>
      <c r="BW156" s="22"/>
      <c r="BX156" s="32"/>
      <c r="BY156" s="121"/>
      <c r="BZ156" s="122"/>
      <c r="CA156" s="123"/>
      <c r="CB156" s="90"/>
      <c r="CC156" s="89"/>
      <c r="CD156" s="90"/>
      <c r="CE156" s="114"/>
      <c r="CF156" s="10"/>
      <c r="CG156" s="30"/>
      <c r="CH156" s="194"/>
      <c r="CI156" s="30"/>
      <c r="CJ156" s="194"/>
      <c r="CK156" s="30"/>
      <c r="CL156" s="194"/>
      <c r="CN156" s="45"/>
      <c r="CO156" s="45"/>
      <c r="CP156" s="45"/>
      <c r="CQ156" s="45"/>
      <c r="CR156" s="45"/>
      <c r="CS156" s="45"/>
      <c r="CT156" s="45"/>
      <c r="CU156" s="45"/>
      <c r="CV156" s="45"/>
      <c r="CW156" s="45"/>
      <c r="CX156" s="45"/>
      <c r="CY156" s="45"/>
      <c r="CZ156" s="45"/>
      <c r="DA156" s="45"/>
      <c r="DB156" s="45"/>
      <c r="DC156" s="45"/>
      <c r="DD156" s="45"/>
      <c r="DE156" s="45"/>
      <c r="DF156" s="45"/>
      <c r="DG156" s="45"/>
      <c r="DH156" s="45"/>
      <c r="DI156" s="45"/>
      <c r="DJ156" s="45"/>
      <c r="DK156" s="45"/>
      <c r="DL156" s="45"/>
      <c r="DM156" s="45"/>
      <c r="DN156" s="45"/>
      <c r="DO156" s="45"/>
      <c r="DP156" s="45"/>
      <c r="DQ156" s="45"/>
      <c r="DR156" s="45"/>
      <c r="DS156" s="45"/>
      <c r="DT156" s="45"/>
      <c r="DU156" s="45"/>
      <c r="DV156" s="45"/>
      <c r="DW156" s="45"/>
      <c r="DX156" s="45"/>
      <c r="DY156" s="45"/>
      <c r="DZ156" s="45"/>
      <c r="EA156" s="45"/>
      <c r="EB156" s="45"/>
      <c r="EC156" s="45"/>
      <c r="ED156" s="45"/>
      <c r="EE156" s="45"/>
      <c r="EF156" s="45"/>
      <c r="EG156" s="45"/>
      <c r="EH156" s="45"/>
      <c r="EI156" s="45"/>
      <c r="EJ156" s="45"/>
      <c r="EK156" s="45"/>
      <c r="EL156" s="45"/>
      <c r="EM156" s="45"/>
      <c r="EN156" s="45"/>
      <c r="EO156" s="45"/>
    </row>
    <row r="157" spans="1:145" s="50" customFormat="1" ht="16" hidden="1" customHeight="1" x14ac:dyDescent="0.25">
      <c r="A157" s="32"/>
      <c r="B157" s="202"/>
      <c r="C157" s="81"/>
      <c r="D157" s="95"/>
      <c r="E157" s="39"/>
      <c r="F157" s="65"/>
      <c r="G157" s="65"/>
      <c r="H157" s="65"/>
      <c r="I157" s="65"/>
      <c r="J157" s="65"/>
      <c r="K157" s="66"/>
      <c r="L157" s="66"/>
      <c r="M157" s="65"/>
      <c r="N157" s="65"/>
      <c r="O157" s="65"/>
      <c r="P157" s="65"/>
      <c r="Q157" s="65"/>
      <c r="R157" s="66"/>
      <c r="S157" s="66"/>
      <c r="T157" s="65"/>
      <c r="U157" s="65"/>
      <c r="V157" s="65"/>
      <c r="W157" s="65"/>
      <c r="X157" s="65"/>
      <c r="Y157" s="66"/>
      <c r="Z157" s="66"/>
      <c r="AA157" s="65"/>
      <c r="AB157" s="65"/>
      <c r="AC157" s="65"/>
      <c r="AD157" s="65"/>
      <c r="AE157" s="65"/>
      <c r="AF157" s="66"/>
      <c r="AG157" s="66"/>
      <c r="AH157" s="65"/>
      <c r="AI157" s="65"/>
      <c r="AJ157" s="65"/>
      <c r="AK157" s="65"/>
      <c r="AL157" s="65"/>
      <c r="AM157" s="65"/>
      <c r="AN157" s="65"/>
      <c r="AO157" s="65"/>
      <c r="AP157" s="66"/>
      <c r="AQ157" s="66"/>
      <c r="AR157" s="65"/>
      <c r="AS157" s="65"/>
      <c r="AT157" s="65"/>
      <c r="AU157" s="65"/>
      <c r="AV157" s="65"/>
      <c r="AW157" s="66"/>
      <c r="AX157" s="66"/>
      <c r="AY157" s="65"/>
      <c r="AZ157" s="65"/>
      <c r="BA157" s="65"/>
      <c r="BB157" s="65"/>
      <c r="BC157" s="65"/>
      <c r="BD157" s="66"/>
      <c r="BE157" s="66"/>
      <c r="BF157" s="65"/>
      <c r="BG157" s="65"/>
      <c r="BH157" s="65"/>
      <c r="BI157" s="65"/>
      <c r="BJ157" s="65"/>
      <c r="BK157" s="66"/>
      <c r="BL157" s="66"/>
      <c r="BM157" s="65"/>
      <c r="BN157" s="65"/>
      <c r="BO157" s="118"/>
      <c r="BP157" s="68"/>
      <c r="BQ157" s="68"/>
      <c r="BR157" s="68"/>
      <c r="BS157" s="68"/>
      <c r="BT157" s="200"/>
      <c r="BU157" s="32"/>
      <c r="BV157" s="200"/>
      <c r="BW157" s="200"/>
      <c r="BX157" s="32"/>
      <c r="BY157" s="188"/>
      <c r="BZ157" s="189"/>
      <c r="CA157" s="190"/>
      <c r="CB157" s="191"/>
      <c r="CC157" s="192"/>
      <c r="CD157" s="191"/>
      <c r="CE157" s="18"/>
      <c r="CF157" s="10"/>
      <c r="CG157" s="30"/>
      <c r="CH157" s="194"/>
      <c r="CI157" s="30"/>
      <c r="CJ157" s="194"/>
      <c r="CK157" s="30"/>
      <c r="CL157" s="194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  <c r="EN157" s="45"/>
      <c r="EO157" s="45"/>
    </row>
    <row r="158" spans="1:145" s="50" customFormat="1" ht="16" hidden="1" customHeight="1" x14ac:dyDescent="0.25">
      <c r="A158" s="32"/>
      <c r="B158" s="202"/>
      <c r="C158" s="81" t="s">
        <v>103</v>
      </c>
      <c r="D158" s="95" t="s">
        <v>72</v>
      </c>
      <c r="E158" s="36" t="s">
        <v>18</v>
      </c>
      <c r="F158" s="65"/>
      <c r="G158" s="65"/>
      <c r="H158" s="65"/>
      <c r="I158" s="65"/>
      <c r="J158" s="65"/>
      <c r="K158" s="66"/>
      <c r="L158" s="66"/>
      <c r="M158" s="65"/>
      <c r="N158" s="65"/>
      <c r="O158" s="65"/>
      <c r="P158" s="65"/>
      <c r="Q158" s="65"/>
      <c r="R158" s="66"/>
      <c r="S158" s="66"/>
      <c r="T158" s="65"/>
      <c r="U158" s="65"/>
      <c r="V158" s="65"/>
      <c r="W158" s="65"/>
      <c r="X158" s="65"/>
      <c r="Y158" s="66"/>
      <c r="Z158" s="66"/>
      <c r="AA158" s="65"/>
      <c r="AB158" s="65"/>
      <c r="AC158" s="65"/>
      <c r="AD158" s="65"/>
      <c r="AE158" s="65"/>
      <c r="AF158" s="66"/>
      <c r="AG158" s="66"/>
      <c r="AH158" s="65"/>
      <c r="AI158" s="65"/>
      <c r="AJ158" s="65"/>
      <c r="AK158" s="65"/>
      <c r="AL158" s="65"/>
      <c r="AM158" s="65"/>
      <c r="AN158" s="65"/>
      <c r="AO158" s="65"/>
      <c r="AP158" s="66"/>
      <c r="AQ158" s="66"/>
      <c r="AR158" s="65"/>
      <c r="AS158" s="65"/>
      <c r="AT158" s="65"/>
      <c r="AU158" s="65"/>
      <c r="AV158" s="65"/>
      <c r="AW158" s="66"/>
      <c r="AX158" s="66"/>
      <c r="AY158" s="65"/>
      <c r="AZ158" s="65"/>
      <c r="BA158" s="65"/>
      <c r="BB158" s="65"/>
      <c r="BC158" s="65"/>
      <c r="BD158" s="66"/>
      <c r="BE158" s="66"/>
      <c r="BF158" s="65"/>
      <c r="BG158" s="65"/>
      <c r="BH158" s="65"/>
      <c r="BI158" s="65"/>
      <c r="BJ158" s="65"/>
      <c r="BK158" s="66"/>
      <c r="BL158" s="66"/>
      <c r="BM158" s="65"/>
      <c r="BN158" s="65"/>
      <c r="BO158" s="175">
        <f>SUM(F158:AI158)</f>
        <v>0</v>
      </c>
      <c r="BP158" s="22">
        <v>184</v>
      </c>
      <c r="BQ158" s="83">
        <v>0.4</v>
      </c>
      <c r="BR158" s="22">
        <f>BP158*(1-BQ158)</f>
        <v>110.39999999999999</v>
      </c>
      <c r="BS158" s="22">
        <f>BR158*BO158</f>
        <v>0</v>
      </c>
      <c r="BT158" s="84">
        <f>BR158*0.8</f>
        <v>88.32</v>
      </c>
      <c r="BU158" s="32"/>
      <c r="BV158" s="84">
        <f>BS158*0.8</f>
        <v>0</v>
      </c>
      <c r="BW158" s="84"/>
      <c r="BX158" s="32"/>
      <c r="BY158" s="99">
        <f>BZ158/CC158*100</f>
        <v>1.7206923518646069</v>
      </c>
      <c r="BZ158" s="122">
        <v>2716</v>
      </c>
      <c r="CA158" s="123">
        <f>BY158*BO158</f>
        <v>0</v>
      </c>
      <c r="CB158" s="90">
        <v>320820</v>
      </c>
      <c r="CC158" s="89">
        <v>157843.44</v>
      </c>
      <c r="CD158" s="90">
        <f>CC158*CA158%</f>
        <v>0</v>
      </c>
      <c r="CE158" s="21" t="e">
        <f>BV158/CD158*1000</f>
        <v>#DIV/0!</v>
      </c>
      <c r="CF158" s="10"/>
      <c r="CG158" s="30" t="str">
        <f>C158</f>
        <v>CANÇÃO NOVA FM</v>
      </c>
      <c r="CH158" s="194"/>
      <c r="CI158" s="30" t="e">
        <f>SUM(#REF!)</f>
        <v>#REF!</v>
      </c>
      <c r="CJ158" s="194" t="e">
        <f>#REF!*CI158</f>
        <v>#REF!</v>
      </c>
      <c r="CK158" s="30" t="e">
        <f>SUM(#REF!)</f>
        <v>#REF!</v>
      </c>
      <c r="CL158" s="194" t="e">
        <f>#REF!*CK158</f>
        <v>#REF!</v>
      </c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  <c r="EN158" s="45"/>
      <c r="EO158" s="45"/>
    </row>
    <row r="159" spans="1:145" s="50" customFormat="1" ht="16" hidden="1" customHeight="1" x14ac:dyDescent="0.25">
      <c r="A159" s="32"/>
      <c r="B159" s="202"/>
      <c r="C159" s="116" t="s">
        <v>98</v>
      </c>
      <c r="D159" s="42"/>
      <c r="E159" s="117"/>
      <c r="F159" s="65"/>
      <c r="G159" s="65"/>
      <c r="H159" s="65"/>
      <c r="I159" s="65"/>
      <c r="J159" s="65"/>
      <c r="K159" s="66"/>
      <c r="L159" s="66"/>
      <c r="M159" s="65"/>
      <c r="N159" s="65"/>
      <c r="O159" s="65"/>
      <c r="P159" s="65"/>
      <c r="Q159" s="65"/>
      <c r="R159" s="66"/>
      <c r="S159" s="66"/>
      <c r="T159" s="65"/>
      <c r="U159" s="65"/>
      <c r="V159" s="65"/>
      <c r="W159" s="65"/>
      <c r="X159" s="65"/>
      <c r="Y159" s="66"/>
      <c r="Z159" s="66"/>
      <c r="AA159" s="65"/>
      <c r="AB159" s="65"/>
      <c r="AC159" s="65"/>
      <c r="AD159" s="65"/>
      <c r="AE159" s="65"/>
      <c r="AF159" s="66"/>
      <c r="AG159" s="66"/>
      <c r="AH159" s="65"/>
      <c r="AI159" s="65"/>
      <c r="AJ159" s="65"/>
      <c r="AK159" s="65"/>
      <c r="AL159" s="65"/>
      <c r="AM159" s="65"/>
      <c r="AN159" s="65"/>
      <c r="AO159" s="65"/>
      <c r="AP159" s="66"/>
      <c r="AQ159" s="66"/>
      <c r="AR159" s="65"/>
      <c r="AS159" s="65"/>
      <c r="AT159" s="65"/>
      <c r="AU159" s="65"/>
      <c r="AV159" s="65"/>
      <c r="AW159" s="66"/>
      <c r="AX159" s="66"/>
      <c r="AY159" s="65"/>
      <c r="AZ159" s="65"/>
      <c r="BA159" s="65"/>
      <c r="BB159" s="65"/>
      <c r="BC159" s="65"/>
      <c r="BD159" s="66"/>
      <c r="BE159" s="66"/>
      <c r="BF159" s="65"/>
      <c r="BG159" s="65"/>
      <c r="BH159" s="65"/>
      <c r="BI159" s="65"/>
      <c r="BJ159" s="65"/>
      <c r="BK159" s="66"/>
      <c r="BL159" s="66"/>
      <c r="BM159" s="65"/>
      <c r="BN159" s="65"/>
      <c r="BO159" s="203"/>
      <c r="BP159" s="22"/>
      <c r="BQ159" s="22"/>
      <c r="BR159" s="22"/>
      <c r="BS159" s="22"/>
      <c r="BT159" s="22"/>
      <c r="BU159" s="32"/>
      <c r="BV159" s="22"/>
      <c r="BW159" s="22"/>
      <c r="BX159" s="32"/>
      <c r="BY159" s="121"/>
      <c r="BZ159" s="122"/>
      <c r="CA159" s="123"/>
      <c r="CB159" s="90"/>
      <c r="CC159" s="89"/>
      <c r="CD159" s="90"/>
      <c r="CE159" s="114"/>
      <c r="CF159" s="10"/>
      <c r="CG159" s="30"/>
      <c r="CH159" s="194"/>
      <c r="CI159" s="30"/>
      <c r="CJ159" s="194"/>
      <c r="CK159" s="30"/>
      <c r="CL159" s="194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  <c r="EN159" s="45"/>
      <c r="EO159" s="45"/>
    </row>
    <row r="160" spans="1:145" ht="16" hidden="1" customHeight="1" x14ac:dyDescent="0.25">
      <c r="A160" s="32"/>
      <c r="B160" s="202"/>
      <c r="C160" s="81"/>
      <c r="D160" s="95"/>
      <c r="E160" s="39"/>
      <c r="F160" s="65"/>
      <c r="G160" s="65"/>
      <c r="H160" s="65"/>
      <c r="I160" s="65"/>
      <c r="J160" s="65"/>
      <c r="K160" s="66"/>
      <c r="L160" s="66"/>
      <c r="M160" s="65"/>
      <c r="N160" s="65"/>
      <c r="O160" s="65"/>
      <c r="P160" s="65"/>
      <c r="Q160" s="65"/>
      <c r="R160" s="66"/>
      <c r="S160" s="66"/>
      <c r="T160" s="65"/>
      <c r="U160" s="65"/>
      <c r="V160" s="65"/>
      <c r="W160" s="65"/>
      <c r="X160" s="65"/>
      <c r="Y160" s="66"/>
      <c r="Z160" s="66"/>
      <c r="AA160" s="65"/>
      <c r="AB160" s="65"/>
      <c r="AC160" s="65"/>
      <c r="AD160" s="65"/>
      <c r="AE160" s="65"/>
      <c r="AF160" s="66"/>
      <c r="AG160" s="66"/>
      <c r="AH160" s="65"/>
      <c r="AI160" s="65"/>
      <c r="AJ160" s="65"/>
      <c r="AK160" s="65"/>
      <c r="AL160" s="65"/>
      <c r="AM160" s="65"/>
      <c r="AN160" s="65"/>
      <c r="AO160" s="65"/>
      <c r="AP160" s="66"/>
      <c r="AQ160" s="66"/>
      <c r="AR160" s="65"/>
      <c r="AS160" s="65"/>
      <c r="AT160" s="65"/>
      <c r="AU160" s="65"/>
      <c r="AV160" s="65"/>
      <c r="AW160" s="66"/>
      <c r="AX160" s="66"/>
      <c r="AY160" s="65"/>
      <c r="AZ160" s="65"/>
      <c r="BA160" s="65"/>
      <c r="BB160" s="65"/>
      <c r="BC160" s="65"/>
      <c r="BD160" s="66"/>
      <c r="BE160" s="66"/>
      <c r="BF160" s="65"/>
      <c r="BG160" s="65"/>
      <c r="BH160" s="65"/>
      <c r="BI160" s="65"/>
      <c r="BJ160" s="65"/>
      <c r="BK160" s="66"/>
      <c r="BL160" s="66"/>
      <c r="BM160" s="65"/>
      <c r="BN160" s="65"/>
      <c r="BO160" s="118"/>
      <c r="BP160" s="68"/>
      <c r="BQ160" s="68"/>
      <c r="BR160" s="68"/>
      <c r="BS160" s="68"/>
      <c r="BT160" s="200"/>
      <c r="BU160" s="32"/>
      <c r="BV160" s="200"/>
      <c r="BW160" s="200"/>
      <c r="BX160" s="32"/>
      <c r="BY160" s="188"/>
      <c r="BZ160" s="189"/>
      <c r="CA160" s="190"/>
      <c r="CB160" s="191"/>
      <c r="CC160" s="192"/>
      <c r="CD160" s="191"/>
      <c r="CE160" s="18"/>
      <c r="CF160" s="10"/>
      <c r="CH160" s="194"/>
      <c r="CJ160" s="194"/>
      <c r="CL160" s="194"/>
    </row>
    <row r="161" spans="1:91" ht="16" hidden="1" customHeight="1" x14ac:dyDescent="0.25">
      <c r="A161" s="32"/>
      <c r="B161" s="202"/>
      <c r="C161" s="81" t="s">
        <v>92</v>
      </c>
      <c r="D161" s="95" t="s">
        <v>72</v>
      </c>
      <c r="E161" s="36" t="s">
        <v>18</v>
      </c>
      <c r="F161" s="65"/>
      <c r="G161" s="65"/>
      <c r="H161" s="65"/>
      <c r="I161" s="65"/>
      <c r="J161" s="65"/>
      <c r="K161" s="66"/>
      <c r="L161" s="66"/>
      <c r="M161" s="65"/>
      <c r="N161" s="65"/>
      <c r="O161" s="65"/>
      <c r="P161" s="65"/>
      <c r="Q161" s="65"/>
      <c r="R161" s="66"/>
      <c r="S161" s="66"/>
      <c r="T161" s="65"/>
      <c r="U161" s="65"/>
      <c r="V161" s="65"/>
      <c r="W161" s="65"/>
      <c r="X161" s="65"/>
      <c r="Y161" s="66"/>
      <c r="Z161" s="66"/>
      <c r="AA161" s="65"/>
      <c r="AB161" s="65"/>
      <c r="AC161" s="65"/>
      <c r="AD161" s="65"/>
      <c r="AE161" s="65"/>
      <c r="AF161" s="66"/>
      <c r="AG161" s="66"/>
      <c r="AH161" s="65"/>
      <c r="AI161" s="65"/>
      <c r="AJ161" s="65"/>
      <c r="AK161" s="65"/>
      <c r="AL161" s="65"/>
      <c r="AM161" s="65"/>
      <c r="AN161" s="65"/>
      <c r="AO161" s="65"/>
      <c r="AP161" s="66"/>
      <c r="AQ161" s="66"/>
      <c r="AR161" s="65"/>
      <c r="AS161" s="65"/>
      <c r="AT161" s="65"/>
      <c r="AU161" s="65"/>
      <c r="AV161" s="65"/>
      <c r="AW161" s="66"/>
      <c r="AX161" s="66"/>
      <c r="AY161" s="65"/>
      <c r="AZ161" s="65"/>
      <c r="BA161" s="65"/>
      <c r="BB161" s="65"/>
      <c r="BC161" s="65"/>
      <c r="BD161" s="66"/>
      <c r="BE161" s="66"/>
      <c r="BF161" s="65"/>
      <c r="BG161" s="65"/>
      <c r="BH161" s="65"/>
      <c r="BI161" s="65"/>
      <c r="BJ161" s="65"/>
      <c r="BK161" s="66"/>
      <c r="BL161" s="66"/>
      <c r="BM161" s="65"/>
      <c r="BN161" s="65"/>
      <c r="BO161" s="175">
        <f>SUM(F161:AI161)</f>
        <v>0</v>
      </c>
      <c r="BP161" s="22">
        <v>160</v>
      </c>
      <c r="BQ161" s="83">
        <v>0.4</v>
      </c>
      <c r="BR161" s="22">
        <f>BP161*(1-BQ161)</f>
        <v>96</v>
      </c>
      <c r="BS161" s="22">
        <f>BR161*BO161</f>
        <v>0</v>
      </c>
      <c r="BT161" s="84">
        <f>BR161*0.8</f>
        <v>76.800000000000011</v>
      </c>
      <c r="BU161" s="32"/>
      <c r="BV161" s="84">
        <f>BS161*0.8</f>
        <v>0</v>
      </c>
      <c r="BW161" s="84"/>
      <c r="BX161" s="32"/>
      <c r="BY161" s="99">
        <f>BZ161/CC161*100</f>
        <v>1.6966178638782834</v>
      </c>
      <c r="BZ161" s="122">
        <v>2678</v>
      </c>
      <c r="CA161" s="123">
        <f>BY161*BO161</f>
        <v>0</v>
      </c>
      <c r="CB161" s="90">
        <v>320820</v>
      </c>
      <c r="CC161" s="89">
        <v>157843.44</v>
      </c>
      <c r="CD161" s="90">
        <v>324862</v>
      </c>
      <c r="CE161" s="21">
        <f>BV161/CD161*1000</f>
        <v>0</v>
      </c>
      <c r="CF161" s="10"/>
      <c r="CG161" s="30" t="str">
        <f>C161</f>
        <v>MIX FM</v>
      </c>
      <c r="CH161" s="194"/>
      <c r="CI161" s="30" t="e">
        <f>SUM(#REF!)</f>
        <v>#REF!</v>
      </c>
      <c r="CJ161" s="194" t="e">
        <f>#REF!*CI161</f>
        <v>#REF!</v>
      </c>
      <c r="CK161" s="30" t="e">
        <f>SUM(#REF!)</f>
        <v>#REF!</v>
      </c>
      <c r="CL161" s="194" t="e">
        <f>#REF!*CK161</f>
        <v>#REF!</v>
      </c>
    </row>
    <row r="162" spans="1:91" ht="16" hidden="1" customHeight="1" x14ac:dyDescent="0.25">
      <c r="A162" s="32"/>
      <c r="B162" s="202"/>
      <c r="C162" s="116" t="s">
        <v>98</v>
      </c>
      <c r="D162" s="42"/>
      <c r="E162" s="117"/>
      <c r="F162" s="65"/>
      <c r="G162" s="65"/>
      <c r="H162" s="65"/>
      <c r="I162" s="65"/>
      <c r="J162" s="65"/>
      <c r="K162" s="66"/>
      <c r="L162" s="66"/>
      <c r="M162" s="65"/>
      <c r="N162" s="65"/>
      <c r="O162" s="65"/>
      <c r="P162" s="65"/>
      <c r="Q162" s="65"/>
      <c r="R162" s="66"/>
      <c r="S162" s="66"/>
      <c r="T162" s="65"/>
      <c r="U162" s="65"/>
      <c r="V162" s="65"/>
      <c r="W162" s="65"/>
      <c r="X162" s="65"/>
      <c r="Y162" s="66"/>
      <c r="Z162" s="66"/>
      <c r="AA162" s="65"/>
      <c r="AB162" s="65"/>
      <c r="AC162" s="65"/>
      <c r="AD162" s="65"/>
      <c r="AE162" s="65"/>
      <c r="AF162" s="66"/>
      <c r="AG162" s="66"/>
      <c r="AH162" s="65"/>
      <c r="AI162" s="65"/>
      <c r="AJ162" s="65"/>
      <c r="AK162" s="65"/>
      <c r="AL162" s="65"/>
      <c r="AM162" s="65"/>
      <c r="AN162" s="65"/>
      <c r="AO162" s="65"/>
      <c r="AP162" s="66"/>
      <c r="AQ162" s="66"/>
      <c r="AR162" s="65"/>
      <c r="AS162" s="65"/>
      <c r="AT162" s="65"/>
      <c r="AU162" s="65"/>
      <c r="AV162" s="65"/>
      <c r="AW162" s="66"/>
      <c r="AX162" s="66"/>
      <c r="AY162" s="65"/>
      <c r="AZ162" s="65"/>
      <c r="BA162" s="65"/>
      <c r="BB162" s="65"/>
      <c r="BC162" s="65"/>
      <c r="BD162" s="66"/>
      <c r="BE162" s="66"/>
      <c r="BF162" s="65"/>
      <c r="BG162" s="65"/>
      <c r="BH162" s="65"/>
      <c r="BI162" s="65"/>
      <c r="BJ162" s="65"/>
      <c r="BK162" s="66"/>
      <c r="BL162" s="66"/>
      <c r="BM162" s="65"/>
      <c r="BN162" s="65"/>
      <c r="BO162" s="203"/>
      <c r="BP162" s="22"/>
      <c r="BQ162" s="22"/>
      <c r="BR162" s="22"/>
      <c r="BS162" s="22"/>
      <c r="BT162" s="22"/>
      <c r="BU162" s="32"/>
      <c r="BV162" s="22"/>
      <c r="BW162" s="22"/>
      <c r="BX162" s="32"/>
      <c r="BY162" s="121"/>
      <c r="BZ162" s="122"/>
      <c r="CA162" s="123"/>
      <c r="CB162" s="90"/>
      <c r="CC162" s="89"/>
      <c r="CD162" s="90"/>
      <c r="CE162" s="21"/>
      <c r="CF162" s="10"/>
      <c r="CH162" s="194"/>
      <c r="CJ162" s="194"/>
      <c r="CL162" s="194"/>
    </row>
    <row r="163" spans="1:91" ht="16" hidden="1" customHeight="1" x14ac:dyDescent="0.25">
      <c r="A163" s="32"/>
      <c r="B163" s="202"/>
      <c r="C163" s="81"/>
      <c r="D163" s="95"/>
      <c r="E163" s="39"/>
      <c r="F163" s="65"/>
      <c r="G163" s="65"/>
      <c r="H163" s="65"/>
      <c r="I163" s="65"/>
      <c r="J163" s="65"/>
      <c r="K163" s="66"/>
      <c r="L163" s="66"/>
      <c r="M163" s="65"/>
      <c r="N163" s="65"/>
      <c r="O163" s="65"/>
      <c r="P163" s="65"/>
      <c r="Q163" s="65"/>
      <c r="R163" s="66"/>
      <c r="S163" s="66"/>
      <c r="T163" s="65"/>
      <c r="U163" s="65"/>
      <c r="V163" s="65"/>
      <c r="W163" s="65"/>
      <c r="X163" s="65"/>
      <c r="Y163" s="66"/>
      <c r="Z163" s="66"/>
      <c r="AA163" s="65"/>
      <c r="AB163" s="65"/>
      <c r="AC163" s="65"/>
      <c r="AD163" s="65"/>
      <c r="AE163" s="65"/>
      <c r="AF163" s="66"/>
      <c r="AG163" s="66"/>
      <c r="AH163" s="65"/>
      <c r="AI163" s="65"/>
      <c r="AJ163" s="65"/>
      <c r="AK163" s="65"/>
      <c r="AL163" s="65"/>
      <c r="AM163" s="65"/>
      <c r="AN163" s="65"/>
      <c r="AO163" s="65"/>
      <c r="AP163" s="66"/>
      <c r="AQ163" s="66"/>
      <c r="AR163" s="65"/>
      <c r="AS163" s="65"/>
      <c r="AT163" s="65"/>
      <c r="AU163" s="65"/>
      <c r="AV163" s="65"/>
      <c r="AW163" s="66"/>
      <c r="AX163" s="66"/>
      <c r="AY163" s="65"/>
      <c r="AZ163" s="65"/>
      <c r="BA163" s="65"/>
      <c r="BB163" s="65"/>
      <c r="BC163" s="65"/>
      <c r="BD163" s="66"/>
      <c r="BE163" s="66"/>
      <c r="BF163" s="65"/>
      <c r="BG163" s="65"/>
      <c r="BH163" s="65"/>
      <c r="BI163" s="65"/>
      <c r="BJ163" s="65"/>
      <c r="BK163" s="66"/>
      <c r="BL163" s="66"/>
      <c r="BM163" s="65"/>
      <c r="BN163" s="65"/>
      <c r="BO163" s="187"/>
      <c r="BP163" s="68"/>
      <c r="BQ163" s="68"/>
      <c r="BR163" s="68"/>
      <c r="BS163" s="68"/>
      <c r="BT163" s="200"/>
      <c r="BU163" s="32"/>
      <c r="BV163" s="200"/>
      <c r="BW163" s="200"/>
      <c r="BX163" s="32"/>
      <c r="BY163" s="106"/>
      <c r="BZ163" s="107"/>
      <c r="CA163" s="108"/>
      <c r="CB163" s="109"/>
      <c r="CC163" s="110"/>
      <c r="CD163" s="109"/>
      <c r="CE163" s="114"/>
      <c r="CF163" s="10"/>
      <c r="CH163" s="194"/>
      <c r="CJ163" s="194"/>
      <c r="CL163" s="194"/>
    </row>
    <row r="164" spans="1:91" ht="16" hidden="1" customHeight="1" x14ac:dyDescent="0.25">
      <c r="A164" s="32"/>
      <c r="B164" s="25" t="s">
        <v>104</v>
      </c>
      <c r="C164" s="139"/>
      <c r="D164" s="139"/>
      <c r="E164" s="139"/>
      <c r="F164" s="40">
        <f t="shared" ref="F164:BO164" si="17">SUM(F137:F163)</f>
        <v>0</v>
      </c>
      <c r="G164" s="40">
        <f t="shared" si="17"/>
        <v>0</v>
      </c>
      <c r="H164" s="40">
        <f t="shared" si="17"/>
        <v>0</v>
      </c>
      <c r="I164" s="40">
        <f t="shared" si="17"/>
        <v>0</v>
      </c>
      <c r="J164" s="40">
        <f t="shared" si="17"/>
        <v>0</v>
      </c>
      <c r="K164" s="40">
        <f t="shared" si="17"/>
        <v>0</v>
      </c>
      <c r="L164" s="40">
        <f t="shared" si="17"/>
        <v>0</v>
      </c>
      <c r="M164" s="40">
        <f t="shared" si="17"/>
        <v>0</v>
      </c>
      <c r="N164" s="40">
        <f t="shared" si="17"/>
        <v>0</v>
      </c>
      <c r="O164" s="40">
        <f t="shared" si="17"/>
        <v>0</v>
      </c>
      <c r="P164" s="40">
        <f t="shared" si="17"/>
        <v>0</v>
      </c>
      <c r="Q164" s="40">
        <f t="shared" si="17"/>
        <v>0</v>
      </c>
      <c r="R164" s="40">
        <f t="shared" si="17"/>
        <v>0</v>
      </c>
      <c r="S164" s="40">
        <f t="shared" si="17"/>
        <v>0</v>
      </c>
      <c r="T164" s="40">
        <f t="shared" si="17"/>
        <v>0</v>
      </c>
      <c r="U164" s="40">
        <f t="shared" si="17"/>
        <v>0</v>
      </c>
      <c r="V164" s="40">
        <f t="shared" si="17"/>
        <v>0</v>
      </c>
      <c r="W164" s="40">
        <f t="shared" si="17"/>
        <v>0</v>
      </c>
      <c r="X164" s="40">
        <f t="shared" si="17"/>
        <v>0</v>
      </c>
      <c r="Y164" s="40">
        <f t="shared" si="17"/>
        <v>0</v>
      </c>
      <c r="Z164" s="40">
        <f t="shared" si="17"/>
        <v>0</v>
      </c>
      <c r="AA164" s="40">
        <f t="shared" si="17"/>
        <v>0</v>
      </c>
      <c r="AB164" s="40">
        <f t="shared" si="17"/>
        <v>0</v>
      </c>
      <c r="AC164" s="40">
        <f t="shared" si="17"/>
        <v>0</v>
      </c>
      <c r="AD164" s="40">
        <f t="shared" si="17"/>
        <v>0</v>
      </c>
      <c r="AE164" s="40">
        <f t="shared" si="17"/>
        <v>0</v>
      </c>
      <c r="AF164" s="40">
        <f t="shared" si="17"/>
        <v>0</v>
      </c>
      <c r="AG164" s="40">
        <f t="shared" si="17"/>
        <v>0</v>
      </c>
      <c r="AH164" s="40">
        <f t="shared" si="17"/>
        <v>0</v>
      </c>
      <c r="AI164" s="40">
        <f t="shared" si="17"/>
        <v>0</v>
      </c>
      <c r="AJ164" s="40">
        <f t="shared" ref="AJ164:BN164" si="18">SUM(AJ137:AJ163)</f>
        <v>0</v>
      </c>
      <c r="AK164" s="40">
        <f t="shared" si="18"/>
        <v>0</v>
      </c>
      <c r="AL164" s="40">
        <f t="shared" si="18"/>
        <v>0</v>
      </c>
      <c r="AM164" s="40">
        <f t="shared" si="18"/>
        <v>0</v>
      </c>
      <c r="AN164" s="40">
        <f t="shared" si="18"/>
        <v>0</v>
      </c>
      <c r="AO164" s="40">
        <f t="shared" si="18"/>
        <v>0</v>
      </c>
      <c r="AP164" s="40">
        <f t="shared" si="18"/>
        <v>0</v>
      </c>
      <c r="AQ164" s="40">
        <f t="shared" si="18"/>
        <v>0</v>
      </c>
      <c r="AR164" s="40">
        <f t="shared" si="18"/>
        <v>0</v>
      </c>
      <c r="AS164" s="40">
        <f t="shared" si="18"/>
        <v>0</v>
      </c>
      <c r="AT164" s="40">
        <f t="shared" si="18"/>
        <v>0</v>
      </c>
      <c r="AU164" s="40">
        <f t="shared" si="18"/>
        <v>0</v>
      </c>
      <c r="AV164" s="40">
        <f t="shared" si="18"/>
        <v>0</v>
      </c>
      <c r="AW164" s="40">
        <f t="shared" si="18"/>
        <v>0</v>
      </c>
      <c r="AX164" s="40">
        <f t="shared" si="18"/>
        <v>0</v>
      </c>
      <c r="AY164" s="40">
        <f t="shared" si="18"/>
        <v>0</v>
      </c>
      <c r="AZ164" s="40">
        <f t="shared" si="18"/>
        <v>0</v>
      </c>
      <c r="BA164" s="40">
        <f t="shared" si="18"/>
        <v>0</v>
      </c>
      <c r="BB164" s="40">
        <f t="shared" si="18"/>
        <v>0</v>
      </c>
      <c r="BC164" s="40">
        <f t="shared" si="18"/>
        <v>0</v>
      </c>
      <c r="BD164" s="40">
        <f t="shared" si="18"/>
        <v>0</v>
      </c>
      <c r="BE164" s="40">
        <f t="shared" si="18"/>
        <v>0</v>
      </c>
      <c r="BF164" s="40">
        <f t="shared" si="18"/>
        <v>0</v>
      </c>
      <c r="BG164" s="40">
        <f t="shared" si="18"/>
        <v>0</v>
      </c>
      <c r="BH164" s="40">
        <f t="shared" si="18"/>
        <v>0</v>
      </c>
      <c r="BI164" s="40">
        <f t="shared" si="18"/>
        <v>0</v>
      </c>
      <c r="BJ164" s="40">
        <f t="shared" si="18"/>
        <v>0</v>
      </c>
      <c r="BK164" s="40">
        <f t="shared" si="18"/>
        <v>0</v>
      </c>
      <c r="BL164" s="40">
        <f t="shared" si="18"/>
        <v>0</v>
      </c>
      <c r="BM164" s="40">
        <f t="shared" si="18"/>
        <v>0</v>
      </c>
      <c r="BN164" s="40">
        <f t="shared" si="18"/>
        <v>0</v>
      </c>
      <c r="BO164" s="204" t="e">
        <f t="shared" si="17"/>
        <v>#REF!</v>
      </c>
      <c r="BP164" s="205"/>
      <c r="BQ164" s="205"/>
      <c r="BR164" s="205"/>
      <c r="BS164" s="205" t="e">
        <f>SUM(BS137:BS163)</f>
        <v>#REF!</v>
      </c>
      <c r="BT164" s="205">
        <f>SUM(BT137:BT163)</f>
        <v>865.24968421052631</v>
      </c>
      <c r="BU164" s="43"/>
      <c r="BV164" s="205" t="e">
        <f>SUM(BV137:BV163)</f>
        <v>#REF!</v>
      </c>
      <c r="BW164" s="205"/>
      <c r="BX164" s="43"/>
      <c r="BY164" s="196"/>
      <c r="BZ164" s="197"/>
      <c r="CA164" s="198"/>
      <c r="CB164" s="147"/>
      <c r="CC164" s="147"/>
      <c r="CD164" s="199">
        <f>SUM(CD137:CD163)</f>
        <v>324862</v>
      </c>
      <c r="CE164" s="149" t="e">
        <f>BV164/CD164*1000</f>
        <v>#REF!</v>
      </c>
      <c r="CF164" s="10"/>
      <c r="CH164" s="194"/>
      <c r="CJ164" s="194"/>
      <c r="CL164" s="194"/>
    </row>
    <row r="165" spans="1:91" s="152" customFormat="1" ht="16" hidden="1" customHeight="1" x14ac:dyDescent="0.4">
      <c r="A165" s="43"/>
      <c r="B165" s="183"/>
      <c r="C165" s="184"/>
      <c r="D165" s="185"/>
      <c r="E165" s="186"/>
      <c r="F165" s="65"/>
      <c r="G165" s="65"/>
      <c r="H165" s="65"/>
      <c r="I165" s="65"/>
      <c r="J165" s="65"/>
      <c r="K165" s="66"/>
      <c r="L165" s="66"/>
      <c r="M165" s="65"/>
      <c r="N165" s="65"/>
      <c r="O165" s="65"/>
      <c r="P165" s="65"/>
      <c r="Q165" s="65"/>
      <c r="R165" s="66"/>
      <c r="S165" s="66"/>
      <c r="T165" s="65"/>
      <c r="U165" s="65"/>
      <c r="V165" s="65"/>
      <c r="W165" s="65"/>
      <c r="X165" s="65"/>
      <c r="Y165" s="66"/>
      <c r="Z165" s="66"/>
      <c r="AA165" s="65"/>
      <c r="AB165" s="65"/>
      <c r="AC165" s="65"/>
      <c r="AD165" s="65"/>
      <c r="AE165" s="65"/>
      <c r="AF165" s="66"/>
      <c r="AG165" s="66"/>
      <c r="AH165" s="65"/>
      <c r="AI165" s="65"/>
      <c r="AJ165" s="65"/>
      <c r="AK165" s="65"/>
      <c r="AL165" s="65"/>
      <c r="AM165" s="65"/>
      <c r="AN165" s="65"/>
      <c r="AO165" s="65"/>
      <c r="AP165" s="66"/>
      <c r="AQ165" s="66"/>
      <c r="AR165" s="65"/>
      <c r="AS165" s="65"/>
      <c r="AT165" s="65"/>
      <c r="AU165" s="65"/>
      <c r="AV165" s="65"/>
      <c r="AW165" s="66"/>
      <c r="AX165" s="66"/>
      <c r="AY165" s="65"/>
      <c r="AZ165" s="65"/>
      <c r="BA165" s="65"/>
      <c r="BB165" s="65"/>
      <c r="BC165" s="65"/>
      <c r="BD165" s="66"/>
      <c r="BE165" s="66"/>
      <c r="BF165" s="65"/>
      <c r="BG165" s="65"/>
      <c r="BH165" s="65"/>
      <c r="BI165" s="65"/>
      <c r="BJ165" s="65"/>
      <c r="BK165" s="66"/>
      <c r="BL165" s="66"/>
      <c r="BM165" s="65"/>
      <c r="BN165" s="65"/>
      <c r="BO165" s="118"/>
      <c r="BP165" s="68"/>
      <c r="BQ165" s="68"/>
      <c r="BR165" s="68"/>
      <c r="BS165" s="68"/>
      <c r="BT165" s="200"/>
      <c r="BU165" s="32"/>
      <c r="BV165" s="200"/>
      <c r="BW165" s="200"/>
      <c r="BX165" s="32"/>
      <c r="BY165" s="188"/>
      <c r="BZ165" s="189"/>
      <c r="CA165" s="190"/>
      <c r="CB165" s="191"/>
      <c r="CC165" s="192"/>
      <c r="CD165" s="191"/>
      <c r="CE165" s="193"/>
      <c r="CF165" s="160"/>
      <c r="CG165" s="30"/>
      <c r="CH165" s="194"/>
      <c r="CI165" s="30"/>
      <c r="CJ165" s="194"/>
      <c r="CK165" s="30"/>
      <c r="CL165" s="194"/>
      <c r="CM165" s="151"/>
    </row>
    <row r="166" spans="1:91" ht="16" hidden="1" customHeight="1" x14ac:dyDescent="0.25">
      <c r="A166" s="32"/>
      <c r="B166" s="93" t="s">
        <v>105</v>
      </c>
      <c r="C166" s="81" t="s">
        <v>106</v>
      </c>
      <c r="D166" s="95" t="s">
        <v>87</v>
      </c>
      <c r="E166" s="39" t="s">
        <v>18</v>
      </c>
      <c r="F166" s="65"/>
      <c r="G166" s="65"/>
      <c r="H166" s="65"/>
      <c r="I166" s="65"/>
      <c r="J166" s="65"/>
      <c r="K166" s="66"/>
      <c r="L166" s="66"/>
      <c r="M166" s="65"/>
      <c r="N166" s="65"/>
      <c r="O166" s="65"/>
      <c r="P166" s="65"/>
      <c r="Q166" s="65"/>
      <c r="R166" s="66"/>
      <c r="S166" s="66"/>
      <c r="T166" s="65"/>
      <c r="U166" s="65"/>
      <c r="V166" s="65"/>
      <c r="W166" s="65"/>
      <c r="X166" s="65"/>
      <c r="Y166" s="66"/>
      <c r="Z166" s="66"/>
      <c r="AA166" s="65"/>
      <c r="AB166" s="65"/>
      <c r="AC166" s="65"/>
      <c r="AD166" s="65"/>
      <c r="AE166" s="65"/>
      <c r="AF166" s="66"/>
      <c r="AG166" s="66"/>
      <c r="AH166" s="65"/>
      <c r="AI166" s="65"/>
      <c r="AJ166" s="65"/>
      <c r="AK166" s="65"/>
      <c r="AL166" s="65"/>
      <c r="AM166" s="65"/>
      <c r="AN166" s="65"/>
      <c r="AO166" s="65"/>
      <c r="AP166" s="66"/>
      <c r="AQ166" s="66"/>
      <c r="AR166" s="65"/>
      <c r="AS166" s="65"/>
      <c r="AT166" s="65"/>
      <c r="AU166" s="65"/>
      <c r="AV166" s="65"/>
      <c r="AW166" s="66"/>
      <c r="AX166" s="66"/>
      <c r="AY166" s="65"/>
      <c r="AZ166" s="65"/>
      <c r="BA166" s="65"/>
      <c r="BB166" s="65"/>
      <c r="BC166" s="65"/>
      <c r="BD166" s="66"/>
      <c r="BE166" s="66"/>
      <c r="BF166" s="65"/>
      <c r="BG166" s="65"/>
      <c r="BH166" s="65"/>
      <c r="BI166" s="65"/>
      <c r="BJ166" s="65"/>
      <c r="BK166" s="66"/>
      <c r="BL166" s="66"/>
      <c r="BM166" s="65"/>
      <c r="BN166" s="65"/>
      <c r="BO166" s="82">
        <f>SUM(F166:AI166)</f>
        <v>0</v>
      </c>
      <c r="BP166" s="22">
        <v>200</v>
      </c>
      <c r="BQ166" s="83">
        <v>0.6</v>
      </c>
      <c r="BR166" s="22">
        <f>BP166*(1-BQ166)</f>
        <v>80</v>
      </c>
      <c r="BS166" s="22">
        <f>BR166*BO166</f>
        <v>0</v>
      </c>
      <c r="BT166" s="84">
        <f>BR166*0.8</f>
        <v>64</v>
      </c>
      <c r="BU166" s="32"/>
      <c r="BV166" s="84">
        <f>BS166*0.8</f>
        <v>0</v>
      </c>
      <c r="BW166" s="84"/>
      <c r="BX166" s="32"/>
      <c r="BY166" s="99"/>
      <c r="BZ166" s="86"/>
      <c r="CA166" s="87"/>
      <c r="CB166" s="88">
        <v>145155</v>
      </c>
      <c r="CC166" s="89"/>
      <c r="CD166" s="90"/>
      <c r="CE166" s="21" t="e">
        <f>BV166/CD166*1000</f>
        <v>#DIV/0!</v>
      </c>
      <c r="CF166" s="55"/>
      <c r="CG166" s="30" t="str">
        <f>C166</f>
        <v>CLUBE FM</v>
      </c>
      <c r="CH166" s="194"/>
      <c r="CI166" s="30" t="e">
        <f>SUM(#REF!)</f>
        <v>#REF!</v>
      </c>
      <c r="CJ166" s="194" t="e">
        <f>#REF!*CI166</f>
        <v>#REF!</v>
      </c>
      <c r="CK166" s="30" t="e">
        <f>SUM(#REF!)</f>
        <v>#REF!</v>
      </c>
      <c r="CL166" s="194" t="e">
        <f>#REF!*CK166</f>
        <v>#REF!</v>
      </c>
    </row>
    <row r="167" spans="1:91" ht="16" hidden="1" customHeight="1" x14ac:dyDescent="0.25">
      <c r="A167" s="32"/>
      <c r="B167" s="111"/>
      <c r="C167" s="95"/>
      <c r="D167" s="95"/>
      <c r="E167" s="39"/>
      <c r="F167" s="65"/>
      <c r="G167" s="65"/>
      <c r="H167" s="65"/>
      <c r="I167" s="65"/>
      <c r="J167" s="65"/>
      <c r="K167" s="66"/>
      <c r="L167" s="66"/>
      <c r="M167" s="65"/>
      <c r="N167" s="65"/>
      <c r="O167" s="65"/>
      <c r="P167" s="65"/>
      <c r="Q167" s="65"/>
      <c r="R167" s="66"/>
      <c r="S167" s="66"/>
      <c r="T167" s="65"/>
      <c r="U167" s="65"/>
      <c r="V167" s="65"/>
      <c r="W167" s="65"/>
      <c r="X167" s="65"/>
      <c r="Y167" s="66"/>
      <c r="Z167" s="66"/>
      <c r="AA167" s="65"/>
      <c r="AB167" s="65"/>
      <c r="AC167" s="65"/>
      <c r="AD167" s="65"/>
      <c r="AE167" s="65"/>
      <c r="AF167" s="66"/>
      <c r="AG167" s="66"/>
      <c r="AH167" s="65"/>
      <c r="AI167" s="65"/>
      <c r="AJ167" s="65"/>
      <c r="AK167" s="65"/>
      <c r="AL167" s="65"/>
      <c r="AM167" s="65"/>
      <c r="AN167" s="65"/>
      <c r="AO167" s="65"/>
      <c r="AP167" s="66"/>
      <c r="AQ167" s="66"/>
      <c r="AR167" s="65"/>
      <c r="AS167" s="65"/>
      <c r="AT167" s="65"/>
      <c r="AU167" s="65"/>
      <c r="AV167" s="65"/>
      <c r="AW167" s="66"/>
      <c r="AX167" s="66"/>
      <c r="AY167" s="65"/>
      <c r="AZ167" s="65"/>
      <c r="BA167" s="65"/>
      <c r="BB167" s="65"/>
      <c r="BC167" s="65"/>
      <c r="BD167" s="66"/>
      <c r="BE167" s="66"/>
      <c r="BF167" s="65"/>
      <c r="BG167" s="65"/>
      <c r="BH167" s="65"/>
      <c r="BI167" s="65"/>
      <c r="BJ167" s="65"/>
      <c r="BK167" s="66"/>
      <c r="BL167" s="66"/>
      <c r="BM167" s="65"/>
      <c r="BN167" s="65"/>
      <c r="BO167" s="173"/>
      <c r="BP167" s="104"/>
      <c r="BQ167" s="195"/>
      <c r="BR167" s="104"/>
      <c r="BS167" s="104"/>
      <c r="BT167" s="104"/>
      <c r="BU167" s="32"/>
      <c r="BV167" s="104"/>
      <c r="BW167" s="104"/>
      <c r="BX167" s="32"/>
      <c r="BY167" s="106"/>
      <c r="BZ167" s="107"/>
      <c r="CA167" s="108"/>
      <c r="CB167" s="109"/>
      <c r="CC167" s="110"/>
      <c r="CD167" s="109"/>
      <c r="CE167" s="114"/>
      <c r="CF167" s="10"/>
      <c r="CH167" s="194"/>
      <c r="CJ167" s="194"/>
      <c r="CL167" s="194"/>
    </row>
    <row r="168" spans="1:91" ht="16" hidden="1" customHeight="1" x14ac:dyDescent="0.25">
      <c r="A168" s="32"/>
      <c r="B168" s="25" t="s">
        <v>107</v>
      </c>
      <c r="C168" s="139"/>
      <c r="D168" s="139"/>
      <c r="E168" s="139"/>
      <c r="F168" s="40">
        <f t="shared" ref="F168:BO168" si="19">SUM(F165:F167)</f>
        <v>0</v>
      </c>
      <c r="G168" s="40">
        <f t="shared" si="19"/>
        <v>0</v>
      </c>
      <c r="H168" s="40">
        <f t="shared" si="19"/>
        <v>0</v>
      </c>
      <c r="I168" s="40">
        <f t="shared" si="19"/>
        <v>0</v>
      </c>
      <c r="J168" s="40">
        <f t="shared" si="19"/>
        <v>0</v>
      </c>
      <c r="K168" s="40">
        <f t="shared" si="19"/>
        <v>0</v>
      </c>
      <c r="L168" s="40">
        <f t="shared" si="19"/>
        <v>0</v>
      </c>
      <c r="M168" s="40">
        <f t="shared" si="19"/>
        <v>0</v>
      </c>
      <c r="N168" s="40">
        <f t="shared" si="19"/>
        <v>0</v>
      </c>
      <c r="O168" s="40">
        <f t="shared" si="19"/>
        <v>0</v>
      </c>
      <c r="P168" s="40">
        <f t="shared" si="19"/>
        <v>0</v>
      </c>
      <c r="Q168" s="40">
        <f t="shared" si="19"/>
        <v>0</v>
      </c>
      <c r="R168" s="40">
        <f t="shared" si="19"/>
        <v>0</v>
      </c>
      <c r="S168" s="40">
        <f t="shared" si="19"/>
        <v>0</v>
      </c>
      <c r="T168" s="40">
        <f t="shared" si="19"/>
        <v>0</v>
      </c>
      <c r="U168" s="40">
        <f t="shared" si="19"/>
        <v>0</v>
      </c>
      <c r="V168" s="40">
        <f t="shared" si="19"/>
        <v>0</v>
      </c>
      <c r="W168" s="40">
        <f t="shared" si="19"/>
        <v>0</v>
      </c>
      <c r="X168" s="40">
        <f t="shared" si="19"/>
        <v>0</v>
      </c>
      <c r="Y168" s="40">
        <f t="shared" si="19"/>
        <v>0</v>
      </c>
      <c r="Z168" s="40">
        <f t="shared" si="19"/>
        <v>0</v>
      </c>
      <c r="AA168" s="40">
        <f t="shared" si="19"/>
        <v>0</v>
      </c>
      <c r="AB168" s="40">
        <f t="shared" si="19"/>
        <v>0</v>
      </c>
      <c r="AC168" s="40">
        <f t="shared" si="19"/>
        <v>0</v>
      </c>
      <c r="AD168" s="40">
        <f t="shared" si="19"/>
        <v>0</v>
      </c>
      <c r="AE168" s="40">
        <f t="shared" si="19"/>
        <v>0</v>
      </c>
      <c r="AF168" s="40">
        <f t="shared" si="19"/>
        <v>0</v>
      </c>
      <c r="AG168" s="40">
        <f t="shared" si="19"/>
        <v>0</v>
      </c>
      <c r="AH168" s="40">
        <f t="shared" si="19"/>
        <v>0</v>
      </c>
      <c r="AI168" s="40">
        <f t="shared" si="19"/>
        <v>0</v>
      </c>
      <c r="AJ168" s="40">
        <f t="shared" ref="AJ168:BN168" si="20">SUM(AJ165:AJ167)</f>
        <v>0</v>
      </c>
      <c r="AK168" s="40">
        <f t="shared" si="20"/>
        <v>0</v>
      </c>
      <c r="AL168" s="40">
        <f t="shared" si="20"/>
        <v>0</v>
      </c>
      <c r="AM168" s="40">
        <f t="shared" si="20"/>
        <v>0</v>
      </c>
      <c r="AN168" s="40">
        <f t="shared" si="20"/>
        <v>0</v>
      </c>
      <c r="AO168" s="40">
        <f t="shared" si="20"/>
        <v>0</v>
      </c>
      <c r="AP168" s="40">
        <f t="shared" si="20"/>
        <v>0</v>
      </c>
      <c r="AQ168" s="40">
        <f t="shared" si="20"/>
        <v>0</v>
      </c>
      <c r="AR168" s="40">
        <f t="shared" si="20"/>
        <v>0</v>
      </c>
      <c r="AS168" s="40">
        <f t="shared" si="20"/>
        <v>0</v>
      </c>
      <c r="AT168" s="40">
        <f t="shared" si="20"/>
        <v>0</v>
      </c>
      <c r="AU168" s="40">
        <f t="shared" si="20"/>
        <v>0</v>
      </c>
      <c r="AV168" s="40">
        <f t="shared" si="20"/>
        <v>0</v>
      </c>
      <c r="AW168" s="40">
        <f t="shared" si="20"/>
        <v>0</v>
      </c>
      <c r="AX168" s="40">
        <f t="shared" si="20"/>
        <v>0</v>
      </c>
      <c r="AY168" s="40">
        <f t="shared" si="20"/>
        <v>0</v>
      </c>
      <c r="AZ168" s="40">
        <f t="shared" si="20"/>
        <v>0</v>
      </c>
      <c r="BA168" s="40">
        <f t="shared" si="20"/>
        <v>0</v>
      </c>
      <c r="BB168" s="40">
        <f t="shared" si="20"/>
        <v>0</v>
      </c>
      <c r="BC168" s="40">
        <f t="shared" si="20"/>
        <v>0</v>
      </c>
      <c r="BD168" s="40">
        <f t="shared" si="20"/>
        <v>0</v>
      </c>
      <c r="BE168" s="40">
        <f t="shared" si="20"/>
        <v>0</v>
      </c>
      <c r="BF168" s="40">
        <f t="shared" si="20"/>
        <v>0</v>
      </c>
      <c r="BG168" s="40">
        <f t="shared" si="20"/>
        <v>0</v>
      </c>
      <c r="BH168" s="40">
        <f t="shared" si="20"/>
        <v>0</v>
      </c>
      <c r="BI168" s="40">
        <f t="shared" si="20"/>
        <v>0</v>
      </c>
      <c r="BJ168" s="40">
        <f t="shared" si="20"/>
        <v>0</v>
      </c>
      <c r="BK168" s="40">
        <f t="shared" si="20"/>
        <v>0</v>
      </c>
      <c r="BL168" s="40">
        <f t="shared" si="20"/>
        <v>0</v>
      </c>
      <c r="BM168" s="40">
        <f t="shared" si="20"/>
        <v>0</v>
      </c>
      <c r="BN168" s="40">
        <f t="shared" si="20"/>
        <v>0</v>
      </c>
      <c r="BO168" s="40">
        <f t="shared" si="19"/>
        <v>0</v>
      </c>
      <c r="BP168" s="141"/>
      <c r="BQ168" s="141"/>
      <c r="BR168" s="141"/>
      <c r="BS168" s="141">
        <f>SUM(BS165:BS167)</f>
        <v>0</v>
      </c>
      <c r="BT168" s="141">
        <f>SUM(BT165:BT167)</f>
        <v>64</v>
      </c>
      <c r="BU168" s="43"/>
      <c r="BV168" s="141">
        <f>SUM(BV165:BV167)</f>
        <v>0</v>
      </c>
      <c r="BW168" s="141"/>
      <c r="BX168" s="43"/>
      <c r="BY168" s="196"/>
      <c r="BZ168" s="197"/>
      <c r="CA168" s="198"/>
      <c r="CB168" s="147"/>
      <c r="CC168" s="147"/>
      <c r="CD168" s="199">
        <f>SUM(CD165:CD167)</f>
        <v>0</v>
      </c>
      <c r="CE168" s="149" t="e">
        <f>BV168/CD168*1000</f>
        <v>#DIV/0!</v>
      </c>
      <c r="CF168" s="10"/>
      <c r="CH168" s="194"/>
      <c r="CJ168" s="194"/>
      <c r="CL168" s="194"/>
    </row>
    <row r="169" spans="1:91" s="152" customFormat="1" ht="16" hidden="1" customHeight="1" x14ac:dyDescent="0.4">
      <c r="A169" s="43"/>
      <c r="B169" s="183"/>
      <c r="C169" s="184"/>
      <c r="D169" s="185"/>
      <c r="E169" s="186"/>
      <c r="F169" s="65"/>
      <c r="G169" s="65"/>
      <c r="H169" s="65"/>
      <c r="I169" s="65"/>
      <c r="J169" s="65"/>
      <c r="K169" s="66"/>
      <c r="L169" s="66"/>
      <c r="M169" s="65"/>
      <c r="N169" s="65"/>
      <c r="O169" s="65"/>
      <c r="P169" s="65"/>
      <c r="Q169" s="65"/>
      <c r="R169" s="66"/>
      <c r="S169" s="66"/>
      <c r="T169" s="65"/>
      <c r="U169" s="65"/>
      <c r="V169" s="65"/>
      <c r="W169" s="65"/>
      <c r="X169" s="65"/>
      <c r="Y169" s="66"/>
      <c r="Z169" s="66"/>
      <c r="AA169" s="65"/>
      <c r="AB169" s="65"/>
      <c r="AC169" s="65"/>
      <c r="AD169" s="65"/>
      <c r="AE169" s="65"/>
      <c r="AF169" s="66"/>
      <c r="AG169" s="66"/>
      <c r="AH169" s="65"/>
      <c r="AI169" s="65"/>
      <c r="AJ169" s="65"/>
      <c r="AK169" s="65"/>
      <c r="AL169" s="65"/>
      <c r="AM169" s="65"/>
      <c r="AN169" s="65"/>
      <c r="AO169" s="65"/>
      <c r="AP169" s="66"/>
      <c r="AQ169" s="66"/>
      <c r="AR169" s="65"/>
      <c r="AS169" s="65"/>
      <c r="AT169" s="65"/>
      <c r="AU169" s="65"/>
      <c r="AV169" s="65"/>
      <c r="AW169" s="66"/>
      <c r="AX169" s="66"/>
      <c r="AY169" s="65"/>
      <c r="AZ169" s="65"/>
      <c r="BA169" s="65"/>
      <c r="BB169" s="65"/>
      <c r="BC169" s="65"/>
      <c r="BD169" s="66"/>
      <c r="BE169" s="66"/>
      <c r="BF169" s="65"/>
      <c r="BG169" s="65"/>
      <c r="BH169" s="65"/>
      <c r="BI169" s="65"/>
      <c r="BJ169" s="65"/>
      <c r="BK169" s="66"/>
      <c r="BL169" s="66"/>
      <c r="BM169" s="65"/>
      <c r="BN169" s="65"/>
      <c r="BO169" s="118"/>
      <c r="BP169" s="68"/>
      <c r="BQ169" s="68"/>
      <c r="BR169" s="68"/>
      <c r="BS169" s="68"/>
      <c r="BT169" s="68"/>
      <c r="BU169" s="32"/>
      <c r="BV169" s="68"/>
      <c r="BW169" s="68"/>
      <c r="BX169" s="32"/>
      <c r="BY169" s="188"/>
      <c r="BZ169" s="189"/>
      <c r="CA169" s="190"/>
      <c r="CB169" s="191"/>
      <c r="CC169" s="192"/>
      <c r="CD169" s="191"/>
      <c r="CE169" s="193"/>
      <c r="CF169" s="160"/>
      <c r="CG169" s="30"/>
      <c r="CH169" s="194"/>
      <c r="CI169" s="30"/>
      <c r="CJ169" s="194"/>
      <c r="CK169" s="30"/>
      <c r="CL169" s="194"/>
      <c r="CM169" s="151"/>
    </row>
    <row r="170" spans="1:91" ht="16" hidden="1" customHeight="1" x14ac:dyDescent="0.25">
      <c r="A170" s="32"/>
      <c r="B170" s="93" t="s">
        <v>108</v>
      </c>
      <c r="C170" s="81" t="s">
        <v>106</v>
      </c>
      <c r="D170" s="95" t="s">
        <v>87</v>
      </c>
      <c r="E170" s="39" t="s">
        <v>18</v>
      </c>
      <c r="F170" s="65"/>
      <c r="G170" s="65"/>
      <c r="H170" s="65"/>
      <c r="I170" s="65"/>
      <c r="J170" s="65"/>
      <c r="K170" s="66"/>
      <c r="L170" s="66"/>
      <c r="M170" s="65"/>
      <c r="N170" s="65"/>
      <c r="O170" s="65"/>
      <c r="P170" s="65"/>
      <c r="Q170" s="65"/>
      <c r="R170" s="66"/>
      <c r="S170" s="66"/>
      <c r="T170" s="65"/>
      <c r="U170" s="65"/>
      <c r="V170" s="65"/>
      <c r="W170" s="65"/>
      <c r="X170" s="65"/>
      <c r="Y170" s="66"/>
      <c r="Z170" s="66"/>
      <c r="AA170" s="65"/>
      <c r="AB170" s="65"/>
      <c r="AC170" s="65"/>
      <c r="AD170" s="65"/>
      <c r="AE170" s="65"/>
      <c r="AF170" s="66"/>
      <c r="AG170" s="66"/>
      <c r="AH170" s="65"/>
      <c r="AI170" s="65"/>
      <c r="AJ170" s="65"/>
      <c r="AK170" s="65"/>
      <c r="AL170" s="65"/>
      <c r="AM170" s="65"/>
      <c r="AN170" s="65"/>
      <c r="AO170" s="65"/>
      <c r="AP170" s="66"/>
      <c r="AQ170" s="66"/>
      <c r="AR170" s="65"/>
      <c r="AS170" s="65"/>
      <c r="AT170" s="65"/>
      <c r="AU170" s="65"/>
      <c r="AV170" s="65"/>
      <c r="AW170" s="66"/>
      <c r="AX170" s="66"/>
      <c r="AY170" s="65"/>
      <c r="AZ170" s="65"/>
      <c r="BA170" s="65"/>
      <c r="BB170" s="65"/>
      <c r="BC170" s="65"/>
      <c r="BD170" s="66"/>
      <c r="BE170" s="66"/>
      <c r="BF170" s="65"/>
      <c r="BG170" s="65"/>
      <c r="BH170" s="65"/>
      <c r="BI170" s="65"/>
      <c r="BJ170" s="65"/>
      <c r="BK170" s="66"/>
      <c r="BL170" s="66"/>
      <c r="BM170" s="65"/>
      <c r="BN170" s="65"/>
      <c r="BO170" s="82">
        <f>SUM(F170:AI170)</f>
        <v>0</v>
      </c>
      <c r="BP170" s="22">
        <f>21*1.25</f>
        <v>26.25</v>
      </c>
      <c r="BQ170" s="83">
        <v>0.3</v>
      </c>
      <c r="BR170" s="22">
        <f>BP170*(1-BQ170)</f>
        <v>18.375</v>
      </c>
      <c r="BS170" s="22">
        <f>BR170*BO170</f>
        <v>0</v>
      </c>
      <c r="BT170" s="22">
        <f>BR170*0.8</f>
        <v>14.700000000000001</v>
      </c>
      <c r="BU170" s="32"/>
      <c r="BV170" s="22">
        <f>BS170*0.8</f>
        <v>0</v>
      </c>
      <c r="BW170" s="22"/>
      <c r="BX170" s="32"/>
      <c r="BY170" s="99"/>
      <c r="BZ170" s="86"/>
      <c r="CA170" s="87">
        <f>BY170*BO170</f>
        <v>0</v>
      </c>
      <c r="CB170" s="88">
        <v>74779</v>
      </c>
      <c r="CC170" s="89"/>
      <c r="CD170" s="90">
        <f>CC170*CA170%</f>
        <v>0</v>
      </c>
      <c r="CE170" s="21" t="e">
        <f>BV170/CD170*1000</f>
        <v>#DIV/0!</v>
      </c>
      <c r="CF170" s="55"/>
      <c r="CG170" s="30" t="str">
        <f>C170</f>
        <v>CLUBE FM</v>
      </c>
      <c r="CH170" s="194"/>
      <c r="CI170" s="30" t="e">
        <f>SUM(#REF!)</f>
        <v>#REF!</v>
      </c>
      <c r="CJ170" s="194" t="e">
        <f>#REF!*CI170</f>
        <v>#REF!</v>
      </c>
      <c r="CK170" s="30" t="e">
        <f>SUM(#REF!)</f>
        <v>#REF!</v>
      </c>
      <c r="CL170" s="194" t="e">
        <f>#REF!*CK170</f>
        <v>#REF!</v>
      </c>
    </row>
    <row r="171" spans="1:91" ht="16" hidden="1" customHeight="1" x14ac:dyDescent="0.25">
      <c r="A171" s="32"/>
      <c r="B171" s="111"/>
      <c r="C171" s="81"/>
      <c r="D171" s="95"/>
      <c r="E171" s="39"/>
      <c r="F171" s="65"/>
      <c r="G171" s="65"/>
      <c r="H171" s="65"/>
      <c r="I171" s="65"/>
      <c r="J171" s="65"/>
      <c r="K171" s="66"/>
      <c r="L171" s="66"/>
      <c r="M171" s="65"/>
      <c r="N171" s="65"/>
      <c r="O171" s="65"/>
      <c r="P171" s="65"/>
      <c r="Q171" s="65"/>
      <c r="R171" s="66"/>
      <c r="S171" s="66"/>
      <c r="T171" s="65"/>
      <c r="U171" s="65"/>
      <c r="V171" s="65"/>
      <c r="W171" s="65"/>
      <c r="X171" s="65"/>
      <c r="Y171" s="66"/>
      <c r="Z171" s="66"/>
      <c r="AA171" s="65"/>
      <c r="AB171" s="65"/>
      <c r="AC171" s="65"/>
      <c r="AD171" s="65"/>
      <c r="AE171" s="65"/>
      <c r="AF171" s="66"/>
      <c r="AG171" s="66"/>
      <c r="AH171" s="65"/>
      <c r="AI171" s="65"/>
      <c r="AJ171" s="65"/>
      <c r="AK171" s="65"/>
      <c r="AL171" s="65"/>
      <c r="AM171" s="65"/>
      <c r="AN171" s="65"/>
      <c r="AO171" s="65"/>
      <c r="AP171" s="66"/>
      <c r="AQ171" s="66"/>
      <c r="AR171" s="65"/>
      <c r="AS171" s="65"/>
      <c r="AT171" s="65"/>
      <c r="AU171" s="65"/>
      <c r="AV171" s="65"/>
      <c r="AW171" s="66"/>
      <c r="AX171" s="66"/>
      <c r="AY171" s="65"/>
      <c r="AZ171" s="65"/>
      <c r="BA171" s="65"/>
      <c r="BB171" s="65"/>
      <c r="BC171" s="65"/>
      <c r="BD171" s="66"/>
      <c r="BE171" s="66"/>
      <c r="BF171" s="65"/>
      <c r="BG171" s="65"/>
      <c r="BH171" s="65"/>
      <c r="BI171" s="65"/>
      <c r="BJ171" s="65"/>
      <c r="BK171" s="66"/>
      <c r="BL171" s="66"/>
      <c r="BM171" s="65"/>
      <c r="BN171" s="65"/>
      <c r="BO171" s="82"/>
      <c r="BP171" s="22"/>
      <c r="BQ171" s="83"/>
      <c r="BR171" s="22"/>
      <c r="BS171" s="22"/>
      <c r="BT171" s="22"/>
      <c r="BU171" s="32"/>
      <c r="BV171" s="22"/>
      <c r="BW171" s="22"/>
      <c r="BX171" s="32"/>
      <c r="BY171" s="201"/>
      <c r="BZ171" s="157"/>
      <c r="CA171" s="158"/>
      <c r="CB171" s="89"/>
      <c r="CC171" s="89"/>
      <c r="CD171" s="90"/>
      <c r="CE171" s="21"/>
      <c r="CF171" s="55"/>
      <c r="CH171" s="194"/>
      <c r="CI171" s="30" t="e">
        <f>SUM(#REF!)</f>
        <v>#REF!</v>
      </c>
      <c r="CJ171" s="194"/>
      <c r="CK171" s="30" t="e">
        <f>SUM(#REF!)</f>
        <v>#REF!</v>
      </c>
      <c r="CL171" s="194"/>
    </row>
    <row r="172" spans="1:91" ht="16" hidden="1" customHeight="1" x14ac:dyDescent="0.25">
      <c r="A172" s="32"/>
      <c r="B172" s="111"/>
      <c r="C172" s="81" t="s">
        <v>109</v>
      </c>
      <c r="D172" s="95" t="s">
        <v>87</v>
      </c>
      <c r="E172" s="39" t="s">
        <v>18</v>
      </c>
      <c r="F172" s="65"/>
      <c r="G172" s="65"/>
      <c r="H172" s="65"/>
      <c r="I172" s="65"/>
      <c r="J172" s="65"/>
      <c r="K172" s="66"/>
      <c r="L172" s="66"/>
      <c r="M172" s="65"/>
      <c r="N172" s="65"/>
      <c r="O172" s="65"/>
      <c r="P172" s="65"/>
      <c r="Q172" s="65"/>
      <c r="R172" s="66"/>
      <c r="S172" s="66"/>
      <c r="T172" s="65"/>
      <c r="U172" s="65"/>
      <c r="V172" s="65"/>
      <c r="W172" s="65"/>
      <c r="X172" s="65"/>
      <c r="Y172" s="66"/>
      <c r="Z172" s="66"/>
      <c r="AA172" s="65"/>
      <c r="AB172" s="65"/>
      <c r="AC172" s="65"/>
      <c r="AD172" s="65"/>
      <c r="AE172" s="65"/>
      <c r="AF172" s="66"/>
      <c r="AG172" s="66"/>
      <c r="AH172" s="65"/>
      <c r="AI172" s="65"/>
      <c r="AJ172" s="65"/>
      <c r="AK172" s="65"/>
      <c r="AL172" s="65"/>
      <c r="AM172" s="65"/>
      <c r="AN172" s="65"/>
      <c r="AO172" s="65"/>
      <c r="AP172" s="66"/>
      <c r="AQ172" s="66"/>
      <c r="AR172" s="65"/>
      <c r="AS172" s="65"/>
      <c r="AT172" s="65"/>
      <c r="AU172" s="65"/>
      <c r="AV172" s="65"/>
      <c r="AW172" s="66"/>
      <c r="AX172" s="66"/>
      <c r="AY172" s="65"/>
      <c r="AZ172" s="65"/>
      <c r="BA172" s="65"/>
      <c r="BB172" s="65"/>
      <c r="BC172" s="65"/>
      <c r="BD172" s="66"/>
      <c r="BE172" s="66"/>
      <c r="BF172" s="65"/>
      <c r="BG172" s="65"/>
      <c r="BH172" s="65"/>
      <c r="BI172" s="65"/>
      <c r="BJ172" s="65"/>
      <c r="BK172" s="66"/>
      <c r="BL172" s="66"/>
      <c r="BM172" s="65"/>
      <c r="BN172" s="65"/>
      <c r="BO172" s="82">
        <f>SUM(F172:AI172)</f>
        <v>0</v>
      </c>
      <c r="BP172" s="22">
        <f>BR172/0.64</f>
        <v>121.5625</v>
      </c>
      <c r="BQ172" s="83">
        <v>0.36</v>
      </c>
      <c r="BR172" s="22">
        <v>77.8</v>
      </c>
      <c r="BS172" s="22">
        <f>BR172*BO172</f>
        <v>0</v>
      </c>
      <c r="BT172" s="22">
        <f>BR172*0.8</f>
        <v>62.24</v>
      </c>
      <c r="BU172" s="32"/>
      <c r="BV172" s="22">
        <f>BS172*0.8</f>
        <v>0</v>
      </c>
      <c r="BW172" s="22"/>
      <c r="BX172" s="32"/>
      <c r="BY172" s="201"/>
      <c r="BZ172" s="157"/>
      <c r="CA172" s="87">
        <f>BY172*BO172</f>
        <v>0</v>
      </c>
      <c r="CB172" s="89">
        <v>74779</v>
      </c>
      <c r="CC172" s="89"/>
      <c r="CD172" s="90">
        <f>CC172*CA172%</f>
        <v>0</v>
      </c>
      <c r="CE172" s="21" t="e">
        <f>BV172/CD172*1000</f>
        <v>#DIV/0!</v>
      </c>
      <c r="CF172" s="55"/>
      <c r="CG172" s="30" t="str">
        <f>C172</f>
        <v>RÁDIO AMIGA FM</v>
      </c>
      <c r="CJ172" s="194" t="e">
        <f>#REF!*CI171</f>
        <v>#REF!</v>
      </c>
      <c r="CL172" s="194" t="e">
        <f>#REF!*CK171</f>
        <v>#REF!</v>
      </c>
    </row>
    <row r="173" spans="1:91" ht="16" hidden="1" customHeight="1" x14ac:dyDescent="0.25">
      <c r="A173" s="32"/>
      <c r="B173" s="111"/>
      <c r="C173" s="95"/>
      <c r="D173" s="95"/>
      <c r="E173" s="39"/>
      <c r="F173" s="65"/>
      <c r="G173" s="65"/>
      <c r="H173" s="65"/>
      <c r="I173" s="65"/>
      <c r="J173" s="65"/>
      <c r="K173" s="66"/>
      <c r="L173" s="66"/>
      <c r="M173" s="65"/>
      <c r="N173" s="65"/>
      <c r="O173" s="65"/>
      <c r="P173" s="65"/>
      <c r="Q173" s="65"/>
      <c r="R173" s="66"/>
      <c r="S173" s="66"/>
      <c r="T173" s="65"/>
      <c r="U173" s="65"/>
      <c r="V173" s="65"/>
      <c r="W173" s="65"/>
      <c r="X173" s="65"/>
      <c r="Y173" s="66"/>
      <c r="Z173" s="66"/>
      <c r="AA173" s="65"/>
      <c r="AB173" s="65"/>
      <c r="AC173" s="65"/>
      <c r="AD173" s="65"/>
      <c r="AE173" s="65"/>
      <c r="AF173" s="66"/>
      <c r="AG173" s="66"/>
      <c r="AH173" s="65"/>
      <c r="AI173" s="65"/>
      <c r="AJ173" s="65"/>
      <c r="AK173" s="65"/>
      <c r="AL173" s="65"/>
      <c r="AM173" s="65"/>
      <c r="AN173" s="65"/>
      <c r="AO173" s="65"/>
      <c r="AP173" s="66"/>
      <c r="AQ173" s="66"/>
      <c r="AR173" s="65"/>
      <c r="AS173" s="65"/>
      <c r="AT173" s="65"/>
      <c r="AU173" s="65"/>
      <c r="AV173" s="65"/>
      <c r="AW173" s="66"/>
      <c r="AX173" s="66"/>
      <c r="AY173" s="65"/>
      <c r="AZ173" s="65"/>
      <c r="BA173" s="65"/>
      <c r="BB173" s="65"/>
      <c r="BC173" s="65"/>
      <c r="BD173" s="66"/>
      <c r="BE173" s="66"/>
      <c r="BF173" s="65"/>
      <c r="BG173" s="65"/>
      <c r="BH173" s="65"/>
      <c r="BI173" s="65"/>
      <c r="BJ173" s="65"/>
      <c r="BK173" s="66"/>
      <c r="BL173" s="66"/>
      <c r="BM173" s="65"/>
      <c r="BN173" s="65"/>
      <c r="BO173" s="173"/>
      <c r="BP173" s="104"/>
      <c r="BQ173" s="195"/>
      <c r="BR173" s="104"/>
      <c r="BS173" s="104"/>
      <c r="BT173" s="104"/>
      <c r="BU173" s="32"/>
      <c r="BV173" s="104"/>
      <c r="BW173" s="104"/>
      <c r="BX173" s="32"/>
      <c r="BY173" s="106"/>
      <c r="BZ173" s="107"/>
      <c r="CA173" s="108"/>
      <c r="CB173" s="109"/>
      <c r="CC173" s="110"/>
      <c r="CD173" s="109"/>
      <c r="CE173" s="114"/>
      <c r="CF173" s="10"/>
      <c r="CH173" s="194"/>
      <c r="CJ173" s="194"/>
      <c r="CL173" s="194"/>
    </row>
    <row r="174" spans="1:91" ht="16" hidden="1" customHeight="1" x14ac:dyDescent="0.25">
      <c r="A174" s="32"/>
      <c r="B174" s="25" t="s">
        <v>110</v>
      </c>
      <c r="C174" s="139"/>
      <c r="D174" s="139"/>
      <c r="E174" s="139"/>
      <c r="F174" s="40">
        <f t="shared" ref="F174:BO174" si="21">SUM(F169:F173)</f>
        <v>0</v>
      </c>
      <c r="G174" s="40">
        <f t="shared" si="21"/>
        <v>0</v>
      </c>
      <c r="H174" s="40">
        <f t="shared" si="21"/>
        <v>0</v>
      </c>
      <c r="I174" s="40">
        <f t="shared" si="21"/>
        <v>0</v>
      </c>
      <c r="J174" s="40">
        <f t="shared" si="21"/>
        <v>0</v>
      </c>
      <c r="K174" s="40">
        <f t="shared" si="21"/>
        <v>0</v>
      </c>
      <c r="L174" s="40">
        <f t="shared" si="21"/>
        <v>0</v>
      </c>
      <c r="M174" s="40">
        <f t="shared" si="21"/>
        <v>0</v>
      </c>
      <c r="N174" s="40">
        <f t="shared" si="21"/>
        <v>0</v>
      </c>
      <c r="O174" s="40">
        <f t="shared" si="21"/>
        <v>0</v>
      </c>
      <c r="P174" s="40">
        <f t="shared" si="21"/>
        <v>0</v>
      </c>
      <c r="Q174" s="40">
        <f t="shared" si="21"/>
        <v>0</v>
      </c>
      <c r="R174" s="40">
        <f t="shared" si="21"/>
        <v>0</v>
      </c>
      <c r="S174" s="40">
        <f t="shared" si="21"/>
        <v>0</v>
      </c>
      <c r="T174" s="40">
        <f t="shared" si="21"/>
        <v>0</v>
      </c>
      <c r="U174" s="40">
        <f t="shared" si="21"/>
        <v>0</v>
      </c>
      <c r="V174" s="40">
        <f t="shared" si="21"/>
        <v>0</v>
      </c>
      <c r="W174" s="40">
        <f t="shared" si="21"/>
        <v>0</v>
      </c>
      <c r="X174" s="40">
        <f t="shared" si="21"/>
        <v>0</v>
      </c>
      <c r="Y174" s="40">
        <f t="shared" si="21"/>
        <v>0</v>
      </c>
      <c r="Z174" s="40">
        <f t="shared" si="21"/>
        <v>0</v>
      </c>
      <c r="AA174" s="40">
        <f t="shared" si="21"/>
        <v>0</v>
      </c>
      <c r="AB174" s="40">
        <f t="shared" si="21"/>
        <v>0</v>
      </c>
      <c r="AC174" s="40">
        <f t="shared" si="21"/>
        <v>0</v>
      </c>
      <c r="AD174" s="40">
        <f t="shared" si="21"/>
        <v>0</v>
      </c>
      <c r="AE174" s="40">
        <f t="shared" si="21"/>
        <v>0</v>
      </c>
      <c r="AF174" s="40">
        <f t="shared" si="21"/>
        <v>0</v>
      </c>
      <c r="AG174" s="40">
        <f t="shared" si="21"/>
        <v>0</v>
      </c>
      <c r="AH174" s="40">
        <f t="shared" si="21"/>
        <v>0</v>
      </c>
      <c r="AI174" s="40">
        <f t="shared" si="21"/>
        <v>0</v>
      </c>
      <c r="AJ174" s="40">
        <f t="shared" ref="AJ174:BN174" si="22">SUM(AJ169:AJ173)</f>
        <v>0</v>
      </c>
      <c r="AK174" s="40">
        <f t="shared" si="22"/>
        <v>0</v>
      </c>
      <c r="AL174" s="40">
        <f t="shared" si="22"/>
        <v>0</v>
      </c>
      <c r="AM174" s="40">
        <f t="shared" si="22"/>
        <v>0</v>
      </c>
      <c r="AN174" s="40">
        <f t="shared" si="22"/>
        <v>0</v>
      </c>
      <c r="AO174" s="40">
        <f t="shared" si="22"/>
        <v>0</v>
      </c>
      <c r="AP174" s="40">
        <f t="shared" si="22"/>
        <v>0</v>
      </c>
      <c r="AQ174" s="40">
        <f t="shared" si="22"/>
        <v>0</v>
      </c>
      <c r="AR174" s="40">
        <f t="shared" si="22"/>
        <v>0</v>
      </c>
      <c r="AS174" s="40">
        <f t="shared" si="22"/>
        <v>0</v>
      </c>
      <c r="AT174" s="40">
        <f t="shared" si="22"/>
        <v>0</v>
      </c>
      <c r="AU174" s="40">
        <f t="shared" si="22"/>
        <v>0</v>
      </c>
      <c r="AV174" s="40">
        <f t="shared" si="22"/>
        <v>0</v>
      </c>
      <c r="AW174" s="40">
        <f t="shared" si="22"/>
        <v>0</v>
      </c>
      <c r="AX174" s="40">
        <f t="shared" si="22"/>
        <v>0</v>
      </c>
      <c r="AY174" s="40">
        <f t="shared" si="22"/>
        <v>0</v>
      </c>
      <c r="AZ174" s="40">
        <f t="shared" si="22"/>
        <v>0</v>
      </c>
      <c r="BA174" s="40">
        <f t="shared" si="22"/>
        <v>0</v>
      </c>
      <c r="BB174" s="40">
        <f t="shared" si="22"/>
        <v>0</v>
      </c>
      <c r="BC174" s="40">
        <f t="shared" si="22"/>
        <v>0</v>
      </c>
      <c r="BD174" s="40">
        <f t="shared" si="22"/>
        <v>0</v>
      </c>
      <c r="BE174" s="40">
        <f t="shared" si="22"/>
        <v>0</v>
      </c>
      <c r="BF174" s="40">
        <f t="shared" si="22"/>
        <v>0</v>
      </c>
      <c r="BG174" s="40">
        <f t="shared" si="22"/>
        <v>0</v>
      </c>
      <c r="BH174" s="40">
        <f t="shared" si="22"/>
        <v>0</v>
      </c>
      <c r="BI174" s="40">
        <f t="shared" si="22"/>
        <v>0</v>
      </c>
      <c r="BJ174" s="40">
        <f t="shared" si="22"/>
        <v>0</v>
      </c>
      <c r="BK174" s="40">
        <f t="shared" si="22"/>
        <v>0</v>
      </c>
      <c r="BL174" s="40">
        <f t="shared" si="22"/>
        <v>0</v>
      </c>
      <c r="BM174" s="40">
        <f t="shared" si="22"/>
        <v>0</v>
      </c>
      <c r="BN174" s="40">
        <f t="shared" si="22"/>
        <v>0</v>
      </c>
      <c r="BO174" s="40">
        <f t="shared" si="21"/>
        <v>0</v>
      </c>
      <c r="BP174" s="141"/>
      <c r="BQ174" s="141"/>
      <c r="BR174" s="141"/>
      <c r="BS174" s="141">
        <f>SUM(BS169:BS173)</f>
        <v>0</v>
      </c>
      <c r="BT174" s="141">
        <f>SUM(BT169:BT173)</f>
        <v>76.94</v>
      </c>
      <c r="BU174" s="43"/>
      <c r="BV174" s="141">
        <f>SUM(BV169:BV173)</f>
        <v>0</v>
      </c>
      <c r="BW174" s="141"/>
      <c r="BX174" s="43"/>
      <c r="BY174" s="196"/>
      <c r="BZ174" s="197"/>
      <c r="CA174" s="198"/>
      <c r="CB174" s="147"/>
      <c r="CC174" s="147"/>
      <c r="CD174" s="199">
        <f>SUM(CD169:CD173)</f>
        <v>0</v>
      </c>
      <c r="CE174" s="149" t="e">
        <f>BV174/CD174*1000</f>
        <v>#DIV/0!</v>
      </c>
      <c r="CF174" s="10"/>
      <c r="CH174" s="194"/>
      <c r="CJ174" s="194"/>
      <c r="CL174" s="194"/>
    </row>
    <row r="175" spans="1:91" s="152" customFormat="1" ht="16" hidden="1" customHeight="1" x14ac:dyDescent="0.4">
      <c r="A175" s="43"/>
      <c r="B175" s="183"/>
      <c r="C175" s="184"/>
      <c r="D175" s="185"/>
      <c r="E175" s="186"/>
      <c r="F175" s="65"/>
      <c r="G175" s="65"/>
      <c r="H175" s="65"/>
      <c r="I175" s="65"/>
      <c r="J175" s="65"/>
      <c r="K175" s="66"/>
      <c r="L175" s="66"/>
      <c r="M175" s="65"/>
      <c r="N175" s="65"/>
      <c r="O175" s="65"/>
      <c r="P175" s="65"/>
      <c r="Q175" s="65"/>
      <c r="R175" s="66"/>
      <c r="S175" s="66"/>
      <c r="T175" s="65"/>
      <c r="U175" s="65"/>
      <c r="V175" s="65"/>
      <c r="W175" s="65"/>
      <c r="X175" s="65"/>
      <c r="Y175" s="66"/>
      <c r="Z175" s="66"/>
      <c r="AA175" s="65"/>
      <c r="AB175" s="65"/>
      <c r="AC175" s="65"/>
      <c r="AD175" s="65"/>
      <c r="AE175" s="65"/>
      <c r="AF175" s="66"/>
      <c r="AG175" s="66"/>
      <c r="AH175" s="65"/>
      <c r="AI175" s="65"/>
      <c r="AJ175" s="65"/>
      <c r="AK175" s="65"/>
      <c r="AL175" s="65"/>
      <c r="AM175" s="65"/>
      <c r="AN175" s="65"/>
      <c r="AO175" s="65"/>
      <c r="AP175" s="66"/>
      <c r="AQ175" s="66"/>
      <c r="AR175" s="65"/>
      <c r="AS175" s="65"/>
      <c r="AT175" s="65"/>
      <c r="AU175" s="65"/>
      <c r="AV175" s="65"/>
      <c r="AW175" s="66"/>
      <c r="AX175" s="66"/>
      <c r="AY175" s="65"/>
      <c r="AZ175" s="65"/>
      <c r="BA175" s="65"/>
      <c r="BB175" s="65"/>
      <c r="BC175" s="65"/>
      <c r="BD175" s="66"/>
      <c r="BE175" s="66"/>
      <c r="BF175" s="65"/>
      <c r="BG175" s="65"/>
      <c r="BH175" s="65"/>
      <c r="BI175" s="65"/>
      <c r="BJ175" s="65"/>
      <c r="BK175" s="66"/>
      <c r="BL175" s="66"/>
      <c r="BM175" s="65"/>
      <c r="BN175" s="65"/>
      <c r="BO175" s="118"/>
      <c r="BP175" s="68"/>
      <c r="BQ175" s="68"/>
      <c r="BR175" s="68"/>
      <c r="BS175" s="68"/>
      <c r="BT175" s="68"/>
      <c r="BU175" s="32"/>
      <c r="BV175" s="68"/>
      <c r="BW175" s="68"/>
      <c r="BX175" s="32"/>
      <c r="BY175" s="188"/>
      <c r="BZ175" s="189"/>
      <c r="CA175" s="190"/>
      <c r="CB175" s="191"/>
      <c r="CC175" s="192"/>
      <c r="CD175" s="191"/>
      <c r="CE175" s="193"/>
      <c r="CF175" s="160"/>
      <c r="CG175" s="30"/>
      <c r="CH175" s="194"/>
      <c r="CI175" s="30"/>
      <c r="CJ175" s="194"/>
      <c r="CK175" s="30"/>
      <c r="CL175" s="194"/>
      <c r="CM175" s="151"/>
    </row>
    <row r="176" spans="1:91" ht="16" hidden="1" customHeight="1" x14ac:dyDescent="0.25">
      <c r="A176" s="32"/>
      <c r="B176" s="93" t="s">
        <v>111</v>
      </c>
      <c r="C176" s="81" t="s">
        <v>112</v>
      </c>
      <c r="D176" s="95" t="s">
        <v>87</v>
      </c>
      <c r="E176" s="39" t="s">
        <v>18</v>
      </c>
      <c r="F176" s="65"/>
      <c r="G176" s="65"/>
      <c r="H176" s="65"/>
      <c r="I176" s="65"/>
      <c r="J176" s="65"/>
      <c r="K176" s="66"/>
      <c r="L176" s="66"/>
      <c r="M176" s="65"/>
      <c r="N176" s="65"/>
      <c r="O176" s="65"/>
      <c r="P176" s="65"/>
      <c r="Q176" s="65"/>
      <c r="R176" s="66"/>
      <c r="S176" s="66"/>
      <c r="T176" s="65"/>
      <c r="U176" s="65"/>
      <c r="V176" s="65"/>
      <c r="W176" s="65"/>
      <c r="X176" s="65"/>
      <c r="Y176" s="66"/>
      <c r="Z176" s="66"/>
      <c r="AA176" s="65"/>
      <c r="AB176" s="65"/>
      <c r="AC176" s="65"/>
      <c r="AD176" s="65"/>
      <c r="AE176" s="65"/>
      <c r="AF176" s="66"/>
      <c r="AG176" s="66"/>
      <c r="AH176" s="65"/>
      <c r="AI176" s="65"/>
      <c r="AJ176" s="65"/>
      <c r="AK176" s="65"/>
      <c r="AL176" s="65"/>
      <c r="AM176" s="65"/>
      <c r="AN176" s="65"/>
      <c r="AO176" s="65"/>
      <c r="AP176" s="66"/>
      <c r="AQ176" s="66"/>
      <c r="AR176" s="65"/>
      <c r="AS176" s="65"/>
      <c r="AT176" s="65"/>
      <c r="AU176" s="65"/>
      <c r="AV176" s="65"/>
      <c r="AW176" s="66"/>
      <c r="AX176" s="66"/>
      <c r="AY176" s="65"/>
      <c r="AZ176" s="65"/>
      <c r="BA176" s="65"/>
      <c r="BB176" s="65"/>
      <c r="BC176" s="65"/>
      <c r="BD176" s="66"/>
      <c r="BE176" s="66"/>
      <c r="BF176" s="65"/>
      <c r="BG176" s="65"/>
      <c r="BH176" s="65"/>
      <c r="BI176" s="65"/>
      <c r="BJ176" s="65"/>
      <c r="BK176" s="66"/>
      <c r="BL176" s="66"/>
      <c r="BM176" s="65"/>
      <c r="BN176" s="65"/>
      <c r="BO176" s="82">
        <f>SUM(F176:AI176)</f>
        <v>0</v>
      </c>
      <c r="BP176" s="22">
        <v>121</v>
      </c>
      <c r="BQ176" s="83">
        <v>0.5</v>
      </c>
      <c r="BR176" s="22">
        <f>BP176*(1-BQ176)</f>
        <v>60.5</v>
      </c>
      <c r="BS176" s="22">
        <f>BR176*BO176</f>
        <v>0</v>
      </c>
      <c r="BT176" s="22">
        <f>BR176*0.8</f>
        <v>48.400000000000006</v>
      </c>
      <c r="BU176" s="32"/>
      <c r="BV176" s="22">
        <f>BS176*0.8</f>
        <v>0</v>
      </c>
      <c r="BW176" s="22"/>
      <c r="BX176" s="32"/>
      <c r="BY176" s="99"/>
      <c r="BZ176" s="86"/>
      <c r="CA176" s="87">
        <f>BY176*BO176</f>
        <v>0</v>
      </c>
      <c r="CB176" s="88">
        <v>225668</v>
      </c>
      <c r="CC176" s="89"/>
      <c r="CD176" s="90">
        <f>CC176*CA176%</f>
        <v>0</v>
      </c>
      <c r="CE176" s="21" t="e">
        <f>BV176/CD176*1000</f>
        <v>#DIV/0!</v>
      </c>
      <c r="CF176" s="55"/>
      <c r="CG176" s="30" t="str">
        <f>C176</f>
        <v>FRONTEIRA FM</v>
      </c>
      <c r="CH176" s="194"/>
      <c r="CI176" s="30" t="e">
        <f>SUM(#REF!)</f>
        <v>#REF!</v>
      </c>
      <c r="CJ176" s="194" t="e">
        <f>#REF!*CI176</f>
        <v>#REF!</v>
      </c>
      <c r="CK176" s="30" t="e">
        <f>SUM(#REF!)</f>
        <v>#REF!</v>
      </c>
      <c r="CL176" s="194" t="e">
        <f>#REF!*CK176</f>
        <v>#REF!</v>
      </c>
    </row>
    <row r="177" spans="1:91" ht="16" hidden="1" customHeight="1" x14ac:dyDescent="0.25">
      <c r="A177" s="32"/>
      <c r="B177" s="111"/>
      <c r="C177" s="81"/>
      <c r="D177" s="95"/>
      <c r="E177" s="39"/>
      <c r="F177" s="65"/>
      <c r="G177" s="65"/>
      <c r="H177" s="65"/>
      <c r="I177" s="65"/>
      <c r="J177" s="65"/>
      <c r="K177" s="66"/>
      <c r="L177" s="66"/>
      <c r="M177" s="65"/>
      <c r="N177" s="65"/>
      <c r="O177" s="65"/>
      <c r="P177" s="65"/>
      <c r="Q177" s="65"/>
      <c r="R177" s="66"/>
      <c r="S177" s="66"/>
      <c r="T177" s="65"/>
      <c r="U177" s="65"/>
      <c r="V177" s="65"/>
      <c r="W177" s="65"/>
      <c r="X177" s="65"/>
      <c r="Y177" s="66"/>
      <c r="Z177" s="66"/>
      <c r="AA177" s="65"/>
      <c r="AB177" s="65"/>
      <c r="AC177" s="65"/>
      <c r="AD177" s="65"/>
      <c r="AE177" s="65"/>
      <c r="AF177" s="66"/>
      <c r="AG177" s="66"/>
      <c r="AH177" s="65"/>
      <c r="AI177" s="65"/>
      <c r="AJ177" s="65"/>
      <c r="AK177" s="65"/>
      <c r="AL177" s="65"/>
      <c r="AM177" s="65"/>
      <c r="AN177" s="65"/>
      <c r="AO177" s="65"/>
      <c r="AP177" s="66"/>
      <c r="AQ177" s="66"/>
      <c r="AR177" s="65"/>
      <c r="AS177" s="65"/>
      <c r="AT177" s="65"/>
      <c r="AU177" s="65"/>
      <c r="AV177" s="65"/>
      <c r="AW177" s="66"/>
      <c r="AX177" s="66"/>
      <c r="AY177" s="65"/>
      <c r="AZ177" s="65"/>
      <c r="BA177" s="65"/>
      <c r="BB177" s="65"/>
      <c r="BC177" s="65"/>
      <c r="BD177" s="66"/>
      <c r="BE177" s="66"/>
      <c r="BF177" s="65"/>
      <c r="BG177" s="65"/>
      <c r="BH177" s="65"/>
      <c r="BI177" s="65"/>
      <c r="BJ177" s="65"/>
      <c r="BK177" s="66"/>
      <c r="BL177" s="66"/>
      <c r="BM177" s="65"/>
      <c r="BN177" s="65"/>
      <c r="BO177" s="82"/>
      <c r="BP177" s="22"/>
      <c r="BQ177" s="83"/>
      <c r="BR177" s="22"/>
      <c r="BS177" s="22"/>
      <c r="BT177" s="22"/>
      <c r="BU177" s="32"/>
      <c r="BV177" s="22"/>
      <c r="BW177" s="22"/>
      <c r="BX177" s="32"/>
      <c r="BY177" s="201"/>
      <c r="BZ177" s="157"/>
      <c r="CA177" s="158"/>
      <c r="CB177" s="89"/>
      <c r="CC177" s="89"/>
      <c r="CD177" s="90"/>
      <c r="CE177" s="21"/>
      <c r="CF177" s="55"/>
      <c r="CH177" s="194"/>
      <c r="CJ177" s="194"/>
      <c r="CL177" s="194"/>
    </row>
    <row r="178" spans="1:91" ht="16" hidden="1" customHeight="1" x14ac:dyDescent="0.25">
      <c r="A178" s="32"/>
      <c r="B178" s="111"/>
      <c r="C178" s="81" t="s">
        <v>113</v>
      </c>
      <c r="D178" s="95" t="s">
        <v>87</v>
      </c>
      <c r="E178" s="39" t="s">
        <v>18</v>
      </c>
      <c r="F178" s="65"/>
      <c r="G178" s="65"/>
      <c r="H178" s="65"/>
      <c r="I178" s="65"/>
      <c r="J178" s="65"/>
      <c r="K178" s="66"/>
      <c r="L178" s="66"/>
      <c r="M178" s="65"/>
      <c r="N178" s="65"/>
      <c r="O178" s="65"/>
      <c r="P178" s="65"/>
      <c r="Q178" s="65"/>
      <c r="R178" s="66"/>
      <c r="S178" s="66"/>
      <c r="T178" s="65"/>
      <c r="U178" s="65"/>
      <c r="V178" s="65"/>
      <c r="W178" s="65"/>
      <c r="X178" s="65"/>
      <c r="Y178" s="66"/>
      <c r="Z178" s="66"/>
      <c r="AA178" s="65"/>
      <c r="AB178" s="65"/>
      <c r="AC178" s="65"/>
      <c r="AD178" s="65"/>
      <c r="AE178" s="65"/>
      <c r="AF178" s="66"/>
      <c r="AG178" s="66"/>
      <c r="AH178" s="65"/>
      <c r="AI178" s="65"/>
      <c r="AJ178" s="65"/>
      <c r="AK178" s="65"/>
      <c r="AL178" s="65"/>
      <c r="AM178" s="65"/>
      <c r="AN178" s="65"/>
      <c r="AO178" s="65"/>
      <c r="AP178" s="66"/>
      <c r="AQ178" s="66"/>
      <c r="AR178" s="65"/>
      <c r="AS178" s="65"/>
      <c r="AT178" s="65"/>
      <c r="AU178" s="65"/>
      <c r="AV178" s="65"/>
      <c r="AW178" s="66"/>
      <c r="AX178" s="66"/>
      <c r="AY178" s="65"/>
      <c r="AZ178" s="65"/>
      <c r="BA178" s="65"/>
      <c r="BB178" s="65"/>
      <c r="BC178" s="65"/>
      <c r="BD178" s="66"/>
      <c r="BE178" s="66"/>
      <c r="BF178" s="65"/>
      <c r="BG178" s="65"/>
      <c r="BH178" s="65"/>
      <c r="BI178" s="65"/>
      <c r="BJ178" s="65"/>
      <c r="BK178" s="66"/>
      <c r="BL178" s="66"/>
      <c r="BM178" s="65"/>
      <c r="BN178" s="65"/>
      <c r="BO178" s="82">
        <f>SUM(F178:AI178)</f>
        <v>0</v>
      </c>
      <c r="BP178" s="22">
        <v>218.5</v>
      </c>
      <c r="BQ178" s="83">
        <v>0.5</v>
      </c>
      <c r="BR178" s="22">
        <f>BP178*(1-BQ178)</f>
        <v>109.25</v>
      </c>
      <c r="BS178" s="22">
        <f>BR178*BO178</f>
        <v>0</v>
      </c>
      <c r="BT178" s="22">
        <f>BR178*0.8</f>
        <v>87.4</v>
      </c>
      <c r="BU178" s="32"/>
      <c r="BV178" s="22">
        <f>BS178*0.8</f>
        <v>0</v>
      </c>
      <c r="BW178" s="22"/>
      <c r="BX178" s="32"/>
      <c r="BY178" s="201"/>
      <c r="BZ178" s="157"/>
      <c r="CA178" s="87">
        <f>BY178*BO178</f>
        <v>0</v>
      </c>
      <c r="CB178" s="88">
        <v>225668</v>
      </c>
      <c r="CC178" s="89"/>
      <c r="CD178" s="90">
        <f>CC178*CA178%</f>
        <v>0</v>
      </c>
      <c r="CE178" s="21" t="e">
        <f>BV178/CD178*1000</f>
        <v>#DIV/0!</v>
      </c>
      <c r="CF178" s="55"/>
      <c r="CG178" s="30" t="str">
        <f>C178</f>
        <v>RÁDIO 98,1</v>
      </c>
      <c r="CH178" s="194"/>
      <c r="CI178" s="30" t="e">
        <f>SUM(#REF!)</f>
        <v>#REF!</v>
      </c>
      <c r="CJ178" s="194" t="e">
        <f>#REF!*CI178</f>
        <v>#REF!</v>
      </c>
      <c r="CK178" s="30" t="e">
        <f>SUM(#REF!)</f>
        <v>#REF!</v>
      </c>
      <c r="CL178" s="194" t="e">
        <f>#REF!*CK178</f>
        <v>#REF!</v>
      </c>
    </row>
    <row r="179" spans="1:91" ht="16" hidden="1" customHeight="1" x14ac:dyDescent="0.25">
      <c r="A179" s="32"/>
      <c r="B179" s="111"/>
      <c r="C179" s="81"/>
      <c r="D179" s="95"/>
      <c r="E179" s="39"/>
      <c r="F179" s="65"/>
      <c r="G179" s="65"/>
      <c r="H179" s="65"/>
      <c r="I179" s="65"/>
      <c r="J179" s="65"/>
      <c r="K179" s="66"/>
      <c r="L179" s="66"/>
      <c r="M179" s="65"/>
      <c r="N179" s="65"/>
      <c r="O179" s="65"/>
      <c r="P179" s="65"/>
      <c r="Q179" s="65"/>
      <c r="R179" s="66"/>
      <c r="S179" s="66"/>
      <c r="T179" s="65"/>
      <c r="U179" s="65"/>
      <c r="V179" s="65"/>
      <c r="W179" s="65"/>
      <c r="X179" s="65"/>
      <c r="Y179" s="66"/>
      <c r="Z179" s="66"/>
      <c r="AA179" s="65"/>
      <c r="AB179" s="65"/>
      <c r="AC179" s="65"/>
      <c r="AD179" s="65"/>
      <c r="AE179" s="65"/>
      <c r="AF179" s="66"/>
      <c r="AG179" s="66"/>
      <c r="AH179" s="65"/>
      <c r="AI179" s="65"/>
      <c r="AJ179" s="65"/>
      <c r="AK179" s="65"/>
      <c r="AL179" s="65"/>
      <c r="AM179" s="65"/>
      <c r="AN179" s="65"/>
      <c r="AO179" s="65"/>
      <c r="AP179" s="66"/>
      <c r="AQ179" s="66"/>
      <c r="AR179" s="65"/>
      <c r="AS179" s="65"/>
      <c r="AT179" s="65"/>
      <c r="AU179" s="65"/>
      <c r="AV179" s="65"/>
      <c r="AW179" s="66"/>
      <c r="AX179" s="66"/>
      <c r="AY179" s="65"/>
      <c r="AZ179" s="65"/>
      <c r="BA179" s="65"/>
      <c r="BB179" s="65"/>
      <c r="BC179" s="65"/>
      <c r="BD179" s="66"/>
      <c r="BE179" s="66"/>
      <c r="BF179" s="65"/>
      <c r="BG179" s="65"/>
      <c r="BH179" s="65"/>
      <c r="BI179" s="65"/>
      <c r="BJ179" s="65"/>
      <c r="BK179" s="66"/>
      <c r="BL179" s="66"/>
      <c r="BM179" s="65"/>
      <c r="BN179" s="65"/>
      <c r="BO179" s="82"/>
      <c r="BP179" s="22"/>
      <c r="BQ179" s="83"/>
      <c r="BR179" s="22"/>
      <c r="BS179" s="22"/>
      <c r="BT179" s="22"/>
      <c r="BU179" s="32"/>
      <c r="BV179" s="22"/>
      <c r="BW179" s="22"/>
      <c r="BX179" s="32"/>
      <c r="BY179" s="201"/>
      <c r="BZ179" s="157"/>
      <c r="CA179" s="158"/>
      <c r="CB179" s="89"/>
      <c r="CC179" s="89"/>
      <c r="CD179" s="90"/>
      <c r="CE179" s="21"/>
      <c r="CF179" s="55"/>
      <c r="CH179" s="194"/>
      <c r="CJ179" s="194"/>
      <c r="CL179" s="194"/>
    </row>
    <row r="180" spans="1:91" ht="16" hidden="1" customHeight="1" x14ac:dyDescent="0.25">
      <c r="A180" s="32"/>
      <c r="B180" s="111"/>
      <c r="C180" s="81" t="s">
        <v>114</v>
      </c>
      <c r="D180" s="95" t="s">
        <v>87</v>
      </c>
      <c r="E180" s="39" t="s">
        <v>18</v>
      </c>
      <c r="F180" s="65"/>
      <c r="G180" s="65"/>
      <c r="H180" s="65"/>
      <c r="I180" s="65"/>
      <c r="J180" s="65"/>
      <c r="K180" s="66"/>
      <c r="L180" s="66"/>
      <c r="M180" s="65"/>
      <c r="N180" s="65"/>
      <c r="O180" s="65"/>
      <c r="P180" s="65"/>
      <c r="Q180" s="65"/>
      <c r="R180" s="66"/>
      <c r="S180" s="66"/>
      <c r="T180" s="65"/>
      <c r="U180" s="65"/>
      <c r="V180" s="65"/>
      <c r="W180" s="65"/>
      <c r="X180" s="65"/>
      <c r="Y180" s="66"/>
      <c r="Z180" s="66"/>
      <c r="AA180" s="65"/>
      <c r="AB180" s="65"/>
      <c r="AC180" s="65"/>
      <c r="AD180" s="65"/>
      <c r="AE180" s="65"/>
      <c r="AF180" s="66"/>
      <c r="AG180" s="66"/>
      <c r="AH180" s="65"/>
      <c r="AI180" s="65"/>
      <c r="AJ180" s="65"/>
      <c r="AK180" s="65"/>
      <c r="AL180" s="65"/>
      <c r="AM180" s="65"/>
      <c r="AN180" s="65"/>
      <c r="AO180" s="65"/>
      <c r="AP180" s="66"/>
      <c r="AQ180" s="66"/>
      <c r="AR180" s="65"/>
      <c r="AS180" s="65"/>
      <c r="AT180" s="65"/>
      <c r="AU180" s="65"/>
      <c r="AV180" s="65"/>
      <c r="AW180" s="66"/>
      <c r="AX180" s="66"/>
      <c r="AY180" s="65"/>
      <c r="AZ180" s="65"/>
      <c r="BA180" s="65"/>
      <c r="BB180" s="65"/>
      <c r="BC180" s="65"/>
      <c r="BD180" s="66"/>
      <c r="BE180" s="66"/>
      <c r="BF180" s="65"/>
      <c r="BG180" s="65"/>
      <c r="BH180" s="65"/>
      <c r="BI180" s="65"/>
      <c r="BJ180" s="65"/>
      <c r="BK180" s="66"/>
      <c r="BL180" s="66"/>
      <c r="BM180" s="65"/>
      <c r="BN180" s="65"/>
      <c r="BO180" s="82">
        <f>SUM(F180:AI180)</f>
        <v>0</v>
      </c>
      <c r="BP180" s="22">
        <v>427</v>
      </c>
      <c r="BQ180" s="83">
        <v>0.45</v>
      </c>
      <c r="BR180" s="22">
        <f>BP180*(1-BQ180)</f>
        <v>234.85000000000002</v>
      </c>
      <c r="BS180" s="22">
        <f>BR180*BO180</f>
        <v>0</v>
      </c>
      <c r="BT180" s="22">
        <f>BR180*0.8</f>
        <v>187.88000000000002</v>
      </c>
      <c r="BU180" s="32"/>
      <c r="BV180" s="22">
        <f>BS180*0.8</f>
        <v>0</v>
      </c>
      <c r="BW180" s="22"/>
      <c r="BX180" s="32"/>
      <c r="BY180" s="201"/>
      <c r="BZ180" s="157"/>
      <c r="CA180" s="87">
        <f>BY180*BO180</f>
        <v>0</v>
      </c>
      <c r="CB180" s="88">
        <v>225668</v>
      </c>
      <c r="CC180" s="89"/>
      <c r="CD180" s="90">
        <f>CC180*CA180%</f>
        <v>0</v>
      </c>
      <c r="CE180" s="21" t="e">
        <f>BV180/CD180*1000</f>
        <v>#DIV/0!</v>
      </c>
      <c r="CF180" s="55"/>
      <c r="CG180" s="30" t="str">
        <f>C180</f>
        <v>101 FM</v>
      </c>
      <c r="CH180" s="194"/>
      <c r="CI180" s="30" t="e">
        <f>SUM(#REF!)</f>
        <v>#REF!</v>
      </c>
      <c r="CJ180" s="194" t="e">
        <f>#REF!*CI180</f>
        <v>#REF!</v>
      </c>
      <c r="CK180" s="30" t="e">
        <f>SUM(#REF!)</f>
        <v>#REF!</v>
      </c>
      <c r="CL180" s="194" t="e">
        <f>#REF!*CK180</f>
        <v>#REF!</v>
      </c>
    </row>
    <row r="181" spans="1:91" ht="16" hidden="1" customHeight="1" x14ac:dyDescent="0.25">
      <c r="A181" s="32"/>
      <c r="B181" s="111"/>
      <c r="C181" s="95"/>
      <c r="D181" s="95"/>
      <c r="E181" s="39"/>
      <c r="F181" s="65"/>
      <c r="G181" s="65"/>
      <c r="H181" s="65"/>
      <c r="I181" s="65"/>
      <c r="J181" s="65"/>
      <c r="K181" s="66"/>
      <c r="L181" s="66"/>
      <c r="M181" s="65"/>
      <c r="N181" s="65"/>
      <c r="O181" s="65"/>
      <c r="P181" s="65"/>
      <c r="Q181" s="65"/>
      <c r="R181" s="66"/>
      <c r="S181" s="66"/>
      <c r="T181" s="65"/>
      <c r="U181" s="65"/>
      <c r="V181" s="65"/>
      <c r="W181" s="65"/>
      <c r="X181" s="65"/>
      <c r="Y181" s="66"/>
      <c r="Z181" s="66"/>
      <c r="AA181" s="65"/>
      <c r="AB181" s="65"/>
      <c r="AC181" s="65"/>
      <c r="AD181" s="65"/>
      <c r="AE181" s="65"/>
      <c r="AF181" s="66"/>
      <c r="AG181" s="66"/>
      <c r="AH181" s="65"/>
      <c r="AI181" s="65"/>
      <c r="AJ181" s="65"/>
      <c r="AK181" s="65"/>
      <c r="AL181" s="65"/>
      <c r="AM181" s="65"/>
      <c r="AN181" s="65"/>
      <c r="AO181" s="65"/>
      <c r="AP181" s="66"/>
      <c r="AQ181" s="66"/>
      <c r="AR181" s="65"/>
      <c r="AS181" s="65"/>
      <c r="AT181" s="65"/>
      <c r="AU181" s="65"/>
      <c r="AV181" s="65"/>
      <c r="AW181" s="66"/>
      <c r="AX181" s="66"/>
      <c r="AY181" s="65"/>
      <c r="AZ181" s="65"/>
      <c r="BA181" s="65"/>
      <c r="BB181" s="65"/>
      <c r="BC181" s="65"/>
      <c r="BD181" s="66"/>
      <c r="BE181" s="66"/>
      <c r="BF181" s="65"/>
      <c r="BG181" s="65"/>
      <c r="BH181" s="65"/>
      <c r="BI181" s="65"/>
      <c r="BJ181" s="65"/>
      <c r="BK181" s="66"/>
      <c r="BL181" s="66"/>
      <c r="BM181" s="65"/>
      <c r="BN181" s="65"/>
      <c r="BO181" s="173"/>
      <c r="BP181" s="104"/>
      <c r="BQ181" s="195"/>
      <c r="BR181" s="104"/>
      <c r="BS181" s="104"/>
      <c r="BT181" s="104"/>
      <c r="BU181" s="32"/>
      <c r="BV181" s="104"/>
      <c r="BW181" s="104"/>
      <c r="BX181" s="32"/>
      <c r="BY181" s="106"/>
      <c r="BZ181" s="107"/>
      <c r="CA181" s="108"/>
      <c r="CB181" s="109"/>
      <c r="CC181" s="110"/>
      <c r="CD181" s="109"/>
      <c r="CE181" s="114"/>
      <c r="CF181" s="10"/>
      <c r="CH181" s="194"/>
      <c r="CJ181" s="194"/>
      <c r="CL181" s="194"/>
    </row>
    <row r="182" spans="1:91" ht="16" hidden="1" customHeight="1" x14ac:dyDescent="0.25">
      <c r="A182" s="32"/>
      <c r="B182" s="25" t="s">
        <v>115</v>
      </c>
      <c r="C182" s="139"/>
      <c r="D182" s="139"/>
      <c r="E182" s="139"/>
      <c r="F182" s="40">
        <f t="shared" ref="F182:BO182" si="23">SUM(F175:F181)</f>
        <v>0</v>
      </c>
      <c r="G182" s="40">
        <f t="shared" si="23"/>
        <v>0</v>
      </c>
      <c r="H182" s="40">
        <f t="shared" si="23"/>
        <v>0</v>
      </c>
      <c r="I182" s="40">
        <f t="shared" si="23"/>
        <v>0</v>
      </c>
      <c r="J182" s="40">
        <f t="shared" si="23"/>
        <v>0</v>
      </c>
      <c r="K182" s="40">
        <f t="shared" si="23"/>
        <v>0</v>
      </c>
      <c r="L182" s="40">
        <f t="shared" si="23"/>
        <v>0</v>
      </c>
      <c r="M182" s="40">
        <f t="shared" si="23"/>
        <v>0</v>
      </c>
      <c r="N182" s="40">
        <f t="shared" si="23"/>
        <v>0</v>
      </c>
      <c r="O182" s="40">
        <f t="shared" si="23"/>
        <v>0</v>
      </c>
      <c r="P182" s="40">
        <f t="shared" si="23"/>
        <v>0</v>
      </c>
      <c r="Q182" s="40">
        <f t="shared" si="23"/>
        <v>0</v>
      </c>
      <c r="R182" s="40">
        <f t="shared" si="23"/>
        <v>0</v>
      </c>
      <c r="S182" s="40">
        <f t="shared" si="23"/>
        <v>0</v>
      </c>
      <c r="T182" s="40">
        <f t="shared" si="23"/>
        <v>0</v>
      </c>
      <c r="U182" s="40">
        <f t="shared" si="23"/>
        <v>0</v>
      </c>
      <c r="V182" s="40">
        <f t="shared" si="23"/>
        <v>0</v>
      </c>
      <c r="W182" s="40">
        <f t="shared" si="23"/>
        <v>0</v>
      </c>
      <c r="X182" s="40">
        <f t="shared" si="23"/>
        <v>0</v>
      </c>
      <c r="Y182" s="40">
        <f t="shared" si="23"/>
        <v>0</v>
      </c>
      <c r="Z182" s="40">
        <f t="shared" si="23"/>
        <v>0</v>
      </c>
      <c r="AA182" s="40">
        <f t="shared" si="23"/>
        <v>0</v>
      </c>
      <c r="AB182" s="40">
        <f t="shared" si="23"/>
        <v>0</v>
      </c>
      <c r="AC182" s="40">
        <f t="shared" si="23"/>
        <v>0</v>
      </c>
      <c r="AD182" s="40">
        <f t="shared" si="23"/>
        <v>0</v>
      </c>
      <c r="AE182" s="40">
        <f t="shared" si="23"/>
        <v>0</v>
      </c>
      <c r="AF182" s="40">
        <f t="shared" si="23"/>
        <v>0</v>
      </c>
      <c r="AG182" s="40">
        <f t="shared" si="23"/>
        <v>0</v>
      </c>
      <c r="AH182" s="40">
        <f t="shared" si="23"/>
        <v>0</v>
      </c>
      <c r="AI182" s="40">
        <f t="shared" si="23"/>
        <v>0</v>
      </c>
      <c r="AJ182" s="40">
        <f t="shared" ref="AJ182:BN182" si="24">SUM(AJ175:AJ181)</f>
        <v>0</v>
      </c>
      <c r="AK182" s="40">
        <f t="shared" si="24"/>
        <v>0</v>
      </c>
      <c r="AL182" s="40">
        <f t="shared" si="24"/>
        <v>0</v>
      </c>
      <c r="AM182" s="40">
        <f t="shared" si="24"/>
        <v>0</v>
      </c>
      <c r="AN182" s="40">
        <f t="shared" si="24"/>
        <v>0</v>
      </c>
      <c r="AO182" s="40">
        <f t="shared" si="24"/>
        <v>0</v>
      </c>
      <c r="AP182" s="40">
        <f t="shared" si="24"/>
        <v>0</v>
      </c>
      <c r="AQ182" s="40">
        <f t="shared" si="24"/>
        <v>0</v>
      </c>
      <c r="AR182" s="40">
        <f t="shared" si="24"/>
        <v>0</v>
      </c>
      <c r="AS182" s="40">
        <f t="shared" si="24"/>
        <v>0</v>
      </c>
      <c r="AT182" s="40">
        <f t="shared" si="24"/>
        <v>0</v>
      </c>
      <c r="AU182" s="40">
        <f t="shared" si="24"/>
        <v>0</v>
      </c>
      <c r="AV182" s="40">
        <f t="shared" si="24"/>
        <v>0</v>
      </c>
      <c r="AW182" s="40">
        <f t="shared" si="24"/>
        <v>0</v>
      </c>
      <c r="AX182" s="40">
        <f t="shared" si="24"/>
        <v>0</v>
      </c>
      <c r="AY182" s="40">
        <f t="shared" si="24"/>
        <v>0</v>
      </c>
      <c r="AZ182" s="40">
        <f t="shared" si="24"/>
        <v>0</v>
      </c>
      <c r="BA182" s="40">
        <f t="shared" si="24"/>
        <v>0</v>
      </c>
      <c r="BB182" s="40">
        <f t="shared" si="24"/>
        <v>0</v>
      </c>
      <c r="BC182" s="40">
        <f t="shared" si="24"/>
        <v>0</v>
      </c>
      <c r="BD182" s="40">
        <f t="shared" si="24"/>
        <v>0</v>
      </c>
      <c r="BE182" s="40">
        <f t="shared" si="24"/>
        <v>0</v>
      </c>
      <c r="BF182" s="40">
        <f t="shared" si="24"/>
        <v>0</v>
      </c>
      <c r="BG182" s="40">
        <f t="shared" si="24"/>
        <v>0</v>
      </c>
      <c r="BH182" s="40">
        <f t="shared" si="24"/>
        <v>0</v>
      </c>
      <c r="BI182" s="40">
        <f t="shared" si="24"/>
        <v>0</v>
      </c>
      <c r="BJ182" s="40">
        <f t="shared" si="24"/>
        <v>0</v>
      </c>
      <c r="BK182" s="40">
        <f t="shared" si="24"/>
        <v>0</v>
      </c>
      <c r="BL182" s="40">
        <f t="shared" si="24"/>
        <v>0</v>
      </c>
      <c r="BM182" s="40">
        <f t="shared" si="24"/>
        <v>0</v>
      </c>
      <c r="BN182" s="40">
        <f t="shared" si="24"/>
        <v>0</v>
      </c>
      <c r="BO182" s="40">
        <f t="shared" si="23"/>
        <v>0</v>
      </c>
      <c r="BP182" s="141"/>
      <c r="BQ182" s="141"/>
      <c r="BR182" s="141"/>
      <c r="BS182" s="141">
        <f>SUM(BS175:BS181)</f>
        <v>0</v>
      </c>
      <c r="BT182" s="141">
        <f>SUM(BT175:BT181)</f>
        <v>323.68000000000006</v>
      </c>
      <c r="BU182" s="43"/>
      <c r="BV182" s="141">
        <f>SUM(BV175:BV181)</f>
        <v>0</v>
      </c>
      <c r="BW182" s="141"/>
      <c r="BX182" s="43"/>
      <c r="BY182" s="196"/>
      <c r="BZ182" s="197"/>
      <c r="CA182" s="198"/>
      <c r="CB182" s="147"/>
      <c r="CC182" s="147"/>
      <c r="CD182" s="199">
        <f>SUM(CD175:CD181)</f>
        <v>0</v>
      </c>
      <c r="CE182" s="149" t="e">
        <f>BV182/CD182*1000</f>
        <v>#DIV/0!</v>
      </c>
      <c r="CF182" s="10"/>
      <c r="CH182" s="194"/>
      <c r="CJ182" s="194"/>
      <c r="CL182" s="194"/>
    </row>
    <row r="183" spans="1:91" x14ac:dyDescent="0.25">
      <c r="A183" s="32"/>
      <c r="CE183" s="10"/>
      <c r="CF183" s="10"/>
    </row>
    <row r="184" spans="1:91" x14ac:dyDescent="0.25">
      <c r="A184" s="32"/>
      <c r="B184" s="642" t="s">
        <v>3</v>
      </c>
      <c r="C184" s="642" t="s">
        <v>4</v>
      </c>
      <c r="D184" s="648" t="s">
        <v>19</v>
      </c>
      <c r="E184" s="643" t="s">
        <v>48</v>
      </c>
      <c r="F184" s="629" t="s">
        <v>21</v>
      </c>
      <c r="G184" s="630"/>
      <c r="H184" s="630"/>
      <c r="I184" s="630"/>
      <c r="J184" s="630"/>
      <c r="K184" s="630"/>
      <c r="L184" s="630"/>
      <c r="M184" s="630"/>
      <c r="N184" s="630"/>
      <c r="O184" s="630"/>
      <c r="P184" s="630"/>
      <c r="Q184" s="630"/>
      <c r="R184" s="630"/>
      <c r="S184" s="630"/>
      <c r="T184" s="630"/>
      <c r="U184" s="630"/>
      <c r="V184" s="630"/>
      <c r="W184" s="630"/>
      <c r="X184" s="630"/>
      <c r="Y184" s="630"/>
      <c r="Z184" s="630"/>
      <c r="AA184" s="630"/>
      <c r="AB184" s="630"/>
      <c r="AC184" s="630"/>
      <c r="AD184" s="630"/>
      <c r="AE184" s="630"/>
      <c r="AF184" s="630"/>
      <c r="AG184" s="630"/>
      <c r="AH184" s="630"/>
      <c r="AI184" s="630"/>
      <c r="AJ184" s="631"/>
      <c r="AK184" s="27"/>
      <c r="AL184" s="27"/>
      <c r="AM184" s="27"/>
      <c r="AN184" s="27"/>
      <c r="AO184" s="27"/>
      <c r="AP184" s="27"/>
      <c r="AQ184" s="27"/>
      <c r="AR184" s="27"/>
      <c r="AS184" s="27"/>
      <c r="AT184" s="27"/>
      <c r="AU184" s="27"/>
      <c r="AV184" s="27"/>
      <c r="AW184" s="27"/>
      <c r="AX184" s="27"/>
      <c r="AY184" s="27"/>
      <c r="AZ184" s="27"/>
      <c r="BA184" s="27"/>
      <c r="BB184" s="27"/>
      <c r="BC184" s="27"/>
      <c r="BD184" s="630" t="s">
        <v>5</v>
      </c>
      <c r="BE184" s="630"/>
      <c r="BF184" s="630"/>
      <c r="BG184" s="631"/>
      <c r="BH184" s="629" t="s">
        <v>6</v>
      </c>
      <c r="BI184" s="630"/>
      <c r="BJ184" s="630"/>
      <c r="BK184" s="630"/>
      <c r="BL184" s="630"/>
      <c r="BM184" s="630"/>
      <c r="BN184" s="631"/>
      <c r="BO184" s="640" t="s">
        <v>7</v>
      </c>
      <c r="BP184" s="620" t="s">
        <v>8</v>
      </c>
      <c r="BQ184" s="643" t="s">
        <v>9</v>
      </c>
      <c r="BR184" s="620" t="s">
        <v>10</v>
      </c>
      <c r="BS184" s="620" t="s">
        <v>11</v>
      </c>
      <c r="BT184" s="635" t="s">
        <v>23</v>
      </c>
      <c r="BU184" s="32"/>
      <c r="BV184" s="635" t="s">
        <v>24</v>
      </c>
      <c r="BW184" s="635" t="s">
        <v>25</v>
      </c>
      <c r="BX184" s="32"/>
      <c r="BY184" s="620" t="s">
        <v>26</v>
      </c>
      <c r="BZ184" s="638" t="s">
        <v>27</v>
      </c>
      <c r="CA184" s="645" t="s">
        <v>12</v>
      </c>
      <c r="CB184" s="638" t="s">
        <v>28</v>
      </c>
      <c r="CC184" s="638" t="s">
        <v>29</v>
      </c>
      <c r="CD184" s="638" t="s">
        <v>30</v>
      </c>
      <c r="CE184" s="638" t="s">
        <v>31</v>
      </c>
      <c r="CF184" s="55"/>
      <c r="CG184" s="640" t="s">
        <v>32</v>
      </c>
      <c r="CH184" s="640" t="s">
        <v>33</v>
      </c>
      <c r="CI184" s="642" t="s">
        <v>5</v>
      </c>
      <c r="CJ184" s="642"/>
      <c r="CK184" s="642" t="s">
        <v>6</v>
      </c>
      <c r="CL184" s="642"/>
    </row>
    <row r="185" spans="1:91" x14ac:dyDescent="0.25">
      <c r="A185" s="32"/>
      <c r="B185" s="642"/>
      <c r="C185" s="642"/>
      <c r="D185" s="648"/>
      <c r="E185" s="643"/>
      <c r="F185" s="7" t="s">
        <v>15</v>
      </c>
      <c r="G185" s="7" t="s">
        <v>14</v>
      </c>
      <c r="H185" s="7" t="s">
        <v>2</v>
      </c>
      <c r="I185" s="8" t="s">
        <v>16</v>
      </c>
      <c r="J185" s="8" t="s">
        <v>16</v>
      </c>
      <c r="K185" s="7" t="s">
        <v>13</v>
      </c>
      <c r="L185" s="7" t="s">
        <v>14</v>
      </c>
      <c r="M185" s="7" t="s">
        <v>15</v>
      </c>
      <c r="N185" s="7" t="s">
        <v>14</v>
      </c>
      <c r="O185" s="7" t="s">
        <v>2</v>
      </c>
      <c r="P185" s="8" t="s">
        <v>16</v>
      </c>
      <c r="Q185" s="8" t="s">
        <v>16</v>
      </c>
      <c r="R185" s="7" t="s">
        <v>13</v>
      </c>
      <c r="S185" s="7" t="s">
        <v>14</v>
      </c>
      <c r="T185" s="7" t="s">
        <v>15</v>
      </c>
      <c r="U185" s="7" t="s">
        <v>14</v>
      </c>
      <c r="V185" s="7" t="s">
        <v>2</v>
      </c>
      <c r="W185" s="8" t="s">
        <v>16</v>
      </c>
      <c r="X185" s="8" t="s">
        <v>16</v>
      </c>
      <c r="Y185" s="7" t="s">
        <v>13</v>
      </c>
      <c r="Z185" s="7" t="s">
        <v>14</v>
      </c>
      <c r="AA185" s="7" t="s">
        <v>15</v>
      </c>
      <c r="AB185" s="7" t="s">
        <v>14</v>
      </c>
      <c r="AC185" s="7" t="s">
        <v>2</v>
      </c>
      <c r="AD185" s="8" t="s">
        <v>16</v>
      </c>
      <c r="AE185" s="8" t="s">
        <v>16</v>
      </c>
      <c r="AF185" s="7" t="s">
        <v>13</v>
      </c>
      <c r="AG185" s="7" t="s">
        <v>14</v>
      </c>
      <c r="AH185" s="7" t="s">
        <v>15</v>
      </c>
      <c r="AI185" s="7" t="s">
        <v>14</v>
      </c>
      <c r="AJ185" s="7" t="s">
        <v>2</v>
      </c>
      <c r="AK185" s="8" t="s">
        <v>16</v>
      </c>
      <c r="AL185" s="8" t="s">
        <v>16</v>
      </c>
      <c r="AM185" s="7" t="s">
        <v>13</v>
      </c>
      <c r="AN185" s="7" t="s">
        <v>14</v>
      </c>
      <c r="AO185" s="7" t="s">
        <v>15</v>
      </c>
      <c r="AP185" s="7" t="s">
        <v>14</v>
      </c>
      <c r="AQ185" s="7" t="s">
        <v>2</v>
      </c>
      <c r="AR185" s="8" t="s">
        <v>16</v>
      </c>
      <c r="AS185" s="8" t="s">
        <v>16</v>
      </c>
      <c r="AT185" s="7" t="s">
        <v>13</v>
      </c>
      <c r="AU185" s="7" t="s">
        <v>14</v>
      </c>
      <c r="AV185" s="7" t="s">
        <v>15</v>
      </c>
      <c r="AW185" s="7" t="s">
        <v>14</v>
      </c>
      <c r="AX185" s="7" t="s">
        <v>2</v>
      </c>
      <c r="AY185" s="8" t="s">
        <v>16</v>
      </c>
      <c r="AZ185" s="8" t="s">
        <v>16</v>
      </c>
      <c r="BA185" s="7" t="s">
        <v>13</v>
      </c>
      <c r="BB185" s="7" t="s">
        <v>14</v>
      </c>
      <c r="BC185" s="7" t="s">
        <v>15</v>
      </c>
      <c r="BD185" s="8" t="s">
        <v>16</v>
      </c>
      <c r="BE185" s="7" t="s">
        <v>13</v>
      </c>
      <c r="BF185" s="7" t="s">
        <v>14</v>
      </c>
      <c r="BG185" s="7" t="s">
        <v>15</v>
      </c>
      <c r="BH185" s="7" t="s">
        <v>14</v>
      </c>
      <c r="BI185" s="7" t="s">
        <v>2</v>
      </c>
      <c r="BJ185" s="8" t="s">
        <v>16</v>
      </c>
      <c r="BK185" s="8" t="s">
        <v>16</v>
      </c>
      <c r="BL185" s="7" t="s">
        <v>2</v>
      </c>
      <c r="BM185" s="7" t="s">
        <v>16</v>
      </c>
      <c r="BN185" s="7" t="s">
        <v>16</v>
      </c>
      <c r="BO185" s="640"/>
      <c r="BP185" s="620"/>
      <c r="BQ185" s="643"/>
      <c r="BR185" s="620"/>
      <c r="BS185" s="620"/>
      <c r="BT185" s="636"/>
      <c r="BU185" s="32"/>
      <c r="BV185" s="636"/>
      <c r="BW185" s="636"/>
      <c r="BX185" s="32"/>
      <c r="BY185" s="620"/>
      <c r="BZ185" s="638"/>
      <c r="CA185" s="645"/>
      <c r="CB185" s="638"/>
      <c r="CC185" s="638"/>
      <c r="CD185" s="638"/>
      <c r="CE185" s="638"/>
      <c r="CF185" s="55"/>
      <c r="CG185" s="640"/>
      <c r="CH185" s="640"/>
      <c r="CI185" s="642"/>
      <c r="CJ185" s="642"/>
      <c r="CK185" s="642"/>
      <c r="CL185" s="642"/>
    </row>
    <row r="186" spans="1:91" x14ac:dyDescent="0.25">
      <c r="A186" s="32"/>
      <c r="B186" s="647"/>
      <c r="C186" s="647"/>
      <c r="D186" s="649"/>
      <c r="E186" s="644"/>
      <c r="F186" s="33">
        <v>1</v>
      </c>
      <c r="G186" s="33">
        <v>2</v>
      </c>
      <c r="H186" s="33">
        <v>3</v>
      </c>
      <c r="I186" s="221">
        <v>4</v>
      </c>
      <c r="J186" s="221">
        <v>5</v>
      </c>
      <c r="K186" s="33">
        <v>6</v>
      </c>
      <c r="L186" s="33">
        <v>7</v>
      </c>
      <c r="M186" s="33">
        <v>8</v>
      </c>
      <c r="N186" s="33">
        <v>9</v>
      </c>
      <c r="O186" s="33">
        <v>10</v>
      </c>
      <c r="P186" s="221">
        <v>11</v>
      </c>
      <c r="Q186" s="221">
        <v>12</v>
      </c>
      <c r="R186" s="33">
        <v>13</v>
      </c>
      <c r="S186" s="33">
        <v>14</v>
      </c>
      <c r="T186" s="33">
        <v>15</v>
      </c>
      <c r="U186" s="33">
        <v>16</v>
      </c>
      <c r="V186" s="33">
        <v>17</v>
      </c>
      <c r="W186" s="221">
        <v>18</v>
      </c>
      <c r="X186" s="221">
        <v>19</v>
      </c>
      <c r="Y186" s="33">
        <v>20</v>
      </c>
      <c r="Z186" s="33">
        <v>21</v>
      </c>
      <c r="AA186" s="33">
        <v>22</v>
      </c>
      <c r="AB186" s="33">
        <v>23</v>
      </c>
      <c r="AC186" s="33">
        <v>24</v>
      </c>
      <c r="AD186" s="221">
        <v>25</v>
      </c>
      <c r="AE186" s="221">
        <v>26</v>
      </c>
      <c r="AF186" s="33">
        <v>27</v>
      </c>
      <c r="AG186" s="33">
        <v>28</v>
      </c>
      <c r="AH186" s="33">
        <v>29</v>
      </c>
      <c r="AI186" s="33">
        <v>30</v>
      </c>
      <c r="AJ186" s="33">
        <v>31</v>
      </c>
      <c r="AK186" s="221">
        <v>1</v>
      </c>
      <c r="AL186" s="221">
        <v>2</v>
      </c>
      <c r="AM186" s="33">
        <v>3</v>
      </c>
      <c r="AN186" s="33">
        <v>4</v>
      </c>
      <c r="AO186" s="33">
        <v>5</v>
      </c>
      <c r="AP186" s="33">
        <v>6</v>
      </c>
      <c r="AQ186" s="33">
        <v>7</v>
      </c>
      <c r="AR186" s="221">
        <v>8</v>
      </c>
      <c r="AS186" s="221">
        <v>9</v>
      </c>
      <c r="AT186" s="33">
        <v>10</v>
      </c>
      <c r="AU186" s="33">
        <v>11</v>
      </c>
      <c r="AV186" s="33">
        <v>12</v>
      </c>
      <c r="AW186" s="33">
        <v>13</v>
      </c>
      <c r="AX186" s="33">
        <v>14</v>
      </c>
      <c r="AY186" s="221">
        <v>15</v>
      </c>
      <c r="AZ186" s="221">
        <v>16</v>
      </c>
      <c r="BA186" s="33">
        <v>17</v>
      </c>
      <c r="BB186" s="33">
        <v>18</v>
      </c>
      <c r="BC186" s="33">
        <v>19</v>
      </c>
      <c r="BD186" s="221">
        <v>28</v>
      </c>
      <c r="BE186" s="33">
        <f>BD186+1</f>
        <v>29</v>
      </c>
      <c r="BF186" s="33">
        <f t="shared" ref="BF186:BG186" si="25">BE186+1</f>
        <v>30</v>
      </c>
      <c r="BG186" s="33">
        <f t="shared" si="25"/>
        <v>31</v>
      </c>
      <c r="BH186" s="33">
        <v>1</v>
      </c>
      <c r="BI186" s="33">
        <f>BH186+1</f>
        <v>2</v>
      </c>
      <c r="BJ186" s="221">
        <f t="shared" ref="BJ186:BN186" si="26">BI186+1</f>
        <v>3</v>
      </c>
      <c r="BK186" s="221">
        <f t="shared" si="26"/>
        <v>4</v>
      </c>
      <c r="BL186" s="33">
        <f t="shared" si="26"/>
        <v>5</v>
      </c>
      <c r="BM186" s="33">
        <f t="shared" si="26"/>
        <v>6</v>
      </c>
      <c r="BN186" s="33">
        <f t="shared" si="26"/>
        <v>7</v>
      </c>
      <c r="BO186" s="641"/>
      <c r="BP186" s="635"/>
      <c r="BQ186" s="644"/>
      <c r="BR186" s="635"/>
      <c r="BS186" s="635"/>
      <c r="BT186" s="636"/>
      <c r="BU186" s="32"/>
      <c r="BV186" s="636"/>
      <c r="BW186" s="636"/>
      <c r="BX186" s="32"/>
      <c r="BY186" s="635"/>
      <c r="BZ186" s="639"/>
      <c r="CA186" s="646"/>
      <c r="CB186" s="639"/>
      <c r="CC186" s="639"/>
      <c r="CD186" s="639"/>
      <c r="CE186" s="639"/>
      <c r="CF186" s="55"/>
      <c r="CG186" s="641"/>
      <c r="CH186" s="641"/>
      <c r="CI186" s="7" t="s">
        <v>7</v>
      </c>
      <c r="CJ186" s="7" t="s">
        <v>34</v>
      </c>
      <c r="CK186" s="7" t="s">
        <v>7</v>
      </c>
      <c r="CL186" s="7" t="s">
        <v>34</v>
      </c>
    </row>
    <row r="187" spans="1:91" x14ac:dyDescent="0.25">
      <c r="A187" s="32"/>
      <c r="B187" s="227"/>
      <c r="C187" s="222"/>
      <c r="D187" s="229"/>
      <c r="E187" s="223"/>
      <c r="F187" s="224"/>
      <c r="G187" s="224"/>
      <c r="H187" s="224"/>
      <c r="I187" s="224"/>
      <c r="J187" s="224"/>
      <c r="K187" s="224"/>
      <c r="L187" s="224"/>
      <c r="M187" s="224"/>
      <c r="N187" s="224"/>
      <c r="O187" s="224"/>
      <c r="P187" s="224"/>
      <c r="Q187" s="224"/>
      <c r="R187" s="224"/>
      <c r="S187" s="224"/>
      <c r="T187" s="224"/>
      <c r="U187" s="224"/>
      <c r="V187" s="224"/>
      <c r="W187" s="224"/>
      <c r="X187" s="224"/>
      <c r="Y187" s="224"/>
      <c r="Z187" s="224"/>
      <c r="AA187" s="224"/>
      <c r="AB187" s="224"/>
      <c r="AC187" s="224"/>
      <c r="AD187" s="224"/>
      <c r="AE187" s="224"/>
      <c r="AF187" s="224"/>
      <c r="AG187" s="224"/>
      <c r="AH187" s="224"/>
      <c r="AI187" s="224"/>
      <c r="AJ187" s="224"/>
      <c r="AK187" s="224"/>
      <c r="AL187" s="224"/>
      <c r="AM187" s="224"/>
      <c r="AN187" s="224"/>
      <c r="AO187" s="224"/>
      <c r="AP187" s="224"/>
      <c r="AQ187" s="224"/>
      <c r="AR187" s="224"/>
      <c r="AS187" s="224"/>
      <c r="AT187" s="224"/>
      <c r="AU187" s="224"/>
      <c r="AV187" s="224"/>
      <c r="AW187" s="224"/>
      <c r="AX187" s="224"/>
      <c r="AY187" s="224"/>
      <c r="AZ187" s="224"/>
      <c r="BA187" s="224"/>
      <c r="BB187" s="224"/>
      <c r="BC187" s="224"/>
      <c r="BD187" s="66"/>
      <c r="BE187" s="65"/>
      <c r="BF187" s="65"/>
      <c r="BG187" s="65"/>
      <c r="BH187" s="65"/>
      <c r="BI187" s="65"/>
      <c r="BJ187" s="66"/>
      <c r="BK187" s="66"/>
      <c r="BL187" s="65"/>
      <c r="BM187" s="214"/>
      <c r="BN187" s="214"/>
      <c r="BO187" s="233"/>
      <c r="BP187" s="233"/>
      <c r="BQ187" s="233"/>
      <c r="BR187" s="233"/>
      <c r="BS187" s="233"/>
      <c r="BT187" s="238"/>
      <c r="BV187" s="295"/>
      <c r="BW187" s="300"/>
      <c r="BY187" s="251"/>
      <c r="BZ187" s="252"/>
      <c r="CA187" s="253"/>
      <c r="CB187" s="254"/>
      <c r="CC187" s="254"/>
      <c r="CD187" s="254"/>
      <c r="CE187" s="18"/>
      <c r="CF187" s="10"/>
      <c r="CG187" s="34"/>
      <c r="CH187" s="271"/>
      <c r="CI187" s="267"/>
      <c r="CJ187" s="271"/>
      <c r="CK187" s="267"/>
      <c r="CL187" s="271"/>
    </row>
    <row r="188" spans="1:91" x14ac:dyDescent="0.25">
      <c r="A188" s="32"/>
      <c r="B188" s="228" t="s">
        <v>105</v>
      </c>
      <c r="C188" s="81" t="s">
        <v>106</v>
      </c>
      <c r="D188" s="230" t="s">
        <v>87</v>
      </c>
      <c r="E188" s="219" t="s">
        <v>18</v>
      </c>
      <c r="BD188" s="66"/>
      <c r="BE188" s="65">
        <v>4</v>
      </c>
      <c r="BF188" s="65">
        <v>4</v>
      </c>
      <c r="BG188" s="65">
        <v>4</v>
      </c>
      <c r="BH188" s="65">
        <v>4</v>
      </c>
      <c r="BI188" s="65">
        <v>4</v>
      </c>
      <c r="BJ188" s="65">
        <v>4</v>
      </c>
      <c r="BK188" s="65">
        <v>4</v>
      </c>
      <c r="BL188" s="65">
        <v>4</v>
      </c>
      <c r="BM188" s="214"/>
      <c r="BN188" s="231"/>
      <c r="BO188" s="234">
        <f>SUM(AK188:BN188)</f>
        <v>32</v>
      </c>
      <c r="BP188" s="176">
        <v>200</v>
      </c>
      <c r="BQ188" s="232">
        <v>0.6</v>
      </c>
      <c r="BR188" s="176">
        <f>BP188*(1-BQ188)</f>
        <v>80</v>
      </c>
      <c r="BS188" s="176">
        <f>BR188*BO188</f>
        <v>2560</v>
      </c>
      <c r="BT188" s="22">
        <f>BS188*0.8</f>
        <v>2048</v>
      </c>
      <c r="BV188" s="296">
        <f>BT188/BT191</f>
        <v>1</v>
      </c>
      <c r="BW188" s="301" t="s">
        <v>119</v>
      </c>
      <c r="BY188" s="255"/>
      <c r="BZ188" s="256"/>
      <c r="CA188" s="257"/>
      <c r="CB188" s="88">
        <v>145155</v>
      </c>
      <c r="CC188" s="258"/>
      <c r="CD188" s="258"/>
      <c r="CE188" s="21"/>
      <c r="CF188" s="10"/>
      <c r="CG188" s="38" t="str">
        <f>C188</f>
        <v>CLUBE FM</v>
      </c>
      <c r="CH188" s="272">
        <f>BR188*0.8</f>
        <v>64</v>
      </c>
      <c r="CI188" s="37">
        <f>SUM(AK188:BG188)</f>
        <v>12</v>
      </c>
      <c r="CJ188" s="92">
        <f>CH188*CI188</f>
        <v>768</v>
      </c>
      <c r="CK188" s="37">
        <f>SUM(BH188:BN188)</f>
        <v>20</v>
      </c>
      <c r="CL188" s="92">
        <f>CK188*CH188</f>
        <v>1280</v>
      </c>
      <c r="CM188" s="101" t="b">
        <f>(CJ188+CL188)=BT188</f>
        <v>1</v>
      </c>
    </row>
    <row r="189" spans="1:91" x14ac:dyDescent="0.25">
      <c r="A189" s="32"/>
      <c r="B189" s="237"/>
      <c r="C189" s="235"/>
      <c r="D189" s="236"/>
      <c r="E189" s="219"/>
      <c r="BD189" s="66"/>
      <c r="BE189" s="65"/>
      <c r="BF189" s="65"/>
      <c r="BG189" s="65"/>
      <c r="BH189" s="65"/>
      <c r="BI189" s="65"/>
      <c r="BJ189" s="66"/>
      <c r="BK189" s="66"/>
      <c r="BL189" s="65"/>
      <c r="BM189" s="214"/>
      <c r="BN189" s="214"/>
      <c r="BO189" s="234"/>
      <c r="BP189" s="176"/>
      <c r="BQ189" s="232"/>
      <c r="BR189" s="176"/>
      <c r="BS189" s="176"/>
      <c r="BT189" s="22"/>
      <c r="BV189" s="296"/>
      <c r="BW189" s="301"/>
      <c r="BY189" s="255"/>
      <c r="BZ189" s="256"/>
      <c r="CA189" s="257"/>
      <c r="CB189" s="258"/>
      <c r="CC189" s="258"/>
      <c r="CD189" s="258"/>
      <c r="CE189" s="21"/>
      <c r="CF189" s="10"/>
      <c r="CG189" s="38"/>
      <c r="CH189" s="272"/>
      <c r="CJ189" s="272"/>
      <c r="CL189" s="272"/>
    </row>
    <row r="190" spans="1:91" x14ac:dyDescent="0.25">
      <c r="A190" s="32"/>
      <c r="B190" s="225"/>
      <c r="C190" s="225"/>
      <c r="D190" s="226"/>
      <c r="E190" s="225"/>
      <c r="F190" s="226"/>
      <c r="G190" s="226"/>
      <c r="H190" s="226"/>
      <c r="I190" s="226"/>
      <c r="J190" s="226"/>
      <c r="K190" s="226"/>
      <c r="L190" s="226"/>
      <c r="M190" s="226"/>
      <c r="N190" s="226"/>
      <c r="O190" s="226"/>
      <c r="P190" s="226"/>
      <c r="Q190" s="226"/>
      <c r="R190" s="226"/>
      <c r="S190" s="226"/>
      <c r="T190" s="226"/>
      <c r="U190" s="226"/>
      <c r="V190" s="226"/>
      <c r="W190" s="226"/>
      <c r="X190" s="226"/>
      <c r="Y190" s="226"/>
      <c r="Z190" s="226"/>
      <c r="AA190" s="226"/>
      <c r="AB190" s="226"/>
      <c r="AC190" s="226"/>
      <c r="AD190" s="226"/>
      <c r="AE190" s="226"/>
      <c r="AF190" s="226"/>
      <c r="AG190" s="226"/>
      <c r="AH190" s="226"/>
      <c r="AI190" s="226"/>
      <c r="AJ190" s="226"/>
      <c r="AK190" s="226"/>
      <c r="AL190" s="226"/>
      <c r="AM190" s="226"/>
      <c r="AN190" s="226"/>
      <c r="AO190" s="226"/>
      <c r="AP190" s="226"/>
      <c r="AQ190" s="226"/>
      <c r="AR190" s="226"/>
      <c r="AS190" s="226"/>
      <c r="AT190" s="226"/>
      <c r="AU190" s="226"/>
      <c r="AV190" s="226"/>
      <c r="AW190" s="226"/>
      <c r="AX190" s="226"/>
      <c r="AY190" s="226"/>
      <c r="AZ190" s="226"/>
      <c r="BA190" s="226"/>
      <c r="BB190" s="226"/>
      <c r="BC190" s="226"/>
      <c r="BD190" s="66"/>
      <c r="BE190" s="65"/>
      <c r="BF190" s="65"/>
      <c r="BG190" s="65"/>
      <c r="BH190" s="65"/>
      <c r="BI190" s="65"/>
      <c r="BJ190" s="66"/>
      <c r="BK190" s="66"/>
      <c r="BL190" s="65"/>
      <c r="BM190" s="214"/>
      <c r="BN190" s="214"/>
      <c r="BO190" s="225"/>
      <c r="BP190" s="225"/>
      <c r="BQ190" s="225"/>
      <c r="BR190" s="225"/>
      <c r="BS190" s="225"/>
      <c r="BT190" s="239"/>
      <c r="BV190" s="297"/>
      <c r="BW190" s="302"/>
      <c r="BY190" s="259"/>
      <c r="BZ190" s="260"/>
      <c r="CA190" s="263"/>
      <c r="CB190" s="261"/>
      <c r="CC190" s="261"/>
      <c r="CD190" s="261"/>
      <c r="CE190" s="114"/>
      <c r="CF190" s="10"/>
      <c r="CG190" s="268"/>
      <c r="CH190" s="273"/>
      <c r="CI190" s="269"/>
      <c r="CJ190" s="273"/>
      <c r="CK190" s="269"/>
      <c r="CL190" s="273"/>
    </row>
    <row r="191" spans="1:91" x14ac:dyDescent="0.25">
      <c r="A191" s="32"/>
      <c r="B191" s="25" t="s">
        <v>117</v>
      </c>
      <c r="C191" s="139"/>
      <c r="D191" s="139"/>
      <c r="E191" s="139"/>
      <c r="F191" s="40">
        <f t="shared" ref="F191:BC191" si="27">SUM(F144:F190)</f>
        <v>1</v>
      </c>
      <c r="G191" s="40">
        <f t="shared" si="27"/>
        <v>2</v>
      </c>
      <c r="H191" s="40">
        <f t="shared" si="27"/>
        <v>3</v>
      </c>
      <c r="I191" s="40">
        <f t="shared" si="27"/>
        <v>4</v>
      </c>
      <c r="J191" s="40">
        <f t="shared" si="27"/>
        <v>5</v>
      </c>
      <c r="K191" s="40">
        <f t="shared" si="27"/>
        <v>6</v>
      </c>
      <c r="L191" s="40">
        <f t="shared" si="27"/>
        <v>7</v>
      </c>
      <c r="M191" s="40">
        <f t="shared" si="27"/>
        <v>8</v>
      </c>
      <c r="N191" s="40">
        <f t="shared" si="27"/>
        <v>9</v>
      </c>
      <c r="O191" s="40">
        <f t="shared" si="27"/>
        <v>10</v>
      </c>
      <c r="P191" s="40">
        <f t="shared" si="27"/>
        <v>11</v>
      </c>
      <c r="Q191" s="40">
        <f t="shared" si="27"/>
        <v>12</v>
      </c>
      <c r="R191" s="40">
        <f t="shared" si="27"/>
        <v>13</v>
      </c>
      <c r="S191" s="40">
        <f t="shared" si="27"/>
        <v>14</v>
      </c>
      <c r="T191" s="40">
        <f t="shared" si="27"/>
        <v>15</v>
      </c>
      <c r="U191" s="40">
        <f t="shared" si="27"/>
        <v>16</v>
      </c>
      <c r="V191" s="40">
        <f t="shared" si="27"/>
        <v>17</v>
      </c>
      <c r="W191" s="40">
        <f t="shared" si="27"/>
        <v>18</v>
      </c>
      <c r="X191" s="40">
        <f t="shared" si="27"/>
        <v>19</v>
      </c>
      <c r="Y191" s="40">
        <f t="shared" si="27"/>
        <v>20</v>
      </c>
      <c r="Z191" s="40">
        <f t="shared" si="27"/>
        <v>21</v>
      </c>
      <c r="AA191" s="40">
        <f t="shared" si="27"/>
        <v>22</v>
      </c>
      <c r="AB191" s="40">
        <f t="shared" si="27"/>
        <v>23</v>
      </c>
      <c r="AC191" s="40">
        <f t="shared" si="27"/>
        <v>24</v>
      </c>
      <c r="AD191" s="40">
        <f t="shared" si="27"/>
        <v>25</v>
      </c>
      <c r="AE191" s="40">
        <f t="shared" si="27"/>
        <v>26</v>
      </c>
      <c r="AF191" s="40">
        <f t="shared" si="27"/>
        <v>27</v>
      </c>
      <c r="AG191" s="40">
        <f t="shared" si="27"/>
        <v>28</v>
      </c>
      <c r="AH191" s="40">
        <f t="shared" si="27"/>
        <v>29</v>
      </c>
      <c r="AI191" s="40">
        <f t="shared" si="27"/>
        <v>30</v>
      </c>
      <c r="AJ191" s="40">
        <f t="shared" si="27"/>
        <v>31</v>
      </c>
      <c r="AK191" s="40">
        <f t="shared" si="27"/>
        <v>1</v>
      </c>
      <c r="AL191" s="40">
        <f t="shared" si="27"/>
        <v>2</v>
      </c>
      <c r="AM191" s="40">
        <f t="shared" si="27"/>
        <v>3</v>
      </c>
      <c r="AN191" s="40">
        <f t="shared" si="27"/>
        <v>4</v>
      </c>
      <c r="AO191" s="40">
        <f t="shared" si="27"/>
        <v>5</v>
      </c>
      <c r="AP191" s="40">
        <f t="shared" si="27"/>
        <v>6</v>
      </c>
      <c r="AQ191" s="40">
        <f t="shared" si="27"/>
        <v>7</v>
      </c>
      <c r="AR191" s="40">
        <f t="shared" si="27"/>
        <v>8</v>
      </c>
      <c r="AS191" s="40">
        <f t="shared" si="27"/>
        <v>9</v>
      </c>
      <c r="AT191" s="40">
        <f t="shared" si="27"/>
        <v>10</v>
      </c>
      <c r="AU191" s="40">
        <f t="shared" si="27"/>
        <v>11</v>
      </c>
      <c r="AV191" s="40">
        <f t="shared" si="27"/>
        <v>12</v>
      </c>
      <c r="AW191" s="40">
        <f t="shared" si="27"/>
        <v>13</v>
      </c>
      <c r="AX191" s="40">
        <f t="shared" si="27"/>
        <v>14</v>
      </c>
      <c r="AY191" s="40">
        <f t="shared" si="27"/>
        <v>15</v>
      </c>
      <c r="AZ191" s="40">
        <f t="shared" si="27"/>
        <v>16</v>
      </c>
      <c r="BA191" s="40">
        <f t="shared" si="27"/>
        <v>17</v>
      </c>
      <c r="BB191" s="40">
        <f t="shared" si="27"/>
        <v>18</v>
      </c>
      <c r="BC191" s="40">
        <f t="shared" si="27"/>
        <v>19</v>
      </c>
      <c r="BD191" s="40">
        <f>SUM(BD187:BD190)</f>
        <v>0</v>
      </c>
      <c r="BE191" s="40">
        <f t="shared" ref="BE191:BT191" si="28">SUM(BE187:BE190)</f>
        <v>4</v>
      </c>
      <c r="BF191" s="40">
        <f t="shared" si="28"/>
        <v>4</v>
      </c>
      <c r="BG191" s="40">
        <f t="shared" si="28"/>
        <v>4</v>
      </c>
      <c r="BH191" s="40">
        <f t="shared" si="28"/>
        <v>4</v>
      </c>
      <c r="BI191" s="40">
        <f t="shared" si="28"/>
        <v>4</v>
      </c>
      <c r="BJ191" s="40">
        <f t="shared" si="28"/>
        <v>4</v>
      </c>
      <c r="BK191" s="40">
        <f t="shared" si="28"/>
        <v>4</v>
      </c>
      <c r="BL191" s="40">
        <f t="shared" si="28"/>
        <v>4</v>
      </c>
      <c r="BM191" s="40">
        <f t="shared" si="28"/>
        <v>0</v>
      </c>
      <c r="BN191" s="40">
        <f t="shared" si="28"/>
        <v>0</v>
      </c>
      <c r="BO191" s="264">
        <f t="shared" si="28"/>
        <v>32</v>
      </c>
      <c r="BP191" s="265">
        <f t="shared" si="28"/>
        <v>200</v>
      </c>
      <c r="BQ191" s="265">
        <f t="shared" si="28"/>
        <v>0.6</v>
      </c>
      <c r="BR191" s="265">
        <f t="shared" si="28"/>
        <v>80</v>
      </c>
      <c r="BS191" s="265">
        <f t="shared" si="28"/>
        <v>2560</v>
      </c>
      <c r="BT191" s="265">
        <f t="shared" si="28"/>
        <v>2048</v>
      </c>
      <c r="BU191" s="43"/>
      <c r="BV191" s="250"/>
      <c r="BW191" s="303"/>
      <c r="BX191" s="43"/>
      <c r="BY191" s="305"/>
      <c r="BZ191" s="244"/>
      <c r="CA191" s="245"/>
      <c r="CB191" s="246">
        <f t="shared" ref="CB191:CE191" si="29">SUM(CB187:CB190)</f>
        <v>145155</v>
      </c>
      <c r="CC191" s="246">
        <f t="shared" si="29"/>
        <v>0</v>
      </c>
      <c r="CD191" s="247">
        <f t="shared" si="29"/>
        <v>0</v>
      </c>
      <c r="CE191" s="249">
        <f t="shared" si="29"/>
        <v>0</v>
      </c>
      <c r="CF191" s="10"/>
      <c r="CG191" s="247">
        <f t="shared" ref="CG191:CL191" si="30">SUM(CG187:CG190)</f>
        <v>0</v>
      </c>
      <c r="CH191" s="274">
        <f t="shared" si="30"/>
        <v>64</v>
      </c>
      <c r="CI191" s="266">
        <f t="shared" si="30"/>
        <v>12</v>
      </c>
      <c r="CJ191" s="274">
        <f t="shared" si="30"/>
        <v>768</v>
      </c>
      <c r="CK191" s="266">
        <f t="shared" si="30"/>
        <v>20</v>
      </c>
      <c r="CL191" s="274">
        <f t="shared" si="30"/>
        <v>1280</v>
      </c>
      <c r="CM191" s="101" t="b">
        <f>(CJ191+CL191)=BT191</f>
        <v>1</v>
      </c>
    </row>
    <row r="192" spans="1:91" x14ac:dyDescent="0.25">
      <c r="A192" s="32"/>
      <c r="B192" s="183"/>
      <c r="C192" s="184"/>
      <c r="D192" s="185"/>
      <c r="E192" s="218"/>
      <c r="BD192" s="66"/>
      <c r="BE192" s="65"/>
      <c r="BF192" s="65"/>
      <c r="BG192" s="65"/>
      <c r="BH192" s="65"/>
      <c r="BI192" s="65"/>
      <c r="BJ192" s="66"/>
      <c r="BK192" s="66"/>
      <c r="BL192" s="65"/>
      <c r="BM192" s="214"/>
      <c r="BN192" s="214"/>
      <c r="BO192" s="238"/>
      <c r="BP192" s="238"/>
      <c r="BQ192" s="238"/>
      <c r="BR192" s="238"/>
      <c r="BS192" s="238"/>
      <c r="BT192" s="238"/>
      <c r="BV192" s="295"/>
      <c r="BW192" s="300"/>
      <c r="BY192" s="251"/>
      <c r="BZ192" s="252"/>
      <c r="CA192" s="253"/>
      <c r="CB192" s="254"/>
      <c r="CC192" s="254"/>
      <c r="CD192" s="254"/>
      <c r="CE192" s="18"/>
      <c r="CF192" s="10"/>
      <c r="CG192" s="34"/>
      <c r="CH192" s="271"/>
      <c r="CI192" s="267"/>
      <c r="CJ192" s="271"/>
      <c r="CK192" s="267"/>
      <c r="CL192" s="271"/>
    </row>
    <row r="193" spans="1:91" x14ac:dyDescent="0.25">
      <c r="A193" s="32"/>
      <c r="B193" s="93" t="s">
        <v>108</v>
      </c>
      <c r="C193" s="81" t="s">
        <v>106</v>
      </c>
      <c r="D193" s="95" t="s">
        <v>87</v>
      </c>
      <c r="E193" s="219" t="s">
        <v>18</v>
      </c>
      <c r="BD193" s="66"/>
      <c r="BE193" s="65">
        <v>4</v>
      </c>
      <c r="BF193" s="65">
        <v>4</v>
      </c>
      <c r="BG193" s="65">
        <v>4</v>
      </c>
      <c r="BH193" s="65">
        <v>4</v>
      </c>
      <c r="BI193" s="65">
        <v>4</v>
      </c>
      <c r="BJ193" s="65">
        <v>4</v>
      </c>
      <c r="BK193" s="65">
        <v>4</v>
      </c>
      <c r="BL193" s="65">
        <v>4</v>
      </c>
      <c r="BM193" s="214"/>
      <c r="BN193" s="231"/>
      <c r="BO193" s="175">
        <f>SUM(AK193:BN193)</f>
        <v>32</v>
      </c>
      <c r="BP193" s="22">
        <f>21*1.25</f>
        <v>26.25</v>
      </c>
      <c r="BQ193" s="217">
        <v>0.3</v>
      </c>
      <c r="BR193" s="22">
        <f>BP193*(1-BQ193)</f>
        <v>18.375</v>
      </c>
      <c r="BS193" s="22">
        <f>BR193*BO193</f>
        <v>588</v>
      </c>
      <c r="BT193" s="22">
        <f>BS193*0.8</f>
        <v>470.40000000000003</v>
      </c>
      <c r="BV193" s="296">
        <f>BT193/BT198</f>
        <v>0.19105796724720564</v>
      </c>
      <c r="BW193" s="301" t="s">
        <v>119</v>
      </c>
      <c r="BY193" s="255"/>
      <c r="BZ193" s="256"/>
      <c r="CA193" s="257"/>
      <c r="CB193" s="88">
        <v>74779</v>
      </c>
      <c r="CC193" s="258"/>
      <c r="CD193" s="258"/>
      <c r="CE193" s="21"/>
      <c r="CF193" s="10"/>
      <c r="CG193" s="38" t="str">
        <f>C193</f>
        <v>CLUBE FM</v>
      </c>
      <c r="CH193" s="272">
        <f>BR193*0.8</f>
        <v>14.700000000000001</v>
      </c>
      <c r="CI193" s="37">
        <f>SUM(AK193:BG193)</f>
        <v>12</v>
      </c>
      <c r="CJ193" s="92">
        <f>CH193*CI193</f>
        <v>176.4</v>
      </c>
      <c r="CK193" s="37">
        <f>SUM(BH193:BN193)</f>
        <v>20</v>
      </c>
      <c r="CL193" s="92">
        <f>CK193*CH193</f>
        <v>294</v>
      </c>
      <c r="CM193" s="101" t="b">
        <f>(CJ193+CL193)=BT193</f>
        <v>1</v>
      </c>
    </row>
    <row r="194" spans="1:91" x14ac:dyDescent="0.25">
      <c r="A194" s="32"/>
      <c r="B194" s="111"/>
      <c r="C194" s="81"/>
      <c r="D194" s="95"/>
      <c r="E194" s="219"/>
      <c r="BD194" s="66"/>
      <c r="BE194" s="65"/>
      <c r="BF194" s="65"/>
      <c r="BG194" s="65"/>
      <c r="BH194" s="65"/>
      <c r="BI194" s="65"/>
      <c r="BJ194" s="66"/>
      <c r="BK194" s="66"/>
      <c r="BL194" s="65"/>
      <c r="BM194" s="214"/>
      <c r="BN194" s="214"/>
      <c r="BO194" s="239"/>
      <c r="BP194" s="239"/>
      <c r="BQ194" s="239"/>
      <c r="BR194" s="239"/>
      <c r="BS194" s="239"/>
      <c r="BT194" s="239"/>
      <c r="BV194" s="297"/>
      <c r="BW194" s="302"/>
      <c r="BY194" s="259"/>
      <c r="BZ194" s="260"/>
      <c r="CA194" s="263"/>
      <c r="CB194" s="261"/>
      <c r="CC194" s="261"/>
      <c r="CD194" s="261"/>
      <c r="CE194" s="114"/>
      <c r="CF194" s="10"/>
      <c r="CG194" s="268"/>
      <c r="CH194" s="273"/>
      <c r="CI194" s="269"/>
      <c r="CJ194" s="273"/>
      <c r="CK194" s="269"/>
      <c r="CL194" s="273"/>
    </row>
    <row r="195" spans="1:91" x14ac:dyDescent="0.25">
      <c r="A195" s="32"/>
      <c r="B195" s="111"/>
      <c r="C195" s="81"/>
      <c r="D195" s="95"/>
      <c r="E195" s="219"/>
      <c r="BD195" s="66"/>
      <c r="BE195" s="65"/>
      <c r="BF195" s="65"/>
      <c r="BG195" s="65"/>
      <c r="BH195" s="65"/>
      <c r="BI195" s="65"/>
      <c r="BJ195" s="66"/>
      <c r="BK195" s="66"/>
      <c r="BL195" s="65"/>
      <c r="BM195" s="214"/>
      <c r="BN195" s="214"/>
      <c r="BO195" s="240"/>
      <c r="BP195" s="240"/>
      <c r="BQ195" s="240"/>
      <c r="BR195" s="240"/>
      <c r="BS195" s="240"/>
      <c r="BT195" s="240"/>
      <c r="BV195" s="296"/>
      <c r="BW195" s="301"/>
      <c r="BY195" s="255"/>
      <c r="BZ195" s="256"/>
      <c r="CA195" s="257"/>
      <c r="CB195" s="258"/>
      <c r="CC195" s="258"/>
      <c r="CD195" s="258"/>
      <c r="CE195" s="21"/>
      <c r="CF195" s="10"/>
      <c r="CG195" s="38"/>
      <c r="CH195" s="272"/>
      <c r="CJ195" s="272"/>
      <c r="CL195" s="272"/>
    </row>
    <row r="196" spans="1:91" x14ac:dyDescent="0.25">
      <c r="A196" s="32"/>
      <c r="B196" s="111"/>
      <c r="C196" s="81" t="s">
        <v>109</v>
      </c>
      <c r="D196" s="95" t="s">
        <v>87</v>
      </c>
      <c r="E196" s="219" t="s">
        <v>18</v>
      </c>
      <c r="BD196" s="66"/>
      <c r="BE196" s="65">
        <v>4</v>
      </c>
      <c r="BF196" s="65">
        <v>4</v>
      </c>
      <c r="BG196" s="65">
        <v>4</v>
      </c>
      <c r="BH196" s="65">
        <v>4</v>
      </c>
      <c r="BI196" s="65">
        <v>4</v>
      </c>
      <c r="BJ196" s="65">
        <v>4</v>
      </c>
      <c r="BK196" s="65">
        <v>4</v>
      </c>
      <c r="BL196" s="65">
        <v>4</v>
      </c>
      <c r="BM196" s="214"/>
      <c r="BN196" s="214"/>
      <c r="BO196" s="175">
        <f>SUM(AK196:BN196)</f>
        <v>32</v>
      </c>
      <c r="BP196" s="22">
        <v>121.5625</v>
      </c>
      <c r="BQ196" s="217">
        <v>0.36</v>
      </c>
      <c r="BR196" s="22">
        <f>BP196*(1-BQ196)</f>
        <v>77.8</v>
      </c>
      <c r="BS196" s="22">
        <f>BR196*BO196</f>
        <v>2489.6</v>
      </c>
      <c r="BT196" s="22">
        <f>BS196*0.8</f>
        <v>1991.68</v>
      </c>
      <c r="BV196" s="296">
        <f>BT196/BT198</f>
        <v>0.80894203275279442</v>
      </c>
      <c r="BW196" s="301" t="s">
        <v>119</v>
      </c>
      <c r="BY196" s="255"/>
      <c r="BZ196" s="256"/>
      <c r="CA196" s="257"/>
      <c r="CB196" s="88">
        <v>74779</v>
      </c>
      <c r="CC196" s="258"/>
      <c r="CD196" s="258"/>
      <c r="CE196" s="21"/>
      <c r="CF196" s="10"/>
      <c r="CG196" s="38" t="str">
        <f>C196</f>
        <v>RÁDIO AMIGA FM</v>
      </c>
      <c r="CH196" s="272">
        <f>BR196*0.8</f>
        <v>62.24</v>
      </c>
      <c r="CI196" s="37">
        <f>SUM(AK196:BG196)</f>
        <v>12</v>
      </c>
      <c r="CJ196" s="92">
        <f>CH196*CI196</f>
        <v>746.88</v>
      </c>
      <c r="CK196" s="37">
        <f>SUM(BH196:BN196)</f>
        <v>20</v>
      </c>
      <c r="CL196" s="92">
        <f>CK196*CH196</f>
        <v>1244.8</v>
      </c>
      <c r="CM196" s="101" t="b">
        <f>(CJ196+CL196)=BT196</f>
        <v>1</v>
      </c>
    </row>
    <row r="197" spans="1:91" x14ac:dyDescent="0.25">
      <c r="A197" s="32"/>
      <c r="B197" s="111"/>
      <c r="C197" s="95"/>
      <c r="D197" s="95"/>
      <c r="E197" s="219"/>
      <c r="BD197" s="66"/>
      <c r="BE197" s="65"/>
      <c r="BF197" s="65"/>
      <c r="BG197" s="65"/>
      <c r="BH197" s="65"/>
      <c r="BI197" s="65"/>
      <c r="BJ197" s="66"/>
      <c r="BK197" s="66"/>
      <c r="BL197" s="65"/>
      <c r="BM197" s="214"/>
      <c r="BN197" s="214"/>
      <c r="BO197" s="239"/>
      <c r="BP197" s="239"/>
      <c r="BQ197" s="239"/>
      <c r="BR197" s="239"/>
      <c r="BS197" s="239"/>
      <c r="BT197" s="239"/>
      <c r="BV197" s="297"/>
      <c r="BW197" s="302"/>
      <c r="BY197" s="259"/>
      <c r="BZ197" s="260"/>
      <c r="CA197" s="263"/>
      <c r="CB197" s="261"/>
      <c r="CC197" s="261"/>
      <c r="CD197" s="261"/>
      <c r="CE197" s="114"/>
      <c r="CF197" s="10"/>
      <c r="CG197" s="268"/>
      <c r="CH197" s="273"/>
      <c r="CI197" s="269"/>
      <c r="CJ197" s="273"/>
      <c r="CK197" s="269"/>
      <c r="CL197" s="273"/>
    </row>
    <row r="198" spans="1:91" x14ac:dyDescent="0.25">
      <c r="A198" s="32"/>
      <c r="B198" s="25" t="s">
        <v>118</v>
      </c>
      <c r="C198" s="139"/>
      <c r="D198" s="139"/>
      <c r="E198" s="139"/>
      <c r="F198" s="40">
        <f t="shared" ref="F198:AK198" si="31">SUM(F153:F197)</f>
        <v>2</v>
      </c>
      <c r="G198" s="40">
        <f t="shared" si="31"/>
        <v>4</v>
      </c>
      <c r="H198" s="40">
        <f t="shared" si="31"/>
        <v>6</v>
      </c>
      <c r="I198" s="40">
        <f t="shared" si="31"/>
        <v>8</v>
      </c>
      <c r="J198" s="40">
        <f t="shared" si="31"/>
        <v>10</v>
      </c>
      <c r="K198" s="40">
        <f t="shared" si="31"/>
        <v>12</v>
      </c>
      <c r="L198" s="40">
        <f t="shared" si="31"/>
        <v>14</v>
      </c>
      <c r="M198" s="40">
        <f t="shared" si="31"/>
        <v>16</v>
      </c>
      <c r="N198" s="40">
        <f t="shared" si="31"/>
        <v>18</v>
      </c>
      <c r="O198" s="40">
        <f t="shared" si="31"/>
        <v>20</v>
      </c>
      <c r="P198" s="40">
        <f t="shared" si="31"/>
        <v>22</v>
      </c>
      <c r="Q198" s="40">
        <f t="shared" si="31"/>
        <v>24</v>
      </c>
      <c r="R198" s="40">
        <f t="shared" si="31"/>
        <v>26</v>
      </c>
      <c r="S198" s="40">
        <f t="shared" si="31"/>
        <v>28</v>
      </c>
      <c r="T198" s="40">
        <f t="shared" si="31"/>
        <v>30</v>
      </c>
      <c r="U198" s="40">
        <f t="shared" si="31"/>
        <v>32</v>
      </c>
      <c r="V198" s="40">
        <f t="shared" si="31"/>
        <v>34</v>
      </c>
      <c r="W198" s="40">
        <f t="shared" si="31"/>
        <v>36</v>
      </c>
      <c r="X198" s="40">
        <f t="shared" si="31"/>
        <v>38</v>
      </c>
      <c r="Y198" s="40">
        <f t="shared" si="31"/>
        <v>40</v>
      </c>
      <c r="Z198" s="40">
        <f t="shared" si="31"/>
        <v>42</v>
      </c>
      <c r="AA198" s="40">
        <f t="shared" si="31"/>
        <v>44</v>
      </c>
      <c r="AB198" s="40">
        <f t="shared" si="31"/>
        <v>46</v>
      </c>
      <c r="AC198" s="40">
        <f t="shared" si="31"/>
        <v>48</v>
      </c>
      <c r="AD198" s="40">
        <f t="shared" si="31"/>
        <v>50</v>
      </c>
      <c r="AE198" s="40">
        <f t="shared" si="31"/>
        <v>52</v>
      </c>
      <c r="AF198" s="40">
        <f t="shared" si="31"/>
        <v>54</v>
      </c>
      <c r="AG198" s="40">
        <f t="shared" si="31"/>
        <v>56</v>
      </c>
      <c r="AH198" s="40">
        <f t="shared" si="31"/>
        <v>58</v>
      </c>
      <c r="AI198" s="40">
        <f t="shared" si="31"/>
        <v>60</v>
      </c>
      <c r="AJ198" s="40">
        <f t="shared" si="31"/>
        <v>62</v>
      </c>
      <c r="AK198" s="40">
        <f t="shared" si="31"/>
        <v>2</v>
      </c>
      <c r="AL198" s="40">
        <f t="shared" ref="AL198:BC198" si="32">SUM(AL153:AL197)</f>
        <v>4</v>
      </c>
      <c r="AM198" s="40">
        <f t="shared" si="32"/>
        <v>6</v>
      </c>
      <c r="AN198" s="40">
        <f t="shared" si="32"/>
        <v>8</v>
      </c>
      <c r="AO198" s="40">
        <f t="shared" si="32"/>
        <v>10</v>
      </c>
      <c r="AP198" s="40">
        <f t="shared" si="32"/>
        <v>12</v>
      </c>
      <c r="AQ198" s="40">
        <f t="shared" si="32"/>
        <v>14</v>
      </c>
      <c r="AR198" s="40">
        <f t="shared" si="32"/>
        <v>16</v>
      </c>
      <c r="AS198" s="40">
        <f t="shared" si="32"/>
        <v>18</v>
      </c>
      <c r="AT198" s="40">
        <f t="shared" si="32"/>
        <v>20</v>
      </c>
      <c r="AU198" s="40">
        <f t="shared" si="32"/>
        <v>22</v>
      </c>
      <c r="AV198" s="40">
        <f t="shared" si="32"/>
        <v>24</v>
      </c>
      <c r="AW198" s="40">
        <f t="shared" si="32"/>
        <v>26</v>
      </c>
      <c r="AX198" s="40">
        <f t="shared" si="32"/>
        <v>28</v>
      </c>
      <c r="AY198" s="40">
        <f t="shared" si="32"/>
        <v>30</v>
      </c>
      <c r="AZ198" s="40">
        <f t="shared" si="32"/>
        <v>32</v>
      </c>
      <c r="BA198" s="40">
        <f t="shared" si="32"/>
        <v>34</v>
      </c>
      <c r="BB198" s="40">
        <f t="shared" si="32"/>
        <v>36</v>
      </c>
      <c r="BC198" s="40">
        <f t="shared" si="32"/>
        <v>38</v>
      </c>
      <c r="BD198" s="40">
        <f>SUM(BD192:BD197)</f>
        <v>0</v>
      </c>
      <c r="BE198" s="40">
        <f t="shared" ref="BE198:BT198" si="33">SUM(BE192:BE197)</f>
        <v>8</v>
      </c>
      <c r="BF198" s="40">
        <f t="shared" si="33"/>
        <v>8</v>
      </c>
      <c r="BG198" s="40">
        <f t="shared" si="33"/>
        <v>8</v>
      </c>
      <c r="BH198" s="40">
        <f t="shared" si="33"/>
        <v>8</v>
      </c>
      <c r="BI198" s="40">
        <f t="shared" si="33"/>
        <v>8</v>
      </c>
      <c r="BJ198" s="40">
        <f t="shared" si="33"/>
        <v>8</v>
      </c>
      <c r="BK198" s="40">
        <f t="shared" si="33"/>
        <v>8</v>
      </c>
      <c r="BL198" s="40">
        <f t="shared" si="33"/>
        <v>8</v>
      </c>
      <c r="BM198" s="40">
        <f t="shared" si="33"/>
        <v>0</v>
      </c>
      <c r="BN198" s="40">
        <f t="shared" si="33"/>
        <v>0</v>
      </c>
      <c r="BO198" s="264">
        <f t="shared" si="33"/>
        <v>64</v>
      </c>
      <c r="BP198" s="265">
        <f t="shared" si="33"/>
        <v>147.8125</v>
      </c>
      <c r="BQ198" s="265">
        <f t="shared" si="33"/>
        <v>0.65999999999999992</v>
      </c>
      <c r="BR198" s="265">
        <f t="shared" si="33"/>
        <v>96.174999999999997</v>
      </c>
      <c r="BS198" s="265">
        <f t="shared" si="33"/>
        <v>3077.6</v>
      </c>
      <c r="BT198" s="265">
        <f t="shared" si="33"/>
        <v>2462.08</v>
      </c>
      <c r="BU198" s="43"/>
      <c r="BV198" s="250">
        <f>SUM(BV192:BV197)</f>
        <v>1</v>
      </c>
      <c r="BW198" s="303"/>
      <c r="BX198" s="43"/>
      <c r="BY198" s="305"/>
      <c r="BZ198" s="244"/>
      <c r="CA198" s="245"/>
      <c r="CB198" s="246">
        <f>CB193</f>
        <v>74779</v>
      </c>
      <c r="CC198" s="246">
        <f t="shared" ref="CC198:CE198" si="34">SUM(CC192:CC197)</f>
        <v>0</v>
      </c>
      <c r="CD198" s="247">
        <f t="shared" si="34"/>
        <v>0</v>
      </c>
      <c r="CE198" s="249">
        <f t="shared" si="34"/>
        <v>0</v>
      </c>
      <c r="CF198" s="10"/>
      <c r="CG198" s="247">
        <f t="shared" ref="CG198:CL198" si="35">SUM(CG192:CG197)</f>
        <v>0</v>
      </c>
      <c r="CH198" s="274">
        <f t="shared" si="35"/>
        <v>76.94</v>
      </c>
      <c r="CI198" s="266">
        <f t="shared" si="35"/>
        <v>24</v>
      </c>
      <c r="CJ198" s="274">
        <f t="shared" si="35"/>
        <v>923.28</v>
      </c>
      <c r="CK198" s="266">
        <f t="shared" si="35"/>
        <v>40</v>
      </c>
      <c r="CL198" s="274">
        <f t="shared" si="35"/>
        <v>1538.8</v>
      </c>
      <c r="CM198" s="101" t="b">
        <f>(CJ198+CL198)=BT198</f>
        <v>1</v>
      </c>
    </row>
    <row r="199" spans="1:91" x14ac:dyDescent="0.25">
      <c r="A199" s="32"/>
      <c r="B199" s="183"/>
      <c r="C199" s="184"/>
      <c r="D199" s="185"/>
      <c r="E199" s="218"/>
      <c r="BD199" s="66"/>
      <c r="BE199" s="65"/>
      <c r="BF199" s="65"/>
      <c r="BG199" s="65"/>
      <c r="BH199" s="65"/>
      <c r="BI199" s="65"/>
      <c r="BJ199" s="66"/>
      <c r="BK199" s="66"/>
      <c r="BL199" s="65"/>
      <c r="BM199" s="214"/>
      <c r="BN199" s="214"/>
      <c r="BO199" s="238"/>
      <c r="BP199" s="238"/>
      <c r="BQ199" s="238"/>
      <c r="BR199" s="238"/>
      <c r="BS199" s="238"/>
      <c r="BT199" s="238"/>
      <c r="BV199" s="295"/>
      <c r="BW199" s="300"/>
      <c r="BY199" s="251"/>
      <c r="BZ199" s="252"/>
      <c r="CA199" s="253"/>
      <c r="CB199" s="254"/>
      <c r="CC199" s="254"/>
      <c r="CD199" s="254"/>
      <c r="CE199" s="18"/>
      <c r="CF199" s="10"/>
      <c r="CG199" s="34"/>
      <c r="CH199" s="271"/>
      <c r="CI199" s="267"/>
      <c r="CJ199" s="271"/>
      <c r="CK199" s="267"/>
      <c r="CL199" s="271"/>
    </row>
    <row r="200" spans="1:91" x14ac:dyDescent="0.25">
      <c r="A200" s="32"/>
      <c r="B200" s="93" t="s">
        <v>111</v>
      </c>
      <c r="C200" s="81" t="s">
        <v>112</v>
      </c>
      <c r="D200" s="95" t="s">
        <v>87</v>
      </c>
      <c r="E200" s="219" t="s">
        <v>18</v>
      </c>
      <c r="BD200" s="66"/>
      <c r="BE200" s="65">
        <v>4</v>
      </c>
      <c r="BF200" s="65">
        <v>4</v>
      </c>
      <c r="BG200" s="65">
        <v>4</v>
      </c>
      <c r="BH200" s="65">
        <v>4</v>
      </c>
      <c r="BI200" s="65">
        <v>4</v>
      </c>
      <c r="BJ200" s="65">
        <v>4</v>
      </c>
      <c r="BK200" s="65">
        <v>4</v>
      </c>
      <c r="BL200" s="65">
        <v>4</v>
      </c>
      <c r="BM200" s="214"/>
      <c r="BN200" s="231"/>
      <c r="BO200" s="175">
        <f>SUM(AK200:BN200)</f>
        <v>32</v>
      </c>
      <c r="BP200" s="22">
        <v>121</v>
      </c>
      <c r="BQ200" s="217">
        <v>0.5</v>
      </c>
      <c r="BR200" s="22">
        <f>BP200*(1-BQ200)</f>
        <v>60.5</v>
      </c>
      <c r="BS200" s="22">
        <f>BR200*BO200</f>
        <v>1936</v>
      </c>
      <c r="BT200" s="22">
        <f>BS200*0.8</f>
        <v>1548.8000000000002</v>
      </c>
      <c r="BV200" s="296">
        <f>BT200/BT208</f>
        <v>0.14953040039545229</v>
      </c>
      <c r="BW200" s="301" t="s">
        <v>120</v>
      </c>
      <c r="BY200" s="255"/>
      <c r="BZ200" s="256"/>
      <c r="CA200" s="257"/>
      <c r="CB200" s="88">
        <v>225668</v>
      </c>
      <c r="CC200" s="258"/>
      <c r="CD200" s="258"/>
      <c r="CE200" s="21"/>
      <c r="CF200" s="10"/>
      <c r="CG200" s="38" t="str">
        <f>C200</f>
        <v>FRONTEIRA FM</v>
      </c>
      <c r="CH200" s="272">
        <f>BR200*0.8</f>
        <v>48.400000000000006</v>
      </c>
      <c r="CI200" s="37">
        <f>SUM(AK200:BG200)</f>
        <v>12</v>
      </c>
      <c r="CJ200" s="92">
        <f>CH200*CI200</f>
        <v>580.80000000000007</v>
      </c>
      <c r="CK200" s="37">
        <f>SUM(BH200:BN200)</f>
        <v>20</v>
      </c>
      <c r="CL200" s="92">
        <f>CK200*CH200</f>
        <v>968.00000000000011</v>
      </c>
      <c r="CM200" s="101" t="b">
        <f>(CJ200+CL200)=BT200</f>
        <v>1</v>
      </c>
    </row>
    <row r="201" spans="1:91" x14ac:dyDescent="0.25">
      <c r="A201" s="32"/>
      <c r="B201" s="111"/>
      <c r="C201" s="81"/>
      <c r="D201" s="95"/>
      <c r="E201" s="219"/>
      <c r="BD201" s="66"/>
      <c r="BE201" s="65"/>
      <c r="BF201" s="65"/>
      <c r="BG201" s="65"/>
      <c r="BH201" s="65"/>
      <c r="BI201" s="65"/>
      <c r="BJ201" s="66"/>
      <c r="BK201" s="66"/>
      <c r="BL201" s="65"/>
      <c r="BM201" s="214"/>
      <c r="BN201" s="214"/>
      <c r="BO201" s="239"/>
      <c r="BP201" s="239"/>
      <c r="BQ201" s="239"/>
      <c r="BR201" s="239"/>
      <c r="BS201" s="239"/>
      <c r="BT201" s="239"/>
      <c r="BV201" s="296"/>
      <c r="BW201" s="301"/>
      <c r="BY201" s="255"/>
      <c r="BZ201" s="256"/>
      <c r="CA201" s="257"/>
      <c r="CB201" s="258"/>
      <c r="CC201" s="258"/>
      <c r="CD201" s="258"/>
      <c r="CE201" s="21"/>
      <c r="CF201" s="10"/>
      <c r="CG201" s="38"/>
      <c r="CH201" s="272"/>
      <c r="CJ201" s="272"/>
      <c r="CL201" s="272"/>
    </row>
    <row r="202" spans="1:91" x14ac:dyDescent="0.25">
      <c r="A202" s="32"/>
      <c r="B202" s="111"/>
      <c r="C202" s="81"/>
      <c r="D202" s="95"/>
      <c r="E202" s="219"/>
      <c r="BD202" s="66"/>
      <c r="BE202" s="65"/>
      <c r="BF202" s="65"/>
      <c r="BG202" s="65"/>
      <c r="BH202" s="65"/>
      <c r="BI202" s="65"/>
      <c r="BJ202" s="66"/>
      <c r="BK202" s="66"/>
      <c r="BL202" s="65"/>
      <c r="BM202" s="214"/>
      <c r="BN202" s="214"/>
      <c r="BO202" s="238"/>
      <c r="BP202" s="238"/>
      <c r="BQ202" s="238"/>
      <c r="BR202" s="238"/>
      <c r="BS202" s="238"/>
      <c r="BT202" s="238"/>
      <c r="BV202" s="295"/>
      <c r="BW202" s="300"/>
      <c r="BY202" s="251"/>
      <c r="BZ202" s="252"/>
      <c r="CA202" s="253"/>
      <c r="CB202" s="254"/>
      <c r="CC202" s="254"/>
      <c r="CD202" s="254"/>
      <c r="CE202" s="18"/>
      <c r="CF202" s="10"/>
      <c r="CG202" s="34"/>
      <c r="CH202" s="271"/>
      <c r="CI202" s="267"/>
      <c r="CJ202" s="271"/>
      <c r="CK202" s="267"/>
      <c r="CL202" s="271"/>
    </row>
    <row r="203" spans="1:91" x14ac:dyDescent="0.25">
      <c r="A203" s="32"/>
      <c r="B203" s="111"/>
      <c r="C203" s="81" t="s">
        <v>113</v>
      </c>
      <c r="D203" s="95" t="s">
        <v>87</v>
      </c>
      <c r="E203" s="219" t="s">
        <v>18</v>
      </c>
      <c r="BD203" s="66"/>
      <c r="BE203" s="65">
        <v>4</v>
      </c>
      <c r="BF203" s="65">
        <v>4</v>
      </c>
      <c r="BG203" s="65">
        <v>4</v>
      </c>
      <c r="BH203" s="65">
        <v>4</v>
      </c>
      <c r="BI203" s="65">
        <v>4</v>
      </c>
      <c r="BJ203" s="65">
        <v>4</v>
      </c>
      <c r="BK203" s="65">
        <v>4</v>
      </c>
      <c r="BL203" s="65">
        <v>4</v>
      </c>
      <c r="BM203" s="214"/>
      <c r="BN203" s="214"/>
      <c r="BO203" s="175">
        <f>SUM(AK203:BN203)</f>
        <v>32</v>
      </c>
      <c r="BP203" s="22">
        <v>218.5</v>
      </c>
      <c r="BQ203" s="217">
        <v>0.5</v>
      </c>
      <c r="BR203" s="22">
        <f>BP203*(1-BQ203)</f>
        <v>109.25</v>
      </c>
      <c r="BS203" s="22">
        <f>BR203*BO203</f>
        <v>3496</v>
      </c>
      <c r="BT203" s="22">
        <f>BS203*0.8</f>
        <v>2796.8</v>
      </c>
      <c r="BV203" s="296">
        <f>BT203/BT208</f>
        <v>0.27001977261492827</v>
      </c>
      <c r="BW203" s="301" t="s">
        <v>119</v>
      </c>
      <c r="BY203" s="255"/>
      <c r="BZ203" s="256"/>
      <c r="CA203" s="257"/>
      <c r="CB203" s="88">
        <v>225668</v>
      </c>
      <c r="CC203" s="258"/>
      <c r="CD203" s="258"/>
      <c r="CE203" s="21"/>
      <c r="CF203" s="10"/>
      <c r="CG203" s="38" t="str">
        <f>C203</f>
        <v>RÁDIO 98,1</v>
      </c>
      <c r="CH203" s="272">
        <f>BR203*0.8</f>
        <v>87.4</v>
      </c>
      <c r="CI203" s="37">
        <f>SUM(AK203:BG203)</f>
        <v>12</v>
      </c>
      <c r="CJ203" s="92">
        <f>CH203*CI203</f>
        <v>1048.8000000000002</v>
      </c>
      <c r="CK203" s="37">
        <f>SUM(BH203:BN203)</f>
        <v>20</v>
      </c>
      <c r="CL203" s="92">
        <f>CK203*CH203</f>
        <v>1748</v>
      </c>
      <c r="CM203" s="101" t="b">
        <f>(CJ203+CL203)=BT203</f>
        <v>1</v>
      </c>
    </row>
    <row r="204" spans="1:91" x14ac:dyDescent="0.25">
      <c r="A204" s="32"/>
      <c r="B204" s="111"/>
      <c r="C204" s="81"/>
      <c r="D204" s="95"/>
      <c r="E204" s="219"/>
      <c r="BD204" s="66"/>
      <c r="BE204" s="65"/>
      <c r="BF204" s="65"/>
      <c r="BG204" s="65"/>
      <c r="BH204" s="65"/>
      <c r="BI204" s="65"/>
      <c r="BJ204" s="66"/>
      <c r="BK204" s="66"/>
      <c r="BL204" s="65"/>
      <c r="BM204" s="214"/>
      <c r="BN204" s="214"/>
      <c r="BO204" s="239"/>
      <c r="BP204" s="239"/>
      <c r="BQ204" s="239"/>
      <c r="BR204" s="239"/>
      <c r="BS204" s="239"/>
      <c r="BT204" s="239"/>
      <c r="BV204" s="297"/>
      <c r="BW204" s="302"/>
      <c r="BY204" s="259"/>
      <c r="BZ204" s="260"/>
      <c r="CA204" s="263"/>
      <c r="CB204" s="261"/>
      <c r="CC204" s="261"/>
      <c r="CD204" s="261"/>
      <c r="CE204" s="114"/>
      <c r="CF204" s="10"/>
      <c r="CG204" s="268"/>
      <c r="CH204" s="273"/>
      <c r="CI204" s="269"/>
      <c r="CJ204" s="273"/>
      <c r="CK204" s="269"/>
      <c r="CL204" s="273"/>
    </row>
    <row r="205" spans="1:91" s="152" customFormat="1" ht="16" customHeight="1" x14ac:dyDescent="0.4">
      <c r="A205" s="43"/>
      <c r="B205" s="111"/>
      <c r="C205" s="81"/>
      <c r="D205" s="95"/>
      <c r="E205" s="219"/>
      <c r="F205" s="40"/>
      <c r="G205" s="40"/>
      <c r="H205" s="40"/>
      <c r="I205" s="40"/>
      <c r="J205" s="40"/>
      <c r="K205" s="40"/>
      <c r="L205" s="40"/>
      <c r="M205" s="40"/>
      <c r="N205" s="40"/>
      <c r="O205" s="40"/>
      <c r="P205" s="40"/>
      <c r="Q205" s="40"/>
      <c r="R205" s="40"/>
      <c r="S205" s="40"/>
      <c r="T205" s="40"/>
      <c r="U205" s="40"/>
      <c r="V205" s="40"/>
      <c r="W205" s="40"/>
      <c r="X205" s="40"/>
      <c r="Y205" s="40"/>
      <c r="Z205" s="40"/>
      <c r="AA205" s="40"/>
      <c r="AB205" s="40"/>
      <c r="AC205" s="40"/>
      <c r="AD205" s="40"/>
      <c r="AE205" s="40"/>
      <c r="AF205" s="40"/>
      <c r="AG205" s="40"/>
      <c r="AH205" s="40"/>
      <c r="AI205" s="40"/>
      <c r="AJ205" s="40"/>
      <c r="AK205" s="40"/>
      <c r="AL205" s="40"/>
      <c r="AM205" s="40"/>
      <c r="AN205" s="40"/>
      <c r="AO205" s="40"/>
      <c r="AP205" s="40"/>
      <c r="AQ205" s="40"/>
      <c r="AR205" s="40"/>
      <c r="AS205" s="40"/>
      <c r="AT205" s="40"/>
      <c r="AU205" s="40"/>
      <c r="AV205" s="40"/>
      <c r="AW205" s="40"/>
      <c r="AX205" s="40"/>
      <c r="AY205" s="40"/>
      <c r="AZ205" s="40"/>
      <c r="BA205" s="40"/>
      <c r="BB205" s="40"/>
      <c r="BC205" s="40"/>
      <c r="BD205" s="66"/>
      <c r="BE205" s="65"/>
      <c r="BF205" s="65"/>
      <c r="BG205" s="65"/>
      <c r="BH205" s="65"/>
      <c r="BI205" s="65"/>
      <c r="BJ205" s="66"/>
      <c r="BK205" s="66"/>
      <c r="BL205" s="65"/>
      <c r="BM205" s="214"/>
      <c r="BN205" s="214"/>
      <c r="BO205" s="241"/>
      <c r="BP205" s="241"/>
      <c r="BQ205" s="241"/>
      <c r="BR205" s="241"/>
      <c r="BS205" s="241"/>
      <c r="BT205" s="241"/>
      <c r="BU205"/>
      <c r="BV205" s="298"/>
      <c r="BW205" s="304"/>
      <c r="BX205"/>
      <c r="BY205" s="241"/>
      <c r="BZ205" s="241"/>
      <c r="CA205" s="241"/>
      <c r="CB205" s="241"/>
      <c r="CC205" s="241"/>
      <c r="CD205" s="241"/>
      <c r="CE205" s="241"/>
      <c r="CF205"/>
      <c r="CG205" s="270"/>
      <c r="CH205" s="275"/>
      <c r="CI205"/>
      <c r="CJ205" s="275"/>
      <c r="CK205"/>
      <c r="CL205" s="275"/>
      <c r="CM205"/>
    </row>
    <row r="206" spans="1:91" ht="16" customHeight="1" x14ac:dyDescent="0.25">
      <c r="B206" s="111"/>
      <c r="C206" s="81" t="s">
        <v>114</v>
      </c>
      <c r="D206" s="95" t="s">
        <v>87</v>
      </c>
      <c r="E206" s="219" t="s">
        <v>18</v>
      </c>
      <c r="BD206" s="66"/>
      <c r="BE206" s="65">
        <v>4</v>
      </c>
      <c r="BF206" s="65">
        <v>4</v>
      </c>
      <c r="BG206" s="65">
        <v>4</v>
      </c>
      <c r="BH206" s="65">
        <v>4</v>
      </c>
      <c r="BI206" s="65">
        <v>4</v>
      </c>
      <c r="BJ206" s="65">
        <v>4</v>
      </c>
      <c r="BK206" s="65">
        <v>4</v>
      </c>
      <c r="BL206" s="65">
        <v>4</v>
      </c>
      <c r="BM206" s="214"/>
      <c r="BN206" s="214"/>
      <c r="BO206" s="175">
        <f>SUM(AK206:BN206)</f>
        <v>32</v>
      </c>
      <c r="BP206" s="22">
        <v>427</v>
      </c>
      <c r="BQ206" s="217">
        <v>0.45</v>
      </c>
      <c r="BR206" s="22">
        <f>BP206*(1-BQ206)</f>
        <v>234.85000000000002</v>
      </c>
      <c r="BS206" s="22">
        <f>BR206*BO206</f>
        <v>7515.2000000000007</v>
      </c>
      <c r="BT206" s="22">
        <f>BS206*0.8</f>
        <v>6012.1600000000008</v>
      </c>
      <c r="BV206" s="296">
        <f>BT206/BT208</f>
        <v>0.58044982698961933</v>
      </c>
      <c r="BW206" s="301" t="s">
        <v>120</v>
      </c>
      <c r="BY206" s="255"/>
      <c r="BZ206" s="256"/>
      <c r="CA206" s="257"/>
      <c r="CB206" s="88">
        <v>225668</v>
      </c>
      <c r="CC206" s="258"/>
      <c r="CD206" s="258"/>
      <c r="CE206" s="240"/>
      <c r="CG206" s="38" t="str">
        <f>C206</f>
        <v>101 FM</v>
      </c>
      <c r="CH206" s="272">
        <f>BR206*0.8</f>
        <v>187.88000000000002</v>
      </c>
      <c r="CI206" s="37">
        <f>SUM(AK206:BG206)</f>
        <v>12</v>
      </c>
      <c r="CJ206" s="92">
        <f>CH206*CI206</f>
        <v>2254.5600000000004</v>
      </c>
      <c r="CK206" s="37">
        <f>SUM(BH206:BN206)</f>
        <v>20</v>
      </c>
      <c r="CL206" s="92">
        <f>CK206*CH206</f>
        <v>3757.6000000000004</v>
      </c>
      <c r="CM206" s="101" t="b">
        <f>(CJ206+CL206)=BT206</f>
        <v>1</v>
      </c>
    </row>
    <row r="207" spans="1:91" x14ac:dyDescent="0.25">
      <c r="B207" s="111"/>
      <c r="C207" s="95"/>
      <c r="D207" s="95"/>
      <c r="E207" s="219"/>
      <c r="BD207" s="66"/>
      <c r="BE207" s="65"/>
      <c r="BF207" s="65"/>
      <c r="BG207" s="65"/>
      <c r="BH207" s="65"/>
      <c r="BI207" s="65"/>
      <c r="BJ207" s="66"/>
      <c r="BK207" s="66"/>
      <c r="BL207" s="65"/>
      <c r="BM207" s="214"/>
      <c r="BN207" s="214"/>
      <c r="BO207" s="239"/>
      <c r="BP207" s="239"/>
      <c r="BQ207" s="239"/>
      <c r="BR207" s="239"/>
      <c r="BS207" s="239"/>
      <c r="BT207" s="242"/>
      <c r="BV207" s="297"/>
      <c r="BW207" s="302"/>
      <c r="BY207" s="259"/>
      <c r="BZ207" s="260"/>
      <c r="CA207" s="261"/>
      <c r="CB207" s="261"/>
      <c r="CC207" s="239"/>
      <c r="CD207" s="239"/>
      <c r="CE207" s="262"/>
      <c r="CF207" s="243"/>
      <c r="CG207" s="268"/>
      <c r="CH207" s="273"/>
      <c r="CI207" s="269"/>
      <c r="CJ207" s="273"/>
      <c r="CK207" s="269"/>
      <c r="CL207" s="273"/>
    </row>
    <row r="208" spans="1:91" x14ac:dyDescent="0.25">
      <c r="B208" s="25" t="s">
        <v>115</v>
      </c>
      <c r="C208" s="139"/>
      <c r="D208" s="139"/>
      <c r="E208" s="220"/>
      <c r="BD208" s="40">
        <f>SUM(BD199:BD207)</f>
        <v>0</v>
      </c>
      <c r="BE208" s="40">
        <f t="shared" ref="BE208:BT208" si="36">SUM(BE199:BE207)</f>
        <v>12</v>
      </c>
      <c r="BF208" s="40">
        <f t="shared" si="36"/>
        <v>12</v>
      </c>
      <c r="BG208" s="40">
        <f t="shared" si="36"/>
        <v>12</v>
      </c>
      <c r="BH208" s="40">
        <f t="shared" si="36"/>
        <v>12</v>
      </c>
      <c r="BI208" s="40">
        <f t="shared" si="36"/>
        <v>12</v>
      </c>
      <c r="BJ208" s="40">
        <f t="shared" si="36"/>
        <v>12</v>
      </c>
      <c r="BK208" s="40">
        <f t="shared" si="36"/>
        <v>12</v>
      </c>
      <c r="BL208" s="40">
        <f t="shared" si="36"/>
        <v>12</v>
      </c>
      <c r="BM208" s="40">
        <f t="shared" si="36"/>
        <v>0</v>
      </c>
      <c r="BN208" s="40">
        <f t="shared" si="36"/>
        <v>0</v>
      </c>
      <c r="BO208" s="181">
        <f t="shared" si="36"/>
        <v>96</v>
      </c>
      <c r="BP208" s="141">
        <f t="shared" si="36"/>
        <v>766.5</v>
      </c>
      <c r="BQ208" s="141">
        <f t="shared" si="36"/>
        <v>1.45</v>
      </c>
      <c r="BR208" s="141">
        <f t="shared" si="36"/>
        <v>404.6</v>
      </c>
      <c r="BS208" s="141">
        <f t="shared" si="36"/>
        <v>12947.2</v>
      </c>
      <c r="BT208" s="141">
        <f t="shared" si="36"/>
        <v>10357.760000000002</v>
      </c>
      <c r="BV208" s="299">
        <f t="shared" ref="BV208:BW208" si="37">SUM(BV199:BV207)</f>
        <v>0.99999999999999989</v>
      </c>
      <c r="BW208" s="299">
        <f t="shared" si="37"/>
        <v>0</v>
      </c>
      <c r="BX208" s="43"/>
      <c r="BY208" s="305"/>
      <c r="BZ208" s="144"/>
      <c r="CA208" s="145"/>
      <c r="CB208" s="146">
        <f>CB206</f>
        <v>225668</v>
      </c>
      <c r="CC208" s="146">
        <f t="shared" ref="CC208" si="38">SUM(CC199:CC207)</f>
        <v>0</v>
      </c>
      <c r="CD208" s="148">
        <f t="shared" ref="CD208" si="39">SUM(CD199:CD207)</f>
        <v>0</v>
      </c>
      <c r="CE208" s="248">
        <f t="shared" ref="CE208" si="40">SUM(CE199:CE207)</f>
        <v>0</v>
      </c>
      <c r="CF208" s="10"/>
      <c r="CG208" s="148">
        <f t="shared" ref="CG208" si="41">SUM(CG199:CG207)</f>
        <v>0</v>
      </c>
      <c r="CH208" s="150">
        <f t="shared" ref="CH208" si="42">SUM(CH199:CH207)</f>
        <v>323.68000000000006</v>
      </c>
      <c r="CI208" s="182">
        <f t="shared" ref="CI208" si="43">SUM(CI199:CI207)</f>
        <v>36</v>
      </c>
      <c r="CJ208" s="276">
        <f t="shared" ref="CJ208" si="44">SUM(CJ199:CJ207)</f>
        <v>3884.1600000000008</v>
      </c>
      <c r="CK208" s="182">
        <f t="shared" ref="CK208" si="45">SUM(CK199:CK207)</f>
        <v>60</v>
      </c>
      <c r="CL208" s="276">
        <f t="shared" ref="CL208" si="46">SUM(CL199:CL207)</f>
        <v>6473.6</v>
      </c>
      <c r="CM208" s="101" t="b">
        <f>(CJ208+CL208)=BT208</f>
        <v>1</v>
      </c>
    </row>
    <row r="209" spans="1:91" x14ac:dyDescent="0.25">
      <c r="BS209" s="212"/>
      <c r="BT209" s="212"/>
      <c r="BV209" s="212"/>
      <c r="BW209" s="212"/>
      <c r="BZ209" s="213"/>
      <c r="CD209" s="211"/>
    </row>
    <row r="210" spans="1:91" s="294" customFormat="1" ht="11.5" x14ac:dyDescent="0.25">
      <c r="A210" s="277"/>
      <c r="B210" s="278" t="s">
        <v>116</v>
      </c>
      <c r="C210" s="279"/>
      <c r="D210" s="279"/>
      <c r="E210" s="279"/>
      <c r="F210" s="280">
        <f t="shared" ref="F210:BC210" si="47">SUM(F163:F209)</f>
        <v>4</v>
      </c>
      <c r="G210" s="280">
        <f t="shared" si="47"/>
        <v>8</v>
      </c>
      <c r="H210" s="280">
        <f t="shared" si="47"/>
        <v>12</v>
      </c>
      <c r="I210" s="280">
        <f t="shared" si="47"/>
        <v>16</v>
      </c>
      <c r="J210" s="280">
        <f t="shared" si="47"/>
        <v>20</v>
      </c>
      <c r="K210" s="280">
        <f t="shared" si="47"/>
        <v>24</v>
      </c>
      <c r="L210" s="280">
        <f t="shared" si="47"/>
        <v>28</v>
      </c>
      <c r="M210" s="280">
        <f t="shared" si="47"/>
        <v>32</v>
      </c>
      <c r="N210" s="280">
        <f t="shared" si="47"/>
        <v>36</v>
      </c>
      <c r="O210" s="280">
        <f t="shared" si="47"/>
        <v>40</v>
      </c>
      <c r="P210" s="280">
        <f t="shared" si="47"/>
        <v>44</v>
      </c>
      <c r="Q210" s="280">
        <f t="shared" si="47"/>
        <v>48</v>
      </c>
      <c r="R210" s="280">
        <f t="shared" si="47"/>
        <v>52</v>
      </c>
      <c r="S210" s="280">
        <f t="shared" si="47"/>
        <v>56</v>
      </c>
      <c r="T210" s="280">
        <f t="shared" si="47"/>
        <v>60</v>
      </c>
      <c r="U210" s="280">
        <f t="shared" si="47"/>
        <v>64</v>
      </c>
      <c r="V210" s="280">
        <f t="shared" si="47"/>
        <v>68</v>
      </c>
      <c r="W210" s="280">
        <f t="shared" si="47"/>
        <v>72</v>
      </c>
      <c r="X210" s="280">
        <f t="shared" si="47"/>
        <v>76</v>
      </c>
      <c r="Y210" s="280">
        <f t="shared" si="47"/>
        <v>80</v>
      </c>
      <c r="Z210" s="280">
        <f t="shared" si="47"/>
        <v>84</v>
      </c>
      <c r="AA210" s="280">
        <f t="shared" si="47"/>
        <v>88</v>
      </c>
      <c r="AB210" s="280">
        <f t="shared" si="47"/>
        <v>92</v>
      </c>
      <c r="AC210" s="280">
        <f t="shared" si="47"/>
        <v>96</v>
      </c>
      <c r="AD210" s="280">
        <f t="shared" si="47"/>
        <v>100</v>
      </c>
      <c r="AE210" s="280">
        <f t="shared" si="47"/>
        <v>104</v>
      </c>
      <c r="AF210" s="280">
        <f t="shared" si="47"/>
        <v>108</v>
      </c>
      <c r="AG210" s="280">
        <f t="shared" si="47"/>
        <v>112</v>
      </c>
      <c r="AH210" s="280">
        <f t="shared" si="47"/>
        <v>116</v>
      </c>
      <c r="AI210" s="280">
        <f t="shared" si="47"/>
        <v>120</v>
      </c>
      <c r="AJ210" s="280">
        <f t="shared" si="47"/>
        <v>124</v>
      </c>
      <c r="AK210" s="280">
        <f t="shared" si="47"/>
        <v>4</v>
      </c>
      <c r="AL210" s="280">
        <f t="shared" si="47"/>
        <v>8</v>
      </c>
      <c r="AM210" s="280">
        <f t="shared" si="47"/>
        <v>12</v>
      </c>
      <c r="AN210" s="280">
        <f t="shared" si="47"/>
        <v>16</v>
      </c>
      <c r="AO210" s="280">
        <f t="shared" si="47"/>
        <v>20</v>
      </c>
      <c r="AP210" s="280">
        <f t="shared" si="47"/>
        <v>24</v>
      </c>
      <c r="AQ210" s="280">
        <f t="shared" si="47"/>
        <v>28</v>
      </c>
      <c r="AR210" s="280">
        <f t="shared" si="47"/>
        <v>32</v>
      </c>
      <c r="AS210" s="280">
        <f t="shared" si="47"/>
        <v>36</v>
      </c>
      <c r="AT210" s="280">
        <f t="shared" si="47"/>
        <v>40</v>
      </c>
      <c r="AU210" s="280">
        <f t="shared" si="47"/>
        <v>44</v>
      </c>
      <c r="AV210" s="280">
        <f t="shared" si="47"/>
        <v>48</v>
      </c>
      <c r="AW210" s="280">
        <f t="shared" si="47"/>
        <v>52</v>
      </c>
      <c r="AX210" s="280">
        <f t="shared" si="47"/>
        <v>56</v>
      </c>
      <c r="AY210" s="280">
        <f t="shared" si="47"/>
        <v>60</v>
      </c>
      <c r="AZ210" s="280">
        <f t="shared" si="47"/>
        <v>64</v>
      </c>
      <c r="BA210" s="280">
        <f t="shared" si="47"/>
        <v>68</v>
      </c>
      <c r="BB210" s="280">
        <f t="shared" si="47"/>
        <v>72</v>
      </c>
      <c r="BC210" s="280">
        <f t="shared" si="47"/>
        <v>76</v>
      </c>
      <c r="BD210" s="280">
        <f>BD208+BD198+BD191+BD81+BD29</f>
        <v>0</v>
      </c>
      <c r="BE210" s="280">
        <f t="shared" ref="BE210:BT210" si="48">BE208+BE198+BE191+BE81+BE29</f>
        <v>94</v>
      </c>
      <c r="BF210" s="280">
        <f t="shared" si="48"/>
        <v>94</v>
      </c>
      <c r="BG210" s="280">
        <f t="shared" si="48"/>
        <v>94</v>
      </c>
      <c r="BH210" s="280">
        <f t="shared" si="48"/>
        <v>91</v>
      </c>
      <c r="BI210" s="280">
        <f t="shared" si="48"/>
        <v>91</v>
      </c>
      <c r="BJ210" s="280">
        <f t="shared" si="48"/>
        <v>88</v>
      </c>
      <c r="BK210" s="280">
        <f t="shared" si="48"/>
        <v>88</v>
      </c>
      <c r="BL210" s="280">
        <f t="shared" si="48"/>
        <v>91</v>
      </c>
      <c r="BM210" s="280">
        <f t="shared" si="48"/>
        <v>0</v>
      </c>
      <c r="BN210" s="280">
        <f t="shared" si="48"/>
        <v>0</v>
      </c>
      <c r="BO210" s="281">
        <f t="shared" si="48"/>
        <v>731</v>
      </c>
      <c r="BP210" s="282"/>
      <c r="BQ210" s="282"/>
      <c r="BR210" s="282"/>
      <c r="BS210" s="282">
        <f t="shared" si="48"/>
        <v>930573.28915999993</v>
      </c>
      <c r="BT210" s="282">
        <f t="shared" si="48"/>
        <v>744458.63132799999</v>
      </c>
      <c r="BU210" s="283"/>
      <c r="BV210" s="284"/>
      <c r="BW210" s="284"/>
      <c r="BX210" s="283"/>
      <c r="BY210" s="285"/>
      <c r="BZ210" s="286"/>
      <c r="CA210" s="287"/>
      <c r="CB210" s="288">
        <f>CB208+CB198+CB191+CB81</f>
        <v>11896847</v>
      </c>
      <c r="CC210" s="288">
        <f t="shared" ref="CC210" si="49">CC208+CC198+CC191+CC81+CC29</f>
        <v>0</v>
      </c>
      <c r="CD210" s="289">
        <f>CD208+CD198+CD191+CD81+CD29</f>
        <v>50266046.884100005</v>
      </c>
      <c r="CE210" s="290">
        <f>BT210/CD210*1000</f>
        <v>14.810367583600149</v>
      </c>
      <c r="CF210" s="291"/>
      <c r="CG210" s="289">
        <f t="shared" ref="CG210:CL210" si="50">CG208+CG198+CG191+CG81+CG29</f>
        <v>0</v>
      </c>
      <c r="CH210" s="292">
        <f t="shared" si="50"/>
        <v>464.62000000000006</v>
      </c>
      <c r="CI210" s="293">
        <f t="shared" si="50"/>
        <v>282</v>
      </c>
      <c r="CJ210" s="292">
        <f t="shared" si="50"/>
        <v>293085.23674800002</v>
      </c>
      <c r="CK210" s="293">
        <f t="shared" si="50"/>
        <v>34870</v>
      </c>
      <c r="CL210" s="292">
        <f t="shared" si="50"/>
        <v>451373.39457999996</v>
      </c>
      <c r="CM210" s="101" t="b">
        <f>(CJ210+CL210)=BT210</f>
        <v>1</v>
      </c>
    </row>
    <row r="211" spans="1:91" x14ac:dyDescent="0.25">
      <c r="CD211" s="211"/>
    </row>
    <row r="212" spans="1:91" x14ac:dyDescent="0.25">
      <c r="CD212" s="211"/>
    </row>
    <row r="213" spans="1:91" x14ac:dyDescent="0.25">
      <c r="CD213" s="211"/>
    </row>
    <row r="214" spans="1:91" x14ac:dyDescent="0.25">
      <c r="CD214" s="211"/>
    </row>
    <row r="215" spans="1:91" x14ac:dyDescent="0.25">
      <c r="CD215" s="211"/>
    </row>
    <row r="216" spans="1:91" x14ac:dyDescent="0.25">
      <c r="CD216" s="211"/>
    </row>
    <row r="217" spans="1:91" x14ac:dyDescent="0.25">
      <c r="B217" s="25" t="s">
        <v>116</v>
      </c>
      <c r="C217" s="139"/>
      <c r="D217" s="139"/>
      <c r="E217" s="139"/>
      <c r="CD217" s="211"/>
    </row>
    <row r="218" spans="1:91" x14ac:dyDescent="0.25">
      <c r="CD218" s="211"/>
    </row>
    <row r="219" spans="1:91" x14ac:dyDescent="0.25">
      <c r="CD219" s="211"/>
    </row>
    <row r="220" spans="1:91" x14ac:dyDescent="0.25">
      <c r="CD220" s="211"/>
    </row>
    <row r="221" spans="1:91" x14ac:dyDescent="0.25">
      <c r="CD221" s="211"/>
    </row>
    <row r="222" spans="1:91" x14ac:dyDescent="0.25">
      <c r="CD222" s="211"/>
    </row>
    <row r="223" spans="1:91" x14ac:dyDescent="0.25">
      <c r="CD223" s="211"/>
    </row>
    <row r="224" spans="1:91" x14ac:dyDescent="0.25">
      <c r="CD224" s="211"/>
    </row>
    <row r="225" spans="82:82" x14ac:dyDescent="0.25">
      <c r="CD225" s="211"/>
    </row>
    <row r="226" spans="82:82" x14ac:dyDescent="0.25">
      <c r="CD226" s="211"/>
    </row>
    <row r="227" spans="82:82" x14ac:dyDescent="0.25">
      <c r="CD227" s="211"/>
    </row>
    <row r="228" spans="82:82" x14ac:dyDescent="0.25">
      <c r="CD228" s="211"/>
    </row>
    <row r="229" spans="82:82" x14ac:dyDescent="0.25">
      <c r="CD229" s="211"/>
    </row>
    <row r="230" spans="82:82" x14ac:dyDescent="0.25">
      <c r="CD230" s="211"/>
    </row>
    <row r="231" spans="82:82" x14ac:dyDescent="0.25">
      <c r="CD231" s="211"/>
    </row>
    <row r="232" spans="82:82" x14ac:dyDescent="0.25">
      <c r="CD232" s="211"/>
    </row>
    <row r="233" spans="82:82" x14ac:dyDescent="0.25">
      <c r="CD233" s="211"/>
    </row>
    <row r="234" spans="82:82" x14ac:dyDescent="0.25">
      <c r="CD234" s="211"/>
    </row>
    <row r="235" spans="82:82" x14ac:dyDescent="0.25">
      <c r="CD235" s="211"/>
    </row>
    <row r="236" spans="82:82" x14ac:dyDescent="0.25">
      <c r="CD236" s="211"/>
    </row>
    <row r="237" spans="82:82" x14ac:dyDescent="0.25">
      <c r="CD237" s="211"/>
    </row>
    <row r="238" spans="82:82" x14ac:dyDescent="0.25">
      <c r="CD238" s="211"/>
    </row>
    <row r="239" spans="82:82" x14ac:dyDescent="0.25">
      <c r="CD239" s="211"/>
    </row>
    <row r="240" spans="82:82" x14ac:dyDescent="0.25">
      <c r="CD240" s="211"/>
    </row>
    <row r="241" spans="82:82" x14ac:dyDescent="0.25">
      <c r="CD241" s="211"/>
    </row>
    <row r="242" spans="82:82" x14ac:dyDescent="0.25">
      <c r="CD242" s="211"/>
    </row>
    <row r="243" spans="82:82" x14ac:dyDescent="0.25">
      <c r="CD243" s="211"/>
    </row>
    <row r="244" spans="82:82" x14ac:dyDescent="0.25">
      <c r="CD244" s="211"/>
    </row>
    <row r="245" spans="82:82" x14ac:dyDescent="0.25">
      <c r="CD245" s="211"/>
    </row>
    <row r="246" spans="82:82" x14ac:dyDescent="0.25">
      <c r="CD246" s="211"/>
    </row>
    <row r="247" spans="82:82" x14ac:dyDescent="0.25">
      <c r="CD247" s="211"/>
    </row>
    <row r="248" spans="82:82" x14ac:dyDescent="0.25">
      <c r="CD248" s="211"/>
    </row>
    <row r="249" spans="82:82" x14ac:dyDescent="0.25">
      <c r="CD249" s="211"/>
    </row>
    <row r="250" spans="82:82" x14ac:dyDescent="0.25">
      <c r="CD250" s="211"/>
    </row>
    <row r="251" spans="82:82" x14ac:dyDescent="0.25">
      <c r="CD251" s="211"/>
    </row>
    <row r="252" spans="82:82" x14ac:dyDescent="0.25">
      <c r="CD252" s="211"/>
    </row>
    <row r="253" spans="82:82" x14ac:dyDescent="0.25">
      <c r="CD253" s="211"/>
    </row>
    <row r="254" spans="82:82" x14ac:dyDescent="0.25">
      <c r="CD254" s="211"/>
    </row>
    <row r="255" spans="82:82" x14ac:dyDescent="0.25">
      <c r="CD255" s="211"/>
    </row>
    <row r="256" spans="82:82" x14ac:dyDescent="0.25">
      <c r="CD256" s="211"/>
    </row>
    <row r="257" spans="82:82" x14ac:dyDescent="0.25">
      <c r="CD257" s="211"/>
    </row>
    <row r="258" spans="82:82" x14ac:dyDescent="0.25">
      <c r="CD258" s="211"/>
    </row>
    <row r="259" spans="82:82" x14ac:dyDescent="0.25">
      <c r="CD259" s="211"/>
    </row>
    <row r="260" spans="82:82" x14ac:dyDescent="0.25">
      <c r="CD260" s="211"/>
    </row>
    <row r="261" spans="82:82" x14ac:dyDescent="0.25">
      <c r="CD261" s="211"/>
    </row>
    <row r="262" spans="82:82" x14ac:dyDescent="0.25">
      <c r="CD262" s="211"/>
    </row>
    <row r="263" spans="82:82" x14ac:dyDescent="0.25">
      <c r="CD263" s="211"/>
    </row>
    <row r="264" spans="82:82" x14ac:dyDescent="0.25">
      <c r="CD264" s="211"/>
    </row>
    <row r="265" spans="82:82" x14ac:dyDescent="0.25">
      <c r="CD265" s="211"/>
    </row>
    <row r="266" spans="82:82" x14ac:dyDescent="0.25">
      <c r="CD266" s="211"/>
    </row>
    <row r="267" spans="82:82" x14ac:dyDescent="0.25">
      <c r="CD267" s="211"/>
    </row>
    <row r="268" spans="82:82" x14ac:dyDescent="0.25">
      <c r="CD268" s="211"/>
    </row>
    <row r="269" spans="82:82" x14ac:dyDescent="0.25">
      <c r="CD269" s="211"/>
    </row>
    <row r="270" spans="82:82" x14ac:dyDescent="0.25">
      <c r="CD270" s="211"/>
    </row>
    <row r="271" spans="82:82" x14ac:dyDescent="0.25">
      <c r="CD271" s="211"/>
    </row>
    <row r="272" spans="82:82" x14ac:dyDescent="0.25">
      <c r="CD272" s="211"/>
    </row>
    <row r="273" spans="82:82" x14ac:dyDescent="0.25">
      <c r="CD273" s="211"/>
    </row>
    <row r="274" spans="82:82" x14ac:dyDescent="0.25">
      <c r="CD274" s="211"/>
    </row>
    <row r="275" spans="82:82" x14ac:dyDescent="0.25">
      <c r="CD275" s="211"/>
    </row>
    <row r="276" spans="82:82" x14ac:dyDescent="0.25">
      <c r="CD276" s="211"/>
    </row>
    <row r="277" spans="82:82" x14ac:dyDescent="0.25">
      <c r="CD277" s="211"/>
    </row>
    <row r="278" spans="82:82" x14ac:dyDescent="0.25">
      <c r="CD278" s="211"/>
    </row>
    <row r="279" spans="82:82" x14ac:dyDescent="0.25">
      <c r="CD279" s="211"/>
    </row>
    <row r="280" spans="82:82" x14ac:dyDescent="0.25">
      <c r="CD280" s="211"/>
    </row>
    <row r="281" spans="82:82" x14ac:dyDescent="0.25">
      <c r="CD281" s="211"/>
    </row>
    <row r="282" spans="82:82" x14ac:dyDescent="0.25">
      <c r="CD282" s="211"/>
    </row>
    <row r="283" spans="82:82" x14ac:dyDescent="0.25">
      <c r="CD283" s="211"/>
    </row>
    <row r="284" spans="82:82" x14ac:dyDescent="0.25">
      <c r="CD284" s="211"/>
    </row>
    <row r="285" spans="82:82" x14ac:dyDescent="0.25">
      <c r="CD285" s="211"/>
    </row>
    <row r="286" spans="82:82" x14ac:dyDescent="0.25">
      <c r="CD286" s="211"/>
    </row>
    <row r="287" spans="82:82" x14ac:dyDescent="0.25">
      <c r="CD287" s="211"/>
    </row>
    <row r="288" spans="82:82" x14ac:dyDescent="0.25">
      <c r="CD288" s="211"/>
    </row>
    <row r="289" spans="82:82" x14ac:dyDescent="0.25">
      <c r="CD289" s="211"/>
    </row>
    <row r="290" spans="82:82" x14ac:dyDescent="0.25">
      <c r="CD290" s="211"/>
    </row>
    <row r="291" spans="82:82" x14ac:dyDescent="0.25">
      <c r="CD291" s="211"/>
    </row>
    <row r="292" spans="82:82" x14ac:dyDescent="0.25">
      <c r="CD292" s="211"/>
    </row>
    <row r="293" spans="82:82" x14ac:dyDescent="0.25">
      <c r="CD293" s="211"/>
    </row>
    <row r="294" spans="82:82" x14ac:dyDescent="0.25">
      <c r="CD294" s="211"/>
    </row>
    <row r="295" spans="82:82" x14ac:dyDescent="0.25">
      <c r="CD295" s="211"/>
    </row>
    <row r="296" spans="82:82" x14ac:dyDescent="0.25">
      <c r="CD296" s="211"/>
    </row>
    <row r="297" spans="82:82" x14ac:dyDescent="0.25">
      <c r="CD297" s="211"/>
    </row>
    <row r="298" spans="82:82" x14ac:dyDescent="0.25">
      <c r="CD298" s="211"/>
    </row>
    <row r="299" spans="82:82" x14ac:dyDescent="0.25">
      <c r="CD299" s="211"/>
    </row>
    <row r="300" spans="82:82" x14ac:dyDescent="0.25">
      <c r="CD300" s="211"/>
    </row>
    <row r="301" spans="82:82" x14ac:dyDescent="0.25">
      <c r="CD301" s="211"/>
    </row>
    <row r="302" spans="82:82" x14ac:dyDescent="0.25">
      <c r="CD302" s="211"/>
    </row>
    <row r="303" spans="82:82" x14ac:dyDescent="0.25">
      <c r="CD303" s="211"/>
    </row>
    <row r="304" spans="82:82" x14ac:dyDescent="0.25">
      <c r="CD304" s="211"/>
    </row>
    <row r="305" spans="82:82" x14ac:dyDescent="0.25">
      <c r="CD305" s="211"/>
    </row>
    <row r="306" spans="82:82" x14ac:dyDescent="0.25">
      <c r="CD306" s="211"/>
    </row>
    <row r="307" spans="82:82" x14ac:dyDescent="0.25">
      <c r="CD307" s="211"/>
    </row>
    <row r="308" spans="82:82" x14ac:dyDescent="0.25">
      <c r="CD308" s="211"/>
    </row>
    <row r="309" spans="82:82" x14ac:dyDescent="0.25">
      <c r="CD309" s="211"/>
    </row>
    <row r="310" spans="82:82" x14ac:dyDescent="0.25">
      <c r="CD310" s="211"/>
    </row>
    <row r="311" spans="82:82" x14ac:dyDescent="0.25">
      <c r="CD311" s="211"/>
    </row>
    <row r="312" spans="82:82" x14ac:dyDescent="0.25">
      <c r="CD312" s="211"/>
    </row>
    <row r="313" spans="82:82" x14ac:dyDescent="0.25">
      <c r="CD313" s="211"/>
    </row>
    <row r="314" spans="82:82" x14ac:dyDescent="0.25">
      <c r="CD314" s="211"/>
    </row>
    <row r="315" spans="82:82" x14ac:dyDescent="0.25">
      <c r="CD315" s="211"/>
    </row>
    <row r="316" spans="82:82" x14ac:dyDescent="0.25">
      <c r="CD316" s="211"/>
    </row>
    <row r="317" spans="82:82" x14ac:dyDescent="0.25">
      <c r="CD317" s="211"/>
    </row>
    <row r="318" spans="82:82" x14ac:dyDescent="0.25">
      <c r="CD318" s="211"/>
    </row>
    <row r="319" spans="82:82" x14ac:dyDescent="0.25">
      <c r="CD319" s="211"/>
    </row>
    <row r="320" spans="82:82" x14ac:dyDescent="0.25">
      <c r="CD320" s="211"/>
    </row>
    <row r="321" spans="82:82" x14ac:dyDescent="0.25">
      <c r="CD321" s="211"/>
    </row>
    <row r="322" spans="82:82" x14ac:dyDescent="0.25">
      <c r="CD322" s="211"/>
    </row>
    <row r="323" spans="82:82" x14ac:dyDescent="0.25">
      <c r="CD323" s="211"/>
    </row>
    <row r="324" spans="82:82" x14ac:dyDescent="0.25">
      <c r="CD324" s="211"/>
    </row>
    <row r="325" spans="82:82" x14ac:dyDescent="0.25">
      <c r="CD325" s="211"/>
    </row>
    <row r="326" spans="82:82" x14ac:dyDescent="0.25">
      <c r="CD326" s="211"/>
    </row>
    <row r="327" spans="82:82" x14ac:dyDescent="0.25">
      <c r="CD327" s="211"/>
    </row>
    <row r="328" spans="82:82" x14ac:dyDescent="0.25">
      <c r="CD328" s="211"/>
    </row>
    <row r="329" spans="82:82" x14ac:dyDescent="0.25">
      <c r="CD329" s="211"/>
    </row>
    <row r="330" spans="82:82" x14ac:dyDescent="0.25">
      <c r="CD330" s="211"/>
    </row>
    <row r="331" spans="82:82" x14ac:dyDescent="0.25">
      <c r="CD331" s="211"/>
    </row>
    <row r="332" spans="82:82" x14ac:dyDescent="0.25">
      <c r="CD332" s="211"/>
    </row>
    <row r="333" spans="82:82" x14ac:dyDescent="0.25">
      <c r="CD333" s="211"/>
    </row>
    <row r="334" spans="82:82" x14ac:dyDescent="0.25">
      <c r="CD334" s="211"/>
    </row>
    <row r="335" spans="82:82" x14ac:dyDescent="0.25">
      <c r="CD335" s="211"/>
    </row>
    <row r="336" spans="82:82" x14ac:dyDescent="0.25">
      <c r="CD336" s="211"/>
    </row>
    <row r="337" spans="82:82" x14ac:dyDescent="0.25">
      <c r="CD337" s="211"/>
    </row>
    <row r="338" spans="82:82" x14ac:dyDescent="0.25">
      <c r="CD338" s="211"/>
    </row>
    <row r="339" spans="82:82" x14ac:dyDescent="0.25">
      <c r="CD339" s="211"/>
    </row>
    <row r="340" spans="82:82" x14ac:dyDescent="0.25">
      <c r="CD340" s="211"/>
    </row>
    <row r="341" spans="82:82" x14ac:dyDescent="0.25">
      <c r="CD341" s="211"/>
    </row>
    <row r="342" spans="82:82" x14ac:dyDescent="0.25">
      <c r="CD342" s="211"/>
    </row>
    <row r="343" spans="82:82" x14ac:dyDescent="0.25">
      <c r="CD343" s="211"/>
    </row>
    <row r="344" spans="82:82" x14ac:dyDescent="0.25">
      <c r="CD344" s="211"/>
    </row>
    <row r="345" spans="82:82" x14ac:dyDescent="0.25">
      <c r="CD345" s="211"/>
    </row>
    <row r="346" spans="82:82" x14ac:dyDescent="0.25">
      <c r="CD346" s="211"/>
    </row>
    <row r="347" spans="82:82" x14ac:dyDescent="0.25">
      <c r="CD347" s="211"/>
    </row>
    <row r="348" spans="82:82" x14ac:dyDescent="0.25">
      <c r="CD348" s="211"/>
    </row>
    <row r="349" spans="82:82" x14ac:dyDescent="0.25">
      <c r="CD349" s="211"/>
    </row>
    <row r="350" spans="82:82" x14ac:dyDescent="0.25">
      <c r="CD350" s="211"/>
    </row>
    <row r="351" spans="82:82" x14ac:dyDescent="0.25">
      <c r="CD351" s="211"/>
    </row>
    <row r="352" spans="82:82" x14ac:dyDescent="0.25">
      <c r="CD352" s="211"/>
    </row>
    <row r="353" spans="82:82" x14ac:dyDescent="0.25">
      <c r="CD353" s="211"/>
    </row>
    <row r="354" spans="82:82" x14ac:dyDescent="0.25">
      <c r="CD354" s="211"/>
    </row>
    <row r="355" spans="82:82" x14ac:dyDescent="0.25">
      <c r="CD355" s="211"/>
    </row>
    <row r="356" spans="82:82" x14ac:dyDescent="0.25">
      <c r="CD356" s="211"/>
    </row>
    <row r="357" spans="82:82" x14ac:dyDescent="0.25">
      <c r="CD357" s="211"/>
    </row>
    <row r="358" spans="82:82" x14ac:dyDescent="0.25">
      <c r="CD358" s="211"/>
    </row>
    <row r="359" spans="82:82" x14ac:dyDescent="0.25">
      <c r="CD359" s="211"/>
    </row>
    <row r="360" spans="82:82" x14ac:dyDescent="0.25">
      <c r="CD360" s="211"/>
    </row>
    <row r="361" spans="82:82" x14ac:dyDescent="0.25">
      <c r="CD361" s="211"/>
    </row>
    <row r="362" spans="82:82" x14ac:dyDescent="0.25">
      <c r="CD362" s="211"/>
    </row>
    <row r="363" spans="82:82" x14ac:dyDescent="0.25">
      <c r="CD363" s="211"/>
    </row>
    <row r="364" spans="82:82" x14ac:dyDescent="0.25">
      <c r="CD364" s="211"/>
    </row>
    <row r="365" spans="82:82" x14ac:dyDescent="0.25">
      <c r="CD365" s="211"/>
    </row>
    <row r="366" spans="82:82" x14ac:dyDescent="0.25">
      <c r="CD366" s="211"/>
    </row>
    <row r="367" spans="82:82" x14ac:dyDescent="0.25">
      <c r="CD367" s="211"/>
    </row>
    <row r="368" spans="82:82" x14ac:dyDescent="0.25">
      <c r="CD368" s="211"/>
    </row>
    <row r="369" spans="82:82" x14ac:dyDescent="0.25">
      <c r="CD369" s="211"/>
    </row>
    <row r="370" spans="82:82" x14ac:dyDescent="0.25">
      <c r="CD370" s="211"/>
    </row>
    <row r="371" spans="82:82" x14ac:dyDescent="0.25">
      <c r="CD371" s="211"/>
    </row>
    <row r="372" spans="82:82" x14ac:dyDescent="0.25">
      <c r="CD372" s="211"/>
    </row>
    <row r="373" spans="82:82" x14ac:dyDescent="0.25">
      <c r="CD373" s="211"/>
    </row>
    <row r="374" spans="82:82" x14ac:dyDescent="0.25">
      <c r="CD374" s="211"/>
    </row>
    <row r="375" spans="82:82" x14ac:dyDescent="0.25">
      <c r="CD375" s="211"/>
    </row>
    <row r="376" spans="82:82" x14ac:dyDescent="0.25">
      <c r="CD376" s="211"/>
    </row>
    <row r="377" spans="82:82" x14ac:dyDescent="0.25">
      <c r="CD377" s="211"/>
    </row>
    <row r="378" spans="82:82" x14ac:dyDescent="0.25">
      <c r="CD378" s="211"/>
    </row>
    <row r="379" spans="82:82" x14ac:dyDescent="0.25">
      <c r="CD379" s="211"/>
    </row>
    <row r="380" spans="82:82" x14ac:dyDescent="0.25">
      <c r="CD380" s="211"/>
    </row>
    <row r="381" spans="82:82" x14ac:dyDescent="0.25">
      <c r="CD381" s="211"/>
    </row>
    <row r="382" spans="82:82" x14ac:dyDescent="0.25">
      <c r="CD382" s="211"/>
    </row>
    <row r="383" spans="82:82" x14ac:dyDescent="0.25">
      <c r="CD383" s="211"/>
    </row>
    <row r="384" spans="82:82" x14ac:dyDescent="0.25">
      <c r="CD384" s="211"/>
    </row>
    <row r="385" spans="82:82" x14ac:dyDescent="0.25">
      <c r="CD385" s="211"/>
    </row>
    <row r="386" spans="82:82" x14ac:dyDescent="0.25">
      <c r="CD386" s="211"/>
    </row>
    <row r="387" spans="82:82" x14ac:dyDescent="0.25">
      <c r="CD387" s="211"/>
    </row>
    <row r="388" spans="82:82" x14ac:dyDescent="0.25">
      <c r="CD388" s="211"/>
    </row>
    <row r="389" spans="82:82" x14ac:dyDescent="0.25">
      <c r="CD389" s="211"/>
    </row>
    <row r="390" spans="82:82" x14ac:dyDescent="0.25">
      <c r="CD390" s="211"/>
    </row>
    <row r="391" spans="82:82" x14ac:dyDescent="0.25">
      <c r="CD391" s="211"/>
    </row>
    <row r="392" spans="82:82" x14ac:dyDescent="0.25">
      <c r="CD392" s="211"/>
    </row>
    <row r="393" spans="82:82" x14ac:dyDescent="0.25">
      <c r="CD393" s="211"/>
    </row>
    <row r="394" spans="82:82" x14ac:dyDescent="0.25">
      <c r="CD394" s="211"/>
    </row>
    <row r="395" spans="82:82" x14ac:dyDescent="0.25">
      <c r="CD395" s="211"/>
    </row>
    <row r="396" spans="82:82" x14ac:dyDescent="0.25">
      <c r="CD396" s="211"/>
    </row>
    <row r="397" spans="82:82" x14ac:dyDescent="0.25">
      <c r="CD397" s="211"/>
    </row>
    <row r="398" spans="82:82" x14ac:dyDescent="0.25">
      <c r="CD398" s="211"/>
    </row>
    <row r="399" spans="82:82" x14ac:dyDescent="0.25">
      <c r="CD399" s="211"/>
    </row>
    <row r="400" spans="82:82" x14ac:dyDescent="0.25">
      <c r="CD400" s="211"/>
    </row>
    <row r="401" spans="82:82" x14ac:dyDescent="0.25">
      <c r="CD401" s="211"/>
    </row>
    <row r="402" spans="82:82" x14ac:dyDescent="0.25">
      <c r="CD402" s="211"/>
    </row>
    <row r="403" spans="82:82" x14ac:dyDescent="0.25">
      <c r="CD403" s="211"/>
    </row>
    <row r="404" spans="82:82" x14ac:dyDescent="0.25">
      <c r="CD404" s="211"/>
    </row>
    <row r="405" spans="82:82" x14ac:dyDescent="0.25">
      <c r="CD405" s="211"/>
    </row>
    <row r="406" spans="82:82" x14ac:dyDescent="0.25">
      <c r="CD406" s="211"/>
    </row>
    <row r="407" spans="82:82" x14ac:dyDescent="0.25">
      <c r="CD407" s="211"/>
    </row>
    <row r="408" spans="82:82" x14ac:dyDescent="0.25">
      <c r="CD408" s="211"/>
    </row>
    <row r="409" spans="82:82" x14ac:dyDescent="0.25">
      <c r="CD409" s="211"/>
    </row>
    <row r="410" spans="82:82" x14ac:dyDescent="0.25">
      <c r="CD410" s="211"/>
    </row>
    <row r="411" spans="82:82" x14ac:dyDescent="0.25">
      <c r="CD411" s="211"/>
    </row>
    <row r="412" spans="82:82" x14ac:dyDescent="0.25">
      <c r="CD412" s="211"/>
    </row>
    <row r="413" spans="82:82" x14ac:dyDescent="0.25">
      <c r="CD413" s="211"/>
    </row>
    <row r="414" spans="82:82" x14ac:dyDescent="0.25">
      <c r="CD414" s="211"/>
    </row>
    <row r="415" spans="82:82" x14ac:dyDescent="0.25">
      <c r="CD415" s="211"/>
    </row>
    <row r="416" spans="82:82" x14ac:dyDescent="0.25">
      <c r="CD416" s="211"/>
    </row>
    <row r="417" spans="82:82" x14ac:dyDescent="0.25">
      <c r="CD417" s="211"/>
    </row>
    <row r="418" spans="82:82" x14ac:dyDescent="0.25">
      <c r="CD418" s="211"/>
    </row>
    <row r="419" spans="82:82" x14ac:dyDescent="0.25">
      <c r="CD419" s="211"/>
    </row>
    <row r="420" spans="82:82" x14ac:dyDescent="0.25">
      <c r="CD420" s="211"/>
    </row>
    <row r="421" spans="82:82" x14ac:dyDescent="0.25">
      <c r="CD421" s="211"/>
    </row>
    <row r="422" spans="82:82" x14ac:dyDescent="0.25">
      <c r="CD422" s="211"/>
    </row>
    <row r="423" spans="82:82" x14ac:dyDescent="0.25">
      <c r="CD423" s="211"/>
    </row>
  </sheetData>
  <mergeCells count="79">
    <mergeCell ref="BT8:BT10"/>
    <mergeCell ref="B8:B10"/>
    <mergeCell ref="C8:C10"/>
    <mergeCell ref="D8:D10"/>
    <mergeCell ref="E8:E10"/>
    <mergeCell ref="F8:AJ8"/>
    <mergeCell ref="BO8:BO10"/>
    <mergeCell ref="BP8:BP10"/>
    <mergeCell ref="BQ8:BQ10"/>
    <mergeCell ref="BR8:BR10"/>
    <mergeCell ref="BS8:BS10"/>
    <mergeCell ref="CG8:CG10"/>
    <mergeCell ref="CH8:CH10"/>
    <mergeCell ref="CI8:CJ9"/>
    <mergeCell ref="BV8:BV10"/>
    <mergeCell ref="BW8:BW10"/>
    <mergeCell ref="BY8:BY10"/>
    <mergeCell ref="BZ8:BZ10"/>
    <mergeCell ref="CA8:CA10"/>
    <mergeCell ref="CB8:CB10"/>
    <mergeCell ref="B83:B84"/>
    <mergeCell ref="BW31:BW33"/>
    <mergeCell ref="BY31:BY33"/>
    <mergeCell ref="BZ31:BZ33"/>
    <mergeCell ref="CA31:CA33"/>
    <mergeCell ref="BP31:BP33"/>
    <mergeCell ref="BQ31:BQ33"/>
    <mergeCell ref="BR31:BR33"/>
    <mergeCell ref="BS31:BS33"/>
    <mergeCell ref="BT31:BT33"/>
    <mergeCell ref="BV31:BV33"/>
    <mergeCell ref="B31:B33"/>
    <mergeCell ref="C31:C33"/>
    <mergeCell ref="D31:D33"/>
    <mergeCell ref="E31:E33"/>
    <mergeCell ref="F31:AJ31"/>
    <mergeCell ref="CK8:CL9"/>
    <mergeCell ref="CK31:CL32"/>
    <mergeCell ref="BH184:BN184"/>
    <mergeCell ref="BO184:BO186"/>
    <mergeCell ref="BP184:BP186"/>
    <mergeCell ref="CD31:CD33"/>
    <mergeCell ref="CE31:CE33"/>
    <mergeCell ref="CG31:CG33"/>
    <mergeCell ref="CH31:CH33"/>
    <mergeCell ref="CI31:CJ32"/>
    <mergeCell ref="CB31:CB33"/>
    <mergeCell ref="CC31:CC33"/>
    <mergeCell ref="BO31:BO33"/>
    <mergeCell ref="CC8:CC10"/>
    <mergeCell ref="CD8:CD10"/>
    <mergeCell ref="CE8:CE10"/>
    <mergeCell ref="BD184:BG184"/>
    <mergeCell ref="BD8:BG8"/>
    <mergeCell ref="BH8:BN8"/>
    <mergeCell ref="BD31:BG31"/>
    <mergeCell ref="BH31:BN31"/>
    <mergeCell ref="B184:B186"/>
    <mergeCell ref="C184:C186"/>
    <mergeCell ref="D184:D186"/>
    <mergeCell ref="E184:E186"/>
    <mergeCell ref="F184:AJ184"/>
    <mergeCell ref="CD184:CD186"/>
    <mergeCell ref="BQ184:BQ186"/>
    <mergeCell ref="BR184:BR186"/>
    <mergeCell ref="BS184:BS186"/>
    <mergeCell ref="BT184:BT186"/>
    <mergeCell ref="BV184:BV186"/>
    <mergeCell ref="BW184:BW186"/>
    <mergeCell ref="BY184:BY186"/>
    <mergeCell ref="BZ184:BZ186"/>
    <mergeCell ref="CA184:CA186"/>
    <mergeCell ref="CB184:CB186"/>
    <mergeCell ref="CC184:CC186"/>
    <mergeCell ref="CE184:CE186"/>
    <mergeCell ref="CG184:CG186"/>
    <mergeCell ref="CH184:CH186"/>
    <mergeCell ref="CI184:CJ185"/>
    <mergeCell ref="CK184:CL185"/>
  </mergeCells>
  <conditionalFormatting sqref="F87:J97 AK87:AO97 F98:AC98 AK98:BH98 F99:J99 AK99:AO99 F12:AJ28 F86:AC86 AK86:BH86 F65:AJ66 F68:AJ69 F71:AJ72 F74:AJ75 F77:AJ78">
    <cfRule type="notContainsBlanks" dxfId="128" priority="149">
      <formula>LEN(TRIM(F12))&gt;0</formula>
    </cfRule>
  </conditionalFormatting>
  <conditionalFormatting sqref="F139:J139">
    <cfRule type="notContainsBlanks" dxfId="127" priority="124">
      <formula>LEN(TRIM(F139))&gt;0</formula>
    </cfRule>
  </conditionalFormatting>
  <conditionalFormatting sqref="F140:J163">
    <cfRule type="notContainsBlanks" dxfId="126" priority="122">
      <formula>LEN(TRIM(F140))&gt;0</formula>
    </cfRule>
  </conditionalFormatting>
  <conditionalFormatting sqref="F165:J167">
    <cfRule type="notContainsBlanks" dxfId="125" priority="112">
      <formula>LEN(TRIM(F165))&gt;0</formula>
    </cfRule>
  </conditionalFormatting>
  <conditionalFormatting sqref="F169:J173">
    <cfRule type="notContainsBlanks" dxfId="124" priority="110">
      <formula>LEN(TRIM(F169))&gt;0</formula>
    </cfRule>
  </conditionalFormatting>
  <conditionalFormatting sqref="F175:J181">
    <cfRule type="notContainsBlanks" dxfId="123" priority="108">
      <formula>LEN(TRIM(F175))&gt;0</formula>
    </cfRule>
  </conditionalFormatting>
  <conditionalFormatting sqref="F139:L163">
    <cfRule type="notContainsBlanks" dxfId="122" priority="123">
      <formula>LEN(TRIM(F139))&gt;0</formula>
    </cfRule>
  </conditionalFormatting>
  <conditionalFormatting sqref="F101:M101">
    <cfRule type="notContainsBlanks" dxfId="121" priority="146">
      <formula>LEN(TRIM(F101))&gt;0</formula>
    </cfRule>
  </conditionalFormatting>
  <conditionalFormatting sqref="F104:M104">
    <cfRule type="notContainsBlanks" dxfId="120" priority="143">
      <formula>LEN(TRIM(F104))&gt;0</formula>
    </cfRule>
  </conditionalFormatting>
  <conditionalFormatting sqref="F107:M107">
    <cfRule type="notContainsBlanks" dxfId="119" priority="140">
      <formula>LEN(TRIM(F107))&gt;0</formula>
    </cfRule>
  </conditionalFormatting>
  <conditionalFormatting sqref="F64:AC64 AF64:AJ64">
    <cfRule type="notContainsBlanks" dxfId="118" priority="50">
      <formula>LEN(TRIM(F64))&gt;0</formula>
    </cfRule>
  </conditionalFormatting>
  <conditionalFormatting sqref="F67:AC67 AF67:AJ67">
    <cfRule type="notContainsBlanks" dxfId="117" priority="47">
      <formula>LEN(TRIM(F67))&gt;0</formula>
    </cfRule>
  </conditionalFormatting>
  <conditionalFormatting sqref="F70:AC70 AF70:AJ70">
    <cfRule type="notContainsBlanks" dxfId="116" priority="44">
      <formula>LEN(TRIM(F70))&gt;0</formula>
    </cfRule>
  </conditionalFormatting>
  <conditionalFormatting sqref="F73:AC73 AF73:AJ73">
    <cfRule type="notContainsBlanks" dxfId="115" priority="41">
      <formula>LEN(TRIM(F73))&gt;0</formula>
    </cfRule>
  </conditionalFormatting>
  <conditionalFormatting sqref="F76:AC76 AF76:AJ76">
    <cfRule type="notContainsBlanks" dxfId="114" priority="38">
      <formula>LEN(TRIM(F76))&gt;0</formula>
    </cfRule>
  </conditionalFormatting>
  <conditionalFormatting sqref="F83:AC85 J99:AC99">
    <cfRule type="notContainsBlanks" dxfId="113" priority="115">
      <formula>LEN(TRIM(F83))&gt;0</formula>
    </cfRule>
  </conditionalFormatting>
  <conditionalFormatting sqref="F111:AC114">
    <cfRule type="notContainsBlanks" dxfId="112" priority="118">
      <formula>LEN(TRIM(F111))&gt;0</formula>
    </cfRule>
  </conditionalFormatting>
  <conditionalFormatting sqref="F116:AC135">
    <cfRule type="notContainsBlanks" dxfId="111" priority="117">
      <formula>LEN(TRIM(F116))&gt;0</formula>
    </cfRule>
  </conditionalFormatting>
  <conditionalFormatting sqref="F165:AC167">
    <cfRule type="notContainsBlanks" dxfId="110" priority="113">
      <formula>LEN(TRIM(F165))&gt;0</formula>
    </cfRule>
  </conditionalFormatting>
  <conditionalFormatting sqref="F169:AC173">
    <cfRule type="notContainsBlanks" dxfId="109" priority="111">
      <formula>LEN(TRIM(F169))&gt;0</formula>
    </cfRule>
  </conditionalFormatting>
  <conditionalFormatting sqref="F175:AC181">
    <cfRule type="notContainsBlanks" dxfId="108" priority="109">
      <formula>LEN(TRIM(F175))&gt;0</formula>
    </cfRule>
  </conditionalFormatting>
  <conditionalFormatting sqref="F82:AI82 F87:I99 AK87:AN99">
    <cfRule type="notContainsBlanks" dxfId="107" priority="148">
      <formula>LEN(TRIM(F82))&gt;0</formula>
    </cfRule>
  </conditionalFormatting>
  <conditionalFormatting sqref="F82:AI82">
    <cfRule type="notContainsBlanks" dxfId="106" priority="135">
      <formula>LEN(TRIM(F82))&gt;0</formula>
    </cfRule>
  </conditionalFormatting>
  <conditionalFormatting sqref="F111:AI114 F116:AI120 J121:AI135 F115:L115 Q115:AI115 AO121:BN135 AK115:AQ115 AV115:BN115 AJ111:AJ135">
    <cfRule type="notContainsBlanks" dxfId="105" priority="133">
      <formula>LEN(TRIM(F111))&gt;0</formula>
    </cfRule>
  </conditionalFormatting>
  <conditionalFormatting sqref="F111:AI114 AJ111:AJ135 K115:L115 Q115:AI115 AP115:AQ115 AV115:BN115 F116:AI120 J121:AI135 AO121:BN135">
    <cfRule type="notContainsBlanks" dxfId="104" priority="134">
      <formula>LEN(TRIM(F111))&gt;0</formula>
    </cfRule>
  </conditionalFormatting>
  <conditionalFormatting sqref="F34:AJ63">
    <cfRule type="notContainsBlanks" dxfId="103" priority="51">
      <formula>LEN(TRIM(F34))&gt;0</formula>
    </cfRule>
  </conditionalFormatting>
  <conditionalFormatting sqref="F34:AJ66">
    <cfRule type="notContainsBlanks" dxfId="102" priority="49">
      <formula>LEN(TRIM(F34))&gt;0</formula>
    </cfRule>
  </conditionalFormatting>
  <conditionalFormatting sqref="F67:AJ69">
    <cfRule type="notContainsBlanks" dxfId="101" priority="46">
      <formula>LEN(TRIM(F67))&gt;0</formula>
    </cfRule>
  </conditionalFormatting>
  <conditionalFormatting sqref="F70:AJ72">
    <cfRule type="notContainsBlanks" dxfId="100" priority="43">
      <formula>LEN(TRIM(F70))&gt;0</formula>
    </cfRule>
  </conditionalFormatting>
  <conditionalFormatting sqref="F73:AJ75">
    <cfRule type="notContainsBlanks" dxfId="99" priority="40">
      <formula>LEN(TRIM(F73))&gt;0</formula>
    </cfRule>
  </conditionalFormatting>
  <conditionalFormatting sqref="F76:AJ78">
    <cfRule type="notContainsBlanks" dxfId="98" priority="37">
      <formula>LEN(TRIM(F76))&gt;0</formula>
    </cfRule>
  </conditionalFormatting>
  <conditionalFormatting sqref="F79:AJ80">
    <cfRule type="notContainsBlanks" dxfId="97" priority="34">
      <formula>LEN(TRIM(F79))&gt;0</formula>
    </cfRule>
    <cfRule type="notContainsBlanks" dxfId="96" priority="35">
      <formula>LEN(TRIM(F79))&gt;0</formula>
    </cfRule>
  </conditionalFormatting>
  <conditionalFormatting sqref="F12:BN28 F83:J86 J99">
    <cfRule type="notContainsBlanks" dxfId="95" priority="114">
      <formula>LEN(TRIM(F12))&gt;0</formula>
    </cfRule>
  </conditionalFormatting>
  <conditionalFormatting sqref="F100:BN109 AK82:BN82 F115:J115 AK116:BN120 F137:BN138">
    <cfRule type="notContainsBlanks" dxfId="94" priority="101">
      <formula>LEN(TRIM(F82))&gt;0</formula>
    </cfRule>
  </conditionalFormatting>
  <conditionalFormatting sqref="G101:M101">
    <cfRule type="notContainsBlanks" dxfId="93" priority="145">
      <formula>LEN(TRIM(G101))&gt;0</formula>
    </cfRule>
  </conditionalFormatting>
  <conditionalFormatting sqref="G104:M104">
    <cfRule type="notContainsBlanks" dxfId="92" priority="142">
      <formula>LEN(TRIM(G104))&gt;0</formula>
    </cfRule>
  </conditionalFormatting>
  <conditionalFormatting sqref="G107:M107">
    <cfRule type="notContainsBlanks" dxfId="91" priority="139">
      <formula>LEN(TRIM(G107))&gt;0</formula>
    </cfRule>
  </conditionalFormatting>
  <conditionalFormatting sqref="I101:M101">
    <cfRule type="notContainsBlanks" dxfId="90" priority="144">
      <formula>LEN(TRIM(I101))&gt;0</formula>
    </cfRule>
  </conditionalFormatting>
  <conditionalFormatting sqref="I104:M104">
    <cfRule type="notContainsBlanks" dxfId="89" priority="141">
      <formula>LEN(TRIM(I104))&gt;0</formula>
    </cfRule>
  </conditionalFormatting>
  <conditionalFormatting sqref="I107:M107">
    <cfRule type="notContainsBlanks" dxfId="88" priority="138">
      <formula>LEN(TRIM(I107))&gt;0</formula>
    </cfRule>
  </conditionalFormatting>
  <conditionalFormatting sqref="J26:J27">
    <cfRule type="notContainsBlanks" dxfId="87" priority="94">
      <formula>LEN(TRIM(J26))&gt;0</formula>
    </cfRule>
  </conditionalFormatting>
  <conditionalFormatting sqref="J87:J97">
    <cfRule type="notContainsBlanks" dxfId="86" priority="104">
      <formula>LEN(TRIM(J87))&gt;0</formula>
    </cfRule>
  </conditionalFormatting>
  <conditionalFormatting sqref="J121 M121">
    <cfRule type="notContainsBlanks" dxfId="85" priority="100">
      <formula>LEN(TRIM(J121))&gt;0</formula>
    </cfRule>
  </conditionalFormatting>
  <conditionalFormatting sqref="J87:AC97">
    <cfRule type="notContainsBlanks" dxfId="84" priority="106">
      <formula>LEN(TRIM(J87))&gt;0</formula>
    </cfRule>
  </conditionalFormatting>
  <conditionalFormatting sqref="J98:AI98">
    <cfRule type="notContainsBlanks" dxfId="83" priority="107">
      <formula>LEN(TRIM(J98))&gt;0</formula>
    </cfRule>
  </conditionalFormatting>
  <conditionalFormatting sqref="K139:L163 R139:AJ163 AP139:AQ163 AW139:BN163">
    <cfRule type="notContainsBlanks" dxfId="82" priority="131">
      <formula>LEN(TRIM(K139))&gt;0</formula>
    </cfRule>
    <cfRule type="notContainsBlanks" dxfId="81" priority="132">
      <formula>LEN(TRIM(K139))&gt;0</formula>
    </cfRule>
  </conditionalFormatting>
  <conditionalFormatting sqref="K115:AC115">
    <cfRule type="notContainsBlanks" dxfId="80" priority="103">
      <formula>LEN(TRIM(K115))&gt;0</formula>
    </cfRule>
  </conditionalFormatting>
  <conditionalFormatting sqref="K83:AI88 K99:AI99 K89:L89 Q89:AI89 K90:AI97 AP83:BN88 AP99:BN99 AP89:AQ89 AV89:BN89 AP90:BN97 AJ82:AJ99">
    <cfRule type="notContainsBlanks" dxfId="79" priority="136">
      <formula>LEN(TRIM(K82))&gt;0</formula>
    </cfRule>
  </conditionalFormatting>
  <conditionalFormatting sqref="K165:AJ167 AP165:BN167">
    <cfRule type="notContainsBlanks" dxfId="78" priority="129">
      <formula>LEN(TRIM(K165))&gt;0</formula>
    </cfRule>
    <cfRule type="notContainsBlanks" dxfId="77" priority="130">
      <formula>LEN(TRIM(K165))&gt;0</formula>
    </cfRule>
  </conditionalFormatting>
  <conditionalFormatting sqref="K169:AJ173 AP169:BN173">
    <cfRule type="notContainsBlanks" dxfId="76" priority="128">
      <formula>LEN(TRIM(K169))&gt;0</formula>
    </cfRule>
    <cfRule type="notContainsBlanks" dxfId="75" priority="127">
      <formula>LEN(TRIM(K169))&gt;0</formula>
    </cfRule>
  </conditionalFormatting>
  <conditionalFormatting sqref="K175:AJ181 AP175:BN181">
    <cfRule type="notContainsBlanks" dxfId="74" priority="125">
      <formula>LEN(TRIM(K175))&gt;0</formula>
    </cfRule>
    <cfRule type="notContainsBlanks" dxfId="73" priority="126">
      <formula>LEN(TRIM(K175))&gt;0</formula>
    </cfRule>
  </conditionalFormatting>
  <conditionalFormatting sqref="M170">
    <cfRule type="notContainsBlanks" dxfId="72" priority="99">
      <formula>LEN(TRIM(M170))&gt;0</formula>
    </cfRule>
  </conditionalFormatting>
  <conditionalFormatting sqref="M176">
    <cfRule type="notContainsBlanks" dxfId="71" priority="97">
      <formula>LEN(TRIM(M176))&gt;0</formula>
    </cfRule>
  </conditionalFormatting>
  <conditionalFormatting sqref="M178:O178">
    <cfRule type="notContainsBlanks" dxfId="70" priority="96">
      <formula>LEN(TRIM(M178))&gt;0</formula>
    </cfRule>
  </conditionalFormatting>
  <conditionalFormatting sqref="M89:P89">
    <cfRule type="notContainsBlanks" dxfId="69" priority="105">
      <formula>LEN(TRIM(M89))&gt;0</formula>
    </cfRule>
  </conditionalFormatting>
  <conditionalFormatting sqref="M115:P115">
    <cfRule type="notContainsBlanks" dxfId="68" priority="102">
      <formula>LEN(TRIM(M115))&gt;0</formula>
    </cfRule>
  </conditionalFormatting>
  <conditionalFormatting sqref="M172:P172">
    <cfRule type="notContainsBlanks" dxfId="67" priority="98">
      <formula>LEN(TRIM(M172))&gt;0</formula>
    </cfRule>
  </conditionalFormatting>
  <conditionalFormatting sqref="M180:P180">
    <cfRule type="notContainsBlanks" dxfId="66" priority="95">
      <formula>LEN(TRIM(M180))&gt;0</formula>
    </cfRule>
  </conditionalFormatting>
  <conditionalFormatting sqref="M139:Q139">
    <cfRule type="notContainsBlanks" dxfId="65" priority="121">
      <formula>LEN(TRIM(M139))&gt;0</formula>
    </cfRule>
  </conditionalFormatting>
  <conditionalFormatting sqref="M140:Q163">
    <cfRule type="notContainsBlanks" dxfId="64" priority="119">
      <formula>LEN(TRIM(M140))&gt;0</formula>
    </cfRule>
  </conditionalFormatting>
  <conditionalFormatting sqref="M139:AC163">
    <cfRule type="notContainsBlanks" dxfId="63" priority="120">
      <formula>LEN(TRIM(M139))&gt;0</formula>
    </cfRule>
  </conditionalFormatting>
  <conditionalFormatting sqref="Q26:Q27">
    <cfRule type="notContainsBlanks" dxfId="62" priority="93">
      <formula>LEN(TRIM(Q26))&gt;0</formula>
    </cfRule>
  </conditionalFormatting>
  <conditionalFormatting sqref="R28:V28">
    <cfRule type="notContainsBlanks" dxfId="61" priority="147">
      <formula>LEN(TRIM(R28))&gt;0</formula>
    </cfRule>
  </conditionalFormatting>
  <conditionalFormatting sqref="X26:X27">
    <cfRule type="notContainsBlanks" dxfId="60" priority="92">
      <formula>LEN(TRIM(X26))&gt;0</formula>
    </cfRule>
  </conditionalFormatting>
  <conditionalFormatting sqref="AD64:AE64">
    <cfRule type="notContainsBlanks" dxfId="59" priority="48">
      <formula>LEN(TRIM(AD64))&gt;0</formula>
    </cfRule>
  </conditionalFormatting>
  <conditionalFormatting sqref="AD67:AE67">
    <cfRule type="notContainsBlanks" dxfId="58" priority="45">
      <formula>LEN(TRIM(AD67))&gt;0</formula>
    </cfRule>
  </conditionalFormatting>
  <conditionalFormatting sqref="AD70:AE70">
    <cfRule type="notContainsBlanks" dxfId="57" priority="42">
      <formula>LEN(TRIM(AD70))&gt;0</formula>
    </cfRule>
  </conditionalFormatting>
  <conditionalFormatting sqref="AD73:AE73">
    <cfRule type="notContainsBlanks" dxfId="56" priority="39">
      <formula>LEN(TRIM(AD73))&gt;0</formula>
    </cfRule>
  </conditionalFormatting>
  <conditionalFormatting sqref="AD76:AE76">
    <cfRule type="notContainsBlanks" dxfId="55" priority="36">
      <formula>LEN(TRIM(AD76))&gt;0</formula>
    </cfRule>
  </conditionalFormatting>
  <conditionalFormatting sqref="AE26:AE27">
    <cfRule type="notContainsBlanks" dxfId="54" priority="91">
      <formula>LEN(TRIM(AE26))&gt;0</formula>
    </cfRule>
  </conditionalFormatting>
  <conditionalFormatting sqref="AJ82:AJ99 K83:AI88 AP83:BN88 K89:L89 Q89:AI89 AP89:AQ89 AV89:BN89 K90:AI97 AP90:BN97 K99:AI99 AP99:BN99 O98:AI98 AT98:BN98">
    <cfRule type="notContainsBlanks" dxfId="53" priority="137">
      <formula>LEN(TRIM(K82))&gt;0</formula>
    </cfRule>
  </conditionalFormatting>
  <conditionalFormatting sqref="AK121:AN135">
    <cfRule type="notContainsBlanks" dxfId="52" priority="73">
      <formula>LEN(TRIM(AK121))&gt;0</formula>
    </cfRule>
  </conditionalFormatting>
  <conditionalFormatting sqref="AK83:AO86 AO99">
    <cfRule type="notContainsBlanks" dxfId="51" priority="71">
      <formula>LEN(TRIM(AK83))&gt;0</formula>
    </cfRule>
  </conditionalFormatting>
  <conditionalFormatting sqref="AK115:AO115">
    <cfRule type="notContainsBlanks" dxfId="50" priority="58">
      <formula>LEN(TRIM(AK115))&gt;0</formula>
    </cfRule>
  </conditionalFormatting>
  <conditionalFormatting sqref="AK139:AO139">
    <cfRule type="notContainsBlanks" dxfId="49" priority="81">
      <formula>LEN(TRIM(AK139))&gt;0</formula>
    </cfRule>
  </conditionalFormatting>
  <conditionalFormatting sqref="AK140:AO163">
    <cfRule type="notContainsBlanks" dxfId="48" priority="79">
      <formula>LEN(TRIM(AK140))&gt;0</formula>
    </cfRule>
  </conditionalFormatting>
  <conditionalFormatting sqref="AK165:AO167">
    <cfRule type="notContainsBlanks" dxfId="47" priority="69">
      <formula>LEN(TRIM(AK165))&gt;0</formula>
    </cfRule>
  </conditionalFormatting>
  <conditionalFormatting sqref="AK169:AO173">
    <cfRule type="notContainsBlanks" dxfId="46" priority="67">
      <formula>LEN(TRIM(AK169))&gt;0</formula>
    </cfRule>
  </conditionalFormatting>
  <conditionalFormatting sqref="AK175:AO181">
    <cfRule type="notContainsBlanks" dxfId="45" priority="65">
      <formula>LEN(TRIM(AK175))&gt;0</formula>
    </cfRule>
  </conditionalFormatting>
  <conditionalFormatting sqref="AK139:AQ163">
    <cfRule type="notContainsBlanks" dxfId="44" priority="80">
      <formula>LEN(TRIM(AK139))&gt;0</formula>
    </cfRule>
  </conditionalFormatting>
  <conditionalFormatting sqref="AK101:AR101">
    <cfRule type="notContainsBlanks" dxfId="43" priority="90">
      <formula>LEN(TRIM(AK101))&gt;0</formula>
    </cfRule>
  </conditionalFormatting>
  <conditionalFormatting sqref="AK104:AR104">
    <cfRule type="notContainsBlanks" dxfId="42" priority="87">
      <formula>LEN(TRIM(AK104))&gt;0</formula>
    </cfRule>
  </conditionalFormatting>
  <conditionalFormatting sqref="AK107:AR107">
    <cfRule type="notContainsBlanks" dxfId="41" priority="84">
      <formula>LEN(TRIM(AK107))&gt;0</formula>
    </cfRule>
  </conditionalFormatting>
  <conditionalFormatting sqref="AK83:BH85 AO99:BH99">
    <cfRule type="notContainsBlanks" dxfId="40" priority="72">
      <formula>LEN(TRIM(AK83))&gt;0</formula>
    </cfRule>
  </conditionalFormatting>
  <conditionalFormatting sqref="AK116:BH135">
    <cfRule type="notContainsBlanks" dxfId="39" priority="74">
      <formula>LEN(TRIM(AK116))&gt;0</formula>
    </cfRule>
  </conditionalFormatting>
  <conditionalFormatting sqref="AK165:BH167">
    <cfRule type="notContainsBlanks" dxfId="38" priority="70">
      <formula>LEN(TRIM(AK165))&gt;0</formula>
    </cfRule>
  </conditionalFormatting>
  <conditionalFormatting sqref="AK169:BH173">
    <cfRule type="notContainsBlanks" dxfId="37" priority="68">
      <formula>LEN(TRIM(AK169))&gt;0</formula>
    </cfRule>
  </conditionalFormatting>
  <conditionalFormatting sqref="AK175:BH181">
    <cfRule type="notContainsBlanks" dxfId="36" priority="66">
      <formula>LEN(TRIM(AK175))&gt;0</formula>
    </cfRule>
  </conditionalFormatting>
  <conditionalFormatting sqref="AK34:BN80">
    <cfRule type="notContainsBlanks" dxfId="35" priority="29">
      <formula>LEN(TRIM(AK34))&gt;0</formula>
    </cfRule>
  </conditionalFormatting>
  <conditionalFormatting sqref="AK82:BN82 F100:BN109 AK116:BN120 F137:BN138 AK111:BN114 F121:I135">
    <cfRule type="notContainsBlanks" dxfId="34" priority="116">
      <formula>LEN(TRIM(F82))&gt;0</formula>
    </cfRule>
  </conditionalFormatting>
  <conditionalFormatting sqref="AK111:BN114">
    <cfRule type="notContainsBlanks" dxfId="33" priority="75">
      <formula>LEN(TRIM(AK111))&gt;0</formula>
    </cfRule>
  </conditionalFormatting>
  <conditionalFormatting sqref="AL101:AR101">
    <cfRule type="notContainsBlanks" dxfId="32" priority="89">
      <formula>LEN(TRIM(AL101))&gt;0</formula>
    </cfRule>
  </conditionalFormatting>
  <conditionalFormatting sqref="AL104:AR104">
    <cfRule type="notContainsBlanks" dxfId="31" priority="86">
      <formula>LEN(TRIM(AL104))&gt;0</formula>
    </cfRule>
  </conditionalFormatting>
  <conditionalFormatting sqref="AL107:AR107">
    <cfRule type="notContainsBlanks" dxfId="30" priority="83">
      <formula>LEN(TRIM(AL107))&gt;0</formula>
    </cfRule>
  </conditionalFormatting>
  <conditionalFormatting sqref="AN101:AR101">
    <cfRule type="notContainsBlanks" dxfId="29" priority="88">
      <formula>LEN(TRIM(AN101))&gt;0</formula>
    </cfRule>
  </conditionalFormatting>
  <conditionalFormatting sqref="AN104:AR104">
    <cfRule type="notContainsBlanks" dxfId="28" priority="85">
      <formula>LEN(TRIM(AN104))&gt;0</formula>
    </cfRule>
  </conditionalFormatting>
  <conditionalFormatting sqref="AN107:AR107">
    <cfRule type="notContainsBlanks" dxfId="27" priority="82">
      <formula>LEN(TRIM(AN107))&gt;0</formula>
    </cfRule>
  </conditionalFormatting>
  <conditionalFormatting sqref="AO87:AO97">
    <cfRule type="notContainsBlanks" dxfId="26" priority="61">
      <formula>LEN(TRIM(AO87))&gt;0</formula>
    </cfRule>
  </conditionalFormatting>
  <conditionalFormatting sqref="AO121 AR121">
    <cfRule type="notContainsBlanks" dxfId="25" priority="57">
      <formula>LEN(TRIM(AO121))&gt;0</formula>
    </cfRule>
  </conditionalFormatting>
  <conditionalFormatting sqref="AO87:BH97">
    <cfRule type="notContainsBlanks" dxfId="24" priority="63">
      <formula>LEN(TRIM(AO87))&gt;0</formula>
    </cfRule>
  </conditionalFormatting>
  <conditionalFormatting sqref="AO98:BN98">
    <cfRule type="notContainsBlanks" dxfId="23" priority="64">
      <formula>LEN(TRIM(AO98))&gt;0</formula>
    </cfRule>
  </conditionalFormatting>
  <conditionalFormatting sqref="AP115:BH115">
    <cfRule type="notContainsBlanks" dxfId="22" priority="60">
      <formula>LEN(TRIM(AP115))&gt;0</formula>
    </cfRule>
  </conditionalFormatting>
  <conditionalFormatting sqref="AR170">
    <cfRule type="notContainsBlanks" dxfId="21" priority="56">
      <formula>LEN(TRIM(AR170))&gt;0</formula>
    </cfRule>
  </conditionalFormatting>
  <conditionalFormatting sqref="AR176">
    <cfRule type="notContainsBlanks" dxfId="20" priority="54">
      <formula>LEN(TRIM(AR176))&gt;0</formula>
    </cfRule>
  </conditionalFormatting>
  <conditionalFormatting sqref="AR178:AT178">
    <cfRule type="notContainsBlanks" dxfId="19" priority="53">
      <formula>LEN(TRIM(AR178))&gt;0</formula>
    </cfRule>
  </conditionalFormatting>
  <conditionalFormatting sqref="AR89:AU89">
    <cfRule type="notContainsBlanks" dxfId="18" priority="62">
      <formula>LEN(TRIM(AR89))&gt;0</formula>
    </cfRule>
  </conditionalFormatting>
  <conditionalFormatting sqref="AR115:AU115">
    <cfRule type="notContainsBlanks" dxfId="17" priority="59">
      <formula>LEN(TRIM(AR115))&gt;0</formula>
    </cfRule>
  </conditionalFormatting>
  <conditionalFormatting sqref="AR172:AU172">
    <cfRule type="notContainsBlanks" dxfId="16" priority="55">
      <formula>LEN(TRIM(AR172))&gt;0</formula>
    </cfRule>
  </conditionalFormatting>
  <conditionalFormatting sqref="AR180:AU180">
    <cfRule type="notContainsBlanks" dxfId="15" priority="52">
      <formula>LEN(TRIM(AR180))&gt;0</formula>
    </cfRule>
  </conditionalFormatting>
  <conditionalFormatting sqref="AR139:AV139">
    <cfRule type="notContainsBlanks" dxfId="14" priority="78">
      <formula>LEN(TRIM(AR139))&gt;0</formula>
    </cfRule>
  </conditionalFormatting>
  <conditionalFormatting sqref="AR140:AV163">
    <cfRule type="notContainsBlanks" dxfId="13" priority="76">
      <formula>LEN(TRIM(AR140))&gt;0</formula>
    </cfRule>
  </conditionalFormatting>
  <conditionalFormatting sqref="AR139:BH163">
    <cfRule type="notContainsBlanks" dxfId="12" priority="77">
      <formula>LEN(TRIM(AR139))&gt;0</formula>
    </cfRule>
  </conditionalFormatting>
  <conditionalFormatting sqref="BD187:BN190">
    <cfRule type="notContainsBlanks" dxfId="11" priority="4">
      <formula>LEN(TRIM(BD187))&gt;0</formula>
    </cfRule>
  </conditionalFormatting>
  <conditionalFormatting sqref="BD192:BN197">
    <cfRule type="notContainsBlanks" dxfId="10" priority="2">
      <formula>LEN(TRIM(BD192))&gt;0</formula>
    </cfRule>
  </conditionalFormatting>
  <conditionalFormatting sqref="BD199:BN207">
    <cfRule type="notContainsBlanks" dxfId="9" priority="1">
      <formula>LEN(TRIM(BD199))&gt;0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DDE7BF-A5E6-44D9-A753-8AC83B2D47E4}">
  <dimension ref="A1:EM405"/>
  <sheetViews>
    <sheetView showGridLines="0" topLeftCell="A4" zoomScale="83" zoomScaleNormal="70" zoomScaleSheetLayoutView="50" workbookViewId="0">
      <pane xSplit="4" ySplit="7" topLeftCell="E11" activePane="bottomRight" state="frozen"/>
      <selection activeCell="A4" sqref="A4"/>
      <selection pane="topRight" activeCell="E4" sqref="E4"/>
      <selection pane="bottomLeft" activeCell="A11" sqref="A11"/>
      <selection pane="bottomRight" activeCell="BU16" sqref="BU16"/>
    </sheetView>
  </sheetViews>
  <sheetFormatPr defaultColWidth="8.83203125" defaultRowHeight="12.5" x14ac:dyDescent="0.25"/>
  <cols>
    <col min="1" max="1" width="4" style="45" customWidth="1"/>
    <col min="2" max="2" width="26.33203125" style="45" customWidth="1"/>
    <col min="3" max="3" width="30.83203125" style="45" customWidth="1"/>
    <col min="4" max="4" width="23.33203125" style="45" customWidth="1"/>
    <col min="5" max="5" width="10.5" style="45" customWidth="1"/>
    <col min="6" max="11" width="4.5" style="45" hidden="1" customWidth="1"/>
    <col min="12" max="23" width="4.83203125" style="45" hidden="1" customWidth="1"/>
    <col min="24" max="51" width="4.83203125" style="45" customWidth="1"/>
    <col min="52" max="64" width="4.83203125" style="45" hidden="1" customWidth="1"/>
    <col min="65" max="65" width="8.33203125" style="45" customWidth="1"/>
    <col min="66" max="66" width="16.5" style="45" customWidth="1"/>
    <col min="67" max="67" width="9.83203125" style="45" bestFit="1" customWidth="1"/>
    <col min="68" max="68" width="16.5" style="45" customWidth="1"/>
    <col min="69" max="69" width="17" style="45" customWidth="1"/>
    <col min="70" max="70" width="16.1640625" style="45" customWidth="1"/>
    <col min="71" max="71" width="3.33203125" style="45" customWidth="1"/>
    <col min="72" max="73" width="15.6640625" style="45" customWidth="1"/>
    <col min="74" max="74" width="3.33203125" style="45" customWidth="1"/>
    <col min="75" max="75" width="14.83203125" style="206" customWidth="1"/>
    <col min="76" max="76" width="14.83203125" style="207" customWidth="1"/>
    <col min="77" max="77" width="14.83203125" style="208" customWidth="1"/>
    <col min="78" max="79" width="14.83203125" style="209" customWidth="1"/>
    <col min="80" max="80" width="14.83203125" style="210" customWidth="1"/>
    <col min="81" max="81" width="12.9140625" style="45" customWidth="1"/>
    <col min="82" max="82" width="3.33203125" style="45" customWidth="1"/>
    <col min="83" max="83" width="18.33203125" style="30" customWidth="1"/>
    <col min="84" max="84" width="12.83203125" style="30" customWidth="1"/>
    <col min="85" max="85" width="7.83203125" style="30" customWidth="1"/>
    <col min="86" max="86" width="16" style="30" customWidth="1"/>
    <col min="87" max="87" width="7.83203125" style="306" customWidth="1"/>
    <col min="88" max="88" width="16" style="30" customWidth="1"/>
    <col min="89" max="89" width="16.1640625" style="50" customWidth="1"/>
    <col min="90" max="16384" width="8.83203125" style="45"/>
  </cols>
  <sheetData>
    <row r="1" spans="1:143" x14ac:dyDescent="0.25">
      <c r="BR1" s="31"/>
      <c r="BT1" s="31"/>
      <c r="BU1" s="31"/>
      <c r="BW1" s="46"/>
      <c r="BX1" s="47"/>
      <c r="BY1" s="48"/>
      <c r="BZ1" s="49"/>
      <c r="CA1" s="49"/>
      <c r="CB1" s="49"/>
      <c r="CC1" s="31"/>
      <c r="CD1" s="31"/>
    </row>
    <row r="2" spans="1:143" x14ac:dyDescent="0.25">
      <c r="BN2" s="28"/>
      <c r="BO2" s="28"/>
      <c r="BP2" s="28"/>
      <c r="BQ2" s="28"/>
      <c r="BR2" s="31"/>
      <c r="BT2" s="31"/>
      <c r="BU2" s="31"/>
      <c r="BW2" s="46"/>
      <c r="BX2" s="47"/>
      <c r="BY2" s="48"/>
      <c r="BZ2" s="49"/>
      <c r="CA2" s="49"/>
      <c r="CB2" s="49"/>
      <c r="CC2" s="31"/>
      <c r="CD2" s="31"/>
    </row>
    <row r="3" spans="1:143" x14ac:dyDescent="0.25">
      <c r="A3" s="28"/>
      <c r="B3" s="51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9"/>
      <c r="BN3" s="52"/>
      <c r="BO3" s="52"/>
      <c r="BP3" s="52"/>
      <c r="BQ3" s="52"/>
      <c r="BR3" s="31"/>
      <c r="BS3" s="28"/>
      <c r="BT3" s="31"/>
      <c r="BU3" s="31"/>
      <c r="BV3" s="28"/>
      <c r="BW3" s="46"/>
      <c r="BX3" s="47"/>
      <c r="BY3" s="48"/>
      <c r="BZ3" s="49"/>
      <c r="CA3" s="49"/>
      <c r="CB3" s="49"/>
      <c r="CC3" s="31"/>
      <c r="CD3" s="31"/>
    </row>
    <row r="4" spans="1:143" x14ac:dyDescent="0.25">
      <c r="A4" s="28"/>
      <c r="B4" s="51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53"/>
      <c r="BN4" s="52"/>
      <c r="BO4" s="52"/>
      <c r="BP4" s="52"/>
      <c r="BQ4" s="52"/>
      <c r="BR4" s="31"/>
      <c r="BS4" s="28"/>
      <c r="BT4" s="31"/>
      <c r="BU4" s="31"/>
      <c r="BV4" s="28"/>
      <c r="BW4" s="46"/>
      <c r="BX4" s="47"/>
      <c r="BY4" s="48"/>
      <c r="BZ4" s="49"/>
      <c r="CA4" s="49"/>
      <c r="CB4" s="49"/>
      <c r="CC4" s="31"/>
      <c r="CD4" s="31"/>
    </row>
    <row r="5" spans="1:143" x14ac:dyDescent="0.25">
      <c r="A5" s="28"/>
      <c r="B5" s="5" t="s">
        <v>0</v>
      </c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53"/>
      <c r="BN5" s="31"/>
      <c r="BO5" s="52"/>
      <c r="BP5" s="52"/>
      <c r="BQ5" s="52"/>
      <c r="BR5" s="31"/>
      <c r="BS5" s="28"/>
      <c r="BT5" s="31"/>
      <c r="BU5" s="31"/>
      <c r="BV5" s="28"/>
      <c r="BW5" s="46"/>
      <c r="BX5" s="47"/>
      <c r="BY5" s="48"/>
      <c r="BZ5" s="49"/>
      <c r="CA5" s="49"/>
      <c r="CB5" s="49"/>
      <c r="CC5" s="31"/>
      <c r="CD5" s="31"/>
    </row>
    <row r="6" spans="1:143" x14ac:dyDescent="0.25">
      <c r="A6" s="28"/>
      <c r="B6" s="6" t="s">
        <v>155</v>
      </c>
      <c r="C6" s="29"/>
      <c r="D6" s="29"/>
      <c r="E6" s="29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53"/>
      <c r="BN6" s="28"/>
      <c r="BO6" s="52"/>
      <c r="BP6" s="52"/>
      <c r="BQ6" s="52"/>
      <c r="BR6" s="31"/>
      <c r="BS6" s="28"/>
      <c r="BT6" s="31"/>
      <c r="BU6" s="31"/>
      <c r="BV6" s="28"/>
      <c r="BW6" s="46"/>
      <c r="BX6" s="47"/>
      <c r="BY6" s="48"/>
      <c r="BZ6" s="49"/>
      <c r="CA6" s="49"/>
      <c r="CB6" s="49"/>
      <c r="CC6" s="31"/>
      <c r="CD6" s="31"/>
    </row>
    <row r="7" spans="1:143" x14ac:dyDescent="0.25">
      <c r="A7" s="28"/>
      <c r="B7" s="54"/>
      <c r="C7" s="29"/>
      <c r="D7" s="29"/>
      <c r="E7" s="29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52"/>
      <c r="BO7" s="52"/>
      <c r="BP7" s="52"/>
      <c r="BQ7" s="52"/>
      <c r="BR7" s="31"/>
      <c r="BS7" s="28"/>
      <c r="BT7" s="31"/>
      <c r="BU7" s="31"/>
      <c r="BV7" s="28"/>
      <c r="BW7" s="46"/>
      <c r="BX7" s="47"/>
      <c r="BY7" s="48"/>
      <c r="BZ7" s="49"/>
      <c r="CA7" s="49"/>
      <c r="CB7" s="49"/>
      <c r="CC7" s="31"/>
      <c r="CD7" s="31"/>
    </row>
    <row r="8" spans="1:143" s="28" customFormat="1" ht="16" customHeight="1" x14ac:dyDescent="0.2">
      <c r="A8" s="32"/>
      <c r="B8" s="642" t="s">
        <v>3</v>
      </c>
      <c r="C8" s="642" t="s">
        <v>4</v>
      </c>
      <c r="D8" s="648" t="s">
        <v>19</v>
      </c>
      <c r="E8" s="643" t="s">
        <v>20</v>
      </c>
      <c r="F8" s="629" t="s">
        <v>6</v>
      </c>
      <c r="G8" s="630"/>
      <c r="H8" s="630"/>
      <c r="I8" s="630"/>
      <c r="J8" s="630"/>
      <c r="K8" s="630"/>
      <c r="L8" s="630"/>
      <c r="M8" s="630"/>
      <c r="N8" s="630"/>
      <c r="O8" s="630"/>
      <c r="P8" s="630"/>
      <c r="Q8" s="630"/>
      <c r="R8" s="630"/>
      <c r="S8" s="630"/>
      <c r="T8" s="630"/>
      <c r="U8" s="630"/>
      <c r="V8" s="630"/>
      <c r="W8" s="630"/>
      <c r="X8" s="630"/>
      <c r="Y8" s="630"/>
      <c r="Z8" s="630"/>
      <c r="AA8" s="630"/>
      <c r="AB8" s="630"/>
      <c r="AC8" s="630"/>
      <c r="AD8" s="630"/>
      <c r="AE8" s="630"/>
      <c r="AF8" s="630"/>
      <c r="AG8" s="630"/>
      <c r="AH8" s="630"/>
      <c r="AI8" s="630"/>
      <c r="AJ8" s="631"/>
      <c r="AK8" s="629" t="s">
        <v>143</v>
      </c>
      <c r="AL8" s="630"/>
      <c r="AM8" s="630"/>
      <c r="AN8" s="630"/>
      <c r="AO8" s="630"/>
      <c r="AP8" s="630"/>
      <c r="AQ8" s="630"/>
      <c r="AR8" s="630"/>
      <c r="AS8" s="630"/>
      <c r="AT8" s="630"/>
      <c r="AU8" s="630"/>
      <c r="AV8" s="630"/>
      <c r="AW8" s="630"/>
      <c r="AX8" s="630"/>
      <c r="AY8" s="630"/>
      <c r="AZ8" s="630"/>
      <c r="BA8" s="630"/>
      <c r="BB8" s="630"/>
      <c r="BC8" s="630"/>
      <c r="BD8" s="630"/>
      <c r="BE8" s="630"/>
      <c r="BF8" s="630"/>
      <c r="BG8" s="630"/>
      <c r="BH8" s="630"/>
      <c r="BI8" s="630"/>
      <c r="BJ8" s="630"/>
      <c r="BK8" s="630"/>
      <c r="BL8" s="631"/>
      <c r="BM8" s="640" t="s">
        <v>7</v>
      </c>
      <c r="BN8" s="620" t="s">
        <v>8</v>
      </c>
      <c r="BO8" s="643" t="s">
        <v>9</v>
      </c>
      <c r="BP8" s="620" t="s">
        <v>10</v>
      </c>
      <c r="BQ8" s="620" t="s">
        <v>11</v>
      </c>
      <c r="BR8" s="635" t="s">
        <v>23</v>
      </c>
      <c r="BS8" s="32"/>
      <c r="BT8" s="635" t="s">
        <v>24</v>
      </c>
      <c r="BU8" s="635" t="s">
        <v>25</v>
      </c>
      <c r="BV8" s="32"/>
      <c r="BW8" s="620" t="s">
        <v>26</v>
      </c>
      <c r="BX8" s="650" t="s">
        <v>27</v>
      </c>
      <c r="BY8" s="654" t="s">
        <v>12</v>
      </c>
      <c r="BZ8" s="650" t="s">
        <v>28</v>
      </c>
      <c r="CA8" s="638" t="s">
        <v>29</v>
      </c>
      <c r="CB8" s="650" t="s">
        <v>30</v>
      </c>
      <c r="CC8" s="650" t="s">
        <v>31</v>
      </c>
      <c r="CD8" s="55"/>
      <c r="CE8" s="640" t="s">
        <v>32</v>
      </c>
      <c r="CF8" s="640" t="s">
        <v>33</v>
      </c>
      <c r="CG8" s="642" t="s">
        <v>6</v>
      </c>
      <c r="CH8" s="642"/>
      <c r="CI8" s="642" t="s">
        <v>143</v>
      </c>
      <c r="CJ8" s="642"/>
      <c r="CK8" s="50"/>
    </row>
    <row r="9" spans="1:143" s="28" customFormat="1" ht="16" customHeight="1" x14ac:dyDescent="0.2">
      <c r="A9" s="32"/>
      <c r="B9" s="642"/>
      <c r="C9" s="642"/>
      <c r="D9" s="648"/>
      <c r="E9" s="643"/>
      <c r="F9" s="7" t="s">
        <v>14</v>
      </c>
      <c r="G9" s="7" t="s">
        <v>2</v>
      </c>
      <c r="H9" s="8" t="s">
        <v>16</v>
      </c>
      <c r="I9" s="8" t="s">
        <v>16</v>
      </c>
      <c r="J9" s="7" t="s">
        <v>142</v>
      </c>
      <c r="K9" s="7" t="s">
        <v>14</v>
      </c>
      <c r="L9" s="7" t="s">
        <v>15</v>
      </c>
      <c r="M9" s="7" t="s">
        <v>14</v>
      </c>
      <c r="N9" s="7" t="s">
        <v>2</v>
      </c>
      <c r="O9" s="8" t="s">
        <v>16</v>
      </c>
      <c r="P9" s="8" t="s">
        <v>16</v>
      </c>
      <c r="Q9" s="7" t="s">
        <v>142</v>
      </c>
      <c r="R9" s="7" t="s">
        <v>14</v>
      </c>
      <c r="S9" s="7" t="s">
        <v>15</v>
      </c>
      <c r="T9" s="7" t="s">
        <v>14</v>
      </c>
      <c r="U9" s="7" t="s">
        <v>2</v>
      </c>
      <c r="V9" s="8" t="s">
        <v>16</v>
      </c>
      <c r="W9" s="8" t="s">
        <v>16</v>
      </c>
      <c r="X9" s="7" t="s">
        <v>142</v>
      </c>
      <c r="Y9" s="7" t="s">
        <v>14</v>
      </c>
      <c r="Z9" s="7" t="s">
        <v>15</v>
      </c>
      <c r="AA9" s="7" t="s">
        <v>14</v>
      </c>
      <c r="AB9" s="7" t="s">
        <v>2</v>
      </c>
      <c r="AC9" s="8" t="s">
        <v>16</v>
      </c>
      <c r="AD9" s="8" t="s">
        <v>16</v>
      </c>
      <c r="AE9" s="7" t="s">
        <v>142</v>
      </c>
      <c r="AF9" s="7" t="s">
        <v>14</v>
      </c>
      <c r="AG9" s="7" t="s">
        <v>15</v>
      </c>
      <c r="AH9" s="7" t="s">
        <v>14</v>
      </c>
      <c r="AI9" s="7" t="s">
        <v>2</v>
      </c>
      <c r="AJ9" s="8" t="s">
        <v>16</v>
      </c>
      <c r="AK9" s="8" t="s">
        <v>16</v>
      </c>
      <c r="AL9" s="7" t="s">
        <v>142</v>
      </c>
      <c r="AM9" s="7" t="s">
        <v>14</v>
      </c>
      <c r="AN9" s="7" t="s">
        <v>15</v>
      </c>
      <c r="AO9" s="7" t="s">
        <v>14</v>
      </c>
      <c r="AP9" s="7" t="s">
        <v>2</v>
      </c>
      <c r="AQ9" s="8" t="s">
        <v>16</v>
      </c>
      <c r="AR9" s="8" t="s">
        <v>16</v>
      </c>
      <c r="AS9" s="7" t="s">
        <v>142</v>
      </c>
      <c r="AT9" s="7" t="s">
        <v>14</v>
      </c>
      <c r="AU9" s="7" t="s">
        <v>15</v>
      </c>
      <c r="AV9" s="7" t="s">
        <v>14</v>
      </c>
      <c r="AW9" s="7" t="s">
        <v>2</v>
      </c>
      <c r="AX9" s="8" t="s">
        <v>16</v>
      </c>
      <c r="AY9" s="8" t="s">
        <v>16</v>
      </c>
      <c r="AZ9" s="7" t="s">
        <v>142</v>
      </c>
      <c r="BA9" s="7" t="s">
        <v>14</v>
      </c>
      <c r="BB9" s="7" t="s">
        <v>15</v>
      </c>
      <c r="BC9" s="7" t="s">
        <v>14</v>
      </c>
      <c r="BD9" s="7" t="s">
        <v>2</v>
      </c>
      <c r="BE9" s="8" t="s">
        <v>16</v>
      </c>
      <c r="BF9" s="8" t="s">
        <v>16</v>
      </c>
      <c r="BG9" s="7" t="s">
        <v>142</v>
      </c>
      <c r="BH9" s="7" t="s">
        <v>14</v>
      </c>
      <c r="BI9" s="7" t="s">
        <v>15</v>
      </c>
      <c r="BJ9" s="7" t="s">
        <v>14</v>
      </c>
      <c r="BK9" s="7" t="s">
        <v>2</v>
      </c>
      <c r="BL9" s="8" t="s">
        <v>16</v>
      </c>
      <c r="BM9" s="640"/>
      <c r="BN9" s="620"/>
      <c r="BO9" s="643"/>
      <c r="BP9" s="620"/>
      <c r="BQ9" s="620"/>
      <c r="BR9" s="636"/>
      <c r="BS9" s="32"/>
      <c r="BT9" s="636"/>
      <c r="BU9" s="636"/>
      <c r="BV9" s="32"/>
      <c r="BW9" s="620"/>
      <c r="BX9" s="651"/>
      <c r="BY9" s="655"/>
      <c r="BZ9" s="651"/>
      <c r="CA9" s="638"/>
      <c r="CB9" s="651"/>
      <c r="CC9" s="651"/>
      <c r="CD9" s="55"/>
      <c r="CE9" s="640"/>
      <c r="CF9" s="640"/>
      <c r="CG9" s="642"/>
      <c r="CH9" s="642"/>
      <c r="CI9" s="642"/>
      <c r="CJ9" s="642"/>
      <c r="CK9" s="50"/>
    </row>
    <row r="10" spans="1:143" s="28" customFormat="1" ht="16" customHeight="1" x14ac:dyDescent="0.2">
      <c r="A10" s="32"/>
      <c r="B10" s="642"/>
      <c r="C10" s="642"/>
      <c r="D10" s="648"/>
      <c r="E10" s="643"/>
      <c r="F10" s="7">
        <v>1</v>
      </c>
      <c r="G10" s="7">
        <f>F10+1</f>
        <v>2</v>
      </c>
      <c r="H10" s="8">
        <f>G10+1</f>
        <v>3</v>
      </c>
      <c r="I10" s="8">
        <f t="shared" ref="I10:L10" si="0">H10+1</f>
        <v>4</v>
      </c>
      <c r="J10" s="7">
        <f t="shared" si="0"/>
        <v>5</v>
      </c>
      <c r="K10" s="7">
        <f t="shared" si="0"/>
        <v>6</v>
      </c>
      <c r="L10" s="7">
        <f t="shared" si="0"/>
        <v>7</v>
      </c>
      <c r="M10" s="7">
        <f>L10+1</f>
        <v>8</v>
      </c>
      <c r="N10" s="7">
        <f t="shared" ref="N10:AD10" si="1">M10+1</f>
        <v>9</v>
      </c>
      <c r="O10" s="8">
        <f t="shared" si="1"/>
        <v>10</v>
      </c>
      <c r="P10" s="8">
        <f t="shared" si="1"/>
        <v>11</v>
      </c>
      <c r="Q10" s="7">
        <f t="shared" si="1"/>
        <v>12</v>
      </c>
      <c r="R10" s="7">
        <f t="shared" si="1"/>
        <v>13</v>
      </c>
      <c r="S10" s="7">
        <f t="shared" si="1"/>
        <v>14</v>
      </c>
      <c r="T10" s="7">
        <f t="shared" si="1"/>
        <v>15</v>
      </c>
      <c r="U10" s="7">
        <f t="shared" si="1"/>
        <v>16</v>
      </c>
      <c r="V10" s="8">
        <f t="shared" si="1"/>
        <v>17</v>
      </c>
      <c r="W10" s="8">
        <f t="shared" si="1"/>
        <v>18</v>
      </c>
      <c r="X10" s="7">
        <f t="shared" si="1"/>
        <v>19</v>
      </c>
      <c r="Y10" s="7">
        <f t="shared" si="1"/>
        <v>20</v>
      </c>
      <c r="Z10" s="7">
        <f t="shared" si="1"/>
        <v>21</v>
      </c>
      <c r="AA10" s="7">
        <f t="shared" si="1"/>
        <v>22</v>
      </c>
      <c r="AB10" s="7">
        <f t="shared" si="1"/>
        <v>23</v>
      </c>
      <c r="AC10" s="8">
        <f t="shared" si="1"/>
        <v>24</v>
      </c>
      <c r="AD10" s="8">
        <f t="shared" si="1"/>
        <v>25</v>
      </c>
      <c r="AE10" s="7">
        <f t="shared" ref="AE10:AY10" si="2">AD10+1</f>
        <v>26</v>
      </c>
      <c r="AF10" s="7">
        <f t="shared" si="2"/>
        <v>27</v>
      </c>
      <c r="AG10" s="7">
        <f t="shared" si="2"/>
        <v>28</v>
      </c>
      <c r="AH10" s="7">
        <f t="shared" si="2"/>
        <v>29</v>
      </c>
      <c r="AI10" s="7">
        <f t="shared" si="2"/>
        <v>30</v>
      </c>
      <c r="AJ10" s="8">
        <f t="shared" si="2"/>
        <v>31</v>
      </c>
      <c r="AK10" s="8">
        <v>1</v>
      </c>
      <c r="AL10" s="7">
        <f t="shared" si="2"/>
        <v>2</v>
      </c>
      <c r="AM10" s="7">
        <f t="shared" si="2"/>
        <v>3</v>
      </c>
      <c r="AN10" s="7">
        <f t="shared" si="2"/>
        <v>4</v>
      </c>
      <c r="AO10" s="7">
        <f t="shared" si="2"/>
        <v>5</v>
      </c>
      <c r="AP10" s="7">
        <f t="shared" si="2"/>
        <v>6</v>
      </c>
      <c r="AQ10" s="8">
        <f t="shared" si="2"/>
        <v>7</v>
      </c>
      <c r="AR10" s="8">
        <f t="shared" si="2"/>
        <v>8</v>
      </c>
      <c r="AS10" s="7">
        <f t="shared" si="2"/>
        <v>9</v>
      </c>
      <c r="AT10" s="7">
        <f t="shared" si="2"/>
        <v>10</v>
      </c>
      <c r="AU10" s="7">
        <f t="shared" si="2"/>
        <v>11</v>
      </c>
      <c r="AV10" s="7">
        <f t="shared" si="2"/>
        <v>12</v>
      </c>
      <c r="AW10" s="7">
        <f t="shared" si="2"/>
        <v>13</v>
      </c>
      <c r="AX10" s="8">
        <f t="shared" si="2"/>
        <v>14</v>
      </c>
      <c r="AY10" s="8">
        <f t="shared" si="2"/>
        <v>15</v>
      </c>
      <c r="AZ10" s="7">
        <f t="shared" ref="AZ10:BL10" si="3">AY10+1</f>
        <v>16</v>
      </c>
      <c r="BA10" s="7">
        <f t="shared" si="3"/>
        <v>17</v>
      </c>
      <c r="BB10" s="7">
        <f t="shared" si="3"/>
        <v>18</v>
      </c>
      <c r="BC10" s="7">
        <f t="shared" si="3"/>
        <v>19</v>
      </c>
      <c r="BD10" s="7">
        <f t="shared" si="3"/>
        <v>20</v>
      </c>
      <c r="BE10" s="8">
        <f t="shared" si="3"/>
        <v>21</v>
      </c>
      <c r="BF10" s="8">
        <f t="shared" si="3"/>
        <v>22</v>
      </c>
      <c r="BG10" s="7">
        <f t="shared" si="3"/>
        <v>23</v>
      </c>
      <c r="BH10" s="7">
        <f t="shared" si="3"/>
        <v>24</v>
      </c>
      <c r="BI10" s="7">
        <f t="shared" si="3"/>
        <v>25</v>
      </c>
      <c r="BJ10" s="7">
        <f t="shared" si="3"/>
        <v>26</v>
      </c>
      <c r="BK10" s="7">
        <f t="shared" si="3"/>
        <v>27</v>
      </c>
      <c r="BL10" s="8">
        <f t="shared" si="3"/>
        <v>28</v>
      </c>
      <c r="BM10" s="640"/>
      <c r="BN10" s="620"/>
      <c r="BO10" s="643"/>
      <c r="BP10" s="620"/>
      <c r="BQ10" s="620"/>
      <c r="BR10" s="637"/>
      <c r="BS10" s="32"/>
      <c r="BT10" s="637"/>
      <c r="BU10" s="637"/>
      <c r="BV10" s="32"/>
      <c r="BW10" s="620"/>
      <c r="BX10" s="652"/>
      <c r="BY10" s="656"/>
      <c r="BZ10" s="652"/>
      <c r="CA10" s="638"/>
      <c r="CB10" s="652"/>
      <c r="CC10" s="652"/>
      <c r="CD10" s="55"/>
      <c r="CE10" s="640"/>
      <c r="CF10" s="640"/>
      <c r="CG10" s="7" t="s">
        <v>7</v>
      </c>
      <c r="CH10" s="7" t="s">
        <v>34</v>
      </c>
      <c r="CI10" s="307" t="s">
        <v>7</v>
      </c>
      <c r="CJ10" s="7" t="s">
        <v>34</v>
      </c>
      <c r="CK10" s="50"/>
    </row>
    <row r="11" spans="1:143" ht="16" customHeight="1" x14ac:dyDescent="0.25">
      <c r="A11" s="32"/>
      <c r="B11" s="56"/>
      <c r="C11" s="56"/>
      <c r="D11" s="57"/>
      <c r="E11" s="57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  <c r="BD11" s="56"/>
      <c r="BE11" s="56"/>
      <c r="BF11" s="56"/>
      <c r="BG11" s="56"/>
      <c r="BH11" s="56"/>
      <c r="BI11" s="56"/>
      <c r="BJ11" s="56"/>
      <c r="BK11" s="56"/>
      <c r="BL11" s="56"/>
      <c r="BM11" s="58"/>
      <c r="BN11" s="55"/>
      <c r="BO11" s="59"/>
      <c r="BP11" s="55"/>
      <c r="BQ11" s="55"/>
      <c r="BR11" s="55"/>
      <c r="BS11" s="32"/>
      <c r="BT11" s="55"/>
      <c r="BU11" s="55"/>
      <c r="BV11" s="32"/>
      <c r="BW11" s="60"/>
      <c r="BX11" s="61"/>
      <c r="BY11" s="62"/>
      <c r="BZ11" s="61"/>
      <c r="CA11" s="61"/>
      <c r="CB11" s="55"/>
      <c r="CC11" s="55"/>
      <c r="CD11" s="55"/>
    </row>
    <row r="12" spans="1:143" s="28" customFormat="1" ht="15.5" customHeight="1" x14ac:dyDescent="0.25">
      <c r="A12" s="32"/>
      <c r="B12" s="63"/>
      <c r="C12" s="64"/>
      <c r="D12" s="64"/>
      <c r="E12" s="41"/>
      <c r="F12" s="65"/>
      <c r="G12" s="65"/>
      <c r="H12" s="66"/>
      <c r="I12" s="66"/>
      <c r="J12" s="65"/>
      <c r="K12" s="214"/>
      <c r="L12" s="214"/>
      <c r="M12" s="214"/>
      <c r="N12" s="214"/>
      <c r="O12" s="66"/>
      <c r="P12" s="66"/>
      <c r="Q12" s="214"/>
      <c r="R12" s="214"/>
      <c r="S12" s="214"/>
      <c r="T12" s="214"/>
      <c r="U12" s="214"/>
      <c r="V12" s="66"/>
      <c r="W12" s="66"/>
      <c r="X12" s="214"/>
      <c r="Y12" s="214"/>
      <c r="Z12" s="214"/>
      <c r="AA12" s="214"/>
      <c r="AB12" s="214"/>
      <c r="AC12" s="66"/>
      <c r="AD12" s="66"/>
      <c r="AE12" s="214"/>
      <c r="AF12" s="214"/>
      <c r="AG12" s="214"/>
      <c r="AH12" s="214"/>
      <c r="AI12" s="214"/>
      <c r="AJ12" s="66"/>
      <c r="AK12" s="66"/>
      <c r="AL12" s="214"/>
      <c r="AM12" s="214"/>
      <c r="AN12" s="214"/>
      <c r="AO12" s="214"/>
      <c r="AP12" s="214"/>
      <c r="AQ12" s="66"/>
      <c r="AR12" s="66"/>
      <c r="AS12" s="214"/>
      <c r="AT12" s="214"/>
      <c r="AU12" s="214"/>
      <c r="AV12" s="214"/>
      <c r="AW12" s="214"/>
      <c r="AX12" s="66"/>
      <c r="AY12" s="66"/>
      <c r="AZ12" s="214"/>
      <c r="BA12" s="214"/>
      <c r="BB12" s="214"/>
      <c r="BC12" s="214"/>
      <c r="BD12" s="214"/>
      <c r="BE12" s="66"/>
      <c r="BF12" s="66"/>
      <c r="BG12" s="214"/>
      <c r="BH12" s="214"/>
      <c r="BI12" s="214"/>
      <c r="BJ12" s="214"/>
      <c r="BK12" s="214"/>
      <c r="BL12" s="66"/>
      <c r="BM12" s="67"/>
      <c r="BN12" s="68"/>
      <c r="BO12" s="69"/>
      <c r="BP12" s="68"/>
      <c r="BQ12" s="68"/>
      <c r="BR12" s="70"/>
      <c r="BS12" s="32"/>
      <c r="BT12" s="70"/>
      <c r="BU12" s="70"/>
      <c r="BV12" s="32"/>
      <c r="BW12" s="71"/>
      <c r="BX12" s="72"/>
      <c r="BY12" s="73"/>
      <c r="BZ12" s="74"/>
      <c r="CA12" s="75"/>
      <c r="CB12" s="76"/>
      <c r="CC12" s="18"/>
      <c r="CD12" s="10"/>
      <c r="CE12" s="77"/>
      <c r="CF12" s="78"/>
      <c r="CG12" s="35"/>
      <c r="CH12" s="79"/>
      <c r="CI12" s="308"/>
      <c r="CJ12" s="79"/>
      <c r="CK12" s="50"/>
      <c r="CL12" s="45"/>
      <c r="CM12" s="45"/>
      <c r="CN12" s="45"/>
      <c r="CO12" s="45"/>
      <c r="CP12" s="45"/>
      <c r="CQ12" s="45"/>
      <c r="CR12" s="45"/>
      <c r="CS12" s="45"/>
      <c r="CT12" s="45"/>
      <c r="CU12" s="45"/>
      <c r="CV12" s="45"/>
      <c r="CW12" s="45"/>
      <c r="CX12" s="45"/>
      <c r="CY12" s="45"/>
      <c r="CZ12" s="45"/>
      <c r="DA12" s="45"/>
      <c r="DB12" s="45"/>
      <c r="DC12" s="45"/>
      <c r="DD12" s="45"/>
      <c r="DE12" s="45"/>
      <c r="DF12" s="45"/>
      <c r="DG12" s="45"/>
      <c r="DH12" s="45"/>
      <c r="DI12" s="45"/>
      <c r="DJ12" s="45"/>
      <c r="DK12" s="45"/>
      <c r="DL12" s="45"/>
      <c r="DM12" s="45"/>
      <c r="DN12" s="45"/>
      <c r="DO12" s="45"/>
      <c r="DP12" s="45"/>
      <c r="DQ12" s="45"/>
      <c r="DR12" s="45"/>
      <c r="DS12" s="45"/>
      <c r="DT12" s="45"/>
      <c r="DU12" s="45"/>
      <c r="DV12" s="45"/>
      <c r="DW12" s="45"/>
      <c r="DX12" s="45"/>
      <c r="DY12" s="45"/>
      <c r="DZ12" s="45"/>
      <c r="EA12" s="45"/>
      <c r="EB12" s="45"/>
      <c r="EC12" s="45"/>
      <c r="ED12" s="45"/>
      <c r="EE12" s="45"/>
      <c r="EF12" s="45"/>
      <c r="EG12" s="45"/>
      <c r="EH12" s="45"/>
      <c r="EI12" s="45"/>
      <c r="EJ12" s="45"/>
      <c r="EK12" s="45"/>
      <c r="EL12" s="45"/>
      <c r="EM12" s="45"/>
    </row>
    <row r="13" spans="1:143" s="28" customFormat="1" ht="15.5" customHeight="1" x14ac:dyDescent="0.25">
      <c r="A13" s="32"/>
      <c r="B13" s="80" t="s">
        <v>35</v>
      </c>
      <c r="C13" s="343" t="s">
        <v>36</v>
      </c>
      <c r="D13" s="81"/>
      <c r="E13" s="39"/>
      <c r="F13" s="65"/>
      <c r="G13" s="65"/>
      <c r="H13" s="66"/>
      <c r="I13" s="66"/>
      <c r="J13" s="65"/>
      <c r="K13" s="214"/>
      <c r="L13" s="214"/>
      <c r="M13" s="214"/>
      <c r="N13" s="214"/>
      <c r="O13" s="66"/>
      <c r="P13" s="66"/>
      <c r="Q13" s="214"/>
      <c r="R13" s="214"/>
      <c r="S13" s="214"/>
      <c r="T13" s="214"/>
      <c r="U13" s="214"/>
      <c r="V13" s="66"/>
      <c r="W13" s="66"/>
      <c r="X13" s="214"/>
      <c r="Y13" s="214"/>
      <c r="Z13" s="214"/>
      <c r="AA13" s="214"/>
      <c r="AB13" s="214"/>
      <c r="AC13" s="66"/>
      <c r="AD13" s="66"/>
      <c r="AE13" s="214"/>
      <c r="AF13" s="214"/>
      <c r="AG13" s="214"/>
      <c r="AH13" s="214"/>
      <c r="AI13" s="214"/>
      <c r="AJ13" s="66"/>
      <c r="AK13" s="66"/>
      <c r="AL13" s="214"/>
      <c r="AM13" s="214"/>
      <c r="AN13" s="214"/>
      <c r="AO13" s="214"/>
      <c r="AP13" s="214"/>
      <c r="AQ13" s="66"/>
      <c r="AR13" s="66"/>
      <c r="AS13" s="214"/>
      <c r="AT13" s="214"/>
      <c r="AU13" s="214"/>
      <c r="AV13" s="214"/>
      <c r="AW13" s="214"/>
      <c r="AX13" s="66"/>
      <c r="AY13" s="66"/>
      <c r="AZ13" s="214"/>
      <c r="BA13" s="214"/>
      <c r="BB13" s="214"/>
      <c r="BC13" s="214"/>
      <c r="BD13" s="214"/>
      <c r="BE13" s="66"/>
      <c r="BF13" s="66"/>
      <c r="BG13" s="214"/>
      <c r="BH13" s="214"/>
      <c r="BI13" s="214"/>
      <c r="BJ13" s="214"/>
      <c r="BK13" s="214"/>
      <c r="BL13" s="66"/>
      <c r="BM13" s="82"/>
      <c r="BN13" s="22"/>
      <c r="BO13" s="83"/>
      <c r="BP13" s="22"/>
      <c r="BQ13" s="22"/>
      <c r="BR13" s="84"/>
      <c r="BS13" s="32"/>
      <c r="BT13" s="84"/>
      <c r="BU13" s="84"/>
      <c r="BV13" s="32"/>
      <c r="BW13" s="85"/>
      <c r="BX13" s="86"/>
      <c r="BY13" s="87"/>
      <c r="BZ13" s="88"/>
      <c r="CA13" s="89"/>
      <c r="CB13" s="90"/>
      <c r="CC13" s="21"/>
      <c r="CD13" s="10"/>
      <c r="CE13" s="44"/>
      <c r="CF13" s="91"/>
      <c r="CG13" s="37"/>
      <c r="CH13" s="92"/>
      <c r="CI13" s="309"/>
      <c r="CJ13" s="92"/>
      <c r="CK13" s="50"/>
      <c r="CL13" s="45"/>
      <c r="CM13" s="45"/>
      <c r="CN13" s="45"/>
      <c r="CO13" s="45"/>
      <c r="CP13" s="45"/>
      <c r="CQ13" s="45"/>
      <c r="CR13" s="45"/>
      <c r="CS13" s="45"/>
      <c r="CT13" s="45"/>
      <c r="CU13" s="45"/>
      <c r="CV13" s="45"/>
      <c r="CW13" s="45"/>
      <c r="CX13" s="45"/>
      <c r="CY13" s="45"/>
      <c r="CZ13" s="45"/>
      <c r="DA13" s="45"/>
      <c r="DB13" s="45"/>
      <c r="DC13" s="45"/>
      <c r="DD13" s="45"/>
      <c r="DE13" s="45"/>
      <c r="DF13" s="45"/>
      <c r="DG13" s="45"/>
      <c r="DH13" s="45"/>
      <c r="DI13" s="45"/>
      <c r="DJ13" s="45"/>
      <c r="DK13" s="45"/>
      <c r="DL13" s="45"/>
      <c r="DM13" s="45"/>
      <c r="DN13" s="45"/>
      <c r="DO13" s="45"/>
      <c r="DP13" s="45"/>
      <c r="DQ13" s="45"/>
      <c r="DR13" s="45"/>
      <c r="DS13" s="45"/>
      <c r="DT13" s="45"/>
      <c r="DU13" s="45"/>
      <c r="DV13" s="45"/>
      <c r="DW13" s="45"/>
      <c r="DX13" s="45"/>
      <c r="DY13" s="45"/>
      <c r="DZ13" s="45"/>
      <c r="EA13" s="45"/>
      <c r="EB13" s="45"/>
      <c r="EC13" s="45"/>
      <c r="ED13" s="45"/>
      <c r="EE13" s="45"/>
      <c r="EF13" s="45"/>
      <c r="EG13" s="45"/>
      <c r="EH13" s="45"/>
      <c r="EI13" s="45"/>
      <c r="EJ13" s="45"/>
      <c r="EK13" s="45"/>
      <c r="EL13" s="45"/>
      <c r="EM13" s="45"/>
    </row>
    <row r="14" spans="1:143" s="28" customFormat="1" ht="15.5" customHeight="1" x14ac:dyDescent="0.25">
      <c r="A14" s="32"/>
      <c r="B14" s="93" t="s">
        <v>37</v>
      </c>
      <c r="C14" s="344" t="s">
        <v>38</v>
      </c>
      <c r="D14" s="95" t="s">
        <v>39</v>
      </c>
      <c r="E14" s="39" t="s">
        <v>40</v>
      </c>
      <c r="F14" s="65"/>
      <c r="G14" s="65"/>
      <c r="H14" s="66"/>
      <c r="I14" s="66"/>
      <c r="J14" s="65"/>
      <c r="K14" s="214"/>
      <c r="L14" s="214"/>
      <c r="M14" s="214"/>
      <c r="N14" s="214"/>
      <c r="O14" s="66"/>
      <c r="P14" s="66"/>
      <c r="Q14" s="214"/>
      <c r="R14" s="214"/>
      <c r="S14" s="214"/>
      <c r="T14" s="214"/>
      <c r="U14" s="214"/>
      <c r="V14" s="66"/>
      <c r="W14" s="66"/>
      <c r="X14" s="214"/>
      <c r="Y14" s="214"/>
      <c r="Z14" s="214"/>
      <c r="AA14" s="214"/>
      <c r="AB14" s="214"/>
      <c r="AC14" s="66"/>
      <c r="AD14" s="66"/>
      <c r="AE14" s="214">
        <v>2</v>
      </c>
      <c r="AF14" s="214">
        <v>2</v>
      </c>
      <c r="AG14" s="214">
        <v>2</v>
      </c>
      <c r="AH14" s="214">
        <v>2</v>
      </c>
      <c r="AI14" s="214">
        <v>2</v>
      </c>
      <c r="AJ14" s="66"/>
      <c r="AK14" s="66"/>
      <c r="AL14" s="214">
        <v>2</v>
      </c>
      <c r="AM14" s="214">
        <v>2</v>
      </c>
      <c r="AN14" s="214">
        <v>2</v>
      </c>
      <c r="AO14" s="214">
        <v>2</v>
      </c>
      <c r="AP14" s="214">
        <v>2</v>
      </c>
      <c r="AQ14" s="66"/>
      <c r="AR14" s="66"/>
      <c r="AS14" s="214">
        <v>2</v>
      </c>
      <c r="AT14" s="214">
        <v>2</v>
      </c>
      <c r="AU14" s="214">
        <v>1</v>
      </c>
      <c r="AV14" s="214">
        <v>1</v>
      </c>
      <c r="AW14" s="214">
        <v>1</v>
      </c>
      <c r="AX14" s="66"/>
      <c r="AY14" s="66"/>
      <c r="AZ14" s="214"/>
      <c r="BA14" s="214"/>
      <c r="BB14" s="214"/>
      <c r="BC14" s="214"/>
      <c r="BD14" s="214"/>
      <c r="BE14" s="66"/>
      <c r="BF14" s="66"/>
      <c r="BG14" s="214"/>
      <c r="BH14" s="214"/>
      <c r="BI14" s="214"/>
      <c r="BJ14" s="214"/>
      <c r="BK14" s="214"/>
      <c r="BL14" s="66"/>
      <c r="BM14" s="82">
        <f>SUM(F14:BL14)</f>
        <v>27</v>
      </c>
      <c r="BN14" s="21">
        <v>14586</v>
      </c>
      <c r="BO14" s="217">
        <v>0.64</v>
      </c>
      <c r="BP14" s="22">
        <f>BN14*(1-BO14)</f>
        <v>5250.96</v>
      </c>
      <c r="BQ14" s="22">
        <f>BP14*BM14</f>
        <v>141775.92000000001</v>
      </c>
      <c r="BR14" s="84">
        <f>BQ14*0.8</f>
        <v>113420.73600000002</v>
      </c>
      <c r="BS14" s="97"/>
      <c r="BT14" s="660" cm="1">
        <f t="array" ref="BT14">SUM(BR14:BR15/$BR$29)</f>
        <v>0.30908321572099173</v>
      </c>
      <c r="BU14" s="661">
        <v>0.31796335413369642</v>
      </c>
      <c r="BV14" s="97"/>
      <c r="BW14" s="99">
        <v>0.97</v>
      </c>
      <c r="BX14" s="86">
        <v>97631</v>
      </c>
      <c r="BY14" s="87">
        <f>BW14*BM14</f>
        <v>26.189999999999998</v>
      </c>
      <c r="BZ14" s="88">
        <v>11451245</v>
      </c>
      <c r="CA14" s="100">
        <v>16255139</v>
      </c>
      <c r="CB14" s="90">
        <f>CA14*BY14/100</f>
        <v>4257220.9040999999</v>
      </c>
      <c r="CC14" s="21">
        <f>SUM(BR14:BR15)/SUM(CB14:CB15)*1000</f>
        <v>30.079639408444333</v>
      </c>
      <c r="CD14" s="10"/>
      <c r="CE14" s="44" t="s">
        <v>36</v>
      </c>
      <c r="CF14" s="91">
        <f>BP14*0.8</f>
        <v>4200.768</v>
      </c>
      <c r="CG14" s="37">
        <f>SUM(F14:AJ14)</f>
        <v>10</v>
      </c>
      <c r="CH14" s="92">
        <f>CF14*CG14</f>
        <v>42007.68</v>
      </c>
      <c r="CI14" s="309">
        <f>SUM(AK14:BL14)</f>
        <v>17</v>
      </c>
      <c r="CJ14" s="92">
        <f>CI14*CF14</f>
        <v>71413.055999999997</v>
      </c>
      <c r="CK14" s="101" t="b">
        <f>(CH14+CJ14)=BR14</f>
        <v>1</v>
      </c>
      <c r="CL14" s="45"/>
      <c r="CM14" s="45"/>
      <c r="CN14" s="45"/>
      <c r="CO14" s="45"/>
      <c r="CP14" s="45"/>
      <c r="CQ14" s="45"/>
      <c r="CR14" s="45"/>
      <c r="CS14" s="45"/>
      <c r="CT14" s="45"/>
      <c r="CU14" s="45"/>
      <c r="CV14" s="45"/>
      <c r="CW14" s="45"/>
      <c r="CX14" s="45"/>
      <c r="CY14" s="45"/>
      <c r="CZ14" s="45"/>
      <c r="DA14" s="45"/>
      <c r="DB14" s="45"/>
      <c r="DC14" s="45"/>
      <c r="DD14" s="45"/>
      <c r="DE14" s="45"/>
      <c r="DF14" s="45"/>
      <c r="DG14" s="45"/>
      <c r="DH14" s="45"/>
      <c r="DI14" s="45"/>
      <c r="DJ14" s="45"/>
      <c r="DK14" s="45"/>
      <c r="DL14" s="45"/>
      <c r="DM14" s="45"/>
      <c r="DN14" s="45"/>
      <c r="DO14" s="45"/>
      <c r="DP14" s="45"/>
      <c r="DQ14" s="45"/>
      <c r="DR14" s="45"/>
      <c r="DS14" s="45"/>
      <c r="DT14" s="45"/>
      <c r="DU14" s="45"/>
      <c r="DV14" s="45"/>
      <c r="DW14" s="45"/>
      <c r="DX14" s="45"/>
      <c r="DY14" s="45"/>
      <c r="DZ14" s="45"/>
      <c r="EA14" s="45"/>
      <c r="EB14" s="45"/>
      <c r="EC14" s="45"/>
      <c r="ED14" s="45"/>
      <c r="EE14" s="45"/>
      <c r="EF14" s="45"/>
      <c r="EG14" s="45"/>
      <c r="EH14" s="45"/>
      <c r="EI14" s="45"/>
      <c r="EJ14" s="45"/>
      <c r="EK14" s="45"/>
      <c r="EL14" s="45"/>
      <c r="EM14" s="45"/>
    </row>
    <row r="15" spans="1:143" s="28" customFormat="1" ht="15.5" customHeight="1" x14ac:dyDescent="0.25">
      <c r="A15" s="32"/>
      <c r="B15" s="102"/>
      <c r="C15" s="344"/>
      <c r="D15" s="95" t="s">
        <v>39</v>
      </c>
      <c r="E15" s="39" t="s">
        <v>141</v>
      </c>
      <c r="F15" s="65"/>
      <c r="G15" s="65"/>
      <c r="H15" s="66"/>
      <c r="I15" s="66"/>
      <c r="J15" s="65"/>
      <c r="K15" s="214"/>
      <c r="L15" s="214"/>
      <c r="M15" s="214"/>
      <c r="N15" s="214"/>
      <c r="O15" s="66"/>
      <c r="P15" s="66"/>
      <c r="Q15" s="214"/>
      <c r="R15" s="214"/>
      <c r="S15" s="214"/>
      <c r="T15" s="214"/>
      <c r="U15" s="214"/>
      <c r="V15" s="66"/>
      <c r="W15" s="66"/>
      <c r="X15" s="214">
        <v>1</v>
      </c>
      <c r="Y15" s="214">
        <v>1</v>
      </c>
      <c r="Z15" s="214">
        <v>1</v>
      </c>
      <c r="AA15" s="214">
        <v>1</v>
      </c>
      <c r="AB15" s="214"/>
      <c r="AC15" s="66"/>
      <c r="AD15" s="66"/>
      <c r="AE15" s="214"/>
      <c r="AF15" s="214"/>
      <c r="AG15" s="214"/>
      <c r="AH15" s="214"/>
      <c r="AI15" s="214"/>
      <c r="AJ15" s="66"/>
      <c r="AK15" s="66"/>
      <c r="AL15" s="214"/>
      <c r="AM15" s="214"/>
      <c r="AN15" s="214"/>
      <c r="AO15" s="214"/>
      <c r="AP15" s="214"/>
      <c r="AQ15" s="66"/>
      <c r="AR15" s="66"/>
      <c r="AS15" s="214"/>
      <c r="AT15" s="214"/>
      <c r="AU15" s="214"/>
      <c r="AV15" s="214"/>
      <c r="AW15" s="214"/>
      <c r="AX15" s="66"/>
      <c r="AY15" s="66"/>
      <c r="AZ15" s="214"/>
      <c r="BA15" s="214"/>
      <c r="BB15" s="214"/>
      <c r="BC15" s="214"/>
      <c r="BD15" s="214"/>
      <c r="BE15" s="66"/>
      <c r="BF15" s="66"/>
      <c r="BG15" s="214"/>
      <c r="BH15" s="214"/>
      <c r="BI15" s="214"/>
      <c r="BJ15" s="214"/>
      <c r="BK15" s="214"/>
      <c r="BL15" s="66"/>
      <c r="BM15" s="82">
        <f>SUM(F15:BL15)</f>
        <v>4</v>
      </c>
      <c r="BN15" s="21">
        <f>BN14*2</f>
        <v>29172</v>
      </c>
      <c r="BO15" s="217">
        <v>0.64</v>
      </c>
      <c r="BP15" s="22">
        <f>BN15*(1-BO15)</f>
        <v>10501.92</v>
      </c>
      <c r="BQ15" s="22">
        <f>BP15*BM15</f>
        <v>42007.68</v>
      </c>
      <c r="BR15" s="84">
        <f>BQ15*0.8</f>
        <v>33606.144</v>
      </c>
      <c r="BS15" s="97"/>
      <c r="BT15" s="660"/>
      <c r="BU15" s="661"/>
      <c r="BV15" s="97"/>
      <c r="BW15" s="99">
        <v>0.97</v>
      </c>
      <c r="BX15" s="86">
        <v>97631</v>
      </c>
      <c r="BY15" s="87">
        <f>BW15*BM15</f>
        <v>3.88</v>
      </c>
      <c r="BZ15" s="88">
        <v>11451245</v>
      </c>
      <c r="CA15" s="100">
        <v>16255139</v>
      </c>
      <c r="CB15" s="90">
        <f>CA15*BY15/100</f>
        <v>630699.39320000005</v>
      </c>
      <c r="CC15" s="21">
        <f>SUM(BR15:BR16)/SUM(CB15:CB16)*1000</f>
        <v>53.283932666387088</v>
      </c>
      <c r="CD15" s="10"/>
      <c r="CE15" s="44" t="s">
        <v>36</v>
      </c>
      <c r="CF15" s="91">
        <f>BP15*0.8</f>
        <v>8401.5360000000001</v>
      </c>
      <c r="CG15" s="37">
        <f t="shared" ref="CG15" si="4">SUM(F15:AJ15)</f>
        <v>4</v>
      </c>
      <c r="CH15" s="92">
        <f>CF15*CG15</f>
        <v>33606.144</v>
      </c>
      <c r="CI15" s="309">
        <f t="shared" ref="CI15" si="5">SUM(AK15:BL15)</f>
        <v>0</v>
      </c>
      <c r="CJ15" s="92">
        <f>CI15*CF15</f>
        <v>0</v>
      </c>
      <c r="CK15" s="101" t="b">
        <f>(CH15+CJ15)=BR15</f>
        <v>1</v>
      </c>
      <c r="CL15" s="45"/>
      <c r="CM15" s="45"/>
      <c r="CN15" s="45"/>
      <c r="CO15" s="45"/>
      <c r="CP15" s="45"/>
      <c r="CQ15" s="45"/>
      <c r="CR15" s="45"/>
      <c r="CS15" s="45"/>
      <c r="CT15" s="45"/>
      <c r="CU15" s="45"/>
      <c r="CV15" s="45"/>
      <c r="CW15" s="45"/>
      <c r="CX15" s="45"/>
      <c r="CY15" s="45"/>
      <c r="CZ15" s="45"/>
      <c r="DA15" s="45"/>
      <c r="DB15" s="45"/>
      <c r="DC15" s="45"/>
      <c r="DD15" s="45"/>
      <c r="DE15" s="45"/>
      <c r="DF15" s="45"/>
      <c r="DG15" s="45"/>
      <c r="DH15" s="45"/>
      <c r="DI15" s="45"/>
      <c r="DJ15" s="45"/>
      <c r="DK15" s="45"/>
      <c r="DL15" s="45"/>
      <c r="DM15" s="45"/>
      <c r="DN15" s="45"/>
      <c r="DO15" s="45"/>
      <c r="DP15" s="45"/>
      <c r="DQ15" s="45"/>
      <c r="DR15" s="45"/>
      <c r="DS15" s="45"/>
      <c r="DT15" s="45"/>
      <c r="DU15" s="45"/>
      <c r="DV15" s="45"/>
      <c r="DW15" s="45"/>
      <c r="DX15" s="45"/>
      <c r="DY15" s="45"/>
      <c r="DZ15" s="45"/>
      <c r="EA15" s="45"/>
      <c r="EB15" s="45"/>
      <c r="EC15" s="45"/>
      <c r="ED15" s="45"/>
      <c r="EE15" s="45"/>
      <c r="EF15" s="45"/>
      <c r="EG15" s="45"/>
      <c r="EH15" s="45"/>
      <c r="EI15" s="45"/>
      <c r="EJ15" s="45"/>
      <c r="EK15" s="45"/>
      <c r="EL15" s="45"/>
      <c r="EM15" s="45"/>
    </row>
    <row r="16" spans="1:143" s="28" customFormat="1" ht="15.5" customHeight="1" x14ac:dyDescent="0.25">
      <c r="A16" s="32"/>
      <c r="B16" s="102"/>
      <c r="C16" s="344"/>
      <c r="D16" s="95"/>
      <c r="E16" s="39"/>
      <c r="F16" s="65"/>
      <c r="G16" s="65"/>
      <c r="H16" s="66"/>
      <c r="I16" s="66"/>
      <c r="J16" s="65"/>
      <c r="K16" s="214"/>
      <c r="L16" s="214"/>
      <c r="M16" s="214"/>
      <c r="N16" s="214"/>
      <c r="O16" s="66"/>
      <c r="P16" s="66"/>
      <c r="Q16" s="214"/>
      <c r="R16" s="214"/>
      <c r="S16" s="214"/>
      <c r="T16" s="214"/>
      <c r="U16" s="214"/>
      <c r="V16" s="66"/>
      <c r="W16" s="66"/>
      <c r="X16" s="214"/>
      <c r="Y16" s="214"/>
      <c r="Z16" s="214"/>
      <c r="AA16" s="214"/>
      <c r="AB16" s="214"/>
      <c r="AC16" s="66"/>
      <c r="AD16" s="66"/>
      <c r="AE16" s="214"/>
      <c r="AF16" s="214"/>
      <c r="AG16" s="214"/>
      <c r="AH16" s="214"/>
      <c r="AI16" s="214"/>
      <c r="AJ16" s="66"/>
      <c r="AK16" s="66"/>
      <c r="AL16" s="214"/>
      <c r="AM16" s="214"/>
      <c r="AN16" s="214"/>
      <c r="AO16" s="214"/>
      <c r="AP16" s="214"/>
      <c r="AQ16" s="66"/>
      <c r="AR16" s="66"/>
      <c r="AS16" s="214"/>
      <c r="AT16" s="214"/>
      <c r="AU16" s="214"/>
      <c r="AV16" s="214"/>
      <c r="AW16" s="214"/>
      <c r="AX16" s="66"/>
      <c r="AY16" s="66"/>
      <c r="AZ16" s="214"/>
      <c r="BA16" s="214"/>
      <c r="BB16" s="214"/>
      <c r="BC16" s="214"/>
      <c r="BD16" s="214"/>
      <c r="BE16" s="66"/>
      <c r="BF16" s="66"/>
      <c r="BG16" s="214"/>
      <c r="BH16" s="214"/>
      <c r="BI16" s="214"/>
      <c r="BJ16" s="214"/>
      <c r="BK16" s="214"/>
      <c r="BL16" s="66"/>
      <c r="BM16" s="82"/>
      <c r="BN16" s="22"/>
      <c r="BO16" s="103"/>
      <c r="BP16" s="22"/>
      <c r="BQ16" s="22"/>
      <c r="BR16" s="104"/>
      <c r="BS16" s="97"/>
      <c r="BT16" s="105"/>
      <c r="BU16" s="105"/>
      <c r="BV16" s="97"/>
      <c r="BW16" s="106"/>
      <c r="BX16" s="107"/>
      <c r="BY16" s="108"/>
      <c r="BZ16" s="109"/>
      <c r="CA16" s="110"/>
      <c r="CB16" s="109"/>
      <c r="CC16" s="21"/>
      <c r="CD16" s="10"/>
      <c r="CE16" s="44"/>
      <c r="CF16" s="91"/>
      <c r="CG16" s="37"/>
      <c r="CH16" s="92"/>
      <c r="CI16" s="309"/>
      <c r="CJ16" s="92"/>
      <c r="CK16" s="50"/>
      <c r="CL16" s="45"/>
      <c r="CM16" s="45"/>
      <c r="CN16" s="45"/>
      <c r="CO16" s="45"/>
      <c r="CP16" s="45"/>
      <c r="CQ16" s="45"/>
      <c r="CR16" s="45"/>
      <c r="CS16" s="45"/>
      <c r="CT16" s="45"/>
      <c r="CU16" s="45"/>
      <c r="CV16" s="45"/>
      <c r="CW16" s="45"/>
      <c r="CX16" s="45"/>
      <c r="CY16" s="45"/>
      <c r="CZ16" s="45"/>
      <c r="DA16" s="45"/>
      <c r="DB16" s="45"/>
      <c r="DC16" s="45"/>
      <c r="DD16" s="45"/>
      <c r="DE16" s="45"/>
      <c r="DF16" s="45"/>
      <c r="DG16" s="45"/>
      <c r="DH16" s="45"/>
      <c r="DI16" s="45"/>
      <c r="DJ16" s="45"/>
      <c r="DK16" s="45"/>
      <c r="DL16" s="45"/>
      <c r="DM16" s="45"/>
      <c r="DN16" s="45"/>
      <c r="DO16" s="45"/>
      <c r="DP16" s="45"/>
      <c r="DQ16" s="45"/>
      <c r="DR16" s="45"/>
      <c r="DS16" s="45"/>
      <c r="DT16" s="45"/>
      <c r="DU16" s="45"/>
      <c r="DV16" s="45"/>
      <c r="DW16" s="45"/>
      <c r="DX16" s="45"/>
      <c r="DY16" s="45"/>
      <c r="DZ16" s="45"/>
      <c r="EA16" s="45"/>
      <c r="EB16" s="45"/>
      <c r="EC16" s="45"/>
      <c r="ED16" s="45"/>
      <c r="EE16" s="45"/>
      <c r="EF16" s="45"/>
      <c r="EG16" s="45"/>
      <c r="EH16" s="45"/>
      <c r="EI16" s="45"/>
      <c r="EJ16" s="45"/>
      <c r="EK16" s="45"/>
      <c r="EL16" s="45"/>
      <c r="EM16" s="45"/>
    </row>
    <row r="17" spans="1:143" s="28" customFormat="1" ht="15.5" customHeight="1" x14ac:dyDescent="0.25">
      <c r="A17" s="32"/>
      <c r="B17" s="111"/>
      <c r="C17" s="343"/>
      <c r="D17" s="81"/>
      <c r="E17" s="39"/>
      <c r="F17" s="65"/>
      <c r="G17" s="65"/>
      <c r="H17" s="66"/>
      <c r="I17" s="66"/>
      <c r="J17" s="65"/>
      <c r="K17" s="214"/>
      <c r="L17" s="214"/>
      <c r="M17" s="214"/>
      <c r="N17" s="214"/>
      <c r="O17" s="66"/>
      <c r="P17" s="66"/>
      <c r="Q17" s="214"/>
      <c r="R17" s="214"/>
      <c r="S17" s="214"/>
      <c r="T17" s="214"/>
      <c r="U17" s="214"/>
      <c r="V17" s="66"/>
      <c r="W17" s="66"/>
      <c r="X17" s="214"/>
      <c r="Y17" s="214"/>
      <c r="Z17" s="214"/>
      <c r="AA17" s="214"/>
      <c r="AB17" s="214"/>
      <c r="AC17" s="66"/>
      <c r="AD17" s="66"/>
      <c r="AE17" s="214"/>
      <c r="AF17" s="214"/>
      <c r="AG17" s="214"/>
      <c r="AH17" s="214"/>
      <c r="AI17" s="214"/>
      <c r="AJ17" s="66"/>
      <c r="AK17" s="66"/>
      <c r="AL17" s="214"/>
      <c r="AM17" s="214"/>
      <c r="AN17" s="214"/>
      <c r="AO17" s="214"/>
      <c r="AP17" s="214"/>
      <c r="AQ17" s="66"/>
      <c r="AR17" s="66"/>
      <c r="AS17" s="214"/>
      <c r="AT17" s="214"/>
      <c r="AU17" s="214"/>
      <c r="AV17" s="214"/>
      <c r="AW17" s="214"/>
      <c r="AX17" s="66"/>
      <c r="AY17" s="66"/>
      <c r="AZ17" s="214"/>
      <c r="BA17" s="214"/>
      <c r="BB17" s="214"/>
      <c r="BC17" s="214"/>
      <c r="BD17" s="214"/>
      <c r="BE17" s="66"/>
      <c r="BF17" s="66"/>
      <c r="BG17" s="214"/>
      <c r="BH17" s="214"/>
      <c r="BI17" s="214"/>
      <c r="BJ17" s="214"/>
      <c r="BK17" s="214"/>
      <c r="BL17" s="66"/>
      <c r="BM17" s="67"/>
      <c r="BN17" s="68"/>
      <c r="BO17" s="112"/>
      <c r="BP17" s="68"/>
      <c r="BQ17" s="68"/>
      <c r="BR17" s="84"/>
      <c r="BS17" s="97"/>
      <c r="BT17" s="98"/>
      <c r="BU17" s="98"/>
      <c r="BV17" s="97"/>
      <c r="BW17" s="99"/>
      <c r="BX17" s="86"/>
      <c r="BY17" s="87"/>
      <c r="BZ17" s="88"/>
      <c r="CA17" s="89"/>
      <c r="CB17" s="90"/>
      <c r="CC17" s="18"/>
      <c r="CD17" s="10"/>
      <c r="CE17" s="44"/>
      <c r="CF17" s="91"/>
      <c r="CG17" s="37"/>
      <c r="CH17" s="92"/>
      <c r="CI17" s="309"/>
      <c r="CJ17" s="92"/>
      <c r="CK17" s="50"/>
      <c r="CL17" s="45"/>
      <c r="CM17" s="45"/>
      <c r="CN17" s="45"/>
      <c r="CO17" s="45"/>
      <c r="CP17" s="45"/>
      <c r="CQ17" s="45"/>
      <c r="CR17" s="45"/>
      <c r="CS17" s="45"/>
      <c r="CT17" s="45"/>
      <c r="CU17" s="45"/>
      <c r="CV17" s="45"/>
      <c r="CW17" s="45"/>
      <c r="CX17" s="45"/>
      <c r="CY17" s="45"/>
      <c r="CZ17" s="45"/>
      <c r="DA17" s="45"/>
      <c r="DB17" s="45"/>
      <c r="DC17" s="45"/>
      <c r="DD17" s="45"/>
      <c r="DE17" s="45"/>
      <c r="DF17" s="45"/>
      <c r="DG17" s="45"/>
      <c r="DH17" s="45"/>
      <c r="DI17" s="45"/>
      <c r="DJ17" s="45"/>
      <c r="DK17" s="45"/>
      <c r="DL17" s="45"/>
      <c r="DM17" s="45"/>
      <c r="DN17" s="45"/>
      <c r="DO17" s="45"/>
      <c r="DP17" s="45"/>
      <c r="DQ17" s="45"/>
      <c r="DR17" s="45"/>
      <c r="DS17" s="45"/>
      <c r="DT17" s="45"/>
      <c r="DU17" s="45"/>
      <c r="DV17" s="45"/>
      <c r="DW17" s="45"/>
      <c r="DX17" s="45"/>
      <c r="DY17" s="45"/>
      <c r="DZ17" s="45"/>
      <c r="EA17" s="45"/>
      <c r="EB17" s="45"/>
      <c r="EC17" s="45"/>
      <c r="ED17" s="45"/>
      <c r="EE17" s="45"/>
      <c r="EF17" s="45"/>
      <c r="EG17" s="45"/>
      <c r="EH17" s="45"/>
      <c r="EI17" s="45"/>
      <c r="EJ17" s="45"/>
      <c r="EK17" s="45"/>
      <c r="EL17" s="45"/>
      <c r="EM17" s="45"/>
    </row>
    <row r="18" spans="1:143" ht="15.5" customHeight="1" x14ac:dyDescent="0.25">
      <c r="A18" s="32"/>
      <c r="B18" s="111"/>
      <c r="C18" s="343" t="s">
        <v>43</v>
      </c>
      <c r="D18" s="95" t="s">
        <v>39</v>
      </c>
      <c r="E18" s="39" t="s">
        <v>40</v>
      </c>
      <c r="F18" s="65"/>
      <c r="G18" s="65"/>
      <c r="H18" s="66"/>
      <c r="I18" s="66"/>
      <c r="J18" s="65"/>
      <c r="K18" s="214"/>
      <c r="L18" s="214"/>
      <c r="M18" s="214"/>
      <c r="N18" s="214"/>
      <c r="O18" s="66"/>
      <c r="P18" s="66"/>
      <c r="Q18" s="214"/>
      <c r="R18" s="214"/>
      <c r="S18" s="214"/>
      <c r="T18" s="214"/>
      <c r="U18" s="214"/>
      <c r="V18" s="66"/>
      <c r="W18" s="66"/>
      <c r="X18" s="214"/>
      <c r="Y18" s="214"/>
      <c r="Z18" s="214"/>
      <c r="AA18" s="214"/>
      <c r="AB18" s="214"/>
      <c r="AC18" s="66"/>
      <c r="AD18" s="66"/>
      <c r="AE18" s="214">
        <v>2</v>
      </c>
      <c r="AF18" s="214">
        <v>2</v>
      </c>
      <c r="AG18" s="214">
        <v>2</v>
      </c>
      <c r="AH18" s="214">
        <v>2</v>
      </c>
      <c r="AI18" s="214">
        <v>2</v>
      </c>
      <c r="AJ18" s="66"/>
      <c r="AK18" s="66"/>
      <c r="AL18" s="214">
        <v>2</v>
      </c>
      <c r="AM18" s="214">
        <v>2</v>
      </c>
      <c r="AN18" s="214">
        <v>2</v>
      </c>
      <c r="AO18" s="214">
        <v>2</v>
      </c>
      <c r="AP18" s="214">
        <v>2</v>
      </c>
      <c r="AQ18" s="66"/>
      <c r="AR18" s="66"/>
      <c r="AS18" s="214">
        <v>2</v>
      </c>
      <c r="AT18" s="214">
        <v>2</v>
      </c>
      <c r="AU18" s="214">
        <v>2</v>
      </c>
      <c r="AV18" s="214">
        <v>2</v>
      </c>
      <c r="AW18" s="214">
        <v>2</v>
      </c>
      <c r="AX18" s="66"/>
      <c r="AY18" s="66"/>
      <c r="AZ18" s="214"/>
      <c r="BA18" s="214"/>
      <c r="BB18" s="214"/>
      <c r="BC18" s="214"/>
      <c r="BD18" s="214"/>
      <c r="BE18" s="66"/>
      <c r="BF18" s="66"/>
      <c r="BG18" s="214"/>
      <c r="BH18" s="214"/>
      <c r="BI18" s="214"/>
      <c r="BJ18" s="214"/>
      <c r="BK18" s="214"/>
      <c r="BL18" s="66"/>
      <c r="BM18" s="82">
        <f>SUM(F18:BL18)</f>
        <v>30</v>
      </c>
      <c r="BN18" s="22">
        <v>7984</v>
      </c>
      <c r="BO18" s="103">
        <v>0.65</v>
      </c>
      <c r="BP18" s="22">
        <f>BN18*(1-BO18)</f>
        <v>2794.3999999999996</v>
      </c>
      <c r="BQ18" s="22">
        <f>BP18*BM18</f>
        <v>83831.999999999985</v>
      </c>
      <c r="BR18" s="84">
        <f>BQ18*0.8</f>
        <v>67065.599999999991</v>
      </c>
      <c r="BS18" s="97"/>
      <c r="BT18" s="660">
        <f>SUM(BR18:BR19)/$BR$29</f>
        <v>0.23497802252506184</v>
      </c>
      <c r="BU18" s="661">
        <v>0.26616162091521489</v>
      </c>
      <c r="BV18" s="97"/>
      <c r="BW18" s="99">
        <v>0.92</v>
      </c>
      <c r="BX18" s="86">
        <v>81725</v>
      </c>
      <c r="BY18" s="87">
        <f>BW18*BM18</f>
        <v>27.6</v>
      </c>
      <c r="BZ18" s="88">
        <v>11451245</v>
      </c>
      <c r="CA18" s="100">
        <v>16255139</v>
      </c>
      <c r="CB18" s="90">
        <f>CA18*BY18/100</f>
        <v>4486418.3640000001</v>
      </c>
      <c r="CC18" s="21">
        <f>BR18/CB18*1000</f>
        <v>14.948583604718856</v>
      </c>
      <c r="CD18" s="113"/>
      <c r="CE18" s="44" t="s">
        <v>43</v>
      </c>
      <c r="CF18" s="91">
        <f>BP18*0.8</f>
        <v>2235.52</v>
      </c>
      <c r="CG18" s="37">
        <f>SUM(F18:AJ18)</f>
        <v>10</v>
      </c>
      <c r="CH18" s="92">
        <f>CF18*CG18</f>
        <v>22355.200000000001</v>
      </c>
      <c r="CI18" s="309">
        <f t="shared" ref="CI18:CI19" si="6">SUM(AK18:BL18)</f>
        <v>20</v>
      </c>
      <c r="CJ18" s="92">
        <f>CI18*CF18</f>
        <v>44710.400000000001</v>
      </c>
      <c r="CK18" s="101" t="b">
        <f>(CH18+CJ18)=BR18</f>
        <v>1</v>
      </c>
    </row>
    <row r="19" spans="1:143" ht="15.5" customHeight="1" x14ac:dyDescent="0.25">
      <c r="A19" s="32"/>
      <c r="B19" s="111"/>
      <c r="C19" s="344"/>
      <c r="D19" s="95" t="s">
        <v>39</v>
      </c>
      <c r="E19" s="39" t="s">
        <v>141</v>
      </c>
      <c r="F19" s="65"/>
      <c r="G19" s="65"/>
      <c r="H19" s="66"/>
      <c r="I19" s="66"/>
      <c r="J19" s="65"/>
      <c r="K19" s="214"/>
      <c r="L19" s="214"/>
      <c r="M19" s="214"/>
      <c r="N19" s="214"/>
      <c r="O19" s="66"/>
      <c r="P19" s="66"/>
      <c r="Q19" s="214"/>
      <c r="R19" s="214"/>
      <c r="S19" s="214"/>
      <c r="T19" s="214"/>
      <c r="U19" s="214"/>
      <c r="V19" s="66"/>
      <c r="W19" s="66"/>
      <c r="X19" s="214">
        <v>1</v>
      </c>
      <c r="Y19" s="214">
        <v>3</v>
      </c>
      <c r="Z19" s="214">
        <v>2</v>
      </c>
      <c r="AA19" s="214">
        <v>2</v>
      </c>
      <c r="AB19" s="214">
        <v>2</v>
      </c>
      <c r="AC19" s="66"/>
      <c r="AD19" s="66"/>
      <c r="AE19" s="214"/>
      <c r="AF19" s="214"/>
      <c r="AG19" s="214"/>
      <c r="AH19" s="214"/>
      <c r="AI19" s="214"/>
      <c r="AJ19" s="66"/>
      <c r="AK19" s="66"/>
      <c r="AL19" s="214"/>
      <c r="AM19" s="214"/>
      <c r="AN19" s="214"/>
      <c r="AO19" s="214"/>
      <c r="AP19" s="214"/>
      <c r="AQ19" s="66"/>
      <c r="AR19" s="66"/>
      <c r="AS19" s="214"/>
      <c r="AT19" s="214"/>
      <c r="AU19" s="214"/>
      <c r="AV19" s="214"/>
      <c r="AW19" s="214"/>
      <c r="AX19" s="66"/>
      <c r="AY19" s="66"/>
      <c r="AZ19" s="214"/>
      <c r="BA19" s="214"/>
      <c r="BB19" s="214"/>
      <c r="BC19" s="214"/>
      <c r="BD19" s="214"/>
      <c r="BE19" s="66"/>
      <c r="BF19" s="66"/>
      <c r="BG19" s="214"/>
      <c r="BH19" s="214"/>
      <c r="BI19" s="214"/>
      <c r="BJ19" s="214"/>
      <c r="BK19" s="214"/>
      <c r="BL19" s="66"/>
      <c r="BM19" s="82">
        <f>SUM(F19:BL19)</f>
        <v>10</v>
      </c>
      <c r="BN19" s="22">
        <f>BN18*2</f>
        <v>15968</v>
      </c>
      <c r="BO19" s="103">
        <v>0.65</v>
      </c>
      <c r="BP19" s="22">
        <f>BN19*(1-BO19)</f>
        <v>5588.7999999999993</v>
      </c>
      <c r="BQ19" s="22">
        <f>BP19*BM19</f>
        <v>55887.999999999993</v>
      </c>
      <c r="BR19" s="84">
        <f>BQ19*0.8</f>
        <v>44710.399999999994</v>
      </c>
      <c r="BS19" s="97"/>
      <c r="BT19" s="660"/>
      <c r="BU19" s="661"/>
      <c r="BV19" s="97"/>
      <c r="BW19" s="99">
        <v>0.92</v>
      </c>
      <c r="BX19" s="86">
        <v>81725</v>
      </c>
      <c r="BY19" s="87">
        <f>BW19*BM19</f>
        <v>9.2000000000000011</v>
      </c>
      <c r="BZ19" s="88">
        <v>11451245</v>
      </c>
      <c r="CA19" s="89">
        <v>17116728</v>
      </c>
      <c r="CB19" s="90">
        <f>CA19*BY19/100</f>
        <v>1574738.9760000003</v>
      </c>
      <c r="CC19" s="21">
        <f>BR19/CB19*1000</f>
        <v>28.392260991449536</v>
      </c>
      <c r="CD19" s="113"/>
      <c r="CE19" s="44"/>
      <c r="CF19" s="91">
        <f>BP19*0.8</f>
        <v>4471.04</v>
      </c>
      <c r="CG19" s="37">
        <f>SUM(F19:AJ19)</f>
        <v>10</v>
      </c>
      <c r="CH19" s="92">
        <f>CF19*CG19</f>
        <v>44710.400000000001</v>
      </c>
      <c r="CI19" s="309">
        <f t="shared" si="6"/>
        <v>0</v>
      </c>
      <c r="CJ19" s="92">
        <f>CI19*CF19</f>
        <v>0</v>
      </c>
      <c r="CK19" s="101" t="b">
        <f>(CH19+CJ19)=BR19</f>
        <v>1</v>
      </c>
    </row>
    <row r="20" spans="1:143" ht="15.5" customHeight="1" x14ac:dyDescent="0.25">
      <c r="A20" s="32"/>
      <c r="B20" s="111"/>
      <c r="C20" s="344"/>
      <c r="D20" s="95"/>
      <c r="E20" s="39"/>
      <c r="F20" s="65"/>
      <c r="G20" s="65"/>
      <c r="H20" s="66"/>
      <c r="I20" s="66"/>
      <c r="J20" s="65"/>
      <c r="K20" s="214"/>
      <c r="L20" s="214"/>
      <c r="M20" s="214"/>
      <c r="N20" s="214"/>
      <c r="O20" s="66"/>
      <c r="P20" s="66"/>
      <c r="Q20" s="214"/>
      <c r="R20" s="214"/>
      <c r="S20" s="214"/>
      <c r="T20" s="214"/>
      <c r="U20" s="214"/>
      <c r="V20" s="66"/>
      <c r="W20" s="66"/>
      <c r="X20" s="214"/>
      <c r="Y20" s="214"/>
      <c r="Z20" s="214"/>
      <c r="AA20" s="214"/>
      <c r="AB20" s="214"/>
      <c r="AC20" s="66"/>
      <c r="AD20" s="66"/>
      <c r="AE20" s="214"/>
      <c r="AF20" s="214"/>
      <c r="AG20" s="214"/>
      <c r="AH20" s="214"/>
      <c r="AI20" s="214"/>
      <c r="AJ20" s="66"/>
      <c r="AK20" s="66"/>
      <c r="AL20" s="214"/>
      <c r="AM20" s="214"/>
      <c r="AN20" s="214"/>
      <c r="AO20" s="214"/>
      <c r="AP20" s="214"/>
      <c r="AQ20" s="66"/>
      <c r="AR20" s="66"/>
      <c r="AS20" s="214"/>
      <c r="AT20" s="214"/>
      <c r="AU20" s="214"/>
      <c r="AV20" s="214"/>
      <c r="AW20" s="214"/>
      <c r="AX20" s="66"/>
      <c r="AY20" s="66"/>
      <c r="AZ20" s="214"/>
      <c r="BA20" s="214"/>
      <c r="BB20" s="214"/>
      <c r="BC20" s="214"/>
      <c r="BD20" s="214"/>
      <c r="BE20" s="66"/>
      <c r="BF20" s="66"/>
      <c r="BG20" s="214"/>
      <c r="BH20" s="214"/>
      <c r="BI20" s="214"/>
      <c r="BJ20" s="214"/>
      <c r="BK20" s="214"/>
      <c r="BL20" s="66"/>
      <c r="BM20" s="82"/>
      <c r="BN20" s="22"/>
      <c r="BO20" s="103"/>
      <c r="BP20" s="22"/>
      <c r="BQ20" s="22"/>
      <c r="BR20" s="104"/>
      <c r="BS20" s="97"/>
      <c r="BT20" s="105"/>
      <c r="BU20" s="105"/>
      <c r="BV20" s="97"/>
      <c r="BW20" s="106"/>
      <c r="BX20" s="107"/>
      <c r="BY20" s="108"/>
      <c r="BZ20" s="109"/>
      <c r="CA20" s="110"/>
      <c r="CB20" s="109"/>
      <c r="CC20" s="114"/>
      <c r="CD20" s="10"/>
      <c r="CE20" s="44"/>
      <c r="CF20" s="91"/>
      <c r="CG20" s="37"/>
      <c r="CH20" s="92"/>
      <c r="CI20" s="309"/>
      <c r="CJ20" s="92"/>
    </row>
    <row r="21" spans="1:143" ht="15.5" customHeight="1" x14ac:dyDescent="0.25">
      <c r="A21" s="32"/>
      <c r="B21" s="115"/>
      <c r="C21" s="345"/>
      <c r="D21" s="42"/>
      <c r="E21" s="117"/>
      <c r="F21" s="65"/>
      <c r="G21" s="65"/>
      <c r="H21" s="66"/>
      <c r="I21" s="66"/>
      <c r="J21" s="65"/>
      <c r="K21" s="214"/>
      <c r="L21" s="214"/>
      <c r="M21" s="214"/>
      <c r="N21" s="214"/>
      <c r="O21" s="66"/>
      <c r="P21" s="66"/>
      <c r="Q21" s="214"/>
      <c r="R21" s="214"/>
      <c r="S21" s="214"/>
      <c r="T21" s="214"/>
      <c r="U21" s="214"/>
      <c r="V21" s="66"/>
      <c r="W21" s="66"/>
      <c r="X21" s="214"/>
      <c r="Y21" s="214"/>
      <c r="Z21" s="214"/>
      <c r="AA21" s="214"/>
      <c r="AB21" s="214"/>
      <c r="AC21" s="66"/>
      <c r="AD21" s="66"/>
      <c r="AE21" s="214"/>
      <c r="AF21" s="214"/>
      <c r="AG21" s="214"/>
      <c r="AH21" s="214"/>
      <c r="AI21" s="214"/>
      <c r="AJ21" s="66"/>
      <c r="AK21" s="66"/>
      <c r="AL21" s="214"/>
      <c r="AM21" s="214"/>
      <c r="AN21" s="214"/>
      <c r="AO21" s="214"/>
      <c r="AP21" s="214"/>
      <c r="AQ21" s="66"/>
      <c r="AR21" s="66"/>
      <c r="AS21" s="214"/>
      <c r="AT21" s="214"/>
      <c r="AU21" s="214"/>
      <c r="AV21" s="214"/>
      <c r="AW21" s="214"/>
      <c r="AX21" s="66"/>
      <c r="AY21" s="66"/>
      <c r="AZ21" s="214"/>
      <c r="BA21" s="214"/>
      <c r="BB21" s="214"/>
      <c r="BC21" s="214"/>
      <c r="BD21" s="214"/>
      <c r="BE21" s="66"/>
      <c r="BF21" s="66"/>
      <c r="BG21" s="214"/>
      <c r="BH21" s="214"/>
      <c r="BI21" s="214"/>
      <c r="BJ21" s="214"/>
      <c r="BK21" s="214"/>
      <c r="BL21" s="66"/>
      <c r="BM21" s="118"/>
      <c r="BN21" s="68"/>
      <c r="BO21" s="119"/>
      <c r="BP21" s="68"/>
      <c r="BQ21" s="68"/>
      <c r="BR21" s="68"/>
      <c r="BS21" s="97"/>
      <c r="BT21" s="120"/>
      <c r="BU21" s="120"/>
      <c r="BV21" s="97"/>
      <c r="BW21" s="121"/>
      <c r="BX21" s="122"/>
      <c r="BY21" s="123"/>
      <c r="BZ21" s="90"/>
      <c r="CA21" s="89"/>
      <c r="CB21" s="90"/>
      <c r="CC21" s="18"/>
      <c r="CD21" s="10"/>
      <c r="CE21" s="44"/>
      <c r="CF21" s="91"/>
      <c r="CG21" s="37"/>
      <c r="CH21" s="92"/>
      <c r="CI21" s="309"/>
      <c r="CJ21" s="92"/>
    </row>
    <row r="22" spans="1:143" ht="15.5" customHeight="1" x14ac:dyDescent="0.25">
      <c r="A22" s="32"/>
      <c r="B22" s="111"/>
      <c r="C22" s="343" t="s">
        <v>44</v>
      </c>
      <c r="D22" s="95" t="s">
        <v>39</v>
      </c>
      <c r="E22" s="39" t="s">
        <v>40</v>
      </c>
      <c r="F22" s="65"/>
      <c r="G22" s="65"/>
      <c r="H22" s="66"/>
      <c r="I22" s="66"/>
      <c r="J22" s="65"/>
      <c r="K22" s="214"/>
      <c r="L22" s="214"/>
      <c r="M22" s="214"/>
      <c r="N22" s="214"/>
      <c r="O22" s="66"/>
      <c r="P22" s="66"/>
      <c r="Q22" s="214"/>
      <c r="R22" s="214"/>
      <c r="S22" s="214"/>
      <c r="T22" s="214"/>
      <c r="U22" s="214"/>
      <c r="V22" s="66"/>
      <c r="W22" s="66"/>
      <c r="X22" s="214"/>
      <c r="Y22" s="214"/>
      <c r="Z22" s="214"/>
      <c r="AA22" s="214"/>
      <c r="AB22" s="214"/>
      <c r="AC22" s="66"/>
      <c r="AD22" s="66"/>
      <c r="AE22" s="214">
        <v>2</v>
      </c>
      <c r="AF22" s="214">
        <v>2</v>
      </c>
      <c r="AG22" s="214">
        <v>2</v>
      </c>
      <c r="AH22" s="214">
        <v>2</v>
      </c>
      <c r="AI22" s="214">
        <v>2</v>
      </c>
      <c r="AJ22" s="66"/>
      <c r="AK22" s="66"/>
      <c r="AL22" s="214">
        <v>2</v>
      </c>
      <c r="AM22" s="214">
        <v>2</v>
      </c>
      <c r="AN22" s="214">
        <v>2</v>
      </c>
      <c r="AO22" s="214">
        <v>2</v>
      </c>
      <c r="AP22" s="214">
        <v>2</v>
      </c>
      <c r="AQ22" s="66"/>
      <c r="AR22" s="66"/>
      <c r="AS22" s="214">
        <v>2</v>
      </c>
      <c r="AT22" s="214">
        <v>2</v>
      </c>
      <c r="AU22" s="214">
        <v>2</v>
      </c>
      <c r="AV22" s="214">
        <v>2</v>
      </c>
      <c r="AW22" s="214">
        <v>2</v>
      </c>
      <c r="AX22" s="66"/>
      <c r="AY22" s="66"/>
      <c r="AZ22" s="214"/>
      <c r="BA22" s="214"/>
      <c r="BB22" s="214"/>
      <c r="BC22" s="214"/>
      <c r="BD22" s="214"/>
      <c r="BE22" s="66"/>
      <c r="BF22" s="66"/>
      <c r="BG22" s="214"/>
      <c r="BH22" s="214"/>
      <c r="BI22" s="214"/>
      <c r="BJ22" s="214"/>
      <c r="BK22" s="214"/>
      <c r="BL22" s="66"/>
      <c r="BM22" s="82">
        <f>SUM(F22:BL22)</f>
        <v>30</v>
      </c>
      <c r="BN22" s="22">
        <v>8436</v>
      </c>
      <c r="BO22" s="103">
        <v>0.65</v>
      </c>
      <c r="BP22" s="22">
        <f>BN22*(1-BO22)</f>
        <v>2952.6</v>
      </c>
      <c r="BQ22" s="22">
        <f>BP22*BM22</f>
        <v>88578</v>
      </c>
      <c r="BR22" s="84">
        <f>BQ22*0.8</f>
        <v>70862.400000000009</v>
      </c>
      <c r="BS22" s="97"/>
      <c r="BT22" s="660" cm="1">
        <f t="array" ref="BT22">SUM(BR22:BR23/$BR$29)</f>
        <v>0.1986247092205834</v>
      </c>
      <c r="BU22" s="661">
        <v>0.19686040153690601</v>
      </c>
      <c r="BV22" s="97"/>
      <c r="BW22" s="99">
        <v>0.89</v>
      </c>
      <c r="BX22" s="86">
        <v>60446</v>
      </c>
      <c r="BY22" s="87">
        <f>BW22*BM22</f>
        <v>26.7</v>
      </c>
      <c r="BZ22" s="88">
        <v>11451245</v>
      </c>
      <c r="CA22" s="100">
        <v>16255139</v>
      </c>
      <c r="CB22" s="90">
        <f>CA22*(BY22+BY24)/100</f>
        <v>4340122.1129999999</v>
      </c>
      <c r="CC22" s="21">
        <f>BR22/CB22*1000</f>
        <v>16.327282540679057</v>
      </c>
      <c r="CD22" s="10"/>
      <c r="CE22" s="44" t="s">
        <v>44</v>
      </c>
      <c r="CF22" s="91">
        <f>BP22*0.8</f>
        <v>2362.08</v>
      </c>
      <c r="CG22" s="37">
        <f>SUM(F22:AJ22)</f>
        <v>10</v>
      </c>
      <c r="CH22" s="92">
        <f>CF22*CG22</f>
        <v>23620.799999999999</v>
      </c>
      <c r="CI22" s="309">
        <f t="shared" ref="CI22:CI23" si="7">SUM(AK22:BL22)</f>
        <v>20</v>
      </c>
      <c r="CJ22" s="92">
        <f>CI22*CF22</f>
        <v>47241.599999999999</v>
      </c>
      <c r="CK22" s="101" t="b">
        <f>(CH22+CJ22)=BR22</f>
        <v>1</v>
      </c>
    </row>
    <row r="23" spans="1:143" ht="15.5" customHeight="1" x14ac:dyDescent="0.25">
      <c r="A23" s="32"/>
      <c r="B23" s="111"/>
      <c r="C23" s="344"/>
      <c r="D23" s="95" t="s">
        <v>39</v>
      </c>
      <c r="E23" s="39" t="s">
        <v>141</v>
      </c>
      <c r="F23" s="65"/>
      <c r="G23" s="65"/>
      <c r="H23" s="66"/>
      <c r="I23" s="66"/>
      <c r="J23" s="65"/>
      <c r="K23" s="214"/>
      <c r="L23" s="214"/>
      <c r="M23" s="214"/>
      <c r="N23" s="214"/>
      <c r="O23" s="66"/>
      <c r="P23" s="66"/>
      <c r="Q23" s="214"/>
      <c r="R23" s="214"/>
      <c r="S23" s="214"/>
      <c r="T23" s="214"/>
      <c r="U23" s="214"/>
      <c r="V23" s="66"/>
      <c r="W23" s="66"/>
      <c r="X23" s="214">
        <v>1</v>
      </c>
      <c r="Y23" s="214">
        <v>1</v>
      </c>
      <c r="Z23" s="214">
        <v>1</v>
      </c>
      <c r="AA23" s="214">
        <v>1</v>
      </c>
      <c r="AB23" s="214">
        <v>1</v>
      </c>
      <c r="AC23" s="66"/>
      <c r="AD23" s="66"/>
      <c r="AE23" s="214"/>
      <c r="AF23" s="214"/>
      <c r="AG23" s="214"/>
      <c r="AH23" s="214"/>
      <c r="AI23" s="214"/>
      <c r="AJ23" s="66"/>
      <c r="AK23" s="66"/>
      <c r="AL23" s="214"/>
      <c r="AM23" s="214"/>
      <c r="AN23" s="214"/>
      <c r="AO23" s="214"/>
      <c r="AP23" s="214"/>
      <c r="AQ23" s="66"/>
      <c r="AR23" s="66"/>
      <c r="AS23" s="214"/>
      <c r="AT23" s="214"/>
      <c r="AU23" s="214"/>
      <c r="AV23" s="214"/>
      <c r="AW23" s="214"/>
      <c r="AX23" s="66"/>
      <c r="AY23" s="66"/>
      <c r="AZ23" s="214"/>
      <c r="BA23" s="214"/>
      <c r="BB23" s="214"/>
      <c r="BC23" s="214"/>
      <c r="BD23" s="214"/>
      <c r="BE23" s="66"/>
      <c r="BF23" s="66"/>
      <c r="BG23" s="214"/>
      <c r="BH23" s="214"/>
      <c r="BI23" s="214"/>
      <c r="BJ23" s="214"/>
      <c r="BK23" s="214"/>
      <c r="BL23" s="66"/>
      <c r="BM23" s="82">
        <f>SUM(F23:BL23)</f>
        <v>5</v>
      </c>
      <c r="BN23" s="22">
        <f>BN22*2</f>
        <v>16872</v>
      </c>
      <c r="BO23" s="103">
        <v>0.65</v>
      </c>
      <c r="BP23" s="22">
        <f>BN23*(1-BO23)</f>
        <v>5905.2</v>
      </c>
      <c r="BQ23" s="22">
        <f>BP23*BM23</f>
        <v>29526</v>
      </c>
      <c r="BR23" s="84">
        <f>BQ23*0.8</f>
        <v>23620.800000000003</v>
      </c>
      <c r="BS23" s="97"/>
      <c r="BT23" s="660"/>
      <c r="BU23" s="661"/>
      <c r="BV23" s="97"/>
      <c r="BW23" s="99">
        <v>0.89</v>
      </c>
      <c r="BX23" s="86">
        <v>60446</v>
      </c>
      <c r="BY23" s="87">
        <f>BW23*BM23</f>
        <v>4.45</v>
      </c>
      <c r="BZ23" s="88">
        <v>11451245</v>
      </c>
      <c r="CA23" s="89">
        <v>17116728</v>
      </c>
      <c r="CB23" s="90">
        <f>CA23*(BY23+BY25)/100</f>
        <v>761694.39600000007</v>
      </c>
      <c r="CC23" s="21">
        <f>BR23/CB23*1000</f>
        <v>31.010862261877534</v>
      </c>
      <c r="CD23" s="10"/>
      <c r="CE23" s="44"/>
      <c r="CF23" s="91">
        <f>BP23*0.8</f>
        <v>4724.16</v>
      </c>
      <c r="CG23" s="37">
        <f>SUM(F23:AJ23)</f>
        <v>5</v>
      </c>
      <c r="CH23" s="92">
        <f>CF23*CG23</f>
        <v>23620.799999999999</v>
      </c>
      <c r="CI23" s="309">
        <f t="shared" si="7"/>
        <v>0</v>
      </c>
      <c r="CJ23" s="92">
        <f>CI23*CF23</f>
        <v>0</v>
      </c>
    </row>
    <row r="24" spans="1:143" ht="15.5" customHeight="1" x14ac:dyDescent="0.25">
      <c r="A24" s="32"/>
      <c r="B24" s="111"/>
      <c r="C24" s="344"/>
      <c r="D24" s="95"/>
      <c r="E24" s="39"/>
      <c r="F24" s="65"/>
      <c r="G24" s="65"/>
      <c r="H24" s="66"/>
      <c r="I24" s="66"/>
      <c r="J24" s="65"/>
      <c r="K24" s="214"/>
      <c r="L24" s="214"/>
      <c r="M24" s="214"/>
      <c r="N24" s="214"/>
      <c r="O24" s="66"/>
      <c r="P24" s="66"/>
      <c r="Q24" s="214"/>
      <c r="R24" s="214"/>
      <c r="S24" s="214"/>
      <c r="T24" s="214"/>
      <c r="U24" s="214"/>
      <c r="V24" s="66"/>
      <c r="W24" s="66"/>
      <c r="X24" s="214"/>
      <c r="Y24" s="214"/>
      <c r="Z24" s="214"/>
      <c r="AA24" s="214"/>
      <c r="AB24" s="214"/>
      <c r="AC24" s="66"/>
      <c r="AD24" s="66"/>
      <c r="AE24" s="214"/>
      <c r="AF24" s="214"/>
      <c r="AG24" s="214"/>
      <c r="AH24" s="214"/>
      <c r="AI24" s="214"/>
      <c r="AJ24" s="66"/>
      <c r="AK24" s="66"/>
      <c r="AL24" s="214"/>
      <c r="AM24" s="214"/>
      <c r="AN24" s="214"/>
      <c r="AO24" s="214"/>
      <c r="AP24" s="214"/>
      <c r="AQ24" s="66"/>
      <c r="AR24" s="66"/>
      <c r="AS24" s="214"/>
      <c r="AT24" s="214"/>
      <c r="AU24" s="214"/>
      <c r="AV24" s="214"/>
      <c r="AW24" s="214"/>
      <c r="AX24" s="66"/>
      <c r="AY24" s="66"/>
      <c r="AZ24" s="214"/>
      <c r="BA24" s="214"/>
      <c r="BB24" s="214"/>
      <c r="BC24" s="214"/>
      <c r="BD24" s="214"/>
      <c r="BE24" s="66"/>
      <c r="BF24" s="66"/>
      <c r="BG24" s="214"/>
      <c r="BH24" s="214"/>
      <c r="BI24" s="214"/>
      <c r="BJ24" s="214"/>
      <c r="BK24" s="214"/>
      <c r="BL24" s="66"/>
      <c r="BM24" s="82"/>
      <c r="BN24" s="22"/>
      <c r="BO24" s="103"/>
      <c r="BP24" s="22"/>
      <c r="BQ24" s="22"/>
      <c r="BR24" s="124"/>
      <c r="BS24" s="97"/>
      <c r="BT24" s="125"/>
      <c r="BU24" s="125"/>
      <c r="BV24" s="97"/>
      <c r="BW24" s="106"/>
      <c r="BX24" s="107"/>
      <c r="BY24" s="108"/>
      <c r="BZ24" s="109"/>
      <c r="CA24" s="110"/>
      <c r="CB24" s="109"/>
      <c r="CC24" s="114"/>
      <c r="CD24" s="10"/>
      <c r="CE24" s="44"/>
      <c r="CF24" s="91"/>
      <c r="CG24" s="37"/>
      <c r="CH24" s="92"/>
      <c r="CI24" s="309"/>
      <c r="CJ24" s="92"/>
    </row>
    <row r="25" spans="1:143" ht="15.5" customHeight="1" x14ac:dyDescent="0.25">
      <c r="A25" s="32"/>
      <c r="B25" s="115"/>
      <c r="C25" s="345"/>
      <c r="D25" s="42"/>
      <c r="E25" s="117"/>
      <c r="F25" s="65"/>
      <c r="G25" s="65"/>
      <c r="H25" s="66"/>
      <c r="I25" s="66"/>
      <c r="J25" s="65"/>
      <c r="K25" s="214"/>
      <c r="L25" s="214"/>
      <c r="M25" s="214"/>
      <c r="N25" s="214"/>
      <c r="O25" s="66"/>
      <c r="P25" s="66"/>
      <c r="Q25" s="214"/>
      <c r="R25" s="214"/>
      <c r="S25" s="214"/>
      <c r="T25" s="214"/>
      <c r="U25" s="214"/>
      <c r="V25" s="66"/>
      <c r="W25" s="66"/>
      <c r="X25" s="214"/>
      <c r="Y25" s="214"/>
      <c r="Z25" s="214"/>
      <c r="AA25" s="214"/>
      <c r="AB25" s="214"/>
      <c r="AC25" s="66"/>
      <c r="AD25" s="66"/>
      <c r="AE25" s="214"/>
      <c r="AF25" s="214"/>
      <c r="AG25" s="214"/>
      <c r="AH25" s="214"/>
      <c r="AI25" s="214"/>
      <c r="AJ25" s="66"/>
      <c r="AK25" s="66"/>
      <c r="AL25" s="214"/>
      <c r="AM25" s="214"/>
      <c r="AN25" s="214"/>
      <c r="AO25" s="214"/>
      <c r="AP25" s="214"/>
      <c r="AQ25" s="66"/>
      <c r="AR25" s="66"/>
      <c r="AS25" s="214"/>
      <c r="AT25" s="214"/>
      <c r="AU25" s="214"/>
      <c r="AV25" s="214"/>
      <c r="AW25" s="214"/>
      <c r="AX25" s="66"/>
      <c r="AY25" s="66"/>
      <c r="AZ25" s="214"/>
      <c r="BA25" s="214"/>
      <c r="BB25" s="214"/>
      <c r="BC25" s="214"/>
      <c r="BD25" s="214"/>
      <c r="BE25" s="66"/>
      <c r="BF25" s="66"/>
      <c r="BG25" s="214"/>
      <c r="BH25" s="214"/>
      <c r="BI25" s="214"/>
      <c r="BJ25" s="214"/>
      <c r="BK25" s="214"/>
      <c r="BL25" s="66"/>
      <c r="BM25" s="118"/>
      <c r="BN25" s="68"/>
      <c r="BO25" s="119"/>
      <c r="BP25" s="68"/>
      <c r="BQ25" s="68"/>
      <c r="BR25" s="22"/>
      <c r="BS25" s="97"/>
      <c r="BT25" s="126"/>
      <c r="BU25" s="126"/>
      <c r="BV25" s="97"/>
      <c r="BW25" s="127"/>
      <c r="BX25" s="128"/>
      <c r="BY25" s="129"/>
      <c r="BZ25" s="76"/>
      <c r="CA25" s="75"/>
      <c r="CB25" s="76"/>
      <c r="CC25" s="18"/>
      <c r="CD25" s="10"/>
      <c r="CE25" s="44"/>
      <c r="CF25" s="91"/>
      <c r="CG25" s="37"/>
      <c r="CH25" s="92"/>
      <c r="CI25" s="309"/>
      <c r="CJ25" s="92"/>
    </row>
    <row r="26" spans="1:143" ht="15.5" customHeight="1" x14ac:dyDescent="0.25">
      <c r="A26" s="32"/>
      <c r="B26" s="111"/>
      <c r="C26" s="346" t="s">
        <v>46</v>
      </c>
      <c r="D26" s="95" t="s">
        <v>39</v>
      </c>
      <c r="E26" s="39" t="s">
        <v>40</v>
      </c>
      <c r="F26" s="65"/>
      <c r="G26" s="65"/>
      <c r="H26" s="66"/>
      <c r="I26" s="66"/>
      <c r="J26" s="65"/>
      <c r="K26" s="214"/>
      <c r="L26" s="214"/>
      <c r="M26" s="214"/>
      <c r="N26" s="214"/>
      <c r="O26" s="66"/>
      <c r="P26" s="66"/>
      <c r="Q26" s="214"/>
      <c r="R26" s="214"/>
      <c r="S26" s="214"/>
      <c r="T26" s="214"/>
      <c r="U26" s="214"/>
      <c r="V26" s="66"/>
      <c r="W26" s="66"/>
      <c r="X26" s="214"/>
      <c r="Y26" s="214"/>
      <c r="Z26" s="214"/>
      <c r="AA26" s="214"/>
      <c r="AB26" s="214"/>
      <c r="AC26" s="66"/>
      <c r="AD26" s="66"/>
      <c r="AE26" s="214">
        <v>1</v>
      </c>
      <c r="AF26" s="214">
        <v>1</v>
      </c>
      <c r="AG26" s="214">
        <v>1</v>
      </c>
      <c r="AH26" s="214">
        <v>1</v>
      </c>
      <c r="AI26" s="214">
        <v>1</v>
      </c>
      <c r="AJ26" s="66"/>
      <c r="AK26" s="66"/>
      <c r="AL26" s="214">
        <v>1</v>
      </c>
      <c r="AM26" s="214">
        <v>1</v>
      </c>
      <c r="AN26" s="214">
        <v>1</v>
      </c>
      <c r="AO26" s="214">
        <v>1</v>
      </c>
      <c r="AP26" s="214">
        <v>1</v>
      </c>
      <c r="AQ26" s="66"/>
      <c r="AR26" s="66"/>
      <c r="AS26" s="214">
        <v>1</v>
      </c>
      <c r="AT26" s="214">
        <v>1</v>
      </c>
      <c r="AU26" s="214"/>
      <c r="AV26" s="214"/>
      <c r="AW26" s="214"/>
      <c r="AX26" s="66"/>
      <c r="AY26" s="66"/>
      <c r="AZ26" s="214"/>
      <c r="BA26" s="214"/>
      <c r="BB26" s="214"/>
      <c r="BC26" s="214"/>
      <c r="BD26" s="214"/>
      <c r="BE26" s="66"/>
      <c r="BF26" s="66"/>
      <c r="BG26" s="214"/>
      <c r="BH26" s="214"/>
      <c r="BI26" s="214"/>
      <c r="BJ26" s="214"/>
      <c r="BK26" s="214"/>
      <c r="BL26" s="66"/>
      <c r="BM26" s="82">
        <f>SUM(F26:BL26)</f>
        <v>12</v>
      </c>
      <c r="BN26" s="22">
        <v>11591</v>
      </c>
      <c r="BO26" s="103">
        <v>0.4</v>
      </c>
      <c r="BP26" s="22">
        <f>BN26*(1-BO26)</f>
        <v>6954.5999999999995</v>
      </c>
      <c r="BQ26" s="22">
        <f>BP26*BM26</f>
        <v>83455.199999999997</v>
      </c>
      <c r="BR26" s="84">
        <f>BQ26*0.8</f>
        <v>66764.160000000003</v>
      </c>
      <c r="BS26" s="97"/>
      <c r="BT26" s="660">
        <f>SUM(BR26:BR27)/$BR$29</f>
        <v>0.25731405253336315</v>
      </c>
      <c r="BU26" s="661">
        <v>0.25901462341418302</v>
      </c>
      <c r="BV26" s="97"/>
      <c r="BW26" s="99">
        <v>0.87</v>
      </c>
      <c r="BX26" s="86">
        <v>67249</v>
      </c>
      <c r="BY26" s="87">
        <f>BW26*BM26</f>
        <v>10.44</v>
      </c>
      <c r="BZ26" s="88">
        <v>11451245</v>
      </c>
      <c r="CA26" s="100">
        <v>16255139</v>
      </c>
      <c r="CB26" s="90">
        <f>CA26*BY26/100</f>
        <v>1697036.5115999999</v>
      </c>
      <c r="CC26" s="21">
        <f>BR26/CB26*1000</f>
        <v>39.341616720463733</v>
      </c>
      <c r="CD26" s="10"/>
      <c r="CE26" s="44" t="s">
        <v>46</v>
      </c>
      <c r="CF26" s="91">
        <f>BP26*0.8</f>
        <v>5563.68</v>
      </c>
      <c r="CG26" s="37">
        <f>SUM(F26:AJ26)</f>
        <v>5</v>
      </c>
      <c r="CH26" s="92">
        <f>CF26*CG26</f>
        <v>27818.400000000001</v>
      </c>
      <c r="CI26" s="309">
        <f t="shared" ref="CI26:CI27" si="8">SUM(AK26:BL26)</f>
        <v>7</v>
      </c>
      <c r="CJ26" s="92">
        <f>CI26*CF26</f>
        <v>38945.760000000002</v>
      </c>
      <c r="CK26" s="101" t="b">
        <f>(CH26+CJ26)=BR26</f>
        <v>1</v>
      </c>
    </row>
    <row r="27" spans="1:143" ht="15.5" customHeight="1" x14ac:dyDescent="0.25">
      <c r="A27" s="32"/>
      <c r="B27" s="111"/>
      <c r="C27" s="344"/>
      <c r="D27" s="95" t="s">
        <v>39</v>
      </c>
      <c r="E27" s="39" t="s">
        <v>141</v>
      </c>
      <c r="F27" s="65"/>
      <c r="G27" s="65"/>
      <c r="H27" s="66"/>
      <c r="I27" s="66"/>
      <c r="J27" s="65"/>
      <c r="K27" s="214"/>
      <c r="L27" s="214"/>
      <c r="M27" s="214"/>
      <c r="N27" s="214"/>
      <c r="O27" s="66"/>
      <c r="P27" s="66"/>
      <c r="Q27" s="214"/>
      <c r="R27" s="214"/>
      <c r="S27" s="214"/>
      <c r="T27" s="214"/>
      <c r="U27" s="214"/>
      <c r="V27" s="66"/>
      <c r="W27" s="66"/>
      <c r="X27" s="214"/>
      <c r="Y27" s="214">
        <v>2</v>
      </c>
      <c r="Z27" s="214">
        <v>1</v>
      </c>
      <c r="AA27" s="214">
        <v>1</v>
      </c>
      <c r="AB27" s="214">
        <v>1</v>
      </c>
      <c r="AC27" s="66"/>
      <c r="AD27" s="66"/>
      <c r="AE27" s="214"/>
      <c r="AF27" s="214"/>
      <c r="AG27" s="214"/>
      <c r="AH27" s="214"/>
      <c r="AI27" s="214"/>
      <c r="AJ27" s="66"/>
      <c r="AK27" s="66"/>
      <c r="AL27" s="214"/>
      <c r="AM27" s="214"/>
      <c r="AN27" s="214"/>
      <c r="AO27" s="214"/>
      <c r="AP27" s="214"/>
      <c r="AQ27" s="66"/>
      <c r="AR27" s="66"/>
      <c r="AS27" s="214"/>
      <c r="AT27" s="214"/>
      <c r="AU27" s="214"/>
      <c r="AV27" s="214"/>
      <c r="AW27" s="214"/>
      <c r="AX27" s="66"/>
      <c r="AY27" s="66"/>
      <c r="AZ27" s="214"/>
      <c r="BA27" s="214"/>
      <c r="BB27" s="214"/>
      <c r="BC27" s="214"/>
      <c r="BD27" s="214"/>
      <c r="BE27" s="66"/>
      <c r="BF27" s="66"/>
      <c r="BG27" s="214"/>
      <c r="BH27" s="214"/>
      <c r="BI27" s="214"/>
      <c r="BJ27" s="214"/>
      <c r="BK27" s="214"/>
      <c r="BL27" s="66"/>
      <c r="BM27" s="82">
        <f>SUM(F27:BL27)</f>
        <v>5</v>
      </c>
      <c r="BN27" s="22">
        <f>BN26*2</f>
        <v>23182</v>
      </c>
      <c r="BO27" s="103">
        <v>0.4</v>
      </c>
      <c r="BP27" s="22">
        <f>BN27*(1-BO27)</f>
        <v>13909.199999999999</v>
      </c>
      <c r="BQ27" s="22">
        <f>BP27*BM27</f>
        <v>69546</v>
      </c>
      <c r="BR27" s="84">
        <f>BQ27*0.8</f>
        <v>55636.800000000003</v>
      </c>
      <c r="BS27" s="97"/>
      <c r="BT27" s="660"/>
      <c r="BU27" s="661"/>
      <c r="BV27" s="97"/>
      <c r="BW27" s="99">
        <v>0.87</v>
      </c>
      <c r="BX27" s="86">
        <v>67249</v>
      </c>
      <c r="BY27" s="87">
        <f>BW27*BM27</f>
        <v>4.3499999999999996</v>
      </c>
      <c r="BZ27" s="88">
        <v>11451245</v>
      </c>
      <c r="CA27" s="89">
        <v>21515727.096000001</v>
      </c>
      <c r="CB27" s="90">
        <f>CA27*BY27/100</f>
        <v>935934.12867599993</v>
      </c>
      <c r="CC27" s="21">
        <f>BR27/CB27*1000</f>
        <v>59.445209118194526</v>
      </c>
      <c r="CD27" s="10"/>
      <c r="CE27" s="44"/>
      <c r="CF27" s="91">
        <f>BP27*0.8</f>
        <v>11127.36</v>
      </c>
      <c r="CG27" s="37">
        <f>SUM(F27:AJ27)</f>
        <v>5</v>
      </c>
      <c r="CH27" s="92">
        <f>CF27*CG27</f>
        <v>55636.800000000003</v>
      </c>
      <c r="CI27" s="309">
        <f t="shared" si="8"/>
        <v>0</v>
      </c>
      <c r="CJ27" s="92">
        <f>CI27*CF27</f>
        <v>0</v>
      </c>
    </row>
    <row r="28" spans="1:143" ht="15.5" customHeight="1" x14ac:dyDescent="0.25">
      <c r="A28" s="32"/>
      <c r="B28" s="111"/>
      <c r="C28" s="94"/>
      <c r="D28" s="95"/>
      <c r="E28" s="39"/>
      <c r="F28" s="65"/>
      <c r="G28" s="65"/>
      <c r="H28" s="66"/>
      <c r="I28" s="66"/>
      <c r="J28" s="65"/>
      <c r="K28" s="214"/>
      <c r="L28" s="214"/>
      <c r="M28" s="214"/>
      <c r="N28" s="214"/>
      <c r="O28" s="66"/>
      <c r="P28" s="66"/>
      <c r="Q28" s="214"/>
      <c r="R28" s="214"/>
      <c r="S28" s="214"/>
      <c r="T28" s="214"/>
      <c r="U28" s="214"/>
      <c r="V28" s="66"/>
      <c r="W28" s="66"/>
      <c r="X28" s="214"/>
      <c r="Y28" s="214"/>
      <c r="Z28" s="214"/>
      <c r="AA28" s="214"/>
      <c r="AB28" s="214"/>
      <c r="AC28" s="66"/>
      <c r="AD28" s="66"/>
      <c r="AE28" s="214"/>
      <c r="AF28" s="214"/>
      <c r="AG28" s="214"/>
      <c r="AH28" s="214"/>
      <c r="AI28" s="214"/>
      <c r="AJ28" s="66"/>
      <c r="AK28" s="66"/>
      <c r="AL28" s="214"/>
      <c r="AM28" s="214"/>
      <c r="AN28" s="214"/>
      <c r="AO28" s="214"/>
      <c r="AP28" s="214"/>
      <c r="AQ28" s="66"/>
      <c r="AR28" s="66"/>
      <c r="AS28" s="214"/>
      <c r="AT28" s="214"/>
      <c r="AU28" s="214"/>
      <c r="AV28" s="214"/>
      <c r="AW28" s="214"/>
      <c r="AX28" s="66"/>
      <c r="AY28" s="66"/>
      <c r="AZ28" s="214"/>
      <c r="BA28" s="214"/>
      <c r="BB28" s="214"/>
      <c r="BC28" s="214"/>
      <c r="BD28" s="214"/>
      <c r="BE28" s="66"/>
      <c r="BF28" s="66"/>
      <c r="BG28" s="214"/>
      <c r="BH28" s="214"/>
      <c r="BI28" s="214"/>
      <c r="BJ28" s="214"/>
      <c r="BK28" s="214"/>
      <c r="BL28" s="66"/>
      <c r="BM28" s="82"/>
      <c r="BN28" s="22"/>
      <c r="BO28" s="103"/>
      <c r="BP28" s="22"/>
      <c r="BQ28" s="22"/>
      <c r="BR28" s="84"/>
      <c r="BS28" s="97"/>
      <c r="BT28" s="98"/>
      <c r="BU28" s="98"/>
      <c r="BV28" s="97"/>
      <c r="BW28" s="131"/>
      <c r="BX28" s="132"/>
      <c r="BY28" s="133"/>
      <c r="BZ28" s="134"/>
      <c r="CA28" s="110"/>
      <c r="CB28" s="109"/>
      <c r="CC28" s="114"/>
      <c r="CD28" s="10"/>
      <c r="CE28" s="135"/>
      <c r="CF28" s="136"/>
      <c r="CG28" s="137"/>
      <c r="CH28" s="138"/>
      <c r="CI28" s="310"/>
      <c r="CJ28" s="138"/>
    </row>
    <row r="29" spans="1:143" x14ac:dyDescent="0.25">
      <c r="A29" s="32"/>
      <c r="B29" s="25" t="s">
        <v>47</v>
      </c>
      <c r="C29" s="139"/>
      <c r="D29" s="139"/>
      <c r="E29" s="139"/>
      <c r="F29" s="40">
        <f t="shared" ref="F29:BK29" si="9">SUM(F12:F28)</f>
        <v>0</v>
      </c>
      <c r="G29" s="40">
        <f t="shared" si="9"/>
        <v>0</v>
      </c>
      <c r="H29" s="40">
        <f t="shared" si="9"/>
        <v>0</v>
      </c>
      <c r="I29" s="40">
        <f t="shared" si="9"/>
        <v>0</v>
      </c>
      <c r="J29" s="40">
        <f t="shared" si="9"/>
        <v>0</v>
      </c>
      <c r="K29" s="40">
        <f t="shared" si="9"/>
        <v>0</v>
      </c>
      <c r="L29" s="40">
        <f t="shared" si="9"/>
        <v>0</v>
      </c>
      <c r="M29" s="40">
        <f t="shared" si="9"/>
        <v>0</v>
      </c>
      <c r="N29" s="40">
        <f t="shared" si="9"/>
        <v>0</v>
      </c>
      <c r="O29" s="40">
        <f t="shared" si="9"/>
        <v>0</v>
      </c>
      <c r="P29" s="40">
        <f t="shared" si="9"/>
        <v>0</v>
      </c>
      <c r="Q29" s="40">
        <f t="shared" si="9"/>
        <v>0</v>
      </c>
      <c r="R29" s="40">
        <f t="shared" si="9"/>
        <v>0</v>
      </c>
      <c r="S29" s="40">
        <f t="shared" si="9"/>
        <v>0</v>
      </c>
      <c r="T29" s="40">
        <f t="shared" si="9"/>
        <v>0</v>
      </c>
      <c r="U29" s="40">
        <f t="shared" si="9"/>
        <v>0</v>
      </c>
      <c r="V29" s="40">
        <f t="shared" si="9"/>
        <v>0</v>
      </c>
      <c r="W29" s="40">
        <f t="shared" si="9"/>
        <v>0</v>
      </c>
      <c r="X29" s="40">
        <f t="shared" si="9"/>
        <v>3</v>
      </c>
      <c r="Y29" s="40">
        <f t="shared" si="9"/>
        <v>7</v>
      </c>
      <c r="Z29" s="40">
        <f t="shared" si="9"/>
        <v>5</v>
      </c>
      <c r="AA29" s="40">
        <f t="shared" si="9"/>
        <v>5</v>
      </c>
      <c r="AB29" s="40">
        <f t="shared" si="9"/>
        <v>4</v>
      </c>
      <c r="AC29" s="40">
        <f t="shared" si="9"/>
        <v>0</v>
      </c>
      <c r="AD29" s="40">
        <f t="shared" si="9"/>
        <v>0</v>
      </c>
      <c r="AE29" s="40">
        <f t="shared" si="9"/>
        <v>7</v>
      </c>
      <c r="AF29" s="40">
        <f t="shared" si="9"/>
        <v>7</v>
      </c>
      <c r="AG29" s="40">
        <f t="shared" si="9"/>
        <v>7</v>
      </c>
      <c r="AH29" s="40">
        <f t="shared" si="9"/>
        <v>7</v>
      </c>
      <c r="AI29" s="40">
        <f t="shared" si="9"/>
        <v>7</v>
      </c>
      <c r="AJ29" s="40">
        <f t="shared" si="9"/>
        <v>0</v>
      </c>
      <c r="AK29" s="40">
        <f t="shared" si="9"/>
        <v>0</v>
      </c>
      <c r="AL29" s="40">
        <f t="shared" si="9"/>
        <v>7</v>
      </c>
      <c r="AM29" s="40">
        <f t="shared" si="9"/>
        <v>7</v>
      </c>
      <c r="AN29" s="40">
        <f t="shared" si="9"/>
        <v>7</v>
      </c>
      <c r="AO29" s="40">
        <f t="shared" si="9"/>
        <v>7</v>
      </c>
      <c r="AP29" s="40">
        <f t="shared" si="9"/>
        <v>7</v>
      </c>
      <c r="AQ29" s="40">
        <f t="shared" si="9"/>
        <v>0</v>
      </c>
      <c r="AR29" s="40">
        <f t="shared" si="9"/>
        <v>0</v>
      </c>
      <c r="AS29" s="40">
        <f t="shared" si="9"/>
        <v>7</v>
      </c>
      <c r="AT29" s="40">
        <f t="shared" si="9"/>
        <v>7</v>
      </c>
      <c r="AU29" s="40">
        <f t="shared" si="9"/>
        <v>5</v>
      </c>
      <c r="AV29" s="40">
        <f t="shared" si="9"/>
        <v>5</v>
      </c>
      <c r="AW29" s="40">
        <f t="shared" si="9"/>
        <v>5</v>
      </c>
      <c r="AX29" s="40">
        <f t="shared" si="9"/>
        <v>0</v>
      </c>
      <c r="AY29" s="40">
        <f t="shared" si="9"/>
        <v>0</v>
      </c>
      <c r="AZ29" s="40">
        <f t="shared" si="9"/>
        <v>0</v>
      </c>
      <c r="BA29" s="40">
        <f t="shared" si="9"/>
        <v>0</v>
      </c>
      <c r="BB29" s="40">
        <f t="shared" si="9"/>
        <v>0</v>
      </c>
      <c r="BC29" s="40">
        <f t="shared" si="9"/>
        <v>0</v>
      </c>
      <c r="BD29" s="40">
        <f t="shared" si="9"/>
        <v>0</v>
      </c>
      <c r="BE29" s="40">
        <f t="shared" si="9"/>
        <v>0</v>
      </c>
      <c r="BF29" s="40">
        <f t="shared" si="9"/>
        <v>0</v>
      </c>
      <c r="BG29" s="40">
        <f t="shared" si="9"/>
        <v>0</v>
      </c>
      <c r="BH29" s="40">
        <f t="shared" si="9"/>
        <v>0</v>
      </c>
      <c r="BI29" s="40">
        <f t="shared" si="9"/>
        <v>0</v>
      </c>
      <c r="BJ29" s="40">
        <f t="shared" si="9"/>
        <v>0</v>
      </c>
      <c r="BK29" s="40">
        <f t="shared" si="9"/>
        <v>0</v>
      </c>
      <c r="BL29" s="40">
        <f>SUM(BL12:BL28)</f>
        <v>0</v>
      </c>
      <c r="BM29" s="140">
        <f>SUM(BM12:BM28)</f>
        <v>123</v>
      </c>
      <c r="BN29" s="141"/>
      <c r="BO29" s="141"/>
      <c r="BP29" s="141"/>
      <c r="BQ29" s="141">
        <f>SUM(BQ12:BQ28)</f>
        <v>594608.79999999993</v>
      </c>
      <c r="BR29" s="141">
        <f>SUM(BR12:BR28)</f>
        <v>475687.04</v>
      </c>
      <c r="BS29" s="43"/>
      <c r="BT29" s="142"/>
      <c r="BU29" s="142"/>
      <c r="BV29" s="43"/>
      <c r="BW29" s="143"/>
      <c r="BX29" s="144"/>
      <c r="BY29" s="145"/>
      <c r="BZ29" s="146">
        <f>BZ26</f>
        <v>11451245</v>
      </c>
      <c r="CA29" s="147"/>
      <c r="CB29" s="312">
        <f>CB26+CB22+CB18+CB14</f>
        <v>14780797.892700002</v>
      </c>
      <c r="CC29" s="149">
        <f>BR29/CB29*1000</f>
        <v>32.182771420948399</v>
      </c>
      <c r="CD29" s="10"/>
      <c r="CE29" s="148"/>
      <c r="CF29" s="150"/>
      <c r="CG29" s="312" cm="1">
        <f t="array" ref="CG29:CG30">CG26:CG27+CG22:CG23+CG18:CG19+CG14:CG15</f>
        <v>35</v>
      </c>
      <c r="CH29" s="150">
        <f>SUM(CH12:CH28)</f>
        <v>273376.22399999999</v>
      </c>
      <c r="CI29" s="312" cm="1">
        <f t="array" ref="CI29:CI30">CI26:CI27+CI22:CI23+CI18:CI19+CI14:CI15</f>
        <v>64</v>
      </c>
      <c r="CJ29" s="150">
        <f>SUM(CJ12:CJ28)</f>
        <v>202310.81600000002</v>
      </c>
      <c r="CK29" s="101" t="b">
        <f>(CH29+CJ29)=BR29</f>
        <v>1</v>
      </c>
    </row>
    <row r="30" spans="1:143" s="152" customFormat="1" ht="7.5" customHeight="1" x14ac:dyDescent="0.4">
      <c r="A30" s="43"/>
      <c r="B30" s="43"/>
      <c r="C30" s="43"/>
      <c r="D30" s="43"/>
      <c r="E30" s="43"/>
      <c r="F30" s="43"/>
      <c r="G30" s="43"/>
      <c r="H30" s="43"/>
      <c r="I30" s="43"/>
      <c r="J30" s="43"/>
      <c r="K30" s="43"/>
      <c r="L30" s="43"/>
      <c r="M30" s="43"/>
      <c r="N30" s="43"/>
      <c r="O30" s="43"/>
      <c r="P30" s="43"/>
      <c r="Q30" s="43"/>
      <c r="R30" s="43"/>
      <c r="S30" s="43"/>
      <c r="T30" s="43"/>
      <c r="U30" s="43"/>
      <c r="V30" s="43"/>
      <c r="W30" s="43"/>
      <c r="X30" s="43"/>
      <c r="Y30" s="43"/>
      <c r="Z30" s="43"/>
      <c r="AA30" s="43"/>
      <c r="AB30" s="43"/>
      <c r="AC30" s="43"/>
      <c r="AD30" s="43"/>
      <c r="AE30" s="43"/>
      <c r="AF30" s="43"/>
      <c r="AG30" s="43"/>
      <c r="AH30" s="43"/>
      <c r="AI30" s="43"/>
      <c r="AJ30" s="43"/>
      <c r="AK30" s="43"/>
      <c r="AL30" s="43"/>
      <c r="AM30" s="43"/>
      <c r="AN30" s="43"/>
      <c r="AO30" s="43"/>
      <c r="AP30" s="43"/>
      <c r="AQ30" s="43"/>
      <c r="AR30" s="43"/>
      <c r="AS30" s="43"/>
      <c r="AT30" s="43"/>
      <c r="AU30" s="43"/>
      <c r="AV30" s="43"/>
      <c r="AW30" s="43"/>
      <c r="AX30" s="43"/>
      <c r="AY30" s="43"/>
      <c r="AZ30" s="43"/>
      <c r="BA30" s="43"/>
      <c r="BB30" s="43"/>
      <c r="BC30" s="43"/>
      <c r="BD30" s="43"/>
      <c r="BE30" s="43"/>
      <c r="BF30" s="43"/>
      <c r="BG30" s="43"/>
      <c r="BH30" s="43"/>
      <c r="BI30" s="43"/>
      <c r="BJ30" s="43"/>
      <c r="BK30" s="43"/>
      <c r="BL30" s="43"/>
      <c r="BM30" s="43"/>
      <c r="BN30" s="43"/>
      <c r="BO30" s="43"/>
      <c r="BP30" s="43"/>
      <c r="BQ30" s="43"/>
      <c r="BR30" s="43"/>
      <c r="BS30" s="43"/>
      <c r="BT30" s="43"/>
      <c r="BU30" s="43"/>
      <c r="BV30" s="43"/>
      <c r="BW30" s="43"/>
      <c r="BX30" s="43"/>
      <c r="BY30" s="43"/>
      <c r="BZ30" s="43"/>
      <c r="CA30" s="43"/>
      <c r="CB30" s="43"/>
      <c r="CC30" s="43"/>
      <c r="CD30" s="43"/>
      <c r="CE30" s="43"/>
      <c r="CF30" s="43"/>
      <c r="CG30" s="43">
        <v>24</v>
      </c>
      <c r="CH30" s="43"/>
      <c r="CI30" s="311">
        <v>0</v>
      </c>
      <c r="CJ30" s="43"/>
      <c r="CK30" s="151"/>
    </row>
    <row r="31" spans="1:143" s="28" customFormat="1" ht="16" customHeight="1" x14ac:dyDescent="0.2">
      <c r="A31" s="32"/>
      <c r="B31" s="642" t="s">
        <v>3</v>
      </c>
      <c r="C31" s="642" t="s">
        <v>4</v>
      </c>
      <c r="D31" s="648" t="s">
        <v>19</v>
      </c>
      <c r="E31" s="643" t="s">
        <v>48</v>
      </c>
      <c r="F31" s="629" t="s">
        <v>6</v>
      </c>
      <c r="G31" s="630"/>
      <c r="H31" s="630"/>
      <c r="I31" s="630"/>
      <c r="J31" s="630"/>
      <c r="K31" s="630"/>
      <c r="L31" s="630"/>
      <c r="M31" s="630"/>
      <c r="N31" s="630"/>
      <c r="O31" s="630"/>
      <c r="P31" s="630"/>
      <c r="Q31" s="630"/>
      <c r="R31" s="630"/>
      <c r="S31" s="630"/>
      <c r="T31" s="630"/>
      <c r="U31" s="630"/>
      <c r="V31" s="630"/>
      <c r="W31" s="630"/>
      <c r="X31" s="630"/>
      <c r="Y31" s="630"/>
      <c r="Z31" s="630"/>
      <c r="AA31" s="630"/>
      <c r="AB31" s="630"/>
      <c r="AC31" s="630"/>
      <c r="AD31" s="630"/>
      <c r="AE31" s="630"/>
      <c r="AF31" s="630"/>
      <c r="AG31" s="630"/>
      <c r="AH31" s="630"/>
      <c r="AI31" s="630"/>
      <c r="AJ31" s="631"/>
      <c r="AK31" s="629" t="s">
        <v>143</v>
      </c>
      <c r="AL31" s="630"/>
      <c r="AM31" s="630"/>
      <c r="AN31" s="630"/>
      <c r="AO31" s="630"/>
      <c r="AP31" s="630"/>
      <c r="AQ31" s="630"/>
      <c r="AR31" s="630"/>
      <c r="AS31" s="630"/>
      <c r="AT31" s="630"/>
      <c r="AU31" s="630"/>
      <c r="AV31" s="630"/>
      <c r="AW31" s="630"/>
      <c r="AX31" s="630"/>
      <c r="AY31" s="630"/>
      <c r="AZ31" s="630"/>
      <c r="BA31" s="630"/>
      <c r="BB31" s="630"/>
      <c r="BC31" s="630"/>
      <c r="BD31" s="630"/>
      <c r="BE31" s="630"/>
      <c r="BF31" s="630"/>
      <c r="BG31" s="630"/>
      <c r="BH31" s="630"/>
      <c r="BI31" s="630"/>
      <c r="BJ31" s="630"/>
      <c r="BK31" s="630"/>
      <c r="BL31" s="631"/>
      <c r="BM31" s="640" t="s">
        <v>7</v>
      </c>
      <c r="BN31" s="620" t="s">
        <v>8</v>
      </c>
      <c r="BO31" s="643" t="s">
        <v>9</v>
      </c>
      <c r="BP31" s="620" t="s">
        <v>10</v>
      </c>
      <c r="BQ31" s="620" t="s">
        <v>11</v>
      </c>
      <c r="BR31" s="635" t="s">
        <v>23</v>
      </c>
      <c r="BS31" s="32"/>
      <c r="BT31" s="635" t="s">
        <v>24</v>
      </c>
      <c r="BU31" s="635" t="s">
        <v>25</v>
      </c>
      <c r="BV31" s="32"/>
      <c r="BW31" s="620" t="s">
        <v>26</v>
      </c>
      <c r="BX31" s="638" t="s">
        <v>27</v>
      </c>
      <c r="BY31" s="645" t="s">
        <v>12</v>
      </c>
      <c r="BZ31" s="638" t="s">
        <v>28</v>
      </c>
      <c r="CA31" s="638" t="s">
        <v>29</v>
      </c>
      <c r="CB31" s="638" t="s">
        <v>30</v>
      </c>
      <c r="CC31" s="638" t="s">
        <v>31</v>
      </c>
      <c r="CD31" s="55"/>
      <c r="CE31" s="640" t="s">
        <v>32</v>
      </c>
      <c r="CF31" s="640" t="s">
        <v>33</v>
      </c>
      <c r="CG31" s="642" t="s">
        <v>5</v>
      </c>
      <c r="CH31" s="642"/>
      <c r="CI31" s="642" t="s">
        <v>6</v>
      </c>
      <c r="CJ31" s="642"/>
      <c r="CK31" s="50"/>
    </row>
    <row r="32" spans="1:143" s="28" customFormat="1" ht="16" customHeight="1" x14ac:dyDescent="0.2">
      <c r="A32" s="32"/>
      <c r="B32" s="642"/>
      <c r="C32" s="642"/>
      <c r="D32" s="648"/>
      <c r="E32" s="643"/>
      <c r="F32" s="7" t="s">
        <v>14</v>
      </c>
      <c r="G32" s="7" t="s">
        <v>2</v>
      </c>
      <c r="H32" s="8" t="s">
        <v>16</v>
      </c>
      <c r="I32" s="8" t="s">
        <v>16</v>
      </c>
      <c r="J32" s="7" t="s">
        <v>142</v>
      </c>
      <c r="K32" s="7" t="s">
        <v>14</v>
      </c>
      <c r="L32" s="7" t="s">
        <v>15</v>
      </c>
      <c r="M32" s="7" t="s">
        <v>14</v>
      </c>
      <c r="N32" s="7" t="s">
        <v>2</v>
      </c>
      <c r="O32" s="8" t="s">
        <v>16</v>
      </c>
      <c r="P32" s="8" t="s">
        <v>16</v>
      </c>
      <c r="Q32" s="7" t="s">
        <v>142</v>
      </c>
      <c r="R32" s="7" t="s">
        <v>14</v>
      </c>
      <c r="S32" s="7" t="s">
        <v>15</v>
      </c>
      <c r="T32" s="7" t="s">
        <v>14</v>
      </c>
      <c r="U32" s="7" t="s">
        <v>2</v>
      </c>
      <c r="V32" s="8" t="s">
        <v>16</v>
      </c>
      <c r="W32" s="8" t="s">
        <v>16</v>
      </c>
      <c r="X32" s="7" t="s">
        <v>142</v>
      </c>
      <c r="Y32" s="7" t="s">
        <v>14</v>
      </c>
      <c r="Z32" s="7" t="s">
        <v>15</v>
      </c>
      <c r="AA32" s="7" t="s">
        <v>14</v>
      </c>
      <c r="AB32" s="7" t="s">
        <v>2</v>
      </c>
      <c r="AC32" s="8" t="s">
        <v>16</v>
      </c>
      <c r="AD32" s="8" t="s">
        <v>16</v>
      </c>
      <c r="AE32" s="7" t="s">
        <v>142</v>
      </c>
      <c r="AF32" s="7" t="s">
        <v>14</v>
      </c>
      <c r="AG32" s="7" t="s">
        <v>15</v>
      </c>
      <c r="AH32" s="7" t="s">
        <v>14</v>
      </c>
      <c r="AI32" s="7" t="s">
        <v>2</v>
      </c>
      <c r="AJ32" s="8" t="s">
        <v>16</v>
      </c>
      <c r="AK32" s="8" t="s">
        <v>16</v>
      </c>
      <c r="AL32" s="7" t="s">
        <v>142</v>
      </c>
      <c r="AM32" s="7" t="s">
        <v>14</v>
      </c>
      <c r="AN32" s="7" t="s">
        <v>15</v>
      </c>
      <c r="AO32" s="7" t="s">
        <v>14</v>
      </c>
      <c r="AP32" s="7" t="s">
        <v>2</v>
      </c>
      <c r="AQ32" s="8" t="s">
        <v>16</v>
      </c>
      <c r="AR32" s="8" t="s">
        <v>16</v>
      </c>
      <c r="AS32" s="7" t="s">
        <v>142</v>
      </c>
      <c r="AT32" s="7" t="s">
        <v>14</v>
      </c>
      <c r="AU32" s="7" t="s">
        <v>15</v>
      </c>
      <c r="AV32" s="7" t="s">
        <v>14</v>
      </c>
      <c r="AW32" s="7" t="s">
        <v>2</v>
      </c>
      <c r="AX32" s="8" t="s">
        <v>16</v>
      </c>
      <c r="AY32" s="8" t="s">
        <v>16</v>
      </c>
      <c r="AZ32" s="7" t="s">
        <v>142</v>
      </c>
      <c r="BA32" s="7" t="s">
        <v>14</v>
      </c>
      <c r="BB32" s="7" t="s">
        <v>15</v>
      </c>
      <c r="BC32" s="7" t="s">
        <v>14</v>
      </c>
      <c r="BD32" s="7" t="s">
        <v>2</v>
      </c>
      <c r="BE32" s="8" t="s">
        <v>16</v>
      </c>
      <c r="BF32" s="8" t="s">
        <v>16</v>
      </c>
      <c r="BG32" s="7" t="s">
        <v>142</v>
      </c>
      <c r="BH32" s="7" t="s">
        <v>14</v>
      </c>
      <c r="BI32" s="7" t="s">
        <v>15</v>
      </c>
      <c r="BJ32" s="7" t="s">
        <v>14</v>
      </c>
      <c r="BK32" s="7" t="s">
        <v>2</v>
      </c>
      <c r="BL32" s="8" t="s">
        <v>16</v>
      </c>
      <c r="BM32" s="640"/>
      <c r="BN32" s="620"/>
      <c r="BO32" s="643"/>
      <c r="BP32" s="620"/>
      <c r="BQ32" s="620"/>
      <c r="BR32" s="636"/>
      <c r="BS32" s="32"/>
      <c r="BT32" s="636"/>
      <c r="BU32" s="636"/>
      <c r="BV32" s="32"/>
      <c r="BW32" s="620"/>
      <c r="BX32" s="638"/>
      <c r="BY32" s="645"/>
      <c r="BZ32" s="638"/>
      <c r="CA32" s="638"/>
      <c r="CB32" s="638"/>
      <c r="CC32" s="638"/>
      <c r="CD32" s="55"/>
      <c r="CE32" s="640"/>
      <c r="CF32" s="640"/>
      <c r="CG32" s="642"/>
      <c r="CH32" s="642"/>
      <c r="CI32" s="642"/>
      <c r="CJ32" s="642"/>
      <c r="CK32" s="50"/>
    </row>
    <row r="33" spans="1:143" s="28" customFormat="1" ht="16" customHeight="1" x14ac:dyDescent="0.2">
      <c r="A33" s="32"/>
      <c r="B33" s="642"/>
      <c r="C33" s="642"/>
      <c r="D33" s="648"/>
      <c r="E33" s="643"/>
      <c r="F33" s="7">
        <v>1</v>
      </c>
      <c r="G33" s="7">
        <f>F33+1</f>
        <v>2</v>
      </c>
      <c r="H33" s="8">
        <f>G33+1</f>
        <v>3</v>
      </c>
      <c r="I33" s="8">
        <f t="shared" ref="I33" si="10">H33+1</f>
        <v>4</v>
      </c>
      <c r="J33" s="7">
        <f t="shared" ref="J33" si="11">I33+1</f>
        <v>5</v>
      </c>
      <c r="K33" s="7">
        <f t="shared" ref="K33" si="12">J33+1</f>
        <v>6</v>
      </c>
      <c r="L33" s="7">
        <f t="shared" ref="L33" si="13">K33+1</f>
        <v>7</v>
      </c>
      <c r="M33" s="7">
        <f>L33+1</f>
        <v>8</v>
      </c>
      <c r="N33" s="7">
        <f t="shared" ref="N33:AJ33" si="14">M33+1</f>
        <v>9</v>
      </c>
      <c r="O33" s="8">
        <f t="shared" si="14"/>
        <v>10</v>
      </c>
      <c r="P33" s="8">
        <f t="shared" si="14"/>
        <v>11</v>
      </c>
      <c r="Q33" s="7">
        <f t="shared" si="14"/>
        <v>12</v>
      </c>
      <c r="R33" s="7">
        <f t="shared" si="14"/>
        <v>13</v>
      </c>
      <c r="S33" s="7">
        <f t="shared" si="14"/>
        <v>14</v>
      </c>
      <c r="T33" s="7">
        <f t="shared" si="14"/>
        <v>15</v>
      </c>
      <c r="U33" s="7">
        <f t="shared" si="14"/>
        <v>16</v>
      </c>
      <c r="V33" s="8">
        <f t="shared" si="14"/>
        <v>17</v>
      </c>
      <c r="W33" s="8">
        <f t="shared" si="14"/>
        <v>18</v>
      </c>
      <c r="X33" s="7">
        <f t="shared" si="14"/>
        <v>19</v>
      </c>
      <c r="Y33" s="7">
        <f t="shared" si="14"/>
        <v>20</v>
      </c>
      <c r="Z33" s="7">
        <f t="shared" si="14"/>
        <v>21</v>
      </c>
      <c r="AA33" s="7">
        <f t="shared" si="14"/>
        <v>22</v>
      </c>
      <c r="AB33" s="7">
        <f t="shared" si="14"/>
        <v>23</v>
      </c>
      <c r="AC33" s="8">
        <f t="shared" si="14"/>
        <v>24</v>
      </c>
      <c r="AD33" s="8">
        <f t="shared" si="14"/>
        <v>25</v>
      </c>
      <c r="AE33" s="7">
        <f t="shared" si="14"/>
        <v>26</v>
      </c>
      <c r="AF33" s="7">
        <f t="shared" si="14"/>
        <v>27</v>
      </c>
      <c r="AG33" s="7">
        <f t="shared" si="14"/>
        <v>28</v>
      </c>
      <c r="AH33" s="7">
        <f t="shared" si="14"/>
        <v>29</v>
      </c>
      <c r="AI33" s="7">
        <f t="shared" si="14"/>
        <v>30</v>
      </c>
      <c r="AJ33" s="8">
        <f t="shared" si="14"/>
        <v>31</v>
      </c>
      <c r="AK33" s="8">
        <v>1</v>
      </c>
      <c r="AL33" s="7">
        <f t="shared" ref="AL33:BL33" si="15">AK33+1</f>
        <v>2</v>
      </c>
      <c r="AM33" s="7">
        <f t="shared" si="15"/>
        <v>3</v>
      </c>
      <c r="AN33" s="7">
        <f t="shared" si="15"/>
        <v>4</v>
      </c>
      <c r="AO33" s="7">
        <f t="shared" si="15"/>
        <v>5</v>
      </c>
      <c r="AP33" s="7">
        <f t="shared" si="15"/>
        <v>6</v>
      </c>
      <c r="AQ33" s="8">
        <f t="shared" si="15"/>
        <v>7</v>
      </c>
      <c r="AR33" s="8">
        <f t="shared" si="15"/>
        <v>8</v>
      </c>
      <c r="AS33" s="7">
        <f t="shared" si="15"/>
        <v>9</v>
      </c>
      <c r="AT33" s="7">
        <f t="shared" si="15"/>
        <v>10</v>
      </c>
      <c r="AU33" s="7">
        <f t="shared" si="15"/>
        <v>11</v>
      </c>
      <c r="AV33" s="7">
        <f t="shared" si="15"/>
        <v>12</v>
      </c>
      <c r="AW33" s="7">
        <f t="shared" si="15"/>
        <v>13</v>
      </c>
      <c r="AX33" s="8">
        <f t="shared" si="15"/>
        <v>14</v>
      </c>
      <c r="AY33" s="8">
        <f t="shared" si="15"/>
        <v>15</v>
      </c>
      <c r="AZ33" s="7">
        <f t="shared" si="15"/>
        <v>16</v>
      </c>
      <c r="BA33" s="7">
        <f t="shared" si="15"/>
        <v>17</v>
      </c>
      <c r="BB33" s="7">
        <f t="shared" si="15"/>
        <v>18</v>
      </c>
      <c r="BC33" s="7">
        <f t="shared" si="15"/>
        <v>19</v>
      </c>
      <c r="BD33" s="7">
        <f t="shared" si="15"/>
        <v>20</v>
      </c>
      <c r="BE33" s="8">
        <f t="shared" si="15"/>
        <v>21</v>
      </c>
      <c r="BF33" s="8">
        <f t="shared" si="15"/>
        <v>22</v>
      </c>
      <c r="BG33" s="7">
        <f t="shared" si="15"/>
        <v>23</v>
      </c>
      <c r="BH33" s="7">
        <f t="shared" si="15"/>
        <v>24</v>
      </c>
      <c r="BI33" s="7">
        <f t="shared" si="15"/>
        <v>25</v>
      </c>
      <c r="BJ33" s="7">
        <f t="shared" si="15"/>
        <v>26</v>
      </c>
      <c r="BK33" s="7">
        <f t="shared" si="15"/>
        <v>27</v>
      </c>
      <c r="BL33" s="8">
        <f t="shared" si="15"/>
        <v>28</v>
      </c>
      <c r="BM33" s="640"/>
      <c r="BN33" s="620"/>
      <c r="BO33" s="643"/>
      <c r="BP33" s="620"/>
      <c r="BQ33" s="620"/>
      <c r="BR33" s="637"/>
      <c r="BS33" s="32"/>
      <c r="BT33" s="637"/>
      <c r="BU33" s="637"/>
      <c r="BV33" s="32"/>
      <c r="BW33" s="620"/>
      <c r="BX33" s="638"/>
      <c r="BY33" s="645"/>
      <c r="BZ33" s="638"/>
      <c r="CA33" s="638"/>
      <c r="CB33" s="638"/>
      <c r="CC33" s="638"/>
      <c r="CD33" s="55"/>
      <c r="CE33" s="640"/>
      <c r="CF33" s="640"/>
      <c r="CG33" s="7" t="s">
        <v>7</v>
      </c>
      <c r="CH33" s="7" t="s">
        <v>34</v>
      </c>
      <c r="CI33" s="307" t="s">
        <v>7</v>
      </c>
      <c r="CJ33" s="7" t="s">
        <v>34</v>
      </c>
      <c r="CK33" s="50"/>
    </row>
    <row r="34" spans="1:143" s="152" customFormat="1" ht="15.5" customHeight="1" x14ac:dyDescent="0.4">
      <c r="A34" s="43"/>
      <c r="B34" s="153"/>
      <c r="C34" s="345"/>
      <c r="D34" s="42"/>
      <c r="E34" s="117"/>
      <c r="F34" s="214"/>
      <c r="G34" s="214"/>
      <c r="H34" s="66"/>
      <c r="I34" s="66"/>
      <c r="J34" s="214"/>
      <c r="K34" s="214"/>
      <c r="L34" s="214"/>
      <c r="M34" s="214"/>
      <c r="N34" s="214"/>
      <c r="O34" s="66"/>
      <c r="P34" s="66"/>
      <c r="Q34" s="214"/>
      <c r="R34" s="214"/>
      <c r="S34" s="214"/>
      <c r="T34" s="214"/>
      <c r="U34" s="214"/>
      <c r="V34" s="66"/>
      <c r="W34" s="66"/>
      <c r="X34" s="214"/>
      <c r="Y34" s="214"/>
      <c r="Z34" s="214"/>
      <c r="AA34" s="214"/>
      <c r="AB34" s="214"/>
      <c r="AC34" s="66"/>
      <c r="AD34" s="66"/>
      <c r="AE34" s="214"/>
      <c r="AF34" s="214"/>
      <c r="AG34" s="214"/>
      <c r="AH34" s="214"/>
      <c r="AI34" s="214"/>
      <c r="AJ34" s="66"/>
      <c r="AK34" s="66"/>
      <c r="AL34" s="214"/>
      <c r="AM34" s="214"/>
      <c r="AN34" s="214"/>
      <c r="AO34" s="214"/>
      <c r="AP34" s="214"/>
      <c r="AQ34" s="66"/>
      <c r="AR34" s="66"/>
      <c r="AS34" s="214"/>
      <c r="AT34" s="214"/>
      <c r="AU34" s="214"/>
      <c r="AV34" s="214"/>
      <c r="AW34" s="214"/>
      <c r="AX34" s="66"/>
      <c r="AY34" s="66"/>
      <c r="AZ34" s="214"/>
      <c r="BA34" s="214"/>
      <c r="BB34" s="214"/>
      <c r="BC34" s="214"/>
      <c r="BD34" s="214"/>
      <c r="BE34" s="66"/>
      <c r="BF34" s="66"/>
      <c r="BG34" s="214"/>
      <c r="BH34" s="214"/>
      <c r="BI34" s="214"/>
      <c r="BJ34" s="214"/>
      <c r="BK34" s="214"/>
      <c r="BL34" s="66"/>
      <c r="BM34" s="154"/>
      <c r="BN34" s="21"/>
      <c r="BO34" s="21"/>
      <c r="BP34" s="21"/>
      <c r="BQ34" s="21"/>
      <c r="BR34" s="21"/>
      <c r="BS34" s="97"/>
      <c r="BT34" s="155"/>
      <c r="BU34" s="155"/>
      <c r="BV34" s="97"/>
      <c r="BW34" s="156"/>
      <c r="BX34" s="157"/>
      <c r="BY34" s="158"/>
      <c r="BZ34" s="89"/>
      <c r="CA34" s="89"/>
      <c r="CB34" s="90"/>
      <c r="CC34" s="159"/>
      <c r="CD34" s="160"/>
      <c r="CE34" s="44"/>
      <c r="CF34" s="91"/>
      <c r="CG34" s="37"/>
      <c r="CH34" s="92"/>
      <c r="CI34" s="309"/>
      <c r="CJ34" s="92"/>
      <c r="CK34" s="151"/>
    </row>
    <row r="35" spans="1:143" ht="15.5" customHeight="1" x14ac:dyDescent="0.25">
      <c r="A35" s="32"/>
      <c r="B35" s="80" t="s">
        <v>49</v>
      </c>
      <c r="C35" s="343" t="s">
        <v>50</v>
      </c>
      <c r="D35" s="95" t="s">
        <v>51</v>
      </c>
      <c r="E35" s="39" t="s">
        <v>40</v>
      </c>
      <c r="F35" s="65"/>
      <c r="G35" s="65"/>
      <c r="H35" s="66"/>
      <c r="I35" s="66"/>
      <c r="J35" s="65"/>
      <c r="K35" s="214"/>
      <c r="L35" s="214"/>
      <c r="M35" s="214"/>
      <c r="N35" s="214"/>
      <c r="O35" s="66"/>
      <c r="P35" s="66"/>
      <c r="Q35" s="214"/>
      <c r="R35" s="214"/>
      <c r="S35" s="214"/>
      <c r="T35" s="214"/>
      <c r="U35" s="214"/>
      <c r="V35" s="66"/>
      <c r="W35" s="66"/>
      <c r="X35" s="214"/>
      <c r="Y35" s="214"/>
      <c r="Z35" s="214"/>
      <c r="AA35" s="214"/>
      <c r="AB35" s="214"/>
      <c r="AC35" s="214">
        <v>3</v>
      </c>
      <c r="AD35" s="214">
        <v>3</v>
      </c>
      <c r="AE35" s="214">
        <v>3</v>
      </c>
      <c r="AF35" s="214">
        <v>3</v>
      </c>
      <c r="AG35" s="214">
        <v>3</v>
      </c>
      <c r="AH35" s="214">
        <v>3</v>
      </c>
      <c r="AI35" s="214">
        <v>3</v>
      </c>
      <c r="AJ35" s="214">
        <v>3</v>
      </c>
      <c r="AK35" s="214">
        <v>3</v>
      </c>
      <c r="AL35" s="214">
        <v>3</v>
      </c>
      <c r="AM35" s="214">
        <v>3</v>
      </c>
      <c r="AN35" s="214">
        <v>3</v>
      </c>
      <c r="AO35" s="214">
        <v>3</v>
      </c>
      <c r="AP35" s="214">
        <v>3</v>
      </c>
      <c r="AQ35" s="214">
        <v>3</v>
      </c>
      <c r="AR35" s="214">
        <v>3</v>
      </c>
      <c r="AS35" s="214">
        <v>3</v>
      </c>
      <c r="AT35" s="214">
        <v>3</v>
      </c>
      <c r="AU35" s="214">
        <v>3</v>
      </c>
      <c r="AV35" s="214">
        <v>3</v>
      </c>
      <c r="AW35" s="214">
        <v>3</v>
      </c>
      <c r="AX35" s="66"/>
      <c r="AY35" s="66"/>
      <c r="AZ35" s="214"/>
      <c r="BA35" s="214"/>
      <c r="BB35" s="214"/>
      <c r="BC35" s="214"/>
      <c r="BD35" s="214"/>
      <c r="BE35" s="66"/>
      <c r="BF35" s="66"/>
      <c r="BG35" s="214"/>
      <c r="BH35" s="214"/>
      <c r="BI35" s="214"/>
      <c r="BJ35" s="214"/>
      <c r="BK35" s="214"/>
      <c r="BL35" s="66"/>
      <c r="BM35" s="82">
        <f t="shared" ref="BM35:BM36" si="16">SUM(F35:BL35)</f>
        <v>63</v>
      </c>
      <c r="BN35" s="21">
        <v>3733</v>
      </c>
      <c r="BO35" s="103">
        <v>0.63</v>
      </c>
      <c r="BP35" s="21">
        <f>BN35*(1-BO35)</f>
        <v>1381.21</v>
      </c>
      <c r="BQ35" s="21">
        <f>BP35*BM35</f>
        <v>87016.23</v>
      </c>
      <c r="BR35" s="21">
        <f>BQ35*0.8</f>
        <v>69612.983999999997</v>
      </c>
      <c r="BS35" s="97"/>
      <c r="BT35" s="161">
        <f>(BR35+BR36)/$BR$94</f>
        <v>6.9888439716319847E-2</v>
      </c>
      <c r="BU35" s="161">
        <v>6.58982549358407E-2</v>
      </c>
      <c r="BV35" s="97"/>
      <c r="BW35" s="99">
        <f>BX35/CA35*100</f>
        <v>0.49702669414269546</v>
      </c>
      <c r="BX35" s="86">
        <v>80792.38</v>
      </c>
      <c r="BY35" s="87">
        <f>BW35*BM35</f>
        <v>31.312681730989812</v>
      </c>
      <c r="BZ35" s="88">
        <v>11451245</v>
      </c>
      <c r="CA35" s="100">
        <v>16255139</v>
      </c>
      <c r="CB35" s="90">
        <f>CA35*BY35/100</f>
        <v>5089919.9400000004</v>
      </c>
      <c r="CC35" s="21">
        <f>BR35/CB35*1000</f>
        <v>13.67663633624854</v>
      </c>
      <c r="CD35" s="10"/>
      <c r="CE35" s="44" t="s">
        <v>52</v>
      </c>
      <c r="CF35" s="91">
        <f>BP35*0.8</f>
        <v>1104.9680000000001</v>
      </c>
      <c r="CG35" s="37">
        <f t="shared" ref="CG35:CG36" si="17">SUM(F35:AJ35)</f>
        <v>24</v>
      </c>
      <c r="CH35" s="92">
        <f t="shared" ref="CH35:CH36" si="18">CF35*CG35</f>
        <v>26519.232000000004</v>
      </c>
      <c r="CI35" s="309">
        <f>SUM(AK35:BL35)</f>
        <v>39</v>
      </c>
      <c r="CJ35" s="92">
        <f t="shared" ref="CJ35:CJ36" si="19">CI35*CF35</f>
        <v>43093.752</v>
      </c>
      <c r="CK35" s="101" t="b">
        <f>(CH35+CJ35)=BR35</f>
        <v>1</v>
      </c>
    </row>
    <row r="36" spans="1:143" ht="15.5" customHeight="1" x14ac:dyDescent="0.25">
      <c r="A36" s="32"/>
      <c r="B36" s="93" t="s">
        <v>37</v>
      </c>
      <c r="C36" s="343"/>
      <c r="D36" s="95" t="s">
        <v>51</v>
      </c>
      <c r="E36" s="39" t="s">
        <v>141</v>
      </c>
      <c r="F36" s="65"/>
      <c r="G36" s="65"/>
      <c r="H36" s="66"/>
      <c r="I36" s="66"/>
      <c r="J36" s="65"/>
      <c r="K36" s="214"/>
      <c r="L36" s="214"/>
      <c r="M36" s="214"/>
      <c r="N36" s="214"/>
      <c r="O36" s="66"/>
      <c r="P36" s="66"/>
      <c r="Q36" s="214"/>
      <c r="R36" s="214"/>
      <c r="S36" s="214"/>
      <c r="T36" s="214"/>
      <c r="U36" s="214"/>
      <c r="V36" s="66"/>
      <c r="W36" s="66"/>
      <c r="X36" s="214">
        <v>1</v>
      </c>
      <c r="Y36" s="214">
        <v>3</v>
      </c>
      <c r="Z36" s="214">
        <v>2</v>
      </c>
      <c r="AA36" s="214">
        <v>2</v>
      </c>
      <c r="AB36" s="214">
        <v>2</v>
      </c>
      <c r="AC36" s="66"/>
      <c r="AD36" s="66"/>
      <c r="AE36" s="214"/>
      <c r="AF36" s="214"/>
      <c r="AG36" s="214"/>
      <c r="AH36" s="214"/>
      <c r="AI36" s="214"/>
      <c r="AJ36" s="66"/>
      <c r="AK36" s="66"/>
      <c r="AL36" s="214"/>
      <c r="AM36" s="214"/>
      <c r="AN36" s="214"/>
      <c r="AO36" s="214"/>
      <c r="AP36" s="214"/>
      <c r="AQ36" s="66"/>
      <c r="AR36" s="66"/>
      <c r="AS36" s="214"/>
      <c r="AT36" s="214"/>
      <c r="AU36" s="214"/>
      <c r="AV36" s="214"/>
      <c r="AW36" s="214"/>
      <c r="AX36" s="66"/>
      <c r="AY36" s="66"/>
      <c r="AZ36" s="214"/>
      <c r="BA36" s="214"/>
      <c r="BB36" s="214"/>
      <c r="BC36" s="214"/>
      <c r="BD36" s="214"/>
      <c r="BE36" s="66"/>
      <c r="BF36" s="66"/>
      <c r="BG36" s="214"/>
      <c r="BH36" s="214"/>
      <c r="BI36" s="214"/>
      <c r="BJ36" s="214"/>
      <c r="BK36" s="214"/>
      <c r="BL36" s="66"/>
      <c r="BM36" s="82">
        <f t="shared" si="16"/>
        <v>10</v>
      </c>
      <c r="BN36" s="21">
        <f>BN35*2</f>
        <v>7466</v>
      </c>
      <c r="BO36" s="103">
        <v>0.63</v>
      </c>
      <c r="BP36" s="21">
        <f>BN36*(1-BO36)</f>
        <v>2762.42</v>
      </c>
      <c r="BQ36" s="21">
        <f>BP36*BM36</f>
        <v>27624.2</v>
      </c>
      <c r="BR36" s="21">
        <f>BQ36*0.8</f>
        <v>22099.360000000001</v>
      </c>
      <c r="BS36" s="97"/>
      <c r="BT36" s="161"/>
      <c r="BU36" s="161"/>
      <c r="BV36" s="97"/>
      <c r="BW36" s="99">
        <f>BX36/CA36*100</f>
        <v>0.47200831841225732</v>
      </c>
      <c r="BX36" s="86">
        <v>80792.38</v>
      </c>
      <c r="BY36" s="87">
        <f>BW36*BM36</f>
        <v>4.720083184122573</v>
      </c>
      <c r="BZ36" s="88">
        <v>11451245</v>
      </c>
      <c r="CA36" s="89">
        <v>17116728</v>
      </c>
      <c r="CB36" s="90">
        <f>CA36*BY36/100</f>
        <v>807923.8</v>
      </c>
      <c r="CC36" s="21">
        <f>BR36/CB36*1000</f>
        <v>27.353272672497084</v>
      </c>
      <c r="CD36" s="10"/>
      <c r="CE36" s="44"/>
      <c r="CF36" s="91">
        <f>BP36*0.8</f>
        <v>2209.9360000000001</v>
      </c>
      <c r="CG36" s="37">
        <f t="shared" si="17"/>
        <v>10</v>
      </c>
      <c r="CH36" s="92">
        <f t="shared" si="18"/>
        <v>22099.360000000001</v>
      </c>
      <c r="CI36" s="309">
        <f>SUM(AK36:BL36)</f>
        <v>0</v>
      </c>
      <c r="CJ36" s="92">
        <f t="shared" si="19"/>
        <v>0</v>
      </c>
      <c r="CK36" s="101" t="b">
        <f>(CH36+CJ36)=BR36</f>
        <v>1</v>
      </c>
    </row>
    <row r="37" spans="1:143" ht="15.5" customHeight="1" x14ac:dyDescent="0.25">
      <c r="A37" s="32"/>
      <c r="B37" s="102"/>
      <c r="C37" s="343"/>
      <c r="D37" s="162"/>
      <c r="E37" s="39"/>
      <c r="F37" s="214"/>
      <c r="G37" s="214"/>
      <c r="H37" s="66"/>
      <c r="I37" s="66"/>
      <c r="J37" s="214"/>
      <c r="K37" s="214"/>
      <c r="L37" s="214"/>
      <c r="M37" s="214"/>
      <c r="N37" s="214"/>
      <c r="O37" s="66"/>
      <c r="P37" s="66"/>
      <c r="Q37" s="214"/>
      <c r="R37" s="214"/>
      <c r="S37" s="214"/>
      <c r="T37" s="214"/>
      <c r="U37" s="214"/>
      <c r="V37" s="66"/>
      <c r="W37" s="66"/>
      <c r="X37" s="214"/>
      <c r="Y37" s="214"/>
      <c r="Z37" s="214"/>
      <c r="AA37" s="214"/>
      <c r="AB37" s="214"/>
      <c r="AC37" s="66"/>
      <c r="AD37" s="66"/>
      <c r="AE37" s="214"/>
      <c r="AF37" s="214"/>
      <c r="AG37" s="214"/>
      <c r="AH37" s="214"/>
      <c r="AI37" s="214"/>
      <c r="AJ37" s="66"/>
      <c r="AK37" s="66"/>
      <c r="AL37" s="214"/>
      <c r="AM37" s="214"/>
      <c r="AN37" s="214"/>
      <c r="AO37" s="214"/>
      <c r="AP37" s="214"/>
      <c r="AQ37" s="66"/>
      <c r="AR37" s="66"/>
      <c r="AS37" s="214"/>
      <c r="AT37" s="214"/>
      <c r="AU37" s="214"/>
      <c r="AV37" s="214"/>
      <c r="AW37" s="214"/>
      <c r="AX37" s="66"/>
      <c r="AY37" s="66"/>
      <c r="AZ37" s="214"/>
      <c r="BA37" s="214"/>
      <c r="BB37" s="214"/>
      <c r="BC37" s="214"/>
      <c r="BD37" s="214"/>
      <c r="BE37" s="66"/>
      <c r="BF37" s="66"/>
      <c r="BG37" s="214"/>
      <c r="BH37" s="214"/>
      <c r="BI37" s="214"/>
      <c r="BJ37" s="214"/>
      <c r="BK37" s="214"/>
      <c r="BL37" s="66"/>
      <c r="BM37" s="163"/>
      <c r="BN37" s="21"/>
      <c r="BO37" s="164"/>
      <c r="BP37" s="21"/>
      <c r="BQ37" s="21"/>
      <c r="BR37" s="114"/>
      <c r="BS37" s="97"/>
      <c r="BT37" s="165"/>
      <c r="BU37" s="165"/>
      <c r="BV37" s="97"/>
      <c r="BW37" s="166"/>
      <c r="BX37" s="107"/>
      <c r="BY37" s="108"/>
      <c r="BZ37" s="109"/>
      <c r="CA37" s="110"/>
      <c r="CB37" s="109"/>
      <c r="CC37" s="114"/>
      <c r="CD37" s="10"/>
      <c r="CE37" s="44"/>
      <c r="CF37" s="91"/>
      <c r="CG37" s="37"/>
      <c r="CH37" s="92"/>
      <c r="CI37" s="309"/>
      <c r="CJ37" s="92"/>
    </row>
    <row r="38" spans="1:143" ht="15.5" customHeight="1" x14ac:dyDescent="0.25">
      <c r="A38" s="32"/>
      <c r="B38" s="115"/>
      <c r="C38" s="344"/>
      <c r="D38" s="95"/>
      <c r="E38" s="117"/>
      <c r="F38" s="214"/>
      <c r="G38" s="214"/>
      <c r="H38" s="66"/>
      <c r="I38" s="66"/>
      <c r="J38" s="214"/>
      <c r="K38" s="214"/>
      <c r="L38" s="214"/>
      <c r="M38" s="214"/>
      <c r="N38" s="214"/>
      <c r="O38" s="66"/>
      <c r="P38" s="66"/>
      <c r="Q38" s="214"/>
      <c r="R38" s="214"/>
      <c r="S38" s="214"/>
      <c r="T38" s="214"/>
      <c r="U38" s="214"/>
      <c r="V38" s="66"/>
      <c r="W38" s="66"/>
      <c r="X38" s="214"/>
      <c r="Y38" s="214"/>
      <c r="Z38" s="214"/>
      <c r="AA38" s="214"/>
      <c r="AB38" s="214"/>
      <c r="AC38" s="66"/>
      <c r="AD38" s="66"/>
      <c r="AE38" s="214"/>
      <c r="AF38" s="214"/>
      <c r="AG38" s="214"/>
      <c r="AH38" s="214"/>
      <c r="AI38" s="214"/>
      <c r="AJ38" s="66"/>
      <c r="AK38" s="66"/>
      <c r="AL38" s="214"/>
      <c r="AM38" s="214"/>
      <c r="AN38" s="214"/>
      <c r="AO38" s="214"/>
      <c r="AP38" s="214"/>
      <c r="AQ38" s="66"/>
      <c r="AR38" s="66"/>
      <c r="AS38" s="214"/>
      <c r="AT38" s="214"/>
      <c r="AU38" s="214"/>
      <c r="AV38" s="214"/>
      <c r="AW38" s="214"/>
      <c r="AX38" s="66"/>
      <c r="AY38" s="66"/>
      <c r="AZ38" s="214"/>
      <c r="BA38" s="214"/>
      <c r="BB38" s="214"/>
      <c r="BC38" s="214"/>
      <c r="BD38" s="214"/>
      <c r="BE38" s="66"/>
      <c r="BF38" s="66"/>
      <c r="BG38" s="214"/>
      <c r="BH38" s="214"/>
      <c r="BI38" s="214"/>
      <c r="BJ38" s="214"/>
      <c r="BK38" s="214"/>
      <c r="BL38" s="66"/>
      <c r="BM38" s="167"/>
      <c r="BN38" s="18"/>
      <c r="BO38" s="168"/>
      <c r="BP38" s="18"/>
      <c r="BQ38" s="18"/>
      <c r="BR38" s="21"/>
      <c r="BS38" s="97"/>
      <c r="BT38" s="155"/>
      <c r="BU38" s="155"/>
      <c r="BV38" s="97"/>
      <c r="BW38" s="15"/>
      <c r="BX38" s="122"/>
      <c r="BY38" s="123"/>
      <c r="BZ38" s="90"/>
      <c r="CA38" s="89"/>
      <c r="CB38" s="90"/>
      <c r="CC38" s="18"/>
      <c r="CD38" s="10"/>
      <c r="CE38" s="44"/>
      <c r="CF38" s="91"/>
      <c r="CG38" s="37"/>
      <c r="CH38" s="92"/>
      <c r="CI38" s="309"/>
      <c r="CJ38" s="92"/>
    </row>
    <row r="39" spans="1:143" ht="15.5" customHeight="1" x14ac:dyDescent="0.25">
      <c r="A39" s="32"/>
      <c r="B39" s="111"/>
      <c r="C39" s="343" t="s">
        <v>53</v>
      </c>
      <c r="D39" s="95" t="s">
        <v>51</v>
      </c>
      <c r="E39" s="39" t="s">
        <v>40</v>
      </c>
      <c r="F39" s="65"/>
      <c r="G39" s="65"/>
      <c r="H39" s="66"/>
      <c r="I39" s="66"/>
      <c r="J39" s="65"/>
      <c r="K39" s="214"/>
      <c r="L39" s="214"/>
      <c r="M39" s="214"/>
      <c r="N39" s="214"/>
      <c r="O39" s="66"/>
      <c r="P39" s="66"/>
      <c r="Q39" s="214"/>
      <c r="R39" s="214"/>
      <c r="S39" s="214"/>
      <c r="T39" s="214"/>
      <c r="U39" s="214"/>
      <c r="V39" s="66"/>
      <c r="W39" s="66"/>
      <c r="X39" s="214"/>
      <c r="Y39" s="214"/>
      <c r="Z39" s="214"/>
      <c r="AA39" s="214"/>
      <c r="AB39" s="214"/>
      <c r="AC39" s="66">
        <v>4</v>
      </c>
      <c r="AD39" s="66">
        <v>4</v>
      </c>
      <c r="AE39" s="214">
        <v>4</v>
      </c>
      <c r="AF39" s="214">
        <v>4</v>
      </c>
      <c r="AG39" s="214">
        <v>4</v>
      </c>
      <c r="AH39" s="214">
        <v>4</v>
      </c>
      <c r="AI39" s="214">
        <v>4</v>
      </c>
      <c r="AJ39" s="66">
        <v>4</v>
      </c>
      <c r="AK39" s="66">
        <v>4</v>
      </c>
      <c r="AL39" s="214">
        <v>4</v>
      </c>
      <c r="AM39" s="214">
        <v>4</v>
      </c>
      <c r="AN39" s="214">
        <v>4</v>
      </c>
      <c r="AO39" s="214">
        <v>4</v>
      </c>
      <c r="AP39" s="214">
        <v>4</v>
      </c>
      <c r="AQ39" s="66">
        <v>4</v>
      </c>
      <c r="AR39" s="66">
        <v>4</v>
      </c>
      <c r="AS39" s="214">
        <v>4</v>
      </c>
      <c r="AT39" s="214">
        <v>4</v>
      </c>
      <c r="AU39" s="214">
        <v>4</v>
      </c>
      <c r="AV39" s="214">
        <v>4</v>
      </c>
      <c r="AW39" s="214">
        <v>4</v>
      </c>
      <c r="AX39" s="66"/>
      <c r="AY39" s="66"/>
      <c r="AZ39" s="214"/>
      <c r="BA39" s="214"/>
      <c r="BB39" s="214"/>
      <c r="BC39" s="214"/>
      <c r="BD39" s="214"/>
      <c r="BE39" s="66"/>
      <c r="BF39" s="66"/>
      <c r="BG39" s="214"/>
      <c r="BH39" s="214"/>
      <c r="BI39" s="214"/>
      <c r="BJ39" s="214"/>
      <c r="BK39" s="214"/>
      <c r="BL39" s="66"/>
      <c r="BM39" s="82">
        <f t="shared" ref="BM39:BM40" si="20">SUM(F39:BL39)</f>
        <v>84</v>
      </c>
      <c r="BN39" s="21">
        <v>4270</v>
      </c>
      <c r="BO39" s="103">
        <v>0.65</v>
      </c>
      <c r="BP39" s="21">
        <f>BN39*(1-BO39)</f>
        <v>1494.5</v>
      </c>
      <c r="BQ39" s="21">
        <f>BP39*BM39</f>
        <v>125538</v>
      </c>
      <c r="BR39" s="21">
        <f>BQ39*0.8</f>
        <v>100430.40000000001</v>
      </c>
      <c r="BS39" s="97"/>
      <c r="BT39" s="161">
        <f>(BR39+BR40)/$BR$94</f>
        <v>9.4753835171659431E-2</v>
      </c>
      <c r="BU39" s="155">
        <v>9.5607110097818998E-2</v>
      </c>
      <c r="BV39" s="97"/>
      <c r="BW39" s="99">
        <f>BX39/CA39*100</f>
        <v>0.76557862716523062</v>
      </c>
      <c r="BX39" s="86">
        <v>124445.87</v>
      </c>
      <c r="BY39" s="87">
        <f>BW39*BM39</f>
        <v>64.308604681879373</v>
      </c>
      <c r="BZ39" s="88">
        <v>11451245</v>
      </c>
      <c r="CA39" s="100">
        <v>16255139</v>
      </c>
      <c r="CB39" s="90">
        <f>CA39*BY39/100</f>
        <v>10453453.08</v>
      </c>
      <c r="CC39" s="21">
        <f>BR39/CB39*1000</f>
        <v>9.6073899439169814</v>
      </c>
      <c r="CD39" s="10"/>
      <c r="CE39" s="44" t="s">
        <v>53</v>
      </c>
      <c r="CF39" s="91">
        <f>BP39*0.8</f>
        <v>1195.6000000000001</v>
      </c>
      <c r="CG39" s="37">
        <f t="shared" ref="CG39:CG40" si="21">SUM(F39:AJ39)</f>
        <v>32</v>
      </c>
      <c r="CH39" s="92">
        <f t="shared" ref="CH39:CH40" si="22">CF39*CG39</f>
        <v>38259.200000000004</v>
      </c>
      <c r="CI39" s="309">
        <f t="shared" ref="CI39:CI40" si="23">SUM(AK39:BL39)</f>
        <v>52</v>
      </c>
      <c r="CJ39" s="92">
        <f t="shared" ref="CJ39:CJ40" si="24">CI39*CF39</f>
        <v>62171.200000000004</v>
      </c>
      <c r="CK39" s="101" t="b">
        <f>(CH39+CJ39)=BR39</f>
        <v>1</v>
      </c>
    </row>
    <row r="40" spans="1:143" ht="15.5" customHeight="1" x14ac:dyDescent="0.25">
      <c r="A40" s="32"/>
      <c r="B40" s="111"/>
      <c r="C40" s="343"/>
      <c r="D40" s="95" t="s">
        <v>51</v>
      </c>
      <c r="E40" s="39" t="s">
        <v>141</v>
      </c>
      <c r="F40" s="65"/>
      <c r="G40" s="65"/>
      <c r="H40" s="66"/>
      <c r="I40" s="66"/>
      <c r="J40" s="65"/>
      <c r="K40" s="214"/>
      <c r="L40" s="214"/>
      <c r="M40" s="214"/>
      <c r="N40" s="214"/>
      <c r="O40" s="66"/>
      <c r="P40" s="66"/>
      <c r="Q40" s="214"/>
      <c r="R40" s="214"/>
      <c r="S40" s="214"/>
      <c r="T40" s="214"/>
      <c r="U40" s="214"/>
      <c r="V40" s="66"/>
      <c r="W40" s="66"/>
      <c r="X40" s="214">
        <v>1</v>
      </c>
      <c r="Y40" s="214">
        <v>3</v>
      </c>
      <c r="Z40" s="214">
        <v>2</v>
      </c>
      <c r="AA40" s="214">
        <v>2</v>
      </c>
      <c r="AB40" s="214">
        <v>2</v>
      </c>
      <c r="AC40" s="66"/>
      <c r="AD40" s="66"/>
      <c r="AE40" s="214"/>
      <c r="AF40" s="214"/>
      <c r="AG40" s="214"/>
      <c r="AH40" s="214"/>
      <c r="AI40" s="214"/>
      <c r="AJ40" s="66"/>
      <c r="AK40" s="66"/>
      <c r="AL40" s="214"/>
      <c r="AM40" s="214"/>
      <c r="AN40" s="214"/>
      <c r="AO40" s="214"/>
      <c r="AP40" s="214"/>
      <c r="AQ40" s="66"/>
      <c r="AR40" s="66"/>
      <c r="AS40" s="214"/>
      <c r="AT40" s="214"/>
      <c r="AU40" s="214"/>
      <c r="AV40" s="214"/>
      <c r="AW40" s="214"/>
      <c r="AX40" s="66"/>
      <c r="AY40" s="66"/>
      <c r="AZ40" s="214"/>
      <c r="BA40" s="214"/>
      <c r="BB40" s="214"/>
      <c r="BC40" s="214"/>
      <c r="BD40" s="214"/>
      <c r="BE40" s="66"/>
      <c r="BF40" s="66"/>
      <c r="BG40" s="214"/>
      <c r="BH40" s="214"/>
      <c r="BI40" s="214"/>
      <c r="BJ40" s="214"/>
      <c r="BK40" s="214"/>
      <c r="BL40" s="66"/>
      <c r="BM40" s="82">
        <f t="shared" si="20"/>
        <v>10</v>
      </c>
      <c r="BN40" s="21">
        <f>BN39*2</f>
        <v>8540</v>
      </c>
      <c r="BO40" s="103">
        <v>0.65</v>
      </c>
      <c r="BP40" s="21">
        <f>BN40*(1-BO40)</f>
        <v>2989</v>
      </c>
      <c r="BQ40" s="21">
        <f>BP40*BM40</f>
        <v>29890</v>
      </c>
      <c r="BR40" s="21">
        <f>BQ40*0.8</f>
        <v>23912</v>
      </c>
      <c r="BS40" s="97"/>
      <c r="BT40" s="155"/>
      <c r="BU40" s="155"/>
      <c r="BV40" s="97"/>
      <c r="BW40" s="99">
        <f>BX40/CA40*100</f>
        <v>0.72704239969227757</v>
      </c>
      <c r="BX40" s="86">
        <v>124445.87</v>
      </c>
      <c r="BY40" s="87">
        <f>BW40*BM40</f>
        <v>7.2704239969227755</v>
      </c>
      <c r="BZ40" s="88">
        <v>11451245</v>
      </c>
      <c r="CA40" s="89">
        <v>17116728</v>
      </c>
      <c r="CB40" s="90">
        <f>CA40*BY40/100</f>
        <v>1244458.7</v>
      </c>
      <c r="CC40" s="21">
        <f>BR40/CB40*1000</f>
        <v>19.214779887833963</v>
      </c>
      <c r="CD40" s="10"/>
      <c r="CE40" s="44"/>
      <c r="CF40" s="91">
        <f>BP40*0.8</f>
        <v>2391.2000000000003</v>
      </c>
      <c r="CG40" s="37">
        <f t="shared" si="21"/>
        <v>10</v>
      </c>
      <c r="CH40" s="92">
        <f t="shared" si="22"/>
        <v>23912.000000000004</v>
      </c>
      <c r="CI40" s="309">
        <f t="shared" si="23"/>
        <v>0</v>
      </c>
      <c r="CJ40" s="92">
        <f t="shared" si="24"/>
        <v>0</v>
      </c>
      <c r="CK40" s="101" t="b">
        <f>(CH40+CJ40)=BR40</f>
        <v>1</v>
      </c>
    </row>
    <row r="41" spans="1:143" ht="15.5" customHeight="1" x14ac:dyDescent="0.25">
      <c r="A41" s="32"/>
      <c r="B41" s="111"/>
      <c r="C41" s="343"/>
      <c r="D41" s="95"/>
      <c r="E41" s="39"/>
      <c r="F41" s="214"/>
      <c r="G41" s="214"/>
      <c r="H41" s="66"/>
      <c r="I41" s="66"/>
      <c r="J41" s="214"/>
      <c r="K41" s="214"/>
      <c r="L41" s="214"/>
      <c r="M41" s="214"/>
      <c r="N41" s="214"/>
      <c r="O41" s="66"/>
      <c r="P41" s="66"/>
      <c r="Q41" s="214"/>
      <c r="R41" s="214"/>
      <c r="S41" s="214"/>
      <c r="T41" s="214"/>
      <c r="U41" s="214"/>
      <c r="V41" s="66"/>
      <c r="W41" s="66"/>
      <c r="X41" s="214"/>
      <c r="Y41" s="214"/>
      <c r="Z41" s="214"/>
      <c r="AA41" s="214"/>
      <c r="AB41" s="214"/>
      <c r="AC41" s="66"/>
      <c r="AD41" s="66"/>
      <c r="AE41" s="214"/>
      <c r="AF41" s="214"/>
      <c r="AG41" s="214"/>
      <c r="AH41" s="214"/>
      <c r="AI41" s="214"/>
      <c r="AJ41" s="66"/>
      <c r="AK41" s="66"/>
      <c r="AL41" s="214"/>
      <c r="AM41" s="214"/>
      <c r="AN41" s="214"/>
      <c r="AO41" s="214"/>
      <c r="AP41" s="214"/>
      <c r="AQ41" s="66"/>
      <c r="AR41" s="66"/>
      <c r="AS41" s="214"/>
      <c r="AT41" s="214"/>
      <c r="AU41" s="214"/>
      <c r="AV41" s="214"/>
      <c r="AW41" s="214"/>
      <c r="AX41" s="66"/>
      <c r="AY41" s="66"/>
      <c r="AZ41" s="214"/>
      <c r="BA41" s="214"/>
      <c r="BB41" s="214"/>
      <c r="BC41" s="214"/>
      <c r="BD41" s="214"/>
      <c r="BE41" s="66"/>
      <c r="BF41" s="66"/>
      <c r="BG41" s="214"/>
      <c r="BH41" s="214"/>
      <c r="BI41" s="214"/>
      <c r="BJ41" s="214"/>
      <c r="BK41" s="214"/>
      <c r="BL41" s="66"/>
      <c r="BM41" s="163"/>
      <c r="BN41" s="21"/>
      <c r="BO41" s="103"/>
      <c r="BP41" s="21"/>
      <c r="BQ41" s="21"/>
      <c r="BR41" s="114"/>
      <c r="BS41" s="97"/>
      <c r="BT41" s="165"/>
      <c r="BU41" s="165"/>
      <c r="BV41" s="97"/>
      <c r="BW41" s="166"/>
      <c r="BX41" s="107"/>
      <c r="BY41" s="108"/>
      <c r="BZ41" s="109"/>
      <c r="CA41" s="110"/>
      <c r="CB41" s="109"/>
      <c r="CC41" s="114"/>
      <c r="CD41" s="10"/>
      <c r="CE41" s="44"/>
      <c r="CF41" s="91"/>
      <c r="CG41" s="37"/>
      <c r="CH41" s="92"/>
      <c r="CI41" s="309"/>
      <c r="CJ41" s="92"/>
    </row>
    <row r="42" spans="1:143" ht="15.5" customHeight="1" x14ac:dyDescent="0.25">
      <c r="A42" s="32"/>
      <c r="B42" s="115"/>
      <c r="C42" s="344"/>
      <c r="D42" s="95"/>
      <c r="E42" s="117"/>
      <c r="F42" s="214"/>
      <c r="G42" s="214"/>
      <c r="H42" s="66"/>
      <c r="I42" s="66"/>
      <c r="J42" s="214"/>
      <c r="K42" s="214"/>
      <c r="L42" s="214"/>
      <c r="M42" s="214"/>
      <c r="N42" s="214"/>
      <c r="O42" s="66"/>
      <c r="P42" s="66"/>
      <c r="Q42" s="214"/>
      <c r="R42" s="214"/>
      <c r="S42" s="214"/>
      <c r="T42" s="214"/>
      <c r="U42" s="214"/>
      <c r="V42" s="66"/>
      <c r="W42" s="66"/>
      <c r="X42" s="214"/>
      <c r="Y42" s="214"/>
      <c r="Z42" s="214"/>
      <c r="AA42" s="214"/>
      <c r="AB42" s="214"/>
      <c r="AC42" s="66"/>
      <c r="AD42" s="66"/>
      <c r="AE42" s="214"/>
      <c r="AF42" s="214"/>
      <c r="AG42" s="214"/>
      <c r="AH42" s="214"/>
      <c r="AI42" s="214"/>
      <c r="AJ42" s="66"/>
      <c r="AK42" s="66"/>
      <c r="AL42" s="214"/>
      <c r="AM42" s="214"/>
      <c r="AN42" s="214"/>
      <c r="AO42" s="214"/>
      <c r="AP42" s="214"/>
      <c r="AQ42" s="66"/>
      <c r="AR42" s="66"/>
      <c r="AS42" s="214"/>
      <c r="AT42" s="214"/>
      <c r="AU42" s="214"/>
      <c r="AV42" s="214"/>
      <c r="AW42" s="214"/>
      <c r="AX42" s="66"/>
      <c r="AY42" s="66"/>
      <c r="AZ42" s="214"/>
      <c r="BA42" s="214"/>
      <c r="BB42" s="214"/>
      <c r="BC42" s="214"/>
      <c r="BD42" s="214"/>
      <c r="BE42" s="66"/>
      <c r="BF42" s="66"/>
      <c r="BG42" s="214"/>
      <c r="BH42" s="214"/>
      <c r="BI42" s="214"/>
      <c r="BJ42" s="214"/>
      <c r="BK42" s="214"/>
      <c r="BL42" s="66"/>
      <c r="BM42" s="167"/>
      <c r="BN42" s="18"/>
      <c r="BO42" s="119"/>
      <c r="BP42" s="18"/>
      <c r="BQ42" s="18"/>
      <c r="BR42" s="21"/>
      <c r="BS42" s="97"/>
      <c r="BT42" s="155"/>
      <c r="BU42" s="155"/>
      <c r="BV42" s="97"/>
      <c r="BW42" s="15"/>
      <c r="BX42" s="122"/>
      <c r="BY42" s="123"/>
      <c r="BZ42" s="90"/>
      <c r="CA42" s="89"/>
      <c r="CB42" s="90"/>
      <c r="CC42" s="18"/>
      <c r="CD42" s="10"/>
      <c r="CE42" s="44"/>
      <c r="CF42" s="91"/>
      <c r="CG42" s="37"/>
      <c r="CH42" s="92"/>
      <c r="CI42" s="309"/>
      <c r="CJ42" s="92"/>
    </row>
    <row r="43" spans="1:143" ht="15.5" customHeight="1" x14ac:dyDescent="0.25">
      <c r="A43" s="32"/>
      <c r="B43" s="80"/>
      <c r="C43" s="343" t="s">
        <v>54</v>
      </c>
      <c r="D43" s="95" t="s">
        <v>51</v>
      </c>
      <c r="E43" s="39" t="s">
        <v>40</v>
      </c>
      <c r="F43" s="65"/>
      <c r="G43" s="65"/>
      <c r="H43" s="66"/>
      <c r="I43" s="66"/>
      <c r="J43" s="65"/>
      <c r="K43" s="214"/>
      <c r="L43" s="214"/>
      <c r="M43" s="214"/>
      <c r="N43" s="214"/>
      <c r="O43" s="66"/>
      <c r="P43" s="66"/>
      <c r="Q43" s="214"/>
      <c r="R43" s="214"/>
      <c r="S43" s="214"/>
      <c r="T43" s="214"/>
      <c r="U43" s="214"/>
      <c r="V43" s="66"/>
      <c r="W43" s="66"/>
      <c r="X43" s="214"/>
      <c r="Y43" s="214"/>
      <c r="Z43" s="214"/>
      <c r="AA43" s="214"/>
      <c r="AB43" s="214"/>
      <c r="AC43" s="66">
        <v>4</v>
      </c>
      <c r="AD43" s="66">
        <v>4</v>
      </c>
      <c r="AE43" s="214">
        <v>4</v>
      </c>
      <c r="AF43" s="214">
        <v>4</v>
      </c>
      <c r="AG43" s="214">
        <v>4</v>
      </c>
      <c r="AH43" s="214">
        <v>4</v>
      </c>
      <c r="AI43" s="214">
        <v>4</v>
      </c>
      <c r="AJ43" s="66">
        <v>4</v>
      </c>
      <c r="AK43" s="66">
        <v>4</v>
      </c>
      <c r="AL43" s="214">
        <v>4</v>
      </c>
      <c r="AM43" s="214">
        <v>4</v>
      </c>
      <c r="AN43" s="214">
        <v>4</v>
      </c>
      <c r="AO43" s="214">
        <v>4</v>
      </c>
      <c r="AP43" s="214">
        <v>4</v>
      </c>
      <c r="AQ43" s="66">
        <v>4</v>
      </c>
      <c r="AR43" s="66">
        <v>4</v>
      </c>
      <c r="AS43" s="214">
        <v>4</v>
      </c>
      <c r="AT43" s="214">
        <v>4</v>
      </c>
      <c r="AU43" s="214">
        <v>4</v>
      </c>
      <c r="AV43" s="214">
        <v>4</v>
      </c>
      <c r="AW43" s="214">
        <v>4</v>
      </c>
      <c r="AX43" s="66"/>
      <c r="AY43" s="66"/>
      <c r="AZ43" s="214"/>
      <c r="BA43" s="214"/>
      <c r="BB43" s="214"/>
      <c r="BC43" s="214"/>
      <c r="BD43" s="214"/>
      <c r="BE43" s="66"/>
      <c r="BF43" s="66"/>
      <c r="BG43" s="214"/>
      <c r="BH43" s="214"/>
      <c r="BI43" s="214"/>
      <c r="BJ43" s="214"/>
      <c r="BK43" s="214"/>
      <c r="BL43" s="66"/>
      <c r="BM43" s="82">
        <f t="shared" ref="BM43:BM44" si="25">SUM(F43:BL43)</f>
        <v>84</v>
      </c>
      <c r="BN43" s="21">
        <v>4670</v>
      </c>
      <c r="BO43" s="103">
        <v>0.7</v>
      </c>
      <c r="BP43" s="21">
        <f>BN43*(1-BO43)</f>
        <v>1401.0000000000002</v>
      </c>
      <c r="BQ43" s="21">
        <f>BP43*BM43</f>
        <v>117684.00000000001</v>
      </c>
      <c r="BR43" s="21">
        <f>BQ43*0.8</f>
        <v>94147.200000000012</v>
      </c>
      <c r="BS43" s="97"/>
      <c r="BT43" s="161">
        <f>(BR43+BR44)/$BR$94</f>
        <v>8.8825776564399384E-2</v>
      </c>
      <c r="BU43" s="155">
        <v>8.6893332781943403E-2</v>
      </c>
      <c r="BV43" s="97"/>
      <c r="BW43" s="99">
        <f>BX43/CA43*100</f>
        <v>0.56035731223215013</v>
      </c>
      <c r="BX43" s="86">
        <v>91086.86</v>
      </c>
      <c r="BY43" s="87">
        <f>BW43*BM43</f>
        <v>47.070014227500607</v>
      </c>
      <c r="BZ43" s="88">
        <v>11451245</v>
      </c>
      <c r="CA43" s="100">
        <v>16255139</v>
      </c>
      <c r="CB43" s="90">
        <f>CA43*BY43/100</f>
        <v>7651296.2400000002</v>
      </c>
      <c r="CC43" s="21">
        <f>BR43/CB43*1000</f>
        <v>12.304738575904363</v>
      </c>
      <c r="CD43" s="10"/>
      <c r="CE43" s="44" t="s">
        <v>54</v>
      </c>
      <c r="CF43" s="91">
        <f>BP43*0.8</f>
        <v>1120.8000000000002</v>
      </c>
      <c r="CG43" s="37">
        <f t="shared" ref="CG43:CG44" si="26">SUM(F43:AJ43)</f>
        <v>32</v>
      </c>
      <c r="CH43" s="92">
        <f t="shared" ref="CH43:CH44" si="27">CF43*CG43</f>
        <v>35865.600000000006</v>
      </c>
      <c r="CI43" s="309">
        <f t="shared" ref="CI43:CI44" si="28">SUM(AK43:BL43)</f>
        <v>52</v>
      </c>
      <c r="CJ43" s="92">
        <f t="shared" ref="CJ43:CJ44" si="29">CI43*CF43</f>
        <v>58281.600000000006</v>
      </c>
      <c r="CK43" s="101" t="b">
        <f>(CH43+CJ43)=BR43</f>
        <v>1</v>
      </c>
    </row>
    <row r="44" spans="1:143" ht="15.5" customHeight="1" x14ac:dyDescent="0.25">
      <c r="A44" s="32"/>
      <c r="B44" s="80"/>
      <c r="C44" s="343"/>
      <c r="D44" s="95" t="s">
        <v>51</v>
      </c>
      <c r="E44" s="39" t="s">
        <v>141</v>
      </c>
      <c r="F44" s="65"/>
      <c r="G44" s="65"/>
      <c r="H44" s="66"/>
      <c r="I44" s="66"/>
      <c r="J44" s="65"/>
      <c r="K44" s="214"/>
      <c r="L44" s="214"/>
      <c r="M44" s="214"/>
      <c r="N44" s="214"/>
      <c r="O44" s="66"/>
      <c r="P44" s="66"/>
      <c r="Q44" s="214"/>
      <c r="R44" s="214"/>
      <c r="S44" s="214"/>
      <c r="T44" s="214"/>
      <c r="U44" s="214"/>
      <c r="V44" s="66"/>
      <c r="W44" s="66"/>
      <c r="X44" s="214">
        <v>1</v>
      </c>
      <c r="Y44" s="214">
        <v>3</v>
      </c>
      <c r="Z44" s="214">
        <v>2</v>
      </c>
      <c r="AA44" s="214">
        <v>2</v>
      </c>
      <c r="AB44" s="214">
        <v>2</v>
      </c>
      <c r="AC44" s="66"/>
      <c r="AD44" s="66"/>
      <c r="AE44" s="214"/>
      <c r="AF44" s="214"/>
      <c r="AG44" s="214"/>
      <c r="AH44" s="214"/>
      <c r="AI44" s="214"/>
      <c r="AJ44" s="66"/>
      <c r="AK44" s="66"/>
      <c r="AL44" s="214"/>
      <c r="AM44" s="214"/>
      <c r="AN44" s="214"/>
      <c r="AO44" s="214"/>
      <c r="AP44" s="214"/>
      <c r="AQ44" s="66"/>
      <c r="AR44" s="66"/>
      <c r="AS44" s="214"/>
      <c r="AT44" s="214"/>
      <c r="AU44" s="214"/>
      <c r="AV44" s="214"/>
      <c r="AW44" s="214"/>
      <c r="AX44" s="66"/>
      <c r="AY44" s="66"/>
      <c r="AZ44" s="214"/>
      <c r="BA44" s="214"/>
      <c r="BB44" s="214"/>
      <c r="BC44" s="214"/>
      <c r="BD44" s="214"/>
      <c r="BE44" s="66"/>
      <c r="BF44" s="66"/>
      <c r="BG44" s="214"/>
      <c r="BH44" s="214"/>
      <c r="BI44" s="214"/>
      <c r="BJ44" s="214"/>
      <c r="BK44" s="214"/>
      <c r="BL44" s="66"/>
      <c r="BM44" s="82">
        <f t="shared" si="25"/>
        <v>10</v>
      </c>
      <c r="BN44" s="21">
        <f>BN43*2</f>
        <v>9340</v>
      </c>
      <c r="BO44" s="103">
        <v>0.7</v>
      </c>
      <c r="BP44" s="21">
        <f>BN44*(1-BO44)</f>
        <v>2802.0000000000005</v>
      </c>
      <c r="BQ44" s="21">
        <f>BP44*BM44</f>
        <v>28020.000000000004</v>
      </c>
      <c r="BR44" s="21">
        <f>BQ44*0.8</f>
        <v>22416.000000000004</v>
      </c>
      <c r="BS44" s="97"/>
      <c r="BT44" s="155"/>
      <c r="BU44" s="155"/>
      <c r="BV44" s="97"/>
      <c r="BW44" s="99">
        <f>BX44/CA44*100</f>
        <v>0.56035731223215013</v>
      </c>
      <c r="BX44" s="86">
        <v>91086.86</v>
      </c>
      <c r="BY44" s="87">
        <f>BW44*BM44</f>
        <v>5.6035731223215013</v>
      </c>
      <c r="BZ44" s="88">
        <v>11451245</v>
      </c>
      <c r="CA44" s="100">
        <v>16255139</v>
      </c>
      <c r="CB44" s="90">
        <f>CA44*BY44/100</f>
        <v>910868.6</v>
      </c>
      <c r="CC44" s="21">
        <f>BR44/CB44*1000</f>
        <v>24.609477151808729</v>
      </c>
      <c r="CD44" s="10"/>
      <c r="CE44" s="44" t="s">
        <v>54</v>
      </c>
      <c r="CF44" s="91">
        <f>BP44*0.8</f>
        <v>2241.6000000000004</v>
      </c>
      <c r="CG44" s="37">
        <f t="shared" si="26"/>
        <v>10</v>
      </c>
      <c r="CH44" s="92">
        <f t="shared" si="27"/>
        <v>22416.000000000004</v>
      </c>
      <c r="CI44" s="309">
        <f t="shared" si="28"/>
        <v>0</v>
      </c>
      <c r="CJ44" s="92">
        <f t="shared" si="29"/>
        <v>0</v>
      </c>
      <c r="CK44" s="101" t="b">
        <f>(CH44+CJ44)=BR44</f>
        <v>1</v>
      </c>
    </row>
    <row r="45" spans="1:143" s="28" customFormat="1" ht="15.5" customHeight="1" x14ac:dyDescent="0.25">
      <c r="A45" s="32"/>
      <c r="B45" s="111"/>
      <c r="C45" s="343"/>
      <c r="D45" s="95"/>
      <c r="E45" s="39"/>
      <c r="F45" s="65"/>
      <c r="G45" s="65"/>
      <c r="H45" s="66"/>
      <c r="I45" s="66"/>
      <c r="J45" s="65"/>
      <c r="K45" s="214"/>
      <c r="L45" s="214"/>
      <c r="M45" s="214"/>
      <c r="N45" s="214"/>
      <c r="O45" s="66"/>
      <c r="P45" s="66"/>
      <c r="Q45" s="214"/>
      <c r="R45" s="214"/>
      <c r="S45" s="214"/>
      <c r="T45" s="214"/>
      <c r="U45" s="214"/>
      <c r="V45" s="66"/>
      <c r="W45" s="66"/>
      <c r="X45" s="214"/>
      <c r="Y45" s="214"/>
      <c r="Z45" s="214"/>
      <c r="AA45" s="214"/>
      <c r="AB45" s="214"/>
      <c r="AC45" s="66"/>
      <c r="AD45" s="66"/>
      <c r="AE45" s="214"/>
      <c r="AF45" s="214"/>
      <c r="AG45" s="214"/>
      <c r="AH45" s="214"/>
      <c r="AI45" s="214"/>
      <c r="AJ45" s="66"/>
      <c r="AK45" s="66"/>
      <c r="AL45" s="214"/>
      <c r="AM45" s="214"/>
      <c r="AN45" s="214"/>
      <c r="AO45" s="214"/>
      <c r="AP45" s="214"/>
      <c r="AQ45" s="66"/>
      <c r="AR45" s="66"/>
      <c r="AS45" s="214"/>
      <c r="AT45" s="214"/>
      <c r="AU45" s="214"/>
      <c r="AV45" s="214"/>
      <c r="AW45" s="214"/>
      <c r="AX45" s="66"/>
      <c r="AY45" s="66"/>
      <c r="AZ45" s="214"/>
      <c r="BA45" s="214"/>
      <c r="BB45" s="214"/>
      <c r="BC45" s="214"/>
      <c r="BD45" s="214"/>
      <c r="BE45" s="66"/>
      <c r="BF45" s="66"/>
      <c r="BG45" s="214"/>
      <c r="BH45" s="214"/>
      <c r="BI45" s="214"/>
      <c r="BJ45" s="214"/>
      <c r="BK45" s="214"/>
      <c r="BL45" s="66"/>
      <c r="BM45" s="163"/>
      <c r="BN45" s="21"/>
      <c r="BO45" s="103"/>
      <c r="BP45" s="21"/>
      <c r="BQ45" s="21"/>
      <c r="BR45" s="114"/>
      <c r="BS45" s="97"/>
      <c r="BT45" s="165"/>
      <c r="BU45" s="165"/>
      <c r="BV45" s="97"/>
      <c r="BW45" s="166"/>
      <c r="BX45" s="107"/>
      <c r="BY45" s="108"/>
      <c r="BZ45" s="109"/>
      <c r="CA45" s="110"/>
      <c r="CB45" s="109"/>
      <c r="CC45" s="114"/>
      <c r="CD45" s="10"/>
      <c r="CE45" s="44"/>
      <c r="CF45" s="91"/>
      <c r="CG45" s="37"/>
      <c r="CH45" s="92"/>
      <c r="CI45" s="309"/>
      <c r="CJ45" s="92"/>
      <c r="CK45" s="50"/>
      <c r="CL45" s="45"/>
      <c r="CM45" s="45"/>
      <c r="CN45" s="45"/>
      <c r="CO45" s="45"/>
      <c r="CP45" s="45"/>
      <c r="CQ45" s="45"/>
      <c r="CR45" s="45"/>
      <c r="CS45" s="45"/>
      <c r="CT45" s="45"/>
      <c r="CU45" s="45"/>
      <c r="CV45" s="45"/>
      <c r="CW45" s="45"/>
      <c r="CX45" s="45"/>
      <c r="CY45" s="45"/>
      <c r="CZ45" s="45"/>
      <c r="DA45" s="45"/>
      <c r="DB45" s="45"/>
      <c r="DC45" s="45"/>
      <c r="DD45" s="45"/>
      <c r="DE45" s="45"/>
      <c r="DF45" s="45"/>
      <c r="DG45" s="45"/>
      <c r="DH45" s="45"/>
      <c r="DI45" s="45"/>
      <c r="DJ45" s="45"/>
      <c r="DK45" s="45"/>
      <c r="DL45" s="45"/>
      <c r="DM45" s="45"/>
      <c r="DN45" s="45"/>
      <c r="DO45" s="45"/>
      <c r="DP45" s="45"/>
      <c r="DQ45" s="45"/>
      <c r="DR45" s="45"/>
      <c r="DS45" s="45"/>
      <c r="DT45" s="45"/>
      <c r="DU45" s="45"/>
      <c r="DV45" s="45"/>
      <c r="DW45" s="45"/>
      <c r="DX45" s="45"/>
      <c r="DY45" s="45"/>
      <c r="DZ45" s="45"/>
      <c r="EA45" s="45"/>
      <c r="EB45" s="45"/>
      <c r="EC45" s="45"/>
      <c r="ED45" s="45"/>
      <c r="EE45" s="45"/>
      <c r="EF45" s="45"/>
      <c r="EG45" s="45"/>
      <c r="EH45" s="45"/>
      <c r="EI45" s="45"/>
      <c r="EJ45" s="45"/>
      <c r="EK45" s="45"/>
      <c r="EL45" s="45"/>
      <c r="EM45" s="45"/>
    </row>
    <row r="46" spans="1:143" s="28" customFormat="1" ht="15.5" customHeight="1" x14ac:dyDescent="0.25">
      <c r="A46" s="32"/>
      <c r="B46" s="115"/>
      <c r="C46" s="344"/>
      <c r="D46" s="95"/>
      <c r="E46" s="117"/>
      <c r="F46" s="65"/>
      <c r="G46" s="65"/>
      <c r="H46" s="66"/>
      <c r="I46" s="66"/>
      <c r="J46" s="65"/>
      <c r="K46" s="214"/>
      <c r="L46" s="214"/>
      <c r="M46" s="214"/>
      <c r="N46" s="214"/>
      <c r="O46" s="66"/>
      <c r="P46" s="66"/>
      <c r="Q46" s="214"/>
      <c r="R46" s="214"/>
      <c r="S46" s="214"/>
      <c r="T46" s="214"/>
      <c r="U46" s="214"/>
      <c r="V46" s="66"/>
      <c r="W46" s="66"/>
      <c r="X46" s="214"/>
      <c r="Y46" s="214"/>
      <c r="Z46" s="214"/>
      <c r="AA46" s="214"/>
      <c r="AB46" s="214"/>
      <c r="AC46" s="66"/>
      <c r="AD46" s="66"/>
      <c r="AE46" s="214"/>
      <c r="AF46" s="214"/>
      <c r="AG46" s="214"/>
      <c r="AH46" s="214"/>
      <c r="AI46" s="214"/>
      <c r="AJ46" s="66"/>
      <c r="AK46" s="66"/>
      <c r="AL46" s="214"/>
      <c r="AM46" s="214"/>
      <c r="AN46" s="214"/>
      <c r="AO46" s="214"/>
      <c r="AP46" s="214"/>
      <c r="AQ46" s="66"/>
      <c r="AR46" s="66"/>
      <c r="AS46" s="214"/>
      <c r="AT46" s="214"/>
      <c r="AU46" s="214"/>
      <c r="AV46" s="214"/>
      <c r="AW46" s="214"/>
      <c r="AX46" s="66"/>
      <c r="AY46" s="66"/>
      <c r="AZ46" s="214"/>
      <c r="BA46" s="214"/>
      <c r="BB46" s="214"/>
      <c r="BC46" s="214"/>
      <c r="BD46" s="214"/>
      <c r="BE46" s="66"/>
      <c r="BF46" s="66"/>
      <c r="BG46" s="214"/>
      <c r="BH46" s="214"/>
      <c r="BI46" s="214"/>
      <c r="BJ46" s="214"/>
      <c r="BK46" s="214"/>
      <c r="BL46" s="66"/>
      <c r="BM46" s="167"/>
      <c r="BN46" s="18"/>
      <c r="BO46" s="119"/>
      <c r="BP46" s="18"/>
      <c r="BQ46" s="18"/>
      <c r="BR46" s="21"/>
      <c r="BS46" s="97"/>
      <c r="BT46" s="155"/>
      <c r="BU46" s="155"/>
      <c r="BV46" s="97"/>
      <c r="BW46" s="15"/>
      <c r="BX46" s="122"/>
      <c r="BY46" s="123"/>
      <c r="BZ46" s="90"/>
      <c r="CA46" s="89"/>
      <c r="CB46" s="90"/>
      <c r="CC46" s="18"/>
      <c r="CD46" s="10"/>
      <c r="CE46" s="44"/>
      <c r="CF46" s="91"/>
      <c r="CG46" s="37"/>
      <c r="CH46" s="92"/>
      <c r="CI46" s="309"/>
      <c r="CJ46" s="92"/>
      <c r="CK46" s="50"/>
      <c r="CL46" s="45"/>
      <c r="CM46" s="45"/>
      <c r="CN46" s="45"/>
      <c r="CO46" s="45"/>
      <c r="CP46" s="45"/>
      <c r="CQ46" s="45"/>
      <c r="CR46" s="45"/>
      <c r="CS46" s="45"/>
      <c r="CT46" s="45"/>
      <c r="CU46" s="45"/>
      <c r="CV46" s="45"/>
      <c r="CW46" s="45"/>
      <c r="CX46" s="45"/>
      <c r="CY46" s="45"/>
      <c r="CZ46" s="45"/>
      <c r="DA46" s="45"/>
      <c r="DB46" s="45"/>
      <c r="DC46" s="45"/>
      <c r="DD46" s="45"/>
      <c r="DE46" s="45"/>
      <c r="DF46" s="45"/>
      <c r="DG46" s="45"/>
      <c r="DH46" s="45"/>
      <c r="DI46" s="45"/>
      <c r="DJ46" s="45"/>
      <c r="DK46" s="45"/>
      <c r="DL46" s="45"/>
      <c r="DM46" s="45"/>
      <c r="DN46" s="45"/>
      <c r="DO46" s="45"/>
      <c r="DP46" s="45"/>
      <c r="DQ46" s="45"/>
      <c r="DR46" s="45"/>
      <c r="DS46" s="45"/>
      <c r="DT46" s="45"/>
      <c r="DU46" s="45"/>
      <c r="DV46" s="45"/>
      <c r="DW46" s="45"/>
      <c r="DX46" s="45"/>
      <c r="DY46" s="45"/>
      <c r="DZ46" s="45"/>
      <c r="EA46" s="45"/>
      <c r="EB46" s="45"/>
      <c r="EC46" s="45"/>
      <c r="ED46" s="45"/>
      <c r="EE46" s="45"/>
      <c r="EF46" s="45"/>
      <c r="EG46" s="45"/>
      <c r="EH46" s="45"/>
      <c r="EI46" s="45"/>
      <c r="EJ46" s="45"/>
      <c r="EK46" s="45"/>
      <c r="EL46" s="45"/>
      <c r="EM46" s="45"/>
    </row>
    <row r="47" spans="1:143" s="28" customFormat="1" ht="15.5" customHeight="1" x14ac:dyDescent="0.25">
      <c r="A47" s="32"/>
      <c r="B47" s="111"/>
      <c r="C47" s="343" t="s">
        <v>55</v>
      </c>
      <c r="D47" s="95" t="s">
        <v>51</v>
      </c>
      <c r="E47" s="39" t="s">
        <v>40</v>
      </c>
      <c r="F47" s="65"/>
      <c r="G47" s="65"/>
      <c r="H47" s="66"/>
      <c r="I47" s="66"/>
      <c r="J47" s="65"/>
      <c r="K47" s="214"/>
      <c r="L47" s="214"/>
      <c r="M47" s="214"/>
      <c r="N47" s="214"/>
      <c r="O47" s="66"/>
      <c r="P47" s="66"/>
      <c r="Q47" s="214"/>
      <c r="R47" s="214"/>
      <c r="S47" s="214"/>
      <c r="T47" s="214"/>
      <c r="U47" s="214"/>
      <c r="V47" s="66"/>
      <c r="W47" s="66"/>
      <c r="X47" s="214"/>
      <c r="Y47" s="214"/>
      <c r="Z47" s="214"/>
      <c r="AA47" s="214"/>
      <c r="AB47" s="214"/>
      <c r="AC47" s="66">
        <v>3</v>
      </c>
      <c r="AD47" s="66">
        <v>3</v>
      </c>
      <c r="AE47" s="214">
        <v>3</v>
      </c>
      <c r="AF47" s="214">
        <v>3</v>
      </c>
      <c r="AG47" s="214">
        <v>3</v>
      </c>
      <c r="AH47" s="214">
        <v>3</v>
      </c>
      <c r="AI47" s="214">
        <v>3</v>
      </c>
      <c r="AJ47" s="66">
        <v>3</v>
      </c>
      <c r="AK47" s="66">
        <v>3</v>
      </c>
      <c r="AL47" s="214">
        <v>3</v>
      </c>
      <c r="AM47" s="214">
        <v>3</v>
      </c>
      <c r="AN47" s="214">
        <v>3</v>
      </c>
      <c r="AO47" s="214">
        <v>3</v>
      </c>
      <c r="AP47" s="214">
        <v>3</v>
      </c>
      <c r="AQ47" s="66">
        <v>3</v>
      </c>
      <c r="AR47" s="66">
        <v>3</v>
      </c>
      <c r="AS47" s="214">
        <v>3</v>
      </c>
      <c r="AT47" s="214">
        <v>3</v>
      </c>
      <c r="AU47" s="214">
        <v>3</v>
      </c>
      <c r="AV47" s="214">
        <v>3</v>
      </c>
      <c r="AW47" s="214">
        <v>3</v>
      </c>
      <c r="AX47" s="66"/>
      <c r="AY47" s="66"/>
      <c r="AZ47" s="214"/>
      <c r="BA47" s="214"/>
      <c r="BB47" s="214"/>
      <c r="BC47" s="214"/>
      <c r="BD47" s="214"/>
      <c r="BE47" s="66"/>
      <c r="BF47" s="66"/>
      <c r="BG47" s="214"/>
      <c r="BH47" s="214"/>
      <c r="BI47" s="214"/>
      <c r="BJ47" s="214"/>
      <c r="BK47" s="214"/>
      <c r="BL47" s="66"/>
      <c r="BM47" s="82">
        <f t="shared" ref="BM47:BM48" si="30">SUM(F47:BL47)</f>
        <v>63</v>
      </c>
      <c r="BN47" s="21">
        <v>5760</v>
      </c>
      <c r="BO47" s="103">
        <v>0.57999999999999996</v>
      </c>
      <c r="BP47" s="21">
        <f>BN47*(1-BO47)</f>
        <v>2419.2000000000003</v>
      </c>
      <c r="BQ47" s="21">
        <f>BP47*BM47</f>
        <v>152409.60000000001</v>
      </c>
      <c r="BR47" s="21">
        <f>BQ47*0.8</f>
        <v>121927.68000000001</v>
      </c>
      <c r="BS47" s="97"/>
      <c r="BT47" s="161">
        <f>(BR47+BR48)/$BR$94</f>
        <v>0.11356121683120445</v>
      </c>
      <c r="BU47" s="155">
        <v>0.107702839695913</v>
      </c>
      <c r="BV47" s="97"/>
      <c r="BW47" s="99">
        <f>BX47/CA47*100</f>
        <v>0.88456216830874212</v>
      </c>
      <c r="BX47" s="86">
        <v>143786.81</v>
      </c>
      <c r="BY47" s="87">
        <f>BW47*BM47</f>
        <v>55.727416603450756</v>
      </c>
      <c r="BZ47" s="88">
        <v>11451245</v>
      </c>
      <c r="CA47" s="100">
        <v>16255139</v>
      </c>
      <c r="CB47" s="90">
        <f>CA47*BY47/100</f>
        <v>9058569.0299999993</v>
      </c>
      <c r="CC47" s="21">
        <f>BR47/CB47*1000</f>
        <v>13.459927235328472</v>
      </c>
      <c r="CD47" s="10"/>
      <c r="CE47" s="44" t="s">
        <v>55</v>
      </c>
      <c r="CF47" s="91">
        <f>BP47*0.8</f>
        <v>1935.3600000000004</v>
      </c>
      <c r="CG47" s="37">
        <f t="shared" ref="CG47:CG48" si="31">SUM(F47:AJ47)</f>
        <v>24</v>
      </c>
      <c r="CH47" s="92">
        <f t="shared" ref="CH47:CH48" si="32">CF47*CG47</f>
        <v>46448.640000000007</v>
      </c>
      <c r="CI47" s="309">
        <f t="shared" ref="CI47:CI48" si="33">SUM(AK47:BL47)</f>
        <v>39</v>
      </c>
      <c r="CJ47" s="92">
        <f t="shared" ref="CJ47:CJ48" si="34">CI47*CF47</f>
        <v>75479.040000000008</v>
      </c>
      <c r="CK47" s="101" t="b">
        <f>(CH47+CJ47)=BR47</f>
        <v>1</v>
      </c>
      <c r="CL47" s="45"/>
      <c r="CM47" s="45"/>
      <c r="CN47" s="45"/>
      <c r="CO47" s="45"/>
      <c r="CP47" s="45"/>
      <c r="CQ47" s="45"/>
      <c r="CR47" s="45"/>
      <c r="CS47" s="45"/>
      <c r="CT47" s="45"/>
      <c r="CU47" s="45"/>
      <c r="CV47" s="45"/>
      <c r="CW47" s="45"/>
      <c r="CX47" s="45"/>
      <c r="CY47" s="45"/>
      <c r="CZ47" s="45"/>
      <c r="DA47" s="45"/>
      <c r="DB47" s="45"/>
      <c r="DC47" s="45"/>
      <c r="DD47" s="45"/>
      <c r="DE47" s="45"/>
      <c r="DF47" s="45"/>
      <c r="DG47" s="45"/>
      <c r="DH47" s="45"/>
      <c r="DI47" s="45"/>
      <c r="DJ47" s="45"/>
      <c r="DK47" s="45"/>
      <c r="DL47" s="45"/>
      <c r="DM47" s="45"/>
      <c r="DN47" s="45"/>
      <c r="DO47" s="45"/>
      <c r="DP47" s="45"/>
      <c r="DQ47" s="45"/>
      <c r="DR47" s="45"/>
      <c r="DS47" s="45"/>
      <c r="DT47" s="45"/>
      <c r="DU47" s="45"/>
      <c r="DV47" s="45"/>
      <c r="DW47" s="45"/>
      <c r="DX47" s="45"/>
      <c r="DY47" s="45"/>
      <c r="DZ47" s="45"/>
      <c r="EA47" s="45"/>
      <c r="EB47" s="45"/>
      <c r="EC47" s="45"/>
      <c r="ED47" s="45"/>
      <c r="EE47" s="45"/>
      <c r="EF47" s="45"/>
      <c r="EG47" s="45"/>
      <c r="EH47" s="45"/>
      <c r="EI47" s="45"/>
      <c r="EJ47" s="45"/>
      <c r="EK47" s="45"/>
      <c r="EL47" s="45"/>
      <c r="EM47" s="45"/>
    </row>
    <row r="48" spans="1:143" s="28" customFormat="1" ht="15.5" customHeight="1" x14ac:dyDescent="0.25">
      <c r="A48" s="32"/>
      <c r="B48" s="111"/>
      <c r="C48" s="343"/>
      <c r="D48" s="95" t="s">
        <v>51</v>
      </c>
      <c r="E48" s="39" t="s">
        <v>141</v>
      </c>
      <c r="F48" s="65"/>
      <c r="G48" s="65"/>
      <c r="H48" s="66"/>
      <c r="I48" s="66"/>
      <c r="J48" s="65"/>
      <c r="K48" s="214"/>
      <c r="L48" s="214"/>
      <c r="M48" s="214"/>
      <c r="N48" s="214"/>
      <c r="O48" s="66"/>
      <c r="P48" s="66"/>
      <c r="Q48" s="214"/>
      <c r="R48" s="214"/>
      <c r="S48" s="214"/>
      <c r="T48" s="214"/>
      <c r="U48" s="214"/>
      <c r="V48" s="66"/>
      <c r="W48" s="66"/>
      <c r="X48" s="214">
        <v>1</v>
      </c>
      <c r="Y48" s="214">
        <v>2</v>
      </c>
      <c r="Z48" s="214">
        <v>2</v>
      </c>
      <c r="AA48" s="214">
        <v>1</v>
      </c>
      <c r="AB48" s="214">
        <v>1</v>
      </c>
      <c r="AC48" s="66"/>
      <c r="AD48" s="66"/>
      <c r="AE48" s="214"/>
      <c r="AF48" s="214"/>
      <c r="AG48" s="214"/>
      <c r="AH48" s="214"/>
      <c r="AI48" s="214"/>
      <c r="AJ48" s="66"/>
      <c r="AK48" s="66"/>
      <c r="AL48" s="214"/>
      <c r="AM48" s="214"/>
      <c r="AN48" s="214"/>
      <c r="AO48" s="214"/>
      <c r="AP48" s="214"/>
      <c r="AQ48" s="66"/>
      <c r="AR48" s="66"/>
      <c r="AS48" s="214"/>
      <c r="AT48" s="214"/>
      <c r="AU48" s="214"/>
      <c r="AV48" s="214"/>
      <c r="AW48" s="214"/>
      <c r="AX48" s="66"/>
      <c r="AY48" s="66"/>
      <c r="AZ48" s="214"/>
      <c r="BA48" s="214"/>
      <c r="BB48" s="214"/>
      <c r="BC48" s="214"/>
      <c r="BD48" s="214"/>
      <c r="BE48" s="66"/>
      <c r="BF48" s="66"/>
      <c r="BG48" s="214"/>
      <c r="BH48" s="214"/>
      <c r="BI48" s="214"/>
      <c r="BJ48" s="214"/>
      <c r="BK48" s="214"/>
      <c r="BL48" s="66"/>
      <c r="BM48" s="82">
        <f t="shared" si="30"/>
        <v>7</v>
      </c>
      <c r="BN48" s="21">
        <f>BN47*2</f>
        <v>11520</v>
      </c>
      <c r="BO48" s="103">
        <v>0.57999999999999996</v>
      </c>
      <c r="BP48" s="21">
        <f>BN48*(1-BO48)</f>
        <v>4838.4000000000005</v>
      </c>
      <c r="BQ48" s="21">
        <f>BP48*BM48</f>
        <v>33868.800000000003</v>
      </c>
      <c r="BR48" s="21">
        <f>BQ48*0.8</f>
        <v>27095.040000000005</v>
      </c>
      <c r="BS48" s="97"/>
      <c r="BT48" s="155"/>
      <c r="BU48" s="155"/>
      <c r="BV48" s="97"/>
      <c r="BW48" s="99">
        <f>BX48/CA48*100</f>
        <v>0.88456216830874212</v>
      </c>
      <c r="BX48" s="86">
        <v>143786.81</v>
      </c>
      <c r="BY48" s="87">
        <f>BW48*BM48</f>
        <v>6.1919351781611951</v>
      </c>
      <c r="BZ48" s="88">
        <v>11451245</v>
      </c>
      <c r="CA48" s="100">
        <v>16255139</v>
      </c>
      <c r="CB48" s="90">
        <f>CA48*BY48/100</f>
        <v>1006507.6699999998</v>
      </c>
      <c r="CC48" s="21">
        <f>BR48/CB48*1000</f>
        <v>26.919854470656951</v>
      </c>
      <c r="CD48" s="10"/>
      <c r="CE48" s="44" t="s">
        <v>55</v>
      </c>
      <c r="CF48" s="91">
        <f>BP48*0.8</f>
        <v>3870.7200000000007</v>
      </c>
      <c r="CG48" s="37">
        <f t="shared" si="31"/>
        <v>7</v>
      </c>
      <c r="CH48" s="92">
        <f t="shared" si="32"/>
        <v>27095.040000000005</v>
      </c>
      <c r="CI48" s="309">
        <f t="shared" si="33"/>
        <v>0</v>
      </c>
      <c r="CJ48" s="92">
        <f t="shared" si="34"/>
        <v>0</v>
      </c>
      <c r="CK48" s="101" t="b">
        <f>(CH48+CJ48)=BR48</f>
        <v>1</v>
      </c>
      <c r="CL48" s="45"/>
      <c r="CM48" s="45"/>
      <c r="CN48" s="45"/>
      <c r="CO48" s="45"/>
      <c r="CP48" s="45"/>
      <c r="CQ48" s="45"/>
      <c r="CR48" s="45"/>
      <c r="CS48" s="45"/>
      <c r="CT48" s="45"/>
      <c r="CU48" s="45"/>
      <c r="CV48" s="45"/>
      <c r="CW48" s="45"/>
      <c r="CX48" s="45"/>
      <c r="CY48" s="45"/>
      <c r="CZ48" s="45"/>
      <c r="DA48" s="45"/>
      <c r="DB48" s="45"/>
      <c r="DC48" s="45"/>
      <c r="DD48" s="45"/>
      <c r="DE48" s="45"/>
      <c r="DF48" s="45"/>
      <c r="DG48" s="45"/>
      <c r="DH48" s="45"/>
      <c r="DI48" s="45"/>
      <c r="DJ48" s="45"/>
      <c r="DK48" s="45"/>
      <c r="DL48" s="45"/>
      <c r="DM48" s="45"/>
      <c r="DN48" s="45"/>
      <c r="DO48" s="45"/>
      <c r="DP48" s="45"/>
      <c r="DQ48" s="45"/>
      <c r="DR48" s="45"/>
      <c r="DS48" s="45"/>
      <c r="DT48" s="45"/>
      <c r="DU48" s="45"/>
      <c r="DV48" s="45"/>
      <c r="DW48" s="45"/>
      <c r="DX48" s="45"/>
      <c r="DY48" s="45"/>
      <c r="DZ48" s="45"/>
      <c r="EA48" s="45"/>
      <c r="EB48" s="45"/>
      <c r="EC48" s="45"/>
      <c r="ED48" s="45"/>
      <c r="EE48" s="45"/>
      <c r="EF48" s="45"/>
      <c r="EG48" s="45"/>
      <c r="EH48" s="45"/>
      <c r="EI48" s="45"/>
      <c r="EJ48" s="45"/>
      <c r="EK48" s="45"/>
      <c r="EL48" s="45"/>
      <c r="EM48" s="45"/>
    </row>
    <row r="49" spans="1:143" s="28" customFormat="1" ht="15.5" customHeight="1" x14ac:dyDescent="0.25">
      <c r="A49" s="32"/>
      <c r="B49" s="111"/>
      <c r="C49" s="343"/>
      <c r="D49" s="95"/>
      <c r="E49" s="39"/>
      <c r="F49" s="65"/>
      <c r="G49" s="65"/>
      <c r="H49" s="66"/>
      <c r="I49" s="66"/>
      <c r="J49" s="65"/>
      <c r="K49" s="214"/>
      <c r="L49" s="214"/>
      <c r="M49" s="214"/>
      <c r="N49" s="214"/>
      <c r="O49" s="66"/>
      <c r="P49" s="66"/>
      <c r="Q49" s="214"/>
      <c r="R49" s="214"/>
      <c r="S49" s="214"/>
      <c r="T49" s="214"/>
      <c r="U49" s="214"/>
      <c r="V49" s="66"/>
      <c r="W49" s="66"/>
      <c r="X49" s="214"/>
      <c r="Y49" s="214"/>
      <c r="Z49" s="214"/>
      <c r="AA49" s="214"/>
      <c r="AB49" s="214"/>
      <c r="AC49" s="66"/>
      <c r="AD49" s="66"/>
      <c r="AE49" s="214"/>
      <c r="AF49" s="214"/>
      <c r="AG49" s="214"/>
      <c r="AH49" s="214"/>
      <c r="AI49" s="214"/>
      <c r="AJ49" s="66"/>
      <c r="AK49" s="66"/>
      <c r="AL49" s="214"/>
      <c r="AM49" s="214"/>
      <c r="AN49" s="214"/>
      <c r="AO49" s="214"/>
      <c r="AP49" s="214"/>
      <c r="AQ49" s="66"/>
      <c r="AR49" s="66"/>
      <c r="AS49" s="214"/>
      <c r="AT49" s="214"/>
      <c r="AU49" s="214"/>
      <c r="AV49" s="214"/>
      <c r="AW49" s="214"/>
      <c r="AX49" s="66"/>
      <c r="AY49" s="66"/>
      <c r="AZ49" s="214"/>
      <c r="BA49" s="214"/>
      <c r="BB49" s="214"/>
      <c r="BC49" s="214"/>
      <c r="BD49" s="214"/>
      <c r="BE49" s="66"/>
      <c r="BF49" s="66"/>
      <c r="BG49" s="214"/>
      <c r="BH49" s="214"/>
      <c r="BI49" s="214"/>
      <c r="BJ49" s="214"/>
      <c r="BK49" s="214"/>
      <c r="BL49" s="66"/>
      <c r="BM49" s="163"/>
      <c r="BN49" s="21"/>
      <c r="BO49" s="103"/>
      <c r="BP49" s="21"/>
      <c r="BQ49" s="21"/>
      <c r="BR49" s="114"/>
      <c r="BS49" s="97"/>
      <c r="BT49" s="165"/>
      <c r="BU49" s="165"/>
      <c r="BV49" s="97"/>
      <c r="BW49" s="166"/>
      <c r="BX49" s="107"/>
      <c r="BY49" s="108"/>
      <c r="BZ49" s="109"/>
      <c r="CA49" s="110"/>
      <c r="CB49" s="109"/>
      <c r="CC49" s="114"/>
      <c r="CD49" s="10"/>
      <c r="CE49" s="44"/>
      <c r="CF49" s="91"/>
      <c r="CG49" s="37"/>
      <c r="CH49" s="92"/>
      <c r="CI49" s="309"/>
      <c r="CJ49" s="92"/>
      <c r="CK49" s="50"/>
      <c r="CL49" s="45"/>
      <c r="CM49" s="45"/>
      <c r="CN49" s="45"/>
      <c r="CO49" s="45"/>
      <c r="CP49" s="45"/>
      <c r="CQ49" s="45"/>
      <c r="CR49" s="45"/>
      <c r="CS49" s="45"/>
      <c r="CT49" s="45"/>
      <c r="CU49" s="45"/>
      <c r="CV49" s="45"/>
      <c r="CW49" s="45"/>
      <c r="CX49" s="45"/>
      <c r="CY49" s="45"/>
      <c r="CZ49" s="45"/>
      <c r="DA49" s="45"/>
      <c r="DB49" s="45"/>
      <c r="DC49" s="45"/>
      <c r="DD49" s="45"/>
      <c r="DE49" s="45"/>
      <c r="DF49" s="45"/>
      <c r="DG49" s="45"/>
      <c r="DH49" s="45"/>
      <c r="DI49" s="45"/>
      <c r="DJ49" s="45"/>
      <c r="DK49" s="45"/>
      <c r="DL49" s="45"/>
      <c r="DM49" s="45"/>
      <c r="DN49" s="45"/>
      <c r="DO49" s="45"/>
      <c r="DP49" s="45"/>
      <c r="DQ49" s="45"/>
      <c r="DR49" s="45"/>
      <c r="DS49" s="45"/>
      <c r="DT49" s="45"/>
      <c r="DU49" s="45"/>
      <c r="DV49" s="45"/>
      <c r="DW49" s="45"/>
      <c r="DX49" s="45"/>
      <c r="DY49" s="45"/>
      <c r="DZ49" s="45"/>
      <c r="EA49" s="45"/>
      <c r="EB49" s="45"/>
      <c r="EC49" s="45"/>
      <c r="ED49" s="45"/>
      <c r="EE49" s="45"/>
      <c r="EF49" s="45"/>
      <c r="EG49" s="45"/>
      <c r="EH49" s="45"/>
      <c r="EI49" s="45"/>
      <c r="EJ49" s="45"/>
      <c r="EK49" s="45"/>
      <c r="EL49" s="45"/>
      <c r="EM49" s="45"/>
    </row>
    <row r="50" spans="1:143" s="28" customFormat="1" ht="15.5" customHeight="1" x14ac:dyDescent="0.25">
      <c r="A50" s="32"/>
      <c r="B50" s="115"/>
      <c r="C50" s="344"/>
      <c r="D50" s="95"/>
      <c r="E50" s="117"/>
      <c r="F50" s="65"/>
      <c r="G50" s="65"/>
      <c r="H50" s="66"/>
      <c r="I50" s="66"/>
      <c r="J50" s="65"/>
      <c r="K50" s="214"/>
      <c r="L50" s="214"/>
      <c r="M50" s="214"/>
      <c r="N50" s="214"/>
      <c r="O50" s="66"/>
      <c r="P50" s="66"/>
      <c r="Q50" s="214"/>
      <c r="R50" s="214"/>
      <c r="S50" s="214"/>
      <c r="T50" s="214"/>
      <c r="U50" s="214"/>
      <c r="V50" s="66"/>
      <c r="W50" s="66"/>
      <c r="X50" s="214"/>
      <c r="Y50" s="214"/>
      <c r="Z50" s="214"/>
      <c r="AA50" s="214"/>
      <c r="AB50" s="214"/>
      <c r="AC50" s="66"/>
      <c r="AD50" s="66"/>
      <c r="AE50" s="214"/>
      <c r="AF50" s="214"/>
      <c r="AG50" s="214"/>
      <c r="AH50" s="214"/>
      <c r="AI50" s="214"/>
      <c r="AJ50" s="66"/>
      <c r="AK50" s="66"/>
      <c r="AL50" s="214"/>
      <c r="AM50" s="214"/>
      <c r="AN50" s="214"/>
      <c r="AO50" s="214"/>
      <c r="AP50" s="214"/>
      <c r="AQ50" s="66"/>
      <c r="AR50" s="66"/>
      <c r="AS50" s="214"/>
      <c r="AT50" s="214"/>
      <c r="AU50" s="214"/>
      <c r="AV50" s="214"/>
      <c r="AW50" s="214"/>
      <c r="AX50" s="66"/>
      <c r="AY50" s="66"/>
      <c r="AZ50" s="214"/>
      <c r="BA50" s="214"/>
      <c r="BB50" s="214"/>
      <c r="BC50" s="214"/>
      <c r="BD50" s="214"/>
      <c r="BE50" s="66"/>
      <c r="BF50" s="66"/>
      <c r="BG50" s="214"/>
      <c r="BH50" s="214"/>
      <c r="BI50" s="214"/>
      <c r="BJ50" s="214"/>
      <c r="BK50" s="214"/>
      <c r="BL50" s="66"/>
      <c r="BM50" s="167"/>
      <c r="BN50" s="18"/>
      <c r="BO50" s="119"/>
      <c r="BP50" s="18"/>
      <c r="BQ50" s="18"/>
      <c r="BR50" s="21"/>
      <c r="BS50" s="97"/>
      <c r="BT50" s="155"/>
      <c r="BU50" s="155"/>
      <c r="BV50" s="97"/>
      <c r="BW50" s="15"/>
      <c r="BX50" s="122"/>
      <c r="BY50" s="123"/>
      <c r="BZ50" s="90"/>
      <c r="CA50" s="89"/>
      <c r="CB50" s="90"/>
      <c r="CC50" s="18"/>
      <c r="CD50" s="10"/>
      <c r="CE50" s="44"/>
      <c r="CF50" s="91"/>
      <c r="CG50" s="37"/>
      <c r="CH50" s="92"/>
      <c r="CI50" s="309"/>
      <c r="CJ50" s="92"/>
      <c r="CK50" s="50"/>
      <c r="CL50" s="45"/>
      <c r="CM50" s="45"/>
      <c r="CN50" s="45"/>
      <c r="CO50" s="45"/>
      <c r="CP50" s="45"/>
      <c r="CQ50" s="45"/>
      <c r="CR50" s="45"/>
      <c r="CS50" s="45"/>
      <c r="CT50" s="45"/>
      <c r="CU50" s="45"/>
      <c r="CV50" s="45"/>
      <c r="CW50" s="45"/>
      <c r="CX50" s="45"/>
      <c r="CY50" s="45"/>
      <c r="CZ50" s="45"/>
      <c r="DA50" s="45"/>
      <c r="DB50" s="45"/>
      <c r="DC50" s="45"/>
      <c r="DD50" s="45"/>
      <c r="DE50" s="45"/>
      <c r="DF50" s="45"/>
      <c r="DG50" s="45"/>
      <c r="DH50" s="45"/>
      <c r="DI50" s="45"/>
      <c r="DJ50" s="45"/>
      <c r="DK50" s="45"/>
      <c r="DL50" s="45"/>
      <c r="DM50" s="45"/>
      <c r="DN50" s="45"/>
      <c r="DO50" s="45"/>
      <c r="DP50" s="45"/>
      <c r="DQ50" s="45"/>
      <c r="DR50" s="45"/>
      <c r="DS50" s="45"/>
      <c r="DT50" s="45"/>
      <c r="DU50" s="45"/>
      <c r="DV50" s="45"/>
      <c r="DW50" s="45"/>
      <c r="DX50" s="45"/>
      <c r="DY50" s="45"/>
      <c r="DZ50" s="45"/>
      <c r="EA50" s="45"/>
      <c r="EB50" s="45"/>
      <c r="EC50" s="45"/>
      <c r="ED50" s="45"/>
      <c r="EE50" s="45"/>
      <c r="EF50" s="45"/>
      <c r="EG50" s="45"/>
      <c r="EH50" s="45"/>
      <c r="EI50" s="45"/>
      <c r="EJ50" s="45"/>
      <c r="EK50" s="45"/>
      <c r="EL50" s="45"/>
      <c r="EM50" s="45"/>
    </row>
    <row r="51" spans="1:143" s="28" customFormat="1" ht="15.5" customHeight="1" x14ac:dyDescent="0.25">
      <c r="A51" s="32"/>
      <c r="B51" s="111"/>
      <c r="C51" s="343" t="s">
        <v>56</v>
      </c>
      <c r="D51" s="95" t="s">
        <v>51</v>
      </c>
      <c r="E51" s="39" t="s">
        <v>40</v>
      </c>
      <c r="F51" s="65"/>
      <c r="G51" s="65"/>
      <c r="H51" s="66"/>
      <c r="I51" s="66"/>
      <c r="J51" s="65"/>
      <c r="K51" s="214"/>
      <c r="L51" s="214"/>
      <c r="M51" s="214"/>
      <c r="N51" s="214"/>
      <c r="O51" s="66"/>
      <c r="P51" s="66"/>
      <c r="Q51" s="214"/>
      <c r="R51" s="214"/>
      <c r="S51" s="214"/>
      <c r="T51" s="214"/>
      <c r="U51" s="214"/>
      <c r="V51" s="66"/>
      <c r="W51" s="66"/>
      <c r="X51" s="214"/>
      <c r="Y51" s="214"/>
      <c r="Z51" s="214"/>
      <c r="AA51" s="214"/>
      <c r="AB51" s="214"/>
      <c r="AC51" s="66">
        <v>3</v>
      </c>
      <c r="AD51" s="66">
        <v>3</v>
      </c>
      <c r="AE51" s="214">
        <v>3</v>
      </c>
      <c r="AF51" s="214">
        <v>3</v>
      </c>
      <c r="AG51" s="214">
        <v>3</v>
      </c>
      <c r="AH51" s="214">
        <v>3</v>
      </c>
      <c r="AI51" s="214">
        <v>3</v>
      </c>
      <c r="AJ51" s="66">
        <v>3</v>
      </c>
      <c r="AK51" s="66">
        <v>3</v>
      </c>
      <c r="AL51" s="214">
        <v>3</v>
      </c>
      <c r="AM51" s="214">
        <v>3</v>
      </c>
      <c r="AN51" s="214">
        <v>3</v>
      </c>
      <c r="AO51" s="214">
        <v>3</v>
      </c>
      <c r="AP51" s="214">
        <v>3</v>
      </c>
      <c r="AQ51" s="66">
        <v>3</v>
      </c>
      <c r="AR51" s="66">
        <v>3</v>
      </c>
      <c r="AS51" s="214">
        <v>3</v>
      </c>
      <c r="AT51" s="214">
        <v>3</v>
      </c>
      <c r="AU51" s="214">
        <v>3</v>
      </c>
      <c r="AV51" s="214">
        <v>3</v>
      </c>
      <c r="AW51" s="214">
        <v>3</v>
      </c>
      <c r="AX51" s="66"/>
      <c r="AY51" s="66"/>
      <c r="AZ51" s="214"/>
      <c r="BA51" s="214"/>
      <c r="BB51" s="214"/>
      <c r="BC51" s="214"/>
      <c r="BD51" s="214"/>
      <c r="BE51" s="66"/>
      <c r="BF51" s="66"/>
      <c r="BG51" s="214"/>
      <c r="BH51" s="214"/>
      <c r="BI51" s="214"/>
      <c r="BJ51" s="214"/>
      <c r="BK51" s="214"/>
      <c r="BL51" s="66"/>
      <c r="BM51" s="82">
        <f t="shared" ref="BM51:BM52" si="35">SUM(F51:BL51)</f>
        <v>63</v>
      </c>
      <c r="BN51" s="21">
        <v>4100</v>
      </c>
      <c r="BO51" s="169">
        <v>0.61</v>
      </c>
      <c r="BP51" s="21">
        <f>BN51*(1-BO51)</f>
        <v>1599</v>
      </c>
      <c r="BQ51" s="21">
        <f>BP51*BM51</f>
        <v>100737</v>
      </c>
      <c r="BR51" s="21">
        <f>BQ51*0.8</f>
        <v>80589.600000000006</v>
      </c>
      <c r="BS51" s="97"/>
      <c r="BT51" s="161">
        <f>(BR51+BR52)/$BR$94</f>
        <v>7.5059683247807513E-2</v>
      </c>
      <c r="BU51" s="161">
        <v>7.1110058463118506E-2</v>
      </c>
      <c r="BV51" s="97"/>
      <c r="BW51" s="99">
        <f>BX51/CA51*100</f>
        <v>0.2816579421437122</v>
      </c>
      <c r="BX51" s="86">
        <v>45783.89</v>
      </c>
      <c r="BY51" s="87">
        <f>BW51*BM51</f>
        <v>17.744450355053868</v>
      </c>
      <c r="BZ51" s="88">
        <v>11451245</v>
      </c>
      <c r="CA51" s="100">
        <v>16255139</v>
      </c>
      <c r="CB51" s="90">
        <f>CA51*(BY51+BY54)/100</f>
        <v>2884385.07</v>
      </c>
      <c r="CC51" s="21">
        <f>BR51/CB51*1000</f>
        <v>27.939958793365967</v>
      </c>
      <c r="CD51" s="10"/>
      <c r="CE51" s="44" t="s">
        <v>56</v>
      </c>
      <c r="CF51" s="91">
        <f>BP51*0.8</f>
        <v>1279.2</v>
      </c>
      <c r="CG51" s="37">
        <f t="shared" ref="CG51:CG52" si="36">SUM(F51:AJ51)</f>
        <v>24</v>
      </c>
      <c r="CH51" s="92">
        <f t="shared" ref="CH51:CH52" si="37">CF51*CG51</f>
        <v>30700.800000000003</v>
      </c>
      <c r="CI51" s="309">
        <f t="shared" ref="CI51:CI52" si="38">SUM(AK51:BL51)</f>
        <v>39</v>
      </c>
      <c r="CJ51" s="92">
        <f t="shared" ref="CJ51:CJ52" si="39">CI51*CF51</f>
        <v>49888.800000000003</v>
      </c>
      <c r="CK51" s="101" t="b">
        <f>(CH51+CJ51)=BR51</f>
        <v>1</v>
      </c>
      <c r="CL51" s="45"/>
      <c r="CM51" s="45"/>
      <c r="CN51" s="45"/>
      <c r="CO51" s="45"/>
      <c r="CP51" s="45"/>
      <c r="CQ51" s="45"/>
      <c r="CR51" s="45"/>
      <c r="CS51" s="45"/>
      <c r="CT51" s="45"/>
      <c r="CU51" s="45"/>
      <c r="CV51" s="45"/>
      <c r="CW51" s="45"/>
      <c r="CX51" s="45"/>
      <c r="CY51" s="45"/>
      <c r="CZ51" s="45"/>
      <c r="DA51" s="45"/>
      <c r="DB51" s="45"/>
      <c r="DC51" s="45"/>
      <c r="DD51" s="45"/>
      <c r="DE51" s="45"/>
      <c r="DF51" s="45"/>
      <c r="DG51" s="45"/>
      <c r="DH51" s="45"/>
      <c r="DI51" s="45"/>
      <c r="DJ51" s="45"/>
      <c r="DK51" s="45"/>
      <c r="DL51" s="45"/>
      <c r="DM51" s="45"/>
      <c r="DN51" s="45"/>
      <c r="DO51" s="45"/>
      <c r="DP51" s="45"/>
      <c r="DQ51" s="45"/>
      <c r="DR51" s="45"/>
      <c r="DS51" s="45"/>
      <c r="DT51" s="45"/>
      <c r="DU51" s="45"/>
      <c r="DV51" s="45"/>
      <c r="DW51" s="45"/>
      <c r="DX51" s="45"/>
      <c r="DY51" s="45"/>
      <c r="DZ51" s="45"/>
      <c r="EA51" s="45"/>
      <c r="EB51" s="45"/>
      <c r="EC51" s="45"/>
      <c r="ED51" s="45"/>
      <c r="EE51" s="45"/>
      <c r="EF51" s="45"/>
      <c r="EG51" s="45"/>
      <c r="EH51" s="45"/>
      <c r="EI51" s="45"/>
      <c r="EJ51" s="45"/>
      <c r="EK51" s="45"/>
      <c r="EL51" s="45"/>
      <c r="EM51" s="45"/>
    </row>
    <row r="52" spans="1:143" s="28" customFormat="1" ht="15.5" customHeight="1" x14ac:dyDescent="0.25">
      <c r="A52" s="32"/>
      <c r="B52" s="111"/>
      <c r="C52" s="343"/>
      <c r="D52" s="95" t="s">
        <v>51</v>
      </c>
      <c r="E52" s="39" t="s">
        <v>141</v>
      </c>
      <c r="F52" s="65"/>
      <c r="G52" s="65"/>
      <c r="H52" s="66"/>
      <c r="I52" s="66"/>
      <c r="J52" s="65"/>
      <c r="K52" s="214"/>
      <c r="L52" s="214"/>
      <c r="M52" s="214"/>
      <c r="N52" s="214"/>
      <c r="O52" s="66"/>
      <c r="P52" s="66"/>
      <c r="Q52" s="214"/>
      <c r="R52" s="214"/>
      <c r="S52" s="214"/>
      <c r="T52" s="214"/>
      <c r="U52" s="214"/>
      <c r="V52" s="66"/>
      <c r="W52" s="66"/>
      <c r="X52" s="214">
        <v>1</v>
      </c>
      <c r="Y52" s="214">
        <v>2</v>
      </c>
      <c r="Z52" s="214">
        <v>2</v>
      </c>
      <c r="AA52" s="214">
        <v>1</v>
      </c>
      <c r="AB52" s="214">
        <v>1</v>
      </c>
      <c r="AC52" s="66"/>
      <c r="AD52" s="66"/>
      <c r="AE52" s="214"/>
      <c r="AF52" s="214"/>
      <c r="AG52" s="214"/>
      <c r="AH52" s="214"/>
      <c r="AI52" s="214"/>
      <c r="AJ52" s="66"/>
      <c r="AK52" s="66"/>
      <c r="AL52" s="214"/>
      <c r="AM52" s="214"/>
      <c r="AN52" s="214"/>
      <c r="AO52" s="214"/>
      <c r="AP52" s="214"/>
      <c r="AQ52" s="66"/>
      <c r="AR52" s="66"/>
      <c r="AS52" s="214"/>
      <c r="AT52" s="214"/>
      <c r="AU52" s="214"/>
      <c r="AV52" s="214"/>
      <c r="AW52" s="214"/>
      <c r="AX52" s="66"/>
      <c r="AY52" s="66"/>
      <c r="AZ52" s="214"/>
      <c r="BA52" s="214"/>
      <c r="BB52" s="214"/>
      <c r="BC52" s="214"/>
      <c r="BD52" s="214"/>
      <c r="BE52" s="66"/>
      <c r="BF52" s="66"/>
      <c r="BG52" s="214"/>
      <c r="BH52" s="214"/>
      <c r="BI52" s="214"/>
      <c r="BJ52" s="214"/>
      <c r="BK52" s="214"/>
      <c r="BL52" s="66"/>
      <c r="BM52" s="82">
        <f t="shared" si="35"/>
        <v>7</v>
      </c>
      <c r="BN52" s="21">
        <f>BN51*2</f>
        <v>8200</v>
      </c>
      <c r="BO52" s="169">
        <v>0.61</v>
      </c>
      <c r="BP52" s="21">
        <f>BN52*(1-BO52)</f>
        <v>3198</v>
      </c>
      <c r="BQ52" s="21">
        <f>BP52*BM52</f>
        <v>22386</v>
      </c>
      <c r="BR52" s="21">
        <f>BQ52*0.8</f>
        <v>17908.8</v>
      </c>
      <c r="BS52" s="97"/>
      <c r="BT52" s="161"/>
      <c r="BU52" s="161"/>
      <c r="BV52" s="97"/>
      <c r="BW52" s="99">
        <f>BX52/CA52*100</f>
        <v>0.2816579421437122</v>
      </c>
      <c r="BX52" s="86">
        <v>45783.89</v>
      </c>
      <c r="BY52" s="87">
        <f>BW52*BM52</f>
        <v>1.9716055950059854</v>
      </c>
      <c r="BZ52" s="88">
        <v>11451245</v>
      </c>
      <c r="CA52" s="100">
        <v>16255139</v>
      </c>
      <c r="CB52" s="90">
        <f>CA52*(BY52+BY55)/100</f>
        <v>4334313.830000001</v>
      </c>
      <c r="CC52" s="21">
        <f>BR52/CB52*1000</f>
        <v>4.1318650892429716</v>
      </c>
      <c r="CD52" s="10"/>
      <c r="CE52" s="44" t="s">
        <v>56</v>
      </c>
      <c r="CF52" s="91">
        <f>BP52*0.8</f>
        <v>2558.4</v>
      </c>
      <c r="CG52" s="37">
        <f t="shared" si="36"/>
        <v>7</v>
      </c>
      <c r="CH52" s="92">
        <f t="shared" si="37"/>
        <v>17908.8</v>
      </c>
      <c r="CI52" s="309">
        <f t="shared" si="38"/>
        <v>0</v>
      </c>
      <c r="CJ52" s="92">
        <f t="shared" si="39"/>
        <v>0</v>
      </c>
      <c r="CK52" s="101" t="b">
        <f>(CH52+CJ52)=BR52</f>
        <v>1</v>
      </c>
      <c r="CL52" s="45"/>
      <c r="CM52" s="45"/>
      <c r="CN52" s="45"/>
      <c r="CO52" s="45"/>
      <c r="CP52" s="45"/>
      <c r="CQ52" s="45"/>
      <c r="CR52" s="45"/>
      <c r="CS52" s="45"/>
      <c r="CT52" s="45"/>
      <c r="CU52" s="45"/>
      <c r="CV52" s="45"/>
      <c r="CW52" s="45"/>
      <c r="CX52" s="45"/>
      <c r="CY52" s="45"/>
      <c r="CZ52" s="45"/>
      <c r="DA52" s="45"/>
      <c r="DB52" s="45"/>
      <c r="DC52" s="45"/>
      <c r="DD52" s="45"/>
      <c r="DE52" s="45"/>
      <c r="DF52" s="45"/>
      <c r="DG52" s="45"/>
      <c r="DH52" s="45"/>
      <c r="DI52" s="45"/>
      <c r="DJ52" s="45"/>
      <c r="DK52" s="45"/>
      <c r="DL52" s="45"/>
      <c r="DM52" s="45"/>
      <c r="DN52" s="45"/>
      <c r="DO52" s="45"/>
      <c r="DP52" s="45"/>
      <c r="DQ52" s="45"/>
      <c r="DR52" s="45"/>
      <c r="DS52" s="45"/>
      <c r="DT52" s="45"/>
      <c r="DU52" s="45"/>
      <c r="DV52" s="45"/>
      <c r="DW52" s="45"/>
      <c r="DX52" s="45"/>
      <c r="DY52" s="45"/>
      <c r="DZ52" s="45"/>
      <c r="EA52" s="45"/>
      <c r="EB52" s="45"/>
      <c r="EC52" s="45"/>
      <c r="ED52" s="45"/>
      <c r="EE52" s="45"/>
      <c r="EF52" s="45"/>
      <c r="EG52" s="45"/>
      <c r="EH52" s="45"/>
      <c r="EI52" s="45"/>
      <c r="EJ52" s="45"/>
      <c r="EK52" s="45"/>
      <c r="EL52" s="45"/>
      <c r="EM52" s="45"/>
    </row>
    <row r="53" spans="1:143" s="28" customFormat="1" ht="15.5" customHeight="1" x14ac:dyDescent="0.25">
      <c r="A53" s="32"/>
      <c r="B53" s="111"/>
      <c r="C53" s="343"/>
      <c r="D53" s="95"/>
      <c r="E53" s="39"/>
      <c r="F53" s="65"/>
      <c r="G53" s="65"/>
      <c r="H53" s="66"/>
      <c r="I53" s="66"/>
      <c r="J53" s="65"/>
      <c r="K53" s="214"/>
      <c r="L53" s="214"/>
      <c r="M53" s="214"/>
      <c r="N53" s="214"/>
      <c r="O53" s="66"/>
      <c r="P53" s="66"/>
      <c r="Q53" s="214"/>
      <c r="R53" s="214"/>
      <c r="S53" s="214"/>
      <c r="T53" s="214"/>
      <c r="U53" s="214"/>
      <c r="V53" s="66"/>
      <c r="W53" s="66"/>
      <c r="X53" s="214"/>
      <c r="Y53" s="214"/>
      <c r="Z53" s="214"/>
      <c r="AA53" s="214"/>
      <c r="AB53" s="214"/>
      <c r="AC53" s="66"/>
      <c r="AD53" s="66"/>
      <c r="AE53" s="214"/>
      <c r="AF53" s="214"/>
      <c r="AG53" s="214"/>
      <c r="AH53" s="214"/>
      <c r="AI53" s="214"/>
      <c r="AJ53" s="66"/>
      <c r="AK53" s="66"/>
      <c r="AL53" s="214"/>
      <c r="AM53" s="214"/>
      <c r="AN53" s="214"/>
      <c r="AO53" s="214"/>
      <c r="AP53" s="214"/>
      <c r="AQ53" s="66"/>
      <c r="AR53" s="66"/>
      <c r="AS53" s="214"/>
      <c r="AT53" s="214"/>
      <c r="AU53" s="214"/>
      <c r="AV53" s="214"/>
      <c r="AW53" s="214"/>
      <c r="AX53" s="66"/>
      <c r="AY53" s="66"/>
      <c r="AZ53" s="214"/>
      <c r="BA53" s="214"/>
      <c r="BB53" s="214"/>
      <c r="BC53" s="214"/>
      <c r="BD53" s="214"/>
      <c r="BE53" s="66"/>
      <c r="BF53" s="66"/>
      <c r="BG53" s="214"/>
      <c r="BH53" s="214"/>
      <c r="BI53" s="214"/>
      <c r="BJ53" s="214"/>
      <c r="BK53" s="214"/>
      <c r="BL53" s="66"/>
      <c r="BM53" s="82"/>
      <c r="BN53" s="21"/>
      <c r="BO53" s="169"/>
      <c r="BP53" s="21"/>
      <c r="BQ53" s="21"/>
      <c r="BR53" s="114"/>
      <c r="BS53" s="97"/>
      <c r="BT53" s="165"/>
      <c r="BU53" s="165"/>
      <c r="BV53" s="97"/>
      <c r="BW53" s="166"/>
      <c r="BX53" s="107"/>
      <c r="BY53" s="108"/>
      <c r="BZ53" s="109"/>
      <c r="CA53" s="110"/>
      <c r="CB53" s="109"/>
      <c r="CC53" s="114"/>
      <c r="CD53" s="10"/>
      <c r="CE53" s="44"/>
      <c r="CF53" s="91"/>
      <c r="CG53" s="37"/>
      <c r="CH53" s="92"/>
      <c r="CI53" s="309"/>
      <c r="CJ53" s="92"/>
      <c r="CK53" s="50"/>
      <c r="CL53" s="45"/>
      <c r="CM53" s="45"/>
      <c r="CN53" s="45"/>
      <c r="CO53" s="45"/>
      <c r="CP53" s="45"/>
      <c r="CQ53" s="45"/>
      <c r="CR53" s="45"/>
      <c r="CS53" s="45"/>
      <c r="CT53" s="45"/>
      <c r="CU53" s="45"/>
      <c r="CV53" s="45"/>
      <c r="CW53" s="45"/>
      <c r="CX53" s="45"/>
      <c r="CY53" s="45"/>
      <c r="CZ53" s="45"/>
      <c r="DA53" s="45"/>
      <c r="DB53" s="45"/>
      <c r="DC53" s="45"/>
      <c r="DD53" s="45"/>
      <c r="DE53" s="45"/>
      <c r="DF53" s="45"/>
      <c r="DG53" s="45"/>
      <c r="DH53" s="45"/>
      <c r="DI53" s="45"/>
      <c r="DJ53" s="45"/>
      <c r="DK53" s="45"/>
      <c r="DL53" s="45"/>
      <c r="DM53" s="45"/>
      <c r="DN53" s="45"/>
      <c r="DO53" s="45"/>
      <c r="DP53" s="45"/>
      <c r="DQ53" s="45"/>
      <c r="DR53" s="45"/>
      <c r="DS53" s="45"/>
      <c r="DT53" s="45"/>
      <c r="DU53" s="45"/>
      <c r="DV53" s="45"/>
      <c r="DW53" s="45"/>
      <c r="DX53" s="45"/>
      <c r="DY53" s="45"/>
      <c r="DZ53" s="45"/>
      <c r="EA53" s="45"/>
      <c r="EB53" s="45"/>
      <c r="EC53" s="45"/>
      <c r="ED53" s="45"/>
      <c r="EE53" s="45"/>
      <c r="EF53" s="45"/>
      <c r="EG53" s="45"/>
      <c r="EH53" s="45"/>
      <c r="EI53" s="45"/>
      <c r="EJ53" s="45"/>
      <c r="EK53" s="45"/>
      <c r="EL53" s="45"/>
      <c r="EM53" s="45"/>
    </row>
    <row r="54" spans="1:143" s="28" customFormat="1" ht="15.5" customHeight="1" x14ac:dyDescent="0.25">
      <c r="A54" s="32"/>
      <c r="B54" s="115"/>
      <c r="C54" s="344"/>
      <c r="D54" s="95"/>
      <c r="E54" s="117"/>
      <c r="F54" s="65"/>
      <c r="G54" s="65"/>
      <c r="H54" s="66"/>
      <c r="I54" s="66"/>
      <c r="J54" s="65"/>
      <c r="K54" s="214"/>
      <c r="L54" s="214"/>
      <c r="M54" s="214"/>
      <c r="N54" s="214"/>
      <c r="O54" s="66"/>
      <c r="P54" s="66"/>
      <c r="Q54" s="214"/>
      <c r="R54" s="214"/>
      <c r="S54" s="214"/>
      <c r="T54" s="214"/>
      <c r="U54" s="214"/>
      <c r="V54" s="66"/>
      <c r="W54" s="66"/>
      <c r="X54" s="214"/>
      <c r="Y54" s="214"/>
      <c r="Z54" s="214"/>
      <c r="AA54" s="214"/>
      <c r="AB54" s="214"/>
      <c r="AC54" s="66"/>
      <c r="AD54" s="66"/>
      <c r="AE54" s="214"/>
      <c r="AF54" s="214"/>
      <c r="AG54" s="214"/>
      <c r="AH54" s="214"/>
      <c r="AI54" s="214"/>
      <c r="AJ54" s="66"/>
      <c r="AK54" s="66"/>
      <c r="AL54" s="214"/>
      <c r="AM54" s="214"/>
      <c r="AN54" s="214"/>
      <c r="AO54" s="214"/>
      <c r="AP54" s="214"/>
      <c r="AQ54" s="66"/>
      <c r="AR54" s="66"/>
      <c r="AS54" s="214"/>
      <c r="AT54" s="214"/>
      <c r="AU54" s="214"/>
      <c r="AV54" s="214"/>
      <c r="AW54" s="214"/>
      <c r="AX54" s="66"/>
      <c r="AY54" s="66"/>
      <c r="AZ54" s="214"/>
      <c r="BA54" s="214"/>
      <c r="BB54" s="214"/>
      <c r="BC54" s="214"/>
      <c r="BD54" s="214"/>
      <c r="BE54" s="66"/>
      <c r="BF54" s="66"/>
      <c r="BG54" s="214"/>
      <c r="BH54" s="214"/>
      <c r="BI54" s="214"/>
      <c r="BJ54" s="214"/>
      <c r="BK54" s="214"/>
      <c r="BL54" s="66"/>
      <c r="BM54" s="167"/>
      <c r="BN54" s="18"/>
      <c r="BO54" s="119"/>
      <c r="BP54" s="18"/>
      <c r="BQ54" s="18"/>
      <c r="BR54" s="21"/>
      <c r="BS54" s="97"/>
      <c r="BT54" s="155"/>
      <c r="BU54" s="155"/>
      <c r="BV54" s="97"/>
      <c r="BW54" s="15"/>
      <c r="BX54" s="122"/>
      <c r="BY54" s="123"/>
      <c r="BZ54" s="90"/>
      <c r="CA54" s="89"/>
      <c r="CB54" s="90"/>
      <c r="CC54" s="18"/>
      <c r="CD54" s="10"/>
      <c r="CE54" s="44"/>
      <c r="CF54" s="91"/>
      <c r="CG54" s="37"/>
      <c r="CH54" s="92"/>
      <c r="CI54" s="309"/>
      <c r="CJ54" s="92"/>
      <c r="CK54" s="50"/>
      <c r="CL54" s="45"/>
      <c r="CM54" s="45"/>
      <c r="CN54" s="45"/>
      <c r="CO54" s="45"/>
      <c r="CP54" s="45"/>
      <c r="CQ54" s="45"/>
      <c r="CR54" s="45"/>
      <c r="CS54" s="45"/>
      <c r="CT54" s="45"/>
      <c r="CU54" s="45"/>
      <c r="CV54" s="45"/>
      <c r="CW54" s="45"/>
      <c r="CX54" s="45"/>
      <c r="CY54" s="45"/>
      <c r="CZ54" s="45"/>
      <c r="DA54" s="45"/>
      <c r="DB54" s="45"/>
      <c r="DC54" s="45"/>
      <c r="DD54" s="45"/>
      <c r="DE54" s="45"/>
      <c r="DF54" s="45"/>
      <c r="DG54" s="45"/>
      <c r="DH54" s="45"/>
      <c r="DI54" s="45"/>
      <c r="DJ54" s="45"/>
      <c r="DK54" s="45"/>
      <c r="DL54" s="45"/>
      <c r="DM54" s="45"/>
      <c r="DN54" s="45"/>
      <c r="DO54" s="45"/>
      <c r="DP54" s="45"/>
      <c r="DQ54" s="45"/>
      <c r="DR54" s="45"/>
      <c r="DS54" s="45"/>
      <c r="DT54" s="45"/>
      <c r="DU54" s="45"/>
      <c r="DV54" s="45"/>
      <c r="DW54" s="45"/>
      <c r="DX54" s="45"/>
      <c r="DY54" s="45"/>
      <c r="DZ54" s="45"/>
      <c r="EA54" s="45"/>
      <c r="EB54" s="45"/>
      <c r="EC54" s="45"/>
      <c r="ED54" s="45"/>
      <c r="EE54" s="45"/>
      <c r="EF54" s="45"/>
      <c r="EG54" s="45"/>
      <c r="EH54" s="45"/>
      <c r="EI54" s="45"/>
      <c r="EJ54" s="45"/>
      <c r="EK54" s="45"/>
      <c r="EL54" s="45"/>
      <c r="EM54" s="45"/>
    </row>
    <row r="55" spans="1:143" s="28" customFormat="1" ht="15.5" customHeight="1" x14ac:dyDescent="0.25">
      <c r="A55" s="32"/>
      <c r="B55" s="111"/>
      <c r="C55" s="343" t="s">
        <v>57</v>
      </c>
      <c r="D55" s="95" t="s">
        <v>51</v>
      </c>
      <c r="E55" s="39" t="s">
        <v>40</v>
      </c>
      <c r="F55" s="65"/>
      <c r="G55" s="65"/>
      <c r="H55" s="66"/>
      <c r="I55" s="66"/>
      <c r="J55" s="65"/>
      <c r="K55" s="214"/>
      <c r="L55" s="214"/>
      <c r="M55" s="214"/>
      <c r="N55" s="214"/>
      <c r="O55" s="66"/>
      <c r="P55" s="66"/>
      <c r="Q55" s="214"/>
      <c r="R55" s="214"/>
      <c r="S55" s="214"/>
      <c r="T55" s="214"/>
      <c r="U55" s="214"/>
      <c r="V55" s="66"/>
      <c r="W55" s="66"/>
      <c r="X55" s="214"/>
      <c r="Y55" s="214"/>
      <c r="Z55" s="214"/>
      <c r="AA55" s="214"/>
      <c r="AB55" s="214"/>
      <c r="AC55" s="66">
        <v>4</v>
      </c>
      <c r="AD55" s="66">
        <v>4</v>
      </c>
      <c r="AE55" s="214">
        <v>4</v>
      </c>
      <c r="AF55" s="214">
        <v>4</v>
      </c>
      <c r="AG55" s="214">
        <v>4</v>
      </c>
      <c r="AH55" s="214">
        <v>4</v>
      </c>
      <c r="AI55" s="214">
        <v>4</v>
      </c>
      <c r="AJ55" s="66">
        <v>4</v>
      </c>
      <c r="AK55" s="66">
        <v>4</v>
      </c>
      <c r="AL55" s="214">
        <v>4</v>
      </c>
      <c r="AM55" s="214">
        <v>4</v>
      </c>
      <c r="AN55" s="214">
        <v>4</v>
      </c>
      <c r="AO55" s="214">
        <v>4</v>
      </c>
      <c r="AP55" s="214">
        <v>4</v>
      </c>
      <c r="AQ55" s="66">
        <v>4</v>
      </c>
      <c r="AR55" s="66">
        <v>4</v>
      </c>
      <c r="AS55" s="214">
        <v>4</v>
      </c>
      <c r="AT55" s="214">
        <v>4</v>
      </c>
      <c r="AU55" s="214">
        <v>4</v>
      </c>
      <c r="AV55" s="214">
        <v>4</v>
      </c>
      <c r="AW55" s="214">
        <v>4</v>
      </c>
      <c r="AX55" s="66"/>
      <c r="AY55" s="66"/>
      <c r="AZ55" s="214"/>
      <c r="BA55" s="214"/>
      <c r="BB55" s="214"/>
      <c r="BC55" s="214"/>
      <c r="BD55" s="214"/>
      <c r="BE55" s="66"/>
      <c r="BF55" s="66"/>
      <c r="BG55" s="214"/>
      <c r="BH55" s="214"/>
      <c r="BI55" s="214"/>
      <c r="BJ55" s="214"/>
      <c r="BK55" s="214"/>
      <c r="BL55" s="66"/>
      <c r="BM55" s="82">
        <f t="shared" ref="BM55:BM56" si="40">SUM(F55:BL55)</f>
        <v>84</v>
      </c>
      <c r="BN55" s="170">
        <v>991</v>
      </c>
      <c r="BO55" s="103">
        <v>0.5</v>
      </c>
      <c r="BP55" s="21">
        <f>BN55*(1-BO55)</f>
        <v>495.5</v>
      </c>
      <c r="BQ55" s="21">
        <f>BP55*BM55</f>
        <v>41622</v>
      </c>
      <c r="BR55" s="21">
        <f>BQ55*0.8</f>
        <v>33297.599999999999</v>
      </c>
      <c r="BS55" s="97"/>
      <c r="BT55" s="161">
        <f>(BR55+BR56)/$BR$94</f>
        <v>3.1415540533661593E-2</v>
      </c>
      <c r="BU55" s="155">
        <v>3.1110058463118512E-2</v>
      </c>
      <c r="BV55" s="97"/>
      <c r="BW55" s="99">
        <f>BX55/CA55*100</f>
        <v>0.29396026696541938</v>
      </c>
      <c r="BX55" s="86">
        <v>47783.65</v>
      </c>
      <c r="BY55" s="87">
        <f>BW55*BM55</f>
        <v>24.692662425095229</v>
      </c>
      <c r="BZ55" s="88">
        <v>11451245</v>
      </c>
      <c r="CA55" s="100">
        <v>16255139</v>
      </c>
      <c r="CB55" s="90">
        <f>CA55*BY55/100</f>
        <v>4013826.6000000006</v>
      </c>
      <c r="CC55" s="21">
        <f>BR55/CB55*1000</f>
        <v>8.2957245836180356</v>
      </c>
      <c r="CD55" s="10"/>
      <c r="CE55" s="44" t="s">
        <v>57</v>
      </c>
      <c r="CF55" s="91">
        <f>BP55*0.8</f>
        <v>396.40000000000003</v>
      </c>
      <c r="CG55" s="37">
        <f t="shared" ref="CG55:CG56" si="41">SUM(F55:AJ55)</f>
        <v>32</v>
      </c>
      <c r="CH55" s="92">
        <f t="shared" ref="CH55:CH56" si="42">CF55*CG55</f>
        <v>12684.800000000001</v>
      </c>
      <c r="CI55" s="309">
        <f t="shared" ref="CI55:CI56" si="43">SUM(AK55:BL55)</f>
        <v>52</v>
      </c>
      <c r="CJ55" s="92">
        <f t="shared" ref="CJ55:CJ56" si="44">CI55*CF55</f>
        <v>20612.800000000003</v>
      </c>
      <c r="CK55" s="101" t="b">
        <f>(CH55+CJ55)=BR55</f>
        <v>1</v>
      </c>
      <c r="CL55" s="45"/>
      <c r="CM55" s="45"/>
      <c r="CN55" s="45"/>
      <c r="CO55" s="45"/>
      <c r="CP55" s="45"/>
      <c r="CQ55" s="45"/>
      <c r="CR55" s="45"/>
      <c r="CS55" s="45"/>
      <c r="CT55" s="45"/>
      <c r="CU55" s="45"/>
      <c r="CV55" s="45"/>
      <c r="CW55" s="45"/>
      <c r="CX55" s="45"/>
      <c r="CY55" s="45"/>
      <c r="CZ55" s="45"/>
      <c r="DA55" s="45"/>
      <c r="DB55" s="45"/>
      <c r="DC55" s="45"/>
      <c r="DD55" s="45"/>
      <c r="DE55" s="45"/>
      <c r="DF55" s="45"/>
      <c r="DG55" s="45"/>
      <c r="DH55" s="45"/>
      <c r="DI55" s="45"/>
      <c r="DJ55" s="45"/>
      <c r="DK55" s="45"/>
      <c r="DL55" s="45"/>
      <c r="DM55" s="45"/>
      <c r="DN55" s="45"/>
      <c r="DO55" s="45"/>
      <c r="DP55" s="45"/>
      <c r="DQ55" s="45"/>
      <c r="DR55" s="45"/>
      <c r="DS55" s="45"/>
      <c r="DT55" s="45"/>
      <c r="DU55" s="45"/>
      <c r="DV55" s="45"/>
      <c r="DW55" s="45"/>
      <c r="DX55" s="45"/>
      <c r="DY55" s="45"/>
      <c r="DZ55" s="45"/>
      <c r="EA55" s="45"/>
      <c r="EB55" s="45"/>
      <c r="EC55" s="45"/>
      <c r="ED55" s="45"/>
      <c r="EE55" s="45"/>
      <c r="EF55" s="45"/>
      <c r="EG55" s="45"/>
      <c r="EH55" s="45"/>
      <c r="EI55" s="45"/>
      <c r="EJ55" s="45"/>
      <c r="EK55" s="45"/>
      <c r="EL55" s="45"/>
      <c r="EM55" s="45"/>
    </row>
    <row r="56" spans="1:143" s="28" customFormat="1" ht="15.5" customHeight="1" x14ac:dyDescent="0.25">
      <c r="A56" s="32"/>
      <c r="B56" s="111"/>
      <c r="C56" s="343"/>
      <c r="D56" s="95" t="s">
        <v>51</v>
      </c>
      <c r="E56" s="39" t="s">
        <v>141</v>
      </c>
      <c r="F56" s="65"/>
      <c r="G56" s="65"/>
      <c r="H56" s="66"/>
      <c r="I56" s="66"/>
      <c r="J56" s="65"/>
      <c r="K56" s="214"/>
      <c r="L56" s="214"/>
      <c r="M56" s="214"/>
      <c r="N56" s="214"/>
      <c r="O56" s="66"/>
      <c r="P56" s="66"/>
      <c r="Q56" s="214"/>
      <c r="R56" s="214"/>
      <c r="S56" s="214"/>
      <c r="T56" s="214"/>
      <c r="U56" s="214"/>
      <c r="V56" s="66"/>
      <c r="W56" s="66"/>
      <c r="X56" s="214">
        <v>1</v>
      </c>
      <c r="Y56" s="214">
        <v>3</v>
      </c>
      <c r="Z56" s="214">
        <v>2</v>
      </c>
      <c r="AA56" s="214">
        <v>2</v>
      </c>
      <c r="AB56" s="214">
        <v>2</v>
      </c>
      <c r="AC56" s="66"/>
      <c r="AD56" s="66"/>
      <c r="AE56" s="214"/>
      <c r="AF56" s="214"/>
      <c r="AG56" s="214"/>
      <c r="AH56" s="214"/>
      <c r="AI56" s="214"/>
      <c r="AJ56" s="66"/>
      <c r="AK56" s="66"/>
      <c r="AL56" s="214"/>
      <c r="AM56" s="214"/>
      <c r="AN56" s="214"/>
      <c r="AO56" s="214"/>
      <c r="AP56" s="214"/>
      <c r="AQ56" s="66"/>
      <c r="AR56" s="66"/>
      <c r="AS56" s="214"/>
      <c r="AT56" s="214"/>
      <c r="AU56" s="214"/>
      <c r="AV56" s="214"/>
      <c r="AW56" s="214"/>
      <c r="AX56" s="66"/>
      <c r="AY56" s="66"/>
      <c r="AZ56" s="214"/>
      <c r="BA56" s="214"/>
      <c r="BB56" s="214"/>
      <c r="BC56" s="214"/>
      <c r="BD56" s="214"/>
      <c r="BE56" s="66"/>
      <c r="BF56" s="66"/>
      <c r="BG56" s="214"/>
      <c r="BH56" s="214"/>
      <c r="BI56" s="214"/>
      <c r="BJ56" s="214"/>
      <c r="BK56" s="214"/>
      <c r="BL56" s="66"/>
      <c r="BM56" s="82">
        <f t="shared" si="40"/>
        <v>10</v>
      </c>
      <c r="BN56" s="170">
        <f>BN55*2</f>
        <v>1982</v>
      </c>
      <c r="BO56" s="103">
        <v>0.5</v>
      </c>
      <c r="BP56" s="21">
        <f>BN56*(1-BO56)</f>
        <v>991</v>
      </c>
      <c r="BQ56" s="21">
        <f>BP56*BM56</f>
        <v>9910</v>
      </c>
      <c r="BR56" s="21">
        <f>BQ56*0.8</f>
        <v>7928</v>
      </c>
      <c r="BS56" s="97"/>
      <c r="BT56" s="155"/>
      <c r="BU56" s="155"/>
      <c r="BV56" s="97"/>
      <c r="BW56" s="99">
        <f>BX56/CA56*100</f>
        <v>0.29396026696541938</v>
      </c>
      <c r="BX56" s="86">
        <v>47783.65</v>
      </c>
      <c r="BY56" s="87">
        <f>BW56*BM56</f>
        <v>2.9396026696541937</v>
      </c>
      <c r="BZ56" s="88">
        <v>11451245</v>
      </c>
      <c r="CA56" s="100">
        <v>16255139</v>
      </c>
      <c r="CB56" s="90">
        <f>CA56*BY56/100</f>
        <v>477836.5</v>
      </c>
      <c r="CC56" s="21">
        <f>BR56/CB56*1000</f>
        <v>16.591449167236075</v>
      </c>
      <c r="CD56" s="10"/>
      <c r="CE56" s="44" t="s">
        <v>57</v>
      </c>
      <c r="CF56" s="91">
        <f>BP56*0.8</f>
        <v>792.80000000000007</v>
      </c>
      <c r="CG56" s="37">
        <f t="shared" si="41"/>
        <v>10</v>
      </c>
      <c r="CH56" s="92">
        <f t="shared" si="42"/>
        <v>7928.0000000000009</v>
      </c>
      <c r="CI56" s="309">
        <f t="shared" si="43"/>
        <v>0</v>
      </c>
      <c r="CJ56" s="92">
        <f t="shared" si="44"/>
        <v>0</v>
      </c>
      <c r="CK56" s="101" t="b">
        <f>(CH56+CJ56)=BR56</f>
        <v>1</v>
      </c>
      <c r="CL56" s="45"/>
      <c r="CM56" s="45"/>
      <c r="CN56" s="45"/>
      <c r="CO56" s="45"/>
      <c r="CP56" s="45"/>
      <c r="CQ56" s="45"/>
      <c r="CR56" s="45"/>
      <c r="CS56" s="45"/>
      <c r="CT56" s="45"/>
      <c r="CU56" s="45"/>
      <c r="CV56" s="45"/>
      <c r="CW56" s="45"/>
      <c r="CX56" s="45"/>
      <c r="CY56" s="45"/>
      <c r="CZ56" s="45"/>
      <c r="DA56" s="45"/>
      <c r="DB56" s="45"/>
      <c r="DC56" s="45"/>
      <c r="DD56" s="45"/>
      <c r="DE56" s="45"/>
      <c r="DF56" s="45"/>
      <c r="DG56" s="45"/>
      <c r="DH56" s="45"/>
      <c r="DI56" s="45"/>
      <c r="DJ56" s="45"/>
      <c r="DK56" s="45"/>
      <c r="DL56" s="45"/>
      <c r="DM56" s="45"/>
      <c r="DN56" s="45"/>
      <c r="DO56" s="45"/>
      <c r="DP56" s="45"/>
      <c r="DQ56" s="45"/>
      <c r="DR56" s="45"/>
      <c r="DS56" s="45"/>
      <c r="DT56" s="45"/>
      <c r="DU56" s="45"/>
      <c r="DV56" s="45"/>
      <c r="DW56" s="45"/>
      <c r="DX56" s="45"/>
      <c r="DY56" s="45"/>
      <c r="DZ56" s="45"/>
      <c r="EA56" s="45"/>
      <c r="EB56" s="45"/>
      <c r="EC56" s="45"/>
      <c r="ED56" s="45"/>
      <c r="EE56" s="45"/>
      <c r="EF56" s="45"/>
      <c r="EG56" s="45"/>
      <c r="EH56" s="45"/>
      <c r="EI56" s="45"/>
      <c r="EJ56" s="45"/>
      <c r="EK56" s="45"/>
      <c r="EL56" s="45"/>
      <c r="EM56" s="45"/>
    </row>
    <row r="57" spans="1:143" s="28" customFormat="1" ht="15.5" customHeight="1" x14ac:dyDescent="0.25">
      <c r="A57" s="32"/>
      <c r="B57" s="111"/>
      <c r="C57" s="343"/>
      <c r="D57" s="95"/>
      <c r="E57" s="39"/>
      <c r="F57" s="65"/>
      <c r="G57" s="65"/>
      <c r="H57" s="66"/>
      <c r="I57" s="66"/>
      <c r="J57" s="65"/>
      <c r="K57" s="214"/>
      <c r="L57" s="214"/>
      <c r="M57" s="214"/>
      <c r="N57" s="214"/>
      <c r="O57" s="66"/>
      <c r="P57" s="66"/>
      <c r="Q57" s="214"/>
      <c r="R57" s="214"/>
      <c r="S57" s="214"/>
      <c r="T57" s="214"/>
      <c r="U57" s="214"/>
      <c r="V57" s="66"/>
      <c r="W57" s="66"/>
      <c r="X57" s="214"/>
      <c r="Y57" s="214"/>
      <c r="Z57" s="214"/>
      <c r="AA57" s="214"/>
      <c r="AB57" s="214"/>
      <c r="AC57" s="66"/>
      <c r="AD57" s="66"/>
      <c r="AE57" s="214"/>
      <c r="AF57" s="214"/>
      <c r="AG57" s="214"/>
      <c r="AH57" s="214"/>
      <c r="AI57" s="214"/>
      <c r="AJ57" s="66"/>
      <c r="AK57" s="66"/>
      <c r="AL57" s="214"/>
      <c r="AM57" s="214"/>
      <c r="AN57" s="214"/>
      <c r="AO57" s="214"/>
      <c r="AP57" s="214"/>
      <c r="AQ57" s="66"/>
      <c r="AR57" s="66"/>
      <c r="AS57" s="214"/>
      <c r="AT57" s="214"/>
      <c r="AU57" s="214"/>
      <c r="AV57" s="214"/>
      <c r="AW57" s="214"/>
      <c r="AX57" s="66"/>
      <c r="AY57" s="66"/>
      <c r="AZ57" s="214"/>
      <c r="BA57" s="214"/>
      <c r="BB57" s="214"/>
      <c r="BC57" s="214"/>
      <c r="BD57" s="214"/>
      <c r="BE57" s="66"/>
      <c r="BF57" s="66"/>
      <c r="BG57" s="214"/>
      <c r="BH57" s="214"/>
      <c r="BI57" s="214"/>
      <c r="BJ57" s="214"/>
      <c r="BK57" s="214"/>
      <c r="BL57" s="66"/>
      <c r="BM57" s="163"/>
      <c r="BN57" s="21"/>
      <c r="BO57" s="103"/>
      <c r="BP57" s="21"/>
      <c r="BQ57" s="21"/>
      <c r="BR57" s="114"/>
      <c r="BS57" s="97"/>
      <c r="BT57" s="165"/>
      <c r="BU57" s="165"/>
      <c r="BV57" s="97"/>
      <c r="BW57" s="166"/>
      <c r="BX57" s="107"/>
      <c r="BY57" s="108"/>
      <c r="BZ57" s="109"/>
      <c r="CA57" s="110"/>
      <c r="CB57" s="109"/>
      <c r="CC57" s="114"/>
      <c r="CD57" s="10"/>
      <c r="CE57" s="44"/>
      <c r="CF57" s="91"/>
      <c r="CG57" s="37"/>
      <c r="CH57" s="92"/>
      <c r="CI57" s="309"/>
      <c r="CJ57" s="92"/>
      <c r="CK57" s="50"/>
      <c r="CL57" s="45"/>
      <c r="CM57" s="45"/>
      <c r="CN57" s="45"/>
      <c r="CO57" s="45"/>
      <c r="CP57" s="45"/>
      <c r="CQ57" s="45"/>
      <c r="CR57" s="45"/>
      <c r="CS57" s="45"/>
      <c r="CT57" s="45"/>
      <c r="CU57" s="45"/>
      <c r="CV57" s="45"/>
      <c r="CW57" s="45"/>
      <c r="CX57" s="45"/>
      <c r="CY57" s="45"/>
      <c r="CZ57" s="45"/>
      <c r="DA57" s="45"/>
      <c r="DB57" s="45"/>
      <c r="DC57" s="45"/>
      <c r="DD57" s="45"/>
      <c r="DE57" s="45"/>
      <c r="DF57" s="45"/>
      <c r="DG57" s="45"/>
      <c r="DH57" s="45"/>
      <c r="DI57" s="45"/>
      <c r="DJ57" s="45"/>
      <c r="DK57" s="45"/>
      <c r="DL57" s="45"/>
      <c r="DM57" s="45"/>
      <c r="DN57" s="45"/>
      <c r="DO57" s="45"/>
      <c r="DP57" s="45"/>
      <c r="DQ57" s="45"/>
      <c r="DR57" s="45"/>
      <c r="DS57" s="45"/>
      <c r="DT57" s="45"/>
      <c r="DU57" s="45"/>
      <c r="DV57" s="45"/>
      <c r="DW57" s="45"/>
      <c r="DX57" s="45"/>
      <c r="DY57" s="45"/>
      <c r="DZ57" s="45"/>
      <c r="EA57" s="45"/>
      <c r="EB57" s="45"/>
      <c r="EC57" s="45"/>
      <c r="ED57" s="45"/>
      <c r="EE57" s="45"/>
      <c r="EF57" s="45"/>
      <c r="EG57" s="45"/>
      <c r="EH57" s="45"/>
      <c r="EI57" s="45"/>
      <c r="EJ57" s="45"/>
      <c r="EK57" s="45"/>
      <c r="EL57" s="45"/>
      <c r="EM57" s="45"/>
    </row>
    <row r="58" spans="1:143" s="28" customFormat="1" ht="15.5" customHeight="1" x14ac:dyDescent="0.25">
      <c r="A58" s="32"/>
      <c r="B58" s="115"/>
      <c r="C58" s="344"/>
      <c r="D58" s="95"/>
      <c r="E58" s="117"/>
      <c r="F58" s="65"/>
      <c r="G58" s="65"/>
      <c r="H58" s="66"/>
      <c r="I58" s="66"/>
      <c r="J58" s="65"/>
      <c r="K58" s="214"/>
      <c r="L58" s="214"/>
      <c r="M58" s="214"/>
      <c r="N58" s="214"/>
      <c r="O58" s="66"/>
      <c r="P58" s="66"/>
      <c r="Q58" s="214"/>
      <c r="R58" s="214"/>
      <c r="S58" s="214"/>
      <c r="T58" s="214"/>
      <c r="U58" s="214"/>
      <c r="V58" s="66"/>
      <c r="W58" s="66"/>
      <c r="X58" s="214"/>
      <c r="Y58" s="214"/>
      <c r="Z58" s="214"/>
      <c r="AA58" s="214"/>
      <c r="AB58" s="214"/>
      <c r="AC58" s="66"/>
      <c r="AD58" s="66"/>
      <c r="AE58" s="214"/>
      <c r="AF58" s="214"/>
      <c r="AG58" s="214"/>
      <c r="AH58" s="214"/>
      <c r="AI58" s="214"/>
      <c r="AJ58" s="66"/>
      <c r="AK58" s="66"/>
      <c r="AL58" s="214"/>
      <c r="AM58" s="214"/>
      <c r="AN58" s="214"/>
      <c r="AO58" s="214"/>
      <c r="AP58" s="214"/>
      <c r="AQ58" s="66"/>
      <c r="AR58" s="66"/>
      <c r="AS58" s="214"/>
      <c r="AT58" s="214"/>
      <c r="AU58" s="214"/>
      <c r="AV58" s="214"/>
      <c r="AW58" s="214"/>
      <c r="AX58" s="66"/>
      <c r="AY58" s="66"/>
      <c r="AZ58" s="214"/>
      <c r="BA58" s="214"/>
      <c r="BB58" s="214"/>
      <c r="BC58" s="214"/>
      <c r="BD58" s="214"/>
      <c r="BE58" s="66"/>
      <c r="BF58" s="66"/>
      <c r="BG58" s="214"/>
      <c r="BH58" s="214"/>
      <c r="BI58" s="214"/>
      <c r="BJ58" s="214"/>
      <c r="BK58" s="214"/>
      <c r="BL58" s="66"/>
      <c r="BM58" s="167"/>
      <c r="BN58" s="18"/>
      <c r="BO58" s="119"/>
      <c r="BP58" s="18"/>
      <c r="BQ58" s="18"/>
      <c r="BR58" s="657" t="s">
        <v>121</v>
      </c>
      <c r="BS58" s="97"/>
      <c r="BT58" s="171"/>
      <c r="BU58" s="171"/>
      <c r="BV58" s="97"/>
      <c r="BW58" s="15"/>
      <c r="BX58" s="122"/>
      <c r="BY58" s="123"/>
      <c r="BZ58" s="90"/>
      <c r="CA58" s="89"/>
      <c r="CB58" s="90"/>
      <c r="CC58" s="18"/>
      <c r="CD58" s="10"/>
      <c r="CE58" s="44"/>
      <c r="CF58" s="91"/>
      <c r="CG58" s="37"/>
      <c r="CH58" s="92"/>
      <c r="CI58" s="309"/>
      <c r="CJ58" s="92"/>
      <c r="CK58" s="101"/>
      <c r="CL58" s="45"/>
      <c r="CM58" s="45"/>
      <c r="CN58" s="45"/>
      <c r="CO58" s="45"/>
      <c r="CP58" s="45"/>
      <c r="CQ58" s="45"/>
      <c r="CR58" s="45"/>
      <c r="CS58" s="45"/>
      <c r="CT58" s="45"/>
      <c r="CU58" s="45"/>
      <c r="CV58" s="45"/>
      <c r="CW58" s="45"/>
      <c r="CX58" s="45"/>
      <c r="CY58" s="45"/>
      <c r="CZ58" s="45"/>
      <c r="DA58" s="45"/>
      <c r="DB58" s="45"/>
      <c r="DC58" s="45"/>
      <c r="DD58" s="45"/>
      <c r="DE58" s="45"/>
      <c r="DF58" s="45"/>
      <c r="DG58" s="45"/>
      <c r="DH58" s="45"/>
      <c r="DI58" s="45"/>
      <c r="DJ58" s="45"/>
      <c r="DK58" s="45"/>
      <c r="DL58" s="45"/>
      <c r="DM58" s="45"/>
      <c r="DN58" s="45"/>
      <c r="DO58" s="45"/>
      <c r="DP58" s="45"/>
      <c r="DQ58" s="45"/>
      <c r="DR58" s="45"/>
      <c r="DS58" s="45"/>
      <c r="DT58" s="45"/>
      <c r="DU58" s="45"/>
      <c r="DV58" s="45"/>
      <c r="DW58" s="45"/>
      <c r="DX58" s="45"/>
      <c r="DY58" s="45"/>
      <c r="DZ58" s="45"/>
      <c r="EA58" s="45"/>
      <c r="EB58" s="45"/>
      <c r="EC58" s="45"/>
      <c r="ED58" s="45"/>
      <c r="EE58" s="45"/>
      <c r="EF58" s="45"/>
      <c r="EG58" s="45"/>
      <c r="EH58" s="45"/>
      <c r="EI58" s="45"/>
      <c r="EJ58" s="45"/>
      <c r="EK58" s="45"/>
      <c r="EL58" s="45"/>
      <c r="EM58" s="45"/>
    </row>
    <row r="59" spans="1:143" s="28" customFormat="1" ht="15.5" customHeight="1" x14ac:dyDescent="0.25">
      <c r="A59" s="32"/>
      <c r="B59" s="111"/>
      <c r="C59" s="343" t="s">
        <v>58</v>
      </c>
      <c r="D59" s="95" t="s">
        <v>51</v>
      </c>
      <c r="E59" s="39" t="s">
        <v>40</v>
      </c>
      <c r="F59" s="65"/>
      <c r="G59" s="65"/>
      <c r="H59" s="66"/>
      <c r="I59" s="66"/>
      <c r="J59" s="65"/>
      <c r="K59" s="214"/>
      <c r="L59" s="214"/>
      <c r="M59" s="214"/>
      <c r="N59" s="214"/>
      <c r="O59" s="66"/>
      <c r="P59" s="66"/>
      <c r="Q59" s="214"/>
      <c r="R59" s="214"/>
      <c r="S59" s="214"/>
      <c r="T59" s="214"/>
      <c r="U59" s="214"/>
      <c r="V59" s="66"/>
      <c r="W59" s="66"/>
      <c r="X59" s="214"/>
      <c r="Y59" s="214"/>
      <c r="Z59" s="214"/>
      <c r="AA59" s="214"/>
      <c r="AB59" s="214"/>
      <c r="AC59" s="66">
        <v>4</v>
      </c>
      <c r="AD59" s="66">
        <v>4</v>
      </c>
      <c r="AE59" s="214">
        <v>4</v>
      </c>
      <c r="AF59" s="214">
        <v>4</v>
      </c>
      <c r="AG59" s="214">
        <v>4</v>
      </c>
      <c r="AH59" s="214">
        <v>4</v>
      </c>
      <c r="AI59" s="214">
        <v>4</v>
      </c>
      <c r="AJ59" s="66">
        <v>4</v>
      </c>
      <c r="AK59" s="66">
        <v>4</v>
      </c>
      <c r="AL59" s="214">
        <v>4</v>
      </c>
      <c r="AM59" s="214">
        <v>4</v>
      </c>
      <c r="AN59" s="214">
        <v>4</v>
      </c>
      <c r="AO59" s="214">
        <v>4</v>
      </c>
      <c r="AP59" s="214">
        <v>4</v>
      </c>
      <c r="AQ59" s="66">
        <v>4</v>
      </c>
      <c r="AR59" s="66">
        <v>4</v>
      </c>
      <c r="AS59" s="214">
        <v>4</v>
      </c>
      <c r="AT59" s="214">
        <v>4</v>
      </c>
      <c r="AU59" s="214">
        <v>4</v>
      </c>
      <c r="AV59" s="214">
        <v>4</v>
      </c>
      <c r="AW59" s="214">
        <v>4</v>
      </c>
      <c r="AX59" s="66"/>
      <c r="AY59" s="66"/>
      <c r="AZ59" s="214"/>
      <c r="BA59" s="214"/>
      <c r="BB59" s="214"/>
      <c r="BC59" s="214"/>
      <c r="BD59" s="214"/>
      <c r="BE59" s="66"/>
      <c r="BF59" s="66"/>
      <c r="BG59" s="214"/>
      <c r="BH59" s="214"/>
      <c r="BI59" s="214"/>
      <c r="BJ59" s="214"/>
      <c r="BK59" s="214"/>
      <c r="BL59" s="66"/>
      <c r="BM59" s="82">
        <f t="shared" ref="BM59:BM60" si="45">SUM(F59:BL59)</f>
        <v>84</v>
      </c>
      <c r="BN59" s="21">
        <v>4290</v>
      </c>
      <c r="BO59" s="103">
        <v>1</v>
      </c>
      <c r="BP59" s="21">
        <f>BN59*(1-BO59)</f>
        <v>0</v>
      </c>
      <c r="BQ59" s="21">
        <f>BN59*BM59*(1-BO59)</f>
        <v>0</v>
      </c>
      <c r="BR59" s="658"/>
      <c r="BS59" s="97"/>
      <c r="BT59" s="161">
        <f>(BR59+BR60)/$BR$94</f>
        <v>0</v>
      </c>
      <c r="BU59" s="161">
        <v>4.7536390902329966E-2</v>
      </c>
      <c r="BV59" s="97"/>
      <c r="BW59" s="99">
        <f>BX59/CA59*100</f>
        <v>0.43037534160735258</v>
      </c>
      <c r="BX59" s="86">
        <v>69958.11</v>
      </c>
      <c r="BY59" s="87">
        <f>BW59*BM59</f>
        <v>36.151528695017618</v>
      </c>
      <c r="BZ59" s="88">
        <v>11451245</v>
      </c>
      <c r="CA59" s="100">
        <v>16255139</v>
      </c>
      <c r="CB59" s="90">
        <f>CA59*(BY59+BY62)/100</f>
        <v>5876481.2400000002</v>
      </c>
      <c r="CC59" s="21">
        <v>0</v>
      </c>
      <c r="CD59" s="10"/>
      <c r="CE59" s="44" t="s">
        <v>58</v>
      </c>
      <c r="CF59" s="91">
        <f>BP59*0.8</f>
        <v>0</v>
      </c>
      <c r="CG59" s="37">
        <f t="shared" ref="CG59:CG60" si="46">SUM(F59:AJ59)</f>
        <v>32</v>
      </c>
      <c r="CH59" s="92">
        <f t="shared" ref="CH59:CH60" si="47">CF59*CG59</f>
        <v>0</v>
      </c>
      <c r="CI59" s="309">
        <f t="shared" ref="CI59:CI60" si="48">SUM(AK59:BL59)</f>
        <v>52</v>
      </c>
      <c r="CJ59" s="92">
        <f t="shared" ref="CJ59:CJ60" si="49">CI59*CF59</f>
        <v>0</v>
      </c>
      <c r="CK59" s="101" t="b">
        <f>(CH59+CJ59)=BR59</f>
        <v>1</v>
      </c>
      <c r="CL59" s="45"/>
      <c r="CM59" s="45"/>
      <c r="CN59" s="45"/>
      <c r="CO59" s="45"/>
      <c r="CP59" s="45"/>
      <c r="CQ59" s="45"/>
      <c r="CR59" s="45"/>
      <c r="CS59" s="45"/>
      <c r="CT59" s="45"/>
      <c r="CU59" s="45"/>
      <c r="CV59" s="45"/>
      <c r="CW59" s="45"/>
      <c r="CX59" s="45"/>
      <c r="CY59" s="45"/>
      <c r="CZ59" s="45"/>
      <c r="DA59" s="45"/>
      <c r="DB59" s="45"/>
      <c r="DC59" s="45"/>
      <c r="DD59" s="45"/>
      <c r="DE59" s="45"/>
      <c r="DF59" s="45"/>
      <c r="DG59" s="45"/>
      <c r="DH59" s="45"/>
      <c r="DI59" s="45"/>
      <c r="DJ59" s="45"/>
      <c r="DK59" s="45"/>
      <c r="DL59" s="45"/>
      <c r="DM59" s="45"/>
      <c r="DN59" s="45"/>
      <c r="DO59" s="45"/>
      <c r="DP59" s="45"/>
      <c r="DQ59" s="45"/>
      <c r="DR59" s="45"/>
      <c r="DS59" s="45"/>
      <c r="DT59" s="45"/>
      <c r="DU59" s="45"/>
      <c r="DV59" s="45"/>
      <c r="DW59" s="45"/>
      <c r="DX59" s="45"/>
      <c r="DY59" s="45"/>
      <c r="DZ59" s="45"/>
      <c r="EA59" s="45"/>
      <c r="EB59" s="45"/>
      <c r="EC59" s="45"/>
      <c r="ED59" s="45"/>
      <c r="EE59" s="45"/>
      <c r="EF59" s="45"/>
      <c r="EG59" s="45"/>
      <c r="EH59" s="45"/>
      <c r="EI59" s="45"/>
      <c r="EJ59" s="45"/>
      <c r="EK59" s="45"/>
      <c r="EL59" s="45"/>
      <c r="EM59" s="45"/>
    </row>
    <row r="60" spans="1:143" s="28" customFormat="1" ht="15.5" customHeight="1" x14ac:dyDescent="0.25">
      <c r="A60" s="32"/>
      <c r="B60" s="111"/>
      <c r="C60" s="343"/>
      <c r="D60" s="95" t="s">
        <v>51</v>
      </c>
      <c r="E60" s="39" t="s">
        <v>141</v>
      </c>
      <c r="F60" s="65"/>
      <c r="G60" s="65"/>
      <c r="H60" s="66"/>
      <c r="I60" s="66"/>
      <c r="J60" s="65"/>
      <c r="K60" s="214"/>
      <c r="L60" s="214"/>
      <c r="M60" s="214"/>
      <c r="N60" s="214"/>
      <c r="O60" s="66"/>
      <c r="P60" s="66"/>
      <c r="Q60" s="214"/>
      <c r="R60" s="214"/>
      <c r="S60" s="214"/>
      <c r="T60" s="214"/>
      <c r="U60" s="214"/>
      <c r="V60" s="66"/>
      <c r="W60" s="66"/>
      <c r="X60" s="214">
        <v>1</v>
      </c>
      <c r="Y60" s="214">
        <v>3</v>
      </c>
      <c r="Z60" s="214">
        <v>2</v>
      </c>
      <c r="AA60" s="214">
        <v>2</v>
      </c>
      <c r="AB60" s="214">
        <v>2</v>
      </c>
      <c r="AC60" s="66"/>
      <c r="AD60" s="66"/>
      <c r="AE60" s="214"/>
      <c r="AF60" s="214"/>
      <c r="AG60" s="214"/>
      <c r="AH60" s="214"/>
      <c r="AI60" s="214"/>
      <c r="AJ60" s="66"/>
      <c r="AK60" s="66"/>
      <c r="AL60" s="214"/>
      <c r="AM60" s="214"/>
      <c r="AN60" s="214"/>
      <c r="AO60" s="214"/>
      <c r="AP60" s="214"/>
      <c r="AQ60" s="66"/>
      <c r="AR60" s="66"/>
      <c r="AS60" s="214"/>
      <c r="AT60" s="214"/>
      <c r="AU60" s="214"/>
      <c r="AV60" s="214"/>
      <c r="AW60" s="214"/>
      <c r="AX60" s="66"/>
      <c r="AY60" s="66"/>
      <c r="AZ60" s="214"/>
      <c r="BA60" s="214"/>
      <c r="BB60" s="214"/>
      <c r="BC60" s="214"/>
      <c r="BD60" s="214"/>
      <c r="BE60" s="66"/>
      <c r="BF60" s="66"/>
      <c r="BG60" s="214"/>
      <c r="BH60" s="214"/>
      <c r="BI60" s="214"/>
      <c r="BJ60" s="214"/>
      <c r="BK60" s="214"/>
      <c r="BL60" s="66"/>
      <c r="BM60" s="82">
        <f t="shared" si="45"/>
        <v>10</v>
      </c>
      <c r="BN60" s="21">
        <f>BN59*2</f>
        <v>8580</v>
      </c>
      <c r="BO60" s="103">
        <v>1</v>
      </c>
      <c r="BP60" s="21">
        <f>BN60*(1-BO60)</f>
        <v>0</v>
      </c>
      <c r="BQ60" s="21">
        <f>BN60*BM60*(1-BO60)</f>
        <v>0</v>
      </c>
      <c r="BR60" s="658"/>
      <c r="BS60" s="97"/>
      <c r="BT60" s="161"/>
      <c r="BU60" s="161"/>
      <c r="BV60" s="97"/>
      <c r="BW60" s="99">
        <f>BX60/CA60*100</f>
        <v>0.43037534160735258</v>
      </c>
      <c r="BX60" s="86">
        <v>69958.11</v>
      </c>
      <c r="BY60" s="87">
        <f>BW60*BM60</f>
        <v>4.3037534160735262</v>
      </c>
      <c r="BZ60" s="88">
        <v>11451245</v>
      </c>
      <c r="CA60" s="100">
        <v>16255139</v>
      </c>
      <c r="CB60" s="90">
        <f>CA60*(BY60+BY63)/100</f>
        <v>6739375.1399999997</v>
      </c>
      <c r="CC60" s="21">
        <v>0</v>
      </c>
      <c r="CD60" s="10"/>
      <c r="CE60" s="44" t="s">
        <v>58</v>
      </c>
      <c r="CF60" s="91">
        <f>BP60*0.8</f>
        <v>0</v>
      </c>
      <c r="CG60" s="37">
        <f t="shared" si="46"/>
        <v>10</v>
      </c>
      <c r="CH60" s="92">
        <f t="shared" si="47"/>
        <v>0</v>
      </c>
      <c r="CI60" s="309">
        <f t="shared" si="48"/>
        <v>0</v>
      </c>
      <c r="CJ60" s="92">
        <f t="shared" si="49"/>
        <v>0</v>
      </c>
      <c r="CK60" s="101" t="b">
        <f>(CH60+CJ60)=BR60</f>
        <v>1</v>
      </c>
      <c r="CL60" s="45"/>
      <c r="CM60" s="45"/>
      <c r="CN60" s="45"/>
      <c r="CO60" s="45"/>
      <c r="CP60" s="45"/>
      <c r="CQ60" s="45"/>
      <c r="CR60" s="45"/>
      <c r="CS60" s="45"/>
      <c r="CT60" s="45"/>
      <c r="CU60" s="45"/>
      <c r="CV60" s="45"/>
      <c r="CW60" s="45"/>
      <c r="CX60" s="45"/>
      <c r="CY60" s="45"/>
      <c r="CZ60" s="45"/>
      <c r="DA60" s="45"/>
      <c r="DB60" s="45"/>
      <c r="DC60" s="45"/>
      <c r="DD60" s="45"/>
      <c r="DE60" s="45"/>
      <c r="DF60" s="45"/>
      <c r="DG60" s="45"/>
      <c r="DH60" s="45"/>
      <c r="DI60" s="45"/>
      <c r="DJ60" s="45"/>
      <c r="DK60" s="45"/>
      <c r="DL60" s="45"/>
      <c r="DM60" s="45"/>
      <c r="DN60" s="45"/>
      <c r="DO60" s="45"/>
      <c r="DP60" s="45"/>
      <c r="DQ60" s="45"/>
      <c r="DR60" s="45"/>
      <c r="DS60" s="45"/>
      <c r="DT60" s="45"/>
      <c r="DU60" s="45"/>
      <c r="DV60" s="45"/>
      <c r="DW60" s="45"/>
      <c r="DX60" s="45"/>
      <c r="DY60" s="45"/>
      <c r="DZ60" s="45"/>
      <c r="EA60" s="45"/>
      <c r="EB60" s="45"/>
      <c r="EC60" s="45"/>
      <c r="ED60" s="45"/>
      <c r="EE60" s="45"/>
      <c r="EF60" s="45"/>
      <c r="EG60" s="45"/>
      <c r="EH60" s="45"/>
      <c r="EI60" s="45"/>
      <c r="EJ60" s="45"/>
      <c r="EK60" s="45"/>
      <c r="EL60" s="45"/>
      <c r="EM60" s="45"/>
    </row>
    <row r="61" spans="1:143" s="28" customFormat="1" ht="15.5" customHeight="1" x14ac:dyDescent="0.25">
      <c r="A61" s="32"/>
      <c r="B61" s="111"/>
      <c r="C61" s="343"/>
      <c r="D61" s="95"/>
      <c r="E61" s="39"/>
      <c r="F61" s="65"/>
      <c r="G61" s="65"/>
      <c r="H61" s="66"/>
      <c r="I61" s="66"/>
      <c r="J61" s="65"/>
      <c r="K61" s="214"/>
      <c r="L61" s="214"/>
      <c r="M61" s="214"/>
      <c r="N61" s="214"/>
      <c r="O61" s="66"/>
      <c r="P61" s="66"/>
      <c r="Q61" s="214"/>
      <c r="R61" s="214"/>
      <c r="S61" s="214"/>
      <c r="T61" s="214"/>
      <c r="U61" s="214"/>
      <c r="V61" s="66"/>
      <c r="W61" s="66"/>
      <c r="X61" s="214"/>
      <c r="Y61" s="214"/>
      <c r="Z61" s="214"/>
      <c r="AA61" s="214"/>
      <c r="AB61" s="214"/>
      <c r="AC61" s="66"/>
      <c r="AD61" s="66"/>
      <c r="AE61" s="214"/>
      <c r="AF61" s="214"/>
      <c r="AG61" s="214"/>
      <c r="AH61" s="214"/>
      <c r="AI61" s="214"/>
      <c r="AJ61" s="66"/>
      <c r="AK61" s="66"/>
      <c r="AL61" s="214"/>
      <c r="AM61" s="214"/>
      <c r="AN61" s="214"/>
      <c r="AO61" s="214"/>
      <c r="AP61" s="214"/>
      <c r="AQ61" s="66"/>
      <c r="AR61" s="66"/>
      <c r="AS61" s="214"/>
      <c r="AT61" s="214"/>
      <c r="AU61" s="214"/>
      <c r="AV61" s="214"/>
      <c r="AW61" s="214"/>
      <c r="AX61" s="66"/>
      <c r="AY61" s="66"/>
      <c r="AZ61" s="214"/>
      <c r="BA61" s="214"/>
      <c r="BB61" s="214"/>
      <c r="BC61" s="214"/>
      <c r="BD61" s="214"/>
      <c r="BE61" s="66"/>
      <c r="BF61" s="66"/>
      <c r="BG61" s="214"/>
      <c r="BH61" s="214"/>
      <c r="BI61" s="214"/>
      <c r="BJ61" s="214"/>
      <c r="BK61" s="214"/>
      <c r="BL61" s="66"/>
      <c r="BM61" s="82"/>
      <c r="BN61" s="21"/>
      <c r="BO61" s="103"/>
      <c r="BP61" s="21"/>
      <c r="BQ61" s="21"/>
      <c r="BR61" s="659"/>
      <c r="BS61" s="97"/>
      <c r="BT61" s="165"/>
      <c r="BU61" s="165"/>
      <c r="BV61" s="97"/>
      <c r="BW61" s="166"/>
      <c r="BX61" s="107"/>
      <c r="BY61" s="108"/>
      <c r="BZ61" s="109"/>
      <c r="CA61" s="110"/>
      <c r="CB61" s="109"/>
      <c r="CC61" s="114"/>
      <c r="CD61" s="10"/>
      <c r="CE61" s="44"/>
      <c r="CF61" s="91"/>
      <c r="CG61" s="37"/>
      <c r="CH61" s="92"/>
      <c r="CI61" s="309"/>
      <c r="CJ61" s="92"/>
      <c r="CK61" s="50"/>
      <c r="CL61" s="45"/>
      <c r="CM61" s="45"/>
      <c r="CN61" s="45"/>
      <c r="CO61" s="45"/>
      <c r="CP61" s="45"/>
      <c r="CQ61" s="45"/>
      <c r="CR61" s="45"/>
      <c r="CS61" s="45"/>
      <c r="CT61" s="45"/>
      <c r="CU61" s="45"/>
      <c r="CV61" s="45"/>
      <c r="CW61" s="45"/>
      <c r="CX61" s="45"/>
      <c r="CY61" s="45"/>
      <c r="CZ61" s="45"/>
      <c r="DA61" s="45"/>
      <c r="DB61" s="45"/>
      <c r="DC61" s="45"/>
      <c r="DD61" s="45"/>
      <c r="DE61" s="45"/>
      <c r="DF61" s="45"/>
      <c r="DG61" s="45"/>
      <c r="DH61" s="45"/>
      <c r="DI61" s="45"/>
      <c r="DJ61" s="45"/>
      <c r="DK61" s="45"/>
      <c r="DL61" s="45"/>
      <c r="DM61" s="45"/>
      <c r="DN61" s="45"/>
      <c r="DO61" s="45"/>
      <c r="DP61" s="45"/>
      <c r="DQ61" s="45"/>
      <c r="DR61" s="45"/>
      <c r="DS61" s="45"/>
      <c r="DT61" s="45"/>
      <c r="DU61" s="45"/>
      <c r="DV61" s="45"/>
      <c r="DW61" s="45"/>
      <c r="DX61" s="45"/>
      <c r="DY61" s="45"/>
      <c r="DZ61" s="45"/>
      <c r="EA61" s="45"/>
      <c r="EB61" s="45"/>
      <c r="EC61" s="45"/>
      <c r="ED61" s="45"/>
      <c r="EE61" s="45"/>
      <c r="EF61" s="45"/>
      <c r="EG61" s="45"/>
      <c r="EH61" s="45"/>
      <c r="EI61" s="45"/>
      <c r="EJ61" s="45"/>
      <c r="EK61" s="45"/>
      <c r="EL61" s="45"/>
      <c r="EM61" s="45"/>
    </row>
    <row r="62" spans="1:143" s="28" customFormat="1" ht="15.5" customHeight="1" x14ac:dyDescent="0.25">
      <c r="A62" s="32"/>
      <c r="B62" s="115"/>
      <c r="C62" s="344"/>
      <c r="D62" s="95"/>
      <c r="E62" s="117"/>
      <c r="F62" s="65"/>
      <c r="G62" s="65"/>
      <c r="H62" s="66"/>
      <c r="I62" s="66"/>
      <c r="J62" s="65"/>
      <c r="K62" s="214"/>
      <c r="L62" s="214"/>
      <c r="M62" s="214"/>
      <c r="N62" s="214"/>
      <c r="O62" s="66"/>
      <c r="P62" s="66"/>
      <c r="Q62" s="214"/>
      <c r="R62" s="214"/>
      <c r="S62" s="214"/>
      <c r="T62" s="214"/>
      <c r="U62" s="214"/>
      <c r="V62" s="66"/>
      <c r="W62" s="66"/>
      <c r="X62" s="214"/>
      <c r="Y62" s="214"/>
      <c r="Z62" s="214"/>
      <c r="AA62" s="214"/>
      <c r="AB62" s="214"/>
      <c r="AC62" s="66"/>
      <c r="AD62" s="66"/>
      <c r="AE62" s="214"/>
      <c r="AF62" s="214"/>
      <c r="AG62" s="214"/>
      <c r="AH62" s="214"/>
      <c r="AI62" s="214"/>
      <c r="AJ62" s="66"/>
      <c r="AK62" s="66"/>
      <c r="AL62" s="214"/>
      <c r="AM62" s="214"/>
      <c r="AN62" s="214"/>
      <c r="AO62" s="214"/>
      <c r="AP62" s="214"/>
      <c r="AQ62" s="66"/>
      <c r="AR62" s="66"/>
      <c r="AS62" s="214"/>
      <c r="AT62" s="214"/>
      <c r="AU62" s="214"/>
      <c r="AV62" s="214"/>
      <c r="AW62" s="214"/>
      <c r="AX62" s="66"/>
      <c r="AY62" s="66"/>
      <c r="AZ62" s="214"/>
      <c r="BA62" s="214"/>
      <c r="BB62" s="214"/>
      <c r="BC62" s="214"/>
      <c r="BD62" s="214"/>
      <c r="BE62" s="66"/>
      <c r="BF62" s="66"/>
      <c r="BG62" s="214"/>
      <c r="BH62" s="214"/>
      <c r="BI62" s="214"/>
      <c r="BJ62" s="214"/>
      <c r="BK62" s="214"/>
      <c r="BL62" s="66"/>
      <c r="BM62" s="167"/>
      <c r="BN62" s="18"/>
      <c r="BO62" s="119"/>
      <c r="BP62" s="18"/>
      <c r="BQ62" s="18"/>
      <c r="BR62" s="21"/>
      <c r="BS62" s="97"/>
      <c r="BT62" s="155"/>
      <c r="BU62" s="155"/>
      <c r="BV62" s="97"/>
      <c r="BW62" s="15"/>
      <c r="BX62" s="122"/>
      <c r="BY62" s="123"/>
      <c r="BZ62" s="90"/>
      <c r="CA62" s="89"/>
      <c r="CB62" s="90"/>
      <c r="CC62" s="18"/>
      <c r="CD62" s="10"/>
      <c r="CE62" s="44"/>
      <c r="CF62" s="91"/>
      <c r="CG62" s="37"/>
      <c r="CH62" s="92"/>
      <c r="CI62" s="309"/>
      <c r="CJ62" s="92"/>
      <c r="CK62" s="50"/>
      <c r="CL62" s="45"/>
      <c r="CM62" s="45"/>
      <c r="CN62" s="45"/>
      <c r="CO62" s="45"/>
      <c r="CP62" s="45"/>
      <c r="CQ62" s="45"/>
      <c r="CR62" s="45"/>
      <c r="CS62" s="45"/>
      <c r="CT62" s="45"/>
      <c r="CU62" s="45"/>
      <c r="CV62" s="45"/>
      <c r="CW62" s="45"/>
      <c r="CX62" s="45"/>
      <c r="CY62" s="45"/>
      <c r="CZ62" s="45"/>
      <c r="DA62" s="45"/>
      <c r="DB62" s="45"/>
      <c r="DC62" s="45"/>
      <c r="DD62" s="45"/>
      <c r="DE62" s="45"/>
      <c r="DF62" s="45"/>
      <c r="DG62" s="45"/>
      <c r="DH62" s="45"/>
      <c r="DI62" s="45"/>
      <c r="DJ62" s="45"/>
      <c r="DK62" s="45"/>
      <c r="DL62" s="45"/>
      <c r="DM62" s="45"/>
      <c r="DN62" s="45"/>
      <c r="DO62" s="45"/>
      <c r="DP62" s="45"/>
      <c r="DQ62" s="45"/>
      <c r="DR62" s="45"/>
      <c r="DS62" s="45"/>
      <c r="DT62" s="45"/>
      <c r="DU62" s="45"/>
      <c r="DV62" s="45"/>
      <c r="DW62" s="45"/>
      <c r="DX62" s="45"/>
      <c r="DY62" s="45"/>
      <c r="DZ62" s="45"/>
      <c r="EA62" s="45"/>
      <c r="EB62" s="45"/>
      <c r="EC62" s="45"/>
      <c r="ED62" s="45"/>
      <c r="EE62" s="45"/>
      <c r="EF62" s="45"/>
      <c r="EG62" s="45"/>
      <c r="EH62" s="45"/>
      <c r="EI62" s="45"/>
      <c r="EJ62" s="45"/>
      <c r="EK62" s="45"/>
      <c r="EL62" s="45"/>
      <c r="EM62" s="45"/>
    </row>
    <row r="63" spans="1:143" s="28" customFormat="1" ht="15.5" customHeight="1" x14ac:dyDescent="0.25">
      <c r="A63" s="32"/>
      <c r="B63" s="111"/>
      <c r="C63" s="343" t="s">
        <v>59</v>
      </c>
      <c r="D63" s="95" t="s">
        <v>51</v>
      </c>
      <c r="E63" s="39" t="s">
        <v>40</v>
      </c>
      <c r="F63" s="65"/>
      <c r="G63" s="65"/>
      <c r="H63" s="66"/>
      <c r="I63" s="66"/>
      <c r="J63" s="65"/>
      <c r="K63" s="214"/>
      <c r="L63" s="214"/>
      <c r="M63" s="214"/>
      <c r="N63" s="214"/>
      <c r="O63" s="66"/>
      <c r="P63" s="66"/>
      <c r="Q63" s="214"/>
      <c r="R63" s="214"/>
      <c r="S63" s="214"/>
      <c r="T63" s="214"/>
      <c r="U63" s="214"/>
      <c r="V63" s="66"/>
      <c r="W63" s="66"/>
      <c r="X63" s="214"/>
      <c r="Y63" s="214"/>
      <c r="Z63" s="214"/>
      <c r="AA63" s="214"/>
      <c r="AB63" s="214"/>
      <c r="AC63" s="66">
        <v>4</v>
      </c>
      <c r="AD63" s="66">
        <v>4</v>
      </c>
      <c r="AE63" s="214">
        <v>4</v>
      </c>
      <c r="AF63" s="214">
        <v>4</v>
      </c>
      <c r="AG63" s="214">
        <v>4</v>
      </c>
      <c r="AH63" s="214">
        <v>4</v>
      </c>
      <c r="AI63" s="214">
        <v>4</v>
      </c>
      <c r="AJ63" s="66">
        <v>4</v>
      </c>
      <c r="AK63" s="66">
        <v>4</v>
      </c>
      <c r="AL63" s="214">
        <v>4</v>
      </c>
      <c r="AM63" s="214">
        <v>4</v>
      </c>
      <c r="AN63" s="214">
        <v>4</v>
      </c>
      <c r="AO63" s="214">
        <v>4</v>
      </c>
      <c r="AP63" s="214">
        <v>4</v>
      </c>
      <c r="AQ63" s="66">
        <v>4</v>
      </c>
      <c r="AR63" s="66">
        <v>4</v>
      </c>
      <c r="AS63" s="214">
        <v>4</v>
      </c>
      <c r="AT63" s="214">
        <v>4</v>
      </c>
      <c r="AU63" s="214">
        <v>4</v>
      </c>
      <c r="AV63" s="214">
        <v>4</v>
      </c>
      <c r="AW63" s="214">
        <v>4</v>
      </c>
      <c r="AX63" s="66"/>
      <c r="AY63" s="66"/>
      <c r="AZ63" s="214"/>
      <c r="BA63" s="214"/>
      <c r="BB63" s="214"/>
      <c r="BC63" s="214"/>
      <c r="BD63" s="214"/>
      <c r="BE63" s="66"/>
      <c r="BF63" s="66"/>
      <c r="BG63" s="214"/>
      <c r="BH63" s="214"/>
      <c r="BI63" s="214"/>
      <c r="BJ63" s="214"/>
      <c r="BK63" s="214"/>
      <c r="BL63" s="66"/>
      <c r="BM63" s="82">
        <f t="shared" ref="BM63:BM64" si="50">SUM(F63:BL63)</f>
        <v>84</v>
      </c>
      <c r="BN63" s="21">
        <v>3400</v>
      </c>
      <c r="BO63" s="103">
        <v>0.62</v>
      </c>
      <c r="BP63" s="21">
        <f>BN63*(1-BO63)</f>
        <v>1292</v>
      </c>
      <c r="BQ63" s="21">
        <f>BP63*BM63</f>
        <v>108528</v>
      </c>
      <c r="BR63" s="21">
        <f>BQ63*0.8</f>
        <v>86822.400000000009</v>
      </c>
      <c r="BS63" s="97"/>
      <c r="BT63" s="161">
        <f>(BR63+BR64)/$BR$94</f>
        <v>8.1914991663957173E-2</v>
      </c>
      <c r="BU63" s="155">
        <v>8.8857470777019401E-2</v>
      </c>
      <c r="BV63" s="97"/>
      <c r="BW63" s="99">
        <f>BX63/CA63*100</f>
        <v>0.44233586682956078</v>
      </c>
      <c r="BX63" s="86">
        <v>71902.31</v>
      </c>
      <c r="BY63" s="87">
        <f>BW63*BM63</f>
        <v>37.156212813683105</v>
      </c>
      <c r="BZ63" s="88">
        <v>11451245</v>
      </c>
      <c r="CA63" s="100">
        <v>16255139</v>
      </c>
      <c r="CB63" s="90">
        <f>CA63*BY63/100</f>
        <v>6039794.04</v>
      </c>
      <c r="CC63" s="21">
        <f>BR63/CB63*1000</f>
        <v>14.375059716440266</v>
      </c>
      <c r="CD63" s="10"/>
      <c r="CE63" s="44" t="s">
        <v>59</v>
      </c>
      <c r="CF63" s="91">
        <f>BP63*0.8</f>
        <v>1033.6000000000001</v>
      </c>
      <c r="CG63" s="37">
        <f t="shared" ref="CG63:CG64" si="51">SUM(F63:AJ63)</f>
        <v>32</v>
      </c>
      <c r="CH63" s="92">
        <f t="shared" ref="CH63:CH64" si="52">CF63*CG63</f>
        <v>33075.200000000004</v>
      </c>
      <c r="CI63" s="309">
        <f t="shared" ref="CI63:CI64" si="53">SUM(AK63:BL63)</f>
        <v>52</v>
      </c>
      <c r="CJ63" s="92">
        <f t="shared" ref="CJ63:CJ64" si="54">CI63*CF63</f>
        <v>53747.200000000004</v>
      </c>
      <c r="CK63" s="101" t="b">
        <f>(CH63+CJ63)=BR63</f>
        <v>1</v>
      </c>
      <c r="CL63" s="45"/>
      <c r="CM63" s="45"/>
      <c r="CN63" s="45"/>
      <c r="CO63" s="45"/>
      <c r="CP63" s="45"/>
      <c r="CQ63" s="45"/>
      <c r="CR63" s="45"/>
      <c r="CS63" s="45"/>
      <c r="CT63" s="45"/>
      <c r="CU63" s="45"/>
      <c r="CV63" s="45"/>
      <c r="CW63" s="45"/>
      <c r="CX63" s="45"/>
      <c r="CY63" s="45"/>
      <c r="CZ63" s="45"/>
      <c r="DA63" s="45"/>
      <c r="DB63" s="45"/>
      <c r="DC63" s="45"/>
      <c r="DD63" s="45"/>
      <c r="DE63" s="45"/>
      <c r="DF63" s="45"/>
      <c r="DG63" s="45"/>
      <c r="DH63" s="45"/>
      <c r="DI63" s="45"/>
      <c r="DJ63" s="45"/>
      <c r="DK63" s="45"/>
      <c r="DL63" s="45"/>
      <c r="DM63" s="45"/>
      <c r="DN63" s="45"/>
      <c r="DO63" s="45"/>
      <c r="DP63" s="45"/>
      <c r="DQ63" s="45"/>
      <c r="DR63" s="45"/>
      <c r="DS63" s="45"/>
      <c r="DT63" s="45"/>
      <c r="DU63" s="45"/>
      <c r="DV63" s="45"/>
      <c r="DW63" s="45"/>
      <c r="DX63" s="45"/>
      <c r="DY63" s="45"/>
      <c r="DZ63" s="45"/>
      <c r="EA63" s="45"/>
      <c r="EB63" s="45"/>
      <c r="EC63" s="45"/>
      <c r="ED63" s="45"/>
      <c r="EE63" s="45"/>
      <c r="EF63" s="45"/>
      <c r="EG63" s="45"/>
      <c r="EH63" s="45"/>
      <c r="EI63" s="45"/>
      <c r="EJ63" s="45"/>
      <c r="EK63" s="45"/>
      <c r="EL63" s="45"/>
      <c r="EM63" s="45"/>
    </row>
    <row r="64" spans="1:143" s="28" customFormat="1" ht="15.5" customHeight="1" x14ac:dyDescent="0.25">
      <c r="A64" s="32"/>
      <c r="B64" s="111"/>
      <c r="C64" s="343"/>
      <c r="D64" s="95" t="s">
        <v>51</v>
      </c>
      <c r="E64" s="39" t="s">
        <v>141</v>
      </c>
      <c r="F64" s="65"/>
      <c r="G64" s="65"/>
      <c r="H64" s="66"/>
      <c r="I64" s="66"/>
      <c r="J64" s="65"/>
      <c r="K64" s="214"/>
      <c r="L64" s="214"/>
      <c r="M64" s="214"/>
      <c r="N64" s="214"/>
      <c r="O64" s="66"/>
      <c r="P64" s="66"/>
      <c r="Q64" s="214"/>
      <c r="R64" s="214"/>
      <c r="S64" s="214"/>
      <c r="T64" s="214"/>
      <c r="U64" s="214"/>
      <c r="V64" s="66"/>
      <c r="W64" s="66"/>
      <c r="X64" s="214">
        <v>1</v>
      </c>
      <c r="Y64" s="214">
        <v>3</v>
      </c>
      <c r="Z64" s="214">
        <v>2</v>
      </c>
      <c r="AA64" s="214">
        <v>2</v>
      </c>
      <c r="AB64" s="214">
        <v>2</v>
      </c>
      <c r="AC64" s="66"/>
      <c r="AD64" s="66"/>
      <c r="AE64" s="214"/>
      <c r="AF64" s="214"/>
      <c r="AG64" s="214"/>
      <c r="AH64" s="214"/>
      <c r="AI64" s="214"/>
      <c r="AJ64" s="66"/>
      <c r="AK64" s="66"/>
      <c r="AL64" s="214"/>
      <c r="AM64" s="214"/>
      <c r="AN64" s="214"/>
      <c r="AO64" s="214"/>
      <c r="AP64" s="214"/>
      <c r="AQ64" s="66"/>
      <c r="AR64" s="66"/>
      <c r="AS64" s="214"/>
      <c r="AT64" s="214"/>
      <c r="AU64" s="214"/>
      <c r="AV64" s="214"/>
      <c r="AW64" s="214"/>
      <c r="AX64" s="66"/>
      <c r="AY64" s="66"/>
      <c r="AZ64" s="214"/>
      <c r="BA64" s="214"/>
      <c r="BB64" s="214"/>
      <c r="BC64" s="214"/>
      <c r="BD64" s="214"/>
      <c r="BE64" s="66"/>
      <c r="BF64" s="66"/>
      <c r="BG64" s="214"/>
      <c r="BH64" s="214"/>
      <c r="BI64" s="214"/>
      <c r="BJ64" s="214"/>
      <c r="BK64" s="214"/>
      <c r="BL64" s="66"/>
      <c r="BM64" s="82">
        <f t="shared" si="50"/>
        <v>10</v>
      </c>
      <c r="BN64" s="21">
        <f>BN63*2</f>
        <v>6800</v>
      </c>
      <c r="BO64" s="103">
        <v>0.62</v>
      </c>
      <c r="BP64" s="21">
        <f>BN64*(1-BO64)</f>
        <v>2584</v>
      </c>
      <c r="BQ64" s="21">
        <f>BP64*BM64</f>
        <v>25840</v>
      </c>
      <c r="BR64" s="21">
        <f>BQ64*0.8</f>
        <v>20672</v>
      </c>
      <c r="BS64" s="97"/>
      <c r="BT64" s="155"/>
      <c r="BU64" s="155"/>
      <c r="BV64" s="97"/>
      <c r="BW64" s="99">
        <f>BX64/CA64*100</f>
        <v>0.44233586682956078</v>
      </c>
      <c r="BX64" s="86">
        <v>71902.31</v>
      </c>
      <c r="BY64" s="87">
        <f>BW64*BM64</f>
        <v>4.4233586682956076</v>
      </c>
      <c r="BZ64" s="88">
        <v>11451245</v>
      </c>
      <c r="CA64" s="100">
        <v>16255139</v>
      </c>
      <c r="CB64" s="90">
        <f>CA64*BY64/100</f>
        <v>719023.1</v>
      </c>
      <c r="CC64" s="21">
        <f>BR64/CB64*1000</f>
        <v>28.750119432880531</v>
      </c>
      <c r="CD64" s="10"/>
      <c r="CE64" s="44" t="s">
        <v>59</v>
      </c>
      <c r="CF64" s="91">
        <f>BP64*0.8</f>
        <v>2067.2000000000003</v>
      </c>
      <c r="CG64" s="37">
        <f t="shared" si="51"/>
        <v>10</v>
      </c>
      <c r="CH64" s="92">
        <f t="shared" si="52"/>
        <v>20672.000000000004</v>
      </c>
      <c r="CI64" s="309">
        <f t="shared" si="53"/>
        <v>0</v>
      </c>
      <c r="CJ64" s="92">
        <f t="shared" si="54"/>
        <v>0</v>
      </c>
      <c r="CK64" s="101" t="b">
        <f>(CH64+CJ64)=BR64</f>
        <v>1</v>
      </c>
      <c r="CL64" s="45"/>
      <c r="CM64" s="45"/>
      <c r="CN64" s="45"/>
      <c r="CO64" s="45"/>
      <c r="CP64" s="45"/>
      <c r="CQ64" s="45"/>
      <c r="CR64" s="45"/>
      <c r="CS64" s="45"/>
      <c r="CT64" s="45"/>
      <c r="CU64" s="45"/>
      <c r="CV64" s="45"/>
      <c r="CW64" s="45"/>
      <c r="CX64" s="45"/>
      <c r="CY64" s="45"/>
      <c r="CZ64" s="45"/>
      <c r="DA64" s="45"/>
      <c r="DB64" s="45"/>
      <c r="DC64" s="45"/>
      <c r="DD64" s="45"/>
      <c r="DE64" s="45"/>
      <c r="DF64" s="45"/>
      <c r="DG64" s="45"/>
      <c r="DH64" s="45"/>
      <c r="DI64" s="45"/>
      <c r="DJ64" s="45"/>
      <c r="DK64" s="45"/>
      <c r="DL64" s="45"/>
      <c r="DM64" s="45"/>
      <c r="DN64" s="45"/>
      <c r="DO64" s="45"/>
      <c r="DP64" s="45"/>
      <c r="DQ64" s="45"/>
      <c r="DR64" s="45"/>
      <c r="DS64" s="45"/>
      <c r="DT64" s="45"/>
      <c r="DU64" s="45"/>
      <c r="DV64" s="45"/>
      <c r="DW64" s="45"/>
      <c r="DX64" s="45"/>
      <c r="DY64" s="45"/>
      <c r="DZ64" s="45"/>
      <c r="EA64" s="45"/>
      <c r="EB64" s="45"/>
      <c r="EC64" s="45"/>
      <c r="ED64" s="45"/>
      <c r="EE64" s="45"/>
      <c r="EF64" s="45"/>
      <c r="EG64" s="45"/>
      <c r="EH64" s="45"/>
      <c r="EI64" s="45"/>
      <c r="EJ64" s="45"/>
      <c r="EK64" s="45"/>
      <c r="EL64" s="45"/>
      <c r="EM64" s="45"/>
    </row>
    <row r="65" spans="1:143" s="28" customFormat="1" ht="15.5" customHeight="1" x14ac:dyDescent="0.25">
      <c r="A65" s="32"/>
      <c r="B65" s="111"/>
      <c r="C65" s="343"/>
      <c r="D65" s="95"/>
      <c r="E65" s="39"/>
      <c r="F65" s="65"/>
      <c r="G65" s="65"/>
      <c r="H65" s="66"/>
      <c r="I65" s="66"/>
      <c r="J65" s="65"/>
      <c r="K65" s="214"/>
      <c r="L65" s="214"/>
      <c r="M65" s="214"/>
      <c r="N65" s="214"/>
      <c r="O65" s="66"/>
      <c r="P65" s="66"/>
      <c r="Q65" s="214"/>
      <c r="R65" s="214"/>
      <c r="S65" s="214"/>
      <c r="T65" s="214"/>
      <c r="U65" s="214"/>
      <c r="V65" s="66"/>
      <c r="W65" s="66"/>
      <c r="X65" s="214"/>
      <c r="Y65" s="214"/>
      <c r="Z65" s="214"/>
      <c r="AA65" s="214"/>
      <c r="AB65" s="214"/>
      <c r="AC65" s="66"/>
      <c r="AD65" s="66"/>
      <c r="AE65" s="214"/>
      <c r="AF65" s="214"/>
      <c r="AG65" s="214"/>
      <c r="AH65" s="214"/>
      <c r="AI65" s="214"/>
      <c r="AJ65" s="66"/>
      <c r="AK65" s="66"/>
      <c r="AL65" s="214"/>
      <c r="AM65" s="214"/>
      <c r="AN65" s="214"/>
      <c r="AO65" s="214"/>
      <c r="AP65" s="214"/>
      <c r="AQ65" s="66"/>
      <c r="AR65" s="66"/>
      <c r="AS65" s="214"/>
      <c r="AT65" s="214"/>
      <c r="AU65" s="214"/>
      <c r="AV65" s="214"/>
      <c r="AW65" s="214"/>
      <c r="AX65" s="66"/>
      <c r="AY65" s="66"/>
      <c r="AZ65" s="214"/>
      <c r="BA65" s="214"/>
      <c r="BB65" s="214"/>
      <c r="BC65" s="214"/>
      <c r="BD65" s="214"/>
      <c r="BE65" s="66"/>
      <c r="BF65" s="66"/>
      <c r="BG65" s="214"/>
      <c r="BH65" s="214"/>
      <c r="BI65" s="214"/>
      <c r="BJ65" s="214"/>
      <c r="BK65" s="214"/>
      <c r="BL65" s="66"/>
      <c r="BM65" s="163"/>
      <c r="BN65" s="21"/>
      <c r="BO65" s="103"/>
      <c r="BP65" s="21"/>
      <c r="BQ65" s="21"/>
      <c r="BR65" s="114"/>
      <c r="BS65" s="97"/>
      <c r="BT65" s="165"/>
      <c r="BU65" s="165"/>
      <c r="BV65" s="97"/>
      <c r="BW65" s="166"/>
      <c r="BX65" s="107"/>
      <c r="BY65" s="108"/>
      <c r="BZ65" s="109"/>
      <c r="CA65" s="110"/>
      <c r="CB65" s="109"/>
      <c r="CC65" s="114"/>
      <c r="CD65" s="10"/>
      <c r="CE65" s="44"/>
      <c r="CF65" s="91"/>
      <c r="CG65" s="37"/>
      <c r="CH65" s="92"/>
      <c r="CI65" s="309"/>
      <c r="CJ65" s="92"/>
      <c r="CK65" s="50"/>
      <c r="CL65" s="45"/>
      <c r="CM65" s="45"/>
      <c r="CN65" s="45"/>
      <c r="CO65" s="45"/>
      <c r="CP65" s="45"/>
      <c r="CQ65" s="45"/>
      <c r="CR65" s="45"/>
      <c r="CS65" s="45"/>
      <c r="CT65" s="45"/>
      <c r="CU65" s="45"/>
      <c r="CV65" s="45"/>
      <c r="CW65" s="45"/>
      <c r="CX65" s="45"/>
      <c r="CY65" s="45"/>
      <c r="CZ65" s="45"/>
      <c r="DA65" s="45"/>
      <c r="DB65" s="45"/>
      <c r="DC65" s="45"/>
      <c r="DD65" s="45"/>
      <c r="DE65" s="45"/>
      <c r="DF65" s="45"/>
      <c r="DG65" s="45"/>
      <c r="DH65" s="45"/>
      <c r="DI65" s="45"/>
      <c r="DJ65" s="45"/>
      <c r="DK65" s="45"/>
      <c r="DL65" s="45"/>
      <c r="DM65" s="45"/>
      <c r="DN65" s="45"/>
      <c r="DO65" s="45"/>
      <c r="DP65" s="45"/>
      <c r="DQ65" s="45"/>
      <c r="DR65" s="45"/>
      <c r="DS65" s="45"/>
      <c r="DT65" s="45"/>
      <c r="DU65" s="45"/>
      <c r="DV65" s="45"/>
      <c r="DW65" s="45"/>
      <c r="DX65" s="45"/>
      <c r="DY65" s="45"/>
      <c r="DZ65" s="45"/>
      <c r="EA65" s="45"/>
      <c r="EB65" s="45"/>
      <c r="EC65" s="45"/>
      <c r="ED65" s="45"/>
      <c r="EE65" s="45"/>
      <c r="EF65" s="45"/>
      <c r="EG65" s="45"/>
      <c r="EH65" s="45"/>
      <c r="EI65" s="45"/>
      <c r="EJ65" s="45"/>
      <c r="EK65" s="45"/>
      <c r="EL65" s="45"/>
      <c r="EM65" s="45"/>
    </row>
    <row r="66" spans="1:143" ht="15" customHeight="1" x14ac:dyDescent="0.25">
      <c r="A66" s="32"/>
      <c r="B66" s="115"/>
      <c r="C66" s="344"/>
      <c r="D66" s="95"/>
      <c r="E66" s="117"/>
      <c r="F66" s="65"/>
      <c r="G66" s="65"/>
      <c r="H66" s="66"/>
      <c r="I66" s="66"/>
      <c r="J66" s="65"/>
      <c r="K66" s="214"/>
      <c r="L66" s="214"/>
      <c r="M66" s="214"/>
      <c r="N66" s="214"/>
      <c r="O66" s="66"/>
      <c r="P66" s="66"/>
      <c r="Q66" s="214"/>
      <c r="R66" s="214"/>
      <c r="S66" s="214"/>
      <c r="T66" s="214"/>
      <c r="U66" s="214"/>
      <c r="V66" s="66"/>
      <c r="W66" s="66"/>
      <c r="X66" s="214"/>
      <c r="Y66" s="214"/>
      <c r="Z66" s="214"/>
      <c r="AA66" s="214"/>
      <c r="AB66" s="214"/>
      <c r="AC66" s="66"/>
      <c r="AD66" s="66"/>
      <c r="AE66" s="214"/>
      <c r="AF66" s="214"/>
      <c r="AG66" s="214"/>
      <c r="AH66" s="214"/>
      <c r="AI66" s="214"/>
      <c r="AJ66" s="66"/>
      <c r="AK66" s="66"/>
      <c r="AL66" s="214"/>
      <c r="AM66" s="214"/>
      <c r="AN66" s="214"/>
      <c r="AO66" s="214"/>
      <c r="AP66" s="214"/>
      <c r="AQ66" s="66"/>
      <c r="AR66" s="66"/>
      <c r="AS66" s="214"/>
      <c r="AT66" s="214"/>
      <c r="AU66" s="214"/>
      <c r="AV66" s="214"/>
      <c r="AW66" s="214"/>
      <c r="AX66" s="66"/>
      <c r="AY66" s="66"/>
      <c r="AZ66" s="214"/>
      <c r="BA66" s="214"/>
      <c r="BB66" s="214"/>
      <c r="BC66" s="214"/>
      <c r="BD66" s="214"/>
      <c r="BE66" s="66"/>
      <c r="BF66" s="66"/>
      <c r="BG66" s="214"/>
      <c r="BH66" s="214"/>
      <c r="BI66" s="214"/>
      <c r="BJ66" s="214"/>
      <c r="BK66" s="214"/>
      <c r="BL66" s="66"/>
      <c r="BM66" s="167"/>
      <c r="BN66" s="18"/>
      <c r="BO66" s="119"/>
      <c r="BP66" s="18"/>
      <c r="BQ66" s="18"/>
      <c r="BR66" s="21"/>
      <c r="BS66" s="97"/>
      <c r="BT66" s="155"/>
      <c r="BU66" s="155"/>
      <c r="BV66" s="97"/>
      <c r="BW66" s="15"/>
      <c r="BX66" s="122"/>
      <c r="BY66" s="123"/>
      <c r="BZ66" s="90"/>
      <c r="CA66" s="89"/>
      <c r="CB66" s="90"/>
      <c r="CC66" s="18"/>
      <c r="CD66" s="10"/>
      <c r="CE66" s="44"/>
      <c r="CF66" s="91"/>
      <c r="CG66" s="37"/>
      <c r="CH66" s="92"/>
      <c r="CI66" s="309"/>
      <c r="CJ66" s="92"/>
    </row>
    <row r="67" spans="1:143" ht="15.5" customHeight="1" x14ac:dyDescent="0.25">
      <c r="A67" s="32"/>
      <c r="B67" s="111"/>
      <c r="C67" s="343" t="s">
        <v>60</v>
      </c>
      <c r="D67" s="95" t="s">
        <v>61</v>
      </c>
      <c r="E67" s="39" t="s">
        <v>40</v>
      </c>
      <c r="F67" s="65"/>
      <c r="G67" s="65"/>
      <c r="H67" s="66"/>
      <c r="I67" s="66"/>
      <c r="J67" s="65"/>
      <c r="K67" s="214"/>
      <c r="L67" s="214"/>
      <c r="M67" s="214"/>
      <c r="N67" s="214"/>
      <c r="O67" s="66"/>
      <c r="P67" s="66"/>
      <c r="Q67" s="214"/>
      <c r="R67" s="214"/>
      <c r="S67" s="214"/>
      <c r="T67" s="214"/>
      <c r="U67" s="214"/>
      <c r="V67" s="66"/>
      <c r="W67" s="66"/>
      <c r="X67" s="214"/>
      <c r="Y67" s="214"/>
      <c r="Z67" s="214"/>
      <c r="AA67" s="214"/>
      <c r="AB67" s="214"/>
      <c r="AC67" s="66">
        <v>4</v>
      </c>
      <c r="AD67" s="66">
        <v>4</v>
      </c>
      <c r="AE67" s="214">
        <v>4</v>
      </c>
      <c r="AF67" s="214">
        <v>4</v>
      </c>
      <c r="AG67" s="214">
        <v>4</v>
      </c>
      <c r="AH67" s="214">
        <v>4</v>
      </c>
      <c r="AI67" s="214">
        <v>4</v>
      </c>
      <c r="AJ67" s="66">
        <v>4</v>
      </c>
      <c r="AK67" s="66">
        <v>4</v>
      </c>
      <c r="AL67" s="214">
        <v>4</v>
      </c>
      <c r="AM67" s="214">
        <v>4</v>
      </c>
      <c r="AN67" s="214">
        <v>4</v>
      </c>
      <c r="AO67" s="214">
        <v>4</v>
      </c>
      <c r="AP67" s="214">
        <v>4</v>
      </c>
      <c r="AQ67" s="66">
        <v>4</v>
      </c>
      <c r="AR67" s="66">
        <v>4</v>
      </c>
      <c r="AS67" s="214">
        <v>4</v>
      </c>
      <c r="AT67" s="214">
        <v>4</v>
      </c>
      <c r="AU67" s="214">
        <v>4</v>
      </c>
      <c r="AV67" s="214">
        <v>4</v>
      </c>
      <c r="AW67" s="214">
        <v>4</v>
      </c>
      <c r="AX67" s="66"/>
      <c r="AY67" s="66"/>
      <c r="AZ67" s="214"/>
      <c r="BA67" s="214"/>
      <c r="BB67" s="214"/>
      <c r="BC67" s="214"/>
      <c r="BD67" s="214"/>
      <c r="BE67" s="66"/>
      <c r="BF67" s="66"/>
      <c r="BG67" s="214"/>
      <c r="BH67" s="214"/>
      <c r="BI67" s="214"/>
      <c r="BJ67" s="214"/>
      <c r="BK67" s="214"/>
      <c r="BL67" s="66"/>
      <c r="BM67" s="82">
        <f t="shared" ref="BM67:BM68" si="55">SUM(F67:BL67)</f>
        <v>84</v>
      </c>
      <c r="BN67" s="21">
        <v>1740</v>
      </c>
      <c r="BO67" s="103">
        <v>0.55000000000000004</v>
      </c>
      <c r="BP67" s="21">
        <f>BN67*(1-BO67)</f>
        <v>782.99999999999989</v>
      </c>
      <c r="BQ67" s="21">
        <f>BP67*BM67</f>
        <v>65771.999999999985</v>
      </c>
      <c r="BR67" s="21">
        <f>BQ67*0.8</f>
        <v>52617.599999999991</v>
      </c>
      <c r="BS67" s="97"/>
      <c r="BT67" s="161">
        <f>(BR67+BR68)/$BR$94</f>
        <v>4.9643528229782082E-2</v>
      </c>
      <c r="BU67" s="155">
        <v>4.8388488101002575E-2</v>
      </c>
      <c r="BV67" s="97"/>
      <c r="BW67" s="99">
        <f>BX67/CA67*100</f>
        <v>0.43808988652757747</v>
      </c>
      <c r="BX67" s="86">
        <v>71212.12</v>
      </c>
      <c r="BY67" s="87">
        <f>BW67*BM67</f>
        <v>36.799550468316504</v>
      </c>
      <c r="BZ67" s="88">
        <v>11451245</v>
      </c>
      <c r="CA67" s="100">
        <v>16255139</v>
      </c>
      <c r="CB67" s="90">
        <f>CA67*BY67/100</f>
        <v>5981818.0799999991</v>
      </c>
      <c r="CC67" s="21">
        <f>BR67/CB67*1000</f>
        <v>8.7962554688724328</v>
      </c>
      <c r="CD67" s="10"/>
      <c r="CE67" s="44" t="s">
        <v>60</v>
      </c>
      <c r="CF67" s="91">
        <f>BP67*0.8</f>
        <v>626.4</v>
      </c>
      <c r="CG67" s="37">
        <f t="shared" ref="CG67:CG68" si="56">SUM(F67:AJ67)</f>
        <v>32</v>
      </c>
      <c r="CH67" s="92">
        <f t="shared" ref="CH67:CH68" si="57">CF67*CG67</f>
        <v>20044.8</v>
      </c>
      <c r="CI67" s="309">
        <f t="shared" ref="CI67:CI68" si="58">SUM(AK67:BL67)</f>
        <v>52</v>
      </c>
      <c r="CJ67" s="92">
        <f t="shared" ref="CJ67:CJ68" si="59">CI67*CF67</f>
        <v>32572.799999999999</v>
      </c>
      <c r="CK67" s="101" t="b">
        <f>(CH67+CJ67)=BR67</f>
        <v>1</v>
      </c>
      <c r="EM67" s="45">
        <f>SUM(F67:EL67)</f>
        <v>33933869.481927834</v>
      </c>
    </row>
    <row r="68" spans="1:143" ht="15.5" customHeight="1" x14ac:dyDescent="0.25">
      <c r="A68" s="32"/>
      <c r="B68" s="111"/>
      <c r="C68" s="343"/>
      <c r="D68" s="95" t="s">
        <v>61</v>
      </c>
      <c r="E68" s="39" t="s">
        <v>141</v>
      </c>
      <c r="F68" s="65"/>
      <c r="G68" s="65"/>
      <c r="H68" s="66"/>
      <c r="I68" s="66"/>
      <c r="J68" s="65"/>
      <c r="K68" s="214"/>
      <c r="L68" s="214"/>
      <c r="M68" s="214"/>
      <c r="N68" s="214"/>
      <c r="O68" s="66"/>
      <c r="P68" s="66"/>
      <c r="Q68" s="214"/>
      <c r="R68" s="214"/>
      <c r="S68" s="214"/>
      <c r="T68" s="214"/>
      <c r="U68" s="214"/>
      <c r="V68" s="66"/>
      <c r="W68" s="66"/>
      <c r="X68" s="214">
        <v>1</v>
      </c>
      <c r="Y68" s="214">
        <v>3</v>
      </c>
      <c r="Z68" s="214">
        <v>2</v>
      </c>
      <c r="AA68" s="214">
        <v>2</v>
      </c>
      <c r="AB68" s="214">
        <v>2</v>
      </c>
      <c r="AC68" s="66"/>
      <c r="AD68" s="66"/>
      <c r="AE68" s="214"/>
      <c r="AF68" s="214"/>
      <c r="AG68" s="214"/>
      <c r="AH68" s="214"/>
      <c r="AI68" s="214"/>
      <c r="AJ68" s="66"/>
      <c r="AK68" s="66"/>
      <c r="AL68" s="214"/>
      <c r="AM68" s="214"/>
      <c r="AN68" s="214"/>
      <c r="AO68" s="214"/>
      <c r="AP68" s="214"/>
      <c r="AQ68" s="66"/>
      <c r="AR68" s="66"/>
      <c r="AS68" s="214"/>
      <c r="AT68" s="214"/>
      <c r="AU68" s="214"/>
      <c r="AV68" s="214"/>
      <c r="AW68" s="214"/>
      <c r="AX68" s="66"/>
      <c r="AY68" s="66"/>
      <c r="AZ68" s="214"/>
      <c r="BA68" s="214"/>
      <c r="BB68" s="214"/>
      <c r="BC68" s="214"/>
      <c r="BD68" s="214"/>
      <c r="BE68" s="66"/>
      <c r="BF68" s="66"/>
      <c r="BG68" s="214"/>
      <c r="BH68" s="214"/>
      <c r="BI68" s="214"/>
      <c r="BJ68" s="214"/>
      <c r="BK68" s="214"/>
      <c r="BL68" s="66"/>
      <c r="BM68" s="82">
        <f t="shared" si="55"/>
        <v>10</v>
      </c>
      <c r="BN68" s="21">
        <f>BN67*2</f>
        <v>3480</v>
      </c>
      <c r="BO68" s="103">
        <v>0.55000000000000004</v>
      </c>
      <c r="BP68" s="21">
        <f>BN68*(1-BO68)</f>
        <v>1565.9999999999998</v>
      </c>
      <c r="BQ68" s="21">
        <f>BP68*BM68</f>
        <v>15659.999999999998</v>
      </c>
      <c r="BR68" s="21">
        <f>BQ68*0.8</f>
        <v>12528</v>
      </c>
      <c r="BS68" s="97"/>
      <c r="BT68" s="155"/>
      <c r="BU68" s="155"/>
      <c r="BV68" s="97"/>
      <c r="BW68" s="99">
        <f>BX68/CA68*100</f>
        <v>0.43808988652757747</v>
      </c>
      <c r="BX68" s="86">
        <v>71212.12</v>
      </c>
      <c r="BY68" s="87">
        <f>BW68*BM68</f>
        <v>4.3808988652757748</v>
      </c>
      <c r="BZ68" s="88">
        <v>11451245</v>
      </c>
      <c r="CA68" s="100">
        <v>16255139</v>
      </c>
      <c r="CB68" s="90">
        <f>CA68*BY68/100</f>
        <v>712121.19999999984</v>
      </c>
      <c r="CC68" s="21">
        <f>BR68/CB68*1000</f>
        <v>17.592510937744869</v>
      </c>
      <c r="CD68" s="10"/>
      <c r="CE68" s="44" t="s">
        <v>60</v>
      </c>
      <c r="CF68" s="91">
        <f>BP68*0.8</f>
        <v>1252.8</v>
      </c>
      <c r="CG68" s="37">
        <f t="shared" si="56"/>
        <v>10</v>
      </c>
      <c r="CH68" s="92">
        <f t="shared" si="57"/>
        <v>12528</v>
      </c>
      <c r="CI68" s="309">
        <f t="shared" si="58"/>
        <v>0</v>
      </c>
      <c r="CJ68" s="92">
        <f t="shared" si="59"/>
        <v>0</v>
      </c>
      <c r="CK68" s="101" t="b">
        <f>(CH68+CJ68)=BR68</f>
        <v>1</v>
      </c>
      <c r="EM68" s="45">
        <f>SUM(F68:EL68)</f>
        <v>28536785.081499688</v>
      </c>
    </row>
    <row r="69" spans="1:143" ht="15.5" customHeight="1" x14ac:dyDescent="0.25">
      <c r="A69" s="32"/>
      <c r="B69" s="111"/>
      <c r="C69" s="343"/>
      <c r="D69" s="95"/>
      <c r="E69" s="39"/>
      <c r="F69" s="65"/>
      <c r="G69" s="65"/>
      <c r="H69" s="66"/>
      <c r="I69" s="66"/>
      <c r="J69" s="65"/>
      <c r="K69" s="214"/>
      <c r="L69" s="214"/>
      <c r="M69" s="214"/>
      <c r="N69" s="214"/>
      <c r="O69" s="66"/>
      <c r="P69" s="66"/>
      <c r="Q69" s="214"/>
      <c r="R69" s="214"/>
      <c r="S69" s="214"/>
      <c r="T69" s="214"/>
      <c r="U69" s="214"/>
      <c r="V69" s="66"/>
      <c r="W69" s="66"/>
      <c r="X69" s="214"/>
      <c r="Y69" s="214"/>
      <c r="Z69" s="214"/>
      <c r="AA69" s="214"/>
      <c r="AB69" s="214"/>
      <c r="AC69" s="66"/>
      <c r="AD69" s="66"/>
      <c r="AE69" s="214"/>
      <c r="AF69" s="214"/>
      <c r="AG69" s="214"/>
      <c r="AH69" s="214"/>
      <c r="AI69" s="214"/>
      <c r="AJ69" s="66"/>
      <c r="AK69" s="66"/>
      <c r="AL69" s="214"/>
      <c r="AM69" s="214"/>
      <c r="AN69" s="214"/>
      <c r="AO69" s="214"/>
      <c r="AP69" s="214"/>
      <c r="AQ69" s="66"/>
      <c r="AR69" s="66"/>
      <c r="AS69" s="214"/>
      <c r="AT69" s="214"/>
      <c r="AU69" s="214"/>
      <c r="AV69" s="214"/>
      <c r="AW69" s="214"/>
      <c r="AX69" s="66"/>
      <c r="AY69" s="66"/>
      <c r="AZ69" s="214"/>
      <c r="BA69" s="214"/>
      <c r="BB69" s="214"/>
      <c r="BC69" s="214"/>
      <c r="BD69" s="214"/>
      <c r="BE69" s="66"/>
      <c r="BF69" s="66"/>
      <c r="BG69" s="214"/>
      <c r="BH69" s="214"/>
      <c r="BI69" s="214"/>
      <c r="BJ69" s="214"/>
      <c r="BK69" s="214"/>
      <c r="BL69" s="66"/>
      <c r="BM69" s="172"/>
      <c r="BN69" s="21"/>
      <c r="BO69" s="103"/>
      <c r="BP69" s="21"/>
      <c r="BQ69" s="21"/>
      <c r="BR69" s="114"/>
      <c r="BS69" s="97"/>
      <c r="BT69" s="165"/>
      <c r="BU69" s="165"/>
      <c r="BV69" s="97"/>
      <c r="BW69" s="166"/>
      <c r="BX69" s="107"/>
      <c r="BY69" s="108"/>
      <c r="BZ69" s="109"/>
      <c r="CA69" s="110"/>
      <c r="CB69" s="109"/>
      <c r="CC69" s="114"/>
      <c r="CD69" s="10"/>
      <c r="CE69" s="44"/>
      <c r="CF69" s="91"/>
      <c r="CG69" s="37"/>
      <c r="CH69" s="92"/>
      <c r="CI69" s="309"/>
      <c r="CJ69" s="92"/>
    </row>
    <row r="70" spans="1:143" ht="15.5" customHeight="1" x14ac:dyDescent="0.25">
      <c r="A70" s="32"/>
      <c r="B70" s="115"/>
      <c r="C70" s="344"/>
      <c r="D70" s="95"/>
      <c r="E70" s="117"/>
      <c r="F70" s="65"/>
      <c r="G70" s="65"/>
      <c r="H70" s="66"/>
      <c r="I70" s="66"/>
      <c r="J70" s="65"/>
      <c r="K70" s="214"/>
      <c r="L70" s="214"/>
      <c r="M70" s="214"/>
      <c r="N70" s="214"/>
      <c r="O70" s="66"/>
      <c r="P70" s="66"/>
      <c r="Q70" s="214"/>
      <c r="R70" s="214"/>
      <c r="S70" s="214"/>
      <c r="T70" s="214"/>
      <c r="U70" s="214"/>
      <c r="V70" s="66"/>
      <c r="W70" s="66"/>
      <c r="X70" s="214"/>
      <c r="Y70" s="214"/>
      <c r="Z70" s="214"/>
      <c r="AA70" s="214"/>
      <c r="AB70" s="214"/>
      <c r="AC70" s="66"/>
      <c r="AD70" s="66"/>
      <c r="AE70" s="214"/>
      <c r="AF70" s="214"/>
      <c r="AG70" s="214"/>
      <c r="AH70" s="214"/>
      <c r="AI70" s="214"/>
      <c r="AJ70" s="66"/>
      <c r="AK70" s="66"/>
      <c r="AL70" s="214"/>
      <c r="AM70" s="214"/>
      <c r="AN70" s="214"/>
      <c r="AO70" s="214"/>
      <c r="AP70" s="214"/>
      <c r="AQ70" s="66"/>
      <c r="AR70" s="66"/>
      <c r="AS70" s="214"/>
      <c r="AT70" s="214"/>
      <c r="AU70" s="214"/>
      <c r="AV70" s="214"/>
      <c r="AW70" s="214"/>
      <c r="AX70" s="66"/>
      <c r="AY70" s="66"/>
      <c r="AZ70" s="214"/>
      <c r="BA70" s="214"/>
      <c r="BB70" s="214"/>
      <c r="BC70" s="214"/>
      <c r="BD70" s="214"/>
      <c r="BE70" s="66"/>
      <c r="BF70" s="66"/>
      <c r="BG70" s="214"/>
      <c r="BH70" s="214"/>
      <c r="BI70" s="214"/>
      <c r="BJ70" s="214"/>
      <c r="BK70" s="214"/>
      <c r="BL70" s="66"/>
      <c r="BM70" s="163"/>
      <c r="BN70" s="18"/>
      <c r="BO70" s="119"/>
      <c r="BP70" s="18"/>
      <c r="BQ70" s="18"/>
      <c r="BR70" s="21"/>
      <c r="BS70" s="97"/>
      <c r="BT70" s="155"/>
      <c r="BU70" s="155"/>
      <c r="BV70" s="97"/>
      <c r="BW70" s="15"/>
      <c r="BX70" s="122"/>
      <c r="BY70" s="123"/>
      <c r="BZ70" s="90"/>
      <c r="CA70" s="89"/>
      <c r="CB70" s="90"/>
      <c r="CC70" s="18"/>
      <c r="CD70" s="10"/>
      <c r="CE70" s="44"/>
      <c r="CF70" s="91"/>
      <c r="CG70" s="37"/>
      <c r="CH70" s="92"/>
      <c r="CI70" s="309"/>
      <c r="CJ70" s="92"/>
    </row>
    <row r="71" spans="1:143" ht="15.5" customHeight="1" x14ac:dyDescent="0.25">
      <c r="A71" s="32"/>
      <c r="B71" s="111"/>
      <c r="C71" s="343" t="s">
        <v>62</v>
      </c>
      <c r="D71" s="95" t="s">
        <v>51</v>
      </c>
      <c r="E71" s="39" t="s">
        <v>40</v>
      </c>
      <c r="F71" s="65"/>
      <c r="G71" s="65"/>
      <c r="H71" s="66"/>
      <c r="I71" s="66"/>
      <c r="J71" s="65"/>
      <c r="K71" s="214"/>
      <c r="L71" s="214"/>
      <c r="M71" s="214"/>
      <c r="N71" s="214"/>
      <c r="O71" s="66"/>
      <c r="P71" s="66"/>
      <c r="Q71" s="214"/>
      <c r="R71" s="214"/>
      <c r="S71" s="214"/>
      <c r="T71" s="214"/>
      <c r="U71" s="214"/>
      <c r="V71" s="66"/>
      <c r="W71" s="66"/>
      <c r="X71" s="214"/>
      <c r="Y71" s="214"/>
      <c r="Z71" s="214"/>
      <c r="AA71" s="214"/>
      <c r="AB71" s="214"/>
      <c r="AC71" s="66">
        <v>3</v>
      </c>
      <c r="AD71" s="66">
        <v>3</v>
      </c>
      <c r="AE71" s="66">
        <v>3</v>
      </c>
      <c r="AF71" s="66">
        <v>3</v>
      </c>
      <c r="AG71" s="66">
        <v>3</v>
      </c>
      <c r="AH71" s="66">
        <v>3</v>
      </c>
      <c r="AI71" s="66">
        <v>3</v>
      </c>
      <c r="AJ71" s="66">
        <v>3</v>
      </c>
      <c r="AK71" s="66">
        <v>3</v>
      </c>
      <c r="AL71" s="66">
        <v>3</v>
      </c>
      <c r="AM71" s="66">
        <v>3</v>
      </c>
      <c r="AN71" s="66">
        <v>3</v>
      </c>
      <c r="AO71" s="66">
        <v>3</v>
      </c>
      <c r="AP71" s="66">
        <v>3</v>
      </c>
      <c r="AQ71" s="66">
        <v>3</v>
      </c>
      <c r="AR71" s="66">
        <v>3</v>
      </c>
      <c r="AS71" s="214">
        <v>3</v>
      </c>
      <c r="AT71" s="214">
        <v>3</v>
      </c>
      <c r="AU71" s="214">
        <v>3</v>
      </c>
      <c r="AV71" s="214">
        <v>3</v>
      </c>
      <c r="AW71" s="214">
        <v>3</v>
      </c>
      <c r="AX71" s="66"/>
      <c r="AY71" s="66"/>
      <c r="AZ71" s="214"/>
      <c r="BA71" s="214"/>
      <c r="BB71" s="214"/>
      <c r="BC71" s="214"/>
      <c r="BD71" s="214"/>
      <c r="BE71" s="66"/>
      <c r="BF71" s="66"/>
      <c r="BG71" s="214"/>
      <c r="BH71" s="214"/>
      <c r="BI71" s="214"/>
      <c r="BJ71" s="214"/>
      <c r="BK71" s="214"/>
      <c r="BL71" s="66"/>
      <c r="BM71" s="82">
        <f t="shared" ref="BM71:BM72" si="60">SUM(F71:BL71)</f>
        <v>63</v>
      </c>
      <c r="BN71" s="21">
        <v>5465</v>
      </c>
      <c r="BO71" s="103">
        <v>0.75</v>
      </c>
      <c r="BP71" s="21">
        <f>BN71*(1-BO71)</f>
        <v>1366.25</v>
      </c>
      <c r="BQ71" s="21">
        <f>BP71*BM71</f>
        <v>86073.75</v>
      </c>
      <c r="BR71" s="21">
        <f>BQ71*0.8</f>
        <v>68859</v>
      </c>
      <c r="BS71" s="97"/>
      <c r="BT71" s="161">
        <f>(BR71+BR72)/$BR$94</f>
        <v>6.9131472232623559E-2</v>
      </c>
      <c r="BU71" s="161">
        <v>6.7246938374287496E-2</v>
      </c>
      <c r="BV71" s="97"/>
      <c r="BW71" s="99">
        <f>BX71/CA71*100</f>
        <v>0.42775475497318111</v>
      </c>
      <c r="BX71" s="86">
        <v>69532.13</v>
      </c>
      <c r="BY71" s="87">
        <f>BW71*BM71</f>
        <v>26.948549563310408</v>
      </c>
      <c r="BZ71" s="88">
        <v>11451245</v>
      </c>
      <c r="CA71" s="100">
        <v>16255139</v>
      </c>
      <c r="CB71" s="90">
        <f>CA71*BY71/100</f>
        <v>4380524.1900000004</v>
      </c>
      <c r="CC71" s="21">
        <f>BR71/CB71*1000</f>
        <v>15.719351614857761</v>
      </c>
      <c r="CD71" s="10"/>
      <c r="CE71" s="44" t="s">
        <v>62</v>
      </c>
      <c r="CF71" s="91">
        <f>BP71*0.8</f>
        <v>1093</v>
      </c>
      <c r="CG71" s="37">
        <f t="shared" ref="CG71" si="61">SUM(F71:AJ71)</f>
        <v>24</v>
      </c>
      <c r="CH71" s="92">
        <f>CF71*CG71</f>
        <v>26232</v>
      </c>
      <c r="CI71" s="309">
        <f t="shared" ref="CI71" si="62">SUM(AK71:BL71)</f>
        <v>39</v>
      </c>
      <c r="CJ71" s="92">
        <f>CI71*CF71</f>
        <v>42627</v>
      </c>
      <c r="CK71" s="101" t="b">
        <f>(CH71+CJ71)=BR71</f>
        <v>1</v>
      </c>
    </row>
    <row r="72" spans="1:143" ht="15.5" customHeight="1" x14ac:dyDescent="0.25">
      <c r="A72" s="32"/>
      <c r="B72" s="111"/>
      <c r="C72" s="343"/>
      <c r="D72" s="95" t="s">
        <v>51</v>
      </c>
      <c r="E72" s="39" t="s">
        <v>141</v>
      </c>
      <c r="F72" s="65"/>
      <c r="G72" s="65"/>
      <c r="H72" s="66"/>
      <c r="I72" s="66"/>
      <c r="J72" s="65"/>
      <c r="K72" s="214"/>
      <c r="L72" s="214"/>
      <c r="M72" s="214"/>
      <c r="N72" s="214"/>
      <c r="O72" s="66"/>
      <c r="P72" s="66"/>
      <c r="Q72" s="214"/>
      <c r="R72" s="214"/>
      <c r="S72" s="214"/>
      <c r="T72" s="214"/>
      <c r="U72" s="214"/>
      <c r="V72" s="66"/>
      <c r="W72" s="66"/>
      <c r="X72" s="214">
        <v>1</v>
      </c>
      <c r="Y72" s="214">
        <v>3</v>
      </c>
      <c r="Z72" s="214">
        <v>2</v>
      </c>
      <c r="AA72" s="214">
        <v>2</v>
      </c>
      <c r="AB72" s="214">
        <v>2</v>
      </c>
      <c r="AC72" s="66"/>
      <c r="AD72" s="66"/>
      <c r="AE72" s="214"/>
      <c r="AF72" s="214"/>
      <c r="AG72" s="214"/>
      <c r="AH72" s="214"/>
      <c r="AI72" s="214"/>
      <c r="AJ72" s="66"/>
      <c r="AK72" s="66"/>
      <c r="AL72" s="214"/>
      <c r="AM72" s="214"/>
      <c r="AN72" s="214"/>
      <c r="AO72" s="214"/>
      <c r="AP72" s="214"/>
      <c r="AQ72" s="66"/>
      <c r="AR72" s="66"/>
      <c r="AS72" s="214"/>
      <c r="AT72" s="214"/>
      <c r="AU72" s="214"/>
      <c r="AV72" s="214"/>
      <c r="AW72" s="214"/>
      <c r="AX72" s="66"/>
      <c r="AY72" s="66"/>
      <c r="AZ72" s="214"/>
      <c r="BA72" s="214"/>
      <c r="BB72" s="214"/>
      <c r="BC72" s="214"/>
      <c r="BD72" s="214"/>
      <c r="BE72" s="66"/>
      <c r="BF72" s="66"/>
      <c r="BG72" s="214"/>
      <c r="BH72" s="214"/>
      <c r="BI72" s="214"/>
      <c r="BJ72" s="214"/>
      <c r="BK72" s="214"/>
      <c r="BL72" s="66"/>
      <c r="BM72" s="82">
        <f t="shared" si="60"/>
        <v>10</v>
      </c>
      <c r="BN72" s="21">
        <f>BN71*2</f>
        <v>10930</v>
      </c>
      <c r="BO72" s="103">
        <v>0.75</v>
      </c>
      <c r="BP72" s="21">
        <f>BN72*(1-BO72)</f>
        <v>2732.5</v>
      </c>
      <c r="BQ72" s="21">
        <f>BP72*BM72</f>
        <v>27325</v>
      </c>
      <c r="BR72" s="21">
        <f>BQ72*0.8</f>
        <v>21860</v>
      </c>
      <c r="BS72" s="97"/>
      <c r="BT72" s="161"/>
      <c r="BU72" s="161"/>
      <c r="BV72" s="97"/>
      <c r="BW72" s="201"/>
      <c r="BX72" s="157"/>
      <c r="BY72" s="158"/>
      <c r="BZ72" s="89"/>
      <c r="CA72" s="404"/>
      <c r="CB72" s="90"/>
      <c r="CC72" s="21"/>
      <c r="CD72" s="10"/>
      <c r="CE72" s="44"/>
      <c r="CF72" s="91">
        <f>BP72*0.8</f>
        <v>2186</v>
      </c>
      <c r="CG72" s="37">
        <f t="shared" ref="CG72" si="63">SUM(F72:AJ72)</f>
        <v>10</v>
      </c>
      <c r="CH72" s="92">
        <f>CF72*CG72</f>
        <v>21860</v>
      </c>
      <c r="CI72" s="309">
        <f t="shared" ref="CI72" si="64">SUM(AK72:BL72)</f>
        <v>0</v>
      </c>
      <c r="CJ72" s="92">
        <f>CI72*CF72</f>
        <v>0</v>
      </c>
      <c r="CK72" s="101" t="b">
        <f>(CH72+CJ72)=BR72</f>
        <v>1</v>
      </c>
    </row>
    <row r="73" spans="1:143" ht="15.5" customHeight="1" x14ac:dyDescent="0.25">
      <c r="A73" s="32"/>
      <c r="B73" s="111"/>
      <c r="C73" s="343"/>
      <c r="D73" s="95"/>
      <c r="E73" s="39"/>
      <c r="F73" s="65"/>
      <c r="G73" s="65"/>
      <c r="H73" s="66"/>
      <c r="I73" s="66"/>
      <c r="J73" s="65"/>
      <c r="K73" s="214"/>
      <c r="L73" s="214"/>
      <c r="M73" s="214"/>
      <c r="N73" s="214"/>
      <c r="O73" s="66"/>
      <c r="P73" s="66"/>
      <c r="Q73" s="214"/>
      <c r="R73" s="214"/>
      <c r="S73" s="214"/>
      <c r="T73" s="214"/>
      <c r="U73" s="214"/>
      <c r="V73" s="66"/>
      <c r="W73" s="66"/>
      <c r="X73" s="214"/>
      <c r="Y73" s="214"/>
      <c r="Z73" s="214"/>
      <c r="AA73" s="214"/>
      <c r="AB73" s="214"/>
      <c r="AC73" s="66"/>
      <c r="AD73" s="66"/>
      <c r="AE73" s="214"/>
      <c r="AF73" s="214"/>
      <c r="AG73" s="214"/>
      <c r="AH73" s="214"/>
      <c r="AI73" s="214"/>
      <c r="AJ73" s="66"/>
      <c r="AK73" s="66"/>
      <c r="AL73" s="214"/>
      <c r="AM73" s="214"/>
      <c r="AN73" s="214"/>
      <c r="AO73" s="214"/>
      <c r="AP73" s="214"/>
      <c r="AQ73" s="66"/>
      <c r="AR73" s="66"/>
      <c r="AS73" s="214"/>
      <c r="AT73" s="214"/>
      <c r="AU73" s="214"/>
      <c r="AV73" s="214"/>
      <c r="AW73" s="214"/>
      <c r="AX73" s="66"/>
      <c r="AY73" s="66"/>
      <c r="AZ73" s="214"/>
      <c r="BA73" s="214"/>
      <c r="BB73" s="214"/>
      <c r="BC73" s="214"/>
      <c r="BD73" s="214"/>
      <c r="BE73" s="66"/>
      <c r="BF73" s="66"/>
      <c r="BG73" s="214"/>
      <c r="BH73" s="214"/>
      <c r="BI73" s="214"/>
      <c r="BJ73" s="214"/>
      <c r="BK73" s="214"/>
      <c r="BL73" s="66"/>
      <c r="BM73" s="163"/>
      <c r="BN73" s="21"/>
      <c r="BO73" s="103"/>
      <c r="BP73" s="21"/>
      <c r="BQ73" s="21"/>
      <c r="BR73" s="114"/>
      <c r="BS73" s="97"/>
      <c r="BT73" s="165"/>
      <c r="BU73" s="165"/>
      <c r="BV73" s="97"/>
      <c r="BW73" s="166"/>
      <c r="BX73" s="107"/>
      <c r="BY73" s="108"/>
      <c r="BZ73" s="109"/>
      <c r="CA73" s="110"/>
      <c r="CB73" s="109"/>
      <c r="CC73" s="114"/>
      <c r="CD73" s="10"/>
      <c r="CE73" s="44"/>
      <c r="CF73" s="91"/>
      <c r="CG73" s="37"/>
      <c r="CH73" s="92"/>
      <c r="CI73" s="309"/>
      <c r="CJ73" s="92"/>
    </row>
    <row r="74" spans="1:143" ht="15.5" customHeight="1" x14ac:dyDescent="0.25">
      <c r="A74" s="32"/>
      <c r="B74" s="115"/>
      <c r="C74" s="344"/>
      <c r="D74" s="95"/>
      <c r="E74" s="117"/>
      <c r="F74" s="65"/>
      <c r="G74" s="65"/>
      <c r="H74" s="66"/>
      <c r="I74" s="66"/>
      <c r="J74" s="65"/>
      <c r="K74" s="214"/>
      <c r="L74" s="214"/>
      <c r="M74" s="214"/>
      <c r="N74" s="214"/>
      <c r="O74" s="66"/>
      <c r="P74" s="66"/>
      <c r="Q74" s="214"/>
      <c r="R74" s="214"/>
      <c r="S74" s="214"/>
      <c r="T74" s="214"/>
      <c r="U74" s="214"/>
      <c r="V74" s="66"/>
      <c r="W74" s="66"/>
      <c r="X74" s="214"/>
      <c r="Y74" s="214"/>
      <c r="Z74" s="214"/>
      <c r="AA74" s="214"/>
      <c r="AB74" s="214"/>
      <c r="AC74" s="66"/>
      <c r="AD74" s="66"/>
      <c r="AE74" s="214"/>
      <c r="AF74" s="214"/>
      <c r="AG74" s="214"/>
      <c r="AH74" s="214"/>
      <c r="AI74" s="214"/>
      <c r="AJ74" s="66"/>
      <c r="AK74" s="66"/>
      <c r="AL74" s="214"/>
      <c r="AM74" s="214"/>
      <c r="AN74" s="214"/>
      <c r="AO74" s="214"/>
      <c r="AP74" s="214"/>
      <c r="AQ74" s="66"/>
      <c r="AR74" s="66"/>
      <c r="AS74" s="214"/>
      <c r="AT74" s="214"/>
      <c r="AU74" s="214"/>
      <c r="AV74" s="214"/>
      <c r="AW74" s="214"/>
      <c r="AX74" s="66"/>
      <c r="AY74" s="66"/>
      <c r="AZ74" s="214"/>
      <c r="BA74" s="214"/>
      <c r="BB74" s="214"/>
      <c r="BC74" s="214"/>
      <c r="BD74" s="214"/>
      <c r="BE74" s="66"/>
      <c r="BF74" s="66"/>
      <c r="BG74" s="214"/>
      <c r="BH74" s="214"/>
      <c r="BI74" s="214"/>
      <c r="BJ74" s="214"/>
      <c r="BK74" s="214"/>
      <c r="BL74" s="66"/>
      <c r="BM74" s="167"/>
      <c r="BN74" s="18"/>
      <c r="BO74" s="119"/>
      <c r="BP74" s="18"/>
      <c r="BQ74" s="18"/>
      <c r="BR74" s="21"/>
      <c r="BS74" s="97"/>
      <c r="BT74" s="155"/>
      <c r="BU74" s="155"/>
      <c r="BV74" s="97"/>
      <c r="BW74" s="15"/>
      <c r="BX74" s="122"/>
      <c r="BY74" s="123"/>
      <c r="BZ74" s="90"/>
      <c r="CA74" s="89"/>
      <c r="CB74" s="90"/>
      <c r="CC74" s="18"/>
      <c r="CD74" s="10"/>
      <c r="CE74" s="44"/>
      <c r="CF74" s="91"/>
      <c r="CG74" s="37"/>
      <c r="CH74" s="92"/>
      <c r="CI74" s="309"/>
      <c r="CJ74" s="92"/>
    </row>
    <row r="75" spans="1:143" ht="15.5" customHeight="1" x14ac:dyDescent="0.25">
      <c r="A75" s="32"/>
      <c r="B75" s="111"/>
      <c r="C75" s="343" t="s">
        <v>154</v>
      </c>
      <c r="D75" s="95" t="s">
        <v>51</v>
      </c>
      <c r="E75" s="39" t="s">
        <v>40</v>
      </c>
      <c r="F75" s="65"/>
      <c r="G75" s="65"/>
      <c r="H75" s="66"/>
      <c r="I75" s="66"/>
      <c r="J75" s="65"/>
      <c r="K75" s="214"/>
      <c r="L75" s="214"/>
      <c r="M75" s="214"/>
      <c r="N75" s="214"/>
      <c r="O75" s="66"/>
      <c r="P75" s="66"/>
      <c r="Q75" s="214"/>
      <c r="R75" s="214"/>
      <c r="S75" s="214"/>
      <c r="T75" s="214"/>
      <c r="U75" s="214"/>
      <c r="V75" s="66"/>
      <c r="W75" s="66"/>
      <c r="X75" s="214"/>
      <c r="Y75" s="214"/>
      <c r="Z75" s="214"/>
      <c r="AA75" s="214"/>
      <c r="AB75" s="214"/>
      <c r="AC75" s="66">
        <v>3</v>
      </c>
      <c r="AD75" s="66">
        <v>3</v>
      </c>
      <c r="AE75" s="66">
        <v>3</v>
      </c>
      <c r="AF75" s="66">
        <v>3</v>
      </c>
      <c r="AG75" s="66">
        <v>3</v>
      </c>
      <c r="AH75" s="66">
        <v>3</v>
      </c>
      <c r="AI75" s="66">
        <v>3</v>
      </c>
      <c r="AJ75" s="66">
        <v>3</v>
      </c>
      <c r="AK75" s="66">
        <v>3</v>
      </c>
      <c r="AL75" s="66">
        <v>3</v>
      </c>
      <c r="AM75" s="66">
        <v>3</v>
      </c>
      <c r="AN75" s="66">
        <v>3</v>
      </c>
      <c r="AO75" s="66">
        <v>3</v>
      </c>
      <c r="AP75" s="66">
        <v>3</v>
      </c>
      <c r="AQ75" s="66">
        <v>3</v>
      </c>
      <c r="AR75" s="66">
        <v>3</v>
      </c>
      <c r="AS75" s="214">
        <v>3</v>
      </c>
      <c r="AT75" s="214">
        <v>3</v>
      </c>
      <c r="AU75" s="214">
        <v>3</v>
      </c>
      <c r="AV75" s="214">
        <v>3</v>
      </c>
      <c r="AW75" s="214">
        <v>3</v>
      </c>
      <c r="AX75" s="66"/>
      <c r="AY75" s="66"/>
      <c r="AZ75" s="214"/>
      <c r="BA75" s="214"/>
      <c r="BB75" s="214"/>
      <c r="BC75" s="214"/>
      <c r="BD75" s="214"/>
      <c r="BE75" s="66"/>
      <c r="BF75" s="66"/>
      <c r="BG75" s="214"/>
      <c r="BH75" s="214"/>
      <c r="BI75" s="214"/>
      <c r="BJ75" s="214"/>
      <c r="BK75" s="214"/>
      <c r="BL75" s="66"/>
      <c r="BM75" s="82">
        <f t="shared" ref="BM75:BM76" si="65">SUM(F75:BL75)</f>
        <v>63</v>
      </c>
      <c r="BN75" s="21">
        <v>6418</v>
      </c>
      <c r="BO75" s="103">
        <v>0.8</v>
      </c>
      <c r="BP75" s="21">
        <f>BN75*(1-BO75)</f>
        <v>1283.5999999999997</v>
      </c>
      <c r="BQ75" s="21">
        <f>BP75*BM75</f>
        <v>80866.799999999974</v>
      </c>
      <c r="BR75" s="21">
        <f>BQ75*0.8</f>
        <v>64693.439999999981</v>
      </c>
      <c r="BS75" s="97"/>
      <c r="BT75" s="161">
        <f>(BR75+BR76)/$BR$94</f>
        <v>6.3384382794179309E-2</v>
      </c>
      <c r="BU75" s="161">
        <v>5.5629448884438701E-2</v>
      </c>
      <c r="BV75" s="97"/>
      <c r="BW75" s="99">
        <f>BX75/CA75*100</f>
        <v>0.22298511258501083</v>
      </c>
      <c r="BX75" s="86">
        <v>36246.54</v>
      </c>
      <c r="BY75" s="87">
        <f>BW75*BM75</f>
        <v>14.048062092855682</v>
      </c>
      <c r="BZ75" s="88">
        <v>11451245</v>
      </c>
      <c r="CA75" s="100">
        <v>16255139</v>
      </c>
      <c r="CB75" s="90">
        <f>CA75*(BY75+BY78)/100</f>
        <v>2283532.0200000005</v>
      </c>
      <c r="CC75" s="21">
        <f>BR75/CB75*1000</f>
        <v>28.330428228459859</v>
      </c>
      <c r="CD75" s="10"/>
      <c r="CE75" s="44" t="s">
        <v>63</v>
      </c>
      <c r="CF75" s="91">
        <f>BP75*0.8</f>
        <v>1026.8799999999999</v>
      </c>
      <c r="CG75" s="37">
        <f t="shared" ref="CG75:CG76" si="66">SUM(F75:AJ75)</f>
        <v>24</v>
      </c>
      <c r="CH75" s="92">
        <f>CF75*CG75</f>
        <v>24645.119999999995</v>
      </c>
      <c r="CI75" s="309">
        <f t="shared" ref="CI75:CI76" si="67">SUM(AK75:BL75)</f>
        <v>39</v>
      </c>
      <c r="CJ75" s="92">
        <f>CI75*CF75</f>
        <v>40048.319999999992</v>
      </c>
      <c r="CK75" s="101" t="b">
        <f>(CH75+CJ75)=BR75</f>
        <v>1</v>
      </c>
    </row>
    <row r="76" spans="1:143" ht="15.5" customHeight="1" x14ac:dyDescent="0.25">
      <c r="A76" s="32"/>
      <c r="B76" s="111"/>
      <c r="C76" s="343"/>
      <c r="D76" s="95" t="s">
        <v>51</v>
      </c>
      <c r="E76" s="39" t="s">
        <v>141</v>
      </c>
      <c r="F76" s="65"/>
      <c r="G76" s="65"/>
      <c r="H76" s="66"/>
      <c r="I76" s="66"/>
      <c r="J76" s="65"/>
      <c r="K76" s="214"/>
      <c r="L76" s="214"/>
      <c r="M76" s="214"/>
      <c r="N76" s="214"/>
      <c r="O76" s="66"/>
      <c r="P76" s="66"/>
      <c r="Q76" s="214"/>
      <c r="R76" s="214"/>
      <c r="S76" s="214"/>
      <c r="T76" s="214"/>
      <c r="U76" s="214"/>
      <c r="V76" s="66"/>
      <c r="W76" s="66"/>
      <c r="X76" s="214">
        <v>1</v>
      </c>
      <c r="Y76" s="214">
        <v>3</v>
      </c>
      <c r="Z76" s="214">
        <v>2</v>
      </c>
      <c r="AA76" s="214">
        <v>2</v>
      </c>
      <c r="AB76" s="214">
        <v>2</v>
      </c>
      <c r="AC76" s="66"/>
      <c r="AD76" s="66"/>
      <c r="AE76" s="214"/>
      <c r="AF76" s="214"/>
      <c r="AG76" s="214"/>
      <c r="AH76" s="214"/>
      <c r="AI76" s="214"/>
      <c r="AJ76" s="66"/>
      <c r="AK76" s="66"/>
      <c r="AL76" s="214"/>
      <c r="AM76" s="214"/>
      <c r="AN76" s="214"/>
      <c r="AO76" s="214"/>
      <c r="AP76" s="214"/>
      <c r="AQ76" s="66"/>
      <c r="AR76" s="66"/>
      <c r="AS76" s="214"/>
      <c r="AT76" s="214"/>
      <c r="AU76" s="214"/>
      <c r="AV76" s="214"/>
      <c r="AW76" s="214"/>
      <c r="AX76" s="66"/>
      <c r="AY76" s="66"/>
      <c r="AZ76" s="214"/>
      <c r="BA76" s="214"/>
      <c r="BB76" s="214"/>
      <c r="BC76" s="214"/>
      <c r="BD76" s="214"/>
      <c r="BE76" s="66"/>
      <c r="BF76" s="66"/>
      <c r="BG76" s="214"/>
      <c r="BH76" s="214"/>
      <c r="BI76" s="214"/>
      <c r="BJ76" s="214"/>
      <c r="BK76" s="214"/>
      <c r="BL76" s="66"/>
      <c r="BM76" s="82">
        <f t="shared" si="65"/>
        <v>10</v>
      </c>
      <c r="BN76" s="21">
        <f>BN75*1.8</f>
        <v>11552.4</v>
      </c>
      <c r="BO76" s="103">
        <v>0.8</v>
      </c>
      <c r="BP76" s="21">
        <f>BN76*(1-BO76)</f>
        <v>2310.4799999999996</v>
      </c>
      <c r="BQ76" s="21">
        <f>BP76*BM76</f>
        <v>23104.799999999996</v>
      </c>
      <c r="BR76" s="21">
        <f>BQ76*0.8</f>
        <v>18483.839999999997</v>
      </c>
      <c r="BS76" s="97"/>
      <c r="BT76" s="161"/>
      <c r="BU76" s="161"/>
      <c r="BV76" s="97"/>
      <c r="BW76" s="99">
        <f>BX76/CA76*100</f>
        <v>0.22298511258501083</v>
      </c>
      <c r="BX76" s="86">
        <v>36246.54</v>
      </c>
      <c r="BY76" s="87">
        <f>BW76*BM76</f>
        <v>2.2298511258501081</v>
      </c>
      <c r="BZ76" s="88">
        <v>11451245</v>
      </c>
      <c r="CA76" s="100">
        <v>16255139</v>
      </c>
      <c r="CB76" s="90">
        <f>CA76*(BY76+BY79)/100</f>
        <v>4594151.88</v>
      </c>
      <c r="CC76" s="21">
        <f>BR76/CB76*1000</f>
        <v>4.0233410829247545</v>
      </c>
      <c r="CD76" s="10"/>
      <c r="CE76" s="44" t="s">
        <v>63</v>
      </c>
      <c r="CF76" s="91">
        <f>BP76*0.8</f>
        <v>1848.3839999999998</v>
      </c>
      <c r="CG76" s="37">
        <f t="shared" si="66"/>
        <v>10</v>
      </c>
      <c r="CH76" s="92">
        <f>CF76*CG76</f>
        <v>18483.839999999997</v>
      </c>
      <c r="CI76" s="309">
        <f t="shared" si="67"/>
        <v>0</v>
      </c>
      <c r="CJ76" s="92">
        <f>CI76*CF76</f>
        <v>0</v>
      </c>
      <c r="CK76" s="101" t="b">
        <f>(CH76+CJ76)=BR76</f>
        <v>1</v>
      </c>
    </row>
    <row r="77" spans="1:143" ht="15.5" customHeight="1" x14ac:dyDescent="0.25">
      <c r="A77" s="32"/>
      <c r="B77" s="111"/>
      <c r="C77" s="343"/>
      <c r="D77" s="95"/>
      <c r="E77" s="39"/>
      <c r="F77" s="65"/>
      <c r="G77" s="65"/>
      <c r="H77" s="66"/>
      <c r="I77" s="66"/>
      <c r="J77" s="65"/>
      <c r="K77" s="214"/>
      <c r="L77" s="214"/>
      <c r="M77" s="214"/>
      <c r="N77" s="214"/>
      <c r="O77" s="66"/>
      <c r="P77" s="66"/>
      <c r="Q77" s="214"/>
      <c r="R77" s="214"/>
      <c r="S77" s="214"/>
      <c r="T77" s="214"/>
      <c r="U77" s="214"/>
      <c r="V77" s="66"/>
      <c r="W77" s="66"/>
      <c r="X77" s="214"/>
      <c r="Y77" s="214"/>
      <c r="Z77" s="214"/>
      <c r="AA77" s="214"/>
      <c r="AB77" s="214"/>
      <c r="AC77" s="66"/>
      <c r="AD77" s="66"/>
      <c r="AE77" s="214"/>
      <c r="AF77" s="214"/>
      <c r="AG77" s="214"/>
      <c r="AH77" s="214"/>
      <c r="AI77" s="214"/>
      <c r="AJ77" s="66"/>
      <c r="AK77" s="66"/>
      <c r="AL77" s="214"/>
      <c r="AM77" s="214"/>
      <c r="AN77" s="214"/>
      <c r="AO77" s="214"/>
      <c r="AP77" s="214"/>
      <c r="AQ77" s="66"/>
      <c r="AR77" s="66"/>
      <c r="AS77" s="214"/>
      <c r="AT77" s="214"/>
      <c r="AU77" s="214"/>
      <c r="AV77" s="214"/>
      <c r="AW77" s="214"/>
      <c r="AX77" s="66"/>
      <c r="AY77" s="66"/>
      <c r="AZ77" s="214"/>
      <c r="BA77" s="214"/>
      <c r="BB77" s="214"/>
      <c r="BC77" s="214"/>
      <c r="BD77" s="214"/>
      <c r="BE77" s="66"/>
      <c r="BF77" s="66"/>
      <c r="BG77" s="214"/>
      <c r="BH77" s="214"/>
      <c r="BI77" s="214"/>
      <c r="BJ77" s="214"/>
      <c r="BK77" s="214"/>
      <c r="BL77" s="66"/>
      <c r="BM77" s="173"/>
      <c r="BN77" s="104"/>
      <c r="BO77" s="174"/>
      <c r="BP77" s="104"/>
      <c r="BQ77" s="104"/>
      <c r="BR77" s="124"/>
      <c r="BS77" s="97"/>
      <c r="BT77" s="125"/>
      <c r="BU77" s="125"/>
      <c r="BV77" s="97"/>
      <c r="BW77" s="166"/>
      <c r="BX77" s="107"/>
      <c r="BY77" s="108"/>
      <c r="BZ77" s="109"/>
      <c r="CA77" s="110"/>
      <c r="CB77" s="109"/>
      <c r="CC77" s="114"/>
      <c r="CD77" s="10"/>
      <c r="CE77" s="44"/>
      <c r="CF77" s="91"/>
      <c r="CG77" s="37"/>
      <c r="CH77" s="92"/>
      <c r="CI77" s="309"/>
      <c r="CJ77" s="92"/>
    </row>
    <row r="78" spans="1:143" ht="15.5" customHeight="1" x14ac:dyDescent="0.25">
      <c r="A78" s="32"/>
      <c r="B78" s="111"/>
      <c r="C78" s="344"/>
      <c r="D78" s="81"/>
      <c r="E78" s="39"/>
      <c r="F78" s="65"/>
      <c r="G78" s="65"/>
      <c r="H78" s="66"/>
      <c r="I78" s="66"/>
      <c r="J78" s="65"/>
      <c r="K78" s="214"/>
      <c r="L78" s="214"/>
      <c r="M78" s="214"/>
      <c r="N78" s="214"/>
      <c r="O78" s="66"/>
      <c r="P78" s="66"/>
      <c r="Q78" s="214"/>
      <c r="R78" s="214"/>
      <c r="S78" s="214"/>
      <c r="T78" s="214"/>
      <c r="U78" s="214"/>
      <c r="V78" s="66"/>
      <c r="W78" s="66"/>
      <c r="X78" s="214"/>
      <c r="Y78" s="214"/>
      <c r="Z78" s="214"/>
      <c r="AA78" s="214"/>
      <c r="AB78" s="214"/>
      <c r="AC78" s="66"/>
      <c r="AD78" s="66"/>
      <c r="AE78" s="214"/>
      <c r="AF78" s="214"/>
      <c r="AG78" s="214"/>
      <c r="AH78" s="214"/>
      <c r="AI78" s="214"/>
      <c r="AJ78" s="66"/>
      <c r="AK78" s="66"/>
      <c r="AL78" s="214"/>
      <c r="AM78" s="214"/>
      <c r="AN78" s="214"/>
      <c r="AO78" s="214"/>
      <c r="AP78" s="214"/>
      <c r="AQ78" s="66"/>
      <c r="AR78" s="66"/>
      <c r="AS78" s="214"/>
      <c r="AT78" s="214"/>
      <c r="AU78" s="214"/>
      <c r="AV78" s="214"/>
      <c r="AW78" s="214"/>
      <c r="AX78" s="66"/>
      <c r="AY78" s="66"/>
      <c r="AZ78" s="214"/>
      <c r="BA78" s="214"/>
      <c r="BB78" s="214"/>
      <c r="BC78" s="214"/>
      <c r="BD78" s="214"/>
      <c r="BE78" s="66"/>
      <c r="BF78" s="66"/>
      <c r="BG78" s="214"/>
      <c r="BH78" s="214"/>
      <c r="BI78" s="214"/>
      <c r="BJ78" s="214"/>
      <c r="BK78" s="214"/>
      <c r="BL78" s="66"/>
      <c r="BM78" s="175"/>
      <c r="BN78" s="22"/>
      <c r="BO78" s="103"/>
      <c r="BP78" s="22"/>
      <c r="BQ78" s="22"/>
      <c r="BR78" s="22"/>
      <c r="BS78" s="97"/>
      <c r="BT78" s="126"/>
      <c r="BU78" s="126"/>
      <c r="BV78" s="97"/>
      <c r="BW78" s="15"/>
      <c r="BX78" s="122"/>
      <c r="BY78" s="123"/>
      <c r="BZ78" s="90"/>
      <c r="CA78" s="89"/>
      <c r="CB78" s="90"/>
      <c r="CC78" s="18"/>
      <c r="CD78" s="10"/>
      <c r="CE78" s="44"/>
      <c r="CF78" s="91"/>
      <c r="CG78" s="37"/>
      <c r="CH78" s="92"/>
      <c r="CI78" s="309"/>
      <c r="CJ78" s="92"/>
    </row>
    <row r="79" spans="1:143" ht="15.5" customHeight="1" x14ac:dyDescent="0.25">
      <c r="A79" s="32"/>
      <c r="B79" s="111"/>
      <c r="C79" s="343" t="s">
        <v>64</v>
      </c>
      <c r="D79" s="95" t="s">
        <v>51</v>
      </c>
      <c r="E79" s="39" t="s">
        <v>40</v>
      </c>
      <c r="F79" s="65"/>
      <c r="G79" s="65"/>
      <c r="H79" s="66"/>
      <c r="I79" s="66"/>
      <c r="J79" s="65"/>
      <c r="K79" s="214"/>
      <c r="L79" s="214"/>
      <c r="M79" s="214"/>
      <c r="N79" s="214"/>
      <c r="O79" s="66"/>
      <c r="P79" s="66"/>
      <c r="Q79" s="214"/>
      <c r="R79" s="214"/>
      <c r="S79" s="214"/>
      <c r="T79" s="214"/>
      <c r="U79" s="214"/>
      <c r="V79" s="66"/>
      <c r="W79" s="66"/>
      <c r="X79" s="214"/>
      <c r="Y79" s="214"/>
      <c r="Z79" s="214"/>
      <c r="AA79" s="214"/>
      <c r="AB79" s="214"/>
      <c r="AC79" s="66">
        <v>4</v>
      </c>
      <c r="AD79" s="66">
        <v>4</v>
      </c>
      <c r="AE79" s="214">
        <v>4</v>
      </c>
      <c r="AF79" s="214">
        <v>4</v>
      </c>
      <c r="AG79" s="214">
        <v>4</v>
      </c>
      <c r="AH79" s="214">
        <v>4</v>
      </c>
      <c r="AI79" s="214">
        <v>4</v>
      </c>
      <c r="AJ79" s="66">
        <v>4</v>
      </c>
      <c r="AK79" s="66">
        <v>4</v>
      </c>
      <c r="AL79" s="214">
        <v>4</v>
      </c>
      <c r="AM79" s="214">
        <v>4</v>
      </c>
      <c r="AN79" s="214">
        <v>4</v>
      </c>
      <c r="AO79" s="214">
        <v>4</v>
      </c>
      <c r="AP79" s="214">
        <v>4</v>
      </c>
      <c r="AQ79" s="66">
        <v>4</v>
      </c>
      <c r="AR79" s="66">
        <v>4</v>
      </c>
      <c r="AS79" s="214">
        <v>4</v>
      </c>
      <c r="AT79" s="214">
        <v>4</v>
      </c>
      <c r="AU79" s="214">
        <v>4</v>
      </c>
      <c r="AV79" s="214">
        <v>4</v>
      </c>
      <c r="AW79" s="214">
        <v>4</v>
      </c>
      <c r="AX79" s="66"/>
      <c r="AY79" s="66"/>
      <c r="AZ79" s="214"/>
      <c r="BA79" s="214"/>
      <c r="BB79" s="214"/>
      <c r="BC79" s="214"/>
      <c r="BD79" s="214"/>
      <c r="BE79" s="66"/>
      <c r="BF79" s="66"/>
      <c r="BG79" s="214"/>
      <c r="BH79" s="214"/>
      <c r="BI79" s="214"/>
      <c r="BJ79" s="214"/>
      <c r="BK79" s="214"/>
      <c r="BL79" s="66"/>
      <c r="BM79" s="82">
        <f t="shared" ref="BM79:BM80" si="68">SUM(F79:BL79)</f>
        <v>84</v>
      </c>
      <c r="BN79" s="22">
        <v>2166</v>
      </c>
      <c r="BO79" s="103">
        <v>0.73</v>
      </c>
      <c r="BP79" s="22">
        <f>BN79*(1-BO79)</f>
        <v>584.82000000000005</v>
      </c>
      <c r="BQ79" s="176">
        <f>BP79*BM79</f>
        <v>49124.880000000005</v>
      </c>
      <c r="BR79" s="21">
        <f>BQ79*0.8</f>
        <v>39299.90400000001</v>
      </c>
      <c r="BS79" s="97"/>
      <c r="BT79" s="161">
        <f>(BR79+BR80)/$BR$94</f>
        <v>3.7078580050244149E-2</v>
      </c>
      <c r="BU79" s="155">
        <v>3.6231216687996198E-2</v>
      </c>
      <c r="BV79" s="97"/>
      <c r="BW79" s="99">
        <f>BX79/CA79*100</f>
        <v>0.30991565190552972</v>
      </c>
      <c r="BX79" s="86">
        <v>50377.22</v>
      </c>
      <c r="BY79" s="87">
        <f>BW79*BM79</f>
        <v>26.032914760064497</v>
      </c>
      <c r="BZ79" s="88">
        <v>11451245</v>
      </c>
      <c r="CA79" s="100">
        <v>16255139</v>
      </c>
      <c r="CB79" s="90">
        <f>CA79*BY79/100</f>
        <v>4231686.4800000004</v>
      </c>
      <c r="CC79" s="21">
        <f>BR79/CB79*1000</f>
        <v>9.2870547441879499</v>
      </c>
      <c r="CD79" s="10"/>
      <c r="CE79" s="44" t="s">
        <v>64</v>
      </c>
      <c r="CF79" s="91">
        <f>BP79*0.8</f>
        <v>467.85600000000005</v>
      </c>
      <c r="CG79" s="37">
        <f t="shared" ref="CG79:CG80" si="69">SUM(F79:AJ79)</f>
        <v>32</v>
      </c>
      <c r="CH79" s="92">
        <f>CF79*CG79</f>
        <v>14971.392000000002</v>
      </c>
      <c r="CI79" s="309">
        <f t="shared" ref="CI79:CI80" si="70">SUM(AK79:BL79)</f>
        <v>52</v>
      </c>
      <c r="CJ79" s="92">
        <f>CI79*CF79</f>
        <v>24328.512000000002</v>
      </c>
      <c r="CK79" s="101" t="b">
        <f>(CH79+CJ79)=BR79</f>
        <v>1</v>
      </c>
    </row>
    <row r="80" spans="1:143" ht="15.5" customHeight="1" x14ac:dyDescent="0.25">
      <c r="A80" s="32"/>
      <c r="B80" s="111"/>
      <c r="C80" s="343"/>
      <c r="D80" s="95" t="s">
        <v>51</v>
      </c>
      <c r="E80" s="39" t="s">
        <v>141</v>
      </c>
      <c r="F80" s="65"/>
      <c r="G80" s="65"/>
      <c r="H80" s="66"/>
      <c r="I80" s="66"/>
      <c r="J80" s="65"/>
      <c r="K80" s="214"/>
      <c r="L80" s="214"/>
      <c r="M80" s="214"/>
      <c r="N80" s="214"/>
      <c r="O80" s="66"/>
      <c r="P80" s="66"/>
      <c r="Q80" s="214"/>
      <c r="R80" s="214"/>
      <c r="S80" s="214"/>
      <c r="T80" s="214"/>
      <c r="U80" s="214"/>
      <c r="V80" s="66"/>
      <c r="W80" s="66"/>
      <c r="X80" s="214">
        <v>1</v>
      </c>
      <c r="Y80" s="214">
        <v>3</v>
      </c>
      <c r="Z80" s="214">
        <v>2</v>
      </c>
      <c r="AA80" s="214">
        <v>2</v>
      </c>
      <c r="AB80" s="214">
        <v>2</v>
      </c>
      <c r="AC80" s="66"/>
      <c r="AD80" s="66"/>
      <c r="AE80" s="214"/>
      <c r="AF80" s="214"/>
      <c r="AG80" s="214"/>
      <c r="AH80" s="214"/>
      <c r="AI80" s="214"/>
      <c r="AJ80" s="66"/>
      <c r="AK80" s="66"/>
      <c r="AL80" s="214"/>
      <c r="AM80" s="214"/>
      <c r="AN80" s="214"/>
      <c r="AO80" s="214"/>
      <c r="AP80" s="214"/>
      <c r="AQ80" s="66"/>
      <c r="AR80" s="66"/>
      <c r="AS80" s="214"/>
      <c r="AT80" s="214"/>
      <c r="AU80" s="214"/>
      <c r="AV80" s="214"/>
      <c r="AW80" s="214"/>
      <c r="AX80" s="66"/>
      <c r="AY80" s="66"/>
      <c r="AZ80" s="214"/>
      <c r="BA80" s="214"/>
      <c r="BB80" s="214"/>
      <c r="BC80" s="214"/>
      <c r="BD80" s="214"/>
      <c r="BE80" s="66"/>
      <c r="BF80" s="66"/>
      <c r="BG80" s="214"/>
      <c r="BH80" s="214"/>
      <c r="BI80" s="214"/>
      <c r="BJ80" s="214"/>
      <c r="BK80" s="214"/>
      <c r="BL80" s="66"/>
      <c r="BM80" s="82">
        <f t="shared" si="68"/>
        <v>10</v>
      </c>
      <c r="BN80" s="22">
        <f>BN79*2</f>
        <v>4332</v>
      </c>
      <c r="BO80" s="103">
        <v>0.73</v>
      </c>
      <c r="BP80" s="22">
        <f>BN80*(1-BO80)</f>
        <v>1169.6400000000001</v>
      </c>
      <c r="BQ80" s="176">
        <f>BP80*BM80</f>
        <v>11696.400000000001</v>
      </c>
      <c r="BR80" s="21">
        <f>BQ80*0.8</f>
        <v>9357.1200000000008</v>
      </c>
      <c r="BS80" s="97"/>
      <c r="BT80" s="155"/>
      <c r="BU80" s="155"/>
      <c r="BV80" s="97"/>
      <c r="BW80" s="99">
        <f>BX80/CA80*100</f>
        <v>0.30991565190552972</v>
      </c>
      <c r="BX80" s="86">
        <v>50377.22</v>
      </c>
      <c r="BY80" s="87">
        <f>BW80*BM80</f>
        <v>3.0991565190552972</v>
      </c>
      <c r="BZ80" s="88">
        <v>11451245</v>
      </c>
      <c r="CA80" s="100">
        <v>16255139</v>
      </c>
      <c r="CB80" s="90">
        <f>CA80*BY80/100</f>
        <v>503772.20000000007</v>
      </c>
      <c r="CC80" s="21">
        <f>BR80/CB80*1000</f>
        <v>18.574109488375896</v>
      </c>
      <c r="CD80" s="10"/>
      <c r="CE80" s="44" t="s">
        <v>64</v>
      </c>
      <c r="CF80" s="91">
        <f>BP80*0.8</f>
        <v>935.7120000000001</v>
      </c>
      <c r="CG80" s="37">
        <f t="shared" si="69"/>
        <v>10</v>
      </c>
      <c r="CH80" s="92">
        <f>CF80*CG80</f>
        <v>9357.1200000000008</v>
      </c>
      <c r="CI80" s="309">
        <f t="shared" si="70"/>
        <v>0</v>
      </c>
      <c r="CJ80" s="92">
        <f>CI80*CF80</f>
        <v>0</v>
      </c>
      <c r="CK80" s="101" t="b">
        <f>(CH80+CJ80)=BR80</f>
        <v>1</v>
      </c>
    </row>
    <row r="81" spans="1:89" ht="15.5" customHeight="1" x14ac:dyDescent="0.25">
      <c r="A81" s="32"/>
      <c r="B81" s="111"/>
      <c r="C81" s="343"/>
      <c r="D81" s="95"/>
      <c r="E81" s="39"/>
      <c r="F81" s="65"/>
      <c r="G81" s="65"/>
      <c r="H81" s="66"/>
      <c r="I81" s="66"/>
      <c r="J81" s="65"/>
      <c r="K81" s="214"/>
      <c r="L81" s="214"/>
      <c r="M81" s="214"/>
      <c r="N81" s="214"/>
      <c r="O81" s="66"/>
      <c r="P81" s="66"/>
      <c r="Q81" s="214"/>
      <c r="R81" s="214"/>
      <c r="S81" s="214"/>
      <c r="T81" s="214"/>
      <c r="U81" s="214"/>
      <c r="V81" s="66"/>
      <c r="W81" s="66"/>
      <c r="X81" s="214"/>
      <c r="Y81" s="214"/>
      <c r="Z81" s="214"/>
      <c r="AA81" s="214"/>
      <c r="AB81" s="214"/>
      <c r="AC81" s="66"/>
      <c r="AD81" s="66"/>
      <c r="AE81" s="214"/>
      <c r="AF81" s="214"/>
      <c r="AG81" s="214"/>
      <c r="AH81" s="214"/>
      <c r="AI81" s="214"/>
      <c r="AJ81" s="66"/>
      <c r="AK81" s="66"/>
      <c r="AL81" s="214"/>
      <c r="AM81" s="214"/>
      <c r="AN81" s="214"/>
      <c r="AO81" s="214"/>
      <c r="AP81" s="214"/>
      <c r="AQ81" s="66"/>
      <c r="AR81" s="66"/>
      <c r="AS81" s="214"/>
      <c r="AT81" s="214"/>
      <c r="AU81" s="214"/>
      <c r="AV81" s="214"/>
      <c r="AW81" s="214"/>
      <c r="AX81" s="66"/>
      <c r="AY81" s="66"/>
      <c r="AZ81" s="214"/>
      <c r="BA81" s="214"/>
      <c r="BB81" s="214"/>
      <c r="BC81" s="214"/>
      <c r="BD81" s="214"/>
      <c r="BE81" s="66"/>
      <c r="BF81" s="66"/>
      <c r="BG81" s="214"/>
      <c r="BH81" s="214"/>
      <c r="BI81" s="214"/>
      <c r="BJ81" s="214"/>
      <c r="BK81" s="214"/>
      <c r="BL81" s="66"/>
      <c r="BM81" s="173"/>
      <c r="BN81" s="104"/>
      <c r="BO81" s="174"/>
      <c r="BP81" s="104"/>
      <c r="BQ81" s="104"/>
      <c r="BR81" s="124"/>
      <c r="BS81" s="97"/>
      <c r="BT81" s="125"/>
      <c r="BU81" s="125"/>
      <c r="BV81" s="97"/>
      <c r="BW81" s="166"/>
      <c r="BX81" s="107"/>
      <c r="BY81" s="108"/>
      <c r="BZ81" s="109"/>
      <c r="CA81" s="110"/>
      <c r="CB81" s="109"/>
      <c r="CC81" s="114"/>
      <c r="CD81" s="10"/>
      <c r="CE81" s="44"/>
      <c r="CF81" s="91"/>
      <c r="CG81" s="37"/>
      <c r="CH81" s="92"/>
      <c r="CI81" s="309"/>
      <c r="CJ81" s="92"/>
    </row>
    <row r="82" spans="1:89" ht="15.5" customHeight="1" x14ac:dyDescent="0.25">
      <c r="A82" s="32"/>
      <c r="B82" s="111"/>
      <c r="C82" s="344"/>
      <c r="D82" s="81"/>
      <c r="E82" s="39"/>
      <c r="F82" s="65"/>
      <c r="G82" s="65"/>
      <c r="H82" s="66"/>
      <c r="I82" s="66"/>
      <c r="J82" s="65"/>
      <c r="K82" s="214"/>
      <c r="L82" s="214"/>
      <c r="M82" s="214"/>
      <c r="N82" s="214"/>
      <c r="O82" s="66"/>
      <c r="P82" s="66"/>
      <c r="Q82" s="214"/>
      <c r="R82" s="214"/>
      <c r="S82" s="214"/>
      <c r="T82" s="214"/>
      <c r="U82" s="214"/>
      <c r="V82" s="66"/>
      <c r="W82" s="66"/>
      <c r="X82" s="214"/>
      <c r="Y82" s="214"/>
      <c r="Z82" s="214"/>
      <c r="AA82" s="214"/>
      <c r="AB82" s="214"/>
      <c r="AC82" s="66"/>
      <c r="AD82" s="66"/>
      <c r="AE82" s="214"/>
      <c r="AF82" s="214"/>
      <c r="AG82" s="214"/>
      <c r="AH82" s="214"/>
      <c r="AI82" s="214"/>
      <c r="AJ82" s="66"/>
      <c r="AK82" s="66"/>
      <c r="AL82" s="214"/>
      <c r="AM82" s="214"/>
      <c r="AN82" s="214"/>
      <c r="AO82" s="214"/>
      <c r="AP82" s="214"/>
      <c r="AQ82" s="66"/>
      <c r="AR82" s="66"/>
      <c r="AS82" s="214"/>
      <c r="AT82" s="214"/>
      <c r="AU82" s="214"/>
      <c r="AV82" s="214"/>
      <c r="AW82" s="214"/>
      <c r="AX82" s="66"/>
      <c r="AY82" s="66"/>
      <c r="AZ82" s="214"/>
      <c r="BA82" s="214"/>
      <c r="BB82" s="214"/>
      <c r="BC82" s="214"/>
      <c r="BD82" s="214"/>
      <c r="BE82" s="66"/>
      <c r="BF82" s="66"/>
      <c r="BG82" s="214"/>
      <c r="BH82" s="214"/>
      <c r="BI82" s="214"/>
      <c r="BJ82" s="214"/>
      <c r="BK82" s="214"/>
      <c r="BL82" s="66"/>
      <c r="BM82" s="82"/>
      <c r="BN82" s="22"/>
      <c r="BO82" s="103"/>
      <c r="BP82" s="22"/>
      <c r="BQ82" s="22"/>
      <c r="BR82" s="84"/>
      <c r="BS82" s="97"/>
      <c r="BT82" s="98"/>
      <c r="BU82" s="98"/>
      <c r="BV82" s="97"/>
      <c r="BW82" s="15"/>
      <c r="BX82" s="122"/>
      <c r="BY82" s="123"/>
      <c r="BZ82" s="90"/>
      <c r="CA82" s="89"/>
      <c r="CB82" s="90"/>
      <c r="CC82" s="18"/>
      <c r="CD82" s="10"/>
      <c r="CE82" s="44"/>
      <c r="CF82" s="91"/>
      <c r="CG82" s="37"/>
      <c r="CH82" s="92"/>
      <c r="CI82" s="309"/>
      <c r="CJ82" s="92"/>
    </row>
    <row r="83" spans="1:89" ht="15.5" customHeight="1" x14ac:dyDescent="0.25">
      <c r="A83" s="32"/>
      <c r="B83" s="111"/>
      <c r="C83" s="343" t="s">
        <v>65</v>
      </c>
      <c r="D83" s="95" t="s">
        <v>326</v>
      </c>
      <c r="E83" s="39" t="s">
        <v>40</v>
      </c>
      <c r="F83" s="65"/>
      <c r="G83" s="65"/>
      <c r="H83" s="66"/>
      <c r="I83" s="66"/>
      <c r="J83" s="65"/>
      <c r="K83" s="214"/>
      <c r="L83" s="214"/>
      <c r="M83" s="214"/>
      <c r="N83" s="214"/>
      <c r="O83" s="66"/>
      <c r="P83" s="66"/>
      <c r="Q83" s="214"/>
      <c r="R83" s="214"/>
      <c r="S83" s="214"/>
      <c r="T83" s="214"/>
      <c r="U83" s="214"/>
      <c r="V83" s="66"/>
      <c r="W83" s="66"/>
      <c r="X83" s="214"/>
      <c r="Y83" s="214"/>
      <c r="Z83" s="214"/>
      <c r="AA83" s="214"/>
      <c r="AB83" s="214"/>
      <c r="AC83" s="66">
        <v>4</v>
      </c>
      <c r="AD83" s="66">
        <v>4</v>
      </c>
      <c r="AE83" s="214">
        <v>4</v>
      </c>
      <c r="AF83" s="214">
        <v>4</v>
      </c>
      <c r="AG83" s="214">
        <v>4</v>
      </c>
      <c r="AH83" s="214">
        <v>4</v>
      </c>
      <c r="AI83" s="214">
        <v>4</v>
      </c>
      <c r="AJ83" s="66">
        <v>4</v>
      </c>
      <c r="AK83" s="66">
        <v>4</v>
      </c>
      <c r="AL83" s="214">
        <v>4</v>
      </c>
      <c r="AM83" s="214">
        <v>4</v>
      </c>
      <c r="AN83" s="214">
        <v>4</v>
      </c>
      <c r="AO83" s="214">
        <v>4</v>
      </c>
      <c r="AP83" s="214">
        <v>4</v>
      </c>
      <c r="AQ83" s="66">
        <v>4</v>
      </c>
      <c r="AR83" s="66">
        <v>4</v>
      </c>
      <c r="AS83" s="214">
        <v>4</v>
      </c>
      <c r="AT83" s="214">
        <v>4</v>
      </c>
      <c r="AU83" s="214">
        <v>4</v>
      </c>
      <c r="AV83" s="214">
        <v>4</v>
      </c>
      <c r="AW83" s="214">
        <v>4</v>
      </c>
      <c r="AX83" s="66"/>
      <c r="AY83" s="66"/>
      <c r="AZ83" s="214"/>
      <c r="BA83" s="214"/>
      <c r="BB83" s="214"/>
      <c r="BC83" s="214"/>
      <c r="BD83" s="214"/>
      <c r="BE83" s="66"/>
      <c r="BF83" s="66"/>
      <c r="BG83" s="214"/>
      <c r="BH83" s="214"/>
      <c r="BI83" s="214"/>
      <c r="BJ83" s="214"/>
      <c r="BK83" s="214"/>
      <c r="BL83" s="66"/>
      <c r="BM83" s="82">
        <f t="shared" ref="BM83:BM84" si="71">SUM(F83:BL83)</f>
        <v>84</v>
      </c>
      <c r="BN83" s="22">
        <v>3316.2</v>
      </c>
      <c r="BO83" s="103">
        <v>0.75</v>
      </c>
      <c r="BP83" s="22">
        <f>BN83*(1-BO83)</f>
        <v>829.05</v>
      </c>
      <c r="BQ83" s="22">
        <f>BP83*BM83</f>
        <v>69640.2</v>
      </c>
      <c r="BR83" s="21">
        <f>BQ83*0.8</f>
        <v>55712.160000000003</v>
      </c>
      <c r="BS83" s="97"/>
      <c r="BT83" s="161">
        <f>(BR83+BR84)/$BR$94</f>
        <v>5.256317634597809E-2</v>
      </c>
      <c r="BU83" s="161">
        <v>9.9775299275859694E-2</v>
      </c>
      <c r="BV83" s="97"/>
      <c r="BW83" s="99">
        <f>BX83/CA83*100</f>
        <v>0.72225343628251959</v>
      </c>
      <c r="BX83" s="86">
        <v>117403.3</v>
      </c>
      <c r="BY83" s="87">
        <f>BW83*BM83</f>
        <v>60.669288647731648</v>
      </c>
      <c r="BZ83" s="88">
        <v>11451245</v>
      </c>
      <c r="CA83" s="100">
        <v>16255139</v>
      </c>
      <c r="CB83" s="90">
        <f>CA83*BY83/100</f>
        <v>9861877.1999999993</v>
      </c>
      <c r="CC83" s="21">
        <f>BR83/CB83*1000</f>
        <v>5.6492449530805358</v>
      </c>
      <c r="CD83" s="10"/>
      <c r="CE83" s="44" t="s">
        <v>65</v>
      </c>
      <c r="CF83" s="91">
        <f>BP83*0.8</f>
        <v>663.24</v>
      </c>
      <c r="CG83" s="37">
        <f t="shared" ref="CG83:CG84" si="72">SUM(F83:AJ83)</f>
        <v>32</v>
      </c>
      <c r="CH83" s="92">
        <f>CF83*CG83</f>
        <v>21223.68</v>
      </c>
      <c r="CI83" s="309">
        <f t="shared" ref="CI83:CI84" si="73">SUM(AK83:BL83)</f>
        <v>52</v>
      </c>
      <c r="CJ83" s="92">
        <f>CI83*CF83</f>
        <v>34488.480000000003</v>
      </c>
      <c r="CK83" s="101" t="b">
        <f>(CH83+CJ83)=BR83</f>
        <v>1</v>
      </c>
    </row>
    <row r="84" spans="1:89" ht="15.5" customHeight="1" x14ac:dyDescent="0.25">
      <c r="A84" s="32"/>
      <c r="B84" s="111"/>
      <c r="C84" s="343"/>
      <c r="D84" s="95" t="s">
        <v>326</v>
      </c>
      <c r="E84" s="39" t="s">
        <v>141</v>
      </c>
      <c r="F84" s="65"/>
      <c r="G84" s="65"/>
      <c r="H84" s="66"/>
      <c r="I84" s="66"/>
      <c r="J84" s="65"/>
      <c r="K84" s="214"/>
      <c r="L84" s="214"/>
      <c r="M84" s="214"/>
      <c r="N84" s="214"/>
      <c r="O84" s="66"/>
      <c r="P84" s="66"/>
      <c r="Q84" s="214"/>
      <c r="R84" s="214"/>
      <c r="S84" s="214"/>
      <c r="T84" s="214"/>
      <c r="U84" s="214"/>
      <c r="V84" s="66"/>
      <c r="W84" s="66"/>
      <c r="X84" s="214">
        <v>1</v>
      </c>
      <c r="Y84" s="214">
        <v>3</v>
      </c>
      <c r="Z84" s="214">
        <v>2</v>
      </c>
      <c r="AA84" s="214">
        <v>2</v>
      </c>
      <c r="AB84" s="214">
        <v>2</v>
      </c>
      <c r="AC84" s="66"/>
      <c r="AD84" s="66"/>
      <c r="AE84" s="214"/>
      <c r="AF84" s="214"/>
      <c r="AG84" s="214"/>
      <c r="AH84" s="214"/>
      <c r="AI84" s="214"/>
      <c r="AJ84" s="66"/>
      <c r="AK84" s="66"/>
      <c r="AL84" s="214"/>
      <c r="AM84" s="214"/>
      <c r="AN84" s="214"/>
      <c r="AO84" s="214"/>
      <c r="AP84" s="214"/>
      <c r="AQ84" s="66"/>
      <c r="AR84" s="66"/>
      <c r="AS84" s="214"/>
      <c r="AT84" s="214"/>
      <c r="AU84" s="214"/>
      <c r="AV84" s="214"/>
      <c r="AW84" s="214"/>
      <c r="AX84" s="66"/>
      <c r="AY84" s="66"/>
      <c r="AZ84" s="214"/>
      <c r="BA84" s="214"/>
      <c r="BB84" s="214"/>
      <c r="BC84" s="214"/>
      <c r="BD84" s="214"/>
      <c r="BE84" s="66"/>
      <c r="BF84" s="66"/>
      <c r="BG84" s="214"/>
      <c r="BH84" s="214"/>
      <c r="BI84" s="214"/>
      <c r="BJ84" s="214"/>
      <c r="BK84" s="214"/>
      <c r="BL84" s="66"/>
      <c r="BM84" s="82">
        <f t="shared" si="71"/>
        <v>10</v>
      </c>
      <c r="BN84" s="22">
        <f>BN83*2</f>
        <v>6632.4</v>
      </c>
      <c r="BO84" s="103">
        <v>0.75</v>
      </c>
      <c r="BP84" s="22">
        <f>BN84*(1-BO84)</f>
        <v>1658.1</v>
      </c>
      <c r="BQ84" s="22">
        <f>BP84*BM84</f>
        <v>16581</v>
      </c>
      <c r="BR84" s="21">
        <f>BQ84*0.8</f>
        <v>13264.800000000001</v>
      </c>
      <c r="BS84" s="97"/>
      <c r="BT84" s="161"/>
      <c r="BU84" s="161"/>
      <c r="BV84" s="97"/>
      <c r="BW84" s="99">
        <f>BX84/CA84*100</f>
        <v>0.72225343628251959</v>
      </c>
      <c r="BX84" s="86">
        <v>117403.3</v>
      </c>
      <c r="BY84" s="87">
        <f>BW84*BM84</f>
        <v>7.2225343628251961</v>
      </c>
      <c r="BZ84" s="88">
        <v>11451245</v>
      </c>
      <c r="CA84" s="100">
        <v>16255139</v>
      </c>
      <c r="CB84" s="90">
        <f>CA84*BY84/100</f>
        <v>1174033</v>
      </c>
      <c r="CC84" s="21">
        <f>BR84/CB84*1000</f>
        <v>11.298489906161072</v>
      </c>
      <c r="CD84" s="10"/>
      <c r="CE84" s="44" t="s">
        <v>65</v>
      </c>
      <c r="CF84" s="91">
        <f>BP84*0.8</f>
        <v>1326.48</v>
      </c>
      <c r="CG84" s="37">
        <f t="shared" si="72"/>
        <v>10</v>
      </c>
      <c r="CH84" s="92">
        <f>CF84*CG84</f>
        <v>13264.8</v>
      </c>
      <c r="CI84" s="309">
        <f t="shared" si="73"/>
        <v>0</v>
      </c>
      <c r="CJ84" s="92">
        <f>CI84*CF84</f>
        <v>0</v>
      </c>
      <c r="CK84" s="101" t="b">
        <f>(CH84+CJ84)=BR84</f>
        <v>1</v>
      </c>
    </row>
    <row r="85" spans="1:89" ht="15.5" customHeight="1" x14ac:dyDescent="0.25">
      <c r="A85" s="32"/>
      <c r="B85" s="111"/>
      <c r="C85" s="343"/>
      <c r="D85" s="95"/>
      <c r="E85" s="39"/>
      <c r="F85" s="65"/>
      <c r="G85" s="65"/>
      <c r="H85" s="66"/>
      <c r="I85" s="66"/>
      <c r="J85" s="65"/>
      <c r="K85" s="214"/>
      <c r="L85" s="214"/>
      <c r="M85" s="214"/>
      <c r="N85" s="214"/>
      <c r="O85" s="66"/>
      <c r="P85" s="66"/>
      <c r="Q85" s="214"/>
      <c r="R85" s="214"/>
      <c r="S85" s="214"/>
      <c r="T85" s="214"/>
      <c r="U85" s="214"/>
      <c r="V85" s="66"/>
      <c r="W85" s="66"/>
      <c r="X85" s="214"/>
      <c r="Y85" s="214"/>
      <c r="Z85" s="214"/>
      <c r="AA85" s="214"/>
      <c r="AB85" s="214"/>
      <c r="AC85" s="66"/>
      <c r="AD85" s="66"/>
      <c r="AE85" s="214"/>
      <c r="AF85" s="214"/>
      <c r="AG85" s="214"/>
      <c r="AH85" s="214"/>
      <c r="AI85" s="214"/>
      <c r="AJ85" s="66"/>
      <c r="AK85" s="66"/>
      <c r="AL85" s="214"/>
      <c r="AM85" s="214"/>
      <c r="AN85" s="214"/>
      <c r="AO85" s="214"/>
      <c r="AP85" s="214"/>
      <c r="AQ85" s="66"/>
      <c r="AR85" s="66"/>
      <c r="AS85" s="214"/>
      <c r="AT85" s="214"/>
      <c r="AU85" s="214"/>
      <c r="AV85" s="214"/>
      <c r="AW85" s="214"/>
      <c r="AX85" s="66"/>
      <c r="AY85" s="66"/>
      <c r="AZ85" s="214"/>
      <c r="BA85" s="214"/>
      <c r="BB85" s="214"/>
      <c r="BC85" s="214"/>
      <c r="BD85" s="214"/>
      <c r="BE85" s="66"/>
      <c r="BF85" s="66"/>
      <c r="BG85" s="214"/>
      <c r="BH85" s="214"/>
      <c r="BI85" s="214"/>
      <c r="BJ85" s="214"/>
      <c r="BK85" s="214"/>
      <c r="BL85" s="66"/>
      <c r="BM85" s="82"/>
      <c r="BN85" s="22"/>
      <c r="BO85" s="103"/>
      <c r="BP85" s="22"/>
      <c r="BQ85" s="22"/>
      <c r="BR85" s="104"/>
      <c r="BS85" s="97"/>
      <c r="BT85" s="105"/>
      <c r="BU85" s="105"/>
      <c r="BV85" s="97"/>
      <c r="BW85" s="166"/>
      <c r="BX85" s="107"/>
      <c r="BY85" s="108"/>
      <c r="BZ85" s="109"/>
      <c r="CA85" s="110"/>
      <c r="CB85" s="109"/>
      <c r="CC85" s="114"/>
      <c r="CD85" s="10"/>
      <c r="CE85" s="44"/>
      <c r="CF85" s="91"/>
      <c r="CG85" s="37"/>
      <c r="CH85" s="92"/>
      <c r="CI85" s="309"/>
      <c r="CJ85" s="92"/>
    </row>
    <row r="86" spans="1:89" ht="15.5" customHeight="1" x14ac:dyDescent="0.25">
      <c r="A86" s="32"/>
      <c r="B86" s="115"/>
      <c r="C86" s="344"/>
      <c r="D86" s="95"/>
      <c r="E86" s="117"/>
      <c r="F86" s="65"/>
      <c r="G86" s="65"/>
      <c r="H86" s="66"/>
      <c r="I86" s="66"/>
      <c r="J86" s="65"/>
      <c r="K86" s="214"/>
      <c r="L86" s="214"/>
      <c r="M86" s="214"/>
      <c r="N86" s="214"/>
      <c r="O86" s="66"/>
      <c r="P86" s="66"/>
      <c r="Q86" s="214"/>
      <c r="R86" s="214"/>
      <c r="S86" s="214"/>
      <c r="T86" s="214"/>
      <c r="U86" s="214"/>
      <c r="V86" s="66"/>
      <c r="W86" s="66"/>
      <c r="X86" s="214"/>
      <c r="Y86" s="214"/>
      <c r="Z86" s="214"/>
      <c r="AA86" s="214"/>
      <c r="AB86" s="214"/>
      <c r="AC86" s="66"/>
      <c r="AD86" s="66"/>
      <c r="AE86" s="214"/>
      <c r="AF86" s="214"/>
      <c r="AG86" s="214"/>
      <c r="AH86" s="214"/>
      <c r="AI86" s="214"/>
      <c r="AJ86" s="66"/>
      <c r="AK86" s="66"/>
      <c r="AL86" s="214"/>
      <c r="AM86" s="214"/>
      <c r="AN86" s="214"/>
      <c r="AO86" s="214"/>
      <c r="AP86" s="214"/>
      <c r="AQ86" s="66"/>
      <c r="AR86" s="66"/>
      <c r="AS86" s="214"/>
      <c r="AT86" s="214"/>
      <c r="AU86" s="214"/>
      <c r="AV86" s="214"/>
      <c r="AW86" s="214"/>
      <c r="AX86" s="66"/>
      <c r="AY86" s="66"/>
      <c r="AZ86" s="214"/>
      <c r="BA86" s="214"/>
      <c r="BB86" s="214"/>
      <c r="BC86" s="214"/>
      <c r="BD86" s="214"/>
      <c r="BE86" s="66"/>
      <c r="BF86" s="66"/>
      <c r="BG86" s="214"/>
      <c r="BH86" s="214"/>
      <c r="BI86" s="214"/>
      <c r="BJ86" s="214"/>
      <c r="BK86" s="214"/>
      <c r="BL86" s="66"/>
      <c r="BM86" s="118"/>
      <c r="BN86" s="68"/>
      <c r="BO86" s="119"/>
      <c r="BP86" s="68"/>
      <c r="BQ86" s="68"/>
      <c r="BR86" s="22"/>
      <c r="BS86" s="97"/>
      <c r="BT86" s="126"/>
      <c r="BU86" s="126"/>
      <c r="BV86" s="97"/>
      <c r="BW86" s="15"/>
      <c r="BX86" s="122"/>
      <c r="BY86" s="123"/>
      <c r="BZ86" s="90"/>
      <c r="CA86" s="89"/>
      <c r="CB86" s="90"/>
      <c r="CC86" s="18"/>
      <c r="CD86" s="10"/>
      <c r="CE86" s="44"/>
      <c r="CF86" s="91"/>
      <c r="CG86" s="37"/>
      <c r="CH86" s="92"/>
      <c r="CI86" s="309"/>
      <c r="CJ86" s="92"/>
    </row>
    <row r="87" spans="1:89" ht="15.5" customHeight="1" x14ac:dyDescent="0.25">
      <c r="A87" s="32"/>
      <c r="B87" s="111"/>
      <c r="C87" s="343" t="s">
        <v>66</v>
      </c>
      <c r="D87" s="95" t="s">
        <v>67</v>
      </c>
      <c r="E87" s="39" t="s">
        <v>40</v>
      </c>
      <c r="F87" s="65"/>
      <c r="G87" s="65"/>
      <c r="H87" s="66"/>
      <c r="I87" s="66"/>
      <c r="J87" s="65"/>
      <c r="K87" s="214"/>
      <c r="L87" s="214"/>
      <c r="M87" s="214"/>
      <c r="N87" s="214"/>
      <c r="O87" s="66"/>
      <c r="P87" s="66"/>
      <c r="Q87" s="214"/>
      <c r="R87" s="214"/>
      <c r="S87" s="214"/>
      <c r="T87" s="214"/>
      <c r="U87" s="214"/>
      <c r="V87" s="66"/>
      <c r="W87" s="66"/>
      <c r="X87" s="214"/>
      <c r="Y87" s="214"/>
      <c r="Z87" s="214"/>
      <c r="AA87" s="214"/>
      <c r="AB87" s="214"/>
      <c r="AC87" s="66">
        <v>4</v>
      </c>
      <c r="AD87" s="66">
        <v>4</v>
      </c>
      <c r="AE87" s="214">
        <v>4</v>
      </c>
      <c r="AF87" s="214">
        <v>4</v>
      </c>
      <c r="AG87" s="214">
        <v>4</v>
      </c>
      <c r="AH87" s="214">
        <v>4</v>
      </c>
      <c r="AI87" s="214">
        <v>4</v>
      </c>
      <c r="AJ87" s="66">
        <v>4</v>
      </c>
      <c r="AK87" s="66">
        <v>4</v>
      </c>
      <c r="AL87" s="214">
        <v>4</v>
      </c>
      <c r="AM87" s="214">
        <v>4</v>
      </c>
      <c r="AN87" s="214">
        <v>4</v>
      </c>
      <c r="AO87" s="214">
        <v>4</v>
      </c>
      <c r="AP87" s="214">
        <v>4</v>
      </c>
      <c r="AQ87" s="66">
        <v>4</v>
      </c>
      <c r="AR87" s="66">
        <v>4</v>
      </c>
      <c r="AS87" s="214">
        <v>4</v>
      </c>
      <c r="AT87" s="214">
        <v>4</v>
      </c>
      <c r="AU87" s="214">
        <v>4</v>
      </c>
      <c r="AV87" s="214">
        <v>4</v>
      </c>
      <c r="AW87" s="214">
        <v>4</v>
      </c>
      <c r="AX87" s="66"/>
      <c r="AY87" s="66"/>
      <c r="AZ87" s="214"/>
      <c r="BA87" s="214"/>
      <c r="BB87" s="214"/>
      <c r="BC87" s="214"/>
      <c r="BD87" s="214"/>
      <c r="BE87" s="66"/>
      <c r="BF87" s="66"/>
      <c r="BG87" s="214"/>
      <c r="BH87" s="214"/>
      <c r="BI87" s="214"/>
      <c r="BJ87" s="214"/>
      <c r="BK87" s="214"/>
      <c r="BL87" s="66"/>
      <c r="BM87" s="82">
        <f t="shared" ref="BM87:BM88" si="74">SUM(F87:BL87)</f>
        <v>84</v>
      </c>
      <c r="BN87" s="21">
        <v>5645</v>
      </c>
      <c r="BO87" s="103">
        <v>0.8</v>
      </c>
      <c r="BP87" s="21">
        <f>BN87*(1-BO87)</f>
        <v>1128.9999999999998</v>
      </c>
      <c r="BQ87" s="21">
        <f>BP87*BM87</f>
        <v>94835.999999999985</v>
      </c>
      <c r="BR87" s="21">
        <f>BQ87*0.8</f>
        <v>75868.799999999988</v>
      </c>
      <c r="BS87" s="97"/>
      <c r="BT87" s="161">
        <f>(BR87+BR88)/$BR$94</f>
        <v>7.1580515161461009E-2</v>
      </c>
      <c r="BU87" s="161">
        <v>6.5906448063666301E-2</v>
      </c>
      <c r="BV87" s="97"/>
      <c r="BW87" s="99">
        <f>BX87/CA87*100</f>
        <v>0.37035050884523352</v>
      </c>
      <c r="BX87" s="86">
        <v>60200.99</v>
      </c>
      <c r="BY87" s="87">
        <f>BW87*BM87</f>
        <v>31.109442742999615</v>
      </c>
      <c r="BZ87" s="88">
        <v>11451245</v>
      </c>
      <c r="CA87" s="100">
        <v>16255139</v>
      </c>
      <c r="CB87" s="90">
        <f>CA87*(BY87+BY90)/100</f>
        <v>5056883.16</v>
      </c>
      <c r="CC87" s="21">
        <f>BR87/CB87*1000</f>
        <v>15.003075530817679</v>
      </c>
      <c r="CD87" s="10"/>
      <c r="CE87" s="44" t="s">
        <v>66</v>
      </c>
      <c r="CF87" s="91">
        <f>BP87*0.8</f>
        <v>903.19999999999982</v>
      </c>
      <c r="CG87" s="37">
        <f t="shared" ref="CG87:CG88" si="75">SUM(F87:AJ87)</f>
        <v>32</v>
      </c>
      <c r="CH87" s="92">
        <f>CF87*CG87</f>
        <v>28902.399999999994</v>
      </c>
      <c r="CI87" s="309">
        <f t="shared" ref="CI87:CI88" si="76">SUM(AK87:BL87)</f>
        <v>52</v>
      </c>
      <c r="CJ87" s="92">
        <f>CI87*CF87</f>
        <v>46966.399999999994</v>
      </c>
      <c r="CK87" s="101" t="b">
        <f>(CH87+CJ87)=BR87</f>
        <v>1</v>
      </c>
    </row>
    <row r="88" spans="1:89" ht="15.5" customHeight="1" x14ac:dyDescent="0.25">
      <c r="A88" s="32"/>
      <c r="B88" s="111"/>
      <c r="C88" s="343"/>
      <c r="D88" s="95" t="s">
        <v>67</v>
      </c>
      <c r="E88" s="39" t="s">
        <v>141</v>
      </c>
      <c r="F88" s="65"/>
      <c r="G88" s="65"/>
      <c r="H88" s="66"/>
      <c r="I88" s="66"/>
      <c r="J88" s="65"/>
      <c r="K88" s="214"/>
      <c r="L88" s="214"/>
      <c r="M88" s="214"/>
      <c r="N88" s="214"/>
      <c r="O88" s="66"/>
      <c r="P88" s="66"/>
      <c r="Q88" s="214"/>
      <c r="R88" s="214"/>
      <c r="S88" s="214"/>
      <c r="T88" s="214"/>
      <c r="U88" s="214"/>
      <c r="V88" s="66"/>
      <c r="W88" s="66"/>
      <c r="X88" s="214">
        <v>1</v>
      </c>
      <c r="Y88" s="214">
        <v>3</v>
      </c>
      <c r="Z88" s="214">
        <v>2</v>
      </c>
      <c r="AA88" s="214">
        <v>2</v>
      </c>
      <c r="AB88" s="214">
        <v>2</v>
      </c>
      <c r="AC88" s="66"/>
      <c r="AD88" s="66"/>
      <c r="AE88" s="214"/>
      <c r="AF88" s="214"/>
      <c r="AG88" s="214"/>
      <c r="AH88" s="214"/>
      <c r="AI88" s="214"/>
      <c r="AJ88" s="66"/>
      <c r="AK88" s="66"/>
      <c r="AL88" s="214"/>
      <c r="AM88" s="214"/>
      <c r="AN88" s="214"/>
      <c r="AO88" s="214"/>
      <c r="AP88" s="214"/>
      <c r="AQ88" s="66"/>
      <c r="AR88" s="66"/>
      <c r="AS88" s="214"/>
      <c r="AT88" s="214"/>
      <c r="AU88" s="214"/>
      <c r="AV88" s="214"/>
      <c r="AW88" s="214"/>
      <c r="AX88" s="66"/>
      <c r="AY88" s="66"/>
      <c r="AZ88" s="214"/>
      <c r="BA88" s="214"/>
      <c r="BB88" s="214"/>
      <c r="BC88" s="214"/>
      <c r="BD88" s="214"/>
      <c r="BE88" s="66"/>
      <c r="BF88" s="66"/>
      <c r="BG88" s="214"/>
      <c r="BH88" s="214"/>
      <c r="BI88" s="214"/>
      <c r="BJ88" s="214"/>
      <c r="BK88" s="214"/>
      <c r="BL88" s="66"/>
      <c r="BM88" s="82">
        <f t="shared" si="74"/>
        <v>10</v>
      </c>
      <c r="BN88" s="21">
        <f>BN87*2</f>
        <v>11290</v>
      </c>
      <c r="BO88" s="103">
        <v>0.8</v>
      </c>
      <c r="BP88" s="21">
        <f>BN88*(1-BO88)</f>
        <v>2257.9999999999995</v>
      </c>
      <c r="BQ88" s="21">
        <f>BP88*BM88</f>
        <v>22579.999999999996</v>
      </c>
      <c r="BR88" s="21">
        <f>BQ88*0.8</f>
        <v>18063.999999999996</v>
      </c>
      <c r="BS88" s="97"/>
      <c r="BT88" s="161"/>
      <c r="BU88" s="161"/>
      <c r="BV88" s="97"/>
      <c r="BW88" s="99">
        <f>BX88/CA88*100</f>
        <v>0.37035050884523352</v>
      </c>
      <c r="BX88" s="86">
        <v>60200.99</v>
      </c>
      <c r="BY88" s="87">
        <f>BW88*BM88</f>
        <v>3.7035050884523351</v>
      </c>
      <c r="BZ88" s="88">
        <v>11451245</v>
      </c>
      <c r="CA88" s="100">
        <v>16255139</v>
      </c>
      <c r="CB88" s="90">
        <f>CA88*(BY88+BY91)/100</f>
        <v>6805544.9299999997</v>
      </c>
      <c r="CC88" s="21">
        <f>BR88/CB88*1000</f>
        <v>2.6543061850008236</v>
      </c>
      <c r="CD88" s="10"/>
      <c r="CE88" s="44" t="s">
        <v>66</v>
      </c>
      <c r="CF88" s="91">
        <f>BP88*0.8</f>
        <v>1806.3999999999996</v>
      </c>
      <c r="CG88" s="37">
        <f t="shared" si="75"/>
        <v>10</v>
      </c>
      <c r="CH88" s="92">
        <f>CF88*CG88</f>
        <v>18063.999999999996</v>
      </c>
      <c r="CI88" s="309">
        <f t="shared" si="76"/>
        <v>0</v>
      </c>
      <c r="CJ88" s="92">
        <f>CI88*CF88</f>
        <v>0</v>
      </c>
      <c r="CK88" s="101" t="b">
        <f>(CH88+CJ88)=BR88</f>
        <v>1</v>
      </c>
    </row>
    <row r="89" spans="1:89" ht="15.5" customHeight="1" x14ac:dyDescent="0.25">
      <c r="A89" s="32"/>
      <c r="B89" s="111"/>
      <c r="C89" s="343"/>
      <c r="D89" s="95"/>
      <c r="E89" s="39"/>
      <c r="F89" s="65"/>
      <c r="G89" s="65"/>
      <c r="H89" s="66"/>
      <c r="I89" s="66"/>
      <c r="J89" s="65"/>
      <c r="K89" s="214"/>
      <c r="L89" s="214"/>
      <c r="M89" s="214"/>
      <c r="N89" s="214"/>
      <c r="O89" s="66"/>
      <c r="P89" s="66"/>
      <c r="Q89" s="214"/>
      <c r="R89" s="214"/>
      <c r="S89" s="214"/>
      <c r="T89" s="214"/>
      <c r="U89" s="214"/>
      <c r="V89" s="66"/>
      <c r="W89" s="66"/>
      <c r="X89" s="214"/>
      <c r="Y89" s="214"/>
      <c r="Z89" s="214"/>
      <c r="AA89" s="214"/>
      <c r="AB89" s="214"/>
      <c r="AC89" s="66"/>
      <c r="AD89" s="66"/>
      <c r="AE89" s="214"/>
      <c r="AF89" s="214"/>
      <c r="AG89" s="214"/>
      <c r="AH89" s="214"/>
      <c r="AI89" s="214"/>
      <c r="AJ89" s="66"/>
      <c r="AK89" s="66"/>
      <c r="AL89" s="214"/>
      <c r="AM89" s="214"/>
      <c r="AN89" s="214"/>
      <c r="AO89" s="214"/>
      <c r="AP89" s="214"/>
      <c r="AQ89" s="66"/>
      <c r="AR89" s="66"/>
      <c r="AS89" s="214"/>
      <c r="AT89" s="214"/>
      <c r="AU89" s="214"/>
      <c r="AV89" s="214"/>
      <c r="AW89" s="214"/>
      <c r="AX89" s="66"/>
      <c r="AY89" s="66"/>
      <c r="AZ89" s="214"/>
      <c r="BA89" s="214"/>
      <c r="BB89" s="214"/>
      <c r="BC89" s="214"/>
      <c r="BD89" s="214"/>
      <c r="BE89" s="66"/>
      <c r="BF89" s="66"/>
      <c r="BG89" s="214"/>
      <c r="BH89" s="214"/>
      <c r="BI89" s="214"/>
      <c r="BJ89" s="214"/>
      <c r="BK89" s="214"/>
      <c r="BL89" s="66"/>
      <c r="BM89" s="173"/>
      <c r="BN89" s="177"/>
      <c r="BO89" s="178"/>
      <c r="BP89" s="177"/>
      <c r="BQ89" s="177"/>
      <c r="BR89" s="179"/>
      <c r="BS89" s="97"/>
      <c r="BT89" s="180"/>
      <c r="BU89" s="180"/>
      <c r="BV89" s="97"/>
      <c r="BW89" s="166"/>
      <c r="BX89" s="107"/>
      <c r="BY89" s="108"/>
      <c r="BZ89" s="109"/>
      <c r="CA89" s="110"/>
      <c r="CB89" s="109"/>
      <c r="CC89" s="114"/>
      <c r="CD89" s="10"/>
      <c r="CE89" s="44"/>
      <c r="CF89" s="91"/>
      <c r="CG89" s="37"/>
      <c r="CH89" s="92"/>
      <c r="CI89" s="309"/>
      <c r="CJ89" s="92"/>
    </row>
    <row r="90" spans="1:89" ht="15.5" customHeight="1" x14ac:dyDescent="0.25">
      <c r="A90" s="32"/>
      <c r="B90" s="111"/>
      <c r="C90" s="344"/>
      <c r="D90" s="81"/>
      <c r="E90" s="39"/>
      <c r="F90" s="65"/>
      <c r="G90" s="65"/>
      <c r="H90" s="66"/>
      <c r="I90" s="66"/>
      <c r="J90" s="65"/>
      <c r="K90" s="214"/>
      <c r="L90" s="214"/>
      <c r="M90" s="214"/>
      <c r="N90" s="214"/>
      <c r="O90" s="66"/>
      <c r="P90" s="66"/>
      <c r="Q90" s="214"/>
      <c r="R90" s="214"/>
      <c r="S90" s="214"/>
      <c r="T90" s="214"/>
      <c r="U90" s="214"/>
      <c r="V90" s="66"/>
      <c r="W90" s="66"/>
      <c r="X90" s="214"/>
      <c r="Y90" s="214"/>
      <c r="Z90" s="214"/>
      <c r="AA90" s="214"/>
      <c r="AB90" s="214"/>
      <c r="AC90" s="66"/>
      <c r="AD90" s="66"/>
      <c r="AE90" s="214"/>
      <c r="AF90" s="214"/>
      <c r="AG90" s="214"/>
      <c r="AH90" s="214"/>
      <c r="AI90" s="214"/>
      <c r="AJ90" s="66"/>
      <c r="AK90" s="66"/>
      <c r="AL90" s="214"/>
      <c r="AM90" s="214"/>
      <c r="AN90" s="214"/>
      <c r="AO90" s="214"/>
      <c r="AP90" s="214"/>
      <c r="AQ90" s="66"/>
      <c r="AR90" s="66"/>
      <c r="AS90" s="214"/>
      <c r="AT90" s="214"/>
      <c r="AU90" s="214"/>
      <c r="AV90" s="214"/>
      <c r="AW90" s="214"/>
      <c r="AX90" s="66"/>
      <c r="AY90" s="66"/>
      <c r="AZ90" s="214"/>
      <c r="BA90" s="214"/>
      <c r="BB90" s="214"/>
      <c r="BC90" s="214"/>
      <c r="BD90" s="214"/>
      <c r="BE90" s="66"/>
      <c r="BF90" s="66"/>
      <c r="BG90" s="214"/>
      <c r="BH90" s="214"/>
      <c r="BI90" s="214"/>
      <c r="BJ90" s="214"/>
      <c r="BK90" s="214"/>
      <c r="BL90" s="66"/>
      <c r="BM90" s="82"/>
      <c r="BN90" s="22"/>
      <c r="BO90" s="103"/>
      <c r="BP90" s="22"/>
      <c r="BQ90" s="22"/>
      <c r="BR90" s="84"/>
      <c r="BS90" s="97"/>
      <c r="BT90" s="98"/>
      <c r="BU90" s="98"/>
      <c r="BV90" s="97"/>
      <c r="BW90" s="15"/>
      <c r="BX90" s="122"/>
      <c r="BY90" s="123"/>
      <c r="BZ90" s="90"/>
      <c r="CA90" s="89"/>
      <c r="CB90" s="90"/>
      <c r="CC90" s="18"/>
      <c r="CD90" s="10"/>
      <c r="CE90" s="44"/>
      <c r="CF90" s="91"/>
      <c r="CG90" s="37"/>
      <c r="CH90" s="92"/>
      <c r="CI90" s="309"/>
      <c r="CJ90" s="92"/>
    </row>
    <row r="91" spans="1:89" ht="15.5" customHeight="1" x14ac:dyDescent="0.25">
      <c r="A91" s="32"/>
      <c r="B91" s="111"/>
      <c r="C91" s="343" t="s">
        <v>68</v>
      </c>
      <c r="D91" s="95" t="s">
        <v>51</v>
      </c>
      <c r="E91" s="39" t="s">
        <v>40</v>
      </c>
      <c r="F91" s="65"/>
      <c r="G91" s="65"/>
      <c r="H91" s="66"/>
      <c r="I91" s="66"/>
      <c r="J91" s="65"/>
      <c r="K91" s="214"/>
      <c r="L91" s="214"/>
      <c r="M91" s="214"/>
      <c r="N91" s="214"/>
      <c r="O91" s="66"/>
      <c r="P91" s="66"/>
      <c r="Q91" s="214"/>
      <c r="R91" s="214"/>
      <c r="S91" s="214"/>
      <c r="T91" s="214"/>
      <c r="U91" s="214"/>
      <c r="V91" s="66"/>
      <c r="W91" s="66"/>
      <c r="X91" s="214"/>
      <c r="Y91" s="214"/>
      <c r="Z91" s="214"/>
      <c r="AA91" s="214"/>
      <c r="AB91" s="214"/>
      <c r="AC91" s="66">
        <v>3</v>
      </c>
      <c r="AD91" s="66">
        <v>3</v>
      </c>
      <c r="AE91" s="66">
        <v>3</v>
      </c>
      <c r="AF91" s="66">
        <v>3</v>
      </c>
      <c r="AG91" s="66">
        <v>3</v>
      </c>
      <c r="AH91" s="66">
        <v>3</v>
      </c>
      <c r="AI91" s="66">
        <v>3</v>
      </c>
      <c r="AJ91" s="66">
        <v>3</v>
      </c>
      <c r="AK91" s="66">
        <v>3</v>
      </c>
      <c r="AL91" s="66">
        <v>3</v>
      </c>
      <c r="AM91" s="66">
        <v>3</v>
      </c>
      <c r="AN91" s="66">
        <v>3</v>
      </c>
      <c r="AO91" s="66">
        <v>3</v>
      </c>
      <c r="AP91" s="66">
        <v>3</v>
      </c>
      <c r="AQ91" s="66">
        <v>3</v>
      </c>
      <c r="AR91" s="66">
        <v>3</v>
      </c>
      <c r="AS91" s="214">
        <v>3</v>
      </c>
      <c r="AT91" s="214">
        <v>3</v>
      </c>
      <c r="AU91" s="214">
        <v>3</v>
      </c>
      <c r="AV91" s="214">
        <v>3</v>
      </c>
      <c r="AW91" s="214">
        <v>3</v>
      </c>
      <c r="AX91" s="66"/>
      <c r="AY91" s="66"/>
      <c r="AZ91" s="214"/>
      <c r="BA91" s="214"/>
      <c r="BB91" s="214"/>
      <c r="BC91" s="214"/>
      <c r="BD91" s="214"/>
      <c r="BE91" s="66"/>
      <c r="BF91" s="66"/>
      <c r="BG91" s="214"/>
      <c r="BH91" s="214"/>
      <c r="BI91" s="214"/>
      <c r="BJ91" s="214"/>
      <c r="BK91" s="214"/>
      <c r="BL91" s="66"/>
      <c r="BM91" s="82">
        <f>SUM(F91:BL91)</f>
        <v>63</v>
      </c>
      <c r="BN91" s="22">
        <v>4000</v>
      </c>
      <c r="BO91" s="103">
        <v>0.5</v>
      </c>
      <c r="BP91" s="22">
        <f>BN91*(1-BO91)</f>
        <v>2000</v>
      </c>
      <c r="BQ91" s="22">
        <f>BP91*BM91</f>
        <v>126000</v>
      </c>
      <c r="BR91" s="21">
        <f>BQ91*0.8</f>
        <v>100800</v>
      </c>
      <c r="BS91" s="97"/>
      <c r="BT91" s="161">
        <f>(BR91+BR92)/$BR$94</f>
        <v>0.10119886145672251</v>
      </c>
      <c r="BU91" s="161">
        <v>9.6909352523206496E-2</v>
      </c>
      <c r="BV91" s="97"/>
      <c r="BW91" s="99">
        <f>BX91/CA91*100</f>
        <v>0.60577033515370127</v>
      </c>
      <c r="BX91" s="86">
        <v>98468.81</v>
      </c>
      <c r="BY91" s="87">
        <f>BW91*BM91</f>
        <v>38.163531114683181</v>
      </c>
      <c r="BZ91" s="88">
        <v>11451245</v>
      </c>
      <c r="CA91" s="100">
        <v>16255139</v>
      </c>
      <c r="CB91" s="90">
        <f>CA91*(BY91+BY94)/100</f>
        <v>6203535.0300000003</v>
      </c>
      <c r="CC91" s="21">
        <f>BR91/CB91*1000</f>
        <v>16.248800000731194</v>
      </c>
      <c r="CD91" s="10"/>
      <c r="CE91" s="44" t="s">
        <v>68</v>
      </c>
      <c r="CF91" s="91">
        <f>BP91*0.8</f>
        <v>1600</v>
      </c>
      <c r="CG91" s="37">
        <f t="shared" ref="CG91:CG92" si="77">SUM(F91:AJ91)</f>
        <v>24</v>
      </c>
      <c r="CH91" s="92">
        <f>CF91*CG91</f>
        <v>38400</v>
      </c>
      <c r="CI91" s="309">
        <f t="shared" ref="CI91:CI92" si="78">SUM(AK91:BL91)</f>
        <v>39</v>
      </c>
      <c r="CJ91" s="92">
        <f>CI91*CF91</f>
        <v>62400</v>
      </c>
      <c r="CK91" s="101" t="b">
        <f>(CH91+CJ91)=BR91</f>
        <v>1</v>
      </c>
    </row>
    <row r="92" spans="1:89" ht="15.5" customHeight="1" x14ac:dyDescent="0.25">
      <c r="A92" s="32"/>
      <c r="B92" s="111"/>
      <c r="C92" s="343"/>
      <c r="D92" s="95" t="s">
        <v>51</v>
      </c>
      <c r="E92" s="39" t="s">
        <v>141</v>
      </c>
      <c r="F92" s="65"/>
      <c r="G92" s="65"/>
      <c r="H92" s="66"/>
      <c r="I92" s="66"/>
      <c r="J92" s="65"/>
      <c r="K92" s="214"/>
      <c r="L92" s="214"/>
      <c r="M92" s="214"/>
      <c r="N92" s="214"/>
      <c r="O92" s="66"/>
      <c r="P92" s="66"/>
      <c r="Q92" s="214"/>
      <c r="R92" s="214"/>
      <c r="S92" s="214"/>
      <c r="T92" s="214"/>
      <c r="U92" s="214"/>
      <c r="V92" s="66"/>
      <c r="W92" s="66"/>
      <c r="X92" s="214">
        <v>1</v>
      </c>
      <c r="Y92" s="214">
        <v>3</v>
      </c>
      <c r="Z92" s="214">
        <v>2</v>
      </c>
      <c r="AA92" s="214">
        <v>2</v>
      </c>
      <c r="AB92" s="214">
        <v>2</v>
      </c>
      <c r="AC92" s="66"/>
      <c r="AD92" s="66"/>
      <c r="AE92" s="214"/>
      <c r="AF92" s="214"/>
      <c r="AG92" s="214"/>
      <c r="AH92" s="214"/>
      <c r="AI92" s="214"/>
      <c r="AJ92" s="66"/>
      <c r="AK92" s="66"/>
      <c r="AL92" s="214"/>
      <c r="AM92" s="214"/>
      <c r="AN92" s="214"/>
      <c r="AO92" s="214"/>
      <c r="AP92" s="214"/>
      <c r="AQ92" s="66"/>
      <c r="AR92" s="66"/>
      <c r="AS92" s="214"/>
      <c r="AT92" s="214"/>
      <c r="AU92" s="214"/>
      <c r="AV92" s="214"/>
      <c r="AW92" s="214"/>
      <c r="AX92" s="66"/>
      <c r="AY92" s="66"/>
      <c r="AZ92" s="214"/>
      <c r="BA92" s="214"/>
      <c r="BB92" s="214"/>
      <c r="BC92" s="214"/>
      <c r="BD92" s="214"/>
      <c r="BE92" s="66"/>
      <c r="BF92" s="66"/>
      <c r="BG92" s="214"/>
      <c r="BH92" s="214"/>
      <c r="BI92" s="214"/>
      <c r="BJ92" s="214"/>
      <c r="BK92" s="214"/>
      <c r="BL92" s="66"/>
      <c r="BM92" s="82">
        <f>SUM(F92:BL92)</f>
        <v>10</v>
      </c>
      <c r="BN92" s="22">
        <f>BN91*2</f>
        <v>8000</v>
      </c>
      <c r="BO92" s="103">
        <v>0.5</v>
      </c>
      <c r="BP92" s="22">
        <f>BN92*(1-BO92)</f>
        <v>4000</v>
      </c>
      <c r="BQ92" s="22">
        <f>BP92*BM92</f>
        <v>40000</v>
      </c>
      <c r="BR92" s="21">
        <f>BQ92*0.8</f>
        <v>32000</v>
      </c>
      <c r="BS92" s="97"/>
      <c r="BT92" s="161"/>
      <c r="BU92" s="161"/>
      <c r="BV92" s="97"/>
      <c r="BW92" s="99">
        <f>BX92/CA92*100</f>
        <v>0.60577033515370127</v>
      </c>
      <c r="BX92" s="86">
        <v>98468.81</v>
      </c>
      <c r="BY92" s="87">
        <f>BW92*BM92</f>
        <v>6.0577033515370129</v>
      </c>
      <c r="BZ92" s="88">
        <v>11451245</v>
      </c>
      <c r="CA92" s="100">
        <v>16255139</v>
      </c>
      <c r="CB92" s="90">
        <f>CA92*(BY92+BY95)/100</f>
        <v>984688.10000000009</v>
      </c>
      <c r="CC92" s="21">
        <f>BR92/CB92*1000</f>
        <v>32.497600001462388</v>
      </c>
      <c r="CD92" s="10"/>
      <c r="CE92" s="44" t="s">
        <v>68</v>
      </c>
      <c r="CF92" s="91">
        <f>BP92*0.8</f>
        <v>3200</v>
      </c>
      <c r="CG92" s="37">
        <f t="shared" si="77"/>
        <v>10</v>
      </c>
      <c r="CH92" s="92">
        <f>CF92*CG92</f>
        <v>32000</v>
      </c>
      <c r="CI92" s="309">
        <f t="shared" si="78"/>
        <v>0</v>
      </c>
      <c r="CJ92" s="92">
        <f>CI92*CF92</f>
        <v>0</v>
      </c>
      <c r="CK92" s="101" t="b">
        <f>(CH92+CJ92)=BR92</f>
        <v>1</v>
      </c>
    </row>
    <row r="93" spans="1:89" ht="15.5" customHeight="1" x14ac:dyDescent="0.25">
      <c r="A93" s="32"/>
      <c r="B93" s="111"/>
      <c r="C93" s="94"/>
      <c r="D93" s="95"/>
      <c r="E93" s="39"/>
      <c r="F93" s="65"/>
      <c r="G93" s="65"/>
      <c r="H93" s="66"/>
      <c r="I93" s="66"/>
      <c r="J93" s="65"/>
      <c r="K93" s="214"/>
      <c r="L93" s="214"/>
      <c r="M93" s="214"/>
      <c r="N93" s="214"/>
      <c r="O93" s="66"/>
      <c r="P93" s="66"/>
      <c r="Q93" s="214"/>
      <c r="R93" s="214"/>
      <c r="S93" s="214"/>
      <c r="T93" s="214"/>
      <c r="U93" s="214"/>
      <c r="V93" s="66"/>
      <c r="W93" s="66"/>
      <c r="X93" s="214"/>
      <c r="Y93" s="214"/>
      <c r="Z93" s="214"/>
      <c r="AA93" s="214"/>
      <c r="AB93" s="214"/>
      <c r="AC93" s="66"/>
      <c r="AD93" s="66"/>
      <c r="AE93" s="214"/>
      <c r="AF93" s="214"/>
      <c r="AG93" s="214"/>
      <c r="AH93" s="214"/>
      <c r="AI93" s="214"/>
      <c r="AJ93" s="66"/>
      <c r="AK93" s="66"/>
      <c r="AL93" s="214"/>
      <c r="AM93" s="214"/>
      <c r="AN93" s="214"/>
      <c r="AO93" s="214"/>
      <c r="AP93" s="214"/>
      <c r="AQ93" s="66"/>
      <c r="AR93" s="66"/>
      <c r="AS93" s="214"/>
      <c r="AT93" s="214"/>
      <c r="AU93" s="214"/>
      <c r="AV93" s="214"/>
      <c r="AW93" s="214"/>
      <c r="AX93" s="66"/>
      <c r="AY93" s="66"/>
      <c r="AZ93" s="214"/>
      <c r="BA93" s="214"/>
      <c r="BB93" s="214"/>
      <c r="BC93" s="214"/>
      <c r="BD93" s="214"/>
      <c r="BE93" s="66"/>
      <c r="BF93" s="66"/>
      <c r="BG93" s="214"/>
      <c r="BH93" s="214"/>
      <c r="BI93" s="214"/>
      <c r="BJ93" s="214"/>
      <c r="BK93" s="214"/>
      <c r="BL93" s="66"/>
      <c r="BM93" s="82"/>
      <c r="BN93" s="22"/>
      <c r="BO93" s="103"/>
      <c r="BP93" s="22"/>
      <c r="BQ93" s="22"/>
      <c r="BR93" s="84"/>
      <c r="BS93" s="97"/>
      <c r="BT93" s="84"/>
      <c r="BU93" s="84"/>
      <c r="BV93" s="97"/>
      <c r="BW93" s="166"/>
      <c r="BX93" s="107"/>
      <c r="BY93" s="108"/>
      <c r="BZ93" s="109"/>
      <c r="CA93" s="110"/>
      <c r="CB93" s="109"/>
      <c r="CC93" s="114"/>
      <c r="CD93" s="10"/>
      <c r="CE93" s="137"/>
      <c r="CF93" s="136"/>
      <c r="CG93" s="137"/>
      <c r="CH93" s="138"/>
      <c r="CI93" s="310"/>
      <c r="CJ93" s="138"/>
    </row>
    <row r="94" spans="1:89" x14ac:dyDescent="0.25">
      <c r="A94" s="32"/>
      <c r="B94" s="25" t="s">
        <v>69</v>
      </c>
      <c r="C94" s="139"/>
      <c r="D94" s="139"/>
      <c r="E94" s="139"/>
      <c r="F94" s="40">
        <f t="shared" ref="F94:BM94" si="79">SUM(F34:F93)</f>
        <v>0</v>
      </c>
      <c r="G94" s="40">
        <f t="shared" si="79"/>
        <v>0</v>
      </c>
      <c r="H94" s="40">
        <f t="shared" si="79"/>
        <v>0</v>
      </c>
      <c r="I94" s="40">
        <f t="shared" si="79"/>
        <v>0</v>
      </c>
      <c r="J94" s="40">
        <f t="shared" si="79"/>
        <v>0</v>
      </c>
      <c r="K94" s="40">
        <f t="shared" si="79"/>
        <v>0</v>
      </c>
      <c r="L94" s="40">
        <f t="shared" si="79"/>
        <v>0</v>
      </c>
      <c r="M94" s="40">
        <f t="shared" ref="M94:BL94" si="80">SUM(M34:M93)</f>
        <v>0</v>
      </c>
      <c r="N94" s="40">
        <f t="shared" si="80"/>
        <v>0</v>
      </c>
      <c r="O94" s="40">
        <f t="shared" si="80"/>
        <v>0</v>
      </c>
      <c r="P94" s="40">
        <f t="shared" si="80"/>
        <v>0</v>
      </c>
      <c r="Q94" s="40">
        <f t="shared" si="80"/>
        <v>0</v>
      </c>
      <c r="R94" s="40">
        <f t="shared" si="80"/>
        <v>0</v>
      </c>
      <c r="S94" s="40">
        <f t="shared" si="80"/>
        <v>0</v>
      </c>
      <c r="T94" s="40">
        <f t="shared" si="80"/>
        <v>0</v>
      </c>
      <c r="U94" s="40">
        <f t="shared" si="80"/>
        <v>0</v>
      </c>
      <c r="V94" s="40">
        <f>SUM(V34:V93)</f>
        <v>0</v>
      </c>
      <c r="W94" s="40">
        <f t="shared" si="80"/>
        <v>0</v>
      </c>
      <c r="X94" s="40">
        <f t="shared" si="80"/>
        <v>15</v>
      </c>
      <c r="Y94" s="40">
        <f t="shared" si="80"/>
        <v>43</v>
      </c>
      <c r="Z94" s="40">
        <f t="shared" si="80"/>
        <v>30</v>
      </c>
      <c r="AA94" s="40">
        <f t="shared" si="80"/>
        <v>28</v>
      </c>
      <c r="AB94" s="40">
        <f t="shared" si="80"/>
        <v>28</v>
      </c>
      <c r="AC94" s="40">
        <f>SUM(AC34:AC93)</f>
        <v>54</v>
      </c>
      <c r="AD94" s="40">
        <f t="shared" si="80"/>
        <v>54</v>
      </c>
      <c r="AE94" s="40">
        <f t="shared" si="80"/>
        <v>54</v>
      </c>
      <c r="AF94" s="40">
        <f t="shared" si="80"/>
        <v>54</v>
      </c>
      <c r="AG94" s="40">
        <f t="shared" si="80"/>
        <v>54</v>
      </c>
      <c r="AH94" s="40">
        <f t="shared" si="80"/>
        <v>54</v>
      </c>
      <c r="AI94" s="40">
        <f t="shared" si="80"/>
        <v>54</v>
      </c>
      <c r="AJ94" s="40">
        <f t="shared" si="80"/>
        <v>54</v>
      </c>
      <c r="AK94" s="40">
        <f t="shared" si="80"/>
        <v>54</v>
      </c>
      <c r="AL94" s="40">
        <f t="shared" si="80"/>
        <v>54</v>
      </c>
      <c r="AM94" s="40">
        <f t="shared" si="80"/>
        <v>54</v>
      </c>
      <c r="AN94" s="40">
        <f t="shared" si="80"/>
        <v>54</v>
      </c>
      <c r="AO94" s="40">
        <f t="shared" si="80"/>
        <v>54</v>
      </c>
      <c r="AP94" s="40">
        <f t="shared" si="80"/>
        <v>54</v>
      </c>
      <c r="AQ94" s="40">
        <f t="shared" si="80"/>
        <v>54</v>
      </c>
      <c r="AR94" s="40">
        <f t="shared" si="80"/>
        <v>54</v>
      </c>
      <c r="AS94" s="40">
        <f t="shared" si="80"/>
        <v>54</v>
      </c>
      <c r="AT94" s="40">
        <f t="shared" si="80"/>
        <v>54</v>
      </c>
      <c r="AU94" s="40">
        <f t="shared" si="80"/>
        <v>54</v>
      </c>
      <c r="AV94" s="40">
        <f t="shared" si="80"/>
        <v>54</v>
      </c>
      <c r="AW94" s="40">
        <f t="shared" si="80"/>
        <v>54</v>
      </c>
      <c r="AX94" s="40">
        <f t="shared" si="80"/>
        <v>0</v>
      </c>
      <c r="AY94" s="40">
        <f t="shared" si="80"/>
        <v>0</v>
      </c>
      <c r="AZ94" s="40">
        <f t="shared" si="80"/>
        <v>0</v>
      </c>
      <c r="BA94" s="40">
        <f t="shared" si="80"/>
        <v>0</v>
      </c>
      <c r="BB94" s="40">
        <f t="shared" si="80"/>
        <v>0</v>
      </c>
      <c r="BC94" s="40">
        <f t="shared" si="80"/>
        <v>0</v>
      </c>
      <c r="BD94" s="40">
        <f t="shared" si="80"/>
        <v>0</v>
      </c>
      <c r="BE94" s="40">
        <f t="shared" si="80"/>
        <v>0</v>
      </c>
      <c r="BF94" s="40">
        <f t="shared" si="80"/>
        <v>0</v>
      </c>
      <c r="BG94" s="40">
        <f t="shared" si="80"/>
        <v>0</v>
      </c>
      <c r="BH94" s="40">
        <f t="shared" si="80"/>
        <v>0</v>
      </c>
      <c r="BI94" s="40">
        <f t="shared" si="80"/>
        <v>0</v>
      </c>
      <c r="BJ94" s="40">
        <f t="shared" si="80"/>
        <v>0</v>
      </c>
      <c r="BK94" s="40">
        <f t="shared" si="80"/>
        <v>0</v>
      </c>
      <c r="BL94" s="40">
        <f t="shared" si="80"/>
        <v>0</v>
      </c>
      <c r="BM94" s="181">
        <f t="shared" si="79"/>
        <v>1278</v>
      </c>
      <c r="BN94" s="141"/>
      <c r="BO94" s="141"/>
      <c r="BP94" s="141"/>
      <c r="BQ94" s="141">
        <f>SUM(BQ34:BQ93)</f>
        <v>1640334.66</v>
      </c>
      <c r="BR94" s="141">
        <f>SUM(BR34:BR93)</f>
        <v>1312267.7279999999</v>
      </c>
      <c r="BS94" s="43"/>
      <c r="BT94" s="142"/>
      <c r="BU94" s="142"/>
      <c r="BV94" s="43"/>
      <c r="BW94" s="143"/>
      <c r="BX94" s="144"/>
      <c r="BY94" s="145"/>
      <c r="BZ94" s="146">
        <f>BZ91</f>
        <v>11451245</v>
      </c>
      <c r="CA94" s="147"/>
      <c r="CB94" s="148">
        <f>SUM(CB34:CB93)</f>
        <v>120082200.04999998</v>
      </c>
      <c r="CC94" s="149">
        <f>BR94/CB94*1000</f>
        <v>10.928078661563463</v>
      </c>
      <c r="CD94" s="10"/>
      <c r="CE94" s="148"/>
      <c r="CF94" s="150"/>
      <c r="CG94" s="182">
        <f>SUM(CG34:CG93)</f>
        <v>576</v>
      </c>
      <c r="CH94" s="150">
        <f t="shared" ref="CH94:CJ94" si="81">SUM(CH34:CH93)</f>
        <v>665561.82400000014</v>
      </c>
      <c r="CI94" s="312">
        <f>CI91+CI87+CI83+CI79+CI75+CI71+CI67+CI63+CI59+CI55+CI51+CI47+CI43+CI39+CI35</f>
        <v>702</v>
      </c>
      <c r="CJ94" s="150">
        <f t="shared" si="81"/>
        <v>646705.9040000001</v>
      </c>
      <c r="CK94" s="101" t="b">
        <f>(CH94+CJ94)=BR94</f>
        <v>1</v>
      </c>
    </row>
    <row r="95" spans="1:89" s="152" customFormat="1" ht="16" hidden="1" customHeight="1" x14ac:dyDescent="0.4">
      <c r="A95" s="43"/>
      <c r="B95" s="183"/>
      <c r="C95" s="184"/>
      <c r="D95" s="185"/>
      <c r="E95" s="186"/>
      <c r="F95" s="65"/>
      <c r="G95" s="65"/>
      <c r="H95" s="65"/>
      <c r="I95" s="66"/>
      <c r="J95" s="66"/>
      <c r="K95" s="65"/>
      <c r="L95" s="65"/>
      <c r="M95" s="348"/>
      <c r="N95" s="348"/>
      <c r="O95" s="348"/>
      <c r="P95" s="348"/>
      <c r="Q95" s="348"/>
      <c r="R95" s="348"/>
      <c r="S95" s="348"/>
      <c r="T95" s="348"/>
      <c r="U95" s="348"/>
      <c r="V95" s="348"/>
      <c r="W95" s="348"/>
      <c r="X95" s="348"/>
      <c r="Y95" s="348"/>
      <c r="Z95" s="348"/>
      <c r="AA95" s="348"/>
      <c r="AB95" s="348"/>
      <c r="AC95" s="348"/>
      <c r="AD95" s="348"/>
      <c r="AE95" s="348"/>
      <c r="AF95" s="348"/>
      <c r="AG95" s="348"/>
      <c r="AH95" s="348"/>
      <c r="AI95" s="348"/>
      <c r="AJ95" s="348"/>
      <c r="AK95" s="348"/>
      <c r="AL95" s="348"/>
      <c r="AM95" s="348"/>
      <c r="AN95" s="348"/>
      <c r="AO95" s="348"/>
      <c r="AP95" s="348"/>
      <c r="AQ95" s="348"/>
      <c r="AR95" s="348"/>
      <c r="AS95" s="348"/>
      <c r="AT95" s="348"/>
      <c r="AU95" s="348"/>
      <c r="AV95" s="348"/>
      <c r="AW95" s="348"/>
      <c r="AX95" s="348"/>
      <c r="AY95" s="348"/>
      <c r="AZ95" s="348"/>
      <c r="BA95" s="348"/>
      <c r="BB95" s="348"/>
      <c r="BC95" s="348"/>
      <c r="BD95" s="348"/>
      <c r="BE95" s="348"/>
      <c r="BF95" s="348"/>
      <c r="BG95" s="348"/>
      <c r="BH95" s="348"/>
      <c r="BI95" s="348"/>
      <c r="BJ95" s="348"/>
      <c r="BK95" s="348"/>
      <c r="BL95" s="348"/>
      <c r="BM95" s="187"/>
      <c r="BN95" s="68"/>
      <c r="BO95" s="68"/>
      <c r="BP95" s="68"/>
      <c r="BQ95" s="68"/>
      <c r="BR95" s="68"/>
      <c r="BS95" s="32"/>
      <c r="BT95" s="68"/>
      <c r="BU95" s="68"/>
      <c r="BV95" s="32"/>
      <c r="BW95" s="188"/>
      <c r="BX95" s="189"/>
      <c r="BY95" s="190"/>
      <c r="BZ95" s="191"/>
      <c r="CA95" s="192"/>
      <c r="CB95" s="191"/>
      <c r="CC95" s="193"/>
      <c r="CD95" s="160"/>
      <c r="CE95" s="30"/>
      <c r="CF95" s="194"/>
      <c r="CG95" s="30"/>
      <c r="CH95" s="194"/>
      <c r="CI95" s="306"/>
      <c r="CJ95" s="194"/>
      <c r="CK95" s="151"/>
    </row>
    <row r="96" spans="1:89" ht="16" hidden="1" customHeight="1" x14ac:dyDescent="0.25">
      <c r="A96" s="32"/>
      <c r="B96" s="653" t="s">
        <v>70</v>
      </c>
      <c r="C96" s="81" t="s">
        <v>71</v>
      </c>
      <c r="D96" s="95" t="s">
        <v>72</v>
      </c>
      <c r="E96" s="39" t="s">
        <v>18</v>
      </c>
      <c r="F96" s="65"/>
      <c r="G96" s="65"/>
      <c r="H96" s="65"/>
      <c r="I96" s="66"/>
      <c r="J96" s="66"/>
      <c r="K96" s="65"/>
      <c r="L96" s="65"/>
      <c r="M96" s="349"/>
      <c r="N96" s="349"/>
      <c r="O96" s="349"/>
      <c r="P96" s="349"/>
      <c r="Q96" s="349"/>
      <c r="R96" s="349"/>
      <c r="S96" s="349"/>
      <c r="T96" s="349"/>
      <c r="U96" s="349"/>
      <c r="V96" s="349"/>
      <c r="W96" s="349"/>
      <c r="X96" s="349"/>
      <c r="Y96" s="349"/>
      <c r="Z96" s="349"/>
      <c r="AA96" s="349"/>
      <c r="AB96" s="349"/>
      <c r="AC96" s="349"/>
      <c r="AD96" s="349"/>
      <c r="AE96" s="349"/>
      <c r="AF96" s="349"/>
      <c r="AG96" s="349"/>
      <c r="AH96" s="349"/>
      <c r="AI96" s="349"/>
      <c r="AJ96" s="349"/>
      <c r="AK96" s="349"/>
      <c r="AL96" s="349"/>
      <c r="AM96" s="349"/>
      <c r="AN96" s="349"/>
      <c r="AO96" s="349"/>
      <c r="AP96" s="349"/>
      <c r="AQ96" s="349"/>
      <c r="AR96" s="349"/>
      <c r="AS96" s="349"/>
      <c r="AT96" s="349"/>
      <c r="AU96" s="349"/>
      <c r="AV96" s="349"/>
      <c r="AW96" s="349"/>
      <c r="AX96" s="349"/>
      <c r="AY96" s="349"/>
      <c r="AZ96" s="349"/>
      <c r="BA96" s="349"/>
      <c r="BB96" s="349"/>
      <c r="BC96" s="349"/>
      <c r="BD96" s="349"/>
      <c r="BE96" s="349"/>
      <c r="BF96" s="349"/>
      <c r="BG96" s="349"/>
      <c r="BH96" s="349"/>
      <c r="BI96" s="349"/>
      <c r="BJ96" s="349"/>
      <c r="BK96" s="349"/>
      <c r="BL96" s="349"/>
      <c r="BM96" s="175" t="e">
        <f>SUM(#REF!)</f>
        <v>#REF!</v>
      </c>
      <c r="BN96" s="22">
        <v>165</v>
      </c>
      <c r="BO96" s="83">
        <v>0.57999999999999996</v>
      </c>
      <c r="BP96" s="22">
        <f>BN96*(1-BO96)</f>
        <v>69.300000000000011</v>
      </c>
      <c r="BQ96" s="22" t="e">
        <f>BP96*BM96</f>
        <v>#REF!</v>
      </c>
      <c r="BR96" s="84">
        <f>BP96*0.8</f>
        <v>55.440000000000012</v>
      </c>
      <c r="BS96" s="32"/>
      <c r="BT96" s="84" t="e">
        <f>BQ96*0.8</f>
        <v>#REF!</v>
      </c>
      <c r="BU96" s="84"/>
      <c r="BV96" s="32"/>
      <c r="BW96" s="99">
        <f>BX96/CA96*100</f>
        <v>3.8168404911999341</v>
      </c>
      <c r="BX96" s="86">
        <v>2351</v>
      </c>
      <c r="BY96" s="87" t="e">
        <f>BW96*BM96</f>
        <v>#REF!</v>
      </c>
      <c r="BZ96" s="88">
        <v>125194</v>
      </c>
      <c r="CA96" s="89">
        <v>61595.448000000004</v>
      </c>
      <c r="CB96" s="90">
        <v>188080</v>
      </c>
      <c r="CC96" s="21" t="e">
        <f>BT96/CB96*1000</f>
        <v>#REF!</v>
      </c>
      <c r="CD96" s="55"/>
      <c r="CE96" s="30" t="s">
        <v>71</v>
      </c>
      <c r="CF96" s="194"/>
      <c r="CG96" s="30" t="e">
        <f>SUM(#REF!)</f>
        <v>#REF!</v>
      </c>
      <c r="CH96" s="194" t="e">
        <f>#REF!*CG96</f>
        <v>#REF!</v>
      </c>
      <c r="CI96" s="306" t="e">
        <f>SUM(#REF!)</f>
        <v>#REF!</v>
      </c>
      <c r="CJ96" s="194" t="e">
        <f>#REF!*CI96</f>
        <v>#REF!</v>
      </c>
    </row>
    <row r="97" spans="1:89" ht="16" hidden="1" customHeight="1" x14ac:dyDescent="0.25">
      <c r="A97" s="32"/>
      <c r="B97" s="653"/>
      <c r="C97" s="116" t="s">
        <v>73</v>
      </c>
      <c r="D97" s="95"/>
      <c r="E97" s="39"/>
      <c r="F97" s="65"/>
      <c r="G97" s="65"/>
      <c r="H97" s="65"/>
      <c r="I97" s="66"/>
      <c r="J97" s="66"/>
      <c r="K97" s="65"/>
      <c r="L97" s="65"/>
      <c r="M97" s="350"/>
      <c r="N97" s="350"/>
      <c r="O97" s="350"/>
      <c r="P97" s="350"/>
      <c r="Q97" s="350"/>
      <c r="R97" s="350"/>
      <c r="S97" s="350"/>
      <c r="T97" s="350"/>
      <c r="U97" s="350"/>
      <c r="V97" s="350"/>
      <c r="W97" s="350"/>
      <c r="X97" s="350"/>
      <c r="Y97" s="350"/>
      <c r="Z97" s="350"/>
      <c r="AA97" s="350"/>
      <c r="AB97" s="350"/>
      <c r="AC97" s="350"/>
      <c r="AD97" s="350"/>
      <c r="AE97" s="350"/>
      <c r="AF97" s="350"/>
      <c r="AG97" s="350"/>
      <c r="AH97" s="350"/>
      <c r="AI97" s="350"/>
      <c r="AJ97" s="350"/>
      <c r="AK97" s="350"/>
      <c r="AL97" s="350"/>
      <c r="AM97" s="350"/>
      <c r="AN97" s="350"/>
      <c r="AO97" s="350"/>
      <c r="AP97" s="350"/>
      <c r="AQ97" s="350"/>
      <c r="AR97" s="350"/>
      <c r="AS97" s="350"/>
      <c r="AT97" s="350"/>
      <c r="AU97" s="350"/>
      <c r="AV97" s="350"/>
      <c r="AW97" s="350"/>
      <c r="AX97" s="350"/>
      <c r="AY97" s="350"/>
      <c r="AZ97" s="350"/>
      <c r="BA97" s="350"/>
      <c r="BB97" s="350"/>
      <c r="BC97" s="350"/>
      <c r="BD97" s="350"/>
      <c r="BE97" s="350"/>
      <c r="BF97" s="350"/>
      <c r="BG97" s="350"/>
      <c r="BH97" s="350"/>
      <c r="BI97" s="350"/>
      <c r="BJ97" s="350"/>
      <c r="BK97" s="350"/>
      <c r="BL97" s="350"/>
      <c r="BM97" s="173"/>
      <c r="BN97" s="104"/>
      <c r="BO97" s="195"/>
      <c r="BP97" s="104"/>
      <c r="BQ97" s="104"/>
      <c r="BR97" s="104"/>
      <c r="BS97" s="32"/>
      <c r="BT97" s="104"/>
      <c r="BU97" s="104"/>
      <c r="BV97" s="32"/>
      <c r="BW97" s="106"/>
      <c r="BX97" s="107"/>
      <c r="BY97" s="108"/>
      <c r="BZ97" s="109"/>
      <c r="CA97" s="110"/>
      <c r="CB97" s="109"/>
      <c r="CC97" s="114"/>
      <c r="CD97" s="10"/>
      <c r="CF97" s="194"/>
      <c r="CH97" s="194"/>
      <c r="CJ97" s="194"/>
    </row>
    <row r="98" spans="1:89" ht="16" hidden="1" customHeight="1" x14ac:dyDescent="0.25">
      <c r="A98" s="32"/>
      <c r="B98" s="102"/>
      <c r="C98" s="95"/>
      <c r="D98" s="95"/>
      <c r="E98" s="39"/>
      <c r="F98" s="65"/>
      <c r="G98" s="65"/>
      <c r="H98" s="65"/>
      <c r="I98" s="66"/>
      <c r="J98" s="66"/>
      <c r="K98" s="65"/>
      <c r="L98" s="65"/>
      <c r="M98" s="348"/>
      <c r="N98" s="348"/>
      <c r="O98" s="348"/>
      <c r="P98" s="348"/>
      <c r="Q98" s="348"/>
      <c r="R98" s="348"/>
      <c r="S98" s="348"/>
      <c r="T98" s="348"/>
      <c r="U98" s="348"/>
      <c r="V98" s="348"/>
      <c r="W98" s="348"/>
      <c r="X98" s="348"/>
      <c r="Y98" s="348"/>
      <c r="Z98" s="348"/>
      <c r="AA98" s="348"/>
      <c r="AB98" s="348"/>
      <c r="AC98" s="348"/>
      <c r="AD98" s="348"/>
      <c r="AE98" s="348"/>
      <c r="AF98" s="348"/>
      <c r="AG98" s="348"/>
      <c r="AH98" s="348"/>
      <c r="AI98" s="348"/>
      <c r="AJ98" s="348"/>
      <c r="AK98" s="348"/>
      <c r="AL98" s="348"/>
      <c r="AM98" s="348"/>
      <c r="AN98" s="348"/>
      <c r="AO98" s="348"/>
      <c r="AP98" s="348"/>
      <c r="AQ98" s="348"/>
      <c r="AR98" s="348"/>
      <c r="AS98" s="348"/>
      <c r="AT98" s="348"/>
      <c r="AU98" s="348"/>
      <c r="AV98" s="348"/>
      <c r="AW98" s="348"/>
      <c r="AX98" s="348"/>
      <c r="AY98" s="348"/>
      <c r="AZ98" s="348"/>
      <c r="BA98" s="348"/>
      <c r="BB98" s="348"/>
      <c r="BC98" s="348"/>
      <c r="BD98" s="348"/>
      <c r="BE98" s="348"/>
      <c r="BF98" s="348"/>
      <c r="BG98" s="348"/>
      <c r="BH98" s="348"/>
      <c r="BI98" s="348"/>
      <c r="BJ98" s="348"/>
      <c r="BK98" s="348"/>
      <c r="BL98" s="348"/>
      <c r="BM98" s="67"/>
      <c r="BN98" s="68"/>
      <c r="BO98" s="69"/>
      <c r="BP98" s="68"/>
      <c r="BQ98" s="68"/>
      <c r="BR98" s="68"/>
      <c r="BS98" s="32"/>
      <c r="BT98" s="68"/>
      <c r="BU98" s="68"/>
      <c r="BV98" s="32"/>
      <c r="BW98" s="127"/>
      <c r="BX98" s="128"/>
      <c r="BY98" s="129"/>
      <c r="BZ98" s="76"/>
      <c r="CA98" s="75"/>
      <c r="CB98" s="76"/>
      <c r="CC98" s="18"/>
      <c r="CD98" s="10"/>
      <c r="CF98" s="194"/>
      <c r="CH98" s="194"/>
      <c r="CJ98" s="194"/>
    </row>
    <row r="99" spans="1:89" s="152" customFormat="1" ht="16" hidden="1" customHeight="1" x14ac:dyDescent="0.4">
      <c r="A99" s="43"/>
      <c r="B99" s="102"/>
      <c r="C99" s="81" t="s">
        <v>74</v>
      </c>
      <c r="D99" s="95" t="s">
        <v>72</v>
      </c>
      <c r="E99" s="39" t="s">
        <v>18</v>
      </c>
      <c r="F99" s="65"/>
      <c r="G99" s="65"/>
      <c r="H99" s="65"/>
      <c r="I99" s="66"/>
      <c r="J99" s="66"/>
      <c r="K99" s="65"/>
      <c r="L99" s="65"/>
      <c r="M99" s="349"/>
      <c r="N99" s="349"/>
      <c r="O99" s="349"/>
      <c r="P99" s="349"/>
      <c r="Q99" s="349"/>
      <c r="R99" s="349"/>
      <c r="S99" s="349"/>
      <c r="T99" s="349"/>
      <c r="U99" s="349"/>
      <c r="V99" s="349"/>
      <c r="W99" s="349"/>
      <c r="X99" s="349"/>
      <c r="Y99" s="349"/>
      <c r="Z99" s="349"/>
      <c r="AA99" s="349"/>
      <c r="AB99" s="349"/>
      <c r="AC99" s="349"/>
      <c r="AD99" s="349"/>
      <c r="AE99" s="349"/>
      <c r="AF99" s="349"/>
      <c r="AG99" s="349"/>
      <c r="AH99" s="349"/>
      <c r="AI99" s="349"/>
      <c r="AJ99" s="349"/>
      <c r="AK99" s="349"/>
      <c r="AL99" s="349"/>
      <c r="AM99" s="349"/>
      <c r="AN99" s="349"/>
      <c r="AO99" s="349"/>
      <c r="AP99" s="349"/>
      <c r="AQ99" s="349"/>
      <c r="AR99" s="349"/>
      <c r="AS99" s="349"/>
      <c r="AT99" s="349"/>
      <c r="AU99" s="349"/>
      <c r="AV99" s="349"/>
      <c r="AW99" s="349"/>
      <c r="AX99" s="349"/>
      <c r="AY99" s="349"/>
      <c r="AZ99" s="349"/>
      <c r="BA99" s="349"/>
      <c r="BB99" s="349"/>
      <c r="BC99" s="349"/>
      <c r="BD99" s="349"/>
      <c r="BE99" s="349"/>
      <c r="BF99" s="349"/>
      <c r="BG99" s="349"/>
      <c r="BH99" s="349"/>
      <c r="BI99" s="349"/>
      <c r="BJ99" s="349"/>
      <c r="BK99" s="349"/>
      <c r="BL99" s="349"/>
      <c r="BM99" s="175" t="e">
        <f>SUM(#REF!)</f>
        <v>#REF!</v>
      </c>
      <c r="BN99" s="22">
        <v>310</v>
      </c>
      <c r="BO99" s="83">
        <v>0.3</v>
      </c>
      <c r="BP99" s="22">
        <f>BN99*(1-BO99)</f>
        <v>217</v>
      </c>
      <c r="BQ99" s="22" t="e">
        <f>BP99*BM99</f>
        <v>#REF!</v>
      </c>
      <c r="BR99" s="84">
        <f>BP99*0.8</f>
        <v>173.60000000000002</v>
      </c>
      <c r="BS99" s="32"/>
      <c r="BT99" s="84" t="e">
        <f>BQ99*0.8</f>
        <v>#REF!</v>
      </c>
      <c r="BU99" s="84"/>
      <c r="BV99" s="32"/>
      <c r="BW99" s="99">
        <f>BX99/CA99*100</f>
        <v>3.0700540793748683</v>
      </c>
      <c r="BX99" s="86">
        <v>1402</v>
      </c>
      <c r="BY99" s="87" t="e">
        <f>BW99*BM99</f>
        <v>#REF!</v>
      </c>
      <c r="BZ99" s="88">
        <v>92819</v>
      </c>
      <c r="CA99" s="89">
        <v>45666.948000000004</v>
      </c>
      <c r="CB99" s="90">
        <v>112160</v>
      </c>
      <c r="CC99" s="21" t="e">
        <f>BT99/CB99*1000</f>
        <v>#REF!</v>
      </c>
      <c r="CD99" s="160"/>
      <c r="CE99" s="30" t="str">
        <f>C99</f>
        <v>BEIRA MAR FM</v>
      </c>
      <c r="CF99" s="194"/>
      <c r="CG99" s="30" t="e">
        <f>SUM(#REF!)</f>
        <v>#REF!</v>
      </c>
      <c r="CH99" s="194" t="e">
        <f>#REF!*CG99</f>
        <v>#REF!</v>
      </c>
      <c r="CI99" s="306" t="e">
        <f>SUM(#REF!)</f>
        <v>#REF!</v>
      </c>
      <c r="CJ99" s="194" t="e">
        <f>#REF!*CI99</f>
        <v>#REF!</v>
      </c>
      <c r="CK99" s="151"/>
    </row>
    <row r="100" spans="1:89" ht="16" hidden="1" customHeight="1" x14ac:dyDescent="0.25">
      <c r="A100" s="32"/>
      <c r="B100" s="102"/>
      <c r="C100" s="116" t="s">
        <v>75</v>
      </c>
      <c r="D100" s="95"/>
      <c r="E100" s="39"/>
      <c r="F100" s="65"/>
      <c r="G100" s="65"/>
      <c r="H100" s="65"/>
      <c r="I100" s="66"/>
      <c r="J100" s="66"/>
      <c r="K100" s="65"/>
      <c r="L100" s="65"/>
      <c r="M100" s="350"/>
      <c r="N100" s="350"/>
      <c r="O100" s="350"/>
      <c r="P100" s="350"/>
      <c r="Q100" s="350"/>
      <c r="R100" s="350"/>
      <c r="S100" s="350"/>
      <c r="T100" s="350"/>
      <c r="U100" s="350"/>
      <c r="V100" s="350"/>
      <c r="W100" s="350"/>
      <c r="X100" s="350"/>
      <c r="Y100" s="350"/>
      <c r="Z100" s="350"/>
      <c r="AA100" s="350"/>
      <c r="AB100" s="350"/>
      <c r="AC100" s="350"/>
      <c r="AD100" s="350"/>
      <c r="AE100" s="350"/>
      <c r="AF100" s="350"/>
      <c r="AG100" s="350"/>
      <c r="AH100" s="350"/>
      <c r="AI100" s="350"/>
      <c r="AJ100" s="350"/>
      <c r="AK100" s="350"/>
      <c r="AL100" s="350"/>
      <c r="AM100" s="350"/>
      <c r="AN100" s="350"/>
      <c r="AO100" s="350"/>
      <c r="AP100" s="350"/>
      <c r="AQ100" s="350"/>
      <c r="AR100" s="350"/>
      <c r="AS100" s="350"/>
      <c r="AT100" s="350"/>
      <c r="AU100" s="350"/>
      <c r="AV100" s="350"/>
      <c r="AW100" s="350"/>
      <c r="AX100" s="350"/>
      <c r="AY100" s="350"/>
      <c r="AZ100" s="350"/>
      <c r="BA100" s="350"/>
      <c r="BB100" s="350"/>
      <c r="BC100" s="350"/>
      <c r="BD100" s="350"/>
      <c r="BE100" s="350"/>
      <c r="BF100" s="350"/>
      <c r="BG100" s="350"/>
      <c r="BH100" s="350"/>
      <c r="BI100" s="350"/>
      <c r="BJ100" s="350"/>
      <c r="BK100" s="350"/>
      <c r="BL100" s="350"/>
      <c r="BM100" s="173"/>
      <c r="BN100" s="104"/>
      <c r="BO100" s="195"/>
      <c r="BP100" s="104"/>
      <c r="BQ100" s="104"/>
      <c r="BR100" s="104"/>
      <c r="BS100" s="32"/>
      <c r="BT100" s="104"/>
      <c r="BU100" s="104"/>
      <c r="BV100" s="32"/>
      <c r="BW100" s="106"/>
      <c r="BX100" s="107"/>
      <c r="BY100" s="108"/>
      <c r="BZ100" s="109"/>
      <c r="CA100" s="110"/>
      <c r="CB100" s="109"/>
      <c r="CC100" s="114"/>
      <c r="CD100" s="10"/>
      <c r="CF100" s="194"/>
      <c r="CH100" s="194"/>
      <c r="CJ100" s="194"/>
    </row>
    <row r="101" spans="1:89" ht="16" hidden="1" customHeight="1" x14ac:dyDescent="0.25">
      <c r="A101" s="32"/>
      <c r="B101" s="102"/>
      <c r="C101" s="95"/>
      <c r="D101" s="95"/>
      <c r="E101" s="39"/>
      <c r="F101" s="65"/>
      <c r="G101" s="65"/>
      <c r="H101" s="65"/>
      <c r="I101" s="66"/>
      <c r="J101" s="66"/>
      <c r="K101" s="65"/>
      <c r="L101" s="65"/>
      <c r="M101" s="348"/>
      <c r="N101" s="348"/>
      <c r="O101" s="348"/>
      <c r="P101" s="348"/>
      <c r="Q101" s="348"/>
      <c r="R101" s="348"/>
      <c r="S101" s="348"/>
      <c r="T101" s="348"/>
      <c r="U101" s="348"/>
      <c r="V101" s="348"/>
      <c r="W101" s="348"/>
      <c r="X101" s="348"/>
      <c r="Y101" s="348"/>
      <c r="Z101" s="348"/>
      <c r="AA101" s="348"/>
      <c r="AB101" s="348"/>
      <c r="AC101" s="348"/>
      <c r="AD101" s="348"/>
      <c r="AE101" s="348"/>
      <c r="AF101" s="348"/>
      <c r="AG101" s="348"/>
      <c r="AH101" s="348"/>
      <c r="AI101" s="348"/>
      <c r="AJ101" s="348"/>
      <c r="AK101" s="348"/>
      <c r="AL101" s="348"/>
      <c r="AM101" s="348"/>
      <c r="AN101" s="348"/>
      <c r="AO101" s="348"/>
      <c r="AP101" s="348"/>
      <c r="AQ101" s="348"/>
      <c r="AR101" s="348"/>
      <c r="AS101" s="348"/>
      <c r="AT101" s="348"/>
      <c r="AU101" s="348"/>
      <c r="AV101" s="348"/>
      <c r="AW101" s="348"/>
      <c r="AX101" s="348"/>
      <c r="AY101" s="348"/>
      <c r="AZ101" s="348"/>
      <c r="BA101" s="348"/>
      <c r="BB101" s="348"/>
      <c r="BC101" s="348"/>
      <c r="BD101" s="348"/>
      <c r="BE101" s="348"/>
      <c r="BF101" s="348"/>
      <c r="BG101" s="348"/>
      <c r="BH101" s="348"/>
      <c r="BI101" s="348"/>
      <c r="BJ101" s="348"/>
      <c r="BK101" s="348"/>
      <c r="BL101" s="348"/>
      <c r="BM101" s="67"/>
      <c r="BN101" s="68"/>
      <c r="BO101" s="69"/>
      <c r="BP101" s="68"/>
      <c r="BQ101" s="68"/>
      <c r="BR101" s="68"/>
      <c r="BS101" s="32"/>
      <c r="BT101" s="68"/>
      <c r="BU101" s="68"/>
      <c r="BV101" s="32"/>
      <c r="BW101" s="127"/>
      <c r="BX101" s="128"/>
      <c r="BY101" s="129"/>
      <c r="BZ101" s="76"/>
      <c r="CA101" s="75"/>
      <c r="CB101" s="76"/>
      <c r="CC101" s="18"/>
      <c r="CD101" s="10"/>
      <c r="CF101" s="194"/>
      <c r="CH101" s="194"/>
      <c r="CJ101" s="194"/>
    </row>
    <row r="102" spans="1:89" ht="16" hidden="1" customHeight="1" x14ac:dyDescent="0.25">
      <c r="A102" s="32"/>
      <c r="B102" s="102"/>
      <c r="C102" s="81" t="s">
        <v>76</v>
      </c>
      <c r="D102" s="95" t="s">
        <v>72</v>
      </c>
      <c r="E102" s="39" t="s">
        <v>18</v>
      </c>
      <c r="F102" s="65"/>
      <c r="G102" s="65"/>
      <c r="H102" s="65"/>
      <c r="I102" s="66"/>
      <c r="J102" s="66"/>
      <c r="K102" s="65"/>
      <c r="L102" s="65"/>
      <c r="M102" s="349"/>
      <c r="N102" s="349"/>
      <c r="O102" s="349"/>
      <c r="P102" s="349"/>
      <c r="Q102" s="349"/>
      <c r="R102" s="349"/>
      <c r="S102" s="349"/>
      <c r="T102" s="349"/>
      <c r="U102" s="349"/>
      <c r="V102" s="349"/>
      <c r="W102" s="349"/>
      <c r="X102" s="349"/>
      <c r="Y102" s="349"/>
      <c r="Z102" s="349"/>
      <c r="AA102" s="349"/>
      <c r="AB102" s="349"/>
      <c r="AC102" s="349"/>
      <c r="AD102" s="349"/>
      <c r="AE102" s="349"/>
      <c r="AF102" s="349"/>
      <c r="AG102" s="349"/>
      <c r="AH102" s="349"/>
      <c r="AI102" s="349"/>
      <c r="AJ102" s="349"/>
      <c r="AK102" s="349"/>
      <c r="AL102" s="349"/>
      <c r="AM102" s="349"/>
      <c r="AN102" s="349"/>
      <c r="AO102" s="349"/>
      <c r="AP102" s="349"/>
      <c r="AQ102" s="349"/>
      <c r="AR102" s="349"/>
      <c r="AS102" s="349"/>
      <c r="AT102" s="349"/>
      <c r="AU102" s="349"/>
      <c r="AV102" s="349"/>
      <c r="AW102" s="349"/>
      <c r="AX102" s="349"/>
      <c r="AY102" s="349"/>
      <c r="AZ102" s="349"/>
      <c r="BA102" s="349"/>
      <c r="BB102" s="349"/>
      <c r="BC102" s="349"/>
      <c r="BD102" s="349"/>
      <c r="BE102" s="349"/>
      <c r="BF102" s="349"/>
      <c r="BG102" s="349"/>
      <c r="BH102" s="349"/>
      <c r="BI102" s="349"/>
      <c r="BJ102" s="349"/>
      <c r="BK102" s="349"/>
      <c r="BL102" s="349"/>
      <c r="BM102" s="175" t="e">
        <f>SUM(#REF!)</f>
        <v>#REF!</v>
      </c>
      <c r="BN102" s="22">
        <v>800</v>
      </c>
      <c r="BO102" s="83">
        <v>0.8</v>
      </c>
      <c r="BP102" s="22">
        <f>BN102*(1-BO102)</f>
        <v>159.99999999999997</v>
      </c>
      <c r="BQ102" s="22" t="e">
        <f>BP102*BM102</f>
        <v>#REF!</v>
      </c>
      <c r="BR102" s="84">
        <f>BP102*0.8</f>
        <v>127.99999999999999</v>
      </c>
      <c r="BS102" s="32"/>
      <c r="BT102" s="84" t="e">
        <f>BQ102*0.8</f>
        <v>#REF!</v>
      </c>
      <c r="BU102" s="84"/>
      <c r="BV102" s="32"/>
      <c r="BW102" s="99" t="e">
        <f>BX102/CA102*100</f>
        <v>#DIV/0!</v>
      </c>
      <c r="BX102" s="86"/>
      <c r="BY102" s="87" t="e">
        <f>BW102*BM102</f>
        <v>#DIV/0!</v>
      </c>
      <c r="BZ102" s="88"/>
      <c r="CA102" s="89"/>
      <c r="CB102" s="90"/>
      <c r="CC102" s="21" t="e">
        <f>BT102/CB102*1000</f>
        <v>#REF!</v>
      </c>
      <c r="CD102" s="10"/>
      <c r="CE102" s="30" t="str">
        <f>C102</f>
        <v>MORADA FM</v>
      </c>
      <c r="CF102" s="194"/>
      <c r="CG102" s="30" t="e">
        <f>SUM(#REF!)</f>
        <v>#REF!</v>
      </c>
      <c r="CH102" s="194" t="e">
        <f>#REF!*CG102</f>
        <v>#REF!</v>
      </c>
      <c r="CI102" s="306" t="e">
        <f>SUM(#REF!)</f>
        <v>#REF!</v>
      </c>
      <c r="CJ102" s="194" t="e">
        <f>#REF!*CI102</f>
        <v>#REF!</v>
      </c>
    </row>
    <row r="103" spans="1:89" ht="16" hidden="1" customHeight="1" x14ac:dyDescent="0.25">
      <c r="A103" s="32"/>
      <c r="B103" s="102"/>
      <c r="C103" s="116" t="s">
        <v>77</v>
      </c>
      <c r="D103" s="95"/>
      <c r="E103" s="39"/>
      <c r="F103" s="65"/>
      <c r="G103" s="65"/>
      <c r="H103" s="65"/>
      <c r="I103" s="66"/>
      <c r="J103" s="66"/>
      <c r="K103" s="65"/>
      <c r="L103" s="65"/>
      <c r="M103" s="350"/>
      <c r="N103" s="350"/>
      <c r="O103" s="350"/>
      <c r="P103" s="350"/>
      <c r="Q103" s="350"/>
      <c r="R103" s="350"/>
      <c r="S103" s="350"/>
      <c r="T103" s="350"/>
      <c r="U103" s="350"/>
      <c r="V103" s="350"/>
      <c r="W103" s="350"/>
      <c r="X103" s="350"/>
      <c r="Y103" s="350"/>
      <c r="Z103" s="350"/>
      <c r="AA103" s="350"/>
      <c r="AB103" s="350"/>
      <c r="AC103" s="350"/>
      <c r="AD103" s="350"/>
      <c r="AE103" s="350"/>
      <c r="AF103" s="350"/>
      <c r="AG103" s="350"/>
      <c r="AH103" s="350"/>
      <c r="AI103" s="350"/>
      <c r="AJ103" s="350"/>
      <c r="AK103" s="350"/>
      <c r="AL103" s="350"/>
      <c r="AM103" s="350"/>
      <c r="AN103" s="350"/>
      <c r="AO103" s="350"/>
      <c r="AP103" s="350"/>
      <c r="AQ103" s="350"/>
      <c r="AR103" s="350"/>
      <c r="AS103" s="350"/>
      <c r="AT103" s="350"/>
      <c r="AU103" s="350"/>
      <c r="AV103" s="350"/>
      <c r="AW103" s="350"/>
      <c r="AX103" s="350"/>
      <c r="AY103" s="350"/>
      <c r="AZ103" s="350"/>
      <c r="BA103" s="350"/>
      <c r="BB103" s="350"/>
      <c r="BC103" s="350"/>
      <c r="BD103" s="350"/>
      <c r="BE103" s="350"/>
      <c r="BF103" s="350"/>
      <c r="BG103" s="350"/>
      <c r="BH103" s="350"/>
      <c r="BI103" s="350"/>
      <c r="BJ103" s="350"/>
      <c r="BK103" s="350"/>
      <c r="BL103" s="350"/>
      <c r="BM103" s="173"/>
      <c r="BN103" s="104"/>
      <c r="BO103" s="195"/>
      <c r="BP103" s="104"/>
      <c r="BQ103" s="104"/>
      <c r="BR103" s="104"/>
      <c r="BS103" s="32"/>
      <c r="BT103" s="104"/>
      <c r="BU103" s="104"/>
      <c r="BV103" s="32"/>
      <c r="BW103" s="106"/>
      <c r="BX103" s="107"/>
      <c r="BY103" s="108"/>
      <c r="BZ103" s="109"/>
      <c r="CA103" s="110"/>
      <c r="CB103" s="109"/>
      <c r="CC103" s="114"/>
      <c r="CD103" s="10"/>
      <c r="CF103" s="194"/>
      <c r="CH103" s="194"/>
      <c r="CJ103" s="194"/>
    </row>
    <row r="104" spans="1:89" ht="16" hidden="1" customHeight="1" x14ac:dyDescent="0.25">
      <c r="A104" s="32"/>
      <c r="B104" s="102"/>
      <c r="C104" s="95"/>
      <c r="D104" s="95"/>
      <c r="E104" s="39"/>
      <c r="F104" s="65"/>
      <c r="G104" s="65"/>
      <c r="H104" s="65"/>
      <c r="I104" s="66"/>
      <c r="J104" s="66"/>
      <c r="K104" s="65"/>
      <c r="L104" s="65"/>
      <c r="M104" s="348"/>
      <c r="N104" s="348"/>
      <c r="O104" s="348"/>
      <c r="P104" s="348"/>
      <c r="Q104" s="348"/>
      <c r="R104" s="348"/>
      <c r="S104" s="348"/>
      <c r="T104" s="348"/>
      <c r="U104" s="348"/>
      <c r="V104" s="348"/>
      <c r="W104" s="348"/>
      <c r="X104" s="348"/>
      <c r="Y104" s="348"/>
      <c r="Z104" s="348"/>
      <c r="AA104" s="348"/>
      <c r="AB104" s="348"/>
      <c r="AC104" s="348"/>
      <c r="AD104" s="348"/>
      <c r="AE104" s="348"/>
      <c r="AF104" s="348"/>
      <c r="AG104" s="348"/>
      <c r="AH104" s="348"/>
      <c r="AI104" s="348"/>
      <c r="AJ104" s="348"/>
      <c r="AK104" s="348"/>
      <c r="AL104" s="348"/>
      <c r="AM104" s="348"/>
      <c r="AN104" s="348"/>
      <c r="AO104" s="348"/>
      <c r="AP104" s="348"/>
      <c r="AQ104" s="348"/>
      <c r="AR104" s="348"/>
      <c r="AS104" s="348"/>
      <c r="AT104" s="348"/>
      <c r="AU104" s="348"/>
      <c r="AV104" s="348"/>
      <c r="AW104" s="348"/>
      <c r="AX104" s="348"/>
      <c r="AY104" s="348"/>
      <c r="AZ104" s="348"/>
      <c r="BA104" s="348"/>
      <c r="BB104" s="348"/>
      <c r="BC104" s="348"/>
      <c r="BD104" s="348"/>
      <c r="BE104" s="348"/>
      <c r="BF104" s="348"/>
      <c r="BG104" s="348"/>
      <c r="BH104" s="348"/>
      <c r="BI104" s="348"/>
      <c r="BJ104" s="348"/>
      <c r="BK104" s="348"/>
      <c r="BL104" s="348"/>
      <c r="BM104" s="67"/>
      <c r="BN104" s="68"/>
      <c r="BO104" s="69"/>
      <c r="BP104" s="68"/>
      <c r="BQ104" s="68"/>
      <c r="BR104" s="68"/>
      <c r="BS104" s="32"/>
      <c r="BT104" s="68"/>
      <c r="BU104" s="68"/>
      <c r="BV104" s="32"/>
      <c r="BW104" s="127"/>
      <c r="BX104" s="128"/>
      <c r="BY104" s="129"/>
      <c r="BZ104" s="76"/>
      <c r="CA104" s="75"/>
      <c r="CB104" s="76"/>
      <c r="CC104" s="18"/>
      <c r="CD104" s="10"/>
      <c r="CF104" s="194"/>
      <c r="CH104" s="194"/>
      <c r="CJ104" s="194"/>
    </row>
    <row r="105" spans="1:89" ht="16" hidden="1" customHeight="1" x14ac:dyDescent="0.25">
      <c r="A105" s="32"/>
      <c r="B105" s="102"/>
      <c r="C105" s="81" t="s">
        <v>65</v>
      </c>
      <c r="D105" s="95" t="s">
        <v>72</v>
      </c>
      <c r="E105" s="39" t="s">
        <v>18</v>
      </c>
      <c r="F105" s="65"/>
      <c r="G105" s="65"/>
      <c r="H105" s="65"/>
      <c r="I105" s="66"/>
      <c r="J105" s="66"/>
      <c r="K105" s="65"/>
      <c r="L105" s="65"/>
      <c r="M105" s="349"/>
      <c r="N105" s="349"/>
      <c r="O105" s="349"/>
      <c r="P105" s="349"/>
      <c r="Q105" s="349"/>
      <c r="R105" s="349"/>
      <c r="S105" s="349"/>
      <c r="T105" s="349"/>
      <c r="U105" s="349"/>
      <c r="V105" s="349"/>
      <c r="W105" s="349"/>
      <c r="X105" s="349"/>
      <c r="Y105" s="349"/>
      <c r="Z105" s="349"/>
      <c r="AA105" s="349"/>
      <c r="AB105" s="349"/>
      <c r="AC105" s="349"/>
      <c r="AD105" s="349"/>
      <c r="AE105" s="349"/>
      <c r="AF105" s="349"/>
      <c r="AG105" s="349"/>
      <c r="AH105" s="349"/>
      <c r="AI105" s="349"/>
      <c r="AJ105" s="349"/>
      <c r="AK105" s="349"/>
      <c r="AL105" s="349"/>
      <c r="AM105" s="349"/>
      <c r="AN105" s="349"/>
      <c r="AO105" s="349"/>
      <c r="AP105" s="349"/>
      <c r="AQ105" s="349"/>
      <c r="AR105" s="349"/>
      <c r="AS105" s="349"/>
      <c r="AT105" s="349"/>
      <c r="AU105" s="349"/>
      <c r="AV105" s="349"/>
      <c r="AW105" s="349"/>
      <c r="AX105" s="349"/>
      <c r="AY105" s="349"/>
      <c r="AZ105" s="349"/>
      <c r="BA105" s="349"/>
      <c r="BB105" s="349"/>
      <c r="BC105" s="349"/>
      <c r="BD105" s="349"/>
      <c r="BE105" s="349"/>
      <c r="BF105" s="349"/>
      <c r="BG105" s="349"/>
      <c r="BH105" s="349"/>
      <c r="BI105" s="349"/>
      <c r="BJ105" s="349"/>
      <c r="BK105" s="349"/>
      <c r="BL105" s="349"/>
      <c r="BM105" s="175" t="e">
        <f>SUM(#REF!)</f>
        <v>#REF!</v>
      </c>
      <c r="BN105" s="22">
        <v>178</v>
      </c>
      <c r="BO105" s="83">
        <v>0.78</v>
      </c>
      <c r="BP105" s="22">
        <f>BN105*(1-BO105)</f>
        <v>39.159999999999997</v>
      </c>
      <c r="BQ105" s="22" t="e">
        <f>BP105*BM105</f>
        <v>#REF!</v>
      </c>
      <c r="BR105" s="84">
        <f>BP105*0.8</f>
        <v>31.327999999999999</v>
      </c>
      <c r="BS105" s="32"/>
      <c r="BT105" s="84" t="e">
        <f>BQ105*0.8</f>
        <v>#REF!</v>
      </c>
      <c r="BU105" s="84"/>
      <c r="BV105" s="32"/>
      <c r="BW105" s="99" t="e">
        <f>BX105/CA105*100</f>
        <v>#DIV/0!</v>
      </c>
      <c r="BX105" s="86"/>
      <c r="BY105" s="87" t="e">
        <f>BW105*BM105</f>
        <v>#DIV/0!</v>
      </c>
      <c r="BZ105" s="88"/>
      <c r="CA105" s="89"/>
      <c r="CB105" s="90"/>
      <c r="CC105" s="21" t="e">
        <f>BT105/CB105*1000</f>
        <v>#REF!</v>
      </c>
      <c r="CD105" s="10"/>
      <c r="CE105" s="30" t="str">
        <f>C105</f>
        <v>ANTENA 1</v>
      </c>
      <c r="CF105" s="194"/>
      <c r="CG105" s="30" t="e">
        <f>SUM(#REF!)</f>
        <v>#REF!</v>
      </c>
      <c r="CH105" s="194" t="e">
        <f>#REF!*CG105</f>
        <v>#REF!</v>
      </c>
      <c r="CI105" s="306" t="e">
        <f>SUM(#REF!)</f>
        <v>#REF!</v>
      </c>
      <c r="CJ105" s="194" t="e">
        <f>#REF!*CI105</f>
        <v>#REF!</v>
      </c>
    </row>
    <row r="106" spans="1:89" ht="16" hidden="1" customHeight="1" x14ac:dyDescent="0.25">
      <c r="A106" s="32"/>
      <c r="B106" s="102"/>
      <c r="C106" s="116" t="s">
        <v>78</v>
      </c>
      <c r="D106" s="95"/>
      <c r="E106" s="39"/>
      <c r="F106" s="65"/>
      <c r="G106" s="65"/>
      <c r="H106" s="65"/>
      <c r="I106" s="66"/>
      <c r="J106" s="66"/>
      <c r="K106" s="65"/>
      <c r="L106" s="65"/>
      <c r="M106" s="350"/>
      <c r="N106" s="350"/>
      <c r="O106" s="350"/>
      <c r="P106" s="350"/>
      <c r="Q106" s="350"/>
      <c r="R106" s="350"/>
      <c r="S106" s="350"/>
      <c r="T106" s="350"/>
      <c r="U106" s="350"/>
      <c r="V106" s="350"/>
      <c r="W106" s="350"/>
      <c r="X106" s="350"/>
      <c r="Y106" s="350"/>
      <c r="Z106" s="350"/>
      <c r="AA106" s="350"/>
      <c r="AB106" s="350"/>
      <c r="AC106" s="350"/>
      <c r="AD106" s="350"/>
      <c r="AE106" s="350"/>
      <c r="AF106" s="350"/>
      <c r="AG106" s="350"/>
      <c r="AH106" s="350"/>
      <c r="AI106" s="350"/>
      <c r="AJ106" s="350"/>
      <c r="AK106" s="350"/>
      <c r="AL106" s="350"/>
      <c r="AM106" s="350"/>
      <c r="AN106" s="350"/>
      <c r="AO106" s="350"/>
      <c r="AP106" s="350"/>
      <c r="AQ106" s="350"/>
      <c r="AR106" s="350"/>
      <c r="AS106" s="350"/>
      <c r="AT106" s="350"/>
      <c r="AU106" s="350"/>
      <c r="AV106" s="350"/>
      <c r="AW106" s="350"/>
      <c r="AX106" s="350"/>
      <c r="AY106" s="350"/>
      <c r="AZ106" s="350"/>
      <c r="BA106" s="350"/>
      <c r="BB106" s="350"/>
      <c r="BC106" s="350"/>
      <c r="BD106" s="350"/>
      <c r="BE106" s="350"/>
      <c r="BF106" s="350"/>
      <c r="BG106" s="350"/>
      <c r="BH106" s="350"/>
      <c r="BI106" s="350"/>
      <c r="BJ106" s="350"/>
      <c r="BK106" s="350"/>
      <c r="BL106" s="350"/>
      <c r="BM106" s="173"/>
      <c r="BN106" s="104"/>
      <c r="BO106" s="195"/>
      <c r="BP106" s="104"/>
      <c r="BQ106" s="104"/>
      <c r="BR106" s="104"/>
      <c r="BS106" s="32"/>
      <c r="BT106" s="104"/>
      <c r="BU106" s="104"/>
      <c r="BV106" s="32"/>
      <c r="BW106" s="106"/>
      <c r="BX106" s="107"/>
      <c r="BY106" s="108"/>
      <c r="BZ106" s="109"/>
      <c r="CA106" s="110"/>
      <c r="CB106" s="109"/>
      <c r="CC106" s="114"/>
      <c r="CD106" s="10"/>
      <c r="CF106" s="194"/>
      <c r="CH106" s="194"/>
      <c r="CJ106" s="194"/>
    </row>
    <row r="107" spans="1:89" ht="16" hidden="1" customHeight="1" x14ac:dyDescent="0.25">
      <c r="A107" s="32"/>
      <c r="B107" s="102"/>
      <c r="C107" s="95"/>
      <c r="D107" s="95"/>
      <c r="E107" s="39"/>
      <c r="F107" s="65"/>
      <c r="G107" s="65"/>
      <c r="H107" s="65"/>
      <c r="I107" s="66"/>
      <c r="J107" s="66"/>
      <c r="K107" s="65"/>
      <c r="L107" s="65"/>
      <c r="M107" s="348"/>
      <c r="N107" s="348"/>
      <c r="O107" s="348"/>
      <c r="P107" s="348"/>
      <c r="Q107" s="348"/>
      <c r="R107" s="348"/>
      <c r="S107" s="348"/>
      <c r="T107" s="348"/>
      <c r="U107" s="348"/>
      <c r="V107" s="348"/>
      <c r="W107" s="348"/>
      <c r="X107" s="348"/>
      <c r="Y107" s="348"/>
      <c r="Z107" s="348"/>
      <c r="AA107" s="348"/>
      <c r="AB107" s="348"/>
      <c r="AC107" s="348"/>
      <c r="AD107" s="348"/>
      <c r="AE107" s="348"/>
      <c r="AF107" s="348"/>
      <c r="AG107" s="348"/>
      <c r="AH107" s="348"/>
      <c r="AI107" s="348"/>
      <c r="AJ107" s="348"/>
      <c r="AK107" s="348"/>
      <c r="AL107" s="348"/>
      <c r="AM107" s="348"/>
      <c r="AN107" s="348"/>
      <c r="AO107" s="348"/>
      <c r="AP107" s="348"/>
      <c r="AQ107" s="348"/>
      <c r="AR107" s="348"/>
      <c r="AS107" s="348"/>
      <c r="AT107" s="348"/>
      <c r="AU107" s="348"/>
      <c r="AV107" s="348"/>
      <c r="AW107" s="348"/>
      <c r="AX107" s="348"/>
      <c r="AY107" s="348"/>
      <c r="AZ107" s="348"/>
      <c r="BA107" s="348"/>
      <c r="BB107" s="348"/>
      <c r="BC107" s="348"/>
      <c r="BD107" s="348"/>
      <c r="BE107" s="348"/>
      <c r="BF107" s="348"/>
      <c r="BG107" s="348"/>
      <c r="BH107" s="348"/>
      <c r="BI107" s="348"/>
      <c r="BJ107" s="348"/>
      <c r="BK107" s="348"/>
      <c r="BL107" s="348"/>
      <c r="BM107" s="67"/>
      <c r="BN107" s="68"/>
      <c r="BO107" s="69"/>
      <c r="BP107" s="68"/>
      <c r="BQ107" s="68"/>
      <c r="BR107" s="68"/>
      <c r="BS107" s="32"/>
      <c r="BT107" s="68"/>
      <c r="BU107" s="68"/>
      <c r="BV107" s="32"/>
      <c r="BW107" s="127"/>
      <c r="BX107" s="128"/>
      <c r="BY107" s="129"/>
      <c r="BZ107" s="76"/>
      <c r="CA107" s="75"/>
      <c r="CB107" s="76"/>
      <c r="CC107" s="18"/>
      <c r="CD107" s="10"/>
      <c r="CF107" s="194"/>
      <c r="CH107" s="194"/>
      <c r="CJ107" s="194"/>
    </row>
    <row r="108" spans="1:89" ht="16" hidden="1" customHeight="1" x14ac:dyDescent="0.25">
      <c r="A108" s="32"/>
      <c r="B108" s="102"/>
      <c r="C108" s="81" t="s">
        <v>79</v>
      </c>
      <c r="D108" s="95" t="s">
        <v>72</v>
      </c>
      <c r="E108" s="39" t="s">
        <v>18</v>
      </c>
      <c r="F108" s="65"/>
      <c r="G108" s="65"/>
      <c r="H108" s="65"/>
      <c r="I108" s="66"/>
      <c r="J108" s="66"/>
      <c r="K108" s="65"/>
      <c r="L108" s="65"/>
      <c r="M108" s="349"/>
      <c r="N108" s="349"/>
      <c r="O108" s="349"/>
      <c r="P108" s="349"/>
      <c r="Q108" s="349"/>
      <c r="R108" s="349"/>
      <c r="S108" s="349"/>
      <c r="T108" s="349"/>
      <c r="U108" s="349"/>
      <c r="V108" s="349"/>
      <c r="W108" s="349"/>
      <c r="X108" s="349"/>
      <c r="Y108" s="349"/>
      <c r="Z108" s="349"/>
      <c r="AA108" s="349"/>
      <c r="AB108" s="349"/>
      <c r="AC108" s="349"/>
      <c r="AD108" s="349"/>
      <c r="AE108" s="349"/>
      <c r="AF108" s="349"/>
      <c r="AG108" s="349"/>
      <c r="AH108" s="349"/>
      <c r="AI108" s="349"/>
      <c r="AJ108" s="349"/>
      <c r="AK108" s="349"/>
      <c r="AL108" s="349"/>
      <c r="AM108" s="349"/>
      <c r="AN108" s="349"/>
      <c r="AO108" s="349"/>
      <c r="AP108" s="349"/>
      <c r="AQ108" s="349"/>
      <c r="AR108" s="349"/>
      <c r="AS108" s="349"/>
      <c r="AT108" s="349"/>
      <c r="AU108" s="349"/>
      <c r="AV108" s="349"/>
      <c r="AW108" s="349"/>
      <c r="AX108" s="349"/>
      <c r="AY108" s="349"/>
      <c r="AZ108" s="349"/>
      <c r="BA108" s="349"/>
      <c r="BB108" s="349"/>
      <c r="BC108" s="349"/>
      <c r="BD108" s="349"/>
      <c r="BE108" s="349"/>
      <c r="BF108" s="349"/>
      <c r="BG108" s="349"/>
      <c r="BH108" s="349"/>
      <c r="BI108" s="349"/>
      <c r="BJ108" s="349"/>
      <c r="BK108" s="349"/>
      <c r="BL108" s="349"/>
      <c r="BM108" s="175" t="e">
        <f>SUM(#REF!)</f>
        <v>#REF!</v>
      </c>
      <c r="BN108" s="22"/>
      <c r="BO108" s="83">
        <v>0.4</v>
      </c>
      <c r="BP108" s="22">
        <f>BN108*(1-BO108)</f>
        <v>0</v>
      </c>
      <c r="BQ108" s="22" t="e">
        <f>BP108*BM108</f>
        <v>#REF!</v>
      </c>
      <c r="BR108" s="84">
        <f>BP108*0.8</f>
        <v>0</v>
      </c>
      <c r="BS108" s="32"/>
      <c r="BT108" s="84" t="e">
        <f>BQ108*0.8</f>
        <v>#REF!</v>
      </c>
      <c r="BU108" s="84"/>
      <c r="BV108" s="32"/>
      <c r="BW108" s="99"/>
      <c r="BX108" s="86"/>
      <c r="BY108" s="87" t="e">
        <f>BW108*BM108</f>
        <v>#REF!</v>
      </c>
      <c r="BZ108" s="88"/>
      <c r="CA108" s="89"/>
      <c r="CB108" s="90"/>
      <c r="CC108" s="21" t="e">
        <f>BT108/CB108*1000</f>
        <v>#REF!</v>
      </c>
      <c r="CD108" s="10"/>
      <c r="CE108" s="30" t="str">
        <f>C108</f>
        <v>RÁDIO PRAIA FM</v>
      </c>
      <c r="CF108" s="194"/>
      <c r="CG108" s="30" t="e">
        <f>SUM(#REF!)</f>
        <v>#REF!</v>
      </c>
      <c r="CH108" s="194" t="e">
        <f>#REF!*CG108</f>
        <v>#REF!</v>
      </c>
      <c r="CI108" s="306" t="e">
        <f>SUM(#REF!)</f>
        <v>#REF!</v>
      </c>
      <c r="CJ108" s="194" t="e">
        <f>#REF!*CI108</f>
        <v>#REF!</v>
      </c>
    </row>
    <row r="109" spans="1:89" ht="16" hidden="1" customHeight="1" x14ac:dyDescent="0.25">
      <c r="A109" s="32"/>
      <c r="B109" s="102"/>
      <c r="C109" s="116"/>
      <c r="D109" s="95"/>
      <c r="E109" s="39"/>
      <c r="F109" s="65"/>
      <c r="G109" s="65"/>
      <c r="H109" s="65"/>
      <c r="I109" s="66"/>
      <c r="J109" s="66"/>
      <c r="K109" s="65"/>
      <c r="L109" s="65"/>
      <c r="M109" s="350"/>
      <c r="N109" s="350"/>
      <c r="O109" s="350"/>
      <c r="P109" s="350"/>
      <c r="Q109" s="350"/>
      <c r="R109" s="350"/>
      <c r="S109" s="350"/>
      <c r="T109" s="350"/>
      <c r="U109" s="350"/>
      <c r="V109" s="350"/>
      <c r="W109" s="350"/>
      <c r="X109" s="350"/>
      <c r="Y109" s="350"/>
      <c r="Z109" s="350"/>
      <c r="AA109" s="350"/>
      <c r="AB109" s="350"/>
      <c r="AC109" s="350"/>
      <c r="AD109" s="350"/>
      <c r="AE109" s="350"/>
      <c r="AF109" s="350"/>
      <c r="AG109" s="350"/>
      <c r="AH109" s="350"/>
      <c r="AI109" s="350"/>
      <c r="AJ109" s="350"/>
      <c r="AK109" s="350"/>
      <c r="AL109" s="350"/>
      <c r="AM109" s="350"/>
      <c r="AN109" s="350"/>
      <c r="AO109" s="350"/>
      <c r="AP109" s="350"/>
      <c r="AQ109" s="350"/>
      <c r="AR109" s="350"/>
      <c r="AS109" s="350"/>
      <c r="AT109" s="350"/>
      <c r="AU109" s="350"/>
      <c r="AV109" s="350"/>
      <c r="AW109" s="350"/>
      <c r="AX109" s="350"/>
      <c r="AY109" s="350"/>
      <c r="AZ109" s="350"/>
      <c r="BA109" s="350"/>
      <c r="BB109" s="350"/>
      <c r="BC109" s="350"/>
      <c r="BD109" s="350"/>
      <c r="BE109" s="350"/>
      <c r="BF109" s="350"/>
      <c r="BG109" s="350"/>
      <c r="BH109" s="350"/>
      <c r="BI109" s="350"/>
      <c r="BJ109" s="350"/>
      <c r="BK109" s="350"/>
      <c r="BL109" s="350"/>
      <c r="BM109" s="173"/>
      <c r="BN109" s="104"/>
      <c r="BO109" s="195"/>
      <c r="BP109" s="104"/>
      <c r="BQ109" s="104"/>
      <c r="BR109" s="104"/>
      <c r="BS109" s="32"/>
      <c r="BT109" s="104"/>
      <c r="BU109" s="104"/>
      <c r="BV109" s="32"/>
      <c r="BW109" s="106"/>
      <c r="BX109" s="107"/>
      <c r="BY109" s="108"/>
      <c r="BZ109" s="109"/>
      <c r="CA109" s="110"/>
      <c r="CB109" s="109"/>
      <c r="CC109" s="114"/>
      <c r="CD109" s="10"/>
      <c r="CF109" s="194"/>
      <c r="CH109" s="194"/>
      <c r="CJ109" s="194"/>
    </row>
    <row r="110" spans="1:89" ht="16" hidden="1" customHeight="1" x14ac:dyDescent="0.25">
      <c r="A110" s="32"/>
      <c r="B110" s="102"/>
      <c r="C110" s="95"/>
      <c r="D110" s="95"/>
      <c r="E110" s="39"/>
      <c r="F110" s="65"/>
      <c r="G110" s="65"/>
      <c r="H110" s="65"/>
      <c r="I110" s="66"/>
      <c r="J110" s="66"/>
      <c r="K110" s="65"/>
      <c r="L110" s="65"/>
      <c r="M110" s="348"/>
      <c r="N110" s="348"/>
      <c r="O110" s="348"/>
      <c r="P110" s="348"/>
      <c r="Q110" s="348"/>
      <c r="R110" s="348"/>
      <c r="S110" s="348"/>
      <c r="T110" s="348"/>
      <c r="U110" s="348"/>
      <c r="V110" s="348"/>
      <c r="W110" s="348"/>
      <c r="X110" s="348"/>
      <c r="Y110" s="348"/>
      <c r="Z110" s="348"/>
      <c r="AA110" s="348"/>
      <c r="AB110" s="348"/>
      <c r="AC110" s="348"/>
      <c r="AD110" s="348"/>
      <c r="AE110" s="348"/>
      <c r="AF110" s="348"/>
      <c r="AG110" s="348"/>
      <c r="AH110" s="348"/>
      <c r="AI110" s="348"/>
      <c r="AJ110" s="348"/>
      <c r="AK110" s="348"/>
      <c r="AL110" s="348"/>
      <c r="AM110" s="348"/>
      <c r="AN110" s="348"/>
      <c r="AO110" s="348"/>
      <c r="AP110" s="348"/>
      <c r="AQ110" s="348"/>
      <c r="AR110" s="348"/>
      <c r="AS110" s="348"/>
      <c r="AT110" s="348"/>
      <c r="AU110" s="348"/>
      <c r="AV110" s="348"/>
      <c r="AW110" s="348"/>
      <c r="AX110" s="348"/>
      <c r="AY110" s="348"/>
      <c r="AZ110" s="348"/>
      <c r="BA110" s="348"/>
      <c r="BB110" s="348"/>
      <c r="BC110" s="348"/>
      <c r="BD110" s="348"/>
      <c r="BE110" s="348"/>
      <c r="BF110" s="348"/>
      <c r="BG110" s="348"/>
      <c r="BH110" s="348"/>
      <c r="BI110" s="348"/>
      <c r="BJ110" s="348"/>
      <c r="BK110" s="348"/>
      <c r="BL110" s="348"/>
      <c r="BM110" s="67"/>
      <c r="BN110" s="68"/>
      <c r="BO110" s="69"/>
      <c r="BP110" s="68"/>
      <c r="BQ110" s="68"/>
      <c r="BR110" s="68"/>
      <c r="BS110" s="32"/>
      <c r="BT110" s="68"/>
      <c r="BU110" s="68"/>
      <c r="BV110" s="32"/>
      <c r="BW110" s="127"/>
      <c r="BX110" s="128"/>
      <c r="BY110" s="129"/>
      <c r="BZ110" s="76"/>
      <c r="CA110" s="75"/>
      <c r="CB110" s="76"/>
      <c r="CC110" s="18"/>
      <c r="CD110" s="10"/>
      <c r="CF110" s="194"/>
      <c r="CH110" s="194"/>
      <c r="CJ110" s="194"/>
    </row>
    <row r="111" spans="1:89" ht="16" hidden="1" customHeight="1" x14ac:dyDescent="0.25">
      <c r="A111" s="32"/>
      <c r="B111" s="102"/>
      <c r="C111" s="81" t="s">
        <v>80</v>
      </c>
      <c r="D111" s="95" t="s">
        <v>72</v>
      </c>
      <c r="E111" s="39" t="s">
        <v>18</v>
      </c>
      <c r="F111" s="65"/>
      <c r="G111" s="65"/>
      <c r="H111" s="65"/>
      <c r="I111" s="66"/>
      <c r="J111" s="66"/>
      <c r="K111" s="65"/>
      <c r="L111" s="65"/>
      <c r="M111" s="349"/>
      <c r="N111" s="349"/>
      <c r="O111" s="349"/>
      <c r="P111" s="349"/>
      <c r="Q111" s="349"/>
      <c r="R111" s="349"/>
      <c r="S111" s="349"/>
      <c r="T111" s="349"/>
      <c r="U111" s="349"/>
      <c r="V111" s="349"/>
      <c r="W111" s="349"/>
      <c r="X111" s="349"/>
      <c r="Y111" s="349"/>
      <c r="Z111" s="349"/>
      <c r="AA111" s="349"/>
      <c r="AB111" s="349"/>
      <c r="AC111" s="349"/>
      <c r="AD111" s="349"/>
      <c r="AE111" s="349"/>
      <c r="AF111" s="349"/>
      <c r="AG111" s="349"/>
      <c r="AH111" s="349"/>
      <c r="AI111" s="349"/>
      <c r="AJ111" s="349"/>
      <c r="AK111" s="349"/>
      <c r="AL111" s="349"/>
      <c r="AM111" s="349"/>
      <c r="AN111" s="349"/>
      <c r="AO111" s="349"/>
      <c r="AP111" s="349"/>
      <c r="AQ111" s="349"/>
      <c r="AR111" s="349"/>
      <c r="AS111" s="349"/>
      <c r="AT111" s="349"/>
      <c r="AU111" s="349"/>
      <c r="AV111" s="349"/>
      <c r="AW111" s="349"/>
      <c r="AX111" s="349"/>
      <c r="AY111" s="349"/>
      <c r="AZ111" s="349"/>
      <c r="BA111" s="349"/>
      <c r="BB111" s="349"/>
      <c r="BC111" s="349"/>
      <c r="BD111" s="349"/>
      <c r="BE111" s="349"/>
      <c r="BF111" s="349"/>
      <c r="BG111" s="349"/>
      <c r="BH111" s="349"/>
      <c r="BI111" s="349"/>
      <c r="BJ111" s="349"/>
      <c r="BK111" s="349"/>
      <c r="BL111" s="349"/>
      <c r="BM111" s="175" t="e">
        <f>SUM(#REF!)</f>
        <v>#REF!</v>
      </c>
      <c r="BN111" s="22">
        <v>120</v>
      </c>
      <c r="BO111" s="83">
        <v>0.3</v>
      </c>
      <c r="BP111" s="22">
        <f>BN111*(1-BO111)</f>
        <v>84</v>
      </c>
      <c r="BQ111" s="22" t="e">
        <f>BP111*BM111</f>
        <v>#REF!</v>
      </c>
      <c r="BR111" s="84">
        <f>BP111*0.8</f>
        <v>67.2</v>
      </c>
      <c r="BS111" s="32"/>
      <c r="BT111" s="84" t="e">
        <f>BQ111*0.8</f>
        <v>#REF!</v>
      </c>
      <c r="BU111" s="84"/>
      <c r="BV111" s="32"/>
      <c r="BW111" s="99"/>
      <c r="BX111" s="86"/>
      <c r="BY111" s="87" t="e">
        <f>BW111*BM111</f>
        <v>#REF!</v>
      </c>
      <c r="BZ111" s="88"/>
      <c r="CA111" s="89"/>
      <c r="CB111" s="90"/>
      <c r="CC111" s="21" t="e">
        <f>BT111/CB111*1000</f>
        <v>#REF!</v>
      </c>
      <c r="CD111" s="10"/>
      <c r="CE111" s="30" t="str">
        <f>C111</f>
        <v>RÁDIO ANTENA 8</v>
      </c>
      <c r="CF111" s="194"/>
      <c r="CG111" s="30" t="e">
        <f>SUM(#REF!)</f>
        <v>#REF!</v>
      </c>
      <c r="CH111" s="194" t="e">
        <f>#REF!*CG111</f>
        <v>#REF!</v>
      </c>
      <c r="CI111" s="306" t="e">
        <f>SUM(#REF!)</f>
        <v>#REF!</v>
      </c>
      <c r="CJ111" s="194" t="e">
        <f>#REF!*CI111</f>
        <v>#REF!</v>
      </c>
    </row>
    <row r="112" spans="1:89" ht="16" hidden="1" customHeight="1" x14ac:dyDescent="0.25">
      <c r="A112" s="32"/>
      <c r="B112" s="102"/>
      <c r="C112" s="116" t="s">
        <v>73</v>
      </c>
      <c r="D112" s="95"/>
      <c r="E112" s="39"/>
      <c r="F112" s="65"/>
      <c r="G112" s="65"/>
      <c r="H112" s="65"/>
      <c r="I112" s="66"/>
      <c r="J112" s="66"/>
      <c r="K112" s="65"/>
      <c r="L112" s="65"/>
      <c r="M112" s="350"/>
      <c r="N112" s="350"/>
      <c r="O112" s="350"/>
      <c r="P112" s="350"/>
      <c r="Q112" s="350"/>
      <c r="R112" s="350"/>
      <c r="S112" s="350"/>
      <c r="T112" s="350"/>
      <c r="U112" s="350"/>
      <c r="V112" s="350"/>
      <c r="W112" s="350"/>
      <c r="X112" s="350"/>
      <c r="Y112" s="350"/>
      <c r="Z112" s="350"/>
      <c r="AA112" s="350"/>
      <c r="AB112" s="350"/>
      <c r="AC112" s="350"/>
      <c r="AD112" s="350"/>
      <c r="AE112" s="350"/>
      <c r="AF112" s="350"/>
      <c r="AG112" s="350"/>
      <c r="AH112" s="350"/>
      <c r="AI112" s="350"/>
      <c r="AJ112" s="350"/>
      <c r="AK112" s="350"/>
      <c r="AL112" s="350"/>
      <c r="AM112" s="350"/>
      <c r="AN112" s="350"/>
      <c r="AO112" s="350"/>
      <c r="AP112" s="350"/>
      <c r="AQ112" s="350"/>
      <c r="AR112" s="350"/>
      <c r="AS112" s="350"/>
      <c r="AT112" s="350"/>
      <c r="AU112" s="350"/>
      <c r="AV112" s="350"/>
      <c r="AW112" s="350"/>
      <c r="AX112" s="350"/>
      <c r="AY112" s="350"/>
      <c r="AZ112" s="350"/>
      <c r="BA112" s="350"/>
      <c r="BB112" s="350"/>
      <c r="BC112" s="350"/>
      <c r="BD112" s="350"/>
      <c r="BE112" s="350"/>
      <c r="BF112" s="350"/>
      <c r="BG112" s="350"/>
      <c r="BH112" s="350"/>
      <c r="BI112" s="350"/>
      <c r="BJ112" s="350"/>
      <c r="BK112" s="350"/>
      <c r="BL112" s="350"/>
      <c r="BM112" s="173"/>
      <c r="BN112" s="104"/>
      <c r="BO112" s="195"/>
      <c r="BP112" s="104"/>
      <c r="BQ112" s="104"/>
      <c r="BR112" s="104"/>
      <c r="BS112" s="32"/>
      <c r="BT112" s="104"/>
      <c r="BU112" s="104"/>
      <c r="BV112" s="32"/>
      <c r="BW112" s="106"/>
      <c r="BX112" s="107"/>
      <c r="BY112" s="108"/>
      <c r="BZ112" s="109"/>
      <c r="CA112" s="110"/>
      <c r="CB112" s="109"/>
      <c r="CC112" s="114"/>
      <c r="CD112" s="10"/>
      <c r="CF112" s="194"/>
      <c r="CH112" s="194"/>
      <c r="CJ112" s="194"/>
    </row>
    <row r="113" spans="1:143" ht="16" hidden="1" customHeight="1" x14ac:dyDescent="0.25">
      <c r="A113" s="32"/>
      <c r="B113" s="102"/>
      <c r="C113" s="95"/>
      <c r="D113" s="95"/>
      <c r="E113" s="39"/>
      <c r="F113" s="66"/>
      <c r="G113" s="65"/>
      <c r="H113" s="65"/>
      <c r="I113" s="65"/>
      <c r="J113" s="65"/>
      <c r="K113" s="65"/>
      <c r="L113" s="66"/>
      <c r="M113" s="351"/>
      <c r="N113" s="351"/>
      <c r="O113" s="351"/>
      <c r="P113" s="351"/>
      <c r="Q113" s="351"/>
      <c r="R113" s="351"/>
      <c r="S113" s="351"/>
      <c r="T113" s="351"/>
      <c r="U113" s="351"/>
      <c r="V113" s="351"/>
      <c r="W113" s="351"/>
      <c r="X113" s="351"/>
      <c r="Y113" s="351"/>
      <c r="Z113" s="351"/>
      <c r="AA113" s="351"/>
      <c r="AB113" s="351"/>
      <c r="AC113" s="351"/>
      <c r="AD113" s="351"/>
      <c r="AE113" s="351"/>
      <c r="AF113" s="351"/>
      <c r="AG113" s="351"/>
      <c r="AH113" s="351"/>
      <c r="AI113" s="351"/>
      <c r="AJ113" s="351"/>
      <c r="AK113" s="351"/>
      <c r="AL113" s="351"/>
      <c r="AM113" s="351"/>
      <c r="AN113" s="351"/>
      <c r="AO113" s="351"/>
      <c r="AP113" s="351"/>
      <c r="AQ113" s="351"/>
      <c r="AR113" s="351"/>
      <c r="AS113" s="351"/>
      <c r="AT113" s="351"/>
      <c r="AU113" s="351"/>
      <c r="AV113" s="351"/>
      <c r="AW113" s="351"/>
      <c r="AX113" s="351"/>
      <c r="AY113" s="351"/>
      <c r="AZ113" s="351"/>
      <c r="BA113" s="351"/>
      <c r="BB113" s="351"/>
      <c r="BC113" s="351"/>
      <c r="BD113" s="351"/>
      <c r="BE113" s="351"/>
      <c r="BF113" s="351"/>
      <c r="BG113" s="351"/>
      <c r="BH113" s="351"/>
      <c r="BI113" s="351"/>
      <c r="BJ113" s="351"/>
      <c r="BK113" s="351"/>
      <c r="BL113" s="351"/>
      <c r="BM113" s="67"/>
      <c r="BN113" s="68"/>
      <c r="BO113" s="69"/>
      <c r="BP113" s="68"/>
      <c r="BQ113" s="68"/>
      <c r="BR113" s="68"/>
      <c r="BS113" s="32"/>
      <c r="BT113" s="68"/>
      <c r="BU113" s="68"/>
      <c r="BV113" s="32"/>
      <c r="BW113" s="127"/>
      <c r="BX113" s="128"/>
      <c r="BY113" s="129"/>
      <c r="BZ113" s="76"/>
      <c r="CA113" s="75"/>
      <c r="CB113" s="76"/>
      <c r="CC113" s="18"/>
      <c r="CD113" s="10"/>
      <c r="CF113" s="194"/>
      <c r="CH113" s="194"/>
      <c r="CJ113" s="194"/>
    </row>
    <row r="114" spans="1:143" ht="16" hidden="1" customHeight="1" x14ac:dyDescent="0.25">
      <c r="A114" s="32"/>
      <c r="B114" s="102"/>
      <c r="C114" s="81" t="s">
        <v>81</v>
      </c>
      <c r="D114" s="95" t="s">
        <v>72</v>
      </c>
      <c r="E114" s="39" t="s">
        <v>18</v>
      </c>
      <c r="F114" s="66"/>
      <c r="G114" s="65"/>
      <c r="H114" s="65"/>
      <c r="I114" s="65"/>
      <c r="J114" s="65"/>
      <c r="K114" s="65"/>
      <c r="L114" s="66"/>
      <c r="M114" s="352"/>
      <c r="N114" s="352"/>
      <c r="O114" s="352"/>
      <c r="P114" s="352"/>
      <c r="Q114" s="352"/>
      <c r="R114" s="352"/>
      <c r="S114" s="352"/>
      <c r="T114" s="352"/>
      <c r="U114" s="352"/>
      <c r="V114" s="352"/>
      <c r="W114" s="352"/>
      <c r="X114" s="352"/>
      <c r="Y114" s="352"/>
      <c r="Z114" s="352"/>
      <c r="AA114" s="352"/>
      <c r="AB114" s="352"/>
      <c r="AC114" s="352"/>
      <c r="AD114" s="352"/>
      <c r="AE114" s="352"/>
      <c r="AF114" s="352"/>
      <c r="AG114" s="352"/>
      <c r="AH114" s="352"/>
      <c r="AI114" s="352"/>
      <c r="AJ114" s="352"/>
      <c r="AK114" s="352"/>
      <c r="AL114" s="352"/>
      <c r="AM114" s="352"/>
      <c r="AN114" s="352"/>
      <c r="AO114" s="352"/>
      <c r="AP114" s="352"/>
      <c r="AQ114" s="352"/>
      <c r="AR114" s="352"/>
      <c r="AS114" s="352"/>
      <c r="AT114" s="352"/>
      <c r="AU114" s="352"/>
      <c r="AV114" s="352"/>
      <c r="AW114" s="352"/>
      <c r="AX114" s="352"/>
      <c r="AY114" s="352"/>
      <c r="AZ114" s="352"/>
      <c r="BA114" s="352"/>
      <c r="BB114" s="352"/>
      <c r="BC114" s="352"/>
      <c r="BD114" s="352"/>
      <c r="BE114" s="352"/>
      <c r="BF114" s="352"/>
      <c r="BG114" s="352"/>
      <c r="BH114" s="352"/>
      <c r="BI114" s="352"/>
      <c r="BJ114" s="352"/>
      <c r="BK114" s="352"/>
      <c r="BL114" s="352"/>
      <c r="BM114" s="175" t="e">
        <f>SUM(#REF!)</f>
        <v>#REF!</v>
      </c>
      <c r="BN114" s="22"/>
      <c r="BO114" s="83">
        <v>0.4</v>
      </c>
      <c r="BP114" s="22">
        <f>BN114*(1-BO114)</f>
        <v>0</v>
      </c>
      <c r="BQ114" s="22" t="e">
        <f>BP114*BM114</f>
        <v>#REF!</v>
      </c>
      <c r="BR114" s="84">
        <f>BP114*0.8</f>
        <v>0</v>
      </c>
      <c r="BS114" s="32"/>
      <c r="BT114" s="84" t="e">
        <f>BQ114*0.8</f>
        <v>#REF!</v>
      </c>
      <c r="BU114" s="84"/>
      <c r="BV114" s="32"/>
      <c r="BW114" s="99"/>
      <c r="BX114" s="86"/>
      <c r="BY114" s="87" t="e">
        <f>BW114*BM114</f>
        <v>#REF!</v>
      </c>
      <c r="BZ114" s="88"/>
      <c r="CA114" s="89"/>
      <c r="CB114" s="90"/>
      <c r="CC114" s="21" t="e">
        <f>BT114/CB114*1000</f>
        <v>#REF!</v>
      </c>
      <c r="CD114" s="10"/>
      <c r="CE114" s="30" t="str">
        <f>C114</f>
        <v>ROCK NEWS LITORAL</v>
      </c>
      <c r="CF114" s="194"/>
      <c r="CG114" s="30" t="e">
        <f>SUM(#REF!)</f>
        <v>#REF!</v>
      </c>
      <c r="CH114" s="194" t="e">
        <f>#REF!*CG114</f>
        <v>#REF!</v>
      </c>
      <c r="CI114" s="306" t="e">
        <f>SUM(#REF!)</f>
        <v>#REF!</v>
      </c>
      <c r="CJ114" s="194" t="e">
        <f>#REF!*CI114</f>
        <v>#REF!</v>
      </c>
    </row>
    <row r="115" spans="1:143" ht="16" hidden="1" customHeight="1" x14ac:dyDescent="0.25">
      <c r="A115" s="32"/>
      <c r="B115" s="102"/>
      <c r="C115" s="116" t="s">
        <v>77</v>
      </c>
      <c r="D115" s="95"/>
      <c r="E115" s="39"/>
      <c r="F115" s="66"/>
      <c r="G115" s="65"/>
      <c r="H115" s="65"/>
      <c r="I115" s="65"/>
      <c r="J115" s="65"/>
      <c r="K115" s="65"/>
      <c r="L115" s="66"/>
      <c r="M115" s="353"/>
      <c r="N115" s="353"/>
      <c r="O115" s="353"/>
      <c r="P115" s="353"/>
      <c r="Q115" s="353"/>
      <c r="R115" s="353"/>
      <c r="S115" s="353"/>
      <c r="T115" s="353"/>
      <c r="U115" s="353"/>
      <c r="V115" s="353"/>
      <c r="W115" s="353"/>
      <c r="X115" s="353"/>
      <c r="Y115" s="353"/>
      <c r="Z115" s="353"/>
      <c r="AA115" s="353"/>
      <c r="AB115" s="353"/>
      <c r="AC115" s="353"/>
      <c r="AD115" s="353"/>
      <c r="AE115" s="353"/>
      <c r="AF115" s="353"/>
      <c r="AG115" s="353"/>
      <c r="AH115" s="353"/>
      <c r="AI115" s="353"/>
      <c r="AJ115" s="353"/>
      <c r="AK115" s="353"/>
      <c r="AL115" s="353"/>
      <c r="AM115" s="353"/>
      <c r="AN115" s="353"/>
      <c r="AO115" s="353"/>
      <c r="AP115" s="353"/>
      <c r="AQ115" s="353"/>
      <c r="AR115" s="353"/>
      <c r="AS115" s="353"/>
      <c r="AT115" s="353"/>
      <c r="AU115" s="353"/>
      <c r="AV115" s="353"/>
      <c r="AW115" s="353"/>
      <c r="AX115" s="353"/>
      <c r="AY115" s="353"/>
      <c r="AZ115" s="353"/>
      <c r="BA115" s="353"/>
      <c r="BB115" s="353"/>
      <c r="BC115" s="353"/>
      <c r="BD115" s="353"/>
      <c r="BE115" s="353"/>
      <c r="BF115" s="353"/>
      <c r="BG115" s="353"/>
      <c r="BH115" s="353"/>
      <c r="BI115" s="353"/>
      <c r="BJ115" s="353"/>
      <c r="BK115" s="353"/>
      <c r="BL115" s="353"/>
      <c r="BM115" s="173"/>
      <c r="BN115" s="104"/>
      <c r="BO115" s="195"/>
      <c r="BP115" s="104"/>
      <c r="BQ115" s="104"/>
      <c r="BR115" s="104"/>
      <c r="BS115" s="32"/>
      <c r="BT115" s="104"/>
      <c r="BU115" s="104"/>
      <c r="BV115" s="32"/>
      <c r="BW115" s="106"/>
      <c r="BX115" s="107"/>
      <c r="BY115" s="108"/>
      <c r="BZ115" s="109"/>
      <c r="CA115" s="110"/>
      <c r="CB115" s="109"/>
      <c r="CC115" s="114"/>
      <c r="CD115" s="10"/>
      <c r="CF115" s="194"/>
      <c r="CH115" s="194"/>
      <c r="CJ115" s="194"/>
    </row>
    <row r="116" spans="1:143" ht="16" hidden="1" customHeight="1" x14ac:dyDescent="0.25">
      <c r="A116" s="32"/>
      <c r="B116" s="102"/>
      <c r="C116" s="95"/>
      <c r="D116" s="95"/>
      <c r="E116" s="39"/>
      <c r="F116" s="66"/>
      <c r="G116" s="65"/>
      <c r="H116" s="65"/>
      <c r="I116" s="65"/>
      <c r="J116" s="65"/>
      <c r="K116" s="65"/>
      <c r="L116" s="66"/>
      <c r="M116" s="351"/>
      <c r="N116" s="351"/>
      <c r="O116" s="351"/>
      <c r="P116" s="351"/>
      <c r="Q116" s="351"/>
      <c r="R116" s="351"/>
      <c r="S116" s="351"/>
      <c r="T116" s="351"/>
      <c r="U116" s="351"/>
      <c r="V116" s="351"/>
      <c r="W116" s="351"/>
      <c r="X116" s="351"/>
      <c r="Y116" s="351"/>
      <c r="Z116" s="351"/>
      <c r="AA116" s="351"/>
      <c r="AB116" s="351"/>
      <c r="AC116" s="351"/>
      <c r="AD116" s="351"/>
      <c r="AE116" s="351"/>
      <c r="AF116" s="351"/>
      <c r="AG116" s="351"/>
      <c r="AH116" s="351"/>
      <c r="AI116" s="351"/>
      <c r="AJ116" s="351"/>
      <c r="AK116" s="351"/>
      <c r="AL116" s="351"/>
      <c r="AM116" s="351"/>
      <c r="AN116" s="351"/>
      <c r="AO116" s="351"/>
      <c r="AP116" s="351"/>
      <c r="AQ116" s="351"/>
      <c r="AR116" s="351"/>
      <c r="AS116" s="351"/>
      <c r="AT116" s="351"/>
      <c r="AU116" s="351"/>
      <c r="AV116" s="351"/>
      <c r="AW116" s="351"/>
      <c r="AX116" s="351"/>
      <c r="AY116" s="351"/>
      <c r="AZ116" s="351"/>
      <c r="BA116" s="351"/>
      <c r="BB116" s="351"/>
      <c r="BC116" s="351"/>
      <c r="BD116" s="351"/>
      <c r="BE116" s="351"/>
      <c r="BF116" s="351"/>
      <c r="BG116" s="351"/>
      <c r="BH116" s="351"/>
      <c r="BI116" s="351"/>
      <c r="BJ116" s="351"/>
      <c r="BK116" s="351"/>
      <c r="BL116" s="351"/>
      <c r="BM116" s="67"/>
      <c r="BN116" s="68"/>
      <c r="BO116" s="69"/>
      <c r="BP116" s="68"/>
      <c r="BQ116" s="68"/>
      <c r="BR116" s="68"/>
      <c r="BS116" s="32"/>
      <c r="BT116" s="68"/>
      <c r="BU116" s="68"/>
      <c r="BV116" s="32"/>
      <c r="BW116" s="127"/>
      <c r="BX116" s="128"/>
      <c r="BY116" s="129"/>
      <c r="BZ116" s="76"/>
      <c r="CA116" s="75"/>
      <c r="CB116" s="76"/>
      <c r="CC116" s="18"/>
      <c r="CD116" s="10"/>
      <c r="CF116" s="194"/>
      <c r="CH116" s="194"/>
      <c r="CJ116" s="194"/>
    </row>
    <row r="117" spans="1:143" ht="16" hidden="1" customHeight="1" x14ac:dyDescent="0.25">
      <c r="A117" s="32"/>
      <c r="B117" s="102"/>
      <c r="C117" s="81" t="s">
        <v>82</v>
      </c>
      <c r="D117" s="95" t="s">
        <v>72</v>
      </c>
      <c r="E117" s="39" t="s">
        <v>18</v>
      </c>
      <c r="F117" s="66"/>
      <c r="G117" s="65"/>
      <c r="H117" s="65"/>
      <c r="I117" s="65"/>
      <c r="J117" s="65"/>
      <c r="K117" s="65"/>
      <c r="L117" s="66"/>
      <c r="M117" s="352"/>
      <c r="N117" s="352"/>
      <c r="O117" s="352"/>
      <c r="P117" s="352"/>
      <c r="Q117" s="352"/>
      <c r="R117" s="352"/>
      <c r="S117" s="352"/>
      <c r="T117" s="352"/>
      <c r="U117" s="352"/>
      <c r="V117" s="352"/>
      <c r="W117" s="352"/>
      <c r="X117" s="352"/>
      <c r="Y117" s="352"/>
      <c r="Z117" s="352"/>
      <c r="AA117" s="352"/>
      <c r="AB117" s="352"/>
      <c r="AC117" s="352"/>
      <c r="AD117" s="352"/>
      <c r="AE117" s="352"/>
      <c r="AF117" s="352"/>
      <c r="AG117" s="352"/>
      <c r="AH117" s="352"/>
      <c r="AI117" s="352"/>
      <c r="AJ117" s="352"/>
      <c r="AK117" s="352"/>
      <c r="AL117" s="352"/>
      <c r="AM117" s="352"/>
      <c r="AN117" s="352"/>
      <c r="AO117" s="352"/>
      <c r="AP117" s="352"/>
      <c r="AQ117" s="352"/>
      <c r="AR117" s="352"/>
      <c r="AS117" s="352"/>
      <c r="AT117" s="352"/>
      <c r="AU117" s="352"/>
      <c r="AV117" s="352"/>
      <c r="AW117" s="352"/>
      <c r="AX117" s="352"/>
      <c r="AY117" s="352"/>
      <c r="AZ117" s="352"/>
      <c r="BA117" s="352"/>
      <c r="BB117" s="352"/>
      <c r="BC117" s="352"/>
      <c r="BD117" s="352"/>
      <c r="BE117" s="352"/>
      <c r="BF117" s="352"/>
      <c r="BG117" s="352"/>
      <c r="BH117" s="352"/>
      <c r="BI117" s="352"/>
      <c r="BJ117" s="352"/>
      <c r="BK117" s="352"/>
      <c r="BL117" s="352"/>
      <c r="BM117" s="175" t="e">
        <f>SUM(#REF!)</f>
        <v>#REF!</v>
      </c>
      <c r="BN117" s="22"/>
      <c r="BO117" s="83">
        <v>0.4</v>
      </c>
      <c r="BP117" s="22">
        <f>BN117*(1-BO117)</f>
        <v>0</v>
      </c>
      <c r="BQ117" s="22" t="e">
        <f>BP117*BM117</f>
        <v>#REF!</v>
      </c>
      <c r="BR117" s="84">
        <f>BP117*0.8</f>
        <v>0</v>
      </c>
      <c r="BS117" s="32"/>
      <c r="BT117" s="84" t="e">
        <f>BQ117*0.8</f>
        <v>#REF!</v>
      </c>
      <c r="BU117" s="84"/>
      <c r="BV117" s="32"/>
      <c r="BW117" s="99"/>
      <c r="BX117" s="86"/>
      <c r="BY117" s="87" t="e">
        <f>BW117*BM117</f>
        <v>#REF!</v>
      </c>
      <c r="BZ117" s="88"/>
      <c r="CA117" s="89"/>
      <c r="CB117" s="90"/>
      <c r="CC117" s="21" t="e">
        <f>BT117/CB117*1000</f>
        <v>#REF!</v>
      </c>
      <c r="CD117" s="10"/>
      <c r="CE117" s="30" t="str">
        <f>C117</f>
        <v>ONDA 101.1</v>
      </c>
      <c r="CF117" s="194"/>
      <c r="CG117" s="30" t="e">
        <f>SUM(#REF!)</f>
        <v>#REF!</v>
      </c>
      <c r="CH117" s="194" t="e">
        <f>#REF!*CG117</f>
        <v>#REF!</v>
      </c>
      <c r="CI117" s="306" t="e">
        <f>SUM(#REF!)</f>
        <v>#REF!</v>
      </c>
      <c r="CJ117" s="194" t="e">
        <f>#REF!*CI117</f>
        <v>#REF!</v>
      </c>
    </row>
    <row r="118" spans="1:143" ht="16" hidden="1" customHeight="1" x14ac:dyDescent="0.25">
      <c r="A118" s="32"/>
      <c r="B118" s="102"/>
      <c r="C118" s="116" t="s">
        <v>77</v>
      </c>
      <c r="D118" s="95"/>
      <c r="E118" s="39"/>
      <c r="F118" s="66"/>
      <c r="G118" s="65"/>
      <c r="H118" s="65"/>
      <c r="I118" s="65"/>
      <c r="J118" s="65"/>
      <c r="K118" s="65"/>
      <c r="L118" s="66"/>
      <c r="M118" s="353"/>
      <c r="N118" s="353"/>
      <c r="O118" s="353"/>
      <c r="P118" s="353"/>
      <c r="Q118" s="353"/>
      <c r="R118" s="353"/>
      <c r="S118" s="353"/>
      <c r="T118" s="353"/>
      <c r="U118" s="353"/>
      <c r="V118" s="353"/>
      <c r="W118" s="353"/>
      <c r="X118" s="353"/>
      <c r="Y118" s="353"/>
      <c r="Z118" s="353"/>
      <c r="AA118" s="353"/>
      <c r="AB118" s="353"/>
      <c r="AC118" s="353"/>
      <c r="AD118" s="353"/>
      <c r="AE118" s="353"/>
      <c r="AF118" s="353"/>
      <c r="AG118" s="353"/>
      <c r="AH118" s="353"/>
      <c r="AI118" s="353"/>
      <c r="AJ118" s="353"/>
      <c r="AK118" s="353"/>
      <c r="AL118" s="353"/>
      <c r="AM118" s="353"/>
      <c r="AN118" s="353"/>
      <c r="AO118" s="353"/>
      <c r="AP118" s="353"/>
      <c r="AQ118" s="353"/>
      <c r="AR118" s="353"/>
      <c r="AS118" s="353"/>
      <c r="AT118" s="353"/>
      <c r="AU118" s="353"/>
      <c r="AV118" s="353"/>
      <c r="AW118" s="353"/>
      <c r="AX118" s="353"/>
      <c r="AY118" s="353"/>
      <c r="AZ118" s="353"/>
      <c r="BA118" s="353"/>
      <c r="BB118" s="353"/>
      <c r="BC118" s="353"/>
      <c r="BD118" s="353"/>
      <c r="BE118" s="353"/>
      <c r="BF118" s="353"/>
      <c r="BG118" s="353"/>
      <c r="BH118" s="353"/>
      <c r="BI118" s="353"/>
      <c r="BJ118" s="353"/>
      <c r="BK118" s="353"/>
      <c r="BL118" s="353"/>
      <c r="BM118" s="173"/>
      <c r="BN118" s="104"/>
      <c r="BO118" s="195"/>
      <c r="BP118" s="104"/>
      <c r="BQ118" s="104"/>
      <c r="BR118" s="104"/>
      <c r="BS118" s="32"/>
      <c r="BT118" s="104"/>
      <c r="BU118" s="104"/>
      <c r="BV118" s="32"/>
      <c r="BW118" s="106"/>
      <c r="BX118" s="107"/>
      <c r="BY118" s="108"/>
      <c r="BZ118" s="109"/>
      <c r="CA118" s="110"/>
      <c r="CB118" s="109"/>
      <c r="CC118" s="114"/>
      <c r="CD118" s="10"/>
      <c r="CF118" s="194"/>
      <c r="CH118" s="194"/>
      <c r="CJ118" s="194"/>
    </row>
    <row r="119" spans="1:143" ht="16" hidden="1" customHeight="1" x14ac:dyDescent="0.25">
      <c r="A119" s="32"/>
      <c r="B119" s="102"/>
      <c r="C119" s="95"/>
      <c r="D119" s="95"/>
      <c r="E119" s="39"/>
      <c r="F119" s="66"/>
      <c r="G119" s="65"/>
      <c r="H119" s="65"/>
      <c r="I119" s="65"/>
      <c r="J119" s="65"/>
      <c r="K119" s="65"/>
      <c r="L119" s="66"/>
      <c r="M119" s="351"/>
      <c r="N119" s="351"/>
      <c r="O119" s="351"/>
      <c r="P119" s="351"/>
      <c r="Q119" s="351"/>
      <c r="R119" s="351"/>
      <c r="S119" s="351"/>
      <c r="T119" s="351"/>
      <c r="U119" s="351"/>
      <c r="V119" s="351"/>
      <c r="W119" s="351"/>
      <c r="X119" s="351"/>
      <c r="Y119" s="351"/>
      <c r="Z119" s="351"/>
      <c r="AA119" s="351"/>
      <c r="AB119" s="351"/>
      <c r="AC119" s="351"/>
      <c r="AD119" s="351"/>
      <c r="AE119" s="351"/>
      <c r="AF119" s="351"/>
      <c r="AG119" s="351"/>
      <c r="AH119" s="351"/>
      <c r="AI119" s="351"/>
      <c r="AJ119" s="351"/>
      <c r="AK119" s="351"/>
      <c r="AL119" s="351"/>
      <c r="AM119" s="351"/>
      <c r="AN119" s="351"/>
      <c r="AO119" s="351"/>
      <c r="AP119" s="351"/>
      <c r="AQ119" s="351"/>
      <c r="AR119" s="351"/>
      <c r="AS119" s="351"/>
      <c r="AT119" s="351"/>
      <c r="AU119" s="351"/>
      <c r="AV119" s="351"/>
      <c r="AW119" s="351"/>
      <c r="AX119" s="351"/>
      <c r="AY119" s="351"/>
      <c r="AZ119" s="351"/>
      <c r="BA119" s="351"/>
      <c r="BB119" s="351"/>
      <c r="BC119" s="351"/>
      <c r="BD119" s="351"/>
      <c r="BE119" s="351"/>
      <c r="BF119" s="351"/>
      <c r="BG119" s="351"/>
      <c r="BH119" s="351"/>
      <c r="BI119" s="351"/>
      <c r="BJ119" s="351"/>
      <c r="BK119" s="351"/>
      <c r="BL119" s="351"/>
      <c r="BM119" s="67"/>
      <c r="BN119" s="68"/>
      <c r="BO119" s="69"/>
      <c r="BP119" s="68"/>
      <c r="BQ119" s="68"/>
      <c r="BR119" s="68"/>
      <c r="BS119" s="32"/>
      <c r="BT119" s="68"/>
      <c r="BU119" s="68"/>
      <c r="BV119" s="32"/>
      <c r="BW119" s="127"/>
      <c r="BX119" s="128"/>
      <c r="BY119" s="129"/>
      <c r="BZ119" s="76"/>
      <c r="CA119" s="75"/>
      <c r="CB119" s="76"/>
      <c r="CC119" s="18"/>
      <c r="CD119" s="10"/>
      <c r="CF119" s="194"/>
      <c r="CH119" s="194"/>
      <c r="CJ119" s="194"/>
    </row>
    <row r="120" spans="1:143" ht="16" hidden="1" customHeight="1" x14ac:dyDescent="0.25">
      <c r="A120" s="32"/>
      <c r="B120" s="102"/>
      <c r="C120" s="81" t="s">
        <v>83</v>
      </c>
      <c r="D120" s="95" t="s">
        <v>72</v>
      </c>
      <c r="E120" s="39" t="s">
        <v>18</v>
      </c>
      <c r="F120" s="66"/>
      <c r="G120" s="65"/>
      <c r="H120" s="65"/>
      <c r="I120" s="65"/>
      <c r="J120" s="65"/>
      <c r="K120" s="65"/>
      <c r="L120" s="66"/>
      <c r="M120" s="352"/>
      <c r="N120" s="352"/>
      <c r="O120" s="352"/>
      <c r="P120" s="352"/>
      <c r="Q120" s="352"/>
      <c r="R120" s="352"/>
      <c r="S120" s="352"/>
      <c r="T120" s="352"/>
      <c r="U120" s="352"/>
      <c r="V120" s="352"/>
      <c r="W120" s="352"/>
      <c r="X120" s="352"/>
      <c r="Y120" s="352"/>
      <c r="Z120" s="352"/>
      <c r="AA120" s="352"/>
      <c r="AB120" s="352"/>
      <c r="AC120" s="352"/>
      <c r="AD120" s="352"/>
      <c r="AE120" s="352"/>
      <c r="AF120" s="352"/>
      <c r="AG120" s="352"/>
      <c r="AH120" s="352"/>
      <c r="AI120" s="352"/>
      <c r="AJ120" s="352"/>
      <c r="AK120" s="352"/>
      <c r="AL120" s="352"/>
      <c r="AM120" s="352"/>
      <c r="AN120" s="352"/>
      <c r="AO120" s="352"/>
      <c r="AP120" s="352"/>
      <c r="AQ120" s="352"/>
      <c r="AR120" s="352"/>
      <c r="AS120" s="352"/>
      <c r="AT120" s="352"/>
      <c r="AU120" s="352"/>
      <c r="AV120" s="352"/>
      <c r="AW120" s="352"/>
      <c r="AX120" s="352"/>
      <c r="AY120" s="352"/>
      <c r="AZ120" s="352"/>
      <c r="BA120" s="352"/>
      <c r="BB120" s="352"/>
      <c r="BC120" s="352"/>
      <c r="BD120" s="352"/>
      <c r="BE120" s="352"/>
      <c r="BF120" s="352"/>
      <c r="BG120" s="352"/>
      <c r="BH120" s="352"/>
      <c r="BI120" s="352"/>
      <c r="BJ120" s="352"/>
      <c r="BK120" s="352"/>
      <c r="BL120" s="352"/>
      <c r="BM120" s="175" t="e">
        <f>SUM(#REF!)</f>
        <v>#REF!</v>
      </c>
      <c r="BN120" s="22"/>
      <c r="BO120" s="83">
        <v>0.4</v>
      </c>
      <c r="BP120" s="22">
        <f>BN120*(1-BO120)</f>
        <v>0</v>
      </c>
      <c r="BQ120" s="22" t="e">
        <f>BP120*BM120</f>
        <v>#REF!</v>
      </c>
      <c r="BR120" s="84">
        <f>BP120*0.8</f>
        <v>0</v>
      </c>
      <c r="BS120" s="32"/>
      <c r="BT120" s="84" t="e">
        <f>BQ120*0.8</f>
        <v>#REF!</v>
      </c>
      <c r="BU120" s="84"/>
      <c r="BV120" s="32"/>
      <c r="BW120" s="99"/>
      <c r="BX120" s="86"/>
      <c r="BY120" s="87" t="e">
        <f>BW120*BM120</f>
        <v>#REF!</v>
      </c>
      <c r="BZ120" s="88"/>
      <c r="CA120" s="89"/>
      <c r="CB120" s="90"/>
      <c r="CC120" s="21" t="e">
        <f>BT120/CB120*1000</f>
        <v>#REF!</v>
      </c>
      <c r="CD120" s="10"/>
      <c r="CE120" s="30" t="str">
        <f>C120</f>
        <v>COSTA AZUL</v>
      </c>
      <c r="CF120" s="194"/>
      <c r="CG120" s="30" t="e">
        <f>SUM(#REF!)</f>
        <v>#REF!</v>
      </c>
      <c r="CH120" s="194" t="e">
        <f>#REF!*CG120</f>
        <v>#REF!</v>
      </c>
      <c r="CI120" s="306" t="e">
        <f>SUM(#REF!)</f>
        <v>#REF!</v>
      </c>
      <c r="CJ120" s="194" t="e">
        <f>#REF!*CI120</f>
        <v>#REF!</v>
      </c>
    </row>
    <row r="121" spans="1:143" ht="16" hidden="1" customHeight="1" x14ac:dyDescent="0.25">
      <c r="A121" s="32"/>
      <c r="B121" s="102"/>
      <c r="C121" s="116"/>
      <c r="D121" s="95"/>
      <c r="E121" s="39"/>
      <c r="F121" s="66"/>
      <c r="G121" s="65"/>
      <c r="H121" s="65"/>
      <c r="I121" s="65"/>
      <c r="J121" s="65"/>
      <c r="K121" s="65"/>
      <c r="L121" s="66"/>
      <c r="M121" s="352"/>
      <c r="N121" s="352"/>
      <c r="O121" s="352"/>
      <c r="P121" s="352"/>
      <c r="Q121" s="352"/>
      <c r="R121" s="352"/>
      <c r="S121" s="352"/>
      <c r="T121" s="352"/>
      <c r="U121" s="352"/>
      <c r="V121" s="352"/>
      <c r="W121" s="352"/>
      <c r="X121" s="352"/>
      <c r="Y121" s="352"/>
      <c r="Z121" s="352"/>
      <c r="AA121" s="352"/>
      <c r="AB121" s="352"/>
      <c r="AC121" s="352"/>
      <c r="AD121" s="352"/>
      <c r="AE121" s="352"/>
      <c r="AF121" s="352"/>
      <c r="AG121" s="352"/>
      <c r="AH121" s="352"/>
      <c r="AI121" s="352"/>
      <c r="AJ121" s="352"/>
      <c r="AK121" s="352"/>
      <c r="AL121" s="352"/>
      <c r="AM121" s="352"/>
      <c r="AN121" s="352"/>
      <c r="AO121" s="352"/>
      <c r="AP121" s="352"/>
      <c r="AQ121" s="352"/>
      <c r="AR121" s="352"/>
      <c r="AS121" s="352"/>
      <c r="AT121" s="352"/>
      <c r="AU121" s="352"/>
      <c r="AV121" s="352"/>
      <c r="AW121" s="352"/>
      <c r="AX121" s="352"/>
      <c r="AY121" s="352"/>
      <c r="AZ121" s="352"/>
      <c r="BA121" s="352"/>
      <c r="BB121" s="352"/>
      <c r="BC121" s="352"/>
      <c r="BD121" s="352"/>
      <c r="BE121" s="352"/>
      <c r="BF121" s="352"/>
      <c r="BG121" s="352"/>
      <c r="BH121" s="352"/>
      <c r="BI121" s="352"/>
      <c r="BJ121" s="352"/>
      <c r="BK121" s="352"/>
      <c r="BL121" s="352"/>
      <c r="BM121" s="175"/>
      <c r="BN121" s="22"/>
      <c r="BO121" s="83"/>
      <c r="BP121" s="22"/>
      <c r="BQ121" s="22"/>
      <c r="BR121" s="22"/>
      <c r="BS121" s="32"/>
      <c r="BT121" s="22"/>
      <c r="BU121" s="22"/>
      <c r="BV121" s="32"/>
      <c r="BW121" s="121"/>
      <c r="BX121" s="122"/>
      <c r="BY121" s="123"/>
      <c r="BZ121" s="90"/>
      <c r="CA121" s="89"/>
      <c r="CB121" s="90"/>
      <c r="CC121" s="21"/>
      <c r="CD121" s="10"/>
      <c r="CF121" s="194"/>
      <c r="CH121" s="194"/>
      <c r="CJ121" s="194"/>
    </row>
    <row r="122" spans="1:143" ht="16" hidden="1" customHeight="1" x14ac:dyDescent="0.25">
      <c r="A122" s="32"/>
      <c r="B122" s="102"/>
      <c r="C122" s="95"/>
      <c r="D122" s="95"/>
      <c r="E122" s="39"/>
      <c r="F122" s="66"/>
      <c r="G122" s="65"/>
      <c r="H122" s="65"/>
      <c r="I122" s="65"/>
      <c r="J122" s="65"/>
      <c r="K122" s="65"/>
      <c r="L122" s="66"/>
      <c r="M122" s="354"/>
      <c r="N122" s="354"/>
      <c r="O122" s="354"/>
      <c r="P122" s="354"/>
      <c r="Q122" s="354"/>
      <c r="R122" s="354"/>
      <c r="S122" s="354"/>
      <c r="T122" s="354"/>
      <c r="U122" s="354"/>
      <c r="V122" s="354"/>
      <c r="W122" s="354"/>
      <c r="X122" s="354"/>
      <c r="Y122" s="354"/>
      <c r="Z122" s="354"/>
      <c r="AA122" s="354"/>
      <c r="AB122" s="354"/>
      <c r="AC122" s="354"/>
      <c r="AD122" s="354"/>
      <c r="AE122" s="354"/>
      <c r="AF122" s="354"/>
      <c r="AG122" s="354"/>
      <c r="AH122" s="354"/>
      <c r="AI122" s="354"/>
      <c r="AJ122" s="354"/>
      <c r="AK122" s="354"/>
      <c r="AL122" s="354"/>
      <c r="AM122" s="354"/>
      <c r="AN122" s="354"/>
      <c r="AO122" s="354"/>
      <c r="AP122" s="354"/>
      <c r="AQ122" s="354"/>
      <c r="AR122" s="354"/>
      <c r="AS122" s="354"/>
      <c r="AT122" s="354"/>
      <c r="AU122" s="354"/>
      <c r="AV122" s="354"/>
      <c r="AW122" s="354"/>
      <c r="AX122" s="354"/>
      <c r="AY122" s="354"/>
      <c r="AZ122" s="354"/>
      <c r="BA122" s="354"/>
      <c r="BB122" s="354"/>
      <c r="BC122" s="354"/>
      <c r="BD122" s="354"/>
      <c r="BE122" s="354"/>
      <c r="BF122" s="354"/>
      <c r="BG122" s="354"/>
      <c r="BH122" s="354"/>
      <c r="BI122" s="354"/>
      <c r="BJ122" s="354"/>
      <c r="BK122" s="354"/>
      <c r="BL122" s="354"/>
      <c r="BM122" s="82"/>
      <c r="BN122" s="22"/>
      <c r="BO122" s="83"/>
      <c r="BP122" s="22"/>
      <c r="BQ122" s="22"/>
      <c r="BR122" s="104"/>
      <c r="BS122" s="32"/>
      <c r="BT122" s="104"/>
      <c r="BU122" s="104"/>
      <c r="BV122" s="32"/>
      <c r="BW122" s="106"/>
      <c r="BX122" s="107"/>
      <c r="BY122" s="108"/>
      <c r="BZ122" s="109"/>
      <c r="CA122" s="110"/>
      <c r="CB122" s="109"/>
      <c r="CC122" s="114"/>
      <c r="CD122" s="10"/>
      <c r="CF122" s="194"/>
      <c r="CH122" s="194"/>
      <c r="CJ122" s="194"/>
    </row>
    <row r="123" spans="1:143" ht="16" hidden="1" customHeight="1" x14ac:dyDescent="0.25">
      <c r="A123" s="32"/>
      <c r="B123" s="25" t="s">
        <v>84</v>
      </c>
      <c r="C123" s="139"/>
      <c r="D123" s="139"/>
      <c r="E123" s="139"/>
      <c r="F123" s="40">
        <f t="shared" ref="F123:L123" si="82">SUM(F95:F97)</f>
        <v>0</v>
      </c>
      <c r="G123" s="40">
        <f t="shared" si="82"/>
        <v>0</v>
      </c>
      <c r="H123" s="40">
        <f t="shared" si="82"/>
        <v>0</v>
      </c>
      <c r="I123" s="40">
        <f t="shared" si="82"/>
        <v>0</v>
      </c>
      <c r="J123" s="40">
        <f t="shared" si="82"/>
        <v>0</v>
      </c>
      <c r="K123" s="40">
        <f t="shared" si="82"/>
        <v>0</v>
      </c>
      <c r="L123" s="40">
        <f t="shared" si="82"/>
        <v>0</v>
      </c>
      <c r="M123" s="40"/>
      <c r="N123" s="40"/>
      <c r="O123" s="40"/>
      <c r="P123" s="40"/>
      <c r="Q123" s="40"/>
      <c r="R123" s="40"/>
      <c r="S123" s="40"/>
      <c r="T123" s="40"/>
      <c r="U123" s="40"/>
      <c r="V123" s="40"/>
      <c r="W123" s="40"/>
      <c r="X123" s="40"/>
      <c r="Y123" s="40"/>
      <c r="Z123" s="40"/>
      <c r="AA123" s="40"/>
      <c r="AB123" s="40"/>
      <c r="AC123" s="40"/>
      <c r="AD123" s="40"/>
      <c r="AE123" s="40"/>
      <c r="AF123" s="40"/>
      <c r="AG123" s="40"/>
      <c r="AH123" s="40"/>
      <c r="AI123" s="40"/>
      <c r="AJ123" s="40"/>
      <c r="AK123" s="40"/>
      <c r="AL123" s="40"/>
      <c r="AM123" s="40"/>
      <c r="AN123" s="40"/>
      <c r="AO123" s="40"/>
      <c r="AP123" s="40"/>
      <c r="AQ123" s="40"/>
      <c r="AR123" s="40"/>
      <c r="AS123" s="40"/>
      <c r="AT123" s="40"/>
      <c r="AU123" s="40"/>
      <c r="AV123" s="40"/>
      <c r="AW123" s="40"/>
      <c r="AX123" s="40"/>
      <c r="AY123" s="40"/>
      <c r="AZ123" s="40"/>
      <c r="BA123" s="40"/>
      <c r="BB123" s="40"/>
      <c r="BC123" s="40"/>
      <c r="BD123" s="40"/>
      <c r="BE123" s="40"/>
      <c r="BF123" s="40"/>
      <c r="BG123" s="40"/>
      <c r="BH123" s="40"/>
      <c r="BI123" s="40"/>
      <c r="BJ123" s="40"/>
      <c r="BK123" s="40"/>
      <c r="BL123" s="40"/>
      <c r="BM123" s="40" t="e">
        <f>SUM(BM95:BM122)</f>
        <v>#REF!</v>
      </c>
      <c r="BN123" s="141"/>
      <c r="BO123" s="141"/>
      <c r="BP123" s="141"/>
      <c r="BQ123" s="141" t="e">
        <f>SUM(BQ95:BQ122)</f>
        <v>#REF!</v>
      </c>
      <c r="BR123" s="141">
        <f>SUM(BR95:BR122)</f>
        <v>455.56799999999998</v>
      </c>
      <c r="BS123" s="43"/>
      <c r="BT123" s="141" t="e">
        <f>SUM(BT95:BT122)</f>
        <v>#REF!</v>
      </c>
      <c r="BU123" s="141"/>
      <c r="BV123" s="43"/>
      <c r="BW123" s="196"/>
      <c r="BX123" s="197"/>
      <c r="BY123" s="198"/>
      <c r="BZ123" s="147"/>
      <c r="CA123" s="147"/>
      <c r="CB123" s="199">
        <f>SUM(CB95:CB122)</f>
        <v>300240</v>
      </c>
      <c r="CC123" s="149" t="e">
        <f>BT123/CB123*1000</f>
        <v>#REF!</v>
      </c>
      <c r="CD123" s="10"/>
      <c r="CF123" s="194"/>
      <c r="CH123" s="194"/>
      <c r="CJ123" s="194"/>
    </row>
    <row r="124" spans="1:143" s="152" customFormat="1" ht="16" hidden="1" customHeight="1" x14ac:dyDescent="0.4">
      <c r="A124" s="43"/>
      <c r="B124" s="183"/>
      <c r="C124" s="184"/>
      <c r="D124" s="185"/>
      <c r="E124" s="186"/>
      <c r="F124" s="65"/>
      <c r="G124" s="65"/>
      <c r="H124" s="65"/>
      <c r="I124" s="66"/>
      <c r="J124" s="66"/>
      <c r="K124" s="65"/>
      <c r="L124" s="65"/>
      <c r="M124" s="355"/>
      <c r="N124" s="355"/>
      <c r="O124" s="355"/>
      <c r="P124" s="355"/>
      <c r="Q124" s="355"/>
      <c r="R124" s="355"/>
      <c r="S124" s="355"/>
      <c r="T124" s="355"/>
      <c r="U124" s="355"/>
      <c r="V124" s="355"/>
      <c r="W124" s="355"/>
      <c r="X124" s="355"/>
      <c r="Y124" s="355"/>
      <c r="Z124" s="355"/>
      <c r="AA124" s="355"/>
      <c r="AB124" s="355"/>
      <c r="AC124" s="355"/>
      <c r="AD124" s="355"/>
      <c r="AE124" s="355"/>
      <c r="AF124" s="355"/>
      <c r="AG124" s="355"/>
      <c r="AH124" s="355"/>
      <c r="AI124" s="355"/>
      <c r="AJ124" s="355"/>
      <c r="AK124" s="355"/>
      <c r="AL124" s="355"/>
      <c r="AM124" s="355"/>
      <c r="AN124" s="355"/>
      <c r="AO124" s="355"/>
      <c r="AP124" s="355"/>
      <c r="AQ124" s="355"/>
      <c r="AR124" s="355"/>
      <c r="AS124" s="355"/>
      <c r="AT124" s="355"/>
      <c r="AU124" s="355"/>
      <c r="AV124" s="355"/>
      <c r="AW124" s="355"/>
      <c r="AX124" s="355"/>
      <c r="AY124" s="355"/>
      <c r="AZ124" s="355"/>
      <c r="BA124" s="355"/>
      <c r="BB124" s="355"/>
      <c r="BC124" s="355"/>
      <c r="BD124" s="355"/>
      <c r="BE124" s="355"/>
      <c r="BF124" s="355"/>
      <c r="BG124" s="355"/>
      <c r="BH124" s="355"/>
      <c r="BI124" s="355"/>
      <c r="BJ124" s="355"/>
      <c r="BK124" s="355"/>
      <c r="BL124" s="355"/>
      <c r="BM124" s="118"/>
      <c r="BN124" s="68"/>
      <c r="BO124" s="68"/>
      <c r="BP124" s="68"/>
      <c r="BQ124" s="68"/>
      <c r="BR124" s="200"/>
      <c r="BS124" s="32"/>
      <c r="BT124" s="200"/>
      <c r="BU124" s="200"/>
      <c r="BV124" s="32"/>
      <c r="BW124" s="188"/>
      <c r="BX124" s="189"/>
      <c r="BY124" s="190"/>
      <c r="BZ124" s="191"/>
      <c r="CA124" s="192"/>
      <c r="CB124" s="191"/>
      <c r="CC124" s="193"/>
      <c r="CD124" s="160"/>
      <c r="CE124" s="30"/>
      <c r="CF124" s="194"/>
      <c r="CG124" s="30"/>
      <c r="CH124" s="194"/>
      <c r="CI124" s="306"/>
      <c r="CJ124" s="194"/>
      <c r="CK124" s="151"/>
    </row>
    <row r="125" spans="1:143" s="50" customFormat="1" ht="16" hidden="1" customHeight="1" x14ac:dyDescent="0.25">
      <c r="A125" s="32"/>
      <c r="B125" s="93" t="s">
        <v>85</v>
      </c>
      <c r="C125" s="81" t="s">
        <v>86</v>
      </c>
      <c r="D125" s="95" t="s">
        <v>87</v>
      </c>
      <c r="E125" s="39" t="s">
        <v>18</v>
      </c>
      <c r="F125" s="65"/>
      <c r="G125" s="65"/>
      <c r="H125" s="65"/>
      <c r="I125" s="66"/>
      <c r="J125" s="66"/>
      <c r="K125" s="65"/>
      <c r="L125" s="65"/>
      <c r="M125" s="356"/>
      <c r="N125" s="356"/>
      <c r="O125" s="356"/>
      <c r="P125" s="356"/>
      <c r="Q125" s="356"/>
      <c r="R125" s="356"/>
      <c r="S125" s="356"/>
      <c r="T125" s="356"/>
      <c r="U125" s="356"/>
      <c r="V125" s="356"/>
      <c r="W125" s="356"/>
      <c r="X125" s="356"/>
      <c r="Y125" s="356"/>
      <c r="Z125" s="356"/>
      <c r="AA125" s="356"/>
      <c r="AB125" s="356"/>
      <c r="AC125" s="356"/>
      <c r="AD125" s="356"/>
      <c r="AE125" s="356"/>
      <c r="AF125" s="356"/>
      <c r="AG125" s="356"/>
      <c r="AH125" s="356"/>
      <c r="AI125" s="356"/>
      <c r="AJ125" s="356"/>
      <c r="AK125" s="356"/>
      <c r="AL125" s="356"/>
      <c r="AM125" s="356"/>
      <c r="AN125" s="356"/>
      <c r="AO125" s="356"/>
      <c r="AP125" s="356"/>
      <c r="AQ125" s="356"/>
      <c r="AR125" s="356"/>
      <c r="AS125" s="356"/>
      <c r="AT125" s="356"/>
      <c r="AU125" s="356"/>
      <c r="AV125" s="356"/>
      <c r="AW125" s="356"/>
      <c r="AX125" s="356"/>
      <c r="AY125" s="356"/>
      <c r="AZ125" s="356"/>
      <c r="BA125" s="356"/>
      <c r="BB125" s="356"/>
      <c r="BC125" s="356"/>
      <c r="BD125" s="356"/>
      <c r="BE125" s="356"/>
      <c r="BF125" s="356"/>
      <c r="BG125" s="356"/>
      <c r="BH125" s="356"/>
      <c r="BI125" s="356"/>
      <c r="BJ125" s="356"/>
      <c r="BK125" s="356"/>
      <c r="BL125" s="356"/>
      <c r="BM125" s="82" t="e">
        <f>SUM(#REF!)</f>
        <v>#REF!</v>
      </c>
      <c r="BN125" s="22">
        <v>0</v>
      </c>
      <c r="BO125" s="83">
        <v>0</v>
      </c>
      <c r="BP125" s="22">
        <v>0</v>
      </c>
      <c r="BQ125" s="22" t="e">
        <f>BP125*BM125</f>
        <v>#REF!</v>
      </c>
      <c r="BR125" s="84">
        <f>BP125*0.8</f>
        <v>0</v>
      </c>
      <c r="BS125" s="32"/>
      <c r="BT125" s="84" t="e">
        <f>BQ125*0.8</f>
        <v>#REF!</v>
      </c>
      <c r="BU125" s="84"/>
      <c r="BV125" s="32"/>
      <c r="BW125" s="99">
        <f>BX125/CA125*100</f>
        <v>12.336811225694557</v>
      </c>
      <c r="BX125" s="86">
        <v>26342</v>
      </c>
      <c r="BY125" s="87" t="e">
        <f>BW125*BM125</f>
        <v>#REF!</v>
      </c>
      <c r="BZ125" s="88">
        <v>433991</v>
      </c>
      <c r="CA125" s="89">
        <v>213523.57200000001</v>
      </c>
      <c r="CB125" s="90" t="e">
        <f>CA125*BY125%</f>
        <v>#REF!</v>
      </c>
      <c r="CC125" s="21" t="e">
        <f>BT125/CB125*1000</f>
        <v>#REF!</v>
      </c>
      <c r="CD125" s="55"/>
      <c r="CE125" s="30" t="s">
        <v>86</v>
      </c>
      <c r="CF125" s="194"/>
      <c r="CG125" s="30" t="e">
        <f>SUM(#REF!)</f>
        <v>#REF!</v>
      </c>
      <c r="CH125" s="194" t="e">
        <f>#REF!*CG125</f>
        <v>#REF!</v>
      </c>
      <c r="CI125" s="306" t="e">
        <f>SUM(#REF!)</f>
        <v>#REF!</v>
      </c>
      <c r="CJ125" s="194" t="e">
        <f>#REF!*CI125</f>
        <v>#REF!</v>
      </c>
      <c r="CL125" s="45"/>
      <c r="CM125" s="45"/>
      <c r="CN125" s="45"/>
      <c r="CO125" s="45"/>
      <c r="CP125" s="45"/>
      <c r="CQ125" s="45"/>
      <c r="CR125" s="45"/>
      <c r="CS125" s="45"/>
      <c r="CT125" s="45"/>
      <c r="CU125" s="45"/>
      <c r="CV125" s="45"/>
      <c r="CW125" s="45"/>
      <c r="CX125" s="45"/>
      <c r="CY125" s="45"/>
      <c r="CZ125" s="45"/>
      <c r="DA125" s="45"/>
      <c r="DB125" s="45"/>
      <c r="DC125" s="45"/>
      <c r="DD125" s="45"/>
      <c r="DE125" s="45"/>
      <c r="DF125" s="45"/>
      <c r="DG125" s="45"/>
      <c r="DH125" s="45"/>
      <c r="DI125" s="45"/>
      <c r="DJ125" s="45"/>
      <c r="DK125" s="45"/>
      <c r="DL125" s="45"/>
      <c r="DM125" s="45"/>
      <c r="DN125" s="45"/>
      <c r="DO125" s="45"/>
      <c r="DP125" s="45"/>
      <c r="DQ125" s="45"/>
      <c r="DR125" s="45"/>
      <c r="DS125" s="45"/>
      <c r="DT125" s="45"/>
      <c r="DU125" s="45"/>
      <c r="DV125" s="45"/>
      <c r="DW125" s="45"/>
      <c r="DX125" s="45"/>
      <c r="DY125" s="45"/>
      <c r="DZ125" s="45"/>
      <c r="EA125" s="45"/>
      <c r="EB125" s="45"/>
      <c r="EC125" s="45"/>
      <c r="ED125" s="45"/>
      <c r="EE125" s="45"/>
      <c r="EF125" s="45"/>
      <c r="EG125" s="45"/>
      <c r="EH125" s="45"/>
      <c r="EI125" s="45"/>
      <c r="EJ125" s="45"/>
      <c r="EK125" s="45"/>
      <c r="EL125" s="45"/>
      <c r="EM125" s="45"/>
    </row>
    <row r="126" spans="1:143" s="50" customFormat="1" ht="16" hidden="1" customHeight="1" x14ac:dyDescent="0.25">
      <c r="A126" s="32"/>
      <c r="B126" s="102"/>
      <c r="C126" s="95"/>
      <c r="D126" s="95"/>
      <c r="E126" s="39"/>
      <c r="F126" s="65"/>
      <c r="G126" s="65"/>
      <c r="H126" s="65"/>
      <c r="I126" s="66"/>
      <c r="J126" s="66"/>
      <c r="K126" s="65"/>
      <c r="L126" s="65"/>
      <c r="M126" s="356"/>
      <c r="N126" s="356"/>
      <c r="O126" s="356"/>
      <c r="P126" s="356"/>
      <c r="Q126" s="356"/>
      <c r="R126" s="356"/>
      <c r="S126" s="356"/>
      <c r="T126" s="356"/>
      <c r="U126" s="356"/>
      <c r="V126" s="356"/>
      <c r="W126" s="356"/>
      <c r="X126" s="356"/>
      <c r="Y126" s="356"/>
      <c r="Z126" s="356"/>
      <c r="AA126" s="356"/>
      <c r="AB126" s="356"/>
      <c r="AC126" s="356"/>
      <c r="AD126" s="356"/>
      <c r="AE126" s="356"/>
      <c r="AF126" s="356"/>
      <c r="AG126" s="356"/>
      <c r="AH126" s="356"/>
      <c r="AI126" s="356"/>
      <c r="AJ126" s="356"/>
      <c r="AK126" s="356"/>
      <c r="AL126" s="356"/>
      <c r="AM126" s="356"/>
      <c r="AN126" s="356"/>
      <c r="AO126" s="356"/>
      <c r="AP126" s="356"/>
      <c r="AQ126" s="356"/>
      <c r="AR126" s="356"/>
      <c r="AS126" s="356"/>
      <c r="AT126" s="356"/>
      <c r="AU126" s="356"/>
      <c r="AV126" s="356"/>
      <c r="AW126" s="356"/>
      <c r="AX126" s="356"/>
      <c r="AY126" s="356"/>
      <c r="AZ126" s="356"/>
      <c r="BA126" s="356"/>
      <c r="BB126" s="356"/>
      <c r="BC126" s="356"/>
      <c r="BD126" s="356"/>
      <c r="BE126" s="356"/>
      <c r="BF126" s="356"/>
      <c r="BG126" s="356"/>
      <c r="BH126" s="356"/>
      <c r="BI126" s="356"/>
      <c r="BJ126" s="356"/>
      <c r="BK126" s="356"/>
      <c r="BL126" s="356"/>
      <c r="BM126" s="82"/>
      <c r="BN126" s="22"/>
      <c r="BO126" s="83"/>
      <c r="BP126" s="22"/>
      <c r="BQ126" s="22"/>
      <c r="BR126" s="104"/>
      <c r="BS126" s="32"/>
      <c r="BT126" s="104"/>
      <c r="BU126" s="104"/>
      <c r="BV126" s="32"/>
      <c r="BW126" s="106"/>
      <c r="BX126" s="107"/>
      <c r="BY126" s="108"/>
      <c r="BZ126" s="109"/>
      <c r="CA126" s="110"/>
      <c r="CB126" s="109"/>
      <c r="CC126" s="114"/>
      <c r="CD126" s="10"/>
      <c r="CE126" s="30"/>
      <c r="CF126" s="194"/>
      <c r="CG126" s="30"/>
      <c r="CH126" s="194"/>
      <c r="CI126" s="306"/>
      <c r="CJ126" s="194"/>
      <c r="CL126" s="45"/>
      <c r="CM126" s="45"/>
      <c r="CN126" s="45"/>
      <c r="CO126" s="45"/>
      <c r="CP126" s="45"/>
      <c r="CQ126" s="45"/>
      <c r="CR126" s="45"/>
      <c r="CS126" s="45"/>
      <c r="CT126" s="45"/>
      <c r="CU126" s="45"/>
      <c r="CV126" s="45"/>
      <c r="CW126" s="45"/>
      <c r="CX126" s="45"/>
      <c r="CY126" s="45"/>
      <c r="CZ126" s="45"/>
      <c r="DA126" s="45"/>
      <c r="DB126" s="45"/>
      <c r="DC126" s="45"/>
      <c r="DD126" s="45"/>
      <c r="DE126" s="45"/>
      <c r="DF126" s="45"/>
      <c r="DG126" s="45"/>
      <c r="DH126" s="45"/>
      <c r="DI126" s="45"/>
      <c r="DJ126" s="45"/>
      <c r="DK126" s="45"/>
      <c r="DL126" s="45"/>
      <c r="DM126" s="45"/>
      <c r="DN126" s="45"/>
      <c r="DO126" s="45"/>
      <c r="DP126" s="45"/>
      <c r="DQ126" s="45"/>
      <c r="DR126" s="45"/>
      <c r="DS126" s="45"/>
      <c r="DT126" s="45"/>
      <c r="DU126" s="45"/>
      <c r="DV126" s="45"/>
      <c r="DW126" s="45"/>
      <c r="DX126" s="45"/>
      <c r="DY126" s="45"/>
      <c r="DZ126" s="45"/>
      <c r="EA126" s="45"/>
      <c r="EB126" s="45"/>
      <c r="EC126" s="45"/>
      <c r="ED126" s="45"/>
      <c r="EE126" s="45"/>
      <c r="EF126" s="45"/>
      <c r="EG126" s="45"/>
      <c r="EH126" s="45"/>
      <c r="EI126" s="45"/>
      <c r="EJ126" s="45"/>
      <c r="EK126" s="45"/>
      <c r="EL126" s="45"/>
      <c r="EM126" s="45"/>
    </row>
    <row r="127" spans="1:143" s="50" customFormat="1" ht="16" hidden="1" customHeight="1" x14ac:dyDescent="0.25">
      <c r="A127" s="32"/>
      <c r="B127" s="111"/>
      <c r="C127" s="94"/>
      <c r="D127" s="42"/>
      <c r="E127" s="117"/>
      <c r="F127" s="65"/>
      <c r="G127" s="65"/>
      <c r="H127" s="65"/>
      <c r="I127" s="66"/>
      <c r="J127" s="66"/>
      <c r="K127" s="65"/>
      <c r="L127" s="65"/>
      <c r="M127" s="355"/>
      <c r="N127" s="355"/>
      <c r="O127" s="355"/>
      <c r="P127" s="355"/>
      <c r="Q127" s="355"/>
      <c r="R127" s="355"/>
      <c r="S127" s="355"/>
      <c r="T127" s="355"/>
      <c r="U127" s="355"/>
      <c r="V127" s="355"/>
      <c r="W127" s="355"/>
      <c r="X127" s="355"/>
      <c r="Y127" s="355"/>
      <c r="Z127" s="355"/>
      <c r="AA127" s="355"/>
      <c r="AB127" s="355"/>
      <c r="AC127" s="355"/>
      <c r="AD127" s="355"/>
      <c r="AE127" s="355"/>
      <c r="AF127" s="355"/>
      <c r="AG127" s="355"/>
      <c r="AH127" s="355"/>
      <c r="AI127" s="355"/>
      <c r="AJ127" s="355"/>
      <c r="AK127" s="355"/>
      <c r="AL127" s="355"/>
      <c r="AM127" s="355"/>
      <c r="AN127" s="355"/>
      <c r="AO127" s="355"/>
      <c r="AP127" s="355"/>
      <c r="AQ127" s="355"/>
      <c r="AR127" s="355"/>
      <c r="AS127" s="355"/>
      <c r="AT127" s="355"/>
      <c r="AU127" s="355"/>
      <c r="AV127" s="355"/>
      <c r="AW127" s="355"/>
      <c r="AX127" s="355"/>
      <c r="AY127" s="355"/>
      <c r="AZ127" s="355"/>
      <c r="BA127" s="355"/>
      <c r="BB127" s="355"/>
      <c r="BC127" s="355"/>
      <c r="BD127" s="355"/>
      <c r="BE127" s="355"/>
      <c r="BF127" s="355"/>
      <c r="BG127" s="355"/>
      <c r="BH127" s="355"/>
      <c r="BI127" s="355"/>
      <c r="BJ127" s="355"/>
      <c r="BK127" s="355"/>
      <c r="BL127" s="355"/>
      <c r="BM127" s="118"/>
      <c r="BN127" s="68"/>
      <c r="BO127" s="68"/>
      <c r="BP127" s="68"/>
      <c r="BQ127" s="68"/>
      <c r="BR127" s="22"/>
      <c r="BS127" s="32"/>
      <c r="BT127" s="22"/>
      <c r="BU127" s="22"/>
      <c r="BV127" s="32"/>
      <c r="BW127" s="121"/>
      <c r="BX127" s="122"/>
      <c r="BY127" s="123"/>
      <c r="BZ127" s="90"/>
      <c r="CA127" s="89"/>
      <c r="CB127" s="90"/>
      <c r="CC127" s="18"/>
      <c r="CD127" s="10"/>
      <c r="CE127" s="30"/>
      <c r="CF127" s="194"/>
      <c r="CG127" s="30"/>
      <c r="CH127" s="194"/>
      <c r="CI127" s="306"/>
      <c r="CJ127" s="194"/>
      <c r="CL127" s="45"/>
      <c r="CM127" s="45"/>
      <c r="CN127" s="45"/>
      <c r="CO127" s="45"/>
      <c r="CP127" s="45"/>
      <c r="CQ127" s="45"/>
      <c r="CR127" s="45"/>
      <c r="CS127" s="45"/>
      <c r="CT127" s="45"/>
      <c r="CU127" s="45"/>
      <c r="CV127" s="45"/>
      <c r="CW127" s="45"/>
      <c r="CX127" s="45"/>
      <c r="CY127" s="45"/>
      <c r="CZ127" s="45"/>
      <c r="DA127" s="45"/>
      <c r="DB127" s="45"/>
      <c r="DC127" s="45"/>
      <c r="DD127" s="45"/>
      <c r="DE127" s="45"/>
      <c r="DF127" s="45"/>
      <c r="DG127" s="45"/>
      <c r="DH127" s="45"/>
      <c r="DI127" s="45"/>
      <c r="DJ127" s="45"/>
      <c r="DK127" s="45"/>
      <c r="DL127" s="45"/>
      <c r="DM127" s="45"/>
      <c r="DN127" s="45"/>
      <c r="DO127" s="45"/>
      <c r="DP127" s="45"/>
      <c r="DQ127" s="45"/>
      <c r="DR127" s="45"/>
      <c r="DS127" s="45"/>
      <c r="DT127" s="45"/>
      <c r="DU127" s="45"/>
      <c r="DV127" s="45"/>
      <c r="DW127" s="45"/>
      <c r="DX127" s="45"/>
      <c r="DY127" s="45"/>
      <c r="DZ127" s="45"/>
      <c r="EA127" s="45"/>
      <c r="EB127" s="45"/>
      <c r="EC127" s="45"/>
      <c r="ED127" s="45"/>
      <c r="EE127" s="45"/>
      <c r="EF127" s="45"/>
      <c r="EG127" s="45"/>
      <c r="EH127" s="45"/>
      <c r="EI127" s="45"/>
      <c r="EJ127" s="45"/>
      <c r="EK127" s="45"/>
      <c r="EL127" s="45"/>
      <c r="EM127" s="45"/>
    </row>
    <row r="128" spans="1:143" s="50" customFormat="1" ht="16" hidden="1" customHeight="1" x14ac:dyDescent="0.25">
      <c r="A128" s="32"/>
      <c r="B128" s="111"/>
      <c r="C128" s="81" t="s">
        <v>88</v>
      </c>
      <c r="D128" s="95" t="s">
        <v>72</v>
      </c>
      <c r="E128" s="39" t="s">
        <v>18</v>
      </c>
      <c r="F128" s="65"/>
      <c r="G128" s="65"/>
      <c r="H128" s="65"/>
      <c r="I128" s="66"/>
      <c r="J128" s="66"/>
      <c r="K128" s="65"/>
      <c r="L128" s="65"/>
      <c r="M128" s="356"/>
      <c r="N128" s="356"/>
      <c r="O128" s="356"/>
      <c r="P128" s="356"/>
      <c r="Q128" s="356"/>
      <c r="R128" s="356"/>
      <c r="S128" s="356"/>
      <c r="T128" s="356"/>
      <c r="U128" s="356"/>
      <c r="V128" s="356"/>
      <c r="W128" s="356"/>
      <c r="X128" s="356"/>
      <c r="Y128" s="356"/>
      <c r="Z128" s="356"/>
      <c r="AA128" s="356"/>
      <c r="AB128" s="356"/>
      <c r="AC128" s="356"/>
      <c r="AD128" s="356"/>
      <c r="AE128" s="356"/>
      <c r="AF128" s="356"/>
      <c r="AG128" s="356"/>
      <c r="AH128" s="356"/>
      <c r="AI128" s="356"/>
      <c r="AJ128" s="356"/>
      <c r="AK128" s="356"/>
      <c r="AL128" s="356"/>
      <c r="AM128" s="356"/>
      <c r="AN128" s="356"/>
      <c r="AO128" s="356"/>
      <c r="AP128" s="356"/>
      <c r="AQ128" s="356"/>
      <c r="AR128" s="356"/>
      <c r="AS128" s="356"/>
      <c r="AT128" s="356"/>
      <c r="AU128" s="356"/>
      <c r="AV128" s="356"/>
      <c r="AW128" s="356"/>
      <c r="AX128" s="356"/>
      <c r="AY128" s="356"/>
      <c r="AZ128" s="356"/>
      <c r="BA128" s="356"/>
      <c r="BB128" s="356"/>
      <c r="BC128" s="356"/>
      <c r="BD128" s="356"/>
      <c r="BE128" s="356"/>
      <c r="BF128" s="356"/>
      <c r="BG128" s="356"/>
      <c r="BH128" s="356"/>
      <c r="BI128" s="356"/>
      <c r="BJ128" s="356"/>
      <c r="BK128" s="356"/>
      <c r="BL128" s="356"/>
      <c r="BM128" s="82" t="e">
        <f>SUM(#REF!)</f>
        <v>#REF!</v>
      </c>
      <c r="BN128" s="22">
        <v>500</v>
      </c>
      <c r="BO128" s="83">
        <v>0.5</v>
      </c>
      <c r="BP128" s="22">
        <f>BN128*(1-BO128)</f>
        <v>250</v>
      </c>
      <c r="BQ128" s="22" t="e">
        <f>BP128*BM128</f>
        <v>#REF!</v>
      </c>
      <c r="BR128" s="84">
        <f>BP128*0.8</f>
        <v>200</v>
      </c>
      <c r="BS128" s="32"/>
      <c r="BT128" s="84" t="e">
        <f>BQ128*0.8</f>
        <v>#REF!</v>
      </c>
      <c r="BU128" s="84"/>
      <c r="BV128" s="32"/>
      <c r="BW128" s="99">
        <f>BX128/CA128*100</f>
        <v>9.7492748950453105</v>
      </c>
      <c r="BX128" s="86">
        <v>20817</v>
      </c>
      <c r="BY128" s="87" t="e">
        <f>BW128*BM128</f>
        <v>#REF!</v>
      </c>
      <c r="BZ128" s="88">
        <v>433991</v>
      </c>
      <c r="CA128" s="89">
        <v>213523.57200000001</v>
      </c>
      <c r="CB128" s="90" t="e">
        <f>CA128*BY128%</f>
        <v>#REF!</v>
      </c>
      <c r="CC128" s="21" t="e">
        <f>BT128/CB128*1000</f>
        <v>#REF!</v>
      </c>
      <c r="CD128" s="10"/>
      <c r="CE128" s="30" t="s">
        <v>88</v>
      </c>
      <c r="CF128" s="194"/>
      <c r="CG128" s="30" t="e">
        <f>SUM(#REF!)</f>
        <v>#REF!</v>
      </c>
      <c r="CH128" s="194" t="e">
        <f>#REF!*CG128</f>
        <v>#REF!</v>
      </c>
      <c r="CI128" s="306" t="e">
        <f>SUM(#REF!)</f>
        <v>#REF!</v>
      </c>
      <c r="CJ128" s="194" t="e">
        <f>#REF!*CI128</f>
        <v>#REF!</v>
      </c>
      <c r="CL128" s="45"/>
      <c r="CM128" s="45"/>
      <c r="CN128" s="45"/>
      <c r="CO128" s="45"/>
      <c r="CP128" s="45"/>
      <c r="CQ128" s="45"/>
      <c r="CR128" s="45"/>
      <c r="CS128" s="45"/>
      <c r="CT128" s="45"/>
      <c r="CU128" s="45"/>
      <c r="CV128" s="45"/>
      <c r="CW128" s="45"/>
      <c r="CX128" s="45"/>
      <c r="CY128" s="45"/>
      <c r="CZ128" s="45"/>
      <c r="DA128" s="45"/>
      <c r="DB128" s="45"/>
      <c r="DC128" s="45"/>
      <c r="DD128" s="45"/>
      <c r="DE128" s="45"/>
      <c r="DF128" s="45"/>
      <c r="DG128" s="45"/>
      <c r="DH128" s="45"/>
      <c r="DI128" s="45"/>
      <c r="DJ128" s="45"/>
      <c r="DK128" s="45"/>
      <c r="DL128" s="45"/>
      <c r="DM128" s="45"/>
      <c r="DN128" s="45"/>
      <c r="DO128" s="45"/>
      <c r="DP128" s="45"/>
      <c r="DQ128" s="45"/>
      <c r="DR128" s="45"/>
      <c r="DS128" s="45"/>
      <c r="DT128" s="45"/>
      <c r="DU128" s="45"/>
      <c r="DV128" s="45"/>
      <c r="DW128" s="45"/>
      <c r="DX128" s="45"/>
      <c r="DY128" s="45"/>
      <c r="DZ128" s="45"/>
      <c r="EA128" s="45"/>
      <c r="EB128" s="45"/>
      <c r="EC128" s="45"/>
      <c r="ED128" s="45"/>
      <c r="EE128" s="45"/>
      <c r="EF128" s="45"/>
      <c r="EG128" s="45"/>
      <c r="EH128" s="45"/>
      <c r="EI128" s="45"/>
      <c r="EJ128" s="45"/>
      <c r="EK128" s="45"/>
      <c r="EL128" s="45"/>
      <c r="EM128" s="45"/>
    </row>
    <row r="129" spans="1:143" s="50" customFormat="1" ht="16" hidden="1" customHeight="1" x14ac:dyDescent="0.25">
      <c r="A129" s="32"/>
      <c r="B129" s="111"/>
      <c r="C129" s="95"/>
      <c r="D129" s="95"/>
      <c r="E129" s="39"/>
      <c r="F129" s="65"/>
      <c r="G129" s="65"/>
      <c r="H129" s="65"/>
      <c r="I129" s="66"/>
      <c r="J129" s="66"/>
      <c r="K129" s="65"/>
      <c r="L129" s="65"/>
      <c r="M129" s="356"/>
      <c r="N129" s="356"/>
      <c r="O129" s="356"/>
      <c r="P129" s="356"/>
      <c r="Q129" s="356"/>
      <c r="R129" s="356"/>
      <c r="S129" s="356"/>
      <c r="T129" s="356"/>
      <c r="U129" s="356"/>
      <c r="V129" s="356"/>
      <c r="W129" s="356"/>
      <c r="X129" s="356"/>
      <c r="Y129" s="356"/>
      <c r="Z129" s="356"/>
      <c r="AA129" s="356"/>
      <c r="AB129" s="356"/>
      <c r="AC129" s="356"/>
      <c r="AD129" s="356"/>
      <c r="AE129" s="356"/>
      <c r="AF129" s="356"/>
      <c r="AG129" s="356"/>
      <c r="AH129" s="356"/>
      <c r="AI129" s="356"/>
      <c r="AJ129" s="356"/>
      <c r="AK129" s="356"/>
      <c r="AL129" s="356"/>
      <c r="AM129" s="356"/>
      <c r="AN129" s="356"/>
      <c r="AO129" s="356"/>
      <c r="AP129" s="356"/>
      <c r="AQ129" s="356"/>
      <c r="AR129" s="356"/>
      <c r="AS129" s="356"/>
      <c r="AT129" s="356"/>
      <c r="AU129" s="356"/>
      <c r="AV129" s="356"/>
      <c r="AW129" s="356"/>
      <c r="AX129" s="356"/>
      <c r="AY129" s="356"/>
      <c r="AZ129" s="356"/>
      <c r="BA129" s="356"/>
      <c r="BB129" s="356"/>
      <c r="BC129" s="356"/>
      <c r="BD129" s="356"/>
      <c r="BE129" s="356"/>
      <c r="BF129" s="356"/>
      <c r="BG129" s="356"/>
      <c r="BH129" s="356"/>
      <c r="BI129" s="356"/>
      <c r="BJ129" s="356"/>
      <c r="BK129" s="356"/>
      <c r="BL129" s="356"/>
      <c r="BM129" s="82"/>
      <c r="BN129" s="22"/>
      <c r="BO129" s="83"/>
      <c r="BP129" s="22"/>
      <c r="BQ129" s="22"/>
      <c r="BR129" s="104"/>
      <c r="BS129" s="32"/>
      <c r="BT129" s="104"/>
      <c r="BU129" s="104"/>
      <c r="BV129" s="32"/>
      <c r="BW129" s="106"/>
      <c r="BX129" s="107"/>
      <c r="BY129" s="108"/>
      <c r="BZ129" s="109"/>
      <c r="CA129" s="110"/>
      <c r="CB129" s="109"/>
      <c r="CC129" s="114"/>
      <c r="CD129" s="10"/>
      <c r="CE129" s="30"/>
      <c r="CF129" s="194"/>
      <c r="CG129" s="30"/>
      <c r="CH129" s="194"/>
      <c r="CI129" s="306"/>
      <c r="CJ129" s="194"/>
      <c r="CL129" s="45"/>
      <c r="CM129" s="45"/>
      <c r="CN129" s="45"/>
      <c r="CO129" s="45"/>
      <c r="CP129" s="45"/>
      <c r="CQ129" s="45"/>
      <c r="CR129" s="45"/>
      <c r="CS129" s="45"/>
      <c r="CT129" s="45"/>
      <c r="CU129" s="45"/>
      <c r="CV129" s="45"/>
      <c r="CW129" s="45"/>
      <c r="CX129" s="45"/>
      <c r="CY129" s="45"/>
      <c r="CZ129" s="45"/>
      <c r="DA129" s="45"/>
      <c r="DB129" s="45"/>
      <c r="DC129" s="45"/>
      <c r="DD129" s="45"/>
      <c r="DE129" s="45"/>
      <c r="DF129" s="45"/>
      <c r="DG129" s="45"/>
      <c r="DH129" s="45"/>
      <c r="DI129" s="45"/>
      <c r="DJ129" s="45"/>
      <c r="DK129" s="45"/>
      <c r="DL129" s="45"/>
      <c r="DM129" s="45"/>
      <c r="DN129" s="45"/>
      <c r="DO129" s="45"/>
      <c r="DP129" s="45"/>
      <c r="DQ129" s="45"/>
      <c r="DR129" s="45"/>
      <c r="DS129" s="45"/>
      <c r="DT129" s="45"/>
      <c r="DU129" s="45"/>
      <c r="DV129" s="45"/>
      <c r="DW129" s="45"/>
      <c r="DX129" s="45"/>
      <c r="DY129" s="45"/>
      <c r="DZ129" s="45"/>
      <c r="EA129" s="45"/>
      <c r="EB129" s="45"/>
      <c r="EC129" s="45"/>
      <c r="ED129" s="45"/>
      <c r="EE129" s="45"/>
      <c r="EF129" s="45"/>
      <c r="EG129" s="45"/>
      <c r="EH129" s="45"/>
      <c r="EI129" s="45"/>
      <c r="EJ129" s="45"/>
      <c r="EK129" s="45"/>
      <c r="EL129" s="45"/>
      <c r="EM129" s="45"/>
    </row>
    <row r="130" spans="1:143" s="50" customFormat="1" ht="16" hidden="1" customHeight="1" x14ac:dyDescent="0.25">
      <c r="A130" s="32"/>
      <c r="B130" s="111"/>
      <c r="C130" s="94"/>
      <c r="D130" s="42"/>
      <c r="E130" s="117"/>
      <c r="F130" s="65"/>
      <c r="G130" s="65"/>
      <c r="H130" s="65"/>
      <c r="I130" s="66"/>
      <c r="J130" s="66"/>
      <c r="K130" s="65"/>
      <c r="L130" s="65"/>
      <c r="M130" s="348"/>
      <c r="N130" s="348"/>
      <c r="O130" s="348"/>
      <c r="P130" s="348"/>
      <c r="Q130" s="348"/>
      <c r="R130" s="348"/>
      <c r="S130" s="348"/>
      <c r="T130" s="348"/>
      <c r="U130" s="348"/>
      <c r="V130" s="348"/>
      <c r="W130" s="348"/>
      <c r="X130" s="348"/>
      <c r="Y130" s="348"/>
      <c r="Z130" s="348"/>
      <c r="AA130" s="348"/>
      <c r="AB130" s="348"/>
      <c r="AC130" s="348"/>
      <c r="AD130" s="348"/>
      <c r="AE130" s="348"/>
      <c r="AF130" s="348"/>
      <c r="AG130" s="348"/>
      <c r="AH130" s="348"/>
      <c r="AI130" s="348"/>
      <c r="AJ130" s="348"/>
      <c r="AK130" s="348"/>
      <c r="AL130" s="348"/>
      <c r="AM130" s="348"/>
      <c r="AN130" s="348"/>
      <c r="AO130" s="348"/>
      <c r="AP130" s="348"/>
      <c r="AQ130" s="348"/>
      <c r="AR130" s="348"/>
      <c r="AS130" s="348"/>
      <c r="AT130" s="348"/>
      <c r="AU130" s="348"/>
      <c r="AV130" s="348"/>
      <c r="AW130" s="348"/>
      <c r="AX130" s="348"/>
      <c r="AY130" s="348"/>
      <c r="AZ130" s="348"/>
      <c r="BA130" s="348"/>
      <c r="BB130" s="348"/>
      <c r="BC130" s="348"/>
      <c r="BD130" s="348"/>
      <c r="BE130" s="348"/>
      <c r="BF130" s="348"/>
      <c r="BG130" s="348"/>
      <c r="BH130" s="348"/>
      <c r="BI130" s="348"/>
      <c r="BJ130" s="348"/>
      <c r="BK130" s="348"/>
      <c r="BL130" s="348"/>
      <c r="BM130" s="187"/>
      <c r="BN130" s="68"/>
      <c r="BO130" s="68"/>
      <c r="BP130" s="68"/>
      <c r="BQ130" s="68"/>
      <c r="BR130" s="68"/>
      <c r="BS130" s="32"/>
      <c r="BT130" s="68"/>
      <c r="BU130" s="68"/>
      <c r="BV130" s="32"/>
      <c r="BW130" s="121"/>
      <c r="BX130" s="122"/>
      <c r="BY130" s="123"/>
      <c r="BZ130" s="90"/>
      <c r="CA130" s="89"/>
      <c r="CB130" s="90"/>
      <c r="CC130" s="18"/>
      <c r="CD130" s="10"/>
      <c r="CE130" s="30"/>
      <c r="CF130" s="194"/>
      <c r="CG130" s="30"/>
      <c r="CH130" s="194"/>
      <c r="CI130" s="306"/>
      <c r="CJ130" s="194"/>
      <c r="CL130" s="45"/>
      <c r="CM130" s="45"/>
      <c r="CN130" s="45"/>
      <c r="CO130" s="45"/>
      <c r="CP130" s="45"/>
      <c r="CQ130" s="45"/>
      <c r="CR130" s="45"/>
      <c r="CS130" s="45"/>
      <c r="CT130" s="45"/>
      <c r="CU130" s="45"/>
      <c r="CV130" s="45"/>
      <c r="CW130" s="45"/>
      <c r="CX130" s="45"/>
      <c r="CY130" s="45"/>
      <c r="CZ130" s="45"/>
      <c r="DA130" s="45"/>
      <c r="DB130" s="45"/>
      <c r="DC130" s="45"/>
      <c r="DD130" s="45"/>
      <c r="DE130" s="45"/>
      <c r="DF130" s="45"/>
      <c r="DG130" s="45"/>
      <c r="DH130" s="45"/>
      <c r="DI130" s="45"/>
      <c r="DJ130" s="45"/>
      <c r="DK130" s="45"/>
      <c r="DL130" s="45"/>
      <c r="DM130" s="45"/>
      <c r="DN130" s="45"/>
      <c r="DO130" s="45"/>
      <c r="DP130" s="45"/>
      <c r="DQ130" s="45"/>
      <c r="DR130" s="45"/>
      <c r="DS130" s="45"/>
      <c r="DT130" s="45"/>
      <c r="DU130" s="45"/>
      <c r="DV130" s="45"/>
      <c r="DW130" s="45"/>
      <c r="DX130" s="45"/>
      <c r="DY130" s="45"/>
      <c r="DZ130" s="45"/>
      <c r="EA130" s="45"/>
      <c r="EB130" s="45"/>
      <c r="EC130" s="45"/>
      <c r="ED130" s="45"/>
      <c r="EE130" s="45"/>
      <c r="EF130" s="45"/>
      <c r="EG130" s="45"/>
      <c r="EH130" s="45"/>
      <c r="EI130" s="45"/>
      <c r="EJ130" s="45"/>
      <c r="EK130" s="45"/>
      <c r="EL130" s="45"/>
      <c r="EM130" s="45"/>
    </row>
    <row r="131" spans="1:143" s="50" customFormat="1" ht="16" hidden="1" customHeight="1" x14ac:dyDescent="0.25">
      <c r="A131" s="32"/>
      <c r="B131" s="111"/>
      <c r="C131" s="81" t="s">
        <v>89</v>
      </c>
      <c r="D131" s="95" t="s">
        <v>72</v>
      </c>
      <c r="E131" s="39" t="s">
        <v>18</v>
      </c>
      <c r="F131" s="65"/>
      <c r="G131" s="65"/>
      <c r="H131" s="65"/>
      <c r="I131" s="66"/>
      <c r="J131" s="66"/>
      <c r="K131" s="65"/>
      <c r="L131" s="65"/>
      <c r="M131" s="356"/>
      <c r="N131" s="356"/>
      <c r="O131" s="356"/>
      <c r="P131" s="356"/>
      <c r="Q131" s="356"/>
      <c r="R131" s="356"/>
      <c r="S131" s="356"/>
      <c r="T131" s="356"/>
      <c r="U131" s="356"/>
      <c r="V131" s="356"/>
      <c r="W131" s="356"/>
      <c r="X131" s="356"/>
      <c r="Y131" s="356"/>
      <c r="Z131" s="356"/>
      <c r="AA131" s="356"/>
      <c r="AB131" s="356"/>
      <c r="AC131" s="356"/>
      <c r="AD131" s="356"/>
      <c r="AE131" s="356"/>
      <c r="AF131" s="356"/>
      <c r="AG131" s="356"/>
      <c r="AH131" s="356"/>
      <c r="AI131" s="356"/>
      <c r="AJ131" s="356"/>
      <c r="AK131" s="356"/>
      <c r="AL131" s="356"/>
      <c r="AM131" s="356"/>
      <c r="AN131" s="356"/>
      <c r="AO131" s="356"/>
      <c r="AP131" s="356"/>
      <c r="AQ131" s="356"/>
      <c r="AR131" s="356"/>
      <c r="AS131" s="356"/>
      <c r="AT131" s="356"/>
      <c r="AU131" s="356"/>
      <c r="AV131" s="356"/>
      <c r="AW131" s="356"/>
      <c r="AX131" s="356"/>
      <c r="AY131" s="356"/>
      <c r="AZ131" s="356"/>
      <c r="BA131" s="356"/>
      <c r="BB131" s="356"/>
      <c r="BC131" s="356"/>
      <c r="BD131" s="356"/>
      <c r="BE131" s="356"/>
      <c r="BF131" s="356"/>
      <c r="BG131" s="356"/>
      <c r="BH131" s="356"/>
      <c r="BI131" s="356"/>
      <c r="BJ131" s="356"/>
      <c r="BK131" s="356"/>
      <c r="BL131" s="356"/>
      <c r="BM131" s="82" t="e">
        <f>SUM(#REF!)</f>
        <v>#REF!</v>
      </c>
      <c r="BN131" s="22">
        <v>580</v>
      </c>
      <c r="BO131" s="83">
        <v>0.5</v>
      </c>
      <c r="BP131" s="22">
        <f>BN131*(1-BO131)</f>
        <v>290</v>
      </c>
      <c r="BQ131" s="22" t="e">
        <f>BP131*BM131</f>
        <v>#REF!</v>
      </c>
      <c r="BR131" s="84">
        <f>BP131*0.8</f>
        <v>232</v>
      </c>
      <c r="BS131" s="32"/>
      <c r="BT131" s="84" t="e">
        <f>BQ131*0.8</f>
        <v>#REF!</v>
      </c>
      <c r="BU131" s="84"/>
      <c r="BV131" s="32"/>
      <c r="BW131" s="99">
        <f>BX131/CA131*100</f>
        <v>12.888506754654703</v>
      </c>
      <c r="BX131" s="86">
        <v>27520</v>
      </c>
      <c r="BY131" s="87" t="e">
        <f>BW131*BM131</f>
        <v>#REF!</v>
      </c>
      <c r="BZ131" s="88">
        <v>433991</v>
      </c>
      <c r="CA131" s="89">
        <v>213523.57200000001</v>
      </c>
      <c r="CB131" s="90" t="e">
        <f>CA131*BY131%</f>
        <v>#REF!</v>
      </c>
      <c r="CC131" s="21" t="e">
        <f>BT131/CB131*1000</f>
        <v>#REF!</v>
      </c>
      <c r="CD131" s="10"/>
      <c r="CE131" s="30" t="s">
        <v>89</v>
      </c>
      <c r="CF131" s="194"/>
      <c r="CG131" s="30" t="e">
        <f>SUM(#REF!)</f>
        <v>#REF!</v>
      </c>
      <c r="CH131" s="194" t="e">
        <f>#REF!*CG131</f>
        <v>#REF!</v>
      </c>
      <c r="CI131" s="306" t="e">
        <f>SUM(#REF!)</f>
        <v>#REF!</v>
      </c>
      <c r="CJ131" s="194" t="e">
        <f>#REF!*CI131</f>
        <v>#REF!</v>
      </c>
      <c r="CL131" s="45"/>
      <c r="CM131" s="45"/>
      <c r="CN131" s="45"/>
      <c r="CO131" s="45"/>
      <c r="CP131" s="45"/>
      <c r="CQ131" s="45"/>
      <c r="CR131" s="45"/>
      <c r="CS131" s="45"/>
      <c r="CT131" s="45"/>
      <c r="CU131" s="45"/>
      <c r="CV131" s="45"/>
      <c r="CW131" s="45"/>
      <c r="CX131" s="45"/>
      <c r="CY131" s="45"/>
      <c r="CZ131" s="45"/>
      <c r="DA131" s="45"/>
      <c r="DB131" s="45"/>
      <c r="DC131" s="45"/>
      <c r="DD131" s="45"/>
      <c r="DE131" s="45"/>
      <c r="DF131" s="45"/>
      <c r="DG131" s="45"/>
      <c r="DH131" s="45"/>
      <c r="DI131" s="45"/>
      <c r="DJ131" s="45"/>
      <c r="DK131" s="45"/>
      <c r="DL131" s="45"/>
      <c r="DM131" s="45"/>
      <c r="DN131" s="45"/>
      <c r="DO131" s="45"/>
      <c r="DP131" s="45"/>
      <c r="DQ131" s="45"/>
      <c r="DR131" s="45"/>
      <c r="DS131" s="45"/>
      <c r="DT131" s="45"/>
      <c r="DU131" s="45"/>
      <c r="DV131" s="45"/>
      <c r="DW131" s="45"/>
      <c r="DX131" s="45"/>
      <c r="DY131" s="45"/>
      <c r="DZ131" s="45"/>
      <c r="EA131" s="45"/>
      <c r="EB131" s="45"/>
      <c r="EC131" s="45"/>
      <c r="ED131" s="45"/>
      <c r="EE131" s="45"/>
      <c r="EF131" s="45"/>
      <c r="EG131" s="45"/>
      <c r="EH131" s="45"/>
      <c r="EI131" s="45"/>
      <c r="EJ131" s="45"/>
      <c r="EK131" s="45"/>
      <c r="EL131" s="45"/>
      <c r="EM131" s="45"/>
    </row>
    <row r="132" spans="1:143" s="50" customFormat="1" ht="16" hidden="1" customHeight="1" x14ac:dyDescent="0.25">
      <c r="A132" s="32"/>
      <c r="B132" s="111"/>
      <c r="C132" s="95"/>
      <c r="D132" s="95"/>
      <c r="E132" s="39"/>
      <c r="F132" s="65"/>
      <c r="G132" s="65"/>
      <c r="H132" s="65"/>
      <c r="I132" s="66"/>
      <c r="J132" s="66"/>
      <c r="K132" s="65"/>
      <c r="L132" s="65"/>
      <c r="M132" s="350"/>
      <c r="N132" s="350"/>
      <c r="O132" s="350"/>
      <c r="P132" s="350"/>
      <c r="Q132" s="350"/>
      <c r="R132" s="350"/>
      <c r="S132" s="350"/>
      <c r="T132" s="350"/>
      <c r="U132" s="350"/>
      <c r="V132" s="350"/>
      <c r="W132" s="350"/>
      <c r="X132" s="350"/>
      <c r="Y132" s="350"/>
      <c r="Z132" s="350"/>
      <c r="AA132" s="350"/>
      <c r="AB132" s="350"/>
      <c r="AC132" s="350"/>
      <c r="AD132" s="350"/>
      <c r="AE132" s="350"/>
      <c r="AF132" s="350"/>
      <c r="AG132" s="350"/>
      <c r="AH132" s="350"/>
      <c r="AI132" s="350"/>
      <c r="AJ132" s="350"/>
      <c r="AK132" s="350"/>
      <c r="AL132" s="350"/>
      <c r="AM132" s="350"/>
      <c r="AN132" s="350"/>
      <c r="AO132" s="350"/>
      <c r="AP132" s="350"/>
      <c r="AQ132" s="350"/>
      <c r="AR132" s="350"/>
      <c r="AS132" s="350"/>
      <c r="AT132" s="350"/>
      <c r="AU132" s="350"/>
      <c r="AV132" s="350"/>
      <c r="AW132" s="350"/>
      <c r="AX132" s="350"/>
      <c r="AY132" s="350"/>
      <c r="AZ132" s="350"/>
      <c r="BA132" s="350"/>
      <c r="BB132" s="350"/>
      <c r="BC132" s="350"/>
      <c r="BD132" s="350"/>
      <c r="BE132" s="350"/>
      <c r="BF132" s="350"/>
      <c r="BG132" s="350"/>
      <c r="BH132" s="350"/>
      <c r="BI132" s="350"/>
      <c r="BJ132" s="350"/>
      <c r="BK132" s="350"/>
      <c r="BL132" s="350"/>
      <c r="BM132" s="173"/>
      <c r="BN132" s="104"/>
      <c r="BO132" s="195"/>
      <c r="BP132" s="104"/>
      <c r="BQ132" s="104"/>
      <c r="BR132" s="104"/>
      <c r="BS132" s="32"/>
      <c r="BT132" s="104"/>
      <c r="BU132" s="104"/>
      <c r="BV132" s="32"/>
      <c r="BW132" s="106"/>
      <c r="BX132" s="107"/>
      <c r="BY132" s="108"/>
      <c r="BZ132" s="109"/>
      <c r="CA132" s="110"/>
      <c r="CB132" s="109"/>
      <c r="CC132" s="114"/>
      <c r="CD132" s="10"/>
      <c r="CE132" s="30"/>
      <c r="CF132" s="194"/>
      <c r="CG132" s="30"/>
      <c r="CH132" s="194"/>
      <c r="CI132" s="306"/>
      <c r="CJ132" s="194"/>
      <c r="CL132" s="45"/>
      <c r="CM132" s="45"/>
      <c r="CN132" s="45"/>
      <c r="CO132" s="45"/>
      <c r="CP132" s="45"/>
      <c r="CQ132" s="45"/>
      <c r="CR132" s="45"/>
      <c r="CS132" s="45"/>
      <c r="CT132" s="45"/>
      <c r="CU132" s="45"/>
      <c r="CV132" s="45"/>
      <c r="CW132" s="45"/>
      <c r="CX132" s="45"/>
      <c r="CY132" s="45"/>
      <c r="CZ132" s="45"/>
      <c r="DA132" s="45"/>
      <c r="DB132" s="45"/>
      <c r="DC132" s="45"/>
      <c r="DD132" s="45"/>
      <c r="DE132" s="45"/>
      <c r="DF132" s="45"/>
      <c r="DG132" s="45"/>
      <c r="DH132" s="45"/>
      <c r="DI132" s="45"/>
      <c r="DJ132" s="45"/>
      <c r="DK132" s="45"/>
      <c r="DL132" s="45"/>
      <c r="DM132" s="45"/>
      <c r="DN132" s="45"/>
      <c r="DO132" s="45"/>
      <c r="DP132" s="45"/>
      <c r="DQ132" s="45"/>
      <c r="DR132" s="45"/>
      <c r="DS132" s="45"/>
      <c r="DT132" s="45"/>
      <c r="DU132" s="45"/>
      <c r="DV132" s="45"/>
      <c r="DW132" s="45"/>
      <c r="DX132" s="45"/>
      <c r="DY132" s="45"/>
      <c r="DZ132" s="45"/>
      <c r="EA132" s="45"/>
      <c r="EB132" s="45"/>
      <c r="EC132" s="45"/>
      <c r="ED132" s="45"/>
      <c r="EE132" s="45"/>
      <c r="EF132" s="45"/>
      <c r="EG132" s="45"/>
      <c r="EH132" s="45"/>
      <c r="EI132" s="45"/>
      <c r="EJ132" s="45"/>
      <c r="EK132" s="45"/>
      <c r="EL132" s="45"/>
      <c r="EM132" s="45"/>
    </row>
    <row r="133" spans="1:143" s="50" customFormat="1" ht="16" hidden="1" customHeight="1" x14ac:dyDescent="0.25">
      <c r="A133" s="32"/>
      <c r="B133" s="111"/>
      <c r="C133" s="95"/>
      <c r="D133" s="95"/>
      <c r="E133" s="39"/>
      <c r="F133" s="65"/>
      <c r="G133" s="65"/>
      <c r="H133" s="65"/>
      <c r="I133" s="66"/>
      <c r="J133" s="66"/>
      <c r="K133" s="65"/>
      <c r="L133" s="65"/>
      <c r="M133" s="348"/>
      <c r="N133" s="348"/>
      <c r="O133" s="348"/>
      <c r="P133" s="348"/>
      <c r="Q133" s="348"/>
      <c r="R133" s="348"/>
      <c r="S133" s="348"/>
      <c r="T133" s="348"/>
      <c r="U133" s="348"/>
      <c r="V133" s="348"/>
      <c r="W133" s="348"/>
      <c r="X133" s="348"/>
      <c r="Y133" s="348"/>
      <c r="Z133" s="348"/>
      <c r="AA133" s="348"/>
      <c r="AB133" s="348"/>
      <c r="AC133" s="348"/>
      <c r="AD133" s="348"/>
      <c r="AE133" s="348"/>
      <c r="AF133" s="348"/>
      <c r="AG133" s="348"/>
      <c r="AH133" s="348"/>
      <c r="AI133" s="348"/>
      <c r="AJ133" s="348"/>
      <c r="AK133" s="348"/>
      <c r="AL133" s="348"/>
      <c r="AM133" s="348"/>
      <c r="AN133" s="348"/>
      <c r="AO133" s="348"/>
      <c r="AP133" s="348"/>
      <c r="AQ133" s="348"/>
      <c r="AR133" s="348"/>
      <c r="AS133" s="348"/>
      <c r="AT133" s="348"/>
      <c r="AU133" s="348"/>
      <c r="AV133" s="348"/>
      <c r="AW133" s="348"/>
      <c r="AX133" s="348"/>
      <c r="AY133" s="348"/>
      <c r="AZ133" s="348"/>
      <c r="BA133" s="348"/>
      <c r="BB133" s="348"/>
      <c r="BC133" s="348"/>
      <c r="BD133" s="348"/>
      <c r="BE133" s="348"/>
      <c r="BF133" s="348"/>
      <c r="BG133" s="348"/>
      <c r="BH133" s="348"/>
      <c r="BI133" s="348"/>
      <c r="BJ133" s="348"/>
      <c r="BK133" s="348"/>
      <c r="BL133" s="348"/>
      <c r="BM133" s="187"/>
      <c r="BN133" s="68"/>
      <c r="BO133" s="68"/>
      <c r="BP133" s="68"/>
      <c r="BQ133" s="68"/>
      <c r="BR133" s="68"/>
      <c r="BS133" s="32"/>
      <c r="BT133" s="68"/>
      <c r="BU133" s="68"/>
      <c r="BV133" s="32"/>
      <c r="BW133" s="121"/>
      <c r="BX133" s="122"/>
      <c r="BY133" s="123"/>
      <c r="BZ133" s="90"/>
      <c r="CA133" s="89"/>
      <c r="CB133" s="90"/>
      <c r="CC133" s="18"/>
      <c r="CD133" s="10"/>
      <c r="CE133" s="30"/>
      <c r="CF133" s="194"/>
      <c r="CG133" s="30"/>
      <c r="CH133" s="194"/>
      <c r="CI133" s="306"/>
      <c r="CJ133" s="194"/>
      <c r="CL133" s="45"/>
      <c r="CM133" s="45"/>
      <c r="CN133" s="45"/>
      <c r="CO133" s="45"/>
      <c r="CP133" s="45"/>
      <c r="CQ133" s="45"/>
      <c r="CR133" s="45"/>
      <c r="CS133" s="45"/>
      <c r="CT133" s="45"/>
      <c r="CU133" s="45"/>
      <c r="CV133" s="45"/>
      <c r="CW133" s="45"/>
      <c r="CX133" s="45"/>
      <c r="CY133" s="45"/>
      <c r="CZ133" s="45"/>
      <c r="DA133" s="45"/>
      <c r="DB133" s="45"/>
      <c r="DC133" s="45"/>
      <c r="DD133" s="45"/>
      <c r="DE133" s="45"/>
      <c r="DF133" s="45"/>
      <c r="DG133" s="45"/>
      <c r="DH133" s="45"/>
      <c r="DI133" s="45"/>
      <c r="DJ133" s="45"/>
      <c r="DK133" s="45"/>
      <c r="DL133" s="45"/>
      <c r="DM133" s="45"/>
      <c r="DN133" s="45"/>
      <c r="DO133" s="45"/>
      <c r="DP133" s="45"/>
      <c r="DQ133" s="45"/>
      <c r="DR133" s="45"/>
      <c r="DS133" s="45"/>
      <c r="DT133" s="45"/>
      <c r="DU133" s="45"/>
      <c r="DV133" s="45"/>
      <c r="DW133" s="45"/>
      <c r="DX133" s="45"/>
      <c r="DY133" s="45"/>
      <c r="DZ133" s="45"/>
      <c r="EA133" s="45"/>
      <c r="EB133" s="45"/>
      <c r="EC133" s="45"/>
      <c r="ED133" s="45"/>
      <c r="EE133" s="45"/>
      <c r="EF133" s="45"/>
      <c r="EG133" s="45"/>
      <c r="EH133" s="45"/>
      <c r="EI133" s="45"/>
      <c r="EJ133" s="45"/>
      <c r="EK133" s="45"/>
      <c r="EL133" s="45"/>
      <c r="EM133" s="45"/>
    </row>
    <row r="134" spans="1:143" s="50" customFormat="1" ht="16" hidden="1" customHeight="1" x14ac:dyDescent="0.25">
      <c r="A134" s="32"/>
      <c r="B134" s="111"/>
      <c r="C134" s="95" t="s">
        <v>90</v>
      </c>
      <c r="D134" s="95" t="s">
        <v>72</v>
      </c>
      <c r="E134" s="39" t="s">
        <v>18</v>
      </c>
      <c r="F134" s="65"/>
      <c r="G134" s="65"/>
      <c r="H134" s="65"/>
      <c r="I134" s="66"/>
      <c r="J134" s="66"/>
      <c r="K134" s="65"/>
      <c r="L134" s="65"/>
      <c r="M134" s="356"/>
      <c r="N134" s="356"/>
      <c r="O134" s="356"/>
      <c r="P134" s="356"/>
      <c r="Q134" s="356"/>
      <c r="R134" s="356"/>
      <c r="S134" s="356"/>
      <c r="T134" s="356"/>
      <c r="U134" s="356"/>
      <c r="V134" s="356"/>
      <c r="W134" s="356"/>
      <c r="X134" s="356"/>
      <c r="Y134" s="356"/>
      <c r="Z134" s="356"/>
      <c r="AA134" s="356"/>
      <c r="AB134" s="356"/>
      <c r="AC134" s="356"/>
      <c r="AD134" s="356"/>
      <c r="AE134" s="356"/>
      <c r="AF134" s="356"/>
      <c r="AG134" s="356"/>
      <c r="AH134" s="356"/>
      <c r="AI134" s="356"/>
      <c r="AJ134" s="356"/>
      <c r="AK134" s="356"/>
      <c r="AL134" s="356"/>
      <c r="AM134" s="356"/>
      <c r="AN134" s="356"/>
      <c r="AO134" s="356"/>
      <c r="AP134" s="356"/>
      <c r="AQ134" s="356"/>
      <c r="AR134" s="356"/>
      <c r="AS134" s="356"/>
      <c r="AT134" s="356"/>
      <c r="AU134" s="356"/>
      <c r="AV134" s="356"/>
      <c r="AW134" s="356"/>
      <c r="AX134" s="356"/>
      <c r="AY134" s="356"/>
      <c r="AZ134" s="356"/>
      <c r="BA134" s="356"/>
      <c r="BB134" s="356"/>
      <c r="BC134" s="356"/>
      <c r="BD134" s="356"/>
      <c r="BE134" s="356"/>
      <c r="BF134" s="356"/>
      <c r="BG134" s="356"/>
      <c r="BH134" s="356"/>
      <c r="BI134" s="356"/>
      <c r="BJ134" s="356"/>
      <c r="BK134" s="356"/>
      <c r="BL134" s="356"/>
      <c r="BM134" s="82" t="e">
        <f>SUM(#REF!)</f>
        <v>#REF!</v>
      </c>
      <c r="BN134" s="22">
        <v>568.83000000000004</v>
      </c>
      <c r="BO134" s="83">
        <v>0.75</v>
      </c>
      <c r="BP134" s="22">
        <f>BN134*(1-BO134)</f>
        <v>142.20750000000001</v>
      </c>
      <c r="BQ134" s="22" t="e">
        <f>BP134*BM134</f>
        <v>#REF!</v>
      </c>
      <c r="BR134" s="84">
        <f>BP134*0.8</f>
        <v>113.76600000000002</v>
      </c>
      <c r="BS134" s="32"/>
      <c r="BT134" s="84" t="e">
        <f>BQ134*0.8</f>
        <v>#REF!</v>
      </c>
      <c r="BU134" s="84"/>
      <c r="BV134" s="32"/>
      <c r="BW134" s="99">
        <f>BX134/CA134*100</f>
        <v>4.8612899750478133</v>
      </c>
      <c r="BX134" s="86">
        <v>10380</v>
      </c>
      <c r="BY134" s="87" t="e">
        <f>BW134*BM134</f>
        <v>#REF!</v>
      </c>
      <c r="BZ134" s="88">
        <v>433991</v>
      </c>
      <c r="CA134" s="89">
        <v>213523.57200000001</v>
      </c>
      <c r="CB134" s="90" t="e">
        <f>CA134*BY134%</f>
        <v>#REF!</v>
      </c>
      <c r="CC134" s="21" t="e">
        <f>BT134/CB134*1000</f>
        <v>#REF!</v>
      </c>
      <c r="CD134" s="10"/>
      <c r="CE134" s="30" t="str">
        <f>C134</f>
        <v>SANTA CECILIA FM</v>
      </c>
      <c r="CF134" s="194"/>
      <c r="CG134" s="30" t="e">
        <f>SUM(#REF!)</f>
        <v>#REF!</v>
      </c>
      <c r="CH134" s="194" t="e">
        <f>#REF!*CG134</f>
        <v>#REF!</v>
      </c>
      <c r="CI134" s="306" t="e">
        <f>SUM(#REF!)</f>
        <v>#REF!</v>
      </c>
      <c r="CJ134" s="194" t="e">
        <f>#REF!*CI134</f>
        <v>#REF!</v>
      </c>
      <c r="CL134" s="45"/>
      <c r="CM134" s="45"/>
      <c r="CN134" s="45"/>
      <c r="CO134" s="45"/>
      <c r="CP134" s="45"/>
      <c r="CQ134" s="45"/>
      <c r="CR134" s="45"/>
      <c r="CS134" s="45"/>
      <c r="CT134" s="45"/>
      <c r="CU134" s="45"/>
      <c r="CV134" s="45"/>
      <c r="CW134" s="45"/>
      <c r="CX134" s="45"/>
      <c r="CY134" s="45"/>
      <c r="CZ134" s="45"/>
      <c r="DA134" s="45"/>
      <c r="DB134" s="45"/>
      <c r="DC134" s="45"/>
      <c r="DD134" s="45"/>
      <c r="DE134" s="45"/>
      <c r="DF134" s="45"/>
      <c r="DG134" s="45"/>
      <c r="DH134" s="45"/>
      <c r="DI134" s="45"/>
      <c r="DJ134" s="45"/>
      <c r="DK134" s="45"/>
      <c r="DL134" s="45"/>
      <c r="DM134" s="45"/>
      <c r="DN134" s="45"/>
      <c r="DO134" s="45"/>
      <c r="DP134" s="45"/>
      <c r="DQ134" s="45"/>
      <c r="DR134" s="45"/>
      <c r="DS134" s="45"/>
      <c r="DT134" s="45"/>
      <c r="DU134" s="45"/>
      <c r="DV134" s="45"/>
      <c r="DW134" s="45"/>
      <c r="DX134" s="45"/>
      <c r="DY134" s="45"/>
      <c r="DZ134" s="45"/>
      <c r="EA134" s="45"/>
      <c r="EB134" s="45"/>
      <c r="EC134" s="45"/>
      <c r="ED134" s="45"/>
      <c r="EE134" s="45"/>
      <c r="EF134" s="45"/>
      <c r="EG134" s="45"/>
      <c r="EH134" s="45"/>
      <c r="EI134" s="45"/>
      <c r="EJ134" s="45"/>
      <c r="EK134" s="45"/>
      <c r="EL134" s="45"/>
      <c r="EM134" s="45"/>
    </row>
    <row r="135" spans="1:143" s="50" customFormat="1" ht="16" hidden="1" customHeight="1" x14ac:dyDescent="0.25">
      <c r="A135" s="32"/>
      <c r="B135" s="111"/>
      <c r="C135" s="95"/>
      <c r="D135" s="95"/>
      <c r="E135" s="39"/>
      <c r="F135" s="65"/>
      <c r="G135" s="65"/>
      <c r="H135" s="65"/>
      <c r="I135" s="66"/>
      <c r="J135" s="66"/>
      <c r="K135" s="65"/>
      <c r="L135" s="65"/>
      <c r="M135" s="350"/>
      <c r="N135" s="350"/>
      <c r="O135" s="350"/>
      <c r="P135" s="350"/>
      <c r="Q135" s="350"/>
      <c r="R135" s="350"/>
      <c r="S135" s="350"/>
      <c r="T135" s="350"/>
      <c r="U135" s="350"/>
      <c r="V135" s="350"/>
      <c r="W135" s="350"/>
      <c r="X135" s="350"/>
      <c r="Y135" s="350"/>
      <c r="Z135" s="350"/>
      <c r="AA135" s="350"/>
      <c r="AB135" s="350"/>
      <c r="AC135" s="350"/>
      <c r="AD135" s="350"/>
      <c r="AE135" s="350"/>
      <c r="AF135" s="350"/>
      <c r="AG135" s="350"/>
      <c r="AH135" s="350"/>
      <c r="AI135" s="350"/>
      <c r="AJ135" s="350"/>
      <c r="AK135" s="350"/>
      <c r="AL135" s="350"/>
      <c r="AM135" s="350"/>
      <c r="AN135" s="350"/>
      <c r="AO135" s="350"/>
      <c r="AP135" s="350"/>
      <c r="AQ135" s="350"/>
      <c r="AR135" s="350"/>
      <c r="AS135" s="350"/>
      <c r="AT135" s="350"/>
      <c r="AU135" s="350"/>
      <c r="AV135" s="350"/>
      <c r="AW135" s="350"/>
      <c r="AX135" s="350"/>
      <c r="AY135" s="350"/>
      <c r="AZ135" s="350"/>
      <c r="BA135" s="350"/>
      <c r="BB135" s="350"/>
      <c r="BC135" s="350"/>
      <c r="BD135" s="350"/>
      <c r="BE135" s="350"/>
      <c r="BF135" s="350"/>
      <c r="BG135" s="350"/>
      <c r="BH135" s="350"/>
      <c r="BI135" s="350"/>
      <c r="BJ135" s="350"/>
      <c r="BK135" s="350"/>
      <c r="BL135" s="350"/>
      <c r="BM135" s="173"/>
      <c r="BN135" s="104"/>
      <c r="BO135" s="195"/>
      <c r="BP135" s="104"/>
      <c r="BQ135" s="104"/>
      <c r="BR135" s="104"/>
      <c r="BS135" s="32"/>
      <c r="BT135" s="104"/>
      <c r="BU135" s="104"/>
      <c r="BV135" s="32"/>
      <c r="BW135" s="106"/>
      <c r="BX135" s="107"/>
      <c r="BY135" s="108"/>
      <c r="BZ135" s="109"/>
      <c r="CA135" s="110"/>
      <c r="CB135" s="109"/>
      <c r="CC135" s="114"/>
      <c r="CD135" s="10"/>
      <c r="CE135" s="30"/>
      <c r="CF135" s="194"/>
      <c r="CG135" s="30"/>
      <c r="CH135" s="194"/>
      <c r="CI135" s="306"/>
      <c r="CJ135" s="194"/>
      <c r="CL135" s="45"/>
      <c r="CM135" s="45"/>
      <c r="CN135" s="45"/>
      <c r="CO135" s="45"/>
      <c r="CP135" s="45"/>
      <c r="CQ135" s="45"/>
      <c r="CR135" s="45"/>
      <c r="CS135" s="45"/>
      <c r="CT135" s="45"/>
      <c r="CU135" s="45"/>
      <c r="CV135" s="45"/>
      <c r="CW135" s="45"/>
      <c r="CX135" s="45"/>
      <c r="CY135" s="45"/>
      <c r="CZ135" s="45"/>
      <c r="DA135" s="45"/>
      <c r="DB135" s="45"/>
      <c r="DC135" s="45"/>
      <c r="DD135" s="45"/>
      <c r="DE135" s="45"/>
      <c r="DF135" s="45"/>
      <c r="DG135" s="45"/>
      <c r="DH135" s="45"/>
      <c r="DI135" s="45"/>
      <c r="DJ135" s="45"/>
      <c r="DK135" s="45"/>
      <c r="DL135" s="45"/>
      <c r="DM135" s="45"/>
      <c r="DN135" s="45"/>
      <c r="DO135" s="45"/>
      <c r="DP135" s="45"/>
      <c r="DQ135" s="45"/>
      <c r="DR135" s="45"/>
      <c r="DS135" s="45"/>
      <c r="DT135" s="45"/>
      <c r="DU135" s="45"/>
      <c r="DV135" s="45"/>
      <c r="DW135" s="45"/>
      <c r="DX135" s="45"/>
      <c r="DY135" s="45"/>
      <c r="DZ135" s="45"/>
      <c r="EA135" s="45"/>
      <c r="EB135" s="45"/>
      <c r="EC135" s="45"/>
      <c r="ED135" s="45"/>
      <c r="EE135" s="45"/>
      <c r="EF135" s="45"/>
      <c r="EG135" s="45"/>
      <c r="EH135" s="45"/>
      <c r="EI135" s="45"/>
      <c r="EJ135" s="45"/>
      <c r="EK135" s="45"/>
      <c r="EL135" s="45"/>
      <c r="EM135" s="45"/>
    </row>
    <row r="136" spans="1:143" s="50" customFormat="1" ht="16" hidden="1" customHeight="1" x14ac:dyDescent="0.25">
      <c r="A136" s="32"/>
      <c r="B136" s="111"/>
      <c r="C136" s="95"/>
      <c r="D136" s="95"/>
      <c r="E136" s="39"/>
      <c r="F136" s="65"/>
      <c r="G136" s="65"/>
      <c r="H136" s="65"/>
      <c r="I136" s="66"/>
      <c r="J136" s="66"/>
      <c r="K136" s="65"/>
      <c r="L136" s="65"/>
      <c r="M136" s="348"/>
      <c r="N136" s="348"/>
      <c r="O136" s="348"/>
      <c r="P136" s="348"/>
      <c r="Q136" s="348"/>
      <c r="R136" s="348"/>
      <c r="S136" s="348"/>
      <c r="T136" s="348"/>
      <c r="U136" s="348"/>
      <c r="V136" s="348"/>
      <c r="W136" s="348"/>
      <c r="X136" s="348"/>
      <c r="Y136" s="348"/>
      <c r="Z136" s="348"/>
      <c r="AA136" s="348"/>
      <c r="AB136" s="348"/>
      <c r="AC136" s="348"/>
      <c r="AD136" s="348"/>
      <c r="AE136" s="348"/>
      <c r="AF136" s="348"/>
      <c r="AG136" s="348"/>
      <c r="AH136" s="348"/>
      <c r="AI136" s="348"/>
      <c r="AJ136" s="348"/>
      <c r="AK136" s="348"/>
      <c r="AL136" s="348"/>
      <c r="AM136" s="348"/>
      <c r="AN136" s="348"/>
      <c r="AO136" s="348"/>
      <c r="AP136" s="348"/>
      <c r="AQ136" s="348"/>
      <c r="AR136" s="348"/>
      <c r="AS136" s="348"/>
      <c r="AT136" s="348"/>
      <c r="AU136" s="348"/>
      <c r="AV136" s="348"/>
      <c r="AW136" s="348"/>
      <c r="AX136" s="348"/>
      <c r="AY136" s="348"/>
      <c r="AZ136" s="348"/>
      <c r="BA136" s="348"/>
      <c r="BB136" s="348"/>
      <c r="BC136" s="348"/>
      <c r="BD136" s="348"/>
      <c r="BE136" s="348"/>
      <c r="BF136" s="348"/>
      <c r="BG136" s="348"/>
      <c r="BH136" s="348"/>
      <c r="BI136" s="348"/>
      <c r="BJ136" s="348"/>
      <c r="BK136" s="348"/>
      <c r="BL136" s="348"/>
      <c r="BM136" s="187"/>
      <c r="BN136" s="68"/>
      <c r="BO136" s="68"/>
      <c r="BP136" s="68"/>
      <c r="BQ136" s="68"/>
      <c r="BR136" s="68"/>
      <c r="BS136" s="32"/>
      <c r="BT136" s="68"/>
      <c r="BU136" s="68"/>
      <c r="BV136" s="32"/>
      <c r="BW136" s="121"/>
      <c r="BX136" s="122"/>
      <c r="BY136" s="123"/>
      <c r="BZ136" s="90"/>
      <c r="CA136" s="89"/>
      <c r="CB136" s="90"/>
      <c r="CC136" s="18"/>
      <c r="CD136" s="10"/>
      <c r="CE136" s="30"/>
      <c r="CF136" s="194"/>
      <c r="CG136" s="30"/>
      <c r="CH136" s="194"/>
      <c r="CI136" s="306"/>
      <c r="CJ136" s="194"/>
      <c r="CL136" s="45"/>
      <c r="CM136" s="45"/>
      <c r="CN136" s="45"/>
      <c r="CO136" s="45"/>
      <c r="CP136" s="45"/>
      <c r="CQ136" s="45"/>
      <c r="CR136" s="45"/>
      <c r="CS136" s="45"/>
      <c r="CT136" s="45"/>
      <c r="CU136" s="45"/>
      <c r="CV136" s="45"/>
      <c r="CW136" s="45"/>
      <c r="CX136" s="45"/>
      <c r="CY136" s="45"/>
      <c r="CZ136" s="45"/>
      <c r="DA136" s="45"/>
      <c r="DB136" s="45"/>
      <c r="DC136" s="45"/>
      <c r="DD136" s="45"/>
      <c r="DE136" s="45"/>
      <c r="DF136" s="45"/>
      <c r="DG136" s="45"/>
      <c r="DH136" s="45"/>
      <c r="DI136" s="45"/>
      <c r="DJ136" s="45"/>
      <c r="DK136" s="45"/>
      <c r="DL136" s="45"/>
      <c r="DM136" s="45"/>
      <c r="DN136" s="45"/>
      <c r="DO136" s="45"/>
      <c r="DP136" s="45"/>
      <c r="DQ136" s="45"/>
      <c r="DR136" s="45"/>
      <c r="DS136" s="45"/>
      <c r="DT136" s="45"/>
      <c r="DU136" s="45"/>
      <c r="DV136" s="45"/>
      <c r="DW136" s="45"/>
      <c r="DX136" s="45"/>
      <c r="DY136" s="45"/>
      <c r="DZ136" s="45"/>
      <c r="EA136" s="45"/>
      <c r="EB136" s="45"/>
      <c r="EC136" s="45"/>
      <c r="ED136" s="45"/>
      <c r="EE136" s="45"/>
      <c r="EF136" s="45"/>
      <c r="EG136" s="45"/>
      <c r="EH136" s="45"/>
      <c r="EI136" s="45"/>
      <c r="EJ136" s="45"/>
      <c r="EK136" s="45"/>
      <c r="EL136" s="45"/>
      <c r="EM136" s="45"/>
    </row>
    <row r="137" spans="1:143" s="50" customFormat="1" ht="16" hidden="1" customHeight="1" x14ac:dyDescent="0.25">
      <c r="A137" s="32"/>
      <c r="B137" s="111"/>
      <c r="C137" s="95" t="s">
        <v>91</v>
      </c>
      <c r="D137" s="95" t="s">
        <v>72</v>
      </c>
      <c r="E137" s="39" t="s">
        <v>18</v>
      </c>
      <c r="F137" s="65"/>
      <c r="G137" s="65"/>
      <c r="H137" s="65"/>
      <c r="I137" s="66"/>
      <c r="J137" s="66"/>
      <c r="K137" s="65"/>
      <c r="L137" s="65"/>
      <c r="M137" s="356"/>
      <c r="N137" s="356"/>
      <c r="O137" s="356"/>
      <c r="P137" s="356"/>
      <c r="Q137" s="356"/>
      <c r="R137" s="356"/>
      <c r="S137" s="356"/>
      <c r="T137" s="356"/>
      <c r="U137" s="356"/>
      <c r="V137" s="356"/>
      <c r="W137" s="356"/>
      <c r="X137" s="356"/>
      <c r="Y137" s="356"/>
      <c r="Z137" s="356"/>
      <c r="AA137" s="356"/>
      <c r="AB137" s="356"/>
      <c r="AC137" s="356"/>
      <c r="AD137" s="356"/>
      <c r="AE137" s="356"/>
      <c r="AF137" s="356"/>
      <c r="AG137" s="356"/>
      <c r="AH137" s="356"/>
      <c r="AI137" s="356"/>
      <c r="AJ137" s="356"/>
      <c r="AK137" s="356"/>
      <c r="AL137" s="356"/>
      <c r="AM137" s="356"/>
      <c r="AN137" s="356"/>
      <c r="AO137" s="356"/>
      <c r="AP137" s="356"/>
      <c r="AQ137" s="356"/>
      <c r="AR137" s="356"/>
      <c r="AS137" s="356"/>
      <c r="AT137" s="356"/>
      <c r="AU137" s="356"/>
      <c r="AV137" s="356"/>
      <c r="AW137" s="356"/>
      <c r="AX137" s="356"/>
      <c r="AY137" s="356"/>
      <c r="AZ137" s="356"/>
      <c r="BA137" s="356"/>
      <c r="BB137" s="356"/>
      <c r="BC137" s="356"/>
      <c r="BD137" s="356"/>
      <c r="BE137" s="356"/>
      <c r="BF137" s="356"/>
      <c r="BG137" s="356"/>
      <c r="BH137" s="356"/>
      <c r="BI137" s="356"/>
      <c r="BJ137" s="356"/>
      <c r="BK137" s="356"/>
      <c r="BL137" s="356"/>
      <c r="BM137" s="82" t="e">
        <f>SUM(#REF!)</f>
        <v>#REF!</v>
      </c>
      <c r="BN137" s="22">
        <v>330</v>
      </c>
      <c r="BO137" s="83">
        <v>0.5</v>
      </c>
      <c r="BP137" s="22">
        <f>BN137*(1-BO137)</f>
        <v>165</v>
      </c>
      <c r="BQ137" s="22" t="e">
        <f>BP137*BM137</f>
        <v>#REF!</v>
      </c>
      <c r="BR137" s="84">
        <f>BP137*0.8</f>
        <v>132</v>
      </c>
      <c r="BS137" s="32"/>
      <c r="BT137" s="84" t="e">
        <f>BQ137*0.8</f>
        <v>#REF!</v>
      </c>
      <c r="BU137" s="84"/>
      <c r="BV137" s="32"/>
      <c r="BW137" s="99">
        <f>BX137/CA137*100</f>
        <v>3.4399012395689965</v>
      </c>
      <c r="BX137" s="86">
        <v>7345</v>
      </c>
      <c r="BY137" s="87" t="e">
        <f>BW137*BM137</f>
        <v>#REF!</v>
      </c>
      <c r="BZ137" s="88">
        <v>433991</v>
      </c>
      <c r="CA137" s="89">
        <v>213523.57200000001</v>
      </c>
      <c r="CB137" s="90" t="e">
        <f>CA137*BY137%</f>
        <v>#REF!</v>
      </c>
      <c r="CC137" s="21" t="e">
        <f>BT137/CB137*1000</f>
        <v>#REF!</v>
      </c>
      <c r="CD137" s="10"/>
      <c r="CE137" s="30" t="str">
        <f>C137</f>
        <v>JOVEM PAN FM</v>
      </c>
      <c r="CF137" s="194"/>
      <c r="CG137" s="30" t="e">
        <f>SUM(#REF!)</f>
        <v>#REF!</v>
      </c>
      <c r="CH137" s="194" t="e">
        <f>#REF!*CG137</f>
        <v>#REF!</v>
      </c>
      <c r="CI137" s="306" t="e">
        <f>SUM(#REF!)</f>
        <v>#REF!</v>
      </c>
      <c r="CJ137" s="194" t="e">
        <f>#REF!*CI137</f>
        <v>#REF!</v>
      </c>
      <c r="CL137" s="45"/>
      <c r="CM137" s="45"/>
      <c r="CN137" s="45"/>
      <c r="CO137" s="45"/>
      <c r="CP137" s="45"/>
      <c r="CQ137" s="45"/>
      <c r="CR137" s="45"/>
      <c r="CS137" s="45"/>
      <c r="CT137" s="45"/>
      <c r="CU137" s="45"/>
      <c r="CV137" s="45"/>
      <c r="CW137" s="45"/>
      <c r="CX137" s="45"/>
      <c r="CY137" s="45"/>
      <c r="CZ137" s="45"/>
      <c r="DA137" s="45"/>
      <c r="DB137" s="45"/>
      <c r="DC137" s="45"/>
      <c r="DD137" s="45"/>
      <c r="DE137" s="45"/>
      <c r="DF137" s="45"/>
      <c r="DG137" s="45"/>
      <c r="DH137" s="45"/>
      <c r="DI137" s="45"/>
      <c r="DJ137" s="45"/>
      <c r="DK137" s="45"/>
      <c r="DL137" s="45"/>
      <c r="DM137" s="45"/>
      <c r="DN137" s="45"/>
      <c r="DO137" s="45"/>
      <c r="DP137" s="45"/>
      <c r="DQ137" s="45"/>
      <c r="DR137" s="45"/>
      <c r="DS137" s="45"/>
      <c r="DT137" s="45"/>
      <c r="DU137" s="45"/>
      <c r="DV137" s="45"/>
      <c r="DW137" s="45"/>
      <c r="DX137" s="45"/>
      <c r="DY137" s="45"/>
      <c r="DZ137" s="45"/>
      <c r="EA137" s="45"/>
      <c r="EB137" s="45"/>
      <c r="EC137" s="45"/>
      <c r="ED137" s="45"/>
      <c r="EE137" s="45"/>
      <c r="EF137" s="45"/>
      <c r="EG137" s="45"/>
      <c r="EH137" s="45"/>
      <c r="EI137" s="45"/>
      <c r="EJ137" s="45"/>
      <c r="EK137" s="45"/>
      <c r="EL137" s="45"/>
      <c r="EM137" s="45"/>
    </row>
    <row r="138" spans="1:143" s="50" customFormat="1" ht="16" hidden="1" customHeight="1" x14ac:dyDescent="0.25">
      <c r="A138" s="32"/>
      <c r="B138" s="111"/>
      <c r="C138" s="95"/>
      <c r="D138" s="95"/>
      <c r="E138" s="39"/>
      <c r="F138" s="65"/>
      <c r="G138" s="65"/>
      <c r="H138" s="65"/>
      <c r="I138" s="66"/>
      <c r="J138" s="66"/>
      <c r="K138" s="65"/>
      <c r="L138" s="65"/>
      <c r="M138" s="350"/>
      <c r="N138" s="350"/>
      <c r="O138" s="350"/>
      <c r="P138" s="350"/>
      <c r="Q138" s="350"/>
      <c r="R138" s="350"/>
      <c r="S138" s="350"/>
      <c r="T138" s="350"/>
      <c r="U138" s="350"/>
      <c r="V138" s="350"/>
      <c r="W138" s="350"/>
      <c r="X138" s="350"/>
      <c r="Y138" s="350"/>
      <c r="Z138" s="350"/>
      <c r="AA138" s="350"/>
      <c r="AB138" s="350"/>
      <c r="AC138" s="350"/>
      <c r="AD138" s="350"/>
      <c r="AE138" s="350"/>
      <c r="AF138" s="350"/>
      <c r="AG138" s="350"/>
      <c r="AH138" s="350"/>
      <c r="AI138" s="350"/>
      <c r="AJ138" s="350"/>
      <c r="AK138" s="350"/>
      <c r="AL138" s="350"/>
      <c r="AM138" s="350"/>
      <c r="AN138" s="350"/>
      <c r="AO138" s="350"/>
      <c r="AP138" s="350"/>
      <c r="AQ138" s="350"/>
      <c r="AR138" s="350"/>
      <c r="AS138" s="350"/>
      <c r="AT138" s="350"/>
      <c r="AU138" s="350"/>
      <c r="AV138" s="350"/>
      <c r="AW138" s="350"/>
      <c r="AX138" s="350"/>
      <c r="AY138" s="350"/>
      <c r="AZ138" s="350"/>
      <c r="BA138" s="350"/>
      <c r="BB138" s="350"/>
      <c r="BC138" s="350"/>
      <c r="BD138" s="350"/>
      <c r="BE138" s="350"/>
      <c r="BF138" s="350"/>
      <c r="BG138" s="350"/>
      <c r="BH138" s="350"/>
      <c r="BI138" s="350"/>
      <c r="BJ138" s="350"/>
      <c r="BK138" s="350"/>
      <c r="BL138" s="350"/>
      <c r="BM138" s="173"/>
      <c r="BN138" s="104"/>
      <c r="BO138" s="195"/>
      <c r="BP138" s="104"/>
      <c r="BQ138" s="104"/>
      <c r="BR138" s="104"/>
      <c r="BS138" s="32"/>
      <c r="BT138" s="104"/>
      <c r="BU138" s="104"/>
      <c r="BV138" s="32"/>
      <c r="BW138" s="106"/>
      <c r="BX138" s="107"/>
      <c r="BY138" s="108"/>
      <c r="BZ138" s="109"/>
      <c r="CA138" s="110"/>
      <c r="CB138" s="109"/>
      <c r="CC138" s="114"/>
      <c r="CD138" s="10"/>
      <c r="CE138" s="30"/>
      <c r="CF138" s="194"/>
      <c r="CG138" s="30"/>
      <c r="CH138" s="194"/>
      <c r="CI138" s="306"/>
      <c r="CJ138" s="194"/>
      <c r="CL138" s="45"/>
      <c r="CM138" s="45"/>
      <c r="CN138" s="45"/>
      <c r="CO138" s="45"/>
      <c r="CP138" s="45"/>
      <c r="CQ138" s="45"/>
      <c r="CR138" s="45"/>
      <c r="CS138" s="45"/>
      <c r="CT138" s="45"/>
      <c r="CU138" s="45"/>
      <c r="CV138" s="45"/>
      <c r="CW138" s="45"/>
      <c r="CX138" s="45"/>
      <c r="CY138" s="45"/>
      <c r="CZ138" s="45"/>
      <c r="DA138" s="45"/>
      <c r="DB138" s="45"/>
      <c r="DC138" s="45"/>
      <c r="DD138" s="45"/>
      <c r="DE138" s="45"/>
      <c r="DF138" s="45"/>
      <c r="DG138" s="45"/>
      <c r="DH138" s="45"/>
      <c r="DI138" s="45"/>
      <c r="DJ138" s="45"/>
      <c r="DK138" s="45"/>
      <c r="DL138" s="45"/>
      <c r="DM138" s="45"/>
      <c r="DN138" s="45"/>
      <c r="DO138" s="45"/>
      <c r="DP138" s="45"/>
      <c r="DQ138" s="45"/>
      <c r="DR138" s="45"/>
      <c r="DS138" s="45"/>
      <c r="DT138" s="45"/>
      <c r="DU138" s="45"/>
      <c r="DV138" s="45"/>
      <c r="DW138" s="45"/>
      <c r="DX138" s="45"/>
      <c r="DY138" s="45"/>
      <c r="DZ138" s="45"/>
      <c r="EA138" s="45"/>
      <c r="EB138" s="45"/>
      <c r="EC138" s="45"/>
      <c r="ED138" s="45"/>
      <c r="EE138" s="45"/>
      <c r="EF138" s="45"/>
      <c r="EG138" s="45"/>
      <c r="EH138" s="45"/>
      <c r="EI138" s="45"/>
      <c r="EJ138" s="45"/>
      <c r="EK138" s="45"/>
      <c r="EL138" s="45"/>
      <c r="EM138" s="45"/>
    </row>
    <row r="139" spans="1:143" s="50" customFormat="1" ht="16" hidden="1" customHeight="1" x14ac:dyDescent="0.25">
      <c r="A139" s="32"/>
      <c r="B139" s="111"/>
      <c r="C139" s="95"/>
      <c r="D139" s="95"/>
      <c r="E139" s="39"/>
      <c r="F139" s="65"/>
      <c r="G139" s="65"/>
      <c r="H139" s="65"/>
      <c r="I139" s="66"/>
      <c r="J139" s="66"/>
      <c r="K139" s="65"/>
      <c r="L139" s="65"/>
      <c r="M139" s="348"/>
      <c r="N139" s="348"/>
      <c r="O139" s="348"/>
      <c r="P139" s="348"/>
      <c r="Q139" s="348"/>
      <c r="R139" s="348"/>
      <c r="S139" s="348"/>
      <c r="T139" s="348"/>
      <c r="U139" s="348"/>
      <c r="V139" s="348"/>
      <c r="W139" s="348"/>
      <c r="X139" s="348"/>
      <c r="Y139" s="348"/>
      <c r="Z139" s="348"/>
      <c r="AA139" s="348"/>
      <c r="AB139" s="348"/>
      <c r="AC139" s="348"/>
      <c r="AD139" s="348"/>
      <c r="AE139" s="348"/>
      <c r="AF139" s="348"/>
      <c r="AG139" s="348"/>
      <c r="AH139" s="348"/>
      <c r="AI139" s="348"/>
      <c r="AJ139" s="348"/>
      <c r="AK139" s="348"/>
      <c r="AL139" s="348"/>
      <c r="AM139" s="348"/>
      <c r="AN139" s="348"/>
      <c r="AO139" s="348"/>
      <c r="AP139" s="348"/>
      <c r="AQ139" s="348"/>
      <c r="AR139" s="348"/>
      <c r="AS139" s="348"/>
      <c r="AT139" s="348"/>
      <c r="AU139" s="348"/>
      <c r="AV139" s="348"/>
      <c r="AW139" s="348"/>
      <c r="AX139" s="348"/>
      <c r="AY139" s="348"/>
      <c r="AZ139" s="348"/>
      <c r="BA139" s="348"/>
      <c r="BB139" s="348"/>
      <c r="BC139" s="348"/>
      <c r="BD139" s="348"/>
      <c r="BE139" s="348"/>
      <c r="BF139" s="348"/>
      <c r="BG139" s="348"/>
      <c r="BH139" s="348"/>
      <c r="BI139" s="348"/>
      <c r="BJ139" s="348"/>
      <c r="BK139" s="348"/>
      <c r="BL139" s="348"/>
      <c r="BM139" s="187"/>
      <c r="BN139" s="68"/>
      <c r="BO139" s="68"/>
      <c r="BP139" s="68"/>
      <c r="BQ139" s="68"/>
      <c r="BR139" s="68"/>
      <c r="BS139" s="32"/>
      <c r="BT139" s="68"/>
      <c r="BU139" s="68"/>
      <c r="BV139" s="32"/>
      <c r="BW139" s="121"/>
      <c r="BX139" s="122"/>
      <c r="BY139" s="123"/>
      <c r="BZ139" s="90"/>
      <c r="CA139" s="89"/>
      <c r="CB139" s="90"/>
      <c r="CC139" s="18"/>
      <c r="CD139" s="10"/>
      <c r="CE139" s="30"/>
      <c r="CF139" s="194"/>
      <c r="CG139" s="30"/>
      <c r="CH139" s="194"/>
      <c r="CI139" s="306"/>
      <c r="CJ139" s="194"/>
      <c r="CL139" s="45"/>
      <c r="CM139" s="45"/>
      <c r="CN139" s="45"/>
      <c r="CO139" s="45"/>
      <c r="CP139" s="45"/>
      <c r="CQ139" s="45"/>
      <c r="CR139" s="45"/>
      <c r="CS139" s="45"/>
      <c r="CT139" s="45"/>
      <c r="CU139" s="45"/>
      <c r="CV139" s="45"/>
      <c r="CW139" s="45"/>
      <c r="CX139" s="45"/>
      <c r="CY139" s="45"/>
      <c r="CZ139" s="45"/>
      <c r="DA139" s="45"/>
      <c r="DB139" s="45"/>
      <c r="DC139" s="45"/>
      <c r="DD139" s="45"/>
      <c r="DE139" s="45"/>
      <c r="DF139" s="45"/>
      <c r="DG139" s="45"/>
      <c r="DH139" s="45"/>
      <c r="DI139" s="45"/>
      <c r="DJ139" s="45"/>
      <c r="DK139" s="45"/>
      <c r="DL139" s="45"/>
      <c r="DM139" s="45"/>
      <c r="DN139" s="45"/>
      <c r="DO139" s="45"/>
      <c r="DP139" s="45"/>
      <c r="DQ139" s="45"/>
      <c r="DR139" s="45"/>
      <c r="DS139" s="45"/>
      <c r="DT139" s="45"/>
      <c r="DU139" s="45"/>
      <c r="DV139" s="45"/>
      <c r="DW139" s="45"/>
      <c r="DX139" s="45"/>
      <c r="DY139" s="4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</row>
    <row r="140" spans="1:143" s="50" customFormat="1" ht="16" hidden="1" customHeight="1" x14ac:dyDescent="0.25">
      <c r="A140" s="32"/>
      <c r="B140" s="111"/>
      <c r="C140" s="95" t="s">
        <v>92</v>
      </c>
      <c r="D140" s="95" t="s">
        <v>72</v>
      </c>
      <c r="E140" s="39" t="s">
        <v>18</v>
      </c>
      <c r="F140" s="65"/>
      <c r="G140" s="65"/>
      <c r="H140" s="65"/>
      <c r="I140" s="66"/>
      <c r="J140" s="66"/>
      <c r="K140" s="65"/>
      <c r="L140" s="65"/>
      <c r="M140" s="356"/>
      <c r="N140" s="356"/>
      <c r="O140" s="356"/>
      <c r="P140" s="356"/>
      <c r="Q140" s="356"/>
      <c r="R140" s="356"/>
      <c r="S140" s="356"/>
      <c r="T140" s="356"/>
      <c r="U140" s="356"/>
      <c r="V140" s="356"/>
      <c r="W140" s="356"/>
      <c r="X140" s="356"/>
      <c r="Y140" s="356"/>
      <c r="Z140" s="356"/>
      <c r="AA140" s="356"/>
      <c r="AB140" s="356"/>
      <c r="AC140" s="356"/>
      <c r="AD140" s="356"/>
      <c r="AE140" s="356"/>
      <c r="AF140" s="356"/>
      <c r="AG140" s="356"/>
      <c r="AH140" s="356"/>
      <c r="AI140" s="356"/>
      <c r="AJ140" s="356"/>
      <c r="AK140" s="356"/>
      <c r="AL140" s="356"/>
      <c r="AM140" s="356"/>
      <c r="AN140" s="356"/>
      <c r="AO140" s="356"/>
      <c r="AP140" s="356"/>
      <c r="AQ140" s="356"/>
      <c r="AR140" s="356"/>
      <c r="AS140" s="356"/>
      <c r="AT140" s="356"/>
      <c r="AU140" s="356"/>
      <c r="AV140" s="356"/>
      <c r="AW140" s="356"/>
      <c r="AX140" s="356"/>
      <c r="AY140" s="356"/>
      <c r="AZ140" s="356"/>
      <c r="BA140" s="356"/>
      <c r="BB140" s="356"/>
      <c r="BC140" s="356"/>
      <c r="BD140" s="356"/>
      <c r="BE140" s="356"/>
      <c r="BF140" s="356"/>
      <c r="BG140" s="356"/>
      <c r="BH140" s="356"/>
      <c r="BI140" s="356"/>
      <c r="BJ140" s="356"/>
      <c r="BK140" s="356"/>
      <c r="BL140" s="356"/>
      <c r="BM140" s="82" t="e">
        <f>SUM(#REF!)</f>
        <v>#REF!</v>
      </c>
      <c r="BN140" s="22">
        <v>505</v>
      </c>
      <c r="BO140" s="83">
        <v>0.6</v>
      </c>
      <c r="BP140" s="22">
        <f>BN140*(1-BO140)</f>
        <v>202</v>
      </c>
      <c r="BQ140" s="22" t="e">
        <f>BP140*BM140</f>
        <v>#REF!</v>
      </c>
      <c r="BR140" s="84">
        <f>BP140*0.8</f>
        <v>161.60000000000002</v>
      </c>
      <c r="BS140" s="32"/>
      <c r="BT140" s="84" t="e">
        <f>BQ140*0.8</f>
        <v>#REF!</v>
      </c>
      <c r="BU140" s="84"/>
      <c r="BV140" s="32"/>
      <c r="BW140" s="99">
        <f>BX140/CA140*100</f>
        <v>2.1426205814878365</v>
      </c>
      <c r="BX140" s="86">
        <v>4575</v>
      </c>
      <c r="BY140" s="87" t="e">
        <f>BW140*BM140</f>
        <v>#REF!</v>
      </c>
      <c r="BZ140" s="88">
        <v>433991</v>
      </c>
      <c r="CA140" s="89">
        <v>213523.57200000001</v>
      </c>
      <c r="CB140" s="90" t="e">
        <f>CA140*BY140%</f>
        <v>#REF!</v>
      </c>
      <c r="CC140" s="21" t="e">
        <f>BT140/CB140*1000</f>
        <v>#REF!</v>
      </c>
      <c r="CD140" s="10"/>
      <c r="CE140" s="30" t="str">
        <f>C140</f>
        <v>MIX FM</v>
      </c>
      <c r="CF140" s="194"/>
      <c r="CG140" s="30" t="e">
        <f>SUM(#REF!)</f>
        <v>#REF!</v>
      </c>
      <c r="CH140" s="194" t="e">
        <f>#REF!*CG140</f>
        <v>#REF!</v>
      </c>
      <c r="CI140" s="306" t="e">
        <f>SUM(#REF!)</f>
        <v>#REF!</v>
      </c>
      <c r="CJ140" s="194" t="e">
        <f>#REF!*CI140</f>
        <v>#REF!</v>
      </c>
      <c r="CL140" s="45"/>
      <c r="CM140" s="45"/>
      <c r="CN140" s="45"/>
      <c r="CO140" s="45"/>
      <c r="CP140" s="45"/>
      <c r="CQ140" s="45"/>
      <c r="CR140" s="45"/>
      <c r="CS140" s="45"/>
      <c r="CT140" s="45"/>
      <c r="CU140" s="45"/>
      <c r="CV140" s="45"/>
      <c r="CW140" s="45"/>
      <c r="CX140" s="45"/>
      <c r="CY140" s="45"/>
      <c r="CZ140" s="45"/>
      <c r="DA140" s="45"/>
      <c r="DB140" s="45"/>
      <c r="DC140" s="45"/>
      <c r="DD140" s="45"/>
      <c r="DE140" s="45"/>
      <c r="DF140" s="45"/>
      <c r="DG140" s="45"/>
      <c r="DH140" s="45"/>
      <c r="DI140" s="45"/>
      <c r="DJ140" s="45"/>
      <c r="DK140" s="45"/>
      <c r="DL140" s="45"/>
      <c r="DM140" s="45"/>
      <c r="DN140" s="45"/>
      <c r="DO140" s="45"/>
      <c r="DP140" s="45"/>
      <c r="DQ140" s="45"/>
      <c r="DR140" s="45"/>
      <c r="DS140" s="45"/>
      <c r="DT140" s="45"/>
      <c r="DU140" s="45"/>
      <c r="DV140" s="45"/>
      <c r="DW140" s="45"/>
      <c r="DX140" s="45"/>
      <c r="DY140" s="45"/>
      <c r="DZ140" s="45"/>
      <c r="EA140" s="45"/>
      <c r="EB140" s="45"/>
      <c r="EC140" s="45"/>
      <c r="ED140" s="45"/>
      <c r="EE140" s="45"/>
      <c r="EF140" s="45"/>
      <c r="EG140" s="45"/>
      <c r="EH140" s="45"/>
      <c r="EI140" s="45"/>
      <c r="EJ140" s="45"/>
      <c r="EK140" s="45"/>
      <c r="EL140" s="45"/>
      <c r="EM140" s="45"/>
    </row>
    <row r="141" spans="1:143" ht="16" hidden="1" customHeight="1" x14ac:dyDescent="0.25">
      <c r="A141" s="32"/>
      <c r="B141" s="111"/>
      <c r="C141" s="95"/>
      <c r="D141" s="95"/>
      <c r="E141" s="39"/>
      <c r="F141" s="65"/>
      <c r="G141" s="65"/>
      <c r="H141" s="65"/>
      <c r="I141" s="66"/>
      <c r="J141" s="66"/>
      <c r="K141" s="65"/>
      <c r="L141" s="65"/>
      <c r="M141" s="350"/>
      <c r="N141" s="350"/>
      <c r="O141" s="350"/>
      <c r="P141" s="350"/>
      <c r="Q141" s="350"/>
      <c r="R141" s="350"/>
      <c r="S141" s="350"/>
      <c r="T141" s="350"/>
      <c r="U141" s="350"/>
      <c r="V141" s="350"/>
      <c r="W141" s="350"/>
      <c r="X141" s="350"/>
      <c r="Y141" s="350"/>
      <c r="Z141" s="350"/>
      <c r="AA141" s="350"/>
      <c r="AB141" s="350"/>
      <c r="AC141" s="350"/>
      <c r="AD141" s="350"/>
      <c r="AE141" s="350"/>
      <c r="AF141" s="350"/>
      <c r="AG141" s="350"/>
      <c r="AH141" s="350"/>
      <c r="AI141" s="350"/>
      <c r="AJ141" s="350"/>
      <c r="AK141" s="350"/>
      <c r="AL141" s="350"/>
      <c r="AM141" s="350"/>
      <c r="AN141" s="350"/>
      <c r="AO141" s="350"/>
      <c r="AP141" s="350"/>
      <c r="AQ141" s="350"/>
      <c r="AR141" s="350"/>
      <c r="AS141" s="350"/>
      <c r="AT141" s="350"/>
      <c r="AU141" s="350"/>
      <c r="AV141" s="350"/>
      <c r="AW141" s="350"/>
      <c r="AX141" s="350"/>
      <c r="AY141" s="350"/>
      <c r="AZ141" s="350"/>
      <c r="BA141" s="350"/>
      <c r="BB141" s="350"/>
      <c r="BC141" s="350"/>
      <c r="BD141" s="350"/>
      <c r="BE141" s="350"/>
      <c r="BF141" s="350"/>
      <c r="BG141" s="350"/>
      <c r="BH141" s="350"/>
      <c r="BI141" s="350"/>
      <c r="BJ141" s="350"/>
      <c r="BK141" s="350"/>
      <c r="BL141" s="350"/>
      <c r="BM141" s="173"/>
      <c r="BN141" s="104"/>
      <c r="BO141" s="195"/>
      <c r="BP141" s="104"/>
      <c r="BQ141" s="104"/>
      <c r="BR141" s="104"/>
      <c r="BS141" s="32"/>
      <c r="BT141" s="104"/>
      <c r="BU141" s="104"/>
      <c r="BV141" s="32"/>
      <c r="BW141" s="106"/>
      <c r="BX141" s="107"/>
      <c r="BY141" s="108"/>
      <c r="BZ141" s="109"/>
      <c r="CA141" s="110"/>
      <c r="CB141" s="109"/>
      <c r="CC141" s="114"/>
      <c r="CD141" s="10"/>
      <c r="CF141" s="194"/>
      <c r="CH141" s="194"/>
      <c r="CJ141" s="194"/>
    </row>
    <row r="142" spans="1:143" ht="16" hidden="1" customHeight="1" x14ac:dyDescent="0.25">
      <c r="A142" s="32"/>
      <c r="B142" s="111"/>
      <c r="C142" s="95"/>
      <c r="D142" s="95"/>
      <c r="E142" s="39"/>
      <c r="F142" s="65"/>
      <c r="G142" s="65"/>
      <c r="H142" s="65"/>
      <c r="I142" s="66"/>
      <c r="J142" s="66"/>
      <c r="K142" s="65"/>
      <c r="L142" s="65"/>
      <c r="M142" s="348"/>
      <c r="N142" s="348"/>
      <c r="O142" s="348"/>
      <c r="P142" s="348"/>
      <c r="Q142" s="348"/>
      <c r="R142" s="348"/>
      <c r="S142" s="348"/>
      <c r="T142" s="348"/>
      <c r="U142" s="348"/>
      <c r="V142" s="348"/>
      <c r="W142" s="348"/>
      <c r="X142" s="348"/>
      <c r="Y142" s="348"/>
      <c r="Z142" s="348"/>
      <c r="AA142" s="348"/>
      <c r="AB142" s="348"/>
      <c r="AC142" s="348"/>
      <c r="AD142" s="348"/>
      <c r="AE142" s="348"/>
      <c r="AF142" s="348"/>
      <c r="AG142" s="348"/>
      <c r="AH142" s="348"/>
      <c r="AI142" s="348"/>
      <c r="AJ142" s="348"/>
      <c r="AK142" s="348"/>
      <c r="AL142" s="348"/>
      <c r="AM142" s="348"/>
      <c r="AN142" s="348"/>
      <c r="AO142" s="348"/>
      <c r="AP142" s="348"/>
      <c r="AQ142" s="348"/>
      <c r="AR142" s="348"/>
      <c r="AS142" s="348"/>
      <c r="AT142" s="348"/>
      <c r="AU142" s="348"/>
      <c r="AV142" s="348"/>
      <c r="AW142" s="348"/>
      <c r="AX142" s="348"/>
      <c r="AY142" s="348"/>
      <c r="AZ142" s="348"/>
      <c r="BA142" s="348"/>
      <c r="BB142" s="348"/>
      <c r="BC142" s="348"/>
      <c r="BD142" s="348"/>
      <c r="BE142" s="348"/>
      <c r="BF142" s="348"/>
      <c r="BG142" s="348"/>
      <c r="BH142" s="348"/>
      <c r="BI142" s="348"/>
      <c r="BJ142" s="348"/>
      <c r="BK142" s="348"/>
      <c r="BL142" s="348"/>
      <c r="BM142" s="187"/>
      <c r="BN142" s="68"/>
      <c r="BO142" s="68"/>
      <c r="BP142" s="68"/>
      <c r="BQ142" s="68"/>
      <c r="BR142" s="68"/>
      <c r="BS142" s="32"/>
      <c r="BT142" s="68"/>
      <c r="BU142" s="68"/>
      <c r="BV142" s="32"/>
      <c r="BW142" s="121"/>
      <c r="BX142" s="122"/>
      <c r="BY142" s="123"/>
      <c r="BZ142" s="90"/>
      <c r="CA142" s="89"/>
      <c r="CB142" s="90"/>
      <c r="CC142" s="18"/>
      <c r="CD142" s="10"/>
      <c r="CF142" s="194"/>
      <c r="CH142" s="194"/>
      <c r="CJ142" s="194"/>
    </row>
    <row r="143" spans="1:143" ht="16" hidden="1" customHeight="1" x14ac:dyDescent="0.25">
      <c r="A143" s="32"/>
      <c r="B143" s="111"/>
      <c r="C143" s="95" t="s">
        <v>93</v>
      </c>
      <c r="D143" s="95" t="s">
        <v>72</v>
      </c>
      <c r="E143" s="39" t="s">
        <v>18</v>
      </c>
      <c r="F143" s="65"/>
      <c r="G143" s="65"/>
      <c r="H143" s="65"/>
      <c r="I143" s="66"/>
      <c r="J143" s="66"/>
      <c r="K143" s="65"/>
      <c r="L143" s="65"/>
      <c r="M143" s="356"/>
      <c r="N143" s="356"/>
      <c r="O143" s="356"/>
      <c r="P143" s="356"/>
      <c r="Q143" s="356"/>
      <c r="R143" s="356"/>
      <c r="S143" s="356"/>
      <c r="T143" s="356"/>
      <c r="U143" s="356"/>
      <c r="V143" s="356"/>
      <c r="W143" s="356"/>
      <c r="X143" s="356"/>
      <c r="Y143" s="356"/>
      <c r="Z143" s="356"/>
      <c r="AA143" s="356"/>
      <c r="AB143" s="356"/>
      <c r="AC143" s="356"/>
      <c r="AD143" s="356"/>
      <c r="AE143" s="356"/>
      <c r="AF143" s="356"/>
      <c r="AG143" s="356"/>
      <c r="AH143" s="356"/>
      <c r="AI143" s="356"/>
      <c r="AJ143" s="356"/>
      <c r="AK143" s="356"/>
      <c r="AL143" s="356"/>
      <c r="AM143" s="356"/>
      <c r="AN143" s="356"/>
      <c r="AO143" s="356"/>
      <c r="AP143" s="356"/>
      <c r="AQ143" s="356"/>
      <c r="AR143" s="356"/>
      <c r="AS143" s="356"/>
      <c r="AT143" s="356"/>
      <c r="AU143" s="356"/>
      <c r="AV143" s="356"/>
      <c r="AW143" s="356"/>
      <c r="AX143" s="356"/>
      <c r="AY143" s="356"/>
      <c r="AZ143" s="356"/>
      <c r="BA143" s="356"/>
      <c r="BB143" s="356"/>
      <c r="BC143" s="356"/>
      <c r="BD143" s="356"/>
      <c r="BE143" s="356"/>
      <c r="BF143" s="356"/>
      <c r="BG143" s="356"/>
      <c r="BH143" s="356"/>
      <c r="BI143" s="356"/>
      <c r="BJ143" s="356"/>
      <c r="BK143" s="356"/>
      <c r="BL143" s="356"/>
      <c r="BM143" s="82" t="e">
        <f>SUM(#REF!)</f>
        <v>#REF!</v>
      </c>
      <c r="BN143" s="22">
        <f>87.5*1.3</f>
        <v>113.75</v>
      </c>
      <c r="BO143" s="83">
        <v>0.5</v>
      </c>
      <c r="BP143" s="22">
        <f>BN143*(1-BO143)</f>
        <v>56.875</v>
      </c>
      <c r="BQ143" s="22" t="e">
        <f>BP143*BM143</f>
        <v>#REF!</v>
      </c>
      <c r="BR143" s="84">
        <f>BP143*0.8</f>
        <v>45.5</v>
      </c>
      <c r="BS143" s="32"/>
      <c r="BT143" s="84" t="e">
        <f>BQ143*0.8</f>
        <v>#REF!</v>
      </c>
      <c r="BU143" s="84"/>
      <c r="BV143" s="32"/>
      <c r="BW143" s="99">
        <f>BX143/CA143*100</f>
        <v>0.11146310347412135</v>
      </c>
      <c r="BX143" s="86">
        <v>238</v>
      </c>
      <c r="BY143" s="87" t="e">
        <f>BW143*BM143</f>
        <v>#REF!</v>
      </c>
      <c r="BZ143" s="88">
        <v>433991</v>
      </c>
      <c r="CA143" s="89">
        <v>213523.57200000001</v>
      </c>
      <c r="CB143" s="90" t="e">
        <f>CA143*BY143%</f>
        <v>#REF!</v>
      </c>
      <c r="CC143" s="21" t="e">
        <f>BT143/CB143*1000</f>
        <v>#REF!</v>
      </c>
      <c r="CD143" s="10"/>
      <c r="CE143" s="30" t="str">
        <f>C143</f>
        <v>BOA NOVA FM</v>
      </c>
      <c r="CF143" s="194"/>
      <c r="CG143" s="30" t="e">
        <f>SUM(#REF!)</f>
        <v>#REF!</v>
      </c>
      <c r="CH143" s="194" t="e">
        <f>#REF!*CG143</f>
        <v>#REF!</v>
      </c>
      <c r="CI143" s="306" t="e">
        <f>SUM(#REF!)</f>
        <v>#REF!</v>
      </c>
      <c r="CJ143" s="194" t="e">
        <f>#REF!*CI143</f>
        <v>#REF!</v>
      </c>
    </row>
    <row r="144" spans="1:143" ht="16" hidden="1" customHeight="1" x14ac:dyDescent="0.25">
      <c r="A144" s="32"/>
      <c r="B144" s="111"/>
      <c r="C144" s="95"/>
      <c r="D144" s="95"/>
      <c r="E144" s="39"/>
      <c r="F144" s="65"/>
      <c r="G144" s="65"/>
      <c r="H144" s="65"/>
      <c r="I144" s="66"/>
      <c r="J144" s="66"/>
      <c r="K144" s="65"/>
      <c r="L144" s="65"/>
      <c r="M144" s="350"/>
      <c r="N144" s="350"/>
      <c r="O144" s="350"/>
      <c r="P144" s="350"/>
      <c r="Q144" s="350"/>
      <c r="R144" s="350"/>
      <c r="S144" s="350"/>
      <c r="T144" s="350"/>
      <c r="U144" s="350"/>
      <c r="V144" s="350"/>
      <c r="W144" s="350"/>
      <c r="X144" s="350"/>
      <c r="Y144" s="350"/>
      <c r="Z144" s="350"/>
      <c r="AA144" s="350"/>
      <c r="AB144" s="350"/>
      <c r="AC144" s="350"/>
      <c r="AD144" s="350"/>
      <c r="AE144" s="350"/>
      <c r="AF144" s="350"/>
      <c r="AG144" s="350"/>
      <c r="AH144" s="350"/>
      <c r="AI144" s="350"/>
      <c r="AJ144" s="350"/>
      <c r="AK144" s="350"/>
      <c r="AL144" s="350"/>
      <c r="AM144" s="350"/>
      <c r="AN144" s="350"/>
      <c r="AO144" s="350"/>
      <c r="AP144" s="350"/>
      <c r="AQ144" s="350"/>
      <c r="AR144" s="350"/>
      <c r="AS144" s="350"/>
      <c r="AT144" s="350"/>
      <c r="AU144" s="350"/>
      <c r="AV144" s="350"/>
      <c r="AW144" s="350"/>
      <c r="AX144" s="350"/>
      <c r="AY144" s="350"/>
      <c r="AZ144" s="350"/>
      <c r="BA144" s="350"/>
      <c r="BB144" s="350"/>
      <c r="BC144" s="350"/>
      <c r="BD144" s="350"/>
      <c r="BE144" s="350"/>
      <c r="BF144" s="350"/>
      <c r="BG144" s="350"/>
      <c r="BH144" s="350"/>
      <c r="BI144" s="350"/>
      <c r="BJ144" s="350"/>
      <c r="BK144" s="350"/>
      <c r="BL144" s="350"/>
      <c r="BM144" s="173"/>
      <c r="BN144" s="104"/>
      <c r="BO144" s="195"/>
      <c r="BP144" s="104"/>
      <c r="BQ144" s="104"/>
      <c r="BR144" s="104"/>
      <c r="BS144" s="32"/>
      <c r="BT144" s="104"/>
      <c r="BU144" s="104"/>
      <c r="BV144" s="32"/>
      <c r="BW144" s="106"/>
      <c r="BX144" s="107"/>
      <c r="BY144" s="108"/>
      <c r="BZ144" s="109"/>
      <c r="CA144" s="110"/>
      <c r="CB144" s="109"/>
      <c r="CC144" s="114"/>
      <c r="CD144" s="10"/>
      <c r="CF144" s="194"/>
      <c r="CH144" s="194"/>
      <c r="CJ144" s="194"/>
    </row>
    <row r="145" spans="1:143" ht="16" hidden="1" customHeight="1" x14ac:dyDescent="0.25">
      <c r="A145" s="32"/>
      <c r="B145" s="111"/>
      <c r="C145" s="95"/>
      <c r="D145" s="95"/>
      <c r="E145" s="39"/>
      <c r="F145" s="65"/>
      <c r="G145" s="65"/>
      <c r="H145" s="65"/>
      <c r="I145" s="66"/>
      <c r="J145" s="66"/>
      <c r="K145" s="65"/>
      <c r="L145" s="65"/>
      <c r="M145" s="348"/>
      <c r="N145" s="348"/>
      <c r="O145" s="348"/>
      <c r="P145" s="348"/>
      <c r="Q145" s="348"/>
      <c r="R145" s="348"/>
      <c r="S145" s="348"/>
      <c r="T145" s="348"/>
      <c r="U145" s="348"/>
      <c r="V145" s="348"/>
      <c r="W145" s="348"/>
      <c r="X145" s="348"/>
      <c r="Y145" s="348"/>
      <c r="Z145" s="348"/>
      <c r="AA145" s="348"/>
      <c r="AB145" s="348"/>
      <c r="AC145" s="348"/>
      <c r="AD145" s="348"/>
      <c r="AE145" s="348"/>
      <c r="AF145" s="348"/>
      <c r="AG145" s="348"/>
      <c r="AH145" s="348"/>
      <c r="AI145" s="348"/>
      <c r="AJ145" s="348"/>
      <c r="AK145" s="348"/>
      <c r="AL145" s="348"/>
      <c r="AM145" s="348"/>
      <c r="AN145" s="348"/>
      <c r="AO145" s="348"/>
      <c r="AP145" s="348"/>
      <c r="AQ145" s="348"/>
      <c r="AR145" s="348"/>
      <c r="AS145" s="348"/>
      <c r="AT145" s="348"/>
      <c r="AU145" s="348"/>
      <c r="AV145" s="348"/>
      <c r="AW145" s="348"/>
      <c r="AX145" s="348"/>
      <c r="AY145" s="348"/>
      <c r="AZ145" s="348"/>
      <c r="BA145" s="348"/>
      <c r="BB145" s="348"/>
      <c r="BC145" s="348"/>
      <c r="BD145" s="348"/>
      <c r="BE145" s="348"/>
      <c r="BF145" s="348"/>
      <c r="BG145" s="348"/>
      <c r="BH145" s="348"/>
      <c r="BI145" s="348"/>
      <c r="BJ145" s="348"/>
      <c r="BK145" s="348"/>
      <c r="BL145" s="348"/>
      <c r="BM145" s="187"/>
      <c r="BN145" s="68"/>
      <c r="BO145" s="68"/>
      <c r="BP145" s="68"/>
      <c r="BQ145" s="68"/>
      <c r="BR145" s="68"/>
      <c r="BS145" s="32"/>
      <c r="BT145" s="68"/>
      <c r="BU145" s="68"/>
      <c r="BV145" s="32"/>
      <c r="BW145" s="121"/>
      <c r="BX145" s="122"/>
      <c r="BY145" s="123"/>
      <c r="BZ145" s="90"/>
      <c r="CA145" s="89"/>
      <c r="CB145" s="90"/>
      <c r="CC145" s="18"/>
      <c r="CD145" s="10"/>
      <c r="CF145" s="194"/>
      <c r="CH145" s="194"/>
      <c r="CJ145" s="194"/>
    </row>
    <row r="146" spans="1:143" ht="16" hidden="1" customHeight="1" x14ac:dyDescent="0.25">
      <c r="A146" s="32"/>
      <c r="B146" s="111"/>
      <c r="C146" s="95" t="s">
        <v>58</v>
      </c>
      <c r="D146" s="95" t="s">
        <v>72</v>
      </c>
      <c r="E146" s="39" t="s">
        <v>18</v>
      </c>
      <c r="F146" s="65"/>
      <c r="G146" s="65"/>
      <c r="H146" s="65"/>
      <c r="I146" s="66"/>
      <c r="J146" s="66"/>
      <c r="K146" s="65"/>
      <c r="L146" s="65"/>
      <c r="M146" s="356"/>
      <c r="N146" s="356"/>
      <c r="O146" s="356"/>
      <c r="P146" s="356"/>
      <c r="Q146" s="356"/>
      <c r="R146" s="356"/>
      <c r="S146" s="356"/>
      <c r="T146" s="356"/>
      <c r="U146" s="356"/>
      <c r="V146" s="356"/>
      <c r="W146" s="356"/>
      <c r="X146" s="356"/>
      <c r="Y146" s="356"/>
      <c r="Z146" s="356"/>
      <c r="AA146" s="356"/>
      <c r="AB146" s="356"/>
      <c r="AC146" s="356"/>
      <c r="AD146" s="356"/>
      <c r="AE146" s="356"/>
      <c r="AF146" s="356"/>
      <c r="AG146" s="356"/>
      <c r="AH146" s="356"/>
      <c r="AI146" s="356"/>
      <c r="AJ146" s="356"/>
      <c r="AK146" s="356"/>
      <c r="AL146" s="356"/>
      <c r="AM146" s="356"/>
      <c r="AN146" s="356"/>
      <c r="AO146" s="356"/>
      <c r="AP146" s="356"/>
      <c r="AQ146" s="356"/>
      <c r="AR146" s="356"/>
      <c r="AS146" s="356"/>
      <c r="AT146" s="356"/>
      <c r="AU146" s="356"/>
      <c r="AV146" s="356"/>
      <c r="AW146" s="356"/>
      <c r="AX146" s="356"/>
      <c r="AY146" s="356"/>
      <c r="AZ146" s="356"/>
      <c r="BA146" s="356"/>
      <c r="BB146" s="356"/>
      <c r="BC146" s="356"/>
      <c r="BD146" s="356"/>
      <c r="BE146" s="356"/>
      <c r="BF146" s="356"/>
      <c r="BG146" s="356"/>
      <c r="BH146" s="356"/>
      <c r="BI146" s="356"/>
      <c r="BJ146" s="356"/>
      <c r="BK146" s="356"/>
      <c r="BL146" s="356"/>
      <c r="BM146" s="82" t="e">
        <f>SUM(#REF!)</f>
        <v>#REF!</v>
      </c>
      <c r="BN146" s="22">
        <v>1058</v>
      </c>
      <c r="BO146" s="83">
        <v>0.7</v>
      </c>
      <c r="BP146" s="22">
        <f>BN146*(1-BO146)</f>
        <v>317.40000000000003</v>
      </c>
      <c r="BQ146" s="22" t="e">
        <f>BP146*BM146</f>
        <v>#REF!</v>
      </c>
      <c r="BR146" s="84">
        <f>BP146*0.8</f>
        <v>253.92000000000004</v>
      </c>
      <c r="BS146" s="32"/>
      <c r="BT146" s="84" t="e">
        <f>BQ146*0.8</f>
        <v>#REF!</v>
      </c>
      <c r="BU146" s="84"/>
      <c r="BV146" s="32"/>
      <c r="BW146" s="99">
        <f>BX146/CA146*100</f>
        <v>0.58635212415798277</v>
      </c>
      <c r="BX146" s="86">
        <v>1252</v>
      </c>
      <c r="BY146" s="87" t="e">
        <f>BW146*BM146</f>
        <v>#REF!</v>
      </c>
      <c r="BZ146" s="88">
        <v>433991</v>
      </c>
      <c r="CA146" s="89">
        <v>213523.57200000001</v>
      </c>
      <c r="CB146" s="90" t="e">
        <f>CA146*(BY146+BY147)%</f>
        <v>#REF!</v>
      </c>
      <c r="CC146" s="21" t="e">
        <f>BT146/CB146*1000</f>
        <v>#REF!</v>
      </c>
      <c r="CD146" s="10"/>
      <c r="CE146" s="30" t="str">
        <f>C146</f>
        <v>KISS FM</v>
      </c>
      <c r="CF146" s="194"/>
      <c r="CG146" s="30" t="e">
        <f>SUM(#REF!)</f>
        <v>#REF!</v>
      </c>
      <c r="CH146" s="194" t="e">
        <f>#REF!*CG146</f>
        <v>#REF!</v>
      </c>
      <c r="CI146" s="306" t="e">
        <f>SUM(#REF!)</f>
        <v>#REF!</v>
      </c>
      <c r="CJ146" s="194" t="e">
        <f>#REF!*CI146</f>
        <v>#REF!</v>
      </c>
    </row>
    <row r="147" spans="1:143" ht="16" hidden="1" customHeight="1" x14ac:dyDescent="0.25">
      <c r="A147" s="32"/>
      <c r="B147" s="111"/>
      <c r="C147" s="95"/>
      <c r="D147" s="95"/>
      <c r="E147" s="39"/>
      <c r="F147" s="65"/>
      <c r="G147" s="65"/>
      <c r="H147" s="65"/>
      <c r="I147" s="66"/>
      <c r="J147" s="66"/>
      <c r="K147" s="65"/>
      <c r="L147" s="65"/>
      <c r="M147" s="356"/>
      <c r="N147" s="356"/>
      <c r="O147" s="356"/>
      <c r="P147" s="356"/>
      <c r="Q147" s="356"/>
      <c r="R147" s="356"/>
      <c r="S147" s="356"/>
      <c r="T147" s="356"/>
      <c r="U147" s="356"/>
      <c r="V147" s="356"/>
      <c r="W147" s="356"/>
      <c r="X147" s="356"/>
      <c r="Y147" s="356"/>
      <c r="Z147" s="356"/>
      <c r="AA147" s="356"/>
      <c r="AB147" s="356"/>
      <c r="AC147" s="356"/>
      <c r="AD147" s="356"/>
      <c r="AE147" s="356"/>
      <c r="AF147" s="356"/>
      <c r="AG147" s="356"/>
      <c r="AH147" s="356"/>
      <c r="AI147" s="356"/>
      <c r="AJ147" s="356"/>
      <c r="AK147" s="356"/>
      <c r="AL147" s="356"/>
      <c r="AM147" s="356"/>
      <c r="AN147" s="356"/>
      <c r="AO147" s="356"/>
      <c r="AP147" s="356"/>
      <c r="AQ147" s="356"/>
      <c r="AR147" s="356"/>
      <c r="AS147" s="356"/>
      <c r="AT147" s="356"/>
      <c r="AU147" s="356"/>
      <c r="AV147" s="356"/>
      <c r="AW147" s="356"/>
      <c r="AX147" s="356"/>
      <c r="AY147" s="356"/>
      <c r="AZ147" s="356"/>
      <c r="BA147" s="356"/>
      <c r="BB147" s="356"/>
      <c r="BC147" s="356"/>
      <c r="BD147" s="356"/>
      <c r="BE147" s="356"/>
      <c r="BF147" s="356"/>
      <c r="BG147" s="356"/>
      <c r="BH147" s="356"/>
      <c r="BI147" s="356"/>
      <c r="BJ147" s="356"/>
      <c r="BK147" s="356"/>
      <c r="BL147" s="356"/>
      <c r="BM147" s="82" t="e">
        <f>SUM(#REF!)</f>
        <v>#REF!</v>
      </c>
      <c r="BN147" s="22">
        <v>847.8</v>
      </c>
      <c r="BO147" s="83">
        <v>1</v>
      </c>
      <c r="BP147" s="22">
        <f>BN147*(1-BO147)</f>
        <v>0</v>
      </c>
      <c r="BQ147" s="22" t="e">
        <f>BP147*BM147</f>
        <v>#REF!</v>
      </c>
      <c r="BR147" s="84">
        <f>BP147*0.8</f>
        <v>0</v>
      </c>
      <c r="BS147" s="32"/>
      <c r="BT147" s="84" t="e">
        <f>BQ147*0.8</f>
        <v>#REF!</v>
      </c>
      <c r="BU147" s="84"/>
      <c r="BV147" s="32"/>
      <c r="BW147" s="201"/>
      <c r="BX147" s="157"/>
      <c r="BY147" s="87" t="e">
        <f>BW146*BM147</f>
        <v>#REF!</v>
      </c>
      <c r="BZ147" s="89"/>
      <c r="CA147" s="89"/>
      <c r="CB147" s="90"/>
      <c r="CC147" s="21"/>
      <c r="CD147" s="10"/>
      <c r="CF147" s="194"/>
      <c r="CH147" s="194"/>
      <c r="CJ147" s="194"/>
    </row>
    <row r="148" spans="1:143" ht="16" hidden="1" customHeight="1" x14ac:dyDescent="0.25">
      <c r="A148" s="32"/>
      <c r="B148" s="111"/>
      <c r="C148" s="95"/>
      <c r="D148" s="95"/>
      <c r="E148" s="39"/>
      <c r="F148" s="65"/>
      <c r="G148" s="65"/>
      <c r="H148" s="65"/>
      <c r="I148" s="66"/>
      <c r="J148" s="66"/>
      <c r="K148" s="65"/>
      <c r="L148" s="65"/>
      <c r="M148" s="350"/>
      <c r="N148" s="350"/>
      <c r="O148" s="350"/>
      <c r="P148" s="350"/>
      <c r="Q148" s="350"/>
      <c r="R148" s="350"/>
      <c r="S148" s="350"/>
      <c r="T148" s="350"/>
      <c r="U148" s="350"/>
      <c r="V148" s="350"/>
      <c r="W148" s="350"/>
      <c r="X148" s="350"/>
      <c r="Y148" s="350"/>
      <c r="Z148" s="350"/>
      <c r="AA148" s="350"/>
      <c r="AB148" s="350"/>
      <c r="AC148" s="350"/>
      <c r="AD148" s="350"/>
      <c r="AE148" s="350"/>
      <c r="AF148" s="350"/>
      <c r="AG148" s="350"/>
      <c r="AH148" s="350"/>
      <c r="AI148" s="350"/>
      <c r="AJ148" s="350"/>
      <c r="AK148" s="350"/>
      <c r="AL148" s="350"/>
      <c r="AM148" s="350"/>
      <c r="AN148" s="350"/>
      <c r="AO148" s="350"/>
      <c r="AP148" s="350"/>
      <c r="AQ148" s="350"/>
      <c r="AR148" s="350"/>
      <c r="AS148" s="350"/>
      <c r="AT148" s="350"/>
      <c r="AU148" s="350"/>
      <c r="AV148" s="350"/>
      <c r="AW148" s="350"/>
      <c r="AX148" s="350"/>
      <c r="AY148" s="350"/>
      <c r="AZ148" s="350"/>
      <c r="BA148" s="350"/>
      <c r="BB148" s="350"/>
      <c r="BC148" s="350"/>
      <c r="BD148" s="350"/>
      <c r="BE148" s="350"/>
      <c r="BF148" s="350"/>
      <c r="BG148" s="350"/>
      <c r="BH148" s="350"/>
      <c r="BI148" s="350"/>
      <c r="BJ148" s="350"/>
      <c r="BK148" s="350"/>
      <c r="BL148" s="350"/>
      <c r="BM148" s="173"/>
      <c r="BN148" s="104"/>
      <c r="BO148" s="195"/>
      <c r="BP148" s="104"/>
      <c r="BQ148" s="104"/>
      <c r="BR148" s="104"/>
      <c r="BS148" s="32"/>
      <c r="BT148" s="104"/>
      <c r="BU148" s="104"/>
      <c r="BV148" s="32"/>
      <c r="BW148" s="106"/>
      <c r="BX148" s="107"/>
      <c r="BY148" s="108"/>
      <c r="BZ148" s="109"/>
      <c r="CA148" s="110"/>
      <c r="CB148" s="109"/>
      <c r="CC148" s="114"/>
      <c r="CD148" s="10"/>
      <c r="CF148" s="194"/>
      <c r="CH148" s="194"/>
      <c r="CJ148" s="194"/>
    </row>
    <row r="149" spans="1:143" ht="16" hidden="1" customHeight="1" x14ac:dyDescent="0.25">
      <c r="A149" s="32"/>
      <c r="B149" s="25" t="s">
        <v>94</v>
      </c>
      <c r="C149" s="139"/>
      <c r="D149" s="139"/>
      <c r="E149" s="139"/>
      <c r="F149" s="40">
        <f t="shared" ref="F149:BM149" si="83">SUM(F124:F148)</f>
        <v>0</v>
      </c>
      <c r="G149" s="40">
        <f t="shared" si="83"/>
        <v>0</v>
      </c>
      <c r="H149" s="40">
        <f t="shared" si="83"/>
        <v>0</v>
      </c>
      <c r="I149" s="40">
        <f t="shared" si="83"/>
        <v>0</v>
      </c>
      <c r="J149" s="40">
        <f t="shared" si="83"/>
        <v>0</v>
      </c>
      <c r="K149" s="40">
        <f t="shared" si="83"/>
        <v>0</v>
      </c>
      <c r="L149" s="40">
        <f t="shared" si="83"/>
        <v>0</v>
      </c>
      <c r="M149" s="40"/>
      <c r="N149" s="40"/>
      <c r="O149" s="40"/>
      <c r="P149" s="40"/>
      <c r="Q149" s="40"/>
      <c r="R149" s="40"/>
      <c r="S149" s="40"/>
      <c r="T149" s="40"/>
      <c r="U149" s="40"/>
      <c r="V149" s="40"/>
      <c r="W149" s="40"/>
      <c r="X149" s="40"/>
      <c r="Y149" s="40"/>
      <c r="Z149" s="40"/>
      <c r="AA149" s="40"/>
      <c r="AB149" s="40"/>
      <c r="AC149" s="40"/>
      <c r="AD149" s="40"/>
      <c r="AE149" s="40"/>
      <c r="AF149" s="40"/>
      <c r="AG149" s="40"/>
      <c r="AH149" s="40"/>
      <c r="AI149" s="40"/>
      <c r="AJ149" s="40"/>
      <c r="AK149" s="40"/>
      <c r="AL149" s="40"/>
      <c r="AM149" s="40"/>
      <c r="AN149" s="40"/>
      <c r="AO149" s="40"/>
      <c r="AP149" s="40"/>
      <c r="AQ149" s="40"/>
      <c r="AR149" s="40"/>
      <c r="AS149" s="40"/>
      <c r="AT149" s="40"/>
      <c r="AU149" s="40"/>
      <c r="AV149" s="40"/>
      <c r="AW149" s="40"/>
      <c r="AX149" s="40"/>
      <c r="AY149" s="40"/>
      <c r="AZ149" s="40"/>
      <c r="BA149" s="40"/>
      <c r="BB149" s="40"/>
      <c r="BC149" s="40"/>
      <c r="BD149" s="40"/>
      <c r="BE149" s="40"/>
      <c r="BF149" s="40"/>
      <c r="BG149" s="40"/>
      <c r="BH149" s="40"/>
      <c r="BI149" s="40"/>
      <c r="BJ149" s="40"/>
      <c r="BK149" s="40"/>
      <c r="BL149" s="40"/>
      <c r="BM149" s="40" t="e">
        <f t="shared" si="83"/>
        <v>#REF!</v>
      </c>
      <c r="BN149" s="141"/>
      <c r="BO149" s="141"/>
      <c r="BP149" s="141"/>
      <c r="BQ149" s="141" t="e">
        <f>SUM(BQ124:BQ148)</f>
        <v>#REF!</v>
      </c>
      <c r="BR149" s="141">
        <f>SUM(BR124:BR148)</f>
        <v>1138.7860000000001</v>
      </c>
      <c r="BS149" s="43"/>
      <c r="BT149" s="141" t="e">
        <f>SUM(BT124:BT148)</f>
        <v>#REF!</v>
      </c>
      <c r="BU149" s="141"/>
      <c r="BV149" s="43"/>
      <c r="BW149" s="196"/>
      <c r="BX149" s="197"/>
      <c r="BY149" s="198"/>
      <c r="BZ149" s="147"/>
      <c r="CA149" s="147"/>
      <c r="CB149" s="199" t="e">
        <f>SUM(CB124:CB148)</f>
        <v>#REF!</v>
      </c>
      <c r="CC149" s="149" t="e">
        <f>BT149/CB149*1000</f>
        <v>#REF!</v>
      </c>
      <c r="CD149" s="10"/>
      <c r="CF149" s="194"/>
      <c r="CH149" s="194"/>
      <c r="CJ149" s="194"/>
    </row>
    <row r="150" spans="1:143" ht="16" hidden="1" customHeight="1" x14ac:dyDescent="0.25">
      <c r="A150" s="32"/>
      <c r="B150" s="183"/>
      <c r="C150" s="184"/>
      <c r="D150" s="185"/>
      <c r="E150" s="186"/>
      <c r="F150" s="66"/>
      <c r="G150" s="65"/>
      <c r="H150" s="65"/>
      <c r="I150" s="65"/>
      <c r="J150" s="65"/>
      <c r="K150" s="65"/>
      <c r="L150" s="66"/>
      <c r="M150" s="357"/>
      <c r="N150" s="357"/>
      <c r="O150" s="357"/>
      <c r="P150" s="357"/>
      <c r="Q150" s="357"/>
      <c r="R150" s="357"/>
      <c r="S150" s="357"/>
      <c r="T150" s="357"/>
      <c r="U150" s="357"/>
      <c r="V150" s="357"/>
      <c r="W150" s="357"/>
      <c r="X150" s="357"/>
      <c r="Y150" s="357"/>
      <c r="Z150" s="357"/>
      <c r="AA150" s="357"/>
      <c r="AB150" s="357"/>
      <c r="AC150" s="357"/>
      <c r="AD150" s="357"/>
      <c r="AE150" s="357"/>
      <c r="AF150" s="357"/>
      <c r="AG150" s="357"/>
      <c r="AH150" s="357"/>
      <c r="AI150" s="357"/>
      <c r="AJ150" s="357"/>
      <c r="AK150" s="357"/>
      <c r="AL150" s="357"/>
      <c r="AM150" s="357"/>
      <c r="AN150" s="357"/>
      <c r="AO150" s="357"/>
      <c r="AP150" s="357"/>
      <c r="AQ150" s="357"/>
      <c r="AR150" s="357"/>
      <c r="AS150" s="357"/>
      <c r="AT150" s="357"/>
      <c r="AU150" s="357"/>
      <c r="AV150" s="357"/>
      <c r="AW150" s="357"/>
      <c r="AX150" s="357"/>
      <c r="AY150" s="357"/>
      <c r="AZ150" s="357"/>
      <c r="BA150" s="357"/>
      <c r="BB150" s="357"/>
      <c r="BC150" s="357"/>
      <c r="BD150" s="357"/>
      <c r="BE150" s="357"/>
      <c r="BF150" s="357"/>
      <c r="BG150" s="357"/>
      <c r="BH150" s="357"/>
      <c r="BI150" s="357"/>
      <c r="BJ150" s="357"/>
      <c r="BK150" s="357"/>
      <c r="BL150" s="357"/>
      <c r="BM150" s="118"/>
      <c r="BN150" s="68"/>
      <c r="BO150" s="68"/>
      <c r="BP150" s="68"/>
      <c r="BQ150" s="68"/>
      <c r="BR150" s="200"/>
      <c r="BS150" s="32"/>
      <c r="BT150" s="200"/>
      <c r="BU150" s="200"/>
      <c r="BV150" s="32"/>
      <c r="BW150" s="188"/>
      <c r="BX150" s="189"/>
      <c r="BY150" s="190"/>
      <c r="BZ150" s="191"/>
      <c r="CA150" s="192"/>
      <c r="CB150" s="191"/>
      <c r="CC150" s="18"/>
      <c r="CD150" s="10"/>
      <c r="CF150" s="194"/>
      <c r="CH150" s="194"/>
      <c r="CJ150" s="194"/>
    </row>
    <row r="151" spans="1:143" s="152" customFormat="1" ht="16" hidden="1" customHeight="1" x14ac:dyDescent="0.4">
      <c r="A151" s="43"/>
      <c r="C151" s="81" t="s">
        <v>95</v>
      </c>
      <c r="D151" s="95" t="s">
        <v>72</v>
      </c>
      <c r="E151" s="39" t="s">
        <v>18</v>
      </c>
      <c r="F151" s="66"/>
      <c r="G151" s="65"/>
      <c r="H151" s="65"/>
      <c r="I151" s="65"/>
      <c r="J151" s="65"/>
      <c r="K151" s="65"/>
      <c r="L151" s="66"/>
      <c r="M151" s="354"/>
      <c r="N151" s="354"/>
      <c r="O151" s="354"/>
      <c r="P151" s="354"/>
      <c r="Q151" s="354"/>
      <c r="R151" s="354"/>
      <c r="S151" s="354"/>
      <c r="T151" s="354"/>
      <c r="U151" s="354"/>
      <c r="V151" s="354"/>
      <c r="W151" s="354"/>
      <c r="X151" s="354"/>
      <c r="Y151" s="354"/>
      <c r="Z151" s="354"/>
      <c r="AA151" s="354"/>
      <c r="AB151" s="354"/>
      <c r="AC151" s="354"/>
      <c r="AD151" s="354"/>
      <c r="AE151" s="354"/>
      <c r="AF151" s="354"/>
      <c r="AG151" s="354"/>
      <c r="AH151" s="354"/>
      <c r="AI151" s="354"/>
      <c r="AJ151" s="354"/>
      <c r="AK151" s="354"/>
      <c r="AL151" s="354"/>
      <c r="AM151" s="354"/>
      <c r="AN151" s="354"/>
      <c r="AO151" s="354"/>
      <c r="AP151" s="354"/>
      <c r="AQ151" s="354"/>
      <c r="AR151" s="354"/>
      <c r="AS151" s="354"/>
      <c r="AT151" s="354"/>
      <c r="AU151" s="354"/>
      <c r="AV151" s="354"/>
      <c r="AW151" s="354"/>
      <c r="AX151" s="354"/>
      <c r="AY151" s="354"/>
      <c r="AZ151" s="354"/>
      <c r="BA151" s="354"/>
      <c r="BB151" s="354"/>
      <c r="BC151" s="354"/>
      <c r="BD151" s="354"/>
      <c r="BE151" s="354"/>
      <c r="BF151" s="354"/>
      <c r="BG151" s="354"/>
      <c r="BH151" s="354"/>
      <c r="BI151" s="354"/>
      <c r="BJ151" s="354"/>
      <c r="BK151" s="354"/>
      <c r="BL151" s="354"/>
      <c r="BM151" s="82" t="e">
        <f>SUM(#REF!)</f>
        <v>#REF!</v>
      </c>
      <c r="BN151" s="22"/>
      <c r="BO151" s="83">
        <v>0.4</v>
      </c>
      <c r="BP151" s="22">
        <f>BN151*(1-BO151)</f>
        <v>0</v>
      </c>
      <c r="BQ151" s="22" t="e">
        <f>BP151*BM151</f>
        <v>#REF!</v>
      </c>
      <c r="BR151" s="84">
        <f>BP151*0.8</f>
        <v>0</v>
      </c>
      <c r="BS151" s="32"/>
      <c r="BT151" s="84" t="e">
        <f>BQ151*0.8</f>
        <v>#REF!</v>
      </c>
      <c r="BU151" s="84"/>
      <c r="BV151" s="32"/>
      <c r="BW151" s="99">
        <f>BX151/CA151*100</f>
        <v>2.4049146420022272</v>
      </c>
      <c r="BX151" s="86">
        <v>3796</v>
      </c>
      <c r="BY151" s="87">
        <v>192.39317136017817</v>
      </c>
      <c r="BZ151" s="88">
        <v>320820</v>
      </c>
      <c r="CA151" s="89">
        <v>157843.44</v>
      </c>
      <c r="CB151" s="90"/>
      <c r="CC151" s="114" t="e">
        <f>BT151/CB151*1000</f>
        <v>#REF!</v>
      </c>
      <c r="CD151" s="160"/>
      <c r="CE151" s="30" t="s">
        <v>95</v>
      </c>
      <c r="CF151" s="194"/>
      <c r="CG151" s="30" t="e">
        <f>SUM(#REF!)</f>
        <v>#REF!</v>
      </c>
      <c r="CH151" s="194" t="e">
        <f>#REF!*CG151</f>
        <v>#REF!</v>
      </c>
      <c r="CI151" s="306" t="e">
        <f>SUM(#REF!)</f>
        <v>#REF!</v>
      </c>
      <c r="CJ151" s="194" t="e">
        <f>#REF!*CI151</f>
        <v>#REF!</v>
      </c>
      <c r="CK151" s="151"/>
    </row>
    <row r="152" spans="1:143" ht="16" hidden="1" customHeight="1" x14ac:dyDescent="0.25">
      <c r="A152" s="32"/>
      <c r="B152" s="202"/>
      <c r="C152" s="116"/>
      <c r="D152" s="95"/>
      <c r="E152" s="39"/>
      <c r="F152" s="65"/>
      <c r="G152" s="65"/>
      <c r="H152" s="65"/>
      <c r="I152" s="66"/>
      <c r="J152" s="66"/>
      <c r="K152" s="65"/>
      <c r="L152" s="65"/>
      <c r="M152" s="355"/>
      <c r="N152" s="355"/>
      <c r="O152" s="355"/>
      <c r="P152" s="355"/>
      <c r="Q152" s="355"/>
      <c r="R152" s="355"/>
      <c r="S152" s="355"/>
      <c r="T152" s="355"/>
      <c r="U152" s="355"/>
      <c r="V152" s="355"/>
      <c r="W152" s="355"/>
      <c r="X152" s="355"/>
      <c r="Y152" s="355"/>
      <c r="Z152" s="355"/>
      <c r="AA152" s="355"/>
      <c r="AB152" s="355"/>
      <c r="AC152" s="355"/>
      <c r="AD152" s="355"/>
      <c r="AE152" s="355"/>
      <c r="AF152" s="355"/>
      <c r="AG152" s="355"/>
      <c r="AH152" s="355"/>
      <c r="AI152" s="355"/>
      <c r="AJ152" s="355"/>
      <c r="AK152" s="355"/>
      <c r="AL152" s="355"/>
      <c r="AM152" s="355"/>
      <c r="AN152" s="355"/>
      <c r="AO152" s="355"/>
      <c r="AP152" s="355"/>
      <c r="AQ152" s="355"/>
      <c r="AR152" s="355"/>
      <c r="AS152" s="355"/>
      <c r="AT152" s="355"/>
      <c r="AU152" s="355"/>
      <c r="AV152" s="355"/>
      <c r="AW152" s="355"/>
      <c r="AX152" s="355"/>
      <c r="AY152" s="355"/>
      <c r="AZ152" s="355"/>
      <c r="BA152" s="355"/>
      <c r="BB152" s="355"/>
      <c r="BC152" s="355"/>
      <c r="BD152" s="355"/>
      <c r="BE152" s="355"/>
      <c r="BF152" s="355"/>
      <c r="BG152" s="355"/>
      <c r="BH152" s="355"/>
      <c r="BI152" s="355"/>
      <c r="BJ152" s="355"/>
      <c r="BK152" s="355"/>
      <c r="BL152" s="355"/>
      <c r="BM152" s="118"/>
      <c r="BN152" s="68"/>
      <c r="BO152" s="68"/>
      <c r="BP152" s="68"/>
      <c r="BQ152" s="68"/>
      <c r="BR152" s="200"/>
      <c r="BS152" s="32"/>
      <c r="BT152" s="200"/>
      <c r="BU152" s="200"/>
      <c r="BV152" s="32"/>
      <c r="BW152" s="188"/>
      <c r="BX152" s="189"/>
      <c r="BY152" s="190"/>
      <c r="BZ152" s="191"/>
      <c r="CA152" s="192"/>
      <c r="CB152" s="191"/>
      <c r="CC152" s="18"/>
      <c r="CD152" s="10"/>
      <c r="CF152" s="194"/>
      <c r="CH152" s="194"/>
      <c r="CJ152" s="194"/>
    </row>
    <row r="153" spans="1:143" ht="16" hidden="1" customHeight="1" x14ac:dyDescent="0.25">
      <c r="A153" s="32"/>
      <c r="B153" s="93" t="s">
        <v>96</v>
      </c>
      <c r="C153" s="81" t="s">
        <v>97</v>
      </c>
      <c r="D153" s="95" t="s">
        <v>72</v>
      </c>
      <c r="E153" s="36" t="s">
        <v>18</v>
      </c>
      <c r="F153" s="65"/>
      <c r="G153" s="65"/>
      <c r="H153" s="65"/>
      <c r="I153" s="66"/>
      <c r="J153" s="66"/>
      <c r="K153" s="65"/>
      <c r="L153" s="65"/>
      <c r="M153" s="349"/>
      <c r="N153" s="349"/>
      <c r="O153" s="349"/>
      <c r="P153" s="349"/>
      <c r="Q153" s="349"/>
      <c r="R153" s="349"/>
      <c r="S153" s="349"/>
      <c r="T153" s="349"/>
      <c r="U153" s="349"/>
      <c r="V153" s="349"/>
      <c r="W153" s="349"/>
      <c r="X153" s="349"/>
      <c r="Y153" s="349"/>
      <c r="Z153" s="349"/>
      <c r="AA153" s="349"/>
      <c r="AB153" s="349"/>
      <c r="AC153" s="349"/>
      <c r="AD153" s="349"/>
      <c r="AE153" s="349"/>
      <c r="AF153" s="349"/>
      <c r="AG153" s="349"/>
      <c r="AH153" s="349"/>
      <c r="AI153" s="349"/>
      <c r="AJ153" s="349"/>
      <c r="AK153" s="349"/>
      <c r="AL153" s="349"/>
      <c r="AM153" s="349"/>
      <c r="AN153" s="349"/>
      <c r="AO153" s="349"/>
      <c r="AP153" s="349"/>
      <c r="AQ153" s="349"/>
      <c r="AR153" s="349"/>
      <c r="AS153" s="349"/>
      <c r="AT153" s="349"/>
      <c r="AU153" s="349"/>
      <c r="AV153" s="349"/>
      <c r="AW153" s="349"/>
      <c r="AX153" s="349"/>
      <c r="AY153" s="349"/>
      <c r="AZ153" s="349"/>
      <c r="BA153" s="349"/>
      <c r="BB153" s="349"/>
      <c r="BC153" s="349"/>
      <c r="BD153" s="349"/>
      <c r="BE153" s="349"/>
      <c r="BF153" s="349"/>
      <c r="BG153" s="349"/>
      <c r="BH153" s="349"/>
      <c r="BI153" s="349"/>
      <c r="BJ153" s="349"/>
      <c r="BK153" s="349"/>
      <c r="BL153" s="349"/>
      <c r="BM153" s="175" t="e">
        <f>SUM(#REF!)</f>
        <v>#REF!</v>
      </c>
      <c r="BN153" s="22">
        <v>197.36842105263159</v>
      </c>
      <c r="BO153" s="83">
        <v>0</v>
      </c>
      <c r="BP153" s="22">
        <f>BN153*(1-BO153)</f>
        <v>197.36842105263159</v>
      </c>
      <c r="BQ153" s="22">
        <v>15000</v>
      </c>
      <c r="BR153" s="84">
        <f>BP153*0.8</f>
        <v>157.89473684210529</v>
      </c>
      <c r="BS153" s="32"/>
      <c r="BT153" s="84">
        <f>BQ153*0.8</f>
        <v>12000</v>
      </c>
      <c r="BU153" s="84"/>
      <c r="BV153" s="32"/>
      <c r="BW153" s="99">
        <f>BX153/CA153*100</f>
        <v>3.4401176254141443</v>
      </c>
      <c r="BX153" s="122">
        <v>5430</v>
      </c>
      <c r="BY153" s="123" t="e">
        <f>BW153*BM153</f>
        <v>#REF!</v>
      </c>
      <c r="BZ153" s="90">
        <v>320820</v>
      </c>
      <c r="CA153" s="89">
        <v>157843.44</v>
      </c>
      <c r="CB153" s="90" t="e">
        <f>CA153*BY153%</f>
        <v>#REF!</v>
      </c>
      <c r="CC153" s="21" t="e">
        <f>BT153/CB153*1000</f>
        <v>#REF!</v>
      </c>
      <c r="CD153" s="10"/>
      <c r="CE153" s="30" t="s">
        <v>97</v>
      </c>
      <c r="CF153" s="194"/>
      <c r="CG153" s="30" t="e">
        <f>SUM(#REF!)</f>
        <v>#REF!</v>
      </c>
      <c r="CH153" s="194">
        <f>BV153/2</f>
        <v>0</v>
      </c>
      <c r="CI153" s="306" t="e">
        <f>SUM(#REF!)</f>
        <v>#REF!</v>
      </c>
      <c r="CJ153" s="194">
        <f>BX153/2</f>
        <v>2715</v>
      </c>
    </row>
    <row r="154" spans="1:143" ht="16" hidden="1" customHeight="1" x14ac:dyDescent="0.25">
      <c r="A154" s="32"/>
      <c r="B154" s="202"/>
      <c r="C154" s="116" t="s">
        <v>98</v>
      </c>
      <c r="D154" s="42"/>
      <c r="E154" s="117"/>
      <c r="F154" s="65"/>
      <c r="G154" s="65"/>
      <c r="H154" s="65"/>
      <c r="I154" s="66"/>
      <c r="J154" s="66"/>
      <c r="K154" s="65"/>
      <c r="L154" s="65"/>
      <c r="M154" s="356"/>
      <c r="N154" s="356"/>
      <c r="O154" s="356"/>
      <c r="P154" s="356"/>
      <c r="Q154" s="356"/>
      <c r="R154" s="356"/>
      <c r="S154" s="356"/>
      <c r="T154" s="356"/>
      <c r="U154" s="356"/>
      <c r="V154" s="356"/>
      <c r="W154" s="356"/>
      <c r="X154" s="356"/>
      <c r="Y154" s="356"/>
      <c r="Z154" s="356"/>
      <c r="AA154" s="356"/>
      <c r="AB154" s="356"/>
      <c r="AC154" s="356"/>
      <c r="AD154" s="356"/>
      <c r="AE154" s="356"/>
      <c r="AF154" s="356"/>
      <c r="AG154" s="356"/>
      <c r="AH154" s="356"/>
      <c r="AI154" s="356"/>
      <c r="AJ154" s="356"/>
      <c r="AK154" s="356"/>
      <c r="AL154" s="356"/>
      <c r="AM154" s="356"/>
      <c r="AN154" s="356"/>
      <c r="AO154" s="356"/>
      <c r="AP154" s="356"/>
      <c r="AQ154" s="356"/>
      <c r="AR154" s="356"/>
      <c r="AS154" s="356"/>
      <c r="AT154" s="356"/>
      <c r="AU154" s="356"/>
      <c r="AV154" s="356"/>
      <c r="AW154" s="356"/>
      <c r="AX154" s="356"/>
      <c r="AY154" s="356"/>
      <c r="AZ154" s="356"/>
      <c r="BA154" s="356"/>
      <c r="BB154" s="356"/>
      <c r="BC154" s="356"/>
      <c r="BD154" s="356"/>
      <c r="BE154" s="356"/>
      <c r="BF154" s="356"/>
      <c r="BG154" s="356"/>
      <c r="BH154" s="356"/>
      <c r="BI154" s="356"/>
      <c r="BJ154" s="356"/>
      <c r="BK154" s="356"/>
      <c r="BL154" s="356"/>
      <c r="BM154" s="203"/>
      <c r="BN154" s="22"/>
      <c r="BO154" s="22"/>
      <c r="BP154" s="22"/>
      <c r="BQ154" s="22"/>
      <c r="BR154" s="22"/>
      <c r="BS154" s="32"/>
      <c r="BT154" s="22"/>
      <c r="BU154" s="22"/>
      <c r="BV154" s="32"/>
      <c r="BW154" s="121"/>
      <c r="BX154" s="122"/>
      <c r="BY154" s="123"/>
      <c r="BZ154" s="90"/>
      <c r="CA154" s="89"/>
      <c r="CB154" s="90"/>
      <c r="CC154" s="114"/>
      <c r="CD154" s="10"/>
      <c r="CF154" s="194"/>
      <c r="CH154" s="194"/>
      <c r="CJ154" s="194"/>
    </row>
    <row r="155" spans="1:143" ht="16" hidden="1" customHeight="1" x14ac:dyDescent="0.25">
      <c r="A155" s="32"/>
      <c r="B155" s="202"/>
      <c r="C155" s="81"/>
      <c r="D155" s="95"/>
      <c r="E155" s="39"/>
      <c r="F155" s="65"/>
      <c r="G155" s="65"/>
      <c r="H155" s="65"/>
      <c r="I155" s="66"/>
      <c r="J155" s="66"/>
      <c r="K155" s="65"/>
      <c r="L155" s="65"/>
      <c r="M155" s="355"/>
      <c r="N155" s="355"/>
      <c r="O155" s="355"/>
      <c r="P155" s="355"/>
      <c r="Q155" s="355"/>
      <c r="R155" s="355"/>
      <c r="S155" s="355"/>
      <c r="T155" s="355"/>
      <c r="U155" s="355"/>
      <c r="V155" s="355"/>
      <c r="W155" s="355"/>
      <c r="X155" s="355"/>
      <c r="Y155" s="355"/>
      <c r="Z155" s="355"/>
      <c r="AA155" s="355"/>
      <c r="AB155" s="355"/>
      <c r="AC155" s="355"/>
      <c r="AD155" s="355"/>
      <c r="AE155" s="355"/>
      <c r="AF155" s="355"/>
      <c r="AG155" s="355"/>
      <c r="AH155" s="355"/>
      <c r="AI155" s="355"/>
      <c r="AJ155" s="355"/>
      <c r="AK155" s="355"/>
      <c r="AL155" s="355"/>
      <c r="AM155" s="355"/>
      <c r="AN155" s="355"/>
      <c r="AO155" s="355"/>
      <c r="AP155" s="355"/>
      <c r="AQ155" s="355"/>
      <c r="AR155" s="355"/>
      <c r="AS155" s="355"/>
      <c r="AT155" s="355"/>
      <c r="AU155" s="355"/>
      <c r="AV155" s="355"/>
      <c r="AW155" s="355"/>
      <c r="AX155" s="355"/>
      <c r="AY155" s="355"/>
      <c r="AZ155" s="355"/>
      <c r="BA155" s="355"/>
      <c r="BB155" s="355"/>
      <c r="BC155" s="355"/>
      <c r="BD155" s="355"/>
      <c r="BE155" s="355"/>
      <c r="BF155" s="355"/>
      <c r="BG155" s="355"/>
      <c r="BH155" s="355"/>
      <c r="BI155" s="355"/>
      <c r="BJ155" s="355"/>
      <c r="BK155" s="355"/>
      <c r="BL155" s="355"/>
      <c r="BM155" s="118"/>
      <c r="BN155" s="68"/>
      <c r="BO155" s="68"/>
      <c r="BP155" s="68"/>
      <c r="BQ155" s="68"/>
      <c r="BR155" s="200"/>
      <c r="BS155" s="32"/>
      <c r="BT155" s="200"/>
      <c r="BU155" s="200"/>
      <c r="BV155" s="32"/>
      <c r="BW155" s="188"/>
      <c r="BX155" s="189"/>
      <c r="BY155" s="190"/>
      <c r="BZ155" s="191"/>
      <c r="CA155" s="192"/>
      <c r="CB155" s="191"/>
      <c r="CC155" s="18"/>
      <c r="CD155" s="10"/>
      <c r="CF155" s="194"/>
      <c r="CH155" s="194"/>
      <c r="CJ155" s="194"/>
    </row>
    <row r="156" spans="1:143" ht="16" hidden="1" customHeight="1" x14ac:dyDescent="0.25">
      <c r="A156" s="32"/>
      <c r="B156" s="202"/>
      <c r="C156" s="81" t="s">
        <v>99</v>
      </c>
      <c r="D156" s="95" t="s">
        <v>72</v>
      </c>
      <c r="E156" s="36" t="s">
        <v>18</v>
      </c>
      <c r="F156" s="65"/>
      <c r="G156" s="65"/>
      <c r="H156" s="65"/>
      <c r="I156" s="66"/>
      <c r="J156" s="66"/>
      <c r="K156" s="65"/>
      <c r="L156" s="65"/>
      <c r="M156" s="349"/>
      <c r="N156" s="349"/>
      <c r="O156" s="349"/>
      <c r="P156" s="349"/>
      <c r="Q156" s="349"/>
      <c r="R156" s="349"/>
      <c r="S156" s="349"/>
      <c r="T156" s="349"/>
      <c r="U156" s="349"/>
      <c r="V156" s="349"/>
      <c r="W156" s="349"/>
      <c r="X156" s="349"/>
      <c r="Y156" s="349"/>
      <c r="Z156" s="349"/>
      <c r="AA156" s="349"/>
      <c r="AB156" s="349"/>
      <c r="AC156" s="349"/>
      <c r="AD156" s="349"/>
      <c r="AE156" s="349"/>
      <c r="AF156" s="349"/>
      <c r="AG156" s="349"/>
      <c r="AH156" s="349"/>
      <c r="AI156" s="349"/>
      <c r="AJ156" s="349"/>
      <c r="AK156" s="349"/>
      <c r="AL156" s="349"/>
      <c r="AM156" s="349"/>
      <c r="AN156" s="349"/>
      <c r="AO156" s="349"/>
      <c r="AP156" s="349"/>
      <c r="AQ156" s="349"/>
      <c r="AR156" s="349"/>
      <c r="AS156" s="349"/>
      <c r="AT156" s="349"/>
      <c r="AU156" s="349"/>
      <c r="AV156" s="349"/>
      <c r="AW156" s="349"/>
      <c r="AX156" s="349"/>
      <c r="AY156" s="349"/>
      <c r="AZ156" s="349"/>
      <c r="BA156" s="349"/>
      <c r="BB156" s="349"/>
      <c r="BC156" s="349"/>
      <c r="BD156" s="349"/>
      <c r="BE156" s="349"/>
      <c r="BF156" s="349"/>
      <c r="BG156" s="349"/>
      <c r="BH156" s="349"/>
      <c r="BI156" s="349"/>
      <c r="BJ156" s="349"/>
      <c r="BK156" s="349"/>
      <c r="BL156" s="349"/>
      <c r="BM156" s="175" t="e">
        <f>SUM(#REF!)</f>
        <v>#REF!</v>
      </c>
      <c r="BN156" s="22">
        <v>131.57894736842104</v>
      </c>
      <c r="BO156" s="83">
        <v>0</v>
      </c>
      <c r="BP156" s="22">
        <f>BN156*(1-BO156)</f>
        <v>131.57894736842104</v>
      </c>
      <c r="BQ156" s="22">
        <v>10000</v>
      </c>
      <c r="BR156" s="84">
        <f>BP156*0.8</f>
        <v>105.26315789473684</v>
      </c>
      <c r="BS156" s="32"/>
      <c r="BT156" s="84">
        <f>BQ156*0.8</f>
        <v>8000</v>
      </c>
      <c r="BU156" s="84"/>
      <c r="BV156" s="32"/>
      <c r="BW156" s="99">
        <f>BX156/CA156*100</f>
        <v>2.5183181512009623</v>
      </c>
      <c r="BX156" s="122">
        <v>3975</v>
      </c>
      <c r="BY156" s="123" t="e">
        <f>BW156*BM156</f>
        <v>#REF!</v>
      </c>
      <c r="BZ156" s="90">
        <v>320820</v>
      </c>
      <c r="CA156" s="89">
        <v>157843.44</v>
      </c>
      <c r="CB156" s="90" t="e">
        <f>CA156*BY156%</f>
        <v>#REF!</v>
      </c>
      <c r="CC156" s="21" t="e">
        <f>BT156/CB156*1000</f>
        <v>#REF!</v>
      </c>
      <c r="CD156" s="10"/>
      <c r="CE156" s="30" t="str">
        <f>C156</f>
        <v>STEREO VALE</v>
      </c>
      <c r="CF156" s="194"/>
      <c r="CG156" s="30" t="e">
        <f>SUM(#REF!)</f>
        <v>#REF!</v>
      </c>
      <c r="CH156" s="194">
        <f>BV156/2</f>
        <v>0</v>
      </c>
      <c r="CI156" s="306" t="e">
        <f>SUM(#REF!)</f>
        <v>#REF!</v>
      </c>
      <c r="CJ156" s="194">
        <f>BX156/2</f>
        <v>1987.5</v>
      </c>
    </row>
    <row r="157" spans="1:143" s="50" customFormat="1" ht="16" hidden="1" customHeight="1" x14ac:dyDescent="0.25">
      <c r="A157" s="32"/>
      <c r="B157" s="202"/>
      <c r="C157" s="116" t="s">
        <v>98</v>
      </c>
      <c r="D157" s="42"/>
      <c r="E157" s="117"/>
      <c r="F157" s="65"/>
      <c r="G157" s="65"/>
      <c r="H157" s="65"/>
      <c r="I157" s="66"/>
      <c r="J157" s="66"/>
      <c r="K157" s="65"/>
      <c r="L157" s="65"/>
      <c r="M157" s="356"/>
      <c r="N157" s="356"/>
      <c r="O157" s="356"/>
      <c r="P157" s="356"/>
      <c r="Q157" s="356"/>
      <c r="R157" s="356"/>
      <c r="S157" s="356"/>
      <c r="T157" s="356"/>
      <c r="U157" s="356"/>
      <c r="V157" s="356"/>
      <c r="W157" s="356"/>
      <c r="X157" s="356"/>
      <c r="Y157" s="356"/>
      <c r="Z157" s="356"/>
      <c r="AA157" s="356"/>
      <c r="AB157" s="356"/>
      <c r="AC157" s="356"/>
      <c r="AD157" s="356"/>
      <c r="AE157" s="356"/>
      <c r="AF157" s="356"/>
      <c r="AG157" s="356"/>
      <c r="AH157" s="356"/>
      <c r="AI157" s="356"/>
      <c r="AJ157" s="356"/>
      <c r="AK157" s="356"/>
      <c r="AL157" s="356"/>
      <c r="AM157" s="356"/>
      <c r="AN157" s="356"/>
      <c r="AO157" s="356"/>
      <c r="AP157" s="356"/>
      <c r="AQ157" s="356"/>
      <c r="AR157" s="356"/>
      <c r="AS157" s="356"/>
      <c r="AT157" s="356"/>
      <c r="AU157" s="356"/>
      <c r="AV157" s="356"/>
      <c r="AW157" s="356"/>
      <c r="AX157" s="356"/>
      <c r="AY157" s="356"/>
      <c r="AZ157" s="356"/>
      <c r="BA157" s="356"/>
      <c r="BB157" s="356"/>
      <c r="BC157" s="356"/>
      <c r="BD157" s="356"/>
      <c r="BE157" s="356"/>
      <c r="BF157" s="356"/>
      <c r="BG157" s="356"/>
      <c r="BH157" s="356"/>
      <c r="BI157" s="356"/>
      <c r="BJ157" s="356"/>
      <c r="BK157" s="356"/>
      <c r="BL157" s="356"/>
      <c r="BM157" s="203"/>
      <c r="BN157" s="22"/>
      <c r="BO157" s="22"/>
      <c r="BP157" s="22"/>
      <c r="BQ157" s="22"/>
      <c r="BR157" s="22"/>
      <c r="BS157" s="32"/>
      <c r="BT157" s="22"/>
      <c r="BU157" s="22"/>
      <c r="BV157" s="32"/>
      <c r="BW157" s="121"/>
      <c r="BX157" s="122"/>
      <c r="BY157" s="123"/>
      <c r="BZ157" s="90"/>
      <c r="CA157" s="89"/>
      <c r="CB157" s="90"/>
      <c r="CC157" s="114"/>
      <c r="CD157" s="10"/>
      <c r="CE157" s="30"/>
      <c r="CF157" s="194"/>
      <c r="CG157" s="30"/>
      <c r="CH157" s="194"/>
      <c r="CI157" s="306"/>
      <c r="CJ157" s="194"/>
      <c r="CL157" s="45"/>
      <c r="CM157" s="45"/>
      <c r="CN157" s="45"/>
      <c r="CO157" s="45"/>
      <c r="CP157" s="45"/>
      <c r="CQ157" s="45"/>
      <c r="CR157" s="45"/>
      <c r="CS157" s="45"/>
      <c r="CT157" s="45"/>
      <c r="CU157" s="45"/>
      <c r="CV157" s="45"/>
      <c r="CW157" s="45"/>
      <c r="CX157" s="45"/>
      <c r="CY157" s="45"/>
      <c r="CZ157" s="45"/>
      <c r="DA157" s="45"/>
      <c r="DB157" s="45"/>
      <c r="DC157" s="45"/>
      <c r="DD157" s="45"/>
      <c r="DE157" s="45"/>
      <c r="DF157" s="45"/>
      <c r="DG157" s="45"/>
      <c r="DH157" s="45"/>
      <c r="DI157" s="45"/>
      <c r="DJ157" s="45"/>
      <c r="DK157" s="45"/>
      <c r="DL157" s="45"/>
      <c r="DM157" s="45"/>
      <c r="DN157" s="45"/>
      <c r="DO157" s="45"/>
      <c r="DP157" s="45"/>
      <c r="DQ157" s="45"/>
      <c r="DR157" s="45"/>
      <c r="DS157" s="45"/>
      <c r="DT157" s="45"/>
      <c r="DU157" s="45"/>
      <c r="DV157" s="45"/>
      <c r="DW157" s="45"/>
      <c r="DX157" s="45"/>
      <c r="DY157" s="45"/>
      <c r="DZ157" s="45"/>
      <c r="EA157" s="45"/>
      <c r="EB157" s="45"/>
      <c r="EC157" s="45"/>
      <c r="ED157" s="45"/>
      <c r="EE157" s="45"/>
      <c r="EF157" s="45"/>
      <c r="EG157" s="45"/>
      <c r="EH157" s="45"/>
      <c r="EI157" s="45"/>
      <c r="EJ157" s="45"/>
      <c r="EK157" s="45"/>
      <c r="EL157" s="45"/>
      <c r="EM157" s="45"/>
    </row>
    <row r="158" spans="1:143" s="50" customFormat="1" ht="16" hidden="1" customHeight="1" x14ac:dyDescent="0.25">
      <c r="A158" s="32"/>
      <c r="B158" s="202"/>
      <c r="C158" s="81"/>
      <c r="D158" s="95"/>
      <c r="E158" s="39"/>
      <c r="F158" s="65"/>
      <c r="G158" s="65"/>
      <c r="H158" s="65"/>
      <c r="I158" s="66"/>
      <c r="J158" s="66"/>
      <c r="K158" s="65"/>
      <c r="L158" s="65"/>
      <c r="M158" s="355"/>
      <c r="N158" s="355"/>
      <c r="O158" s="355"/>
      <c r="P158" s="355"/>
      <c r="Q158" s="355"/>
      <c r="R158" s="355"/>
      <c r="S158" s="355"/>
      <c r="T158" s="355"/>
      <c r="U158" s="355"/>
      <c r="V158" s="355"/>
      <c r="W158" s="355"/>
      <c r="X158" s="355"/>
      <c r="Y158" s="355"/>
      <c r="Z158" s="355"/>
      <c r="AA158" s="355"/>
      <c r="AB158" s="355"/>
      <c r="AC158" s="355"/>
      <c r="AD158" s="355"/>
      <c r="AE158" s="355"/>
      <c r="AF158" s="355"/>
      <c r="AG158" s="355"/>
      <c r="AH158" s="355"/>
      <c r="AI158" s="355"/>
      <c r="AJ158" s="355"/>
      <c r="AK158" s="355"/>
      <c r="AL158" s="355"/>
      <c r="AM158" s="355"/>
      <c r="AN158" s="355"/>
      <c r="AO158" s="355"/>
      <c r="AP158" s="355"/>
      <c r="AQ158" s="355"/>
      <c r="AR158" s="355"/>
      <c r="AS158" s="355"/>
      <c r="AT158" s="355"/>
      <c r="AU158" s="355"/>
      <c r="AV158" s="355"/>
      <c r="AW158" s="355"/>
      <c r="AX158" s="355"/>
      <c r="AY158" s="355"/>
      <c r="AZ158" s="355"/>
      <c r="BA158" s="355"/>
      <c r="BB158" s="355"/>
      <c r="BC158" s="355"/>
      <c r="BD158" s="355"/>
      <c r="BE158" s="355"/>
      <c r="BF158" s="355"/>
      <c r="BG158" s="355"/>
      <c r="BH158" s="355"/>
      <c r="BI158" s="355"/>
      <c r="BJ158" s="355"/>
      <c r="BK158" s="355"/>
      <c r="BL158" s="355"/>
      <c r="BM158" s="118"/>
      <c r="BN158" s="68"/>
      <c r="BO158" s="68"/>
      <c r="BP158" s="68"/>
      <c r="BQ158" s="68"/>
      <c r="BR158" s="200"/>
      <c r="BS158" s="32"/>
      <c r="BT158" s="200"/>
      <c r="BU158" s="200"/>
      <c r="BV158" s="32"/>
      <c r="BW158" s="188"/>
      <c r="BX158" s="189"/>
      <c r="BY158" s="190"/>
      <c r="BZ158" s="191"/>
      <c r="CA158" s="192"/>
      <c r="CB158" s="191"/>
      <c r="CC158" s="18"/>
      <c r="CD158" s="10"/>
      <c r="CE158" s="30"/>
      <c r="CF158" s="194"/>
      <c r="CG158" s="30"/>
      <c r="CH158" s="194"/>
      <c r="CI158" s="306"/>
      <c r="CJ158" s="194"/>
      <c r="CL158" s="45"/>
      <c r="CM158" s="45"/>
      <c r="CN158" s="45"/>
      <c r="CO158" s="45"/>
      <c r="CP158" s="45"/>
      <c r="CQ158" s="45"/>
      <c r="CR158" s="45"/>
      <c r="CS158" s="45"/>
      <c r="CT158" s="45"/>
      <c r="CU158" s="45"/>
      <c r="CV158" s="45"/>
      <c r="CW158" s="45"/>
      <c r="CX158" s="45"/>
      <c r="CY158" s="45"/>
      <c r="CZ158" s="45"/>
      <c r="DA158" s="45"/>
      <c r="DB158" s="45"/>
      <c r="DC158" s="45"/>
      <c r="DD158" s="45"/>
      <c r="DE158" s="45"/>
      <c r="DF158" s="45"/>
      <c r="DG158" s="45"/>
      <c r="DH158" s="45"/>
      <c r="DI158" s="45"/>
      <c r="DJ158" s="45"/>
      <c r="DK158" s="45"/>
      <c r="DL158" s="45"/>
      <c r="DM158" s="45"/>
      <c r="DN158" s="45"/>
      <c r="DO158" s="45"/>
      <c r="DP158" s="45"/>
      <c r="DQ158" s="45"/>
      <c r="DR158" s="45"/>
      <c r="DS158" s="45"/>
      <c r="DT158" s="45"/>
      <c r="DU158" s="45"/>
      <c r="DV158" s="45"/>
      <c r="DW158" s="45"/>
      <c r="DX158" s="45"/>
      <c r="DY158" s="45"/>
      <c r="DZ158" s="45"/>
      <c r="EA158" s="45"/>
      <c r="EB158" s="45"/>
      <c r="EC158" s="45"/>
      <c r="ED158" s="45"/>
      <c r="EE158" s="45"/>
      <c r="EF158" s="45"/>
      <c r="EG158" s="45"/>
      <c r="EH158" s="45"/>
      <c r="EI158" s="45"/>
      <c r="EJ158" s="45"/>
      <c r="EK158" s="45"/>
      <c r="EL158" s="45"/>
      <c r="EM158" s="45"/>
    </row>
    <row r="159" spans="1:143" s="50" customFormat="1" ht="16" hidden="1" customHeight="1" x14ac:dyDescent="0.25">
      <c r="A159" s="32"/>
      <c r="B159" s="202"/>
      <c r="C159" s="81" t="s">
        <v>50</v>
      </c>
      <c r="D159" s="95" t="s">
        <v>72</v>
      </c>
      <c r="E159" s="36" t="s">
        <v>18</v>
      </c>
      <c r="F159" s="65"/>
      <c r="G159" s="65"/>
      <c r="H159" s="65"/>
      <c r="I159" s="66"/>
      <c r="J159" s="66"/>
      <c r="K159" s="65"/>
      <c r="L159" s="65"/>
      <c r="M159" s="349"/>
      <c r="N159" s="349"/>
      <c r="O159" s="349"/>
      <c r="P159" s="349"/>
      <c r="Q159" s="349"/>
      <c r="R159" s="349"/>
      <c r="S159" s="349"/>
      <c r="T159" s="349"/>
      <c r="U159" s="349"/>
      <c r="V159" s="349"/>
      <c r="W159" s="349"/>
      <c r="X159" s="349"/>
      <c r="Y159" s="349"/>
      <c r="Z159" s="349"/>
      <c r="AA159" s="349"/>
      <c r="AB159" s="349"/>
      <c r="AC159" s="349"/>
      <c r="AD159" s="349"/>
      <c r="AE159" s="349"/>
      <c r="AF159" s="349"/>
      <c r="AG159" s="349"/>
      <c r="AH159" s="349"/>
      <c r="AI159" s="349"/>
      <c r="AJ159" s="349"/>
      <c r="AK159" s="349"/>
      <c r="AL159" s="349"/>
      <c r="AM159" s="349"/>
      <c r="AN159" s="349"/>
      <c r="AO159" s="349"/>
      <c r="AP159" s="349"/>
      <c r="AQ159" s="349"/>
      <c r="AR159" s="349"/>
      <c r="AS159" s="349"/>
      <c r="AT159" s="349"/>
      <c r="AU159" s="349"/>
      <c r="AV159" s="349"/>
      <c r="AW159" s="349"/>
      <c r="AX159" s="349"/>
      <c r="AY159" s="349"/>
      <c r="AZ159" s="349"/>
      <c r="BA159" s="349"/>
      <c r="BB159" s="349"/>
      <c r="BC159" s="349"/>
      <c r="BD159" s="349"/>
      <c r="BE159" s="349"/>
      <c r="BF159" s="349"/>
      <c r="BG159" s="349"/>
      <c r="BH159" s="349"/>
      <c r="BI159" s="349"/>
      <c r="BJ159" s="349"/>
      <c r="BK159" s="349"/>
      <c r="BL159" s="349"/>
      <c r="BM159" s="175" t="e">
        <f>SUM(#REF!)</f>
        <v>#REF!</v>
      </c>
      <c r="BN159" s="22">
        <v>157.89473684210526</v>
      </c>
      <c r="BO159" s="83">
        <v>0</v>
      </c>
      <c r="BP159" s="22">
        <f>BN159*(1-BO159)</f>
        <v>157.89473684210526</v>
      </c>
      <c r="BQ159" s="22">
        <v>12000</v>
      </c>
      <c r="BR159" s="84">
        <f>BP159*0.8</f>
        <v>126.31578947368422</v>
      </c>
      <c r="BS159" s="32"/>
      <c r="BT159" s="84">
        <f>BQ159*0.8</f>
        <v>9600</v>
      </c>
      <c r="BU159" s="84"/>
      <c r="BV159" s="32"/>
      <c r="BW159" s="99">
        <f>BX159/CA159*100</f>
        <v>5.2780147214226956</v>
      </c>
      <c r="BX159" s="122">
        <v>8331</v>
      </c>
      <c r="BY159" s="123" t="e">
        <f>BW159*BM159</f>
        <v>#REF!</v>
      </c>
      <c r="BZ159" s="90">
        <v>320820</v>
      </c>
      <c r="CA159" s="89">
        <v>157843.44</v>
      </c>
      <c r="CB159" s="90" t="e">
        <f>CA159*BY159%</f>
        <v>#REF!</v>
      </c>
      <c r="CC159" s="21" t="e">
        <f>BT159/CB159*1000</f>
        <v>#REF!</v>
      </c>
      <c r="CD159" s="10"/>
      <c r="CE159" s="30" t="str">
        <f>C159</f>
        <v>NATIVA FM</v>
      </c>
      <c r="CF159" s="194"/>
      <c r="CG159" s="30" t="e">
        <f>SUM(#REF!)</f>
        <v>#REF!</v>
      </c>
      <c r="CH159" s="194">
        <f>BV159/2</f>
        <v>0</v>
      </c>
      <c r="CI159" s="306" t="e">
        <f>SUM(#REF!)</f>
        <v>#REF!</v>
      </c>
      <c r="CJ159" s="194">
        <f>BX159/2</f>
        <v>4165.5</v>
      </c>
      <c r="CL159" s="45"/>
      <c r="CM159" s="45"/>
      <c r="CN159" s="45"/>
      <c r="CO159" s="45"/>
      <c r="CP159" s="45"/>
      <c r="CQ159" s="45"/>
      <c r="CR159" s="45"/>
      <c r="CS159" s="45"/>
      <c r="CT159" s="45"/>
      <c r="CU159" s="45"/>
      <c r="CV159" s="45"/>
      <c r="CW159" s="45"/>
      <c r="CX159" s="45"/>
      <c r="CY159" s="45"/>
      <c r="CZ159" s="45"/>
      <c r="DA159" s="45"/>
      <c r="DB159" s="45"/>
      <c r="DC159" s="45"/>
      <c r="DD159" s="45"/>
      <c r="DE159" s="45"/>
      <c r="DF159" s="45"/>
      <c r="DG159" s="45"/>
      <c r="DH159" s="45"/>
      <c r="DI159" s="45"/>
      <c r="DJ159" s="45"/>
      <c r="DK159" s="45"/>
      <c r="DL159" s="45"/>
      <c r="DM159" s="45"/>
      <c r="DN159" s="45"/>
      <c r="DO159" s="45"/>
      <c r="DP159" s="45"/>
      <c r="DQ159" s="45"/>
      <c r="DR159" s="45"/>
      <c r="DS159" s="45"/>
      <c r="DT159" s="45"/>
      <c r="DU159" s="45"/>
      <c r="DV159" s="45"/>
      <c r="DW159" s="45"/>
      <c r="DX159" s="45"/>
      <c r="DY159" s="45"/>
      <c r="DZ159" s="45"/>
      <c r="EA159" s="45"/>
      <c r="EB159" s="45"/>
      <c r="EC159" s="45"/>
      <c r="ED159" s="45"/>
      <c r="EE159" s="45"/>
      <c r="EF159" s="45"/>
      <c r="EG159" s="45"/>
      <c r="EH159" s="45"/>
      <c r="EI159" s="45"/>
      <c r="EJ159" s="45"/>
      <c r="EK159" s="45"/>
      <c r="EL159" s="45"/>
      <c r="EM159" s="45"/>
    </row>
    <row r="160" spans="1:143" s="50" customFormat="1" ht="16" hidden="1" customHeight="1" x14ac:dyDescent="0.25">
      <c r="A160" s="32"/>
      <c r="B160" s="202"/>
      <c r="C160" s="116" t="s">
        <v>98</v>
      </c>
      <c r="D160" s="42"/>
      <c r="E160" s="117"/>
      <c r="F160" s="65"/>
      <c r="G160" s="65"/>
      <c r="H160" s="65"/>
      <c r="I160" s="66"/>
      <c r="J160" s="66"/>
      <c r="K160" s="65"/>
      <c r="L160" s="65"/>
      <c r="M160" s="356"/>
      <c r="N160" s="356"/>
      <c r="O160" s="356"/>
      <c r="P160" s="356"/>
      <c r="Q160" s="356"/>
      <c r="R160" s="356"/>
      <c r="S160" s="356"/>
      <c r="T160" s="356"/>
      <c r="U160" s="356"/>
      <c r="V160" s="356"/>
      <c r="W160" s="356"/>
      <c r="X160" s="356"/>
      <c r="Y160" s="356"/>
      <c r="Z160" s="356"/>
      <c r="AA160" s="356"/>
      <c r="AB160" s="356"/>
      <c r="AC160" s="356"/>
      <c r="AD160" s="356"/>
      <c r="AE160" s="356"/>
      <c r="AF160" s="356"/>
      <c r="AG160" s="356"/>
      <c r="AH160" s="356"/>
      <c r="AI160" s="356"/>
      <c r="AJ160" s="356"/>
      <c r="AK160" s="356"/>
      <c r="AL160" s="356"/>
      <c r="AM160" s="356"/>
      <c r="AN160" s="356"/>
      <c r="AO160" s="356"/>
      <c r="AP160" s="356"/>
      <c r="AQ160" s="356"/>
      <c r="AR160" s="356"/>
      <c r="AS160" s="356"/>
      <c r="AT160" s="356"/>
      <c r="AU160" s="356"/>
      <c r="AV160" s="356"/>
      <c r="AW160" s="356"/>
      <c r="AX160" s="356"/>
      <c r="AY160" s="356"/>
      <c r="AZ160" s="356"/>
      <c r="BA160" s="356"/>
      <c r="BB160" s="356"/>
      <c r="BC160" s="356"/>
      <c r="BD160" s="356"/>
      <c r="BE160" s="356"/>
      <c r="BF160" s="356"/>
      <c r="BG160" s="356"/>
      <c r="BH160" s="356"/>
      <c r="BI160" s="356"/>
      <c r="BJ160" s="356"/>
      <c r="BK160" s="356"/>
      <c r="BL160" s="356"/>
      <c r="BM160" s="203"/>
      <c r="BN160" s="22"/>
      <c r="BO160" s="22"/>
      <c r="BP160" s="22"/>
      <c r="BQ160" s="22"/>
      <c r="BR160" s="22"/>
      <c r="BS160" s="32"/>
      <c r="BT160" s="22"/>
      <c r="BU160" s="22"/>
      <c r="BV160" s="32"/>
      <c r="BW160" s="121"/>
      <c r="BX160" s="122"/>
      <c r="BY160" s="123"/>
      <c r="BZ160" s="90"/>
      <c r="CA160" s="89"/>
      <c r="CB160" s="90"/>
      <c r="CC160" s="114"/>
      <c r="CD160" s="10"/>
      <c r="CE160" s="30"/>
      <c r="CF160" s="194"/>
      <c r="CG160" s="30"/>
      <c r="CH160" s="194"/>
      <c r="CI160" s="306"/>
      <c r="CJ160" s="194"/>
      <c r="CL160" s="45"/>
      <c r="CM160" s="45"/>
      <c r="CN160" s="45"/>
      <c r="CO160" s="45"/>
      <c r="CP160" s="45"/>
      <c r="CQ160" s="45"/>
      <c r="CR160" s="45"/>
      <c r="CS160" s="45"/>
      <c r="CT160" s="45"/>
      <c r="CU160" s="45"/>
      <c r="CV160" s="45"/>
      <c r="CW160" s="45"/>
      <c r="CX160" s="45"/>
      <c r="CY160" s="45"/>
      <c r="CZ160" s="45"/>
      <c r="DA160" s="45"/>
      <c r="DB160" s="45"/>
      <c r="DC160" s="45"/>
      <c r="DD160" s="45"/>
      <c r="DE160" s="45"/>
      <c r="DF160" s="45"/>
      <c r="DG160" s="45"/>
      <c r="DH160" s="45"/>
      <c r="DI160" s="45"/>
      <c r="DJ160" s="45"/>
      <c r="DK160" s="45"/>
      <c r="DL160" s="45"/>
      <c r="DM160" s="45"/>
      <c r="DN160" s="45"/>
      <c r="DO160" s="45"/>
      <c r="DP160" s="45"/>
      <c r="DQ160" s="45"/>
      <c r="DR160" s="45"/>
      <c r="DS160" s="45"/>
      <c r="DT160" s="45"/>
      <c r="DU160" s="45"/>
      <c r="DV160" s="45"/>
      <c r="DW160" s="45"/>
      <c r="DX160" s="45"/>
      <c r="DY160" s="45"/>
      <c r="DZ160" s="45"/>
      <c r="EA160" s="45"/>
      <c r="EB160" s="45"/>
      <c r="EC160" s="45"/>
      <c r="ED160" s="45"/>
      <c r="EE160" s="45"/>
      <c r="EF160" s="45"/>
      <c r="EG160" s="45"/>
      <c r="EH160" s="45"/>
      <c r="EI160" s="45"/>
      <c r="EJ160" s="45"/>
      <c r="EK160" s="45"/>
      <c r="EL160" s="45"/>
      <c r="EM160" s="45"/>
    </row>
    <row r="161" spans="1:143" s="50" customFormat="1" ht="16" hidden="1" customHeight="1" x14ac:dyDescent="0.25">
      <c r="A161" s="32"/>
      <c r="B161" s="202"/>
      <c r="C161" s="81"/>
      <c r="D161" s="95"/>
      <c r="E161" s="39"/>
      <c r="F161" s="65"/>
      <c r="G161" s="65"/>
      <c r="H161" s="65"/>
      <c r="I161" s="66"/>
      <c r="J161" s="66"/>
      <c r="K161" s="65"/>
      <c r="L161" s="65"/>
      <c r="M161" s="355"/>
      <c r="N161" s="355"/>
      <c r="O161" s="355"/>
      <c r="P161" s="355"/>
      <c r="Q161" s="355"/>
      <c r="R161" s="355"/>
      <c r="S161" s="355"/>
      <c r="T161" s="355"/>
      <c r="U161" s="355"/>
      <c r="V161" s="355"/>
      <c r="W161" s="355"/>
      <c r="X161" s="355"/>
      <c r="Y161" s="355"/>
      <c r="Z161" s="355"/>
      <c r="AA161" s="355"/>
      <c r="AB161" s="355"/>
      <c r="AC161" s="355"/>
      <c r="AD161" s="355"/>
      <c r="AE161" s="355"/>
      <c r="AF161" s="355"/>
      <c r="AG161" s="355"/>
      <c r="AH161" s="355"/>
      <c r="AI161" s="355"/>
      <c r="AJ161" s="355"/>
      <c r="AK161" s="355"/>
      <c r="AL161" s="355"/>
      <c r="AM161" s="355"/>
      <c r="AN161" s="355"/>
      <c r="AO161" s="355"/>
      <c r="AP161" s="355"/>
      <c r="AQ161" s="355"/>
      <c r="AR161" s="355"/>
      <c r="AS161" s="355"/>
      <c r="AT161" s="355"/>
      <c r="AU161" s="355"/>
      <c r="AV161" s="355"/>
      <c r="AW161" s="355"/>
      <c r="AX161" s="355"/>
      <c r="AY161" s="355"/>
      <c r="AZ161" s="355"/>
      <c r="BA161" s="355"/>
      <c r="BB161" s="355"/>
      <c r="BC161" s="355"/>
      <c r="BD161" s="355"/>
      <c r="BE161" s="355"/>
      <c r="BF161" s="355"/>
      <c r="BG161" s="355"/>
      <c r="BH161" s="355"/>
      <c r="BI161" s="355"/>
      <c r="BJ161" s="355"/>
      <c r="BK161" s="355"/>
      <c r="BL161" s="355"/>
      <c r="BM161" s="118"/>
      <c r="BN161" s="68"/>
      <c r="BO161" s="68"/>
      <c r="BP161" s="68"/>
      <c r="BQ161" s="68"/>
      <c r="BR161" s="200"/>
      <c r="BS161" s="32"/>
      <c r="BT161" s="200"/>
      <c r="BU161" s="200"/>
      <c r="BV161" s="32"/>
      <c r="BW161" s="188"/>
      <c r="BX161" s="189"/>
      <c r="BY161" s="190"/>
      <c r="BZ161" s="191"/>
      <c r="CA161" s="192"/>
      <c r="CB161" s="191"/>
      <c r="CC161" s="18"/>
      <c r="CD161" s="10"/>
      <c r="CE161" s="30"/>
      <c r="CF161" s="194"/>
      <c r="CG161" s="30"/>
      <c r="CH161" s="194"/>
      <c r="CI161" s="306"/>
      <c r="CJ161" s="194"/>
      <c r="CL161" s="45"/>
      <c r="CM161" s="45"/>
      <c r="CN161" s="45"/>
      <c r="CO161" s="45"/>
      <c r="CP161" s="45"/>
      <c r="CQ161" s="45"/>
      <c r="CR161" s="45"/>
      <c r="CS161" s="45"/>
      <c r="CT161" s="45"/>
      <c r="CU161" s="45"/>
      <c r="CV161" s="45"/>
      <c r="CW161" s="45"/>
      <c r="CX161" s="45"/>
      <c r="CY161" s="45"/>
      <c r="CZ161" s="45"/>
      <c r="DA161" s="45"/>
      <c r="DB161" s="45"/>
      <c r="DC161" s="45"/>
      <c r="DD161" s="45"/>
      <c r="DE161" s="45"/>
      <c r="DF161" s="45"/>
      <c r="DG161" s="45"/>
      <c r="DH161" s="45"/>
      <c r="DI161" s="45"/>
      <c r="DJ161" s="45"/>
      <c r="DK161" s="45"/>
      <c r="DL161" s="45"/>
      <c r="DM161" s="45"/>
      <c r="DN161" s="45"/>
      <c r="DO161" s="45"/>
      <c r="DP161" s="45"/>
      <c r="DQ161" s="45"/>
      <c r="DR161" s="45"/>
      <c r="DS161" s="45"/>
      <c r="DT161" s="45"/>
      <c r="DU161" s="45"/>
      <c r="DV161" s="45"/>
      <c r="DW161" s="45"/>
      <c r="DX161" s="45"/>
      <c r="DY161" s="45"/>
      <c r="DZ161" s="45"/>
      <c r="EA161" s="45"/>
      <c r="EB161" s="45"/>
      <c r="EC161" s="45"/>
      <c r="ED161" s="45"/>
      <c r="EE161" s="45"/>
      <c r="EF161" s="45"/>
      <c r="EG161" s="45"/>
      <c r="EH161" s="45"/>
      <c r="EI161" s="45"/>
      <c r="EJ161" s="45"/>
      <c r="EK161" s="45"/>
      <c r="EL161" s="45"/>
      <c r="EM161" s="45"/>
    </row>
    <row r="162" spans="1:143" s="50" customFormat="1" ht="16" hidden="1" customHeight="1" x14ac:dyDescent="0.25">
      <c r="A162" s="32"/>
      <c r="B162" s="202"/>
      <c r="C162" s="81" t="s">
        <v>100</v>
      </c>
      <c r="D162" s="95" t="s">
        <v>72</v>
      </c>
      <c r="E162" s="36" t="s">
        <v>18</v>
      </c>
      <c r="F162" s="65"/>
      <c r="G162" s="65"/>
      <c r="H162" s="65"/>
      <c r="I162" s="66"/>
      <c r="J162" s="66"/>
      <c r="K162" s="65"/>
      <c r="L162" s="65"/>
      <c r="M162" s="349"/>
      <c r="N162" s="349"/>
      <c r="O162" s="349"/>
      <c r="P162" s="349"/>
      <c r="Q162" s="349"/>
      <c r="R162" s="349"/>
      <c r="S162" s="349"/>
      <c r="T162" s="349"/>
      <c r="U162" s="349"/>
      <c r="V162" s="349"/>
      <c r="W162" s="349"/>
      <c r="X162" s="349"/>
      <c r="Y162" s="349"/>
      <c r="Z162" s="349"/>
      <c r="AA162" s="349"/>
      <c r="AB162" s="349"/>
      <c r="AC162" s="349"/>
      <c r="AD162" s="349"/>
      <c r="AE162" s="349"/>
      <c r="AF162" s="349"/>
      <c r="AG162" s="349"/>
      <c r="AH162" s="349"/>
      <c r="AI162" s="349"/>
      <c r="AJ162" s="349"/>
      <c r="AK162" s="349"/>
      <c r="AL162" s="349"/>
      <c r="AM162" s="349"/>
      <c r="AN162" s="349"/>
      <c r="AO162" s="349"/>
      <c r="AP162" s="349"/>
      <c r="AQ162" s="349"/>
      <c r="AR162" s="349"/>
      <c r="AS162" s="349"/>
      <c r="AT162" s="349"/>
      <c r="AU162" s="349"/>
      <c r="AV162" s="349"/>
      <c r="AW162" s="349"/>
      <c r="AX162" s="349"/>
      <c r="AY162" s="349"/>
      <c r="AZ162" s="349"/>
      <c r="BA162" s="349"/>
      <c r="BB162" s="349"/>
      <c r="BC162" s="349"/>
      <c r="BD162" s="349"/>
      <c r="BE162" s="349"/>
      <c r="BF162" s="349"/>
      <c r="BG162" s="349"/>
      <c r="BH162" s="349"/>
      <c r="BI162" s="349"/>
      <c r="BJ162" s="349"/>
      <c r="BK162" s="349"/>
      <c r="BL162" s="349"/>
      <c r="BM162" s="175" t="e">
        <f>SUM(#REF!)</f>
        <v>#REF!</v>
      </c>
      <c r="BN162" s="22">
        <v>255</v>
      </c>
      <c r="BO162" s="83">
        <f>(BN162-BP162)/BN162</f>
        <v>0.4</v>
      </c>
      <c r="BP162" s="22">
        <v>153</v>
      </c>
      <c r="BQ162" s="22" t="e">
        <f>BP162*BM162</f>
        <v>#REF!</v>
      </c>
      <c r="BR162" s="84">
        <f>BP162*0.8</f>
        <v>122.4</v>
      </c>
      <c r="BS162" s="32"/>
      <c r="BT162" s="84" t="e">
        <f>BQ162*0.8</f>
        <v>#REF!</v>
      </c>
      <c r="BU162" s="84"/>
      <c r="BV162" s="32"/>
      <c r="BW162" s="99">
        <f>BX162/CA162*100</f>
        <v>7.6189419085139045</v>
      </c>
      <c r="BX162" s="122">
        <v>12026</v>
      </c>
      <c r="BY162" s="123" t="e">
        <f>BW162*BM162</f>
        <v>#REF!</v>
      </c>
      <c r="BZ162" s="90">
        <v>320820</v>
      </c>
      <c r="CA162" s="89">
        <v>157843.44</v>
      </c>
      <c r="CB162" s="90" t="e">
        <f>CA162*BY162%</f>
        <v>#REF!</v>
      </c>
      <c r="CC162" s="21" t="e">
        <f>BT162/CB162*1000</f>
        <v>#REF!</v>
      </c>
      <c r="CD162" s="10"/>
      <c r="CE162" s="30" t="str">
        <f>C162</f>
        <v>ÓTIMA FM</v>
      </c>
      <c r="CF162" s="194"/>
      <c r="CG162" s="30" t="e">
        <f>SUM(#REF!)</f>
        <v>#REF!</v>
      </c>
      <c r="CH162" s="194" t="e">
        <f>#REF!*CG162</f>
        <v>#REF!</v>
      </c>
      <c r="CI162" s="306" t="e">
        <f>SUM(#REF!)</f>
        <v>#REF!</v>
      </c>
      <c r="CJ162" s="194" t="e">
        <f>#REF!*CI162</f>
        <v>#REF!</v>
      </c>
      <c r="CL162" s="45"/>
      <c r="CM162" s="45"/>
      <c r="CN162" s="45"/>
      <c r="CO162" s="45"/>
      <c r="CP162" s="45"/>
      <c r="CQ162" s="45"/>
      <c r="CR162" s="45"/>
      <c r="CS162" s="45"/>
      <c r="CT162" s="45"/>
      <c r="CU162" s="45"/>
      <c r="CV162" s="45"/>
      <c r="CW162" s="45"/>
      <c r="CX162" s="45"/>
      <c r="CY162" s="45"/>
      <c r="CZ162" s="45"/>
      <c r="DA162" s="45"/>
      <c r="DB162" s="45"/>
      <c r="DC162" s="45"/>
      <c r="DD162" s="45"/>
      <c r="DE162" s="45"/>
      <c r="DF162" s="45"/>
      <c r="DG162" s="45"/>
      <c r="DH162" s="45"/>
      <c r="DI162" s="45"/>
      <c r="DJ162" s="45"/>
      <c r="DK162" s="45"/>
      <c r="DL162" s="45"/>
      <c r="DM162" s="45"/>
      <c r="DN162" s="45"/>
      <c r="DO162" s="45"/>
      <c r="DP162" s="45"/>
      <c r="DQ162" s="45"/>
      <c r="DR162" s="45"/>
      <c r="DS162" s="45"/>
      <c r="DT162" s="45"/>
      <c r="DU162" s="45"/>
      <c r="DV162" s="45"/>
      <c r="DW162" s="45"/>
      <c r="DX162" s="45"/>
      <c r="DY162" s="45"/>
      <c r="DZ162" s="45"/>
      <c r="EA162" s="45"/>
      <c r="EB162" s="45"/>
      <c r="EC162" s="45"/>
      <c r="ED162" s="45"/>
      <c r="EE162" s="45"/>
      <c r="EF162" s="45"/>
      <c r="EG162" s="45"/>
      <c r="EH162" s="45"/>
      <c r="EI162" s="45"/>
      <c r="EJ162" s="45"/>
      <c r="EK162" s="45"/>
      <c r="EL162" s="45"/>
      <c r="EM162" s="45"/>
    </row>
    <row r="163" spans="1:143" s="50" customFormat="1" ht="16" hidden="1" customHeight="1" x14ac:dyDescent="0.25">
      <c r="A163" s="32"/>
      <c r="B163" s="202"/>
      <c r="C163" s="116" t="s">
        <v>98</v>
      </c>
      <c r="D163" s="42"/>
      <c r="E163" s="117"/>
      <c r="F163" s="65"/>
      <c r="G163" s="65"/>
      <c r="H163" s="65"/>
      <c r="I163" s="66"/>
      <c r="J163" s="66"/>
      <c r="K163" s="65"/>
      <c r="L163" s="65"/>
      <c r="M163" s="356"/>
      <c r="N163" s="356"/>
      <c r="O163" s="356"/>
      <c r="P163" s="356"/>
      <c r="Q163" s="356"/>
      <c r="R163" s="356"/>
      <c r="S163" s="356"/>
      <c r="T163" s="356"/>
      <c r="U163" s="356"/>
      <c r="V163" s="356"/>
      <c r="W163" s="356"/>
      <c r="X163" s="356"/>
      <c r="Y163" s="356"/>
      <c r="Z163" s="356"/>
      <c r="AA163" s="356"/>
      <c r="AB163" s="356"/>
      <c r="AC163" s="356"/>
      <c r="AD163" s="356"/>
      <c r="AE163" s="356"/>
      <c r="AF163" s="356"/>
      <c r="AG163" s="356"/>
      <c r="AH163" s="356"/>
      <c r="AI163" s="356"/>
      <c r="AJ163" s="356"/>
      <c r="AK163" s="356"/>
      <c r="AL163" s="356"/>
      <c r="AM163" s="356"/>
      <c r="AN163" s="356"/>
      <c r="AO163" s="356"/>
      <c r="AP163" s="356"/>
      <c r="AQ163" s="356"/>
      <c r="AR163" s="356"/>
      <c r="AS163" s="356"/>
      <c r="AT163" s="356"/>
      <c r="AU163" s="356"/>
      <c r="AV163" s="356"/>
      <c r="AW163" s="356"/>
      <c r="AX163" s="356"/>
      <c r="AY163" s="356"/>
      <c r="AZ163" s="356"/>
      <c r="BA163" s="356"/>
      <c r="BB163" s="356"/>
      <c r="BC163" s="356"/>
      <c r="BD163" s="356"/>
      <c r="BE163" s="356"/>
      <c r="BF163" s="356"/>
      <c r="BG163" s="356"/>
      <c r="BH163" s="356"/>
      <c r="BI163" s="356"/>
      <c r="BJ163" s="356"/>
      <c r="BK163" s="356"/>
      <c r="BL163" s="356"/>
      <c r="BM163" s="203"/>
      <c r="BN163" s="22"/>
      <c r="BO163" s="22"/>
      <c r="BP163" s="22"/>
      <c r="BQ163" s="22"/>
      <c r="BR163" s="22"/>
      <c r="BS163" s="32"/>
      <c r="BT163" s="22"/>
      <c r="BU163" s="22"/>
      <c r="BV163" s="32"/>
      <c r="BW163" s="121"/>
      <c r="BX163" s="122"/>
      <c r="BY163" s="123"/>
      <c r="BZ163" s="90"/>
      <c r="CA163" s="89"/>
      <c r="CB163" s="90"/>
      <c r="CC163" s="114"/>
      <c r="CD163" s="10"/>
      <c r="CE163" s="30"/>
      <c r="CF163" s="194"/>
      <c r="CG163" s="30"/>
      <c r="CH163" s="194"/>
      <c r="CI163" s="306"/>
      <c r="CJ163" s="194"/>
      <c r="CL163" s="45"/>
      <c r="CM163" s="45"/>
      <c r="CN163" s="45"/>
      <c r="CO163" s="45"/>
      <c r="CP163" s="45"/>
      <c r="CQ163" s="45"/>
      <c r="CR163" s="45"/>
      <c r="CS163" s="45"/>
      <c r="CT163" s="45"/>
      <c r="CU163" s="45"/>
      <c r="CV163" s="45"/>
      <c r="CW163" s="45"/>
      <c r="CX163" s="45"/>
      <c r="CY163" s="45"/>
      <c r="CZ163" s="45"/>
      <c r="DA163" s="45"/>
      <c r="DB163" s="45"/>
      <c r="DC163" s="45"/>
      <c r="DD163" s="45"/>
      <c r="DE163" s="45"/>
      <c r="DF163" s="45"/>
      <c r="DG163" s="45"/>
      <c r="DH163" s="45"/>
      <c r="DI163" s="45"/>
      <c r="DJ163" s="45"/>
      <c r="DK163" s="45"/>
      <c r="DL163" s="45"/>
      <c r="DM163" s="45"/>
      <c r="DN163" s="45"/>
      <c r="DO163" s="45"/>
      <c r="DP163" s="45"/>
      <c r="DQ163" s="45"/>
      <c r="DR163" s="45"/>
      <c r="DS163" s="45"/>
      <c r="DT163" s="45"/>
      <c r="DU163" s="45"/>
      <c r="DV163" s="45"/>
      <c r="DW163" s="45"/>
      <c r="DX163" s="45"/>
      <c r="DY163" s="45"/>
      <c r="DZ163" s="45"/>
      <c r="EA163" s="45"/>
      <c r="EB163" s="45"/>
      <c r="EC163" s="45"/>
      <c r="ED163" s="45"/>
      <c r="EE163" s="45"/>
      <c r="EF163" s="45"/>
      <c r="EG163" s="45"/>
      <c r="EH163" s="45"/>
      <c r="EI163" s="45"/>
      <c r="EJ163" s="45"/>
      <c r="EK163" s="45"/>
      <c r="EL163" s="45"/>
      <c r="EM163" s="45"/>
    </row>
    <row r="164" spans="1:143" s="50" customFormat="1" ht="16" hidden="1" customHeight="1" x14ac:dyDescent="0.25">
      <c r="A164" s="32"/>
      <c r="B164" s="202"/>
      <c r="C164" s="81"/>
      <c r="D164" s="95"/>
      <c r="E164" s="39"/>
      <c r="F164" s="65"/>
      <c r="G164" s="65"/>
      <c r="H164" s="65"/>
      <c r="I164" s="66"/>
      <c r="J164" s="66"/>
      <c r="K164" s="65"/>
      <c r="L164" s="65"/>
      <c r="M164" s="355"/>
      <c r="N164" s="355"/>
      <c r="O164" s="355"/>
      <c r="P164" s="355"/>
      <c r="Q164" s="355"/>
      <c r="R164" s="355"/>
      <c r="S164" s="355"/>
      <c r="T164" s="355"/>
      <c r="U164" s="355"/>
      <c r="V164" s="355"/>
      <c r="W164" s="355"/>
      <c r="X164" s="355"/>
      <c r="Y164" s="355"/>
      <c r="Z164" s="355"/>
      <c r="AA164" s="355"/>
      <c r="AB164" s="355"/>
      <c r="AC164" s="355"/>
      <c r="AD164" s="355"/>
      <c r="AE164" s="355"/>
      <c r="AF164" s="355"/>
      <c r="AG164" s="355"/>
      <c r="AH164" s="355"/>
      <c r="AI164" s="355"/>
      <c r="AJ164" s="355"/>
      <c r="AK164" s="355"/>
      <c r="AL164" s="355"/>
      <c r="AM164" s="355"/>
      <c r="AN164" s="355"/>
      <c r="AO164" s="355"/>
      <c r="AP164" s="355"/>
      <c r="AQ164" s="355"/>
      <c r="AR164" s="355"/>
      <c r="AS164" s="355"/>
      <c r="AT164" s="355"/>
      <c r="AU164" s="355"/>
      <c r="AV164" s="355"/>
      <c r="AW164" s="355"/>
      <c r="AX164" s="355"/>
      <c r="AY164" s="355"/>
      <c r="AZ164" s="355"/>
      <c r="BA164" s="355"/>
      <c r="BB164" s="355"/>
      <c r="BC164" s="355"/>
      <c r="BD164" s="355"/>
      <c r="BE164" s="355"/>
      <c r="BF164" s="355"/>
      <c r="BG164" s="355"/>
      <c r="BH164" s="355"/>
      <c r="BI164" s="355"/>
      <c r="BJ164" s="355"/>
      <c r="BK164" s="355"/>
      <c r="BL164" s="355"/>
      <c r="BM164" s="118"/>
      <c r="BN164" s="68"/>
      <c r="BO164" s="68"/>
      <c r="BP164" s="68"/>
      <c r="BQ164" s="68"/>
      <c r="BR164" s="200"/>
      <c r="BS164" s="32"/>
      <c r="BT164" s="200"/>
      <c r="BU164" s="200"/>
      <c r="BV164" s="32"/>
      <c r="BW164" s="188"/>
      <c r="BX164" s="189"/>
      <c r="BY164" s="190"/>
      <c r="BZ164" s="191"/>
      <c r="CA164" s="192"/>
      <c r="CB164" s="191"/>
      <c r="CC164" s="18"/>
      <c r="CD164" s="10"/>
      <c r="CE164" s="30"/>
      <c r="CF164" s="194"/>
      <c r="CG164" s="30"/>
      <c r="CH164" s="194"/>
      <c r="CI164" s="306"/>
      <c r="CJ164" s="194"/>
      <c r="CL164" s="45"/>
      <c r="CM164" s="45"/>
      <c r="CN164" s="45"/>
      <c r="CO164" s="45"/>
      <c r="CP164" s="45"/>
      <c r="CQ164" s="45"/>
      <c r="CR164" s="45"/>
      <c r="CS164" s="45"/>
      <c r="CT164" s="45"/>
      <c r="CU164" s="45"/>
      <c r="CV164" s="45"/>
      <c r="CW164" s="45"/>
      <c r="CX164" s="45"/>
      <c r="CY164" s="45"/>
      <c r="CZ164" s="45"/>
      <c r="DA164" s="45"/>
      <c r="DB164" s="45"/>
      <c r="DC164" s="45"/>
      <c r="DD164" s="45"/>
      <c r="DE164" s="45"/>
      <c r="DF164" s="45"/>
      <c r="DG164" s="45"/>
      <c r="DH164" s="45"/>
      <c r="DI164" s="45"/>
      <c r="DJ164" s="45"/>
      <c r="DK164" s="45"/>
      <c r="DL164" s="45"/>
      <c r="DM164" s="45"/>
      <c r="DN164" s="45"/>
      <c r="DO164" s="45"/>
      <c r="DP164" s="45"/>
      <c r="DQ164" s="45"/>
      <c r="DR164" s="45"/>
      <c r="DS164" s="45"/>
      <c r="DT164" s="45"/>
      <c r="DU164" s="45"/>
      <c r="DV164" s="45"/>
      <c r="DW164" s="45"/>
      <c r="DX164" s="45"/>
      <c r="DY164" s="45"/>
      <c r="DZ164" s="45"/>
      <c r="EA164" s="45"/>
      <c r="EB164" s="45"/>
      <c r="EC164" s="45"/>
      <c r="ED164" s="45"/>
      <c r="EE164" s="45"/>
      <c r="EF164" s="45"/>
      <c r="EG164" s="45"/>
      <c r="EH164" s="45"/>
      <c r="EI164" s="45"/>
      <c r="EJ164" s="45"/>
      <c r="EK164" s="45"/>
      <c r="EL164" s="45"/>
      <c r="EM164" s="45"/>
    </row>
    <row r="165" spans="1:143" s="50" customFormat="1" ht="16" hidden="1" customHeight="1" x14ac:dyDescent="0.25">
      <c r="A165" s="32"/>
      <c r="B165" s="202"/>
      <c r="C165" s="81" t="s">
        <v>101</v>
      </c>
      <c r="D165" s="95" t="s">
        <v>72</v>
      </c>
      <c r="E165" s="36" t="s">
        <v>18</v>
      </c>
      <c r="F165" s="65"/>
      <c r="G165" s="65"/>
      <c r="H165" s="65"/>
      <c r="I165" s="66"/>
      <c r="J165" s="66"/>
      <c r="K165" s="65"/>
      <c r="L165" s="65"/>
      <c r="M165" s="349"/>
      <c r="N165" s="349"/>
      <c r="O165" s="349"/>
      <c r="P165" s="349"/>
      <c r="Q165" s="349"/>
      <c r="R165" s="349"/>
      <c r="S165" s="349"/>
      <c r="T165" s="349"/>
      <c r="U165" s="349"/>
      <c r="V165" s="349"/>
      <c r="W165" s="349"/>
      <c r="X165" s="349"/>
      <c r="Y165" s="349"/>
      <c r="Z165" s="349"/>
      <c r="AA165" s="349"/>
      <c r="AB165" s="349"/>
      <c r="AC165" s="349"/>
      <c r="AD165" s="349"/>
      <c r="AE165" s="349"/>
      <c r="AF165" s="349"/>
      <c r="AG165" s="349"/>
      <c r="AH165" s="349"/>
      <c r="AI165" s="349"/>
      <c r="AJ165" s="349"/>
      <c r="AK165" s="349"/>
      <c r="AL165" s="349"/>
      <c r="AM165" s="349"/>
      <c r="AN165" s="349"/>
      <c r="AO165" s="349"/>
      <c r="AP165" s="349"/>
      <c r="AQ165" s="349"/>
      <c r="AR165" s="349"/>
      <c r="AS165" s="349"/>
      <c r="AT165" s="349"/>
      <c r="AU165" s="349"/>
      <c r="AV165" s="349"/>
      <c r="AW165" s="349"/>
      <c r="AX165" s="349"/>
      <c r="AY165" s="349"/>
      <c r="AZ165" s="349"/>
      <c r="BA165" s="349"/>
      <c r="BB165" s="349"/>
      <c r="BC165" s="349"/>
      <c r="BD165" s="349"/>
      <c r="BE165" s="349"/>
      <c r="BF165" s="349"/>
      <c r="BG165" s="349"/>
      <c r="BH165" s="349"/>
      <c r="BI165" s="349"/>
      <c r="BJ165" s="349"/>
      <c r="BK165" s="349"/>
      <c r="BL165" s="349"/>
      <c r="BM165" s="175" t="e">
        <f>SUM(#REF!)</f>
        <v>#REF!</v>
      </c>
      <c r="BN165" s="22">
        <v>331</v>
      </c>
      <c r="BO165" s="83">
        <v>0.78</v>
      </c>
      <c r="BP165" s="22">
        <f>BN165*(1-BO165)</f>
        <v>72.819999999999993</v>
      </c>
      <c r="BQ165" s="22" t="e">
        <f>BP165*BM165</f>
        <v>#REF!</v>
      </c>
      <c r="BR165" s="84">
        <f>BP165*0.8</f>
        <v>58.256</v>
      </c>
      <c r="BS165" s="32"/>
      <c r="BT165" s="84" t="e">
        <f>BQ165*0.8</f>
        <v>#REF!</v>
      </c>
      <c r="BU165" s="84"/>
      <c r="BV165" s="32"/>
      <c r="BW165" s="99">
        <f>BX165/CA165*100</f>
        <v>3.5161423243183241</v>
      </c>
      <c r="BX165" s="122">
        <v>5550</v>
      </c>
      <c r="BY165" s="123" t="e">
        <f>BW165*BM165</f>
        <v>#REF!</v>
      </c>
      <c r="BZ165" s="90">
        <v>320820</v>
      </c>
      <c r="CA165" s="89">
        <v>157843.44</v>
      </c>
      <c r="CB165" s="90" t="e">
        <f>CA165*BY165%</f>
        <v>#REF!</v>
      </c>
      <c r="CC165" s="21" t="e">
        <f>BT165/CB165*1000</f>
        <v>#REF!</v>
      </c>
      <c r="CD165" s="10"/>
      <c r="CE165" s="30" t="str">
        <f>C165</f>
        <v>ANTENA 1 FM</v>
      </c>
      <c r="CF165" s="194"/>
      <c r="CG165" s="30" t="e">
        <f>SUM(#REF!)</f>
        <v>#REF!</v>
      </c>
      <c r="CH165" s="194" t="e">
        <f>#REF!*CG165</f>
        <v>#REF!</v>
      </c>
      <c r="CI165" s="306" t="e">
        <f>SUM(#REF!)</f>
        <v>#REF!</v>
      </c>
      <c r="CJ165" s="194" t="e">
        <f>#REF!*CI165</f>
        <v>#REF!</v>
      </c>
      <c r="CL165" s="45"/>
      <c r="CM165" s="45"/>
      <c r="CN165" s="45"/>
      <c r="CO165" s="45"/>
      <c r="CP165" s="45"/>
      <c r="CQ165" s="45"/>
      <c r="CR165" s="45"/>
      <c r="CS165" s="45"/>
      <c r="CT165" s="45"/>
      <c r="CU165" s="45"/>
      <c r="CV165" s="45"/>
      <c r="CW165" s="45"/>
      <c r="CX165" s="45"/>
      <c r="CY165" s="45"/>
      <c r="CZ165" s="45"/>
      <c r="DA165" s="45"/>
      <c r="DB165" s="45"/>
      <c r="DC165" s="45"/>
      <c r="DD165" s="45"/>
      <c r="DE165" s="45"/>
      <c r="DF165" s="45"/>
      <c r="DG165" s="45"/>
      <c r="DH165" s="45"/>
      <c r="DI165" s="45"/>
      <c r="DJ165" s="45"/>
      <c r="DK165" s="45"/>
      <c r="DL165" s="45"/>
      <c r="DM165" s="45"/>
      <c r="DN165" s="45"/>
      <c r="DO165" s="45"/>
      <c r="DP165" s="45"/>
      <c r="DQ165" s="45"/>
      <c r="DR165" s="45"/>
      <c r="DS165" s="45"/>
      <c r="DT165" s="45"/>
      <c r="DU165" s="45"/>
      <c r="DV165" s="45"/>
      <c r="DW165" s="45"/>
      <c r="DX165" s="45"/>
      <c r="DY165" s="45"/>
      <c r="DZ165" s="45"/>
      <c r="EA165" s="45"/>
      <c r="EB165" s="45"/>
      <c r="EC165" s="45"/>
      <c r="ED165" s="45"/>
      <c r="EE165" s="45"/>
      <c r="EF165" s="45"/>
      <c r="EG165" s="45"/>
      <c r="EH165" s="45"/>
      <c r="EI165" s="45"/>
      <c r="EJ165" s="45"/>
      <c r="EK165" s="45"/>
      <c r="EL165" s="45"/>
      <c r="EM165" s="45"/>
    </row>
    <row r="166" spans="1:143" s="50" customFormat="1" ht="16" hidden="1" customHeight="1" x14ac:dyDescent="0.25">
      <c r="A166" s="32"/>
      <c r="B166" s="202"/>
      <c r="C166" s="116" t="s">
        <v>98</v>
      </c>
      <c r="D166" s="42"/>
      <c r="E166" s="117"/>
      <c r="F166" s="65"/>
      <c r="G166" s="65"/>
      <c r="H166" s="65"/>
      <c r="I166" s="66"/>
      <c r="J166" s="66"/>
      <c r="K166" s="65"/>
      <c r="L166" s="65"/>
      <c r="M166" s="356"/>
      <c r="N166" s="356"/>
      <c r="O166" s="356"/>
      <c r="P166" s="356"/>
      <c r="Q166" s="356"/>
      <c r="R166" s="356"/>
      <c r="S166" s="356"/>
      <c r="T166" s="356"/>
      <c r="U166" s="356"/>
      <c r="V166" s="356"/>
      <c r="W166" s="356"/>
      <c r="X166" s="356"/>
      <c r="Y166" s="356"/>
      <c r="Z166" s="356"/>
      <c r="AA166" s="356"/>
      <c r="AB166" s="356"/>
      <c r="AC166" s="356"/>
      <c r="AD166" s="356"/>
      <c r="AE166" s="356"/>
      <c r="AF166" s="356"/>
      <c r="AG166" s="356"/>
      <c r="AH166" s="356"/>
      <c r="AI166" s="356"/>
      <c r="AJ166" s="356"/>
      <c r="AK166" s="356"/>
      <c r="AL166" s="356"/>
      <c r="AM166" s="356"/>
      <c r="AN166" s="356"/>
      <c r="AO166" s="356"/>
      <c r="AP166" s="356"/>
      <c r="AQ166" s="356"/>
      <c r="AR166" s="356"/>
      <c r="AS166" s="356"/>
      <c r="AT166" s="356"/>
      <c r="AU166" s="356"/>
      <c r="AV166" s="356"/>
      <c r="AW166" s="356"/>
      <c r="AX166" s="356"/>
      <c r="AY166" s="356"/>
      <c r="AZ166" s="356"/>
      <c r="BA166" s="356"/>
      <c r="BB166" s="356"/>
      <c r="BC166" s="356"/>
      <c r="BD166" s="356"/>
      <c r="BE166" s="356"/>
      <c r="BF166" s="356"/>
      <c r="BG166" s="356"/>
      <c r="BH166" s="356"/>
      <c r="BI166" s="356"/>
      <c r="BJ166" s="356"/>
      <c r="BK166" s="356"/>
      <c r="BL166" s="356"/>
      <c r="BM166" s="203"/>
      <c r="BN166" s="22"/>
      <c r="BO166" s="22"/>
      <c r="BP166" s="22"/>
      <c r="BQ166" s="22"/>
      <c r="BR166" s="22"/>
      <c r="BS166" s="32"/>
      <c r="BT166" s="22"/>
      <c r="BU166" s="22"/>
      <c r="BV166" s="32"/>
      <c r="BW166" s="121"/>
      <c r="BX166" s="122"/>
      <c r="BY166" s="123"/>
      <c r="BZ166" s="90"/>
      <c r="CA166" s="89"/>
      <c r="CB166" s="90"/>
      <c r="CC166" s="114"/>
      <c r="CD166" s="10"/>
      <c r="CE166" s="30"/>
      <c r="CF166" s="194"/>
      <c r="CG166" s="30"/>
      <c r="CH166" s="194"/>
      <c r="CI166" s="306"/>
      <c r="CJ166" s="194"/>
      <c r="CL166" s="45"/>
      <c r="CM166" s="45"/>
      <c r="CN166" s="45"/>
      <c r="CO166" s="45"/>
      <c r="CP166" s="45"/>
      <c r="CQ166" s="45"/>
      <c r="CR166" s="45"/>
      <c r="CS166" s="45"/>
      <c r="CT166" s="45"/>
      <c r="CU166" s="45"/>
      <c r="CV166" s="45"/>
      <c r="CW166" s="45"/>
      <c r="CX166" s="45"/>
      <c r="CY166" s="45"/>
      <c r="CZ166" s="45"/>
      <c r="DA166" s="45"/>
      <c r="DB166" s="45"/>
      <c r="DC166" s="45"/>
      <c r="DD166" s="45"/>
      <c r="DE166" s="45"/>
      <c r="DF166" s="45"/>
      <c r="DG166" s="45"/>
      <c r="DH166" s="45"/>
      <c r="DI166" s="45"/>
      <c r="DJ166" s="45"/>
      <c r="DK166" s="45"/>
      <c r="DL166" s="45"/>
      <c r="DM166" s="45"/>
      <c r="DN166" s="45"/>
      <c r="DO166" s="45"/>
      <c r="DP166" s="45"/>
      <c r="DQ166" s="45"/>
      <c r="DR166" s="45"/>
      <c r="DS166" s="45"/>
      <c r="DT166" s="45"/>
      <c r="DU166" s="45"/>
      <c r="DV166" s="45"/>
      <c r="DW166" s="45"/>
      <c r="DX166" s="45"/>
      <c r="DY166" s="45"/>
      <c r="DZ166" s="45"/>
      <c r="EA166" s="45"/>
      <c r="EB166" s="45"/>
      <c r="EC166" s="45"/>
      <c r="ED166" s="45"/>
      <c r="EE166" s="45"/>
      <c r="EF166" s="45"/>
      <c r="EG166" s="45"/>
      <c r="EH166" s="45"/>
      <c r="EI166" s="45"/>
      <c r="EJ166" s="45"/>
      <c r="EK166" s="45"/>
      <c r="EL166" s="45"/>
      <c r="EM166" s="45"/>
    </row>
    <row r="167" spans="1:143" s="50" customFormat="1" ht="16" hidden="1" customHeight="1" x14ac:dyDescent="0.25">
      <c r="A167" s="32"/>
      <c r="B167" s="202"/>
      <c r="C167" s="81"/>
      <c r="D167" s="95"/>
      <c r="E167" s="39"/>
      <c r="F167" s="65"/>
      <c r="G167" s="65"/>
      <c r="H167" s="65"/>
      <c r="I167" s="66"/>
      <c r="J167" s="66"/>
      <c r="K167" s="65"/>
      <c r="L167" s="65"/>
      <c r="M167" s="355"/>
      <c r="N167" s="355"/>
      <c r="O167" s="355"/>
      <c r="P167" s="355"/>
      <c r="Q167" s="355"/>
      <c r="R167" s="355"/>
      <c r="S167" s="355"/>
      <c r="T167" s="355"/>
      <c r="U167" s="355"/>
      <c r="V167" s="355"/>
      <c r="W167" s="355"/>
      <c r="X167" s="355"/>
      <c r="Y167" s="355"/>
      <c r="Z167" s="355"/>
      <c r="AA167" s="355"/>
      <c r="AB167" s="355"/>
      <c r="AC167" s="355"/>
      <c r="AD167" s="355"/>
      <c r="AE167" s="355"/>
      <c r="AF167" s="355"/>
      <c r="AG167" s="355"/>
      <c r="AH167" s="355"/>
      <c r="AI167" s="355"/>
      <c r="AJ167" s="355"/>
      <c r="AK167" s="355"/>
      <c r="AL167" s="355"/>
      <c r="AM167" s="355"/>
      <c r="AN167" s="355"/>
      <c r="AO167" s="355"/>
      <c r="AP167" s="355"/>
      <c r="AQ167" s="355"/>
      <c r="AR167" s="355"/>
      <c r="AS167" s="355"/>
      <c r="AT167" s="355"/>
      <c r="AU167" s="355"/>
      <c r="AV167" s="355"/>
      <c r="AW167" s="355"/>
      <c r="AX167" s="355"/>
      <c r="AY167" s="355"/>
      <c r="AZ167" s="355"/>
      <c r="BA167" s="355"/>
      <c r="BB167" s="355"/>
      <c r="BC167" s="355"/>
      <c r="BD167" s="355"/>
      <c r="BE167" s="355"/>
      <c r="BF167" s="355"/>
      <c r="BG167" s="355"/>
      <c r="BH167" s="355"/>
      <c r="BI167" s="355"/>
      <c r="BJ167" s="355"/>
      <c r="BK167" s="355"/>
      <c r="BL167" s="355"/>
      <c r="BM167" s="118"/>
      <c r="BN167" s="68"/>
      <c r="BO167" s="68"/>
      <c r="BP167" s="68"/>
      <c r="BQ167" s="68"/>
      <c r="BR167" s="200"/>
      <c r="BS167" s="32"/>
      <c r="BT167" s="200"/>
      <c r="BU167" s="200"/>
      <c r="BV167" s="32"/>
      <c r="BW167" s="188"/>
      <c r="BX167" s="189"/>
      <c r="BY167" s="190"/>
      <c r="BZ167" s="191"/>
      <c r="CA167" s="192"/>
      <c r="CB167" s="191"/>
      <c r="CC167" s="18"/>
      <c r="CD167" s="10"/>
      <c r="CE167" s="30"/>
      <c r="CF167" s="194"/>
      <c r="CG167" s="30"/>
      <c r="CH167" s="194"/>
      <c r="CI167" s="306"/>
      <c r="CJ167" s="194"/>
      <c r="CL167" s="45"/>
      <c r="CM167" s="45"/>
      <c r="CN167" s="45"/>
      <c r="CO167" s="45"/>
      <c r="CP167" s="45"/>
      <c r="CQ167" s="45"/>
      <c r="CR167" s="45"/>
      <c r="CS167" s="45"/>
      <c r="CT167" s="45"/>
      <c r="CU167" s="45"/>
      <c r="CV167" s="45"/>
      <c r="CW167" s="45"/>
      <c r="CX167" s="45"/>
      <c r="CY167" s="45"/>
      <c r="CZ167" s="45"/>
      <c r="DA167" s="45"/>
      <c r="DB167" s="45"/>
      <c r="DC167" s="45"/>
      <c r="DD167" s="45"/>
      <c r="DE167" s="45"/>
      <c r="DF167" s="45"/>
      <c r="DG167" s="45"/>
      <c r="DH167" s="45"/>
      <c r="DI167" s="45"/>
      <c r="DJ167" s="45"/>
      <c r="DK167" s="45"/>
      <c r="DL167" s="45"/>
      <c r="DM167" s="45"/>
      <c r="DN167" s="45"/>
      <c r="DO167" s="45"/>
      <c r="DP167" s="45"/>
      <c r="DQ167" s="45"/>
      <c r="DR167" s="45"/>
      <c r="DS167" s="45"/>
      <c r="DT167" s="45"/>
      <c r="DU167" s="45"/>
      <c r="DV167" s="45"/>
      <c r="DW167" s="45"/>
      <c r="DX167" s="45"/>
      <c r="DY167" s="45"/>
      <c r="DZ167" s="45"/>
      <c r="EA167" s="45"/>
      <c r="EB167" s="45"/>
      <c r="EC167" s="45"/>
      <c r="ED167" s="45"/>
      <c r="EE167" s="45"/>
      <c r="EF167" s="45"/>
      <c r="EG167" s="45"/>
      <c r="EH167" s="45"/>
      <c r="EI167" s="45"/>
      <c r="EJ167" s="45"/>
      <c r="EK167" s="45"/>
      <c r="EL167" s="45"/>
      <c r="EM167" s="45"/>
    </row>
    <row r="168" spans="1:143" s="50" customFormat="1" ht="16" hidden="1" customHeight="1" x14ac:dyDescent="0.25">
      <c r="A168" s="32"/>
      <c r="B168" s="202"/>
      <c r="C168" s="81" t="s">
        <v>91</v>
      </c>
      <c r="D168" s="95" t="s">
        <v>72</v>
      </c>
      <c r="E168" s="36" t="s">
        <v>18</v>
      </c>
      <c r="F168" s="65"/>
      <c r="G168" s="65"/>
      <c r="H168" s="65"/>
      <c r="I168" s="66"/>
      <c r="J168" s="66"/>
      <c r="K168" s="65"/>
      <c r="L168" s="65"/>
      <c r="M168" s="349"/>
      <c r="N168" s="349"/>
      <c r="O168" s="349"/>
      <c r="P168" s="349"/>
      <c r="Q168" s="349"/>
      <c r="R168" s="349"/>
      <c r="S168" s="349"/>
      <c r="T168" s="349"/>
      <c r="U168" s="349"/>
      <c r="V168" s="349"/>
      <c r="W168" s="349"/>
      <c r="X168" s="349"/>
      <c r="Y168" s="349"/>
      <c r="Z168" s="349"/>
      <c r="AA168" s="349"/>
      <c r="AB168" s="349"/>
      <c r="AC168" s="349"/>
      <c r="AD168" s="349"/>
      <c r="AE168" s="349"/>
      <c r="AF168" s="349"/>
      <c r="AG168" s="349"/>
      <c r="AH168" s="349"/>
      <c r="AI168" s="349"/>
      <c r="AJ168" s="349"/>
      <c r="AK168" s="349"/>
      <c r="AL168" s="349"/>
      <c r="AM168" s="349"/>
      <c r="AN168" s="349"/>
      <c r="AO168" s="349"/>
      <c r="AP168" s="349"/>
      <c r="AQ168" s="349"/>
      <c r="AR168" s="349"/>
      <c r="AS168" s="349"/>
      <c r="AT168" s="349"/>
      <c r="AU168" s="349"/>
      <c r="AV168" s="349"/>
      <c r="AW168" s="349"/>
      <c r="AX168" s="349"/>
      <c r="AY168" s="349"/>
      <c r="AZ168" s="349"/>
      <c r="BA168" s="349"/>
      <c r="BB168" s="349"/>
      <c r="BC168" s="349"/>
      <c r="BD168" s="349"/>
      <c r="BE168" s="349"/>
      <c r="BF168" s="349"/>
      <c r="BG168" s="349"/>
      <c r="BH168" s="349"/>
      <c r="BI168" s="349"/>
      <c r="BJ168" s="349"/>
      <c r="BK168" s="349"/>
      <c r="BL168" s="349"/>
      <c r="BM168" s="175" t="e">
        <f>SUM(#REF!)</f>
        <v>#REF!</v>
      </c>
      <c r="BN168" s="22">
        <v>325</v>
      </c>
      <c r="BO168" s="83">
        <v>0.5</v>
      </c>
      <c r="BP168" s="22">
        <f>BN168*(1-BO168)</f>
        <v>162.5</v>
      </c>
      <c r="BQ168" s="22" t="e">
        <f>BP168*BM168</f>
        <v>#REF!</v>
      </c>
      <c r="BR168" s="84">
        <f>BP168*0.8</f>
        <v>130</v>
      </c>
      <c r="BS168" s="32"/>
      <c r="BT168" s="84" t="e">
        <f>BQ168*0.8</f>
        <v>#REF!</v>
      </c>
      <c r="BU168" s="84"/>
      <c r="BV168" s="32"/>
      <c r="BW168" s="99">
        <f>BX168/CA168*100</f>
        <v>2.4087158769474359</v>
      </c>
      <c r="BX168" s="122">
        <v>3802</v>
      </c>
      <c r="BY168" s="123" t="e">
        <f>BW168*BM168</f>
        <v>#REF!</v>
      </c>
      <c r="BZ168" s="90">
        <v>320820</v>
      </c>
      <c r="CA168" s="89">
        <v>157843.44</v>
      </c>
      <c r="CB168" s="90" t="e">
        <f>CA168*BY168%</f>
        <v>#REF!</v>
      </c>
      <c r="CC168" s="21" t="e">
        <f>BT168/CB168*1000</f>
        <v>#REF!</v>
      </c>
      <c r="CD168" s="10"/>
      <c r="CE168" s="30" t="str">
        <f>C168</f>
        <v>JOVEM PAN FM</v>
      </c>
      <c r="CF168" s="194"/>
      <c r="CG168" s="30" t="e">
        <f>SUM(#REF!)</f>
        <v>#REF!</v>
      </c>
      <c r="CH168" s="194" t="e">
        <f>#REF!*CG168</f>
        <v>#REF!</v>
      </c>
      <c r="CI168" s="306" t="e">
        <f>SUM(#REF!)</f>
        <v>#REF!</v>
      </c>
      <c r="CJ168" s="194" t="e">
        <f>#REF!*CI168</f>
        <v>#REF!</v>
      </c>
      <c r="CL168" s="45"/>
      <c r="CM168" s="45"/>
      <c r="CN168" s="45"/>
      <c r="CO168" s="45"/>
      <c r="CP168" s="45"/>
      <c r="CQ168" s="45"/>
      <c r="CR168" s="45"/>
      <c r="CS168" s="45"/>
      <c r="CT168" s="45"/>
      <c r="CU168" s="45"/>
      <c r="CV168" s="45"/>
      <c r="CW168" s="45"/>
      <c r="CX168" s="45"/>
      <c r="CY168" s="45"/>
      <c r="CZ168" s="45"/>
      <c r="DA168" s="45"/>
      <c r="DB168" s="45"/>
      <c r="DC168" s="45"/>
      <c r="DD168" s="45"/>
      <c r="DE168" s="45"/>
      <c r="DF168" s="45"/>
      <c r="DG168" s="45"/>
      <c r="DH168" s="45"/>
      <c r="DI168" s="45"/>
      <c r="DJ168" s="45"/>
      <c r="DK168" s="45"/>
      <c r="DL168" s="45"/>
      <c r="DM168" s="45"/>
      <c r="DN168" s="45"/>
      <c r="DO168" s="45"/>
      <c r="DP168" s="45"/>
      <c r="DQ168" s="45"/>
      <c r="DR168" s="45"/>
      <c r="DS168" s="45"/>
      <c r="DT168" s="45"/>
      <c r="DU168" s="45"/>
      <c r="DV168" s="45"/>
      <c r="DW168" s="45"/>
      <c r="DX168" s="45"/>
      <c r="DY168" s="45"/>
      <c r="DZ168" s="45"/>
      <c r="EA168" s="45"/>
      <c r="EB168" s="45"/>
      <c r="EC168" s="45"/>
      <c r="ED168" s="45"/>
      <c r="EE168" s="45"/>
      <c r="EF168" s="45"/>
      <c r="EG168" s="45"/>
      <c r="EH168" s="45"/>
      <c r="EI168" s="45"/>
      <c r="EJ168" s="45"/>
      <c r="EK168" s="45"/>
      <c r="EL168" s="45"/>
      <c r="EM168" s="45"/>
    </row>
    <row r="169" spans="1:143" s="50" customFormat="1" ht="16" hidden="1" customHeight="1" x14ac:dyDescent="0.25">
      <c r="A169" s="32"/>
      <c r="B169" s="202"/>
      <c r="C169" s="116" t="s">
        <v>102</v>
      </c>
      <c r="D169" s="42"/>
      <c r="E169" s="117"/>
      <c r="F169" s="65"/>
      <c r="G169" s="65"/>
      <c r="H169" s="65"/>
      <c r="I169" s="66"/>
      <c r="J169" s="66"/>
      <c r="K169" s="65"/>
      <c r="L169" s="65"/>
      <c r="M169" s="356"/>
      <c r="N169" s="356"/>
      <c r="O169" s="356"/>
      <c r="P169" s="356"/>
      <c r="Q169" s="356"/>
      <c r="R169" s="356"/>
      <c r="S169" s="356"/>
      <c r="T169" s="356"/>
      <c r="U169" s="356"/>
      <c r="V169" s="356"/>
      <c r="W169" s="356"/>
      <c r="X169" s="356"/>
      <c r="Y169" s="356"/>
      <c r="Z169" s="356"/>
      <c r="AA169" s="356"/>
      <c r="AB169" s="356"/>
      <c r="AC169" s="356"/>
      <c r="AD169" s="356"/>
      <c r="AE169" s="356"/>
      <c r="AF169" s="356"/>
      <c r="AG169" s="356"/>
      <c r="AH169" s="356"/>
      <c r="AI169" s="356"/>
      <c r="AJ169" s="356"/>
      <c r="AK169" s="356"/>
      <c r="AL169" s="356"/>
      <c r="AM169" s="356"/>
      <c r="AN169" s="356"/>
      <c r="AO169" s="356"/>
      <c r="AP169" s="356"/>
      <c r="AQ169" s="356"/>
      <c r="AR169" s="356"/>
      <c r="AS169" s="356"/>
      <c r="AT169" s="356"/>
      <c r="AU169" s="356"/>
      <c r="AV169" s="356"/>
      <c r="AW169" s="356"/>
      <c r="AX169" s="356"/>
      <c r="AY169" s="356"/>
      <c r="AZ169" s="356"/>
      <c r="BA169" s="356"/>
      <c r="BB169" s="356"/>
      <c r="BC169" s="356"/>
      <c r="BD169" s="356"/>
      <c r="BE169" s="356"/>
      <c r="BF169" s="356"/>
      <c r="BG169" s="356"/>
      <c r="BH169" s="356"/>
      <c r="BI169" s="356"/>
      <c r="BJ169" s="356"/>
      <c r="BK169" s="356"/>
      <c r="BL169" s="356"/>
      <c r="BM169" s="203"/>
      <c r="BN169" s="22"/>
      <c r="BO169" s="22"/>
      <c r="BP169" s="22"/>
      <c r="BQ169" s="22"/>
      <c r="BR169" s="22"/>
      <c r="BS169" s="32"/>
      <c r="BT169" s="22"/>
      <c r="BU169" s="22"/>
      <c r="BV169" s="32"/>
      <c r="BW169" s="121"/>
      <c r="BX169" s="122"/>
      <c r="BY169" s="123"/>
      <c r="BZ169" s="90"/>
      <c r="CA169" s="89"/>
      <c r="CB169" s="90"/>
      <c r="CC169" s="114"/>
      <c r="CD169" s="10"/>
      <c r="CE169" s="30"/>
      <c r="CF169" s="194"/>
      <c r="CG169" s="30"/>
      <c r="CH169" s="194"/>
      <c r="CI169" s="306"/>
      <c r="CJ169" s="194"/>
      <c r="CL169" s="45"/>
      <c r="CM169" s="45"/>
      <c r="CN169" s="45"/>
      <c r="CO169" s="45"/>
      <c r="CP169" s="45"/>
      <c r="CQ169" s="45"/>
      <c r="CR169" s="45"/>
      <c r="CS169" s="45"/>
      <c r="CT169" s="45"/>
      <c r="CU169" s="45"/>
      <c r="CV169" s="45"/>
      <c r="CW169" s="45"/>
      <c r="CX169" s="45"/>
      <c r="CY169" s="45"/>
      <c r="CZ169" s="45"/>
      <c r="DA169" s="45"/>
      <c r="DB169" s="45"/>
      <c r="DC169" s="45"/>
      <c r="DD169" s="45"/>
      <c r="DE169" s="45"/>
      <c r="DF169" s="45"/>
      <c r="DG169" s="45"/>
      <c r="DH169" s="45"/>
      <c r="DI169" s="45"/>
      <c r="DJ169" s="45"/>
      <c r="DK169" s="45"/>
      <c r="DL169" s="45"/>
      <c r="DM169" s="45"/>
      <c r="DN169" s="45"/>
      <c r="DO169" s="45"/>
      <c r="DP169" s="45"/>
      <c r="DQ169" s="45"/>
      <c r="DR169" s="45"/>
      <c r="DS169" s="45"/>
      <c r="DT169" s="45"/>
      <c r="DU169" s="45"/>
      <c r="DV169" s="45"/>
      <c r="DW169" s="45"/>
      <c r="DX169" s="45"/>
      <c r="DY169" s="45"/>
      <c r="DZ169" s="45"/>
      <c r="EA169" s="45"/>
      <c r="EB169" s="45"/>
      <c r="EC169" s="45"/>
      <c r="ED169" s="45"/>
      <c r="EE169" s="45"/>
      <c r="EF169" s="45"/>
      <c r="EG169" s="45"/>
      <c r="EH169" s="45"/>
      <c r="EI169" s="45"/>
      <c r="EJ169" s="45"/>
      <c r="EK169" s="45"/>
      <c r="EL169" s="45"/>
      <c r="EM169" s="45"/>
    </row>
    <row r="170" spans="1:143" s="50" customFormat="1" ht="16" hidden="1" customHeight="1" x14ac:dyDescent="0.25">
      <c r="A170" s="32"/>
      <c r="B170" s="202"/>
      <c r="C170" s="81"/>
      <c r="D170" s="95"/>
      <c r="E170" s="39"/>
      <c r="F170" s="65"/>
      <c r="G170" s="65"/>
      <c r="H170" s="65"/>
      <c r="I170" s="66"/>
      <c r="J170" s="66"/>
      <c r="K170" s="65"/>
      <c r="L170" s="65"/>
      <c r="M170" s="355"/>
      <c r="N170" s="355"/>
      <c r="O170" s="355"/>
      <c r="P170" s="355"/>
      <c r="Q170" s="355"/>
      <c r="R170" s="355"/>
      <c r="S170" s="355"/>
      <c r="T170" s="355"/>
      <c r="U170" s="355"/>
      <c r="V170" s="355"/>
      <c r="W170" s="355"/>
      <c r="X170" s="355"/>
      <c r="Y170" s="355"/>
      <c r="Z170" s="355"/>
      <c r="AA170" s="355"/>
      <c r="AB170" s="355"/>
      <c r="AC170" s="355"/>
      <c r="AD170" s="355"/>
      <c r="AE170" s="355"/>
      <c r="AF170" s="355"/>
      <c r="AG170" s="355"/>
      <c r="AH170" s="355"/>
      <c r="AI170" s="355"/>
      <c r="AJ170" s="355"/>
      <c r="AK170" s="355"/>
      <c r="AL170" s="355"/>
      <c r="AM170" s="355"/>
      <c r="AN170" s="355"/>
      <c r="AO170" s="355"/>
      <c r="AP170" s="355"/>
      <c r="AQ170" s="355"/>
      <c r="AR170" s="355"/>
      <c r="AS170" s="355"/>
      <c r="AT170" s="355"/>
      <c r="AU170" s="355"/>
      <c r="AV170" s="355"/>
      <c r="AW170" s="355"/>
      <c r="AX170" s="355"/>
      <c r="AY170" s="355"/>
      <c r="AZ170" s="355"/>
      <c r="BA170" s="355"/>
      <c r="BB170" s="355"/>
      <c r="BC170" s="355"/>
      <c r="BD170" s="355"/>
      <c r="BE170" s="355"/>
      <c r="BF170" s="355"/>
      <c r="BG170" s="355"/>
      <c r="BH170" s="355"/>
      <c r="BI170" s="355"/>
      <c r="BJ170" s="355"/>
      <c r="BK170" s="355"/>
      <c r="BL170" s="355"/>
      <c r="BM170" s="118"/>
      <c r="BN170" s="68"/>
      <c r="BO170" s="68"/>
      <c r="BP170" s="68"/>
      <c r="BQ170" s="68"/>
      <c r="BR170" s="200"/>
      <c r="BS170" s="32"/>
      <c r="BT170" s="200"/>
      <c r="BU170" s="200"/>
      <c r="BV170" s="32"/>
      <c r="BW170" s="188"/>
      <c r="BX170" s="189"/>
      <c r="BY170" s="190"/>
      <c r="BZ170" s="191"/>
      <c r="CA170" s="192"/>
      <c r="CB170" s="191"/>
      <c r="CC170" s="18"/>
      <c r="CD170" s="10"/>
      <c r="CE170" s="30"/>
      <c r="CF170" s="194"/>
      <c r="CG170" s="30"/>
      <c r="CH170" s="194"/>
      <c r="CI170" s="306"/>
      <c r="CJ170" s="194"/>
      <c r="CL170" s="45"/>
      <c r="CM170" s="45"/>
      <c r="CN170" s="45"/>
      <c r="CO170" s="45"/>
      <c r="CP170" s="45"/>
      <c r="CQ170" s="45"/>
      <c r="CR170" s="45"/>
      <c r="CS170" s="45"/>
      <c r="CT170" s="45"/>
      <c r="CU170" s="45"/>
      <c r="CV170" s="45"/>
      <c r="CW170" s="45"/>
      <c r="CX170" s="45"/>
      <c r="CY170" s="45"/>
      <c r="CZ170" s="45"/>
      <c r="DA170" s="45"/>
      <c r="DB170" s="45"/>
      <c r="DC170" s="45"/>
      <c r="DD170" s="45"/>
      <c r="DE170" s="45"/>
      <c r="DF170" s="45"/>
      <c r="DG170" s="45"/>
      <c r="DH170" s="45"/>
      <c r="DI170" s="45"/>
      <c r="DJ170" s="45"/>
      <c r="DK170" s="45"/>
      <c r="DL170" s="45"/>
      <c r="DM170" s="45"/>
      <c r="DN170" s="45"/>
      <c r="DO170" s="45"/>
      <c r="DP170" s="45"/>
      <c r="DQ170" s="45"/>
      <c r="DR170" s="45"/>
      <c r="DS170" s="45"/>
      <c r="DT170" s="45"/>
      <c r="DU170" s="45"/>
      <c r="DV170" s="45"/>
      <c r="DW170" s="45"/>
      <c r="DX170" s="45"/>
      <c r="DY170" s="45"/>
      <c r="DZ170" s="45"/>
      <c r="EA170" s="45"/>
      <c r="EB170" s="45"/>
      <c r="EC170" s="45"/>
      <c r="ED170" s="45"/>
      <c r="EE170" s="45"/>
      <c r="EF170" s="45"/>
      <c r="EG170" s="45"/>
      <c r="EH170" s="45"/>
      <c r="EI170" s="45"/>
      <c r="EJ170" s="45"/>
      <c r="EK170" s="45"/>
      <c r="EL170" s="45"/>
      <c r="EM170" s="45"/>
    </row>
    <row r="171" spans="1:143" s="50" customFormat="1" ht="16" hidden="1" customHeight="1" x14ac:dyDescent="0.25">
      <c r="A171" s="32"/>
      <c r="B171" s="202"/>
      <c r="C171" s="81" t="s">
        <v>103</v>
      </c>
      <c r="D171" s="95" t="s">
        <v>72</v>
      </c>
      <c r="E171" s="36" t="s">
        <v>18</v>
      </c>
      <c r="F171" s="65"/>
      <c r="G171" s="65"/>
      <c r="H171" s="65"/>
      <c r="I171" s="66"/>
      <c r="J171" s="66"/>
      <c r="K171" s="65"/>
      <c r="L171" s="65"/>
      <c r="M171" s="349"/>
      <c r="N171" s="349"/>
      <c r="O171" s="349"/>
      <c r="P171" s="349"/>
      <c r="Q171" s="349"/>
      <c r="R171" s="349"/>
      <c r="S171" s="349"/>
      <c r="T171" s="349"/>
      <c r="U171" s="349"/>
      <c r="V171" s="349"/>
      <c r="W171" s="349"/>
      <c r="X171" s="349"/>
      <c r="Y171" s="349"/>
      <c r="Z171" s="349"/>
      <c r="AA171" s="349"/>
      <c r="AB171" s="349"/>
      <c r="AC171" s="349"/>
      <c r="AD171" s="349"/>
      <c r="AE171" s="349"/>
      <c r="AF171" s="349"/>
      <c r="AG171" s="349"/>
      <c r="AH171" s="349"/>
      <c r="AI171" s="349"/>
      <c r="AJ171" s="349"/>
      <c r="AK171" s="349"/>
      <c r="AL171" s="349"/>
      <c r="AM171" s="349"/>
      <c r="AN171" s="349"/>
      <c r="AO171" s="349"/>
      <c r="AP171" s="349"/>
      <c r="AQ171" s="349"/>
      <c r="AR171" s="349"/>
      <c r="AS171" s="349"/>
      <c r="AT171" s="349"/>
      <c r="AU171" s="349"/>
      <c r="AV171" s="349"/>
      <c r="AW171" s="349"/>
      <c r="AX171" s="349"/>
      <c r="AY171" s="349"/>
      <c r="AZ171" s="349"/>
      <c r="BA171" s="349"/>
      <c r="BB171" s="349"/>
      <c r="BC171" s="349"/>
      <c r="BD171" s="349"/>
      <c r="BE171" s="349"/>
      <c r="BF171" s="349"/>
      <c r="BG171" s="349"/>
      <c r="BH171" s="349"/>
      <c r="BI171" s="349"/>
      <c r="BJ171" s="349"/>
      <c r="BK171" s="349"/>
      <c r="BL171" s="349"/>
      <c r="BM171" s="175" t="e">
        <f>SUM(#REF!)</f>
        <v>#REF!</v>
      </c>
      <c r="BN171" s="22">
        <v>184</v>
      </c>
      <c r="BO171" s="83">
        <v>0.4</v>
      </c>
      <c r="BP171" s="22">
        <f>BN171*(1-BO171)</f>
        <v>110.39999999999999</v>
      </c>
      <c r="BQ171" s="22" t="e">
        <f>BP171*BM171</f>
        <v>#REF!</v>
      </c>
      <c r="BR171" s="84">
        <f>BP171*0.8</f>
        <v>88.32</v>
      </c>
      <c r="BS171" s="32"/>
      <c r="BT171" s="84" t="e">
        <f>BQ171*0.8</f>
        <v>#REF!</v>
      </c>
      <c r="BU171" s="84"/>
      <c r="BV171" s="32"/>
      <c r="BW171" s="99">
        <f>BX171/CA171*100</f>
        <v>1.7206923518646069</v>
      </c>
      <c r="BX171" s="122">
        <v>2716</v>
      </c>
      <c r="BY171" s="123" t="e">
        <f>BW171*BM171</f>
        <v>#REF!</v>
      </c>
      <c r="BZ171" s="90">
        <v>320820</v>
      </c>
      <c r="CA171" s="89">
        <v>157843.44</v>
      </c>
      <c r="CB171" s="90" t="e">
        <f>CA171*BY171%</f>
        <v>#REF!</v>
      </c>
      <c r="CC171" s="21" t="e">
        <f>BT171/CB171*1000</f>
        <v>#REF!</v>
      </c>
      <c r="CD171" s="10"/>
      <c r="CE171" s="30" t="str">
        <f>C171</f>
        <v>CANÇÃO NOVA FM</v>
      </c>
      <c r="CF171" s="194"/>
      <c r="CG171" s="30" t="e">
        <f>SUM(#REF!)</f>
        <v>#REF!</v>
      </c>
      <c r="CH171" s="194" t="e">
        <f>#REF!*CG171</f>
        <v>#REF!</v>
      </c>
      <c r="CI171" s="306" t="e">
        <f>SUM(#REF!)</f>
        <v>#REF!</v>
      </c>
      <c r="CJ171" s="194" t="e">
        <f>#REF!*CI171</f>
        <v>#REF!</v>
      </c>
      <c r="CL171" s="45"/>
      <c r="CM171" s="45"/>
      <c r="CN171" s="45"/>
      <c r="CO171" s="45"/>
      <c r="CP171" s="45"/>
      <c r="CQ171" s="45"/>
      <c r="CR171" s="45"/>
      <c r="CS171" s="45"/>
      <c r="CT171" s="45"/>
      <c r="CU171" s="45"/>
      <c r="CV171" s="45"/>
      <c r="CW171" s="45"/>
      <c r="CX171" s="45"/>
      <c r="CY171" s="45"/>
      <c r="CZ171" s="45"/>
      <c r="DA171" s="45"/>
      <c r="DB171" s="45"/>
      <c r="DC171" s="45"/>
      <c r="DD171" s="45"/>
      <c r="DE171" s="45"/>
      <c r="DF171" s="45"/>
      <c r="DG171" s="45"/>
      <c r="DH171" s="45"/>
      <c r="DI171" s="45"/>
      <c r="DJ171" s="45"/>
      <c r="DK171" s="45"/>
      <c r="DL171" s="45"/>
      <c r="DM171" s="45"/>
      <c r="DN171" s="45"/>
      <c r="DO171" s="45"/>
      <c r="DP171" s="45"/>
      <c r="DQ171" s="45"/>
      <c r="DR171" s="45"/>
      <c r="DS171" s="45"/>
      <c r="DT171" s="45"/>
      <c r="DU171" s="45"/>
      <c r="DV171" s="45"/>
      <c r="DW171" s="45"/>
      <c r="DX171" s="45"/>
      <c r="DY171" s="45"/>
      <c r="DZ171" s="45"/>
      <c r="EA171" s="45"/>
      <c r="EB171" s="45"/>
      <c r="EC171" s="45"/>
      <c r="ED171" s="45"/>
      <c r="EE171" s="45"/>
      <c r="EF171" s="45"/>
      <c r="EG171" s="45"/>
      <c r="EH171" s="45"/>
      <c r="EI171" s="45"/>
      <c r="EJ171" s="45"/>
      <c r="EK171" s="45"/>
      <c r="EL171" s="45"/>
      <c r="EM171" s="45"/>
    </row>
    <row r="172" spans="1:143" s="50" customFormat="1" ht="16" hidden="1" customHeight="1" x14ac:dyDescent="0.25">
      <c r="A172" s="32"/>
      <c r="B172" s="202"/>
      <c r="C172" s="116" t="s">
        <v>98</v>
      </c>
      <c r="D172" s="42"/>
      <c r="E172" s="117"/>
      <c r="F172" s="65"/>
      <c r="G172" s="65"/>
      <c r="H172" s="65"/>
      <c r="I172" s="66"/>
      <c r="J172" s="66"/>
      <c r="K172" s="65"/>
      <c r="L172" s="65"/>
      <c r="M172" s="356"/>
      <c r="N172" s="356"/>
      <c r="O172" s="356"/>
      <c r="P172" s="356"/>
      <c r="Q172" s="356"/>
      <c r="R172" s="356"/>
      <c r="S172" s="356"/>
      <c r="T172" s="356"/>
      <c r="U172" s="356"/>
      <c r="V172" s="356"/>
      <c r="W172" s="356"/>
      <c r="X172" s="356"/>
      <c r="Y172" s="356"/>
      <c r="Z172" s="356"/>
      <c r="AA172" s="356"/>
      <c r="AB172" s="356"/>
      <c r="AC172" s="356"/>
      <c r="AD172" s="356"/>
      <c r="AE172" s="356"/>
      <c r="AF172" s="356"/>
      <c r="AG172" s="356"/>
      <c r="AH172" s="356"/>
      <c r="AI172" s="356"/>
      <c r="AJ172" s="356"/>
      <c r="AK172" s="356"/>
      <c r="AL172" s="356"/>
      <c r="AM172" s="356"/>
      <c r="AN172" s="356"/>
      <c r="AO172" s="356"/>
      <c r="AP172" s="356"/>
      <c r="AQ172" s="356"/>
      <c r="AR172" s="356"/>
      <c r="AS172" s="356"/>
      <c r="AT172" s="356"/>
      <c r="AU172" s="356"/>
      <c r="AV172" s="356"/>
      <c r="AW172" s="356"/>
      <c r="AX172" s="356"/>
      <c r="AY172" s="356"/>
      <c r="AZ172" s="356"/>
      <c r="BA172" s="356"/>
      <c r="BB172" s="356"/>
      <c r="BC172" s="356"/>
      <c r="BD172" s="356"/>
      <c r="BE172" s="356"/>
      <c r="BF172" s="356"/>
      <c r="BG172" s="356"/>
      <c r="BH172" s="356"/>
      <c r="BI172" s="356"/>
      <c r="BJ172" s="356"/>
      <c r="BK172" s="356"/>
      <c r="BL172" s="356"/>
      <c r="BM172" s="203"/>
      <c r="BN172" s="22"/>
      <c r="BO172" s="22"/>
      <c r="BP172" s="22"/>
      <c r="BQ172" s="22"/>
      <c r="BR172" s="22"/>
      <c r="BS172" s="32"/>
      <c r="BT172" s="22"/>
      <c r="BU172" s="22"/>
      <c r="BV172" s="32"/>
      <c r="BW172" s="121"/>
      <c r="BX172" s="122"/>
      <c r="BY172" s="123"/>
      <c r="BZ172" s="90"/>
      <c r="CA172" s="89"/>
      <c r="CB172" s="90"/>
      <c r="CC172" s="114"/>
      <c r="CD172" s="10"/>
      <c r="CE172" s="30"/>
      <c r="CF172" s="194"/>
      <c r="CG172" s="30"/>
      <c r="CH172" s="194"/>
      <c r="CI172" s="306"/>
      <c r="CJ172" s="194"/>
      <c r="CL172" s="45"/>
      <c r="CM172" s="45"/>
      <c r="CN172" s="45"/>
      <c r="CO172" s="45"/>
      <c r="CP172" s="45"/>
      <c r="CQ172" s="45"/>
      <c r="CR172" s="45"/>
      <c r="CS172" s="45"/>
      <c r="CT172" s="45"/>
      <c r="CU172" s="45"/>
      <c r="CV172" s="45"/>
      <c r="CW172" s="45"/>
      <c r="CX172" s="45"/>
      <c r="CY172" s="45"/>
      <c r="CZ172" s="45"/>
      <c r="DA172" s="45"/>
      <c r="DB172" s="45"/>
      <c r="DC172" s="45"/>
      <c r="DD172" s="45"/>
      <c r="DE172" s="45"/>
      <c r="DF172" s="45"/>
      <c r="DG172" s="45"/>
      <c r="DH172" s="45"/>
      <c r="DI172" s="45"/>
      <c r="DJ172" s="45"/>
      <c r="DK172" s="45"/>
      <c r="DL172" s="45"/>
      <c r="DM172" s="45"/>
      <c r="DN172" s="45"/>
      <c r="DO172" s="45"/>
      <c r="DP172" s="45"/>
      <c r="DQ172" s="45"/>
      <c r="DR172" s="45"/>
      <c r="DS172" s="45"/>
      <c r="DT172" s="45"/>
      <c r="DU172" s="45"/>
      <c r="DV172" s="45"/>
      <c r="DW172" s="45"/>
      <c r="DX172" s="45"/>
      <c r="DY172" s="45"/>
      <c r="DZ172" s="45"/>
      <c r="EA172" s="45"/>
      <c r="EB172" s="45"/>
      <c r="EC172" s="45"/>
      <c r="ED172" s="45"/>
      <c r="EE172" s="45"/>
      <c r="EF172" s="45"/>
      <c r="EG172" s="45"/>
      <c r="EH172" s="45"/>
      <c r="EI172" s="45"/>
      <c r="EJ172" s="45"/>
      <c r="EK172" s="45"/>
      <c r="EL172" s="45"/>
      <c r="EM172" s="45"/>
    </row>
    <row r="173" spans="1:143" ht="16" hidden="1" customHeight="1" x14ac:dyDescent="0.25">
      <c r="A173" s="32"/>
      <c r="B173" s="202"/>
      <c r="C173" s="81"/>
      <c r="D173" s="95"/>
      <c r="E173" s="39"/>
      <c r="F173" s="65"/>
      <c r="G173" s="65"/>
      <c r="H173" s="65"/>
      <c r="I173" s="66"/>
      <c r="J173" s="66"/>
      <c r="K173" s="65"/>
      <c r="L173" s="65"/>
      <c r="M173" s="355"/>
      <c r="N173" s="355"/>
      <c r="O173" s="355"/>
      <c r="P173" s="355"/>
      <c r="Q173" s="355"/>
      <c r="R173" s="355"/>
      <c r="S173" s="355"/>
      <c r="T173" s="355"/>
      <c r="U173" s="355"/>
      <c r="V173" s="355"/>
      <c r="W173" s="355"/>
      <c r="X173" s="355"/>
      <c r="Y173" s="355"/>
      <c r="Z173" s="355"/>
      <c r="AA173" s="355"/>
      <c r="AB173" s="355"/>
      <c r="AC173" s="355"/>
      <c r="AD173" s="355"/>
      <c r="AE173" s="355"/>
      <c r="AF173" s="355"/>
      <c r="AG173" s="355"/>
      <c r="AH173" s="355"/>
      <c r="AI173" s="355"/>
      <c r="AJ173" s="355"/>
      <c r="AK173" s="355"/>
      <c r="AL173" s="355"/>
      <c r="AM173" s="355"/>
      <c r="AN173" s="355"/>
      <c r="AO173" s="355"/>
      <c r="AP173" s="355"/>
      <c r="AQ173" s="355"/>
      <c r="AR173" s="355"/>
      <c r="AS173" s="355"/>
      <c r="AT173" s="355"/>
      <c r="AU173" s="355"/>
      <c r="AV173" s="355"/>
      <c r="AW173" s="355"/>
      <c r="AX173" s="355"/>
      <c r="AY173" s="355"/>
      <c r="AZ173" s="355"/>
      <c r="BA173" s="355"/>
      <c r="BB173" s="355"/>
      <c r="BC173" s="355"/>
      <c r="BD173" s="355"/>
      <c r="BE173" s="355"/>
      <c r="BF173" s="355"/>
      <c r="BG173" s="355"/>
      <c r="BH173" s="355"/>
      <c r="BI173" s="355"/>
      <c r="BJ173" s="355"/>
      <c r="BK173" s="355"/>
      <c r="BL173" s="355"/>
      <c r="BM173" s="118"/>
      <c r="BN173" s="68"/>
      <c r="BO173" s="68"/>
      <c r="BP173" s="68"/>
      <c r="BQ173" s="68"/>
      <c r="BR173" s="200"/>
      <c r="BS173" s="32"/>
      <c r="BT173" s="200"/>
      <c r="BU173" s="200"/>
      <c r="BV173" s="32"/>
      <c r="BW173" s="188"/>
      <c r="BX173" s="189"/>
      <c r="BY173" s="190"/>
      <c r="BZ173" s="191"/>
      <c r="CA173" s="192"/>
      <c r="CB173" s="191"/>
      <c r="CC173" s="18"/>
      <c r="CD173" s="10"/>
      <c r="CF173" s="194"/>
      <c r="CH173" s="194"/>
      <c r="CJ173" s="194"/>
    </row>
    <row r="174" spans="1:143" ht="16" hidden="1" customHeight="1" x14ac:dyDescent="0.25">
      <c r="A174" s="32"/>
      <c r="B174" s="202"/>
      <c r="C174" s="81" t="s">
        <v>92</v>
      </c>
      <c r="D174" s="95" t="s">
        <v>72</v>
      </c>
      <c r="E174" s="36" t="s">
        <v>18</v>
      </c>
      <c r="F174" s="65"/>
      <c r="G174" s="65"/>
      <c r="H174" s="65"/>
      <c r="I174" s="66"/>
      <c r="J174" s="66"/>
      <c r="K174" s="65"/>
      <c r="L174" s="65"/>
      <c r="M174" s="349"/>
      <c r="N174" s="349"/>
      <c r="O174" s="349"/>
      <c r="P174" s="349"/>
      <c r="Q174" s="349"/>
      <c r="R174" s="349"/>
      <c r="S174" s="349"/>
      <c r="T174" s="349"/>
      <c r="U174" s="349"/>
      <c r="V174" s="349"/>
      <c r="W174" s="349"/>
      <c r="X174" s="349"/>
      <c r="Y174" s="349"/>
      <c r="Z174" s="349"/>
      <c r="AA174" s="349"/>
      <c r="AB174" s="349"/>
      <c r="AC174" s="349"/>
      <c r="AD174" s="349"/>
      <c r="AE174" s="349"/>
      <c r="AF174" s="349"/>
      <c r="AG174" s="349"/>
      <c r="AH174" s="349"/>
      <c r="AI174" s="349"/>
      <c r="AJ174" s="349"/>
      <c r="AK174" s="349"/>
      <c r="AL174" s="349"/>
      <c r="AM174" s="349"/>
      <c r="AN174" s="349"/>
      <c r="AO174" s="349"/>
      <c r="AP174" s="349"/>
      <c r="AQ174" s="349"/>
      <c r="AR174" s="349"/>
      <c r="AS174" s="349"/>
      <c r="AT174" s="349"/>
      <c r="AU174" s="349"/>
      <c r="AV174" s="349"/>
      <c r="AW174" s="349"/>
      <c r="AX174" s="349"/>
      <c r="AY174" s="349"/>
      <c r="AZ174" s="349"/>
      <c r="BA174" s="349"/>
      <c r="BB174" s="349"/>
      <c r="BC174" s="349"/>
      <c r="BD174" s="349"/>
      <c r="BE174" s="349"/>
      <c r="BF174" s="349"/>
      <c r="BG174" s="349"/>
      <c r="BH174" s="349"/>
      <c r="BI174" s="349"/>
      <c r="BJ174" s="349"/>
      <c r="BK174" s="349"/>
      <c r="BL174" s="349"/>
      <c r="BM174" s="175" t="e">
        <f>SUM(#REF!)</f>
        <v>#REF!</v>
      </c>
      <c r="BN174" s="22">
        <v>160</v>
      </c>
      <c r="BO174" s="83">
        <v>0.4</v>
      </c>
      <c r="BP174" s="22">
        <f>BN174*(1-BO174)</f>
        <v>96</v>
      </c>
      <c r="BQ174" s="22" t="e">
        <f>BP174*BM174</f>
        <v>#REF!</v>
      </c>
      <c r="BR174" s="84">
        <f>BP174*0.8</f>
        <v>76.800000000000011</v>
      </c>
      <c r="BS174" s="32"/>
      <c r="BT174" s="84" t="e">
        <f>BQ174*0.8</f>
        <v>#REF!</v>
      </c>
      <c r="BU174" s="84"/>
      <c r="BV174" s="32"/>
      <c r="BW174" s="99">
        <f>BX174/CA174*100</f>
        <v>1.6966178638782834</v>
      </c>
      <c r="BX174" s="122">
        <v>2678</v>
      </c>
      <c r="BY174" s="123" t="e">
        <f>BW174*BM174</f>
        <v>#REF!</v>
      </c>
      <c r="BZ174" s="90">
        <v>320820</v>
      </c>
      <c r="CA174" s="89">
        <v>157843.44</v>
      </c>
      <c r="CB174" s="90">
        <v>324862</v>
      </c>
      <c r="CC174" s="21" t="e">
        <f>BT174/CB174*1000</f>
        <v>#REF!</v>
      </c>
      <c r="CD174" s="10"/>
      <c r="CE174" s="30" t="str">
        <f>C174</f>
        <v>MIX FM</v>
      </c>
      <c r="CF174" s="194"/>
      <c r="CG174" s="30" t="e">
        <f>SUM(#REF!)</f>
        <v>#REF!</v>
      </c>
      <c r="CH174" s="194" t="e">
        <f>#REF!*CG174</f>
        <v>#REF!</v>
      </c>
      <c r="CI174" s="306" t="e">
        <f>SUM(#REF!)</f>
        <v>#REF!</v>
      </c>
      <c r="CJ174" s="194" t="e">
        <f>#REF!*CI174</f>
        <v>#REF!</v>
      </c>
    </row>
    <row r="175" spans="1:143" ht="16" hidden="1" customHeight="1" x14ac:dyDescent="0.25">
      <c r="A175" s="32"/>
      <c r="B175" s="202"/>
      <c r="C175" s="116" t="s">
        <v>98</v>
      </c>
      <c r="D175" s="42"/>
      <c r="E175" s="117"/>
      <c r="F175" s="65"/>
      <c r="G175" s="65"/>
      <c r="H175" s="65"/>
      <c r="I175" s="66"/>
      <c r="J175" s="66"/>
      <c r="K175" s="65"/>
      <c r="L175" s="65"/>
      <c r="M175" s="356"/>
      <c r="N175" s="356"/>
      <c r="O175" s="356"/>
      <c r="P175" s="356"/>
      <c r="Q175" s="356"/>
      <c r="R175" s="356"/>
      <c r="S175" s="356"/>
      <c r="T175" s="356"/>
      <c r="U175" s="356"/>
      <c r="V175" s="356"/>
      <c r="W175" s="356"/>
      <c r="X175" s="356"/>
      <c r="Y175" s="356"/>
      <c r="Z175" s="356"/>
      <c r="AA175" s="356"/>
      <c r="AB175" s="356"/>
      <c r="AC175" s="356"/>
      <c r="AD175" s="356"/>
      <c r="AE175" s="356"/>
      <c r="AF175" s="356"/>
      <c r="AG175" s="356"/>
      <c r="AH175" s="356"/>
      <c r="AI175" s="356"/>
      <c r="AJ175" s="356"/>
      <c r="AK175" s="356"/>
      <c r="AL175" s="356"/>
      <c r="AM175" s="356"/>
      <c r="AN175" s="356"/>
      <c r="AO175" s="356"/>
      <c r="AP175" s="356"/>
      <c r="AQ175" s="356"/>
      <c r="AR175" s="356"/>
      <c r="AS175" s="356"/>
      <c r="AT175" s="356"/>
      <c r="AU175" s="356"/>
      <c r="AV175" s="356"/>
      <c r="AW175" s="356"/>
      <c r="AX175" s="356"/>
      <c r="AY175" s="356"/>
      <c r="AZ175" s="356"/>
      <c r="BA175" s="356"/>
      <c r="BB175" s="356"/>
      <c r="BC175" s="356"/>
      <c r="BD175" s="356"/>
      <c r="BE175" s="356"/>
      <c r="BF175" s="356"/>
      <c r="BG175" s="356"/>
      <c r="BH175" s="356"/>
      <c r="BI175" s="356"/>
      <c r="BJ175" s="356"/>
      <c r="BK175" s="356"/>
      <c r="BL175" s="356"/>
      <c r="BM175" s="203"/>
      <c r="BN175" s="22"/>
      <c r="BO175" s="22"/>
      <c r="BP175" s="22"/>
      <c r="BQ175" s="22"/>
      <c r="BR175" s="22"/>
      <c r="BS175" s="32"/>
      <c r="BT175" s="22"/>
      <c r="BU175" s="22"/>
      <c r="BV175" s="32"/>
      <c r="BW175" s="121"/>
      <c r="BX175" s="122"/>
      <c r="BY175" s="123"/>
      <c r="BZ175" s="90"/>
      <c r="CA175" s="89"/>
      <c r="CB175" s="90"/>
      <c r="CC175" s="21"/>
      <c r="CD175" s="10"/>
      <c r="CF175" s="194"/>
      <c r="CH175" s="194"/>
      <c r="CJ175" s="194"/>
    </row>
    <row r="176" spans="1:143" ht="16" hidden="1" customHeight="1" x14ac:dyDescent="0.25">
      <c r="A176" s="32"/>
      <c r="B176" s="202"/>
      <c r="C176" s="81"/>
      <c r="D176" s="95"/>
      <c r="E176" s="39"/>
      <c r="F176" s="65"/>
      <c r="G176" s="65"/>
      <c r="H176" s="65"/>
      <c r="I176" s="66"/>
      <c r="J176" s="66"/>
      <c r="K176" s="65"/>
      <c r="L176" s="65"/>
      <c r="M176" s="348"/>
      <c r="N176" s="348"/>
      <c r="O176" s="348"/>
      <c r="P176" s="348"/>
      <c r="Q176" s="348"/>
      <c r="R176" s="348"/>
      <c r="S176" s="348"/>
      <c r="T176" s="348"/>
      <c r="U176" s="348"/>
      <c r="V176" s="348"/>
      <c r="W176" s="348"/>
      <c r="X176" s="348"/>
      <c r="Y176" s="348"/>
      <c r="Z176" s="348"/>
      <c r="AA176" s="348"/>
      <c r="AB176" s="348"/>
      <c r="AC176" s="348"/>
      <c r="AD176" s="348"/>
      <c r="AE176" s="348"/>
      <c r="AF176" s="348"/>
      <c r="AG176" s="348"/>
      <c r="AH176" s="348"/>
      <c r="AI176" s="348"/>
      <c r="AJ176" s="348"/>
      <c r="AK176" s="348"/>
      <c r="AL176" s="348"/>
      <c r="AM176" s="348"/>
      <c r="AN176" s="348"/>
      <c r="AO176" s="348"/>
      <c r="AP176" s="348"/>
      <c r="AQ176" s="348"/>
      <c r="AR176" s="348"/>
      <c r="AS176" s="348"/>
      <c r="AT176" s="348"/>
      <c r="AU176" s="348"/>
      <c r="AV176" s="348"/>
      <c r="AW176" s="348"/>
      <c r="AX176" s="348"/>
      <c r="AY176" s="348"/>
      <c r="AZ176" s="348"/>
      <c r="BA176" s="348"/>
      <c r="BB176" s="348"/>
      <c r="BC176" s="348"/>
      <c r="BD176" s="348"/>
      <c r="BE176" s="348"/>
      <c r="BF176" s="348"/>
      <c r="BG176" s="348"/>
      <c r="BH176" s="348"/>
      <c r="BI176" s="348"/>
      <c r="BJ176" s="348"/>
      <c r="BK176" s="348"/>
      <c r="BL176" s="348"/>
      <c r="BM176" s="187"/>
      <c r="BN176" s="68"/>
      <c r="BO176" s="68"/>
      <c r="BP176" s="68"/>
      <c r="BQ176" s="68"/>
      <c r="BR176" s="200"/>
      <c r="BS176" s="32"/>
      <c r="BT176" s="200"/>
      <c r="BU176" s="200"/>
      <c r="BV176" s="32"/>
      <c r="BW176" s="106"/>
      <c r="BX176" s="107"/>
      <c r="BY176" s="108"/>
      <c r="BZ176" s="109"/>
      <c r="CA176" s="110"/>
      <c r="CB176" s="109"/>
      <c r="CC176" s="114"/>
      <c r="CD176" s="10"/>
      <c r="CF176" s="194"/>
      <c r="CH176" s="194"/>
      <c r="CJ176" s="194"/>
    </row>
    <row r="177" spans="1:89" ht="16" hidden="1" customHeight="1" x14ac:dyDescent="0.25">
      <c r="A177" s="32"/>
      <c r="B177" s="25" t="s">
        <v>104</v>
      </c>
      <c r="C177" s="139"/>
      <c r="D177" s="139"/>
      <c r="E177" s="139"/>
      <c r="F177" s="40">
        <f t="shared" ref="F177:L177" si="84">SUM(F150:F176)</f>
        <v>0</v>
      </c>
      <c r="G177" s="40">
        <f t="shared" si="84"/>
        <v>0</v>
      </c>
      <c r="H177" s="40">
        <f t="shared" si="84"/>
        <v>0</v>
      </c>
      <c r="I177" s="40">
        <f t="shared" si="84"/>
        <v>0</v>
      </c>
      <c r="J177" s="40">
        <f t="shared" si="84"/>
        <v>0</v>
      </c>
      <c r="K177" s="40">
        <f t="shared" si="84"/>
        <v>0</v>
      </c>
      <c r="L177" s="40">
        <f t="shared" si="84"/>
        <v>0</v>
      </c>
      <c r="M177" s="204"/>
      <c r="N177" s="204"/>
      <c r="O177" s="204"/>
      <c r="P177" s="204"/>
      <c r="Q177" s="204"/>
      <c r="R177" s="204"/>
      <c r="S177" s="204"/>
      <c r="T177" s="204"/>
      <c r="U177" s="204"/>
      <c r="V177" s="204"/>
      <c r="W177" s="204"/>
      <c r="X177" s="204"/>
      <c r="Y177" s="204"/>
      <c r="Z177" s="204"/>
      <c r="AA177" s="204"/>
      <c r="AB177" s="204"/>
      <c r="AC177" s="204"/>
      <c r="AD177" s="204"/>
      <c r="AE177" s="204"/>
      <c r="AF177" s="204"/>
      <c r="AG177" s="204"/>
      <c r="AH177" s="204"/>
      <c r="AI177" s="204"/>
      <c r="AJ177" s="204"/>
      <c r="AK177" s="204"/>
      <c r="AL177" s="204"/>
      <c r="AM177" s="204"/>
      <c r="AN177" s="204"/>
      <c r="AO177" s="204"/>
      <c r="AP177" s="204"/>
      <c r="AQ177" s="204"/>
      <c r="AR177" s="204"/>
      <c r="AS177" s="204"/>
      <c r="AT177" s="204"/>
      <c r="AU177" s="204"/>
      <c r="AV177" s="204"/>
      <c r="AW177" s="204"/>
      <c r="AX177" s="204"/>
      <c r="AY177" s="204"/>
      <c r="AZ177" s="204"/>
      <c r="BA177" s="204"/>
      <c r="BB177" s="204"/>
      <c r="BC177" s="204"/>
      <c r="BD177" s="204"/>
      <c r="BE177" s="204"/>
      <c r="BF177" s="204"/>
      <c r="BG177" s="204"/>
      <c r="BH177" s="204"/>
      <c r="BI177" s="204"/>
      <c r="BJ177" s="204"/>
      <c r="BK177" s="204"/>
      <c r="BL177" s="204"/>
      <c r="BM177" s="204" t="e">
        <f t="shared" ref="BM177" si="85">SUM(BM150:BM176)</f>
        <v>#REF!</v>
      </c>
      <c r="BN177" s="205"/>
      <c r="BO177" s="205"/>
      <c r="BP177" s="205"/>
      <c r="BQ177" s="205" t="e">
        <f>SUM(BQ150:BQ176)</f>
        <v>#REF!</v>
      </c>
      <c r="BR177" s="205">
        <f>SUM(BR150:BR176)</f>
        <v>865.24968421052631</v>
      </c>
      <c r="BS177" s="43"/>
      <c r="BT177" s="205" t="e">
        <f>SUM(BT150:BT176)</f>
        <v>#REF!</v>
      </c>
      <c r="BU177" s="205"/>
      <c r="BV177" s="43"/>
      <c r="BW177" s="196"/>
      <c r="BX177" s="197"/>
      <c r="BY177" s="198"/>
      <c r="BZ177" s="147"/>
      <c r="CA177" s="147"/>
      <c r="CB177" s="199" t="e">
        <f>SUM(CB150:CB176)</f>
        <v>#REF!</v>
      </c>
      <c r="CC177" s="149" t="e">
        <f>BT177/CB177*1000</f>
        <v>#REF!</v>
      </c>
      <c r="CD177" s="10"/>
      <c r="CF177" s="194"/>
      <c r="CH177" s="194"/>
      <c r="CJ177" s="194"/>
    </row>
    <row r="178" spans="1:89" s="152" customFormat="1" ht="16" hidden="1" customHeight="1" x14ac:dyDescent="0.4">
      <c r="A178" s="43"/>
      <c r="B178" s="183"/>
      <c r="C178" s="184"/>
      <c r="D178" s="185"/>
      <c r="E178" s="186"/>
      <c r="F178" s="65"/>
      <c r="G178" s="65"/>
      <c r="H178" s="65"/>
      <c r="I178" s="66"/>
      <c r="J178" s="66"/>
      <c r="K178" s="65"/>
      <c r="L178" s="65"/>
      <c r="M178" s="355"/>
      <c r="N178" s="355"/>
      <c r="O178" s="355"/>
      <c r="P178" s="355"/>
      <c r="Q178" s="355"/>
      <c r="R178" s="355"/>
      <c r="S178" s="355"/>
      <c r="T178" s="355"/>
      <c r="U178" s="355"/>
      <c r="V178" s="355"/>
      <c r="W178" s="355"/>
      <c r="X178" s="355"/>
      <c r="Y178" s="355"/>
      <c r="Z178" s="355"/>
      <c r="AA178" s="355"/>
      <c r="AB178" s="355"/>
      <c r="AC178" s="355"/>
      <c r="AD178" s="355"/>
      <c r="AE178" s="355"/>
      <c r="AF178" s="355"/>
      <c r="AG178" s="355"/>
      <c r="AH178" s="355"/>
      <c r="AI178" s="355"/>
      <c r="AJ178" s="355"/>
      <c r="AK178" s="355"/>
      <c r="AL178" s="355"/>
      <c r="AM178" s="355"/>
      <c r="AN178" s="355"/>
      <c r="AO178" s="355"/>
      <c r="AP178" s="355"/>
      <c r="AQ178" s="355"/>
      <c r="AR178" s="355"/>
      <c r="AS178" s="355"/>
      <c r="AT178" s="355"/>
      <c r="AU178" s="355"/>
      <c r="AV178" s="355"/>
      <c r="AW178" s="355"/>
      <c r="AX178" s="355"/>
      <c r="AY178" s="355"/>
      <c r="AZ178" s="355"/>
      <c r="BA178" s="355"/>
      <c r="BB178" s="355"/>
      <c r="BC178" s="355"/>
      <c r="BD178" s="355"/>
      <c r="BE178" s="355"/>
      <c r="BF178" s="355"/>
      <c r="BG178" s="355"/>
      <c r="BH178" s="355"/>
      <c r="BI178" s="355"/>
      <c r="BJ178" s="355"/>
      <c r="BK178" s="355"/>
      <c r="BL178" s="355"/>
      <c r="BM178" s="118"/>
      <c r="BN178" s="68"/>
      <c r="BO178" s="68"/>
      <c r="BP178" s="68"/>
      <c r="BQ178" s="68"/>
      <c r="BR178" s="200"/>
      <c r="BS178" s="32"/>
      <c r="BT178" s="200"/>
      <c r="BU178" s="200"/>
      <c r="BV178" s="32"/>
      <c r="BW178" s="188"/>
      <c r="BX178" s="189"/>
      <c r="BY178" s="190"/>
      <c r="BZ178" s="191"/>
      <c r="CA178" s="192"/>
      <c r="CB178" s="191"/>
      <c r="CC178" s="193"/>
      <c r="CD178" s="160"/>
      <c r="CE178" s="30"/>
      <c r="CF178" s="194"/>
      <c r="CG178" s="30"/>
      <c r="CH178" s="194"/>
      <c r="CI178" s="306"/>
      <c r="CJ178" s="194"/>
      <c r="CK178" s="151"/>
    </row>
    <row r="179" spans="1:89" ht="16" hidden="1" customHeight="1" x14ac:dyDescent="0.25">
      <c r="A179" s="32"/>
      <c r="B179" s="93" t="s">
        <v>105</v>
      </c>
      <c r="C179" s="81" t="s">
        <v>106</v>
      </c>
      <c r="D179" s="95" t="s">
        <v>87</v>
      </c>
      <c r="E179" s="39" t="s">
        <v>18</v>
      </c>
      <c r="F179" s="65"/>
      <c r="G179" s="65"/>
      <c r="H179" s="65"/>
      <c r="I179" s="66"/>
      <c r="J179" s="66"/>
      <c r="K179" s="65"/>
      <c r="L179" s="65"/>
      <c r="M179" s="356"/>
      <c r="N179" s="356"/>
      <c r="O179" s="356"/>
      <c r="P179" s="356"/>
      <c r="Q179" s="356"/>
      <c r="R179" s="356"/>
      <c r="S179" s="356"/>
      <c r="T179" s="356"/>
      <c r="U179" s="356"/>
      <c r="V179" s="356"/>
      <c r="W179" s="356"/>
      <c r="X179" s="356"/>
      <c r="Y179" s="356"/>
      <c r="Z179" s="356"/>
      <c r="AA179" s="356"/>
      <c r="AB179" s="356"/>
      <c r="AC179" s="356"/>
      <c r="AD179" s="356"/>
      <c r="AE179" s="356"/>
      <c r="AF179" s="356"/>
      <c r="AG179" s="356"/>
      <c r="AH179" s="356"/>
      <c r="AI179" s="356"/>
      <c r="AJ179" s="356"/>
      <c r="AK179" s="356"/>
      <c r="AL179" s="356"/>
      <c r="AM179" s="356"/>
      <c r="AN179" s="356"/>
      <c r="AO179" s="356"/>
      <c r="AP179" s="356"/>
      <c r="AQ179" s="356"/>
      <c r="AR179" s="356"/>
      <c r="AS179" s="356"/>
      <c r="AT179" s="356"/>
      <c r="AU179" s="356"/>
      <c r="AV179" s="356"/>
      <c r="AW179" s="356"/>
      <c r="AX179" s="356"/>
      <c r="AY179" s="356"/>
      <c r="AZ179" s="356"/>
      <c r="BA179" s="356"/>
      <c r="BB179" s="356"/>
      <c r="BC179" s="356"/>
      <c r="BD179" s="356"/>
      <c r="BE179" s="356"/>
      <c r="BF179" s="356"/>
      <c r="BG179" s="356"/>
      <c r="BH179" s="356"/>
      <c r="BI179" s="356"/>
      <c r="BJ179" s="356"/>
      <c r="BK179" s="356"/>
      <c r="BL179" s="356"/>
      <c r="BM179" s="82" t="e">
        <f>SUM(#REF!)</f>
        <v>#REF!</v>
      </c>
      <c r="BN179" s="22">
        <v>200</v>
      </c>
      <c r="BO179" s="83">
        <v>0.6</v>
      </c>
      <c r="BP179" s="22">
        <f>BN179*(1-BO179)</f>
        <v>80</v>
      </c>
      <c r="BQ179" s="22" t="e">
        <f>BP179*BM179</f>
        <v>#REF!</v>
      </c>
      <c r="BR179" s="84">
        <f>BP179*0.8</f>
        <v>64</v>
      </c>
      <c r="BS179" s="32"/>
      <c r="BT179" s="84" t="e">
        <f>BQ179*0.8</f>
        <v>#REF!</v>
      </c>
      <c r="BU179" s="84"/>
      <c r="BV179" s="32"/>
      <c r="BW179" s="99"/>
      <c r="BX179" s="86"/>
      <c r="BY179" s="87"/>
      <c r="BZ179" s="88">
        <v>145155</v>
      </c>
      <c r="CA179" s="89"/>
      <c r="CB179" s="90"/>
      <c r="CC179" s="21" t="e">
        <f>BT179/CB179*1000</f>
        <v>#REF!</v>
      </c>
      <c r="CD179" s="55"/>
      <c r="CE179" s="30" t="str">
        <f>C179</f>
        <v>CLUBE FM</v>
      </c>
      <c r="CF179" s="194"/>
      <c r="CG179" s="30" t="e">
        <f>SUM(#REF!)</f>
        <v>#REF!</v>
      </c>
      <c r="CH179" s="194" t="e">
        <f>#REF!*CG179</f>
        <v>#REF!</v>
      </c>
      <c r="CI179" s="306" t="e">
        <f>SUM(#REF!)</f>
        <v>#REF!</v>
      </c>
      <c r="CJ179" s="194" t="e">
        <f>#REF!*CI179</f>
        <v>#REF!</v>
      </c>
    </row>
    <row r="180" spans="1:89" ht="16" hidden="1" customHeight="1" x14ac:dyDescent="0.25">
      <c r="A180" s="32"/>
      <c r="B180" s="111"/>
      <c r="C180" s="95"/>
      <c r="D180" s="95"/>
      <c r="E180" s="39"/>
      <c r="F180" s="65"/>
      <c r="G180" s="65"/>
      <c r="H180" s="65"/>
      <c r="I180" s="66"/>
      <c r="J180" s="66"/>
      <c r="K180" s="65"/>
      <c r="L180" s="65"/>
      <c r="M180" s="350"/>
      <c r="N180" s="350"/>
      <c r="O180" s="350"/>
      <c r="P180" s="350"/>
      <c r="Q180" s="350"/>
      <c r="R180" s="350"/>
      <c r="S180" s="350"/>
      <c r="T180" s="350"/>
      <c r="U180" s="350"/>
      <c r="V180" s="350"/>
      <c r="W180" s="350"/>
      <c r="X180" s="350"/>
      <c r="Y180" s="350"/>
      <c r="Z180" s="350"/>
      <c r="AA180" s="350"/>
      <c r="AB180" s="350"/>
      <c r="AC180" s="350"/>
      <c r="AD180" s="350"/>
      <c r="AE180" s="350"/>
      <c r="AF180" s="350"/>
      <c r="AG180" s="350"/>
      <c r="AH180" s="350"/>
      <c r="AI180" s="350"/>
      <c r="AJ180" s="350"/>
      <c r="AK180" s="350"/>
      <c r="AL180" s="350"/>
      <c r="AM180" s="350"/>
      <c r="AN180" s="350"/>
      <c r="AO180" s="350"/>
      <c r="AP180" s="350"/>
      <c r="AQ180" s="350"/>
      <c r="AR180" s="350"/>
      <c r="AS180" s="350"/>
      <c r="AT180" s="350"/>
      <c r="AU180" s="350"/>
      <c r="AV180" s="350"/>
      <c r="AW180" s="350"/>
      <c r="AX180" s="350"/>
      <c r="AY180" s="350"/>
      <c r="AZ180" s="350"/>
      <c r="BA180" s="350"/>
      <c r="BB180" s="350"/>
      <c r="BC180" s="350"/>
      <c r="BD180" s="350"/>
      <c r="BE180" s="350"/>
      <c r="BF180" s="350"/>
      <c r="BG180" s="350"/>
      <c r="BH180" s="350"/>
      <c r="BI180" s="350"/>
      <c r="BJ180" s="350"/>
      <c r="BK180" s="350"/>
      <c r="BL180" s="350"/>
      <c r="BM180" s="173"/>
      <c r="BN180" s="104"/>
      <c r="BO180" s="195"/>
      <c r="BP180" s="104"/>
      <c r="BQ180" s="104"/>
      <c r="BR180" s="104"/>
      <c r="BS180" s="32"/>
      <c r="BT180" s="104"/>
      <c r="BU180" s="104"/>
      <c r="BV180" s="32"/>
      <c r="BW180" s="106"/>
      <c r="BX180" s="107"/>
      <c r="BY180" s="108"/>
      <c r="BZ180" s="109"/>
      <c r="CA180" s="110"/>
      <c r="CB180" s="109"/>
      <c r="CC180" s="114"/>
      <c r="CD180" s="10"/>
      <c r="CF180" s="194"/>
      <c r="CH180" s="194"/>
      <c r="CJ180" s="194"/>
    </row>
    <row r="181" spans="1:89" ht="16" hidden="1" customHeight="1" x14ac:dyDescent="0.25">
      <c r="A181" s="32"/>
      <c r="B181" s="25" t="s">
        <v>107</v>
      </c>
      <c r="C181" s="139"/>
      <c r="D181" s="139"/>
      <c r="E181" s="139"/>
      <c r="F181" s="40">
        <f t="shared" ref="F181:L181" si="86">SUM(F178:F180)</f>
        <v>0</v>
      </c>
      <c r="G181" s="40">
        <f t="shared" si="86"/>
        <v>0</v>
      </c>
      <c r="H181" s="40">
        <f t="shared" si="86"/>
        <v>0</v>
      </c>
      <c r="I181" s="40">
        <f t="shared" si="86"/>
        <v>0</v>
      </c>
      <c r="J181" s="40">
        <f t="shared" si="86"/>
        <v>0</v>
      </c>
      <c r="K181" s="40">
        <f t="shared" si="86"/>
        <v>0</v>
      </c>
      <c r="L181" s="40">
        <f t="shared" si="86"/>
        <v>0</v>
      </c>
      <c r="M181" s="40"/>
      <c r="N181" s="40"/>
      <c r="O181" s="40"/>
      <c r="P181" s="40"/>
      <c r="Q181" s="40"/>
      <c r="R181" s="40"/>
      <c r="S181" s="40"/>
      <c r="T181" s="40"/>
      <c r="U181" s="40"/>
      <c r="V181" s="40"/>
      <c r="W181" s="40"/>
      <c r="X181" s="40"/>
      <c r="Y181" s="40"/>
      <c r="Z181" s="40"/>
      <c r="AA181" s="40"/>
      <c r="AB181" s="40"/>
      <c r="AC181" s="40"/>
      <c r="AD181" s="40"/>
      <c r="AE181" s="40"/>
      <c r="AF181" s="40"/>
      <c r="AG181" s="40"/>
      <c r="AH181" s="40"/>
      <c r="AI181" s="40"/>
      <c r="AJ181" s="40"/>
      <c r="AK181" s="40"/>
      <c r="AL181" s="40"/>
      <c r="AM181" s="40"/>
      <c r="AN181" s="40"/>
      <c r="AO181" s="40"/>
      <c r="AP181" s="40"/>
      <c r="AQ181" s="40"/>
      <c r="AR181" s="40"/>
      <c r="AS181" s="40"/>
      <c r="AT181" s="40"/>
      <c r="AU181" s="40"/>
      <c r="AV181" s="40"/>
      <c r="AW181" s="40"/>
      <c r="AX181" s="40"/>
      <c r="AY181" s="40"/>
      <c r="AZ181" s="40"/>
      <c r="BA181" s="40"/>
      <c r="BB181" s="40"/>
      <c r="BC181" s="40"/>
      <c r="BD181" s="40"/>
      <c r="BE181" s="40"/>
      <c r="BF181" s="40"/>
      <c r="BG181" s="40"/>
      <c r="BH181" s="40"/>
      <c r="BI181" s="40"/>
      <c r="BJ181" s="40"/>
      <c r="BK181" s="40"/>
      <c r="BL181" s="40"/>
      <c r="BM181" s="40" t="e">
        <f t="shared" ref="BM181" si="87">SUM(BM178:BM180)</f>
        <v>#REF!</v>
      </c>
      <c r="BN181" s="141"/>
      <c r="BO181" s="141"/>
      <c r="BP181" s="141"/>
      <c r="BQ181" s="141" t="e">
        <f>SUM(BQ178:BQ180)</f>
        <v>#REF!</v>
      </c>
      <c r="BR181" s="141">
        <f>SUM(BR178:BR180)</f>
        <v>64</v>
      </c>
      <c r="BS181" s="43"/>
      <c r="BT181" s="141" t="e">
        <f>SUM(BT178:BT180)</f>
        <v>#REF!</v>
      </c>
      <c r="BU181" s="141"/>
      <c r="BV181" s="43"/>
      <c r="BW181" s="196"/>
      <c r="BX181" s="197"/>
      <c r="BY181" s="198"/>
      <c r="BZ181" s="147"/>
      <c r="CA181" s="147"/>
      <c r="CB181" s="199">
        <f>SUM(CB178:CB180)</f>
        <v>0</v>
      </c>
      <c r="CC181" s="149" t="e">
        <f>BT181/CB181*1000</f>
        <v>#REF!</v>
      </c>
      <c r="CD181" s="10"/>
      <c r="CF181" s="194"/>
      <c r="CH181" s="194"/>
      <c r="CJ181" s="194"/>
    </row>
    <row r="182" spans="1:89" s="152" customFormat="1" ht="16" hidden="1" customHeight="1" x14ac:dyDescent="0.4">
      <c r="A182" s="43"/>
      <c r="B182" s="183"/>
      <c r="C182" s="184"/>
      <c r="D182" s="185"/>
      <c r="E182" s="186"/>
      <c r="F182" s="65"/>
      <c r="G182" s="65"/>
      <c r="H182" s="65"/>
      <c r="I182" s="66"/>
      <c r="J182" s="66"/>
      <c r="K182" s="65"/>
      <c r="L182" s="65"/>
      <c r="M182" s="355"/>
      <c r="N182" s="355"/>
      <c r="O182" s="355"/>
      <c r="P182" s="355"/>
      <c r="Q182" s="355"/>
      <c r="R182" s="355"/>
      <c r="S182" s="355"/>
      <c r="T182" s="355"/>
      <c r="U182" s="355"/>
      <c r="V182" s="355"/>
      <c r="W182" s="355"/>
      <c r="X182" s="355"/>
      <c r="Y182" s="355"/>
      <c r="Z182" s="355"/>
      <c r="AA182" s="355"/>
      <c r="AB182" s="355"/>
      <c r="AC182" s="355"/>
      <c r="AD182" s="355"/>
      <c r="AE182" s="355"/>
      <c r="AF182" s="355"/>
      <c r="AG182" s="355"/>
      <c r="AH182" s="355"/>
      <c r="AI182" s="355"/>
      <c r="AJ182" s="355"/>
      <c r="AK182" s="355"/>
      <c r="AL182" s="355"/>
      <c r="AM182" s="355"/>
      <c r="AN182" s="355"/>
      <c r="AO182" s="355"/>
      <c r="AP182" s="355"/>
      <c r="AQ182" s="355"/>
      <c r="AR182" s="355"/>
      <c r="AS182" s="355"/>
      <c r="AT182" s="355"/>
      <c r="AU182" s="355"/>
      <c r="AV182" s="355"/>
      <c r="AW182" s="355"/>
      <c r="AX182" s="355"/>
      <c r="AY182" s="355"/>
      <c r="AZ182" s="355"/>
      <c r="BA182" s="355"/>
      <c r="BB182" s="355"/>
      <c r="BC182" s="355"/>
      <c r="BD182" s="355"/>
      <c r="BE182" s="355"/>
      <c r="BF182" s="355"/>
      <c r="BG182" s="355"/>
      <c r="BH182" s="355"/>
      <c r="BI182" s="355"/>
      <c r="BJ182" s="355"/>
      <c r="BK182" s="355"/>
      <c r="BL182" s="355"/>
      <c r="BM182" s="118"/>
      <c r="BN182" s="68"/>
      <c r="BO182" s="68"/>
      <c r="BP182" s="68"/>
      <c r="BQ182" s="68"/>
      <c r="BR182" s="68"/>
      <c r="BS182" s="32"/>
      <c r="BT182" s="68"/>
      <c r="BU182" s="68"/>
      <c r="BV182" s="32"/>
      <c r="BW182" s="188"/>
      <c r="BX182" s="189"/>
      <c r="BY182" s="190"/>
      <c r="BZ182" s="191"/>
      <c r="CA182" s="192"/>
      <c r="CB182" s="191"/>
      <c r="CC182" s="193"/>
      <c r="CD182" s="160"/>
      <c r="CE182" s="30"/>
      <c r="CF182" s="194"/>
      <c r="CG182" s="30"/>
      <c r="CH182" s="194"/>
      <c r="CI182" s="306"/>
      <c r="CJ182" s="194"/>
      <c r="CK182" s="151"/>
    </row>
    <row r="183" spans="1:89" ht="16" hidden="1" customHeight="1" x14ac:dyDescent="0.25">
      <c r="A183" s="32"/>
      <c r="B183" s="93" t="s">
        <v>108</v>
      </c>
      <c r="C183" s="81" t="s">
        <v>106</v>
      </c>
      <c r="D183" s="95" t="s">
        <v>87</v>
      </c>
      <c r="E183" s="39" t="s">
        <v>18</v>
      </c>
      <c r="F183" s="65"/>
      <c r="G183" s="65"/>
      <c r="H183" s="65"/>
      <c r="I183" s="66"/>
      <c r="J183" s="66"/>
      <c r="K183" s="65"/>
      <c r="L183" s="65"/>
      <c r="M183" s="356"/>
      <c r="N183" s="356"/>
      <c r="O183" s="356"/>
      <c r="P183" s="356"/>
      <c r="Q183" s="356"/>
      <c r="R183" s="356"/>
      <c r="S183" s="356"/>
      <c r="T183" s="356"/>
      <c r="U183" s="356"/>
      <c r="V183" s="356"/>
      <c r="W183" s="356"/>
      <c r="X183" s="356"/>
      <c r="Y183" s="356"/>
      <c r="Z183" s="356"/>
      <c r="AA183" s="356"/>
      <c r="AB183" s="356"/>
      <c r="AC183" s="356"/>
      <c r="AD183" s="356"/>
      <c r="AE183" s="356"/>
      <c r="AF183" s="356"/>
      <c r="AG183" s="356"/>
      <c r="AH183" s="356"/>
      <c r="AI183" s="356"/>
      <c r="AJ183" s="356"/>
      <c r="AK183" s="356"/>
      <c r="AL183" s="356"/>
      <c r="AM183" s="356"/>
      <c r="AN183" s="356"/>
      <c r="AO183" s="356"/>
      <c r="AP183" s="356"/>
      <c r="AQ183" s="356"/>
      <c r="AR183" s="356"/>
      <c r="AS183" s="356"/>
      <c r="AT183" s="356"/>
      <c r="AU183" s="356"/>
      <c r="AV183" s="356"/>
      <c r="AW183" s="356"/>
      <c r="AX183" s="356"/>
      <c r="AY183" s="356"/>
      <c r="AZ183" s="356"/>
      <c r="BA183" s="356"/>
      <c r="BB183" s="356"/>
      <c r="BC183" s="356"/>
      <c r="BD183" s="356"/>
      <c r="BE183" s="356"/>
      <c r="BF183" s="356"/>
      <c r="BG183" s="356"/>
      <c r="BH183" s="356"/>
      <c r="BI183" s="356"/>
      <c r="BJ183" s="356"/>
      <c r="BK183" s="356"/>
      <c r="BL183" s="356"/>
      <c r="BM183" s="82" t="e">
        <f>SUM(#REF!)</f>
        <v>#REF!</v>
      </c>
      <c r="BN183" s="22">
        <f>21*1.25</f>
        <v>26.25</v>
      </c>
      <c r="BO183" s="83">
        <v>0.3</v>
      </c>
      <c r="BP183" s="22">
        <f>BN183*(1-BO183)</f>
        <v>18.375</v>
      </c>
      <c r="BQ183" s="22" t="e">
        <f>BP183*BM183</f>
        <v>#REF!</v>
      </c>
      <c r="BR183" s="22">
        <f>BP183*0.8</f>
        <v>14.700000000000001</v>
      </c>
      <c r="BS183" s="32"/>
      <c r="BT183" s="22" t="e">
        <f>BQ183*0.8</f>
        <v>#REF!</v>
      </c>
      <c r="BU183" s="22"/>
      <c r="BV183" s="32"/>
      <c r="BW183" s="99"/>
      <c r="BX183" s="86"/>
      <c r="BY183" s="87" t="e">
        <f>BW183*BM183</f>
        <v>#REF!</v>
      </c>
      <c r="BZ183" s="88">
        <v>74779</v>
      </c>
      <c r="CA183" s="89"/>
      <c r="CB183" s="90" t="e">
        <f>CA183*BY183%</f>
        <v>#REF!</v>
      </c>
      <c r="CC183" s="21" t="e">
        <f>BT183/CB183*1000</f>
        <v>#REF!</v>
      </c>
      <c r="CD183" s="55"/>
      <c r="CE183" s="30" t="str">
        <f>C183</f>
        <v>CLUBE FM</v>
      </c>
      <c r="CF183" s="194"/>
      <c r="CG183" s="30" t="e">
        <f>SUM(#REF!)</f>
        <v>#REF!</v>
      </c>
      <c r="CH183" s="194" t="e">
        <f>#REF!*CG183</f>
        <v>#REF!</v>
      </c>
      <c r="CI183" s="306" t="e">
        <f>SUM(#REF!)</f>
        <v>#REF!</v>
      </c>
      <c r="CJ183" s="194" t="e">
        <f>#REF!*CI183</f>
        <v>#REF!</v>
      </c>
    </row>
    <row r="184" spans="1:89" ht="16" hidden="1" customHeight="1" x14ac:dyDescent="0.25">
      <c r="A184" s="32"/>
      <c r="B184" s="111"/>
      <c r="C184" s="81"/>
      <c r="D184" s="95"/>
      <c r="E184" s="39"/>
      <c r="F184" s="65"/>
      <c r="G184" s="65"/>
      <c r="H184" s="65"/>
      <c r="I184" s="66"/>
      <c r="J184" s="66"/>
      <c r="K184" s="65"/>
      <c r="L184" s="65"/>
      <c r="M184" s="356"/>
      <c r="N184" s="356"/>
      <c r="O184" s="356"/>
      <c r="P184" s="356"/>
      <c r="Q184" s="356"/>
      <c r="R184" s="356"/>
      <c r="S184" s="356"/>
      <c r="T184" s="356"/>
      <c r="U184" s="356"/>
      <c r="V184" s="356"/>
      <c r="W184" s="356"/>
      <c r="X184" s="356"/>
      <c r="Y184" s="356"/>
      <c r="Z184" s="356"/>
      <c r="AA184" s="356"/>
      <c r="AB184" s="356"/>
      <c r="AC184" s="356"/>
      <c r="AD184" s="356"/>
      <c r="AE184" s="356"/>
      <c r="AF184" s="356"/>
      <c r="AG184" s="356"/>
      <c r="AH184" s="356"/>
      <c r="AI184" s="356"/>
      <c r="AJ184" s="356"/>
      <c r="AK184" s="356"/>
      <c r="AL184" s="356"/>
      <c r="AM184" s="356"/>
      <c r="AN184" s="356"/>
      <c r="AO184" s="356"/>
      <c r="AP184" s="356"/>
      <c r="AQ184" s="356"/>
      <c r="AR184" s="356"/>
      <c r="AS184" s="356"/>
      <c r="AT184" s="356"/>
      <c r="AU184" s="356"/>
      <c r="AV184" s="356"/>
      <c r="AW184" s="356"/>
      <c r="AX184" s="356"/>
      <c r="AY184" s="356"/>
      <c r="AZ184" s="356"/>
      <c r="BA184" s="356"/>
      <c r="BB184" s="356"/>
      <c r="BC184" s="356"/>
      <c r="BD184" s="356"/>
      <c r="BE184" s="356"/>
      <c r="BF184" s="356"/>
      <c r="BG184" s="356"/>
      <c r="BH184" s="356"/>
      <c r="BI184" s="356"/>
      <c r="BJ184" s="356"/>
      <c r="BK184" s="356"/>
      <c r="BL184" s="356"/>
      <c r="BM184" s="82"/>
      <c r="BN184" s="22"/>
      <c r="BO184" s="83"/>
      <c r="BP184" s="22"/>
      <c r="BQ184" s="22"/>
      <c r="BR184" s="22"/>
      <c r="BS184" s="32"/>
      <c r="BT184" s="22"/>
      <c r="BU184" s="22"/>
      <c r="BV184" s="32"/>
      <c r="BW184" s="201"/>
      <c r="BX184" s="157"/>
      <c r="BY184" s="158"/>
      <c r="BZ184" s="89"/>
      <c r="CA184" s="89"/>
      <c r="CB184" s="90"/>
      <c r="CC184" s="21"/>
      <c r="CD184" s="55"/>
      <c r="CF184" s="194"/>
      <c r="CG184" s="30" t="e">
        <f>SUM(#REF!)</f>
        <v>#REF!</v>
      </c>
      <c r="CH184" s="194"/>
      <c r="CI184" s="306" t="e">
        <f>SUM(#REF!)</f>
        <v>#REF!</v>
      </c>
      <c r="CJ184" s="194"/>
    </row>
    <row r="185" spans="1:89" ht="16" hidden="1" customHeight="1" x14ac:dyDescent="0.25">
      <c r="A185" s="32"/>
      <c r="B185" s="111"/>
      <c r="C185" s="81" t="s">
        <v>109</v>
      </c>
      <c r="D185" s="95" t="s">
        <v>87</v>
      </c>
      <c r="E185" s="39" t="s">
        <v>18</v>
      </c>
      <c r="F185" s="65"/>
      <c r="G185" s="65"/>
      <c r="H185" s="65"/>
      <c r="I185" s="66"/>
      <c r="J185" s="66"/>
      <c r="K185" s="65"/>
      <c r="L185" s="65"/>
      <c r="M185" s="356"/>
      <c r="N185" s="356"/>
      <c r="O185" s="356"/>
      <c r="P185" s="356"/>
      <c r="Q185" s="356"/>
      <c r="R185" s="356"/>
      <c r="S185" s="356"/>
      <c r="T185" s="356"/>
      <c r="U185" s="356"/>
      <c r="V185" s="356"/>
      <c r="W185" s="356"/>
      <c r="X185" s="356"/>
      <c r="Y185" s="356"/>
      <c r="Z185" s="356"/>
      <c r="AA185" s="356"/>
      <c r="AB185" s="356"/>
      <c r="AC185" s="356"/>
      <c r="AD185" s="356"/>
      <c r="AE185" s="356"/>
      <c r="AF185" s="356"/>
      <c r="AG185" s="356"/>
      <c r="AH185" s="356"/>
      <c r="AI185" s="356"/>
      <c r="AJ185" s="356"/>
      <c r="AK185" s="356"/>
      <c r="AL185" s="356"/>
      <c r="AM185" s="356"/>
      <c r="AN185" s="356"/>
      <c r="AO185" s="356"/>
      <c r="AP185" s="356"/>
      <c r="AQ185" s="356"/>
      <c r="AR185" s="356"/>
      <c r="AS185" s="356"/>
      <c r="AT185" s="356"/>
      <c r="AU185" s="356"/>
      <c r="AV185" s="356"/>
      <c r="AW185" s="356"/>
      <c r="AX185" s="356"/>
      <c r="AY185" s="356"/>
      <c r="AZ185" s="356"/>
      <c r="BA185" s="356"/>
      <c r="BB185" s="356"/>
      <c r="BC185" s="356"/>
      <c r="BD185" s="356"/>
      <c r="BE185" s="356"/>
      <c r="BF185" s="356"/>
      <c r="BG185" s="356"/>
      <c r="BH185" s="356"/>
      <c r="BI185" s="356"/>
      <c r="BJ185" s="356"/>
      <c r="BK185" s="356"/>
      <c r="BL185" s="356"/>
      <c r="BM185" s="82" t="e">
        <f>SUM(#REF!)</f>
        <v>#REF!</v>
      </c>
      <c r="BN185" s="22">
        <f>BP185/0.64</f>
        <v>121.5625</v>
      </c>
      <c r="BO185" s="83">
        <v>0.36</v>
      </c>
      <c r="BP185" s="22">
        <v>77.8</v>
      </c>
      <c r="BQ185" s="22" t="e">
        <f>BP185*BM185</f>
        <v>#REF!</v>
      </c>
      <c r="BR185" s="22">
        <f>BP185*0.8</f>
        <v>62.24</v>
      </c>
      <c r="BS185" s="32"/>
      <c r="BT185" s="22" t="e">
        <f>BQ185*0.8</f>
        <v>#REF!</v>
      </c>
      <c r="BU185" s="22"/>
      <c r="BV185" s="32"/>
      <c r="BW185" s="201"/>
      <c r="BX185" s="157"/>
      <c r="BY185" s="87" t="e">
        <f>BW185*BM185</f>
        <v>#REF!</v>
      </c>
      <c r="BZ185" s="89">
        <v>74779</v>
      </c>
      <c r="CA185" s="89"/>
      <c r="CB185" s="90" t="e">
        <f>CA185*BY185%</f>
        <v>#REF!</v>
      </c>
      <c r="CC185" s="21" t="e">
        <f>BT185/CB185*1000</f>
        <v>#REF!</v>
      </c>
      <c r="CD185" s="55"/>
      <c r="CE185" s="30" t="str">
        <f>C185</f>
        <v>RÁDIO AMIGA FM</v>
      </c>
      <c r="CH185" s="194" t="e">
        <f>#REF!*CG184</f>
        <v>#REF!</v>
      </c>
      <c r="CJ185" s="194" t="e">
        <f>#REF!*CI184</f>
        <v>#REF!</v>
      </c>
    </row>
    <row r="186" spans="1:89" ht="16" hidden="1" customHeight="1" x14ac:dyDescent="0.25">
      <c r="A186" s="32"/>
      <c r="B186" s="111"/>
      <c r="C186" s="95"/>
      <c r="D186" s="95"/>
      <c r="E186" s="39"/>
      <c r="F186" s="65"/>
      <c r="G186" s="65"/>
      <c r="H186" s="65"/>
      <c r="I186" s="66"/>
      <c r="J186" s="66"/>
      <c r="K186" s="65"/>
      <c r="L186" s="65"/>
      <c r="M186" s="350"/>
      <c r="N186" s="350"/>
      <c r="O186" s="350"/>
      <c r="P186" s="350"/>
      <c r="Q186" s="350"/>
      <c r="R186" s="350"/>
      <c r="S186" s="350"/>
      <c r="T186" s="350"/>
      <c r="U186" s="350"/>
      <c r="V186" s="350"/>
      <c r="W186" s="350"/>
      <c r="X186" s="350"/>
      <c r="Y186" s="350"/>
      <c r="Z186" s="350"/>
      <c r="AA186" s="350"/>
      <c r="AB186" s="350"/>
      <c r="AC186" s="350"/>
      <c r="AD186" s="350"/>
      <c r="AE186" s="350"/>
      <c r="AF186" s="350"/>
      <c r="AG186" s="350"/>
      <c r="AH186" s="350"/>
      <c r="AI186" s="350"/>
      <c r="AJ186" s="350"/>
      <c r="AK186" s="350"/>
      <c r="AL186" s="350"/>
      <c r="AM186" s="350"/>
      <c r="AN186" s="350"/>
      <c r="AO186" s="350"/>
      <c r="AP186" s="350"/>
      <c r="AQ186" s="350"/>
      <c r="AR186" s="350"/>
      <c r="AS186" s="350"/>
      <c r="AT186" s="350"/>
      <c r="AU186" s="350"/>
      <c r="AV186" s="350"/>
      <c r="AW186" s="350"/>
      <c r="AX186" s="350"/>
      <c r="AY186" s="350"/>
      <c r="AZ186" s="350"/>
      <c r="BA186" s="350"/>
      <c r="BB186" s="350"/>
      <c r="BC186" s="350"/>
      <c r="BD186" s="350"/>
      <c r="BE186" s="350"/>
      <c r="BF186" s="350"/>
      <c r="BG186" s="350"/>
      <c r="BH186" s="350"/>
      <c r="BI186" s="350"/>
      <c r="BJ186" s="350"/>
      <c r="BK186" s="350"/>
      <c r="BL186" s="350"/>
      <c r="BM186" s="173"/>
      <c r="BN186" s="104"/>
      <c r="BO186" s="195"/>
      <c r="BP186" s="104"/>
      <c r="BQ186" s="104"/>
      <c r="BR186" s="104"/>
      <c r="BS186" s="32"/>
      <c r="BT186" s="104"/>
      <c r="BU186" s="104"/>
      <c r="BV186" s="32"/>
      <c r="BW186" s="106"/>
      <c r="BX186" s="107"/>
      <c r="BY186" s="108"/>
      <c r="BZ186" s="109"/>
      <c r="CA186" s="110"/>
      <c r="CB186" s="109"/>
      <c r="CC186" s="114"/>
      <c r="CD186" s="10"/>
      <c r="CF186" s="194"/>
      <c r="CH186" s="194"/>
      <c r="CJ186" s="194"/>
    </row>
    <row r="187" spans="1:89" ht="16" hidden="1" customHeight="1" x14ac:dyDescent="0.25">
      <c r="A187" s="32"/>
      <c r="B187" s="25" t="s">
        <v>110</v>
      </c>
      <c r="C187" s="139"/>
      <c r="D187" s="139"/>
      <c r="E187" s="139"/>
      <c r="F187" s="40">
        <f t="shared" ref="F187:L187" si="88">SUM(F182:F186)</f>
        <v>0</v>
      </c>
      <c r="G187" s="40">
        <f t="shared" si="88"/>
        <v>0</v>
      </c>
      <c r="H187" s="40">
        <f t="shared" si="88"/>
        <v>0</v>
      </c>
      <c r="I187" s="40">
        <f t="shared" si="88"/>
        <v>0</v>
      </c>
      <c r="J187" s="40">
        <f t="shared" si="88"/>
        <v>0</v>
      </c>
      <c r="K187" s="40">
        <f t="shared" si="88"/>
        <v>0</v>
      </c>
      <c r="L187" s="40">
        <f t="shared" si="88"/>
        <v>0</v>
      </c>
      <c r="M187" s="40"/>
      <c r="N187" s="40"/>
      <c r="O187" s="40"/>
      <c r="P187" s="40"/>
      <c r="Q187" s="40"/>
      <c r="R187" s="40"/>
      <c r="S187" s="40"/>
      <c r="T187" s="40"/>
      <c r="U187" s="40"/>
      <c r="V187" s="40"/>
      <c r="W187" s="40"/>
      <c r="X187" s="40"/>
      <c r="Y187" s="40"/>
      <c r="Z187" s="40"/>
      <c r="AA187" s="40"/>
      <c r="AB187" s="40"/>
      <c r="AC187" s="40"/>
      <c r="AD187" s="40"/>
      <c r="AE187" s="40"/>
      <c r="AF187" s="40"/>
      <c r="AG187" s="40"/>
      <c r="AH187" s="40"/>
      <c r="AI187" s="40"/>
      <c r="AJ187" s="40"/>
      <c r="AK187" s="40"/>
      <c r="AL187" s="40"/>
      <c r="AM187" s="40"/>
      <c r="AN187" s="40"/>
      <c r="AO187" s="40"/>
      <c r="AP187" s="40"/>
      <c r="AQ187" s="40"/>
      <c r="AR187" s="40"/>
      <c r="AS187" s="40"/>
      <c r="AT187" s="40"/>
      <c r="AU187" s="40"/>
      <c r="AV187" s="40"/>
      <c r="AW187" s="40"/>
      <c r="AX187" s="40"/>
      <c r="AY187" s="40"/>
      <c r="AZ187" s="40"/>
      <c r="BA187" s="40"/>
      <c r="BB187" s="40"/>
      <c r="BC187" s="40"/>
      <c r="BD187" s="40"/>
      <c r="BE187" s="40"/>
      <c r="BF187" s="40"/>
      <c r="BG187" s="40"/>
      <c r="BH187" s="40"/>
      <c r="BI187" s="40"/>
      <c r="BJ187" s="40"/>
      <c r="BK187" s="40"/>
      <c r="BL187" s="40"/>
      <c r="BM187" s="40" t="e">
        <f t="shared" ref="BM187" si="89">SUM(BM182:BM186)</f>
        <v>#REF!</v>
      </c>
      <c r="BN187" s="141"/>
      <c r="BO187" s="141"/>
      <c r="BP187" s="141"/>
      <c r="BQ187" s="141" t="e">
        <f>SUM(BQ182:BQ186)</f>
        <v>#REF!</v>
      </c>
      <c r="BR187" s="141">
        <f>SUM(BR182:BR186)</f>
        <v>76.94</v>
      </c>
      <c r="BS187" s="43"/>
      <c r="BT187" s="141" t="e">
        <f>SUM(BT182:BT186)</f>
        <v>#REF!</v>
      </c>
      <c r="BU187" s="141"/>
      <c r="BV187" s="43"/>
      <c r="BW187" s="196"/>
      <c r="BX187" s="197"/>
      <c r="BY187" s="198"/>
      <c r="BZ187" s="147"/>
      <c r="CA187" s="147"/>
      <c r="CB187" s="199" t="e">
        <f>SUM(CB182:CB186)</f>
        <v>#REF!</v>
      </c>
      <c r="CC187" s="149" t="e">
        <f>BT187/CB187*1000</f>
        <v>#REF!</v>
      </c>
      <c r="CD187" s="10"/>
      <c r="CF187" s="194"/>
      <c r="CH187" s="194"/>
      <c r="CJ187" s="194"/>
    </row>
    <row r="188" spans="1:89" s="152" customFormat="1" ht="16" hidden="1" customHeight="1" x14ac:dyDescent="0.4">
      <c r="A188" s="43"/>
      <c r="B188" s="183"/>
      <c r="C188" s="184"/>
      <c r="D188" s="185"/>
      <c r="E188" s="186"/>
      <c r="F188" s="65"/>
      <c r="G188" s="65"/>
      <c r="H188" s="65"/>
      <c r="I188" s="66"/>
      <c r="J188" s="66"/>
      <c r="K188" s="65"/>
      <c r="L188" s="65"/>
      <c r="M188" s="355"/>
      <c r="N188" s="355"/>
      <c r="O188" s="355"/>
      <c r="P188" s="355"/>
      <c r="Q188" s="355"/>
      <c r="R188" s="355"/>
      <c r="S188" s="355"/>
      <c r="T188" s="355"/>
      <c r="U188" s="355"/>
      <c r="V188" s="355"/>
      <c r="W188" s="355"/>
      <c r="X188" s="355"/>
      <c r="Y188" s="355"/>
      <c r="Z188" s="355"/>
      <c r="AA188" s="355"/>
      <c r="AB188" s="355"/>
      <c r="AC188" s="355"/>
      <c r="AD188" s="355"/>
      <c r="AE188" s="355"/>
      <c r="AF188" s="355"/>
      <c r="AG188" s="355"/>
      <c r="AH188" s="355"/>
      <c r="AI188" s="355"/>
      <c r="AJ188" s="355"/>
      <c r="AK188" s="355"/>
      <c r="AL188" s="355"/>
      <c r="AM188" s="355"/>
      <c r="AN188" s="355"/>
      <c r="AO188" s="355"/>
      <c r="AP188" s="355"/>
      <c r="AQ188" s="355"/>
      <c r="AR188" s="355"/>
      <c r="AS188" s="355"/>
      <c r="AT188" s="355"/>
      <c r="AU188" s="355"/>
      <c r="AV188" s="355"/>
      <c r="AW188" s="355"/>
      <c r="AX188" s="355"/>
      <c r="AY188" s="355"/>
      <c r="AZ188" s="355"/>
      <c r="BA188" s="355"/>
      <c r="BB188" s="355"/>
      <c r="BC188" s="355"/>
      <c r="BD188" s="355"/>
      <c r="BE188" s="355"/>
      <c r="BF188" s="355"/>
      <c r="BG188" s="355"/>
      <c r="BH188" s="355"/>
      <c r="BI188" s="355"/>
      <c r="BJ188" s="355"/>
      <c r="BK188" s="355"/>
      <c r="BL188" s="355"/>
      <c r="BM188" s="118"/>
      <c r="BN188" s="68"/>
      <c r="BO188" s="68"/>
      <c r="BP188" s="68"/>
      <c r="BQ188" s="68"/>
      <c r="BR188" s="68"/>
      <c r="BS188" s="32"/>
      <c r="BT188" s="68"/>
      <c r="BU188" s="68"/>
      <c r="BV188" s="32"/>
      <c r="BW188" s="188"/>
      <c r="BX188" s="189"/>
      <c r="BY188" s="190"/>
      <c r="BZ188" s="191"/>
      <c r="CA188" s="192"/>
      <c r="CB188" s="191"/>
      <c r="CC188" s="193"/>
      <c r="CD188" s="160"/>
      <c r="CE188" s="30"/>
      <c r="CF188" s="194"/>
      <c r="CG188" s="30"/>
      <c r="CH188" s="194"/>
      <c r="CI188" s="306"/>
      <c r="CJ188" s="194"/>
      <c r="CK188" s="151"/>
    </row>
    <row r="189" spans="1:89" ht="16" hidden="1" customHeight="1" x14ac:dyDescent="0.25">
      <c r="A189" s="32"/>
      <c r="B189" s="93" t="s">
        <v>111</v>
      </c>
      <c r="C189" s="81" t="s">
        <v>112</v>
      </c>
      <c r="D189" s="95" t="s">
        <v>87</v>
      </c>
      <c r="E189" s="39" t="s">
        <v>18</v>
      </c>
      <c r="F189" s="65"/>
      <c r="G189" s="65"/>
      <c r="H189" s="65"/>
      <c r="I189" s="66"/>
      <c r="J189" s="66"/>
      <c r="K189" s="65"/>
      <c r="L189" s="65"/>
      <c r="M189" s="356"/>
      <c r="N189" s="356"/>
      <c r="O189" s="356"/>
      <c r="P189" s="356"/>
      <c r="Q189" s="356"/>
      <c r="R189" s="356"/>
      <c r="S189" s="356"/>
      <c r="T189" s="356"/>
      <c r="U189" s="356"/>
      <c r="V189" s="356"/>
      <c r="W189" s="356"/>
      <c r="X189" s="356"/>
      <c r="Y189" s="356"/>
      <c r="Z189" s="356"/>
      <c r="AA189" s="356"/>
      <c r="AB189" s="356"/>
      <c r="AC189" s="356"/>
      <c r="AD189" s="356"/>
      <c r="AE189" s="356"/>
      <c r="AF189" s="356"/>
      <c r="AG189" s="356"/>
      <c r="AH189" s="356"/>
      <c r="AI189" s="356"/>
      <c r="AJ189" s="356"/>
      <c r="AK189" s="356"/>
      <c r="AL189" s="356"/>
      <c r="AM189" s="356"/>
      <c r="AN189" s="356"/>
      <c r="AO189" s="356"/>
      <c r="AP189" s="356"/>
      <c r="AQ189" s="356"/>
      <c r="AR189" s="356"/>
      <c r="AS189" s="356"/>
      <c r="AT189" s="356"/>
      <c r="AU189" s="356"/>
      <c r="AV189" s="356"/>
      <c r="AW189" s="356"/>
      <c r="AX189" s="356"/>
      <c r="AY189" s="356"/>
      <c r="AZ189" s="356"/>
      <c r="BA189" s="356"/>
      <c r="BB189" s="356"/>
      <c r="BC189" s="356"/>
      <c r="BD189" s="356"/>
      <c r="BE189" s="356"/>
      <c r="BF189" s="356"/>
      <c r="BG189" s="356"/>
      <c r="BH189" s="356"/>
      <c r="BI189" s="356"/>
      <c r="BJ189" s="356"/>
      <c r="BK189" s="356"/>
      <c r="BL189" s="356"/>
      <c r="BM189" s="82" t="e">
        <f>SUM(#REF!)</f>
        <v>#REF!</v>
      </c>
      <c r="BN189" s="22">
        <v>121</v>
      </c>
      <c r="BO189" s="83">
        <v>0.5</v>
      </c>
      <c r="BP189" s="22">
        <f>BN189*(1-BO189)</f>
        <v>60.5</v>
      </c>
      <c r="BQ189" s="22" t="e">
        <f>BP189*BM189</f>
        <v>#REF!</v>
      </c>
      <c r="BR189" s="22">
        <f>BP189*0.8</f>
        <v>48.400000000000006</v>
      </c>
      <c r="BS189" s="32"/>
      <c r="BT189" s="22" t="e">
        <f>BQ189*0.8</f>
        <v>#REF!</v>
      </c>
      <c r="BU189" s="22"/>
      <c r="BV189" s="32"/>
      <c r="BW189" s="99"/>
      <c r="BX189" s="86"/>
      <c r="BY189" s="87" t="e">
        <f>BW189*BM189</f>
        <v>#REF!</v>
      </c>
      <c r="BZ189" s="88">
        <v>225668</v>
      </c>
      <c r="CA189" s="89"/>
      <c r="CB189" s="90" t="e">
        <f>CA189*BY189%</f>
        <v>#REF!</v>
      </c>
      <c r="CC189" s="21" t="e">
        <f>BT189/CB189*1000</f>
        <v>#REF!</v>
      </c>
      <c r="CD189" s="55"/>
      <c r="CE189" s="30" t="str">
        <f>C189</f>
        <v>FRONTEIRA FM</v>
      </c>
      <c r="CF189" s="194"/>
      <c r="CG189" s="30" t="e">
        <f>SUM(#REF!)</f>
        <v>#REF!</v>
      </c>
      <c r="CH189" s="194" t="e">
        <f>#REF!*CG189</f>
        <v>#REF!</v>
      </c>
      <c r="CI189" s="306" t="e">
        <f>SUM(#REF!)</f>
        <v>#REF!</v>
      </c>
      <c r="CJ189" s="194" t="e">
        <f>#REF!*CI189</f>
        <v>#REF!</v>
      </c>
    </row>
    <row r="190" spans="1:89" ht="16" hidden="1" customHeight="1" x14ac:dyDescent="0.25">
      <c r="A190" s="32"/>
      <c r="B190" s="111"/>
      <c r="C190" s="81"/>
      <c r="D190" s="95"/>
      <c r="E190" s="39"/>
      <c r="F190" s="65"/>
      <c r="G190" s="65"/>
      <c r="H190" s="65"/>
      <c r="I190" s="66"/>
      <c r="J190" s="66"/>
      <c r="K190" s="65"/>
      <c r="L190" s="65"/>
      <c r="M190" s="356"/>
      <c r="N190" s="356"/>
      <c r="O190" s="356"/>
      <c r="P190" s="356"/>
      <c r="Q190" s="356"/>
      <c r="R190" s="356"/>
      <c r="S190" s="356"/>
      <c r="T190" s="356"/>
      <c r="U190" s="356"/>
      <c r="V190" s="356"/>
      <c r="W190" s="356"/>
      <c r="X190" s="356"/>
      <c r="Y190" s="356"/>
      <c r="Z190" s="356"/>
      <c r="AA190" s="356"/>
      <c r="AB190" s="356"/>
      <c r="AC190" s="356"/>
      <c r="AD190" s="356"/>
      <c r="AE190" s="356"/>
      <c r="AF190" s="356"/>
      <c r="AG190" s="356"/>
      <c r="AH190" s="356"/>
      <c r="AI190" s="356"/>
      <c r="AJ190" s="356"/>
      <c r="AK190" s="356"/>
      <c r="AL190" s="356"/>
      <c r="AM190" s="356"/>
      <c r="AN190" s="356"/>
      <c r="AO190" s="356"/>
      <c r="AP190" s="356"/>
      <c r="AQ190" s="356"/>
      <c r="AR190" s="356"/>
      <c r="AS190" s="356"/>
      <c r="AT190" s="356"/>
      <c r="AU190" s="356"/>
      <c r="AV190" s="356"/>
      <c r="AW190" s="356"/>
      <c r="AX190" s="356"/>
      <c r="AY190" s="356"/>
      <c r="AZ190" s="356"/>
      <c r="BA190" s="356"/>
      <c r="BB190" s="356"/>
      <c r="BC190" s="356"/>
      <c r="BD190" s="356"/>
      <c r="BE190" s="356"/>
      <c r="BF190" s="356"/>
      <c r="BG190" s="356"/>
      <c r="BH190" s="356"/>
      <c r="BI190" s="356"/>
      <c r="BJ190" s="356"/>
      <c r="BK190" s="356"/>
      <c r="BL190" s="356"/>
      <c r="BM190" s="82"/>
      <c r="BN190" s="22"/>
      <c r="BO190" s="83"/>
      <c r="BP190" s="22"/>
      <c r="BQ190" s="22"/>
      <c r="BR190" s="22"/>
      <c r="BS190" s="32"/>
      <c r="BT190" s="22"/>
      <c r="BU190" s="22"/>
      <c r="BV190" s="32"/>
      <c r="BW190" s="201"/>
      <c r="BX190" s="157"/>
      <c r="BY190" s="158"/>
      <c r="BZ190" s="89"/>
      <c r="CA190" s="89"/>
      <c r="CB190" s="90"/>
      <c r="CC190" s="21"/>
      <c r="CD190" s="55"/>
      <c r="CF190" s="194"/>
      <c r="CH190" s="194"/>
      <c r="CJ190" s="194"/>
    </row>
    <row r="191" spans="1:89" ht="16" hidden="1" customHeight="1" x14ac:dyDescent="0.25">
      <c r="A191" s="32"/>
      <c r="B191" s="111"/>
      <c r="C191" s="81" t="s">
        <v>113</v>
      </c>
      <c r="D191" s="95" t="s">
        <v>87</v>
      </c>
      <c r="E191" s="39" t="s">
        <v>18</v>
      </c>
      <c r="F191" s="65"/>
      <c r="G191" s="65"/>
      <c r="H191" s="65"/>
      <c r="I191" s="66"/>
      <c r="J191" s="66"/>
      <c r="K191" s="65"/>
      <c r="L191" s="65"/>
      <c r="M191" s="356"/>
      <c r="N191" s="356"/>
      <c r="O191" s="356"/>
      <c r="P191" s="356"/>
      <c r="Q191" s="356"/>
      <c r="R191" s="356"/>
      <c r="S191" s="356"/>
      <c r="T191" s="356"/>
      <c r="U191" s="356"/>
      <c r="V191" s="356"/>
      <c r="W191" s="356"/>
      <c r="X191" s="356"/>
      <c r="Y191" s="356"/>
      <c r="Z191" s="356"/>
      <c r="AA191" s="356"/>
      <c r="AB191" s="356"/>
      <c r="AC191" s="356"/>
      <c r="AD191" s="356"/>
      <c r="AE191" s="356"/>
      <c r="AF191" s="356"/>
      <c r="AG191" s="356"/>
      <c r="AH191" s="356"/>
      <c r="AI191" s="356"/>
      <c r="AJ191" s="356"/>
      <c r="AK191" s="356"/>
      <c r="AL191" s="356"/>
      <c r="AM191" s="356"/>
      <c r="AN191" s="356"/>
      <c r="AO191" s="356"/>
      <c r="AP191" s="356"/>
      <c r="AQ191" s="356"/>
      <c r="AR191" s="356"/>
      <c r="AS191" s="356"/>
      <c r="AT191" s="356"/>
      <c r="AU191" s="356"/>
      <c r="AV191" s="356"/>
      <c r="AW191" s="356"/>
      <c r="AX191" s="356"/>
      <c r="AY191" s="356"/>
      <c r="AZ191" s="356"/>
      <c r="BA191" s="356"/>
      <c r="BB191" s="356"/>
      <c r="BC191" s="356"/>
      <c r="BD191" s="356"/>
      <c r="BE191" s="356"/>
      <c r="BF191" s="356"/>
      <c r="BG191" s="356"/>
      <c r="BH191" s="356"/>
      <c r="BI191" s="356"/>
      <c r="BJ191" s="356"/>
      <c r="BK191" s="356"/>
      <c r="BL191" s="356"/>
      <c r="BM191" s="82" t="e">
        <f>SUM(#REF!)</f>
        <v>#REF!</v>
      </c>
      <c r="BN191" s="22">
        <v>218.5</v>
      </c>
      <c r="BO191" s="83">
        <v>0.5</v>
      </c>
      <c r="BP191" s="22">
        <f>BN191*(1-BO191)</f>
        <v>109.25</v>
      </c>
      <c r="BQ191" s="22" t="e">
        <f>BP191*BM191</f>
        <v>#REF!</v>
      </c>
      <c r="BR191" s="22">
        <f>BP191*0.8</f>
        <v>87.4</v>
      </c>
      <c r="BS191" s="32"/>
      <c r="BT191" s="22" t="e">
        <f>BQ191*0.8</f>
        <v>#REF!</v>
      </c>
      <c r="BU191" s="22"/>
      <c r="BV191" s="32"/>
      <c r="BW191" s="201"/>
      <c r="BX191" s="157"/>
      <c r="BY191" s="87" t="e">
        <f>BW191*BM191</f>
        <v>#REF!</v>
      </c>
      <c r="BZ191" s="88">
        <v>225668</v>
      </c>
      <c r="CA191" s="89"/>
      <c r="CB191" s="90" t="e">
        <f>CA191*BY191%</f>
        <v>#REF!</v>
      </c>
      <c r="CC191" s="21" t="e">
        <f>BT191/CB191*1000</f>
        <v>#REF!</v>
      </c>
      <c r="CD191" s="55"/>
      <c r="CE191" s="30" t="str">
        <f>C191</f>
        <v>RÁDIO 98,1</v>
      </c>
      <c r="CF191" s="194"/>
      <c r="CG191" s="30" t="e">
        <f>SUM(#REF!)</f>
        <v>#REF!</v>
      </c>
      <c r="CH191" s="194" t="e">
        <f>#REF!*CG191</f>
        <v>#REF!</v>
      </c>
      <c r="CI191" s="306" t="e">
        <f>SUM(#REF!)</f>
        <v>#REF!</v>
      </c>
      <c r="CJ191" s="194" t="e">
        <f>#REF!*CI191</f>
        <v>#REF!</v>
      </c>
    </row>
    <row r="192" spans="1:89" ht="16" hidden="1" customHeight="1" x14ac:dyDescent="0.25">
      <c r="A192" s="32"/>
      <c r="B192" s="111"/>
      <c r="C192" s="81"/>
      <c r="D192" s="95"/>
      <c r="E192" s="39"/>
      <c r="F192" s="65"/>
      <c r="G192" s="65"/>
      <c r="H192" s="65"/>
      <c r="I192" s="66"/>
      <c r="J192" s="66"/>
      <c r="K192" s="65"/>
      <c r="L192" s="65"/>
      <c r="M192" s="356"/>
      <c r="N192" s="356"/>
      <c r="O192" s="356"/>
      <c r="P192" s="356"/>
      <c r="Q192" s="356"/>
      <c r="R192" s="356"/>
      <c r="S192" s="356"/>
      <c r="T192" s="356"/>
      <c r="U192" s="356"/>
      <c r="V192" s="356"/>
      <c r="W192" s="356"/>
      <c r="X192" s="356"/>
      <c r="Y192" s="356"/>
      <c r="Z192" s="356"/>
      <c r="AA192" s="356"/>
      <c r="AB192" s="356"/>
      <c r="AC192" s="356"/>
      <c r="AD192" s="356"/>
      <c r="AE192" s="356"/>
      <c r="AF192" s="356"/>
      <c r="AG192" s="356"/>
      <c r="AH192" s="356"/>
      <c r="AI192" s="356"/>
      <c r="AJ192" s="356"/>
      <c r="AK192" s="356"/>
      <c r="AL192" s="356"/>
      <c r="AM192" s="356"/>
      <c r="AN192" s="356"/>
      <c r="AO192" s="356"/>
      <c r="AP192" s="356"/>
      <c r="AQ192" s="356"/>
      <c r="AR192" s="356"/>
      <c r="AS192" s="356"/>
      <c r="AT192" s="356"/>
      <c r="AU192" s="356"/>
      <c r="AV192" s="356"/>
      <c r="AW192" s="356"/>
      <c r="AX192" s="356"/>
      <c r="AY192" s="356"/>
      <c r="AZ192" s="356"/>
      <c r="BA192" s="356"/>
      <c r="BB192" s="356"/>
      <c r="BC192" s="356"/>
      <c r="BD192" s="356"/>
      <c r="BE192" s="356"/>
      <c r="BF192" s="356"/>
      <c r="BG192" s="356"/>
      <c r="BH192" s="356"/>
      <c r="BI192" s="356"/>
      <c r="BJ192" s="356"/>
      <c r="BK192" s="356"/>
      <c r="BL192" s="356"/>
      <c r="BM192" s="82"/>
      <c r="BN192" s="22"/>
      <c r="BO192" s="83"/>
      <c r="BP192" s="22"/>
      <c r="BQ192" s="22"/>
      <c r="BR192" s="22"/>
      <c r="BS192" s="32"/>
      <c r="BT192" s="22"/>
      <c r="BU192" s="22"/>
      <c r="BV192" s="32"/>
      <c r="BW192" s="201"/>
      <c r="BX192" s="157"/>
      <c r="BY192" s="158"/>
      <c r="BZ192" s="89"/>
      <c r="CA192" s="89"/>
      <c r="CB192" s="90"/>
      <c r="CC192" s="21"/>
      <c r="CD192" s="55"/>
      <c r="CF192" s="194"/>
      <c r="CH192" s="194"/>
      <c r="CJ192" s="194"/>
    </row>
    <row r="193" spans="1:89" ht="16" hidden="1" customHeight="1" x14ac:dyDescent="0.25">
      <c r="A193" s="32"/>
      <c r="B193" s="111"/>
      <c r="C193" s="81" t="s">
        <v>114</v>
      </c>
      <c r="D193" s="95" t="s">
        <v>87</v>
      </c>
      <c r="E193" s="39" t="s">
        <v>18</v>
      </c>
      <c r="F193" s="65"/>
      <c r="G193" s="65"/>
      <c r="H193" s="65"/>
      <c r="I193" s="66"/>
      <c r="J193" s="66"/>
      <c r="K193" s="65"/>
      <c r="L193" s="65"/>
      <c r="M193" s="356"/>
      <c r="N193" s="356"/>
      <c r="O193" s="356"/>
      <c r="P193" s="356"/>
      <c r="Q193" s="356"/>
      <c r="R193" s="356"/>
      <c r="S193" s="356"/>
      <c r="T193" s="356"/>
      <c r="U193" s="356"/>
      <c r="V193" s="356"/>
      <c r="W193" s="356"/>
      <c r="X193" s="356"/>
      <c r="Y193" s="356"/>
      <c r="Z193" s="356"/>
      <c r="AA193" s="356"/>
      <c r="AB193" s="356"/>
      <c r="AC193" s="356"/>
      <c r="AD193" s="356"/>
      <c r="AE193" s="356"/>
      <c r="AF193" s="356"/>
      <c r="AG193" s="356"/>
      <c r="AH193" s="356"/>
      <c r="AI193" s="356"/>
      <c r="AJ193" s="356"/>
      <c r="AK193" s="356"/>
      <c r="AL193" s="356"/>
      <c r="AM193" s="356"/>
      <c r="AN193" s="356"/>
      <c r="AO193" s="356"/>
      <c r="AP193" s="356"/>
      <c r="AQ193" s="356"/>
      <c r="AR193" s="356"/>
      <c r="AS193" s="356"/>
      <c r="AT193" s="356"/>
      <c r="AU193" s="356"/>
      <c r="AV193" s="356"/>
      <c r="AW193" s="356"/>
      <c r="AX193" s="356"/>
      <c r="AY193" s="356"/>
      <c r="AZ193" s="356"/>
      <c r="BA193" s="356"/>
      <c r="BB193" s="356"/>
      <c r="BC193" s="356"/>
      <c r="BD193" s="356"/>
      <c r="BE193" s="356"/>
      <c r="BF193" s="356"/>
      <c r="BG193" s="356"/>
      <c r="BH193" s="356"/>
      <c r="BI193" s="356"/>
      <c r="BJ193" s="356"/>
      <c r="BK193" s="356"/>
      <c r="BL193" s="356"/>
      <c r="BM193" s="82" t="e">
        <f>SUM(#REF!)</f>
        <v>#REF!</v>
      </c>
      <c r="BN193" s="22">
        <v>427</v>
      </c>
      <c r="BO193" s="83">
        <v>0.45</v>
      </c>
      <c r="BP193" s="22">
        <f>BN193*(1-BO193)</f>
        <v>234.85000000000002</v>
      </c>
      <c r="BQ193" s="22" t="e">
        <f>BP193*BM193</f>
        <v>#REF!</v>
      </c>
      <c r="BR193" s="22">
        <f>BP193*0.8</f>
        <v>187.88000000000002</v>
      </c>
      <c r="BS193" s="32"/>
      <c r="BT193" s="22" t="e">
        <f>BQ193*0.8</f>
        <v>#REF!</v>
      </c>
      <c r="BU193" s="22"/>
      <c r="BV193" s="32"/>
      <c r="BW193" s="201"/>
      <c r="BX193" s="157"/>
      <c r="BY193" s="87" t="e">
        <f>BW193*BM193</f>
        <v>#REF!</v>
      </c>
      <c r="BZ193" s="88">
        <v>225668</v>
      </c>
      <c r="CA193" s="89"/>
      <c r="CB193" s="90" t="e">
        <f>CA193*BY193%</f>
        <v>#REF!</v>
      </c>
      <c r="CC193" s="21" t="e">
        <f>BT193/CB193*1000</f>
        <v>#REF!</v>
      </c>
      <c r="CD193" s="55"/>
      <c r="CE193" s="30" t="str">
        <f>C193</f>
        <v>101 FM</v>
      </c>
      <c r="CF193" s="194"/>
      <c r="CG193" s="30" t="e">
        <f>SUM(#REF!)</f>
        <v>#REF!</v>
      </c>
      <c r="CH193" s="194" t="e">
        <f>#REF!*CG193</f>
        <v>#REF!</v>
      </c>
      <c r="CI193" s="306" t="e">
        <f>SUM(#REF!)</f>
        <v>#REF!</v>
      </c>
      <c r="CJ193" s="194" t="e">
        <f>#REF!*CI193</f>
        <v>#REF!</v>
      </c>
    </row>
    <row r="194" spans="1:89" ht="16" hidden="1" customHeight="1" x14ac:dyDescent="0.25">
      <c r="A194" s="32"/>
      <c r="B194" s="111"/>
      <c r="C194" s="95"/>
      <c r="D194" s="95"/>
      <c r="E194" s="39"/>
      <c r="F194" s="65"/>
      <c r="G194" s="65"/>
      <c r="H194" s="65"/>
      <c r="I194" s="66"/>
      <c r="J194" s="66"/>
      <c r="K194" s="65"/>
      <c r="L194" s="65"/>
      <c r="M194" s="350"/>
      <c r="N194" s="350"/>
      <c r="O194" s="350"/>
      <c r="P194" s="350"/>
      <c r="Q194" s="350"/>
      <c r="R194" s="350"/>
      <c r="S194" s="350"/>
      <c r="T194" s="350"/>
      <c r="U194" s="350"/>
      <c r="V194" s="350"/>
      <c r="W194" s="350"/>
      <c r="X194" s="350"/>
      <c r="Y194" s="350"/>
      <c r="Z194" s="350"/>
      <c r="AA194" s="350"/>
      <c r="AB194" s="350"/>
      <c r="AC194" s="350"/>
      <c r="AD194" s="350"/>
      <c r="AE194" s="350"/>
      <c r="AF194" s="350"/>
      <c r="AG194" s="350"/>
      <c r="AH194" s="350"/>
      <c r="AI194" s="350"/>
      <c r="AJ194" s="350"/>
      <c r="AK194" s="350"/>
      <c r="AL194" s="350"/>
      <c r="AM194" s="350"/>
      <c r="AN194" s="350"/>
      <c r="AO194" s="350"/>
      <c r="AP194" s="350"/>
      <c r="AQ194" s="350"/>
      <c r="AR194" s="350"/>
      <c r="AS194" s="350"/>
      <c r="AT194" s="350"/>
      <c r="AU194" s="350"/>
      <c r="AV194" s="350"/>
      <c r="AW194" s="350"/>
      <c r="AX194" s="350"/>
      <c r="AY194" s="350"/>
      <c r="AZ194" s="350"/>
      <c r="BA194" s="350"/>
      <c r="BB194" s="350"/>
      <c r="BC194" s="350"/>
      <c r="BD194" s="350"/>
      <c r="BE194" s="350"/>
      <c r="BF194" s="350"/>
      <c r="BG194" s="350"/>
      <c r="BH194" s="350"/>
      <c r="BI194" s="350"/>
      <c r="BJ194" s="350"/>
      <c r="BK194" s="350"/>
      <c r="BL194" s="350"/>
      <c r="BM194" s="173"/>
      <c r="BN194" s="104"/>
      <c r="BO194" s="195"/>
      <c r="BP194" s="104"/>
      <c r="BQ194" s="104"/>
      <c r="BR194" s="104"/>
      <c r="BS194" s="32"/>
      <c r="BT194" s="104"/>
      <c r="BU194" s="104"/>
      <c r="BV194" s="32"/>
      <c r="BW194" s="106"/>
      <c r="BX194" s="107"/>
      <c r="BY194" s="108"/>
      <c r="BZ194" s="109"/>
      <c r="CA194" s="110"/>
      <c r="CB194" s="109"/>
      <c r="CC194" s="114"/>
      <c r="CD194" s="10"/>
      <c r="CF194" s="194"/>
      <c r="CH194" s="194"/>
      <c r="CJ194" s="194"/>
    </row>
    <row r="195" spans="1:89" ht="16" hidden="1" customHeight="1" x14ac:dyDescent="0.25">
      <c r="A195" s="32"/>
      <c r="B195" s="25" t="s">
        <v>115</v>
      </c>
      <c r="C195" s="139"/>
      <c r="D195" s="139"/>
      <c r="E195" s="139"/>
      <c r="F195" s="40">
        <f t="shared" ref="F195:L195" si="90">SUM(F188:F194)</f>
        <v>0</v>
      </c>
      <c r="G195" s="40">
        <f t="shared" si="90"/>
        <v>0</v>
      </c>
      <c r="H195" s="40">
        <f t="shared" si="90"/>
        <v>0</v>
      </c>
      <c r="I195" s="40">
        <f t="shared" si="90"/>
        <v>0</v>
      </c>
      <c r="J195" s="40">
        <f t="shared" si="90"/>
        <v>0</v>
      </c>
      <c r="K195" s="40">
        <f t="shared" si="90"/>
        <v>0</v>
      </c>
      <c r="L195" s="40">
        <f t="shared" si="90"/>
        <v>0</v>
      </c>
      <c r="M195" s="40"/>
      <c r="N195" s="40"/>
      <c r="O195" s="40"/>
      <c r="P195" s="40"/>
      <c r="Q195" s="40"/>
      <c r="R195" s="40"/>
      <c r="S195" s="40"/>
      <c r="T195" s="40"/>
      <c r="U195" s="40"/>
      <c r="V195" s="40"/>
      <c r="W195" s="40"/>
      <c r="X195" s="40"/>
      <c r="Y195" s="40"/>
      <c r="Z195" s="40"/>
      <c r="AA195" s="40"/>
      <c r="AB195" s="40"/>
      <c r="AC195" s="40"/>
      <c r="AD195" s="40"/>
      <c r="AE195" s="40"/>
      <c r="AF195" s="40"/>
      <c r="AG195" s="40"/>
      <c r="AH195" s="40"/>
      <c r="AI195" s="40"/>
      <c r="AJ195" s="40"/>
      <c r="AK195" s="40"/>
      <c r="AL195" s="40"/>
      <c r="AM195" s="40"/>
      <c r="AN195" s="40"/>
      <c r="AO195" s="40"/>
      <c r="AP195" s="40"/>
      <c r="AQ195" s="40"/>
      <c r="AR195" s="40"/>
      <c r="AS195" s="40"/>
      <c r="AT195" s="40"/>
      <c r="AU195" s="40"/>
      <c r="AV195" s="40"/>
      <c r="AW195" s="40"/>
      <c r="AX195" s="40"/>
      <c r="AY195" s="40"/>
      <c r="AZ195" s="40"/>
      <c r="BA195" s="40"/>
      <c r="BB195" s="40"/>
      <c r="BC195" s="40"/>
      <c r="BD195" s="40"/>
      <c r="BE195" s="40"/>
      <c r="BF195" s="40"/>
      <c r="BG195" s="40"/>
      <c r="BH195" s="40"/>
      <c r="BI195" s="40"/>
      <c r="BJ195" s="40"/>
      <c r="BK195" s="40"/>
      <c r="BL195" s="40"/>
      <c r="BM195" s="40" t="e">
        <f t="shared" ref="BM195" si="91">SUM(BM188:BM194)</f>
        <v>#REF!</v>
      </c>
      <c r="BN195" s="141"/>
      <c r="BO195" s="141"/>
      <c r="BP195" s="141"/>
      <c r="BQ195" s="141" t="e">
        <f>SUM(BQ188:BQ194)</f>
        <v>#REF!</v>
      </c>
      <c r="BR195" s="141">
        <f>SUM(BR188:BR194)</f>
        <v>323.68000000000006</v>
      </c>
      <c r="BS195" s="43"/>
      <c r="BT195" s="141" t="e">
        <f>SUM(BT188:BT194)</f>
        <v>#REF!</v>
      </c>
      <c r="BU195" s="141"/>
      <c r="BV195" s="43"/>
      <c r="BW195" s="196"/>
      <c r="BX195" s="197"/>
      <c r="BY195" s="198"/>
      <c r="BZ195" s="147"/>
      <c r="CA195" s="147"/>
      <c r="CB195" s="199" t="e">
        <f>SUM(CB188:CB194)</f>
        <v>#REF!</v>
      </c>
      <c r="CC195" s="149" t="e">
        <f>BT195/CB195*1000</f>
        <v>#REF!</v>
      </c>
      <c r="CD195" s="10"/>
      <c r="CF195" s="194"/>
      <c r="CH195" s="194"/>
      <c r="CJ195" s="194"/>
    </row>
    <row r="196" spans="1:89" x14ac:dyDescent="0.25">
      <c r="BQ196" s="212"/>
      <c r="BR196" s="212"/>
      <c r="BT196" s="212"/>
      <c r="BU196" s="212"/>
      <c r="BX196" s="213"/>
      <c r="CB196" s="211"/>
    </row>
    <row r="197" spans="1:89" s="294" customFormat="1" ht="11.5" x14ac:dyDescent="0.25">
      <c r="A197" s="277"/>
      <c r="B197" s="278" t="s">
        <v>116</v>
      </c>
      <c r="C197" s="279"/>
      <c r="D197" s="279"/>
      <c r="E197" s="279"/>
      <c r="F197" s="280">
        <f t="shared" ref="F197:BM197" si="92">F94+F29</f>
        <v>0</v>
      </c>
      <c r="G197" s="280">
        <f t="shared" si="92"/>
        <v>0</v>
      </c>
      <c r="H197" s="280">
        <f t="shared" si="92"/>
        <v>0</v>
      </c>
      <c r="I197" s="280">
        <f t="shared" si="92"/>
        <v>0</v>
      </c>
      <c r="J197" s="280">
        <f t="shared" si="92"/>
        <v>0</v>
      </c>
      <c r="K197" s="280">
        <f t="shared" si="92"/>
        <v>0</v>
      </c>
      <c r="L197" s="280">
        <f>L94+L29</f>
        <v>0</v>
      </c>
      <c r="M197" s="280">
        <f t="shared" ref="M197:BL197" si="93">M94+M29</f>
        <v>0</v>
      </c>
      <c r="N197" s="280">
        <f t="shared" si="93"/>
        <v>0</v>
      </c>
      <c r="O197" s="280">
        <f t="shared" si="93"/>
        <v>0</v>
      </c>
      <c r="P197" s="280">
        <f t="shared" si="93"/>
        <v>0</v>
      </c>
      <c r="Q197" s="280">
        <f t="shared" si="93"/>
        <v>0</v>
      </c>
      <c r="R197" s="280">
        <f t="shared" si="93"/>
        <v>0</v>
      </c>
      <c r="S197" s="280">
        <f t="shared" si="93"/>
        <v>0</v>
      </c>
      <c r="T197" s="280">
        <f t="shared" si="93"/>
        <v>0</v>
      </c>
      <c r="U197" s="280">
        <f t="shared" si="93"/>
        <v>0</v>
      </c>
      <c r="V197" s="280">
        <f t="shared" si="93"/>
        <v>0</v>
      </c>
      <c r="W197" s="280">
        <f t="shared" si="93"/>
        <v>0</v>
      </c>
      <c r="X197" s="280">
        <f t="shared" si="93"/>
        <v>18</v>
      </c>
      <c r="Y197" s="280">
        <f t="shared" si="93"/>
        <v>50</v>
      </c>
      <c r="Z197" s="280">
        <f t="shared" si="93"/>
        <v>35</v>
      </c>
      <c r="AA197" s="280">
        <f t="shared" si="93"/>
        <v>33</v>
      </c>
      <c r="AB197" s="280">
        <f t="shared" si="93"/>
        <v>32</v>
      </c>
      <c r="AC197" s="280">
        <f t="shared" si="93"/>
        <v>54</v>
      </c>
      <c r="AD197" s="280">
        <f t="shared" si="93"/>
        <v>54</v>
      </c>
      <c r="AE197" s="280">
        <f t="shared" si="93"/>
        <v>61</v>
      </c>
      <c r="AF197" s="280">
        <f t="shared" si="93"/>
        <v>61</v>
      </c>
      <c r="AG197" s="280">
        <f t="shared" si="93"/>
        <v>61</v>
      </c>
      <c r="AH197" s="280">
        <f t="shared" si="93"/>
        <v>61</v>
      </c>
      <c r="AI197" s="280">
        <f t="shared" si="93"/>
        <v>61</v>
      </c>
      <c r="AJ197" s="280">
        <f t="shared" si="93"/>
        <v>54</v>
      </c>
      <c r="AK197" s="280">
        <f t="shared" si="93"/>
        <v>54</v>
      </c>
      <c r="AL197" s="280">
        <f t="shared" si="93"/>
        <v>61</v>
      </c>
      <c r="AM197" s="280">
        <f t="shared" si="93"/>
        <v>61</v>
      </c>
      <c r="AN197" s="280">
        <f t="shared" si="93"/>
        <v>61</v>
      </c>
      <c r="AO197" s="280">
        <f t="shared" si="93"/>
        <v>61</v>
      </c>
      <c r="AP197" s="280">
        <f t="shared" si="93"/>
        <v>61</v>
      </c>
      <c r="AQ197" s="280">
        <f t="shared" si="93"/>
        <v>54</v>
      </c>
      <c r="AR197" s="280">
        <f t="shared" si="93"/>
        <v>54</v>
      </c>
      <c r="AS197" s="280">
        <f t="shared" si="93"/>
        <v>61</v>
      </c>
      <c r="AT197" s="280">
        <f t="shared" si="93"/>
        <v>61</v>
      </c>
      <c r="AU197" s="280">
        <f t="shared" si="93"/>
        <v>59</v>
      </c>
      <c r="AV197" s="280">
        <f t="shared" si="93"/>
        <v>59</v>
      </c>
      <c r="AW197" s="280">
        <f t="shared" si="93"/>
        <v>59</v>
      </c>
      <c r="AX197" s="280">
        <f t="shared" si="93"/>
        <v>0</v>
      </c>
      <c r="AY197" s="280">
        <f t="shared" si="93"/>
        <v>0</v>
      </c>
      <c r="AZ197" s="280">
        <f t="shared" si="93"/>
        <v>0</v>
      </c>
      <c r="BA197" s="280">
        <f t="shared" si="93"/>
        <v>0</v>
      </c>
      <c r="BB197" s="280">
        <f t="shared" si="93"/>
        <v>0</v>
      </c>
      <c r="BC197" s="280">
        <f t="shared" si="93"/>
        <v>0</v>
      </c>
      <c r="BD197" s="280">
        <f t="shared" si="93"/>
        <v>0</v>
      </c>
      <c r="BE197" s="280">
        <f t="shared" si="93"/>
        <v>0</v>
      </c>
      <c r="BF197" s="280">
        <f t="shared" si="93"/>
        <v>0</v>
      </c>
      <c r="BG197" s="280">
        <f t="shared" si="93"/>
        <v>0</v>
      </c>
      <c r="BH197" s="280">
        <f t="shared" si="93"/>
        <v>0</v>
      </c>
      <c r="BI197" s="280">
        <f t="shared" si="93"/>
        <v>0</v>
      </c>
      <c r="BJ197" s="280">
        <f t="shared" si="93"/>
        <v>0</v>
      </c>
      <c r="BK197" s="280">
        <f t="shared" si="93"/>
        <v>0</v>
      </c>
      <c r="BL197" s="280">
        <f t="shared" si="93"/>
        <v>0</v>
      </c>
      <c r="BM197" s="281">
        <f t="shared" si="92"/>
        <v>1401</v>
      </c>
      <c r="BN197" s="282"/>
      <c r="BO197" s="282"/>
      <c r="BP197" s="282"/>
      <c r="BQ197" s="282">
        <f>BQ94+BQ29</f>
        <v>2234943.46</v>
      </c>
      <c r="BR197" s="282">
        <f>BR94+BR29</f>
        <v>1787954.7679999999</v>
      </c>
      <c r="BS197" s="283"/>
      <c r="BT197" s="284"/>
      <c r="BU197" s="284"/>
      <c r="BV197" s="283"/>
      <c r="BW197" s="285"/>
      <c r="BX197" s="286"/>
      <c r="BY197" s="287"/>
      <c r="BZ197" s="288">
        <f>BZ94+BZ29</f>
        <v>22902490</v>
      </c>
      <c r="CA197" s="288">
        <f>CA94+CA29</f>
        <v>0</v>
      </c>
      <c r="CB197" s="289">
        <f>CB94+CB29</f>
        <v>134862997.94269997</v>
      </c>
      <c r="CC197" s="290">
        <f>CC94+CC29</f>
        <v>43.11085008251186</v>
      </c>
      <c r="CD197" s="291"/>
      <c r="CE197" s="289"/>
      <c r="CF197" s="292"/>
      <c r="CG197" s="293">
        <f>CG94+CG29</f>
        <v>611</v>
      </c>
      <c r="CH197" s="292">
        <f>CH94+CH29</f>
        <v>938938.04800000018</v>
      </c>
      <c r="CI197" s="313">
        <f>CI94+CI29</f>
        <v>766</v>
      </c>
      <c r="CJ197" s="292">
        <f>CJ94+CJ29</f>
        <v>849016.72000000009</v>
      </c>
      <c r="CK197" s="101" t="b">
        <f>(CH197+CJ197)=BR197</f>
        <v>1</v>
      </c>
    </row>
    <row r="198" spans="1:89" x14ac:dyDescent="0.25">
      <c r="CB198" s="211"/>
      <c r="CJ198" s="30" t="b">
        <f>CJ197+CH197=BR197</f>
        <v>1</v>
      </c>
    </row>
    <row r="199" spans="1:89" x14ac:dyDescent="0.25">
      <c r="CB199" s="211"/>
    </row>
    <row r="200" spans="1:89" x14ac:dyDescent="0.25">
      <c r="CB200" s="211"/>
    </row>
    <row r="201" spans="1:89" x14ac:dyDescent="0.25">
      <c r="CB201" s="211"/>
    </row>
    <row r="202" spans="1:89" x14ac:dyDescent="0.25">
      <c r="CB202" s="211"/>
    </row>
    <row r="203" spans="1:89" x14ac:dyDescent="0.25">
      <c r="CB203" s="211"/>
    </row>
    <row r="204" spans="1:89" x14ac:dyDescent="0.25">
      <c r="CB204" s="211"/>
    </row>
    <row r="205" spans="1:89" x14ac:dyDescent="0.25">
      <c r="CB205" s="211"/>
    </row>
    <row r="206" spans="1:89" x14ac:dyDescent="0.25">
      <c r="CB206" s="211"/>
    </row>
    <row r="207" spans="1:89" x14ac:dyDescent="0.25">
      <c r="CB207" s="211"/>
    </row>
    <row r="208" spans="1:89" x14ac:dyDescent="0.25">
      <c r="CB208" s="211"/>
    </row>
    <row r="209" spans="80:80" x14ac:dyDescent="0.25">
      <c r="CB209" s="211"/>
    </row>
    <row r="210" spans="80:80" x14ac:dyDescent="0.25">
      <c r="CB210" s="211"/>
    </row>
    <row r="211" spans="80:80" x14ac:dyDescent="0.25">
      <c r="CB211" s="211"/>
    </row>
    <row r="212" spans="80:80" x14ac:dyDescent="0.25">
      <c r="CB212" s="211"/>
    </row>
    <row r="213" spans="80:80" x14ac:dyDescent="0.25">
      <c r="CB213" s="211"/>
    </row>
    <row r="214" spans="80:80" x14ac:dyDescent="0.25">
      <c r="CB214" s="211"/>
    </row>
    <row r="215" spans="80:80" x14ac:dyDescent="0.25">
      <c r="CB215" s="211"/>
    </row>
    <row r="216" spans="80:80" x14ac:dyDescent="0.25">
      <c r="CB216" s="211"/>
    </row>
    <row r="217" spans="80:80" x14ac:dyDescent="0.25">
      <c r="CB217" s="211"/>
    </row>
    <row r="218" spans="80:80" x14ac:dyDescent="0.25">
      <c r="CB218" s="211"/>
    </row>
    <row r="219" spans="80:80" x14ac:dyDescent="0.25">
      <c r="CB219" s="211"/>
    </row>
    <row r="220" spans="80:80" x14ac:dyDescent="0.25">
      <c r="CB220" s="211"/>
    </row>
    <row r="221" spans="80:80" x14ac:dyDescent="0.25">
      <c r="CB221" s="211"/>
    </row>
    <row r="222" spans="80:80" x14ac:dyDescent="0.25">
      <c r="CB222" s="211"/>
    </row>
    <row r="223" spans="80:80" x14ac:dyDescent="0.25">
      <c r="CB223" s="211"/>
    </row>
    <row r="224" spans="80:80" x14ac:dyDescent="0.25">
      <c r="CB224" s="211"/>
    </row>
    <row r="225" spans="80:80" x14ac:dyDescent="0.25">
      <c r="CB225" s="211"/>
    </row>
    <row r="226" spans="80:80" x14ac:dyDescent="0.25">
      <c r="CB226" s="211"/>
    </row>
    <row r="227" spans="80:80" x14ac:dyDescent="0.25">
      <c r="CB227" s="211"/>
    </row>
    <row r="228" spans="80:80" x14ac:dyDescent="0.25">
      <c r="CB228" s="211"/>
    </row>
    <row r="229" spans="80:80" x14ac:dyDescent="0.25">
      <c r="CB229" s="211"/>
    </row>
    <row r="230" spans="80:80" x14ac:dyDescent="0.25">
      <c r="CB230" s="211"/>
    </row>
    <row r="231" spans="80:80" x14ac:dyDescent="0.25">
      <c r="CB231" s="211"/>
    </row>
    <row r="232" spans="80:80" x14ac:dyDescent="0.25">
      <c r="CB232" s="211"/>
    </row>
    <row r="233" spans="80:80" x14ac:dyDescent="0.25">
      <c r="CB233" s="211"/>
    </row>
    <row r="234" spans="80:80" x14ac:dyDescent="0.25">
      <c r="CB234" s="211"/>
    </row>
    <row r="235" spans="80:80" x14ac:dyDescent="0.25">
      <c r="CB235" s="211"/>
    </row>
    <row r="236" spans="80:80" x14ac:dyDescent="0.25">
      <c r="CB236" s="211"/>
    </row>
    <row r="237" spans="80:80" x14ac:dyDescent="0.25">
      <c r="CB237" s="211"/>
    </row>
    <row r="238" spans="80:80" x14ac:dyDescent="0.25">
      <c r="CB238" s="211"/>
    </row>
    <row r="239" spans="80:80" x14ac:dyDescent="0.25">
      <c r="CB239" s="211"/>
    </row>
    <row r="240" spans="80:80" x14ac:dyDescent="0.25">
      <c r="CB240" s="211"/>
    </row>
    <row r="241" spans="80:80" x14ac:dyDescent="0.25">
      <c r="CB241" s="211"/>
    </row>
    <row r="242" spans="80:80" x14ac:dyDescent="0.25">
      <c r="CB242" s="211"/>
    </row>
    <row r="243" spans="80:80" x14ac:dyDescent="0.25">
      <c r="CB243" s="211"/>
    </row>
    <row r="244" spans="80:80" x14ac:dyDescent="0.25">
      <c r="CB244" s="211"/>
    </row>
    <row r="245" spans="80:80" x14ac:dyDescent="0.25">
      <c r="CB245" s="211"/>
    </row>
    <row r="246" spans="80:80" x14ac:dyDescent="0.25">
      <c r="CB246" s="211"/>
    </row>
    <row r="247" spans="80:80" x14ac:dyDescent="0.25">
      <c r="CB247" s="211"/>
    </row>
    <row r="248" spans="80:80" x14ac:dyDescent="0.25">
      <c r="CB248" s="211"/>
    </row>
    <row r="249" spans="80:80" x14ac:dyDescent="0.25">
      <c r="CB249" s="211"/>
    </row>
    <row r="250" spans="80:80" x14ac:dyDescent="0.25">
      <c r="CB250" s="211"/>
    </row>
    <row r="251" spans="80:80" x14ac:dyDescent="0.25">
      <c r="CB251" s="211"/>
    </row>
    <row r="252" spans="80:80" x14ac:dyDescent="0.25">
      <c r="CB252" s="211"/>
    </row>
    <row r="253" spans="80:80" x14ac:dyDescent="0.25">
      <c r="CB253" s="211"/>
    </row>
    <row r="254" spans="80:80" x14ac:dyDescent="0.25">
      <c r="CB254" s="211"/>
    </row>
    <row r="255" spans="80:80" x14ac:dyDescent="0.25">
      <c r="CB255" s="211"/>
    </row>
    <row r="256" spans="80:80" x14ac:dyDescent="0.25">
      <c r="CB256" s="211"/>
    </row>
    <row r="257" spans="80:80" x14ac:dyDescent="0.25">
      <c r="CB257" s="211"/>
    </row>
    <row r="258" spans="80:80" x14ac:dyDescent="0.25">
      <c r="CB258" s="211"/>
    </row>
    <row r="259" spans="80:80" x14ac:dyDescent="0.25">
      <c r="CB259" s="211"/>
    </row>
    <row r="260" spans="80:80" x14ac:dyDescent="0.25">
      <c r="CB260" s="211"/>
    </row>
    <row r="261" spans="80:80" x14ac:dyDescent="0.25">
      <c r="CB261" s="211"/>
    </row>
    <row r="262" spans="80:80" x14ac:dyDescent="0.25">
      <c r="CB262" s="211"/>
    </row>
    <row r="263" spans="80:80" x14ac:dyDescent="0.25">
      <c r="CB263" s="211"/>
    </row>
    <row r="264" spans="80:80" x14ac:dyDescent="0.25">
      <c r="CB264" s="211"/>
    </row>
    <row r="265" spans="80:80" x14ac:dyDescent="0.25">
      <c r="CB265" s="211"/>
    </row>
    <row r="266" spans="80:80" x14ac:dyDescent="0.25">
      <c r="CB266" s="211"/>
    </row>
    <row r="267" spans="80:80" x14ac:dyDescent="0.25">
      <c r="CB267" s="211"/>
    </row>
    <row r="268" spans="80:80" x14ac:dyDescent="0.25">
      <c r="CB268" s="211"/>
    </row>
    <row r="269" spans="80:80" x14ac:dyDescent="0.25">
      <c r="CB269" s="211"/>
    </row>
    <row r="270" spans="80:80" x14ac:dyDescent="0.25">
      <c r="CB270" s="211"/>
    </row>
    <row r="271" spans="80:80" x14ac:dyDescent="0.25">
      <c r="CB271" s="211"/>
    </row>
    <row r="272" spans="80:80" x14ac:dyDescent="0.25">
      <c r="CB272" s="211"/>
    </row>
    <row r="273" spans="80:80" x14ac:dyDescent="0.25">
      <c r="CB273" s="211"/>
    </row>
    <row r="274" spans="80:80" x14ac:dyDescent="0.25">
      <c r="CB274" s="211"/>
    </row>
    <row r="275" spans="80:80" x14ac:dyDescent="0.25">
      <c r="CB275" s="211"/>
    </row>
    <row r="276" spans="80:80" x14ac:dyDescent="0.25">
      <c r="CB276" s="211"/>
    </row>
    <row r="277" spans="80:80" x14ac:dyDescent="0.25">
      <c r="CB277" s="211"/>
    </row>
    <row r="278" spans="80:80" x14ac:dyDescent="0.25">
      <c r="CB278" s="211"/>
    </row>
    <row r="279" spans="80:80" x14ac:dyDescent="0.25">
      <c r="CB279" s="211"/>
    </row>
    <row r="280" spans="80:80" x14ac:dyDescent="0.25">
      <c r="CB280" s="211"/>
    </row>
    <row r="281" spans="80:80" x14ac:dyDescent="0.25">
      <c r="CB281" s="211"/>
    </row>
    <row r="282" spans="80:80" x14ac:dyDescent="0.25">
      <c r="CB282" s="211"/>
    </row>
    <row r="283" spans="80:80" x14ac:dyDescent="0.25">
      <c r="CB283" s="211"/>
    </row>
    <row r="284" spans="80:80" x14ac:dyDescent="0.25">
      <c r="CB284" s="211"/>
    </row>
    <row r="285" spans="80:80" x14ac:dyDescent="0.25">
      <c r="CB285" s="211"/>
    </row>
    <row r="286" spans="80:80" x14ac:dyDescent="0.25">
      <c r="CB286" s="211"/>
    </row>
    <row r="287" spans="80:80" x14ac:dyDescent="0.25">
      <c r="CB287" s="211"/>
    </row>
    <row r="288" spans="80:80" x14ac:dyDescent="0.25">
      <c r="CB288" s="211"/>
    </row>
    <row r="289" spans="80:80" x14ac:dyDescent="0.25">
      <c r="CB289" s="211"/>
    </row>
    <row r="290" spans="80:80" x14ac:dyDescent="0.25">
      <c r="CB290" s="211"/>
    </row>
    <row r="291" spans="80:80" x14ac:dyDescent="0.25">
      <c r="CB291" s="211"/>
    </row>
    <row r="292" spans="80:80" x14ac:dyDescent="0.25">
      <c r="CB292" s="211"/>
    </row>
    <row r="293" spans="80:80" x14ac:dyDescent="0.25">
      <c r="CB293" s="211"/>
    </row>
    <row r="294" spans="80:80" x14ac:dyDescent="0.25">
      <c r="CB294" s="211"/>
    </row>
    <row r="295" spans="80:80" x14ac:dyDescent="0.25">
      <c r="CB295" s="211"/>
    </row>
    <row r="296" spans="80:80" x14ac:dyDescent="0.25">
      <c r="CB296" s="211"/>
    </row>
    <row r="297" spans="80:80" x14ac:dyDescent="0.25">
      <c r="CB297" s="211"/>
    </row>
    <row r="298" spans="80:80" x14ac:dyDescent="0.25">
      <c r="CB298" s="211"/>
    </row>
    <row r="299" spans="80:80" x14ac:dyDescent="0.25">
      <c r="CB299" s="211"/>
    </row>
    <row r="300" spans="80:80" x14ac:dyDescent="0.25">
      <c r="CB300" s="211"/>
    </row>
    <row r="301" spans="80:80" x14ac:dyDescent="0.25">
      <c r="CB301" s="211"/>
    </row>
    <row r="302" spans="80:80" x14ac:dyDescent="0.25">
      <c r="CB302" s="211"/>
    </row>
    <row r="303" spans="80:80" x14ac:dyDescent="0.25">
      <c r="CB303" s="211"/>
    </row>
    <row r="304" spans="80:80" x14ac:dyDescent="0.25">
      <c r="CB304" s="211"/>
    </row>
    <row r="305" spans="80:80" x14ac:dyDescent="0.25">
      <c r="CB305" s="211"/>
    </row>
    <row r="306" spans="80:80" x14ac:dyDescent="0.25">
      <c r="CB306" s="211"/>
    </row>
    <row r="307" spans="80:80" x14ac:dyDescent="0.25">
      <c r="CB307" s="211"/>
    </row>
    <row r="308" spans="80:80" x14ac:dyDescent="0.25">
      <c r="CB308" s="211"/>
    </row>
    <row r="309" spans="80:80" x14ac:dyDescent="0.25">
      <c r="CB309" s="211"/>
    </row>
    <row r="310" spans="80:80" x14ac:dyDescent="0.25">
      <c r="CB310" s="211"/>
    </row>
    <row r="311" spans="80:80" x14ac:dyDescent="0.25">
      <c r="CB311" s="211"/>
    </row>
    <row r="312" spans="80:80" x14ac:dyDescent="0.25">
      <c r="CB312" s="211"/>
    </row>
    <row r="313" spans="80:80" x14ac:dyDescent="0.25">
      <c r="CB313" s="211"/>
    </row>
    <row r="314" spans="80:80" x14ac:dyDescent="0.25">
      <c r="CB314" s="211"/>
    </row>
    <row r="315" spans="80:80" x14ac:dyDescent="0.25">
      <c r="CB315" s="211"/>
    </row>
    <row r="316" spans="80:80" x14ac:dyDescent="0.25">
      <c r="CB316" s="211"/>
    </row>
    <row r="317" spans="80:80" x14ac:dyDescent="0.25">
      <c r="CB317" s="211"/>
    </row>
    <row r="318" spans="80:80" x14ac:dyDescent="0.25">
      <c r="CB318" s="211"/>
    </row>
    <row r="319" spans="80:80" x14ac:dyDescent="0.25">
      <c r="CB319" s="211"/>
    </row>
    <row r="320" spans="80:80" x14ac:dyDescent="0.25">
      <c r="CB320" s="211"/>
    </row>
    <row r="321" spans="80:80" x14ac:dyDescent="0.25">
      <c r="CB321" s="211"/>
    </row>
    <row r="322" spans="80:80" x14ac:dyDescent="0.25">
      <c r="CB322" s="211"/>
    </row>
    <row r="323" spans="80:80" x14ac:dyDescent="0.25">
      <c r="CB323" s="211"/>
    </row>
    <row r="324" spans="80:80" x14ac:dyDescent="0.25">
      <c r="CB324" s="211"/>
    </row>
    <row r="325" spans="80:80" x14ac:dyDescent="0.25">
      <c r="CB325" s="211"/>
    </row>
    <row r="326" spans="80:80" x14ac:dyDescent="0.25">
      <c r="CB326" s="211"/>
    </row>
    <row r="327" spans="80:80" x14ac:dyDescent="0.25">
      <c r="CB327" s="211"/>
    </row>
    <row r="328" spans="80:80" x14ac:dyDescent="0.25">
      <c r="CB328" s="211"/>
    </row>
    <row r="329" spans="80:80" x14ac:dyDescent="0.25">
      <c r="CB329" s="211"/>
    </row>
    <row r="330" spans="80:80" x14ac:dyDescent="0.25">
      <c r="CB330" s="211"/>
    </row>
    <row r="331" spans="80:80" x14ac:dyDescent="0.25">
      <c r="CB331" s="211"/>
    </row>
    <row r="332" spans="80:80" x14ac:dyDescent="0.25">
      <c r="CB332" s="211"/>
    </row>
    <row r="333" spans="80:80" x14ac:dyDescent="0.25">
      <c r="CB333" s="211"/>
    </row>
    <row r="334" spans="80:80" x14ac:dyDescent="0.25">
      <c r="CB334" s="211"/>
    </row>
    <row r="335" spans="80:80" x14ac:dyDescent="0.25">
      <c r="CB335" s="211"/>
    </row>
    <row r="336" spans="80:80" x14ac:dyDescent="0.25">
      <c r="CB336" s="211"/>
    </row>
    <row r="337" spans="80:80" x14ac:dyDescent="0.25">
      <c r="CB337" s="211"/>
    </row>
    <row r="338" spans="80:80" x14ac:dyDescent="0.25">
      <c r="CB338" s="211"/>
    </row>
    <row r="339" spans="80:80" x14ac:dyDescent="0.25">
      <c r="CB339" s="211"/>
    </row>
    <row r="340" spans="80:80" x14ac:dyDescent="0.25">
      <c r="CB340" s="211"/>
    </row>
    <row r="341" spans="80:80" x14ac:dyDescent="0.25">
      <c r="CB341" s="211"/>
    </row>
    <row r="342" spans="80:80" x14ac:dyDescent="0.25">
      <c r="CB342" s="211"/>
    </row>
    <row r="343" spans="80:80" x14ac:dyDescent="0.25">
      <c r="CB343" s="211"/>
    </row>
    <row r="344" spans="80:80" x14ac:dyDescent="0.25">
      <c r="CB344" s="211"/>
    </row>
    <row r="345" spans="80:80" x14ac:dyDescent="0.25">
      <c r="CB345" s="211"/>
    </row>
    <row r="346" spans="80:80" x14ac:dyDescent="0.25">
      <c r="CB346" s="211"/>
    </row>
    <row r="347" spans="80:80" x14ac:dyDescent="0.25">
      <c r="CB347" s="211"/>
    </row>
    <row r="348" spans="80:80" x14ac:dyDescent="0.25">
      <c r="CB348" s="211"/>
    </row>
    <row r="349" spans="80:80" x14ac:dyDescent="0.25">
      <c r="CB349" s="211"/>
    </row>
    <row r="350" spans="80:80" x14ac:dyDescent="0.25">
      <c r="CB350" s="211"/>
    </row>
    <row r="351" spans="80:80" x14ac:dyDescent="0.25">
      <c r="CB351" s="211"/>
    </row>
    <row r="352" spans="80:80" x14ac:dyDescent="0.25">
      <c r="CB352" s="211"/>
    </row>
    <row r="353" spans="80:80" x14ac:dyDescent="0.25">
      <c r="CB353" s="211"/>
    </row>
    <row r="354" spans="80:80" x14ac:dyDescent="0.25">
      <c r="CB354" s="211"/>
    </row>
    <row r="355" spans="80:80" x14ac:dyDescent="0.25">
      <c r="CB355" s="211"/>
    </row>
    <row r="356" spans="80:80" x14ac:dyDescent="0.25">
      <c r="CB356" s="211"/>
    </row>
    <row r="357" spans="80:80" x14ac:dyDescent="0.25">
      <c r="CB357" s="211"/>
    </row>
    <row r="358" spans="80:80" x14ac:dyDescent="0.25">
      <c r="CB358" s="211"/>
    </row>
    <row r="359" spans="80:80" x14ac:dyDescent="0.25">
      <c r="CB359" s="211"/>
    </row>
    <row r="360" spans="80:80" x14ac:dyDescent="0.25">
      <c r="CB360" s="211"/>
    </row>
    <row r="361" spans="80:80" x14ac:dyDescent="0.25">
      <c r="CB361" s="211"/>
    </row>
    <row r="362" spans="80:80" x14ac:dyDescent="0.25">
      <c r="CB362" s="211"/>
    </row>
    <row r="363" spans="80:80" x14ac:dyDescent="0.25">
      <c r="CB363" s="211"/>
    </row>
    <row r="364" spans="80:80" x14ac:dyDescent="0.25">
      <c r="CB364" s="211"/>
    </row>
    <row r="365" spans="80:80" x14ac:dyDescent="0.25">
      <c r="CB365" s="211"/>
    </row>
    <row r="366" spans="80:80" x14ac:dyDescent="0.25">
      <c r="CB366" s="211"/>
    </row>
    <row r="367" spans="80:80" x14ac:dyDescent="0.25">
      <c r="CB367" s="211"/>
    </row>
    <row r="368" spans="80:80" x14ac:dyDescent="0.25">
      <c r="CB368" s="211"/>
    </row>
    <row r="369" spans="80:80" x14ac:dyDescent="0.25">
      <c r="CB369" s="211"/>
    </row>
    <row r="370" spans="80:80" x14ac:dyDescent="0.25">
      <c r="CB370" s="211"/>
    </row>
    <row r="371" spans="80:80" x14ac:dyDescent="0.25">
      <c r="CB371" s="211"/>
    </row>
    <row r="372" spans="80:80" x14ac:dyDescent="0.25">
      <c r="CB372" s="211"/>
    </row>
    <row r="373" spans="80:80" x14ac:dyDescent="0.25">
      <c r="CB373" s="211"/>
    </row>
    <row r="374" spans="80:80" x14ac:dyDescent="0.25">
      <c r="CB374" s="211"/>
    </row>
    <row r="375" spans="80:80" x14ac:dyDescent="0.25">
      <c r="CB375" s="211"/>
    </row>
    <row r="376" spans="80:80" x14ac:dyDescent="0.25">
      <c r="CB376" s="211"/>
    </row>
    <row r="377" spans="80:80" x14ac:dyDescent="0.25">
      <c r="CB377" s="211"/>
    </row>
    <row r="378" spans="80:80" x14ac:dyDescent="0.25">
      <c r="CB378" s="211"/>
    </row>
    <row r="379" spans="80:80" x14ac:dyDescent="0.25">
      <c r="CB379" s="211"/>
    </row>
    <row r="380" spans="80:80" x14ac:dyDescent="0.25">
      <c r="CB380" s="211"/>
    </row>
    <row r="381" spans="80:80" x14ac:dyDescent="0.25">
      <c r="CB381" s="211"/>
    </row>
    <row r="382" spans="80:80" x14ac:dyDescent="0.25">
      <c r="CB382" s="211"/>
    </row>
    <row r="383" spans="80:80" x14ac:dyDescent="0.25">
      <c r="CB383" s="211"/>
    </row>
    <row r="384" spans="80:80" x14ac:dyDescent="0.25">
      <c r="CB384" s="211"/>
    </row>
    <row r="385" spans="80:80" x14ac:dyDescent="0.25">
      <c r="CB385" s="211"/>
    </row>
    <row r="386" spans="80:80" x14ac:dyDescent="0.25">
      <c r="CB386" s="211"/>
    </row>
    <row r="387" spans="80:80" x14ac:dyDescent="0.25">
      <c r="CB387" s="211"/>
    </row>
    <row r="388" spans="80:80" x14ac:dyDescent="0.25">
      <c r="CB388" s="211"/>
    </row>
    <row r="389" spans="80:80" x14ac:dyDescent="0.25">
      <c r="CB389" s="211"/>
    </row>
    <row r="390" spans="80:80" x14ac:dyDescent="0.25">
      <c r="CB390" s="211"/>
    </row>
    <row r="391" spans="80:80" x14ac:dyDescent="0.25">
      <c r="CB391" s="211"/>
    </row>
    <row r="392" spans="80:80" x14ac:dyDescent="0.25">
      <c r="CB392" s="211"/>
    </row>
    <row r="393" spans="80:80" x14ac:dyDescent="0.25">
      <c r="CB393" s="211"/>
    </row>
    <row r="394" spans="80:80" x14ac:dyDescent="0.25">
      <c r="CB394" s="211"/>
    </row>
    <row r="395" spans="80:80" x14ac:dyDescent="0.25">
      <c r="CB395" s="211"/>
    </row>
    <row r="396" spans="80:80" x14ac:dyDescent="0.25">
      <c r="CB396" s="211"/>
    </row>
    <row r="397" spans="80:80" x14ac:dyDescent="0.25">
      <c r="CB397" s="211"/>
    </row>
    <row r="398" spans="80:80" x14ac:dyDescent="0.25">
      <c r="CB398" s="211"/>
    </row>
    <row r="399" spans="80:80" x14ac:dyDescent="0.25">
      <c r="CB399" s="211"/>
    </row>
    <row r="400" spans="80:80" x14ac:dyDescent="0.25">
      <c r="CB400" s="211"/>
    </row>
    <row r="401" spans="80:80" x14ac:dyDescent="0.25">
      <c r="CB401" s="211"/>
    </row>
    <row r="402" spans="80:80" x14ac:dyDescent="0.25">
      <c r="CB402" s="211"/>
    </row>
    <row r="403" spans="80:80" x14ac:dyDescent="0.25">
      <c r="CB403" s="211"/>
    </row>
    <row r="404" spans="80:80" x14ac:dyDescent="0.25">
      <c r="CB404" s="211"/>
    </row>
    <row r="405" spans="80:80" x14ac:dyDescent="0.25">
      <c r="CB405" s="211"/>
    </row>
  </sheetData>
  <mergeCells count="60">
    <mergeCell ref="BT26:BT27"/>
    <mergeCell ref="BU26:BU27"/>
    <mergeCell ref="F31:AJ31"/>
    <mergeCell ref="AK31:BL31"/>
    <mergeCell ref="BT14:BT15"/>
    <mergeCell ref="BU14:BU15"/>
    <mergeCell ref="BT18:BT19"/>
    <mergeCell ref="BU18:BU19"/>
    <mergeCell ref="BT22:BT23"/>
    <mergeCell ref="BU22:BU23"/>
    <mergeCell ref="BU31:BU33"/>
    <mergeCell ref="B8:B10"/>
    <mergeCell ref="C8:C10"/>
    <mergeCell ref="D8:D10"/>
    <mergeCell ref="E8:E10"/>
    <mergeCell ref="F8:AJ8"/>
    <mergeCell ref="AK8:BL8"/>
    <mergeCell ref="BY8:BY10"/>
    <mergeCell ref="BM8:BM10"/>
    <mergeCell ref="BN8:BN10"/>
    <mergeCell ref="BO8:BO10"/>
    <mergeCell ref="BP8:BP10"/>
    <mergeCell ref="BQ8:BQ10"/>
    <mergeCell ref="BR8:BR10"/>
    <mergeCell ref="BT8:BT10"/>
    <mergeCell ref="BU8:BU10"/>
    <mergeCell ref="BW8:BW10"/>
    <mergeCell ref="BX8:BX10"/>
    <mergeCell ref="CG8:CH9"/>
    <mergeCell ref="CI8:CJ9"/>
    <mergeCell ref="B31:B33"/>
    <mergeCell ref="C31:C33"/>
    <mergeCell ref="D31:D33"/>
    <mergeCell ref="E31:E33"/>
    <mergeCell ref="BM31:BM33"/>
    <mergeCell ref="BZ8:BZ10"/>
    <mergeCell ref="CA8:CA10"/>
    <mergeCell ref="CB8:CB10"/>
    <mergeCell ref="CC8:CC10"/>
    <mergeCell ref="CE8:CE10"/>
    <mergeCell ref="CF8:CF10"/>
    <mergeCell ref="CF31:CF33"/>
    <mergeCell ref="CG31:CH32"/>
    <mergeCell ref="CI31:CJ32"/>
    <mergeCell ref="B96:B97"/>
    <mergeCell ref="CB31:CB33"/>
    <mergeCell ref="CC31:CC33"/>
    <mergeCell ref="CE31:CE33"/>
    <mergeCell ref="BN31:BN33"/>
    <mergeCell ref="BO31:BO33"/>
    <mergeCell ref="BP31:BP33"/>
    <mergeCell ref="BQ31:BQ33"/>
    <mergeCell ref="BR31:BR33"/>
    <mergeCell ref="BT31:BT33"/>
    <mergeCell ref="BR58:BR61"/>
    <mergeCell ref="BW31:BW33"/>
    <mergeCell ref="BX31:BX33"/>
    <mergeCell ref="BY31:BY33"/>
    <mergeCell ref="BZ31:BZ33"/>
    <mergeCell ref="CA31:CA33"/>
  </mergeCells>
  <conditionalFormatting sqref="F12:BL28 F34:BL93 F95:BL122 F124:BL148">
    <cfRule type="notContainsBlanks" dxfId="8" priority="118">
      <formula>LEN(TRIM(F12))&gt;0</formula>
    </cfRule>
  </conditionalFormatting>
  <conditionalFormatting sqref="F95:BL122 F124:BL148">
    <cfRule type="notContainsBlanks" dxfId="7" priority="143">
      <formula>LEN(TRIM(F95))&gt;0</formula>
    </cfRule>
  </conditionalFormatting>
  <conditionalFormatting sqref="F150:BL176 F178:BL180 F182:BL186 F188:BL194">
    <cfRule type="notContainsBlanks" dxfId="6" priority="28">
      <formula>LEN(TRIM(F150))&gt;0</formula>
    </cfRule>
    <cfRule type="notContainsBlanks" dxfId="5" priority="29">
      <formula>LEN(TRIM(F150))&gt;0</formula>
    </cfRule>
  </conditionalFormatting>
  <pageMargins left="0.25" right="0.25" top="0.75" bottom="0.75" header="0.3" footer="0.3"/>
  <pageSetup paperSize="9" scale="22" orientation="landscape" r:id="rId1"/>
  <headerFooter>
    <oddFooter>&amp;C_x000D_&amp;1#&amp;"Calibri"&amp;10&amp;K000000 Confidential - Not for Public Consumption or Distribution</oddFooter>
  </headerFooter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1FFC5-92AE-4477-9151-818FF54EA950}">
  <dimension ref="A2:CY40"/>
  <sheetViews>
    <sheetView showGridLines="0" zoomScale="90" zoomScaleNormal="70" workbookViewId="0">
      <pane xSplit="4" ySplit="11" topLeftCell="E12" activePane="bottomRight" state="frozen"/>
      <selection pane="topRight" activeCell="E1" sqref="E1"/>
      <selection pane="bottomLeft" activeCell="A12" sqref="A12"/>
      <selection pane="bottomRight" activeCell="AW40" sqref="AW40"/>
    </sheetView>
  </sheetViews>
  <sheetFormatPr defaultColWidth="9.6640625" defaultRowHeight="12.5" x14ac:dyDescent="0.25"/>
  <cols>
    <col min="1" max="1" width="3.83203125" style="45" customWidth="1"/>
    <col min="2" max="2" width="21.33203125" style="45" customWidth="1"/>
    <col min="3" max="3" width="23.83203125" style="45" customWidth="1"/>
    <col min="4" max="4" width="34.5" style="45" customWidth="1"/>
    <col min="5" max="5" width="20" style="45" customWidth="1"/>
    <col min="6" max="40" width="4.6640625" style="45" hidden="1" customWidth="1"/>
    <col min="41" max="70" width="4.6640625" style="45" customWidth="1"/>
    <col min="71" max="83" width="4.6640625" style="45" hidden="1" customWidth="1"/>
    <col min="84" max="84" width="9.33203125" style="45" customWidth="1"/>
    <col min="85" max="85" width="18" style="45" customWidth="1"/>
    <col min="86" max="86" width="9.6640625" style="45" bestFit="1" customWidth="1"/>
    <col min="87" max="89" width="18" style="45" customWidth="1"/>
    <col min="90" max="90" width="3.58203125" style="45" customWidth="1"/>
    <col min="91" max="91" width="8.83203125" style="45" customWidth="1"/>
    <col min="92" max="92" width="17.83203125" style="45" customWidth="1"/>
    <col min="93" max="93" width="8.83203125" style="45" customWidth="1"/>
    <col min="94" max="94" width="17.83203125" style="45" customWidth="1"/>
    <col min="95" max="95" width="3.83203125" style="45" customWidth="1"/>
    <col min="96" max="96" width="15.58203125" style="45" customWidth="1"/>
    <col min="97" max="97" width="15.58203125" style="45" hidden="1" customWidth="1"/>
    <col min="98" max="16384" width="9.6640625" style="45"/>
  </cols>
  <sheetData>
    <row r="2" spans="1:103" x14ac:dyDescent="0.25">
      <c r="B2" s="1"/>
      <c r="C2" s="1"/>
      <c r="D2" s="1"/>
      <c r="E2" s="1"/>
    </row>
    <row r="3" spans="1:103" x14ac:dyDescent="0.25">
      <c r="A3" s="28"/>
      <c r="B3" s="2"/>
      <c r="C3" s="3"/>
      <c r="D3" s="2"/>
      <c r="E3" s="2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8"/>
      <c r="W3" s="28"/>
      <c r="X3" s="28"/>
      <c r="Y3" s="28"/>
      <c r="Z3" s="28"/>
      <c r="AA3" s="28"/>
      <c r="AB3" s="28"/>
      <c r="AC3" s="28"/>
      <c r="AD3" s="28"/>
      <c r="AE3" s="28"/>
      <c r="AF3" s="28"/>
      <c r="AG3" s="28"/>
      <c r="AH3" s="28"/>
      <c r="AI3" s="28"/>
      <c r="AJ3" s="28"/>
      <c r="AK3" s="28"/>
      <c r="AL3" s="28"/>
      <c r="AM3" s="28"/>
      <c r="AN3" s="28"/>
      <c r="AO3" s="28"/>
      <c r="AP3" s="28"/>
      <c r="AQ3" s="28"/>
      <c r="AR3" s="28"/>
      <c r="AS3" s="28"/>
      <c r="AT3" s="28"/>
      <c r="AU3" s="28"/>
      <c r="AV3" s="28"/>
      <c r="AW3" s="28"/>
      <c r="AX3" s="28"/>
      <c r="AY3" s="28"/>
      <c r="AZ3" s="28"/>
      <c r="BA3" s="28"/>
      <c r="BB3" s="28"/>
      <c r="BC3" s="28"/>
      <c r="BD3" s="28"/>
      <c r="BE3" s="28"/>
      <c r="BF3" s="28"/>
      <c r="BG3" s="28"/>
      <c r="BH3" s="28"/>
      <c r="BI3" s="28"/>
      <c r="BJ3" s="28"/>
      <c r="BK3" s="28"/>
      <c r="BL3" s="28"/>
      <c r="BM3" s="28"/>
      <c r="BN3" s="28"/>
      <c r="BO3" s="28"/>
      <c r="BP3" s="28"/>
      <c r="BQ3" s="28"/>
      <c r="BR3" s="28"/>
      <c r="BS3" s="28"/>
      <c r="BT3" s="28"/>
      <c r="BU3" s="28"/>
      <c r="BV3" s="28"/>
      <c r="BW3" s="28"/>
      <c r="BX3" s="28"/>
      <c r="BY3" s="28"/>
      <c r="BZ3" s="28"/>
      <c r="CA3" s="28"/>
      <c r="CB3" s="28"/>
      <c r="CC3" s="28"/>
      <c r="CD3" s="28"/>
      <c r="CE3" s="28"/>
      <c r="CF3" s="29"/>
      <c r="CG3" s="29"/>
      <c r="CH3" s="29"/>
      <c r="CI3" s="358"/>
      <c r="CJ3" s="359"/>
      <c r="CK3" s="360"/>
    </row>
    <row r="4" spans="1:103" x14ac:dyDescent="0.25">
      <c r="A4" s="28"/>
      <c r="B4" s="2"/>
      <c r="C4" s="3"/>
      <c r="D4" s="598"/>
      <c r="E4" s="2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9"/>
      <c r="CG4" s="29"/>
      <c r="CH4" s="29"/>
      <c r="CI4" s="30"/>
      <c r="CJ4" s="28"/>
      <c r="CK4" s="360"/>
    </row>
    <row r="5" spans="1:103" x14ac:dyDescent="0.25">
      <c r="A5" s="28"/>
      <c r="B5" s="5" t="s">
        <v>0</v>
      </c>
      <c r="C5" s="5"/>
      <c r="D5" s="2"/>
      <c r="E5" s="2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28"/>
      <c r="U5" s="28"/>
      <c r="V5" s="28"/>
      <c r="W5" s="28"/>
      <c r="X5" s="28"/>
      <c r="Y5" s="28"/>
      <c r="Z5" s="28"/>
      <c r="AA5" s="28"/>
      <c r="AB5" s="28"/>
      <c r="AC5" s="28"/>
      <c r="AD5" s="28"/>
      <c r="AE5" s="28"/>
      <c r="AF5" s="28"/>
      <c r="AG5" s="28"/>
      <c r="AH5" s="28"/>
      <c r="AI5" s="28"/>
      <c r="AJ5" s="28"/>
      <c r="AK5" s="28"/>
      <c r="AL5" s="28"/>
      <c r="AM5" s="28"/>
      <c r="AN5" s="28"/>
      <c r="AO5" s="28"/>
      <c r="AP5" s="28"/>
      <c r="AQ5" s="28"/>
      <c r="AR5" s="28"/>
      <c r="AS5" s="28"/>
      <c r="AT5" s="28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8"/>
      <c r="BJ5" s="28"/>
      <c r="BK5" s="28"/>
      <c r="BL5" s="28"/>
      <c r="BM5" s="28"/>
      <c r="BN5" s="28"/>
      <c r="BO5" s="28"/>
      <c r="BP5" s="28"/>
      <c r="BQ5" s="28"/>
      <c r="BR5" s="28"/>
      <c r="BS5" s="28"/>
      <c r="BT5" s="28"/>
      <c r="BU5" s="28"/>
      <c r="BV5" s="28"/>
      <c r="BW5" s="28"/>
      <c r="BX5" s="28"/>
      <c r="BY5" s="28"/>
      <c r="BZ5" s="28"/>
      <c r="CA5" s="28"/>
      <c r="CB5" s="28"/>
      <c r="CC5" s="28"/>
      <c r="CD5" s="28"/>
      <c r="CE5" s="28"/>
      <c r="CF5" s="29"/>
      <c r="CG5" s="361"/>
      <c r="CH5" s="29"/>
      <c r="CI5" s="30"/>
      <c r="CJ5" s="28"/>
      <c r="CK5" s="31"/>
    </row>
    <row r="6" spans="1:103" ht="14" x14ac:dyDescent="0.25">
      <c r="A6" s="28"/>
      <c r="B6" s="6" t="s">
        <v>155</v>
      </c>
      <c r="C6" s="6"/>
      <c r="D6" s="362"/>
      <c r="E6" s="4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29"/>
      <c r="CG6" s="29"/>
      <c r="CH6" s="29"/>
      <c r="CI6" s="30"/>
      <c r="CJ6" s="30"/>
      <c r="CK6" s="30"/>
    </row>
    <row r="7" spans="1:103" ht="13" customHeight="1" x14ac:dyDescent="0.25">
      <c r="A7" s="28"/>
      <c r="B7" s="2"/>
      <c r="C7" s="3"/>
      <c r="D7" s="363"/>
      <c r="E7" s="363"/>
      <c r="F7" s="29"/>
      <c r="G7" s="29"/>
      <c r="H7" s="29"/>
      <c r="I7" s="29"/>
      <c r="J7" s="29"/>
      <c r="K7" s="29"/>
      <c r="L7" s="29"/>
      <c r="M7" s="29"/>
      <c r="N7" s="29"/>
      <c r="O7" s="29"/>
      <c r="P7" s="29"/>
      <c r="Q7" s="29"/>
      <c r="R7" s="29"/>
      <c r="S7" s="29"/>
      <c r="T7" s="29"/>
      <c r="U7" s="29"/>
      <c r="V7" s="29"/>
      <c r="W7" s="29"/>
      <c r="X7" s="29"/>
      <c r="Y7" s="29"/>
      <c r="Z7" s="29"/>
      <c r="AA7" s="29"/>
      <c r="AB7" s="29"/>
      <c r="AC7" s="29"/>
      <c r="AD7" s="29"/>
      <c r="AE7" s="29"/>
      <c r="AF7" s="29"/>
      <c r="AG7" s="29"/>
      <c r="AH7" s="29"/>
      <c r="AI7" s="29"/>
      <c r="AJ7" s="29"/>
      <c r="AK7" s="29"/>
      <c r="AL7" s="29"/>
      <c r="AM7" s="29"/>
      <c r="AN7" s="29"/>
      <c r="AO7" s="29"/>
      <c r="AP7" s="29"/>
      <c r="AQ7" s="29"/>
      <c r="AR7" s="29"/>
      <c r="AS7" s="29"/>
      <c r="AT7" s="29"/>
      <c r="AU7" s="29"/>
      <c r="AV7" s="29"/>
      <c r="AW7" s="29"/>
      <c r="AX7" s="29"/>
      <c r="AY7" s="29"/>
      <c r="AZ7" s="29"/>
      <c r="BA7" s="29"/>
      <c r="BB7" s="29"/>
      <c r="BC7" s="29"/>
      <c r="BD7" s="29"/>
      <c r="BE7" s="29"/>
      <c r="BF7" s="29"/>
      <c r="BG7" s="29"/>
      <c r="BH7" s="29"/>
      <c r="BI7" s="29"/>
      <c r="BJ7" s="29"/>
      <c r="BK7" s="29"/>
      <c r="BL7" s="29"/>
      <c r="BM7" s="29"/>
      <c r="BN7" s="29"/>
      <c r="BO7" s="29"/>
      <c r="BP7" s="29"/>
      <c r="BQ7" s="29"/>
      <c r="BR7" s="29"/>
      <c r="BS7" s="29"/>
      <c r="BT7" s="29"/>
      <c r="BU7" s="29"/>
      <c r="BV7" s="29"/>
      <c r="BW7" s="29"/>
      <c r="BX7" s="29"/>
      <c r="BY7" s="29"/>
      <c r="BZ7" s="29"/>
      <c r="CA7" s="29"/>
      <c r="CB7" s="29"/>
      <c r="CC7" s="29"/>
      <c r="CD7" s="29"/>
      <c r="CE7" s="29"/>
      <c r="CF7" s="29"/>
      <c r="CG7" s="29"/>
      <c r="CH7" s="29"/>
      <c r="CI7" s="364"/>
      <c r="CJ7" s="365"/>
      <c r="CK7" s="365"/>
    </row>
    <row r="8" spans="1:103" ht="13" customHeight="1" x14ac:dyDescent="0.25">
      <c r="A8" s="28"/>
      <c r="B8" s="366"/>
      <c r="C8" s="366"/>
      <c r="D8" s="367"/>
      <c r="E8" s="367"/>
      <c r="F8" s="29"/>
      <c r="G8" s="29"/>
      <c r="H8" s="29"/>
      <c r="I8" s="29"/>
      <c r="J8" s="29"/>
      <c r="K8" s="29"/>
      <c r="L8" s="29"/>
      <c r="M8" s="29"/>
      <c r="N8" s="29"/>
      <c r="O8" s="29"/>
      <c r="P8" s="29"/>
      <c r="Q8" s="29"/>
      <c r="R8" s="29"/>
      <c r="S8" s="29"/>
      <c r="T8" s="29"/>
      <c r="U8" s="29"/>
      <c r="V8" s="29"/>
      <c r="W8" s="29"/>
      <c r="X8" s="29"/>
      <c r="Y8" s="29"/>
      <c r="Z8" s="29"/>
      <c r="AA8" s="29"/>
      <c r="AB8" s="29"/>
      <c r="AC8" s="29"/>
      <c r="AD8" s="29"/>
      <c r="AE8" s="29"/>
      <c r="AF8" s="29"/>
      <c r="AG8" s="29"/>
      <c r="AH8" s="29"/>
      <c r="AI8" s="29"/>
      <c r="AJ8" s="29"/>
      <c r="AK8" s="29"/>
      <c r="AL8" s="29"/>
      <c r="AM8" s="29"/>
      <c r="AN8" s="29"/>
      <c r="AO8" s="29"/>
      <c r="AP8" s="29"/>
      <c r="AQ8" s="29"/>
      <c r="AR8" s="29"/>
      <c r="AS8" s="29"/>
      <c r="AT8" s="29"/>
      <c r="AU8" s="29"/>
      <c r="AV8" s="29"/>
      <c r="AW8" s="29"/>
      <c r="AX8" s="29"/>
      <c r="AY8" s="29"/>
      <c r="AZ8" s="29"/>
      <c r="BA8" s="29"/>
      <c r="BB8" s="29"/>
      <c r="BC8" s="29"/>
      <c r="BD8" s="29"/>
      <c r="BE8" s="29"/>
      <c r="BF8" s="29"/>
      <c r="BG8" s="29"/>
      <c r="BH8" s="29"/>
      <c r="BI8" s="29"/>
      <c r="BJ8" s="29"/>
      <c r="BK8" s="29"/>
      <c r="BL8" s="29"/>
      <c r="BM8" s="29"/>
      <c r="BN8" s="29"/>
      <c r="BO8" s="29"/>
      <c r="BP8" s="29"/>
      <c r="BQ8" s="29"/>
      <c r="BR8" s="29"/>
      <c r="BS8" s="29"/>
      <c r="BT8" s="29"/>
      <c r="BU8" s="29"/>
      <c r="BV8" s="29"/>
      <c r="BW8" s="29"/>
      <c r="BX8" s="29"/>
      <c r="BY8" s="29"/>
      <c r="BZ8" s="29"/>
      <c r="CA8" s="29"/>
      <c r="CB8" s="29"/>
      <c r="CC8" s="29"/>
      <c r="CD8" s="29"/>
      <c r="CE8" s="29"/>
      <c r="CF8" s="29"/>
      <c r="CG8" s="29"/>
      <c r="CH8" s="29"/>
      <c r="CI8" s="29"/>
      <c r="CJ8" s="365"/>
      <c r="CK8" s="365"/>
    </row>
    <row r="9" spans="1:103" ht="13" customHeight="1" x14ac:dyDescent="0.25">
      <c r="A9" s="32"/>
      <c r="B9" s="640" t="s">
        <v>3</v>
      </c>
      <c r="C9" s="642" t="s">
        <v>4</v>
      </c>
      <c r="D9" s="642" t="s">
        <v>144</v>
      </c>
      <c r="E9" s="640" t="s">
        <v>145</v>
      </c>
      <c r="F9" s="629" t="s">
        <v>5</v>
      </c>
      <c r="G9" s="630"/>
      <c r="H9" s="630"/>
      <c r="I9" s="630"/>
      <c r="J9" s="630"/>
      <c r="K9" s="630"/>
      <c r="L9" s="630"/>
      <c r="M9" s="630"/>
      <c r="N9" s="630"/>
      <c r="O9" s="630"/>
      <c r="P9" s="630"/>
      <c r="Q9" s="630"/>
      <c r="R9" s="630"/>
      <c r="S9" s="630"/>
      <c r="T9" s="630"/>
      <c r="U9" s="630"/>
      <c r="V9" s="630"/>
      <c r="W9" s="630"/>
      <c r="X9" s="630"/>
      <c r="Y9" s="629" t="s">
        <v>6</v>
      </c>
      <c r="Z9" s="630"/>
      <c r="AA9" s="630"/>
      <c r="AB9" s="630"/>
      <c r="AC9" s="630"/>
      <c r="AD9" s="630"/>
      <c r="AE9" s="630"/>
      <c r="AF9" s="630"/>
      <c r="AG9" s="630"/>
      <c r="AH9" s="630"/>
      <c r="AI9" s="630"/>
      <c r="AJ9" s="630"/>
      <c r="AK9" s="630"/>
      <c r="AL9" s="630"/>
      <c r="AM9" s="630"/>
      <c r="AN9" s="630"/>
      <c r="AO9" s="630"/>
      <c r="AP9" s="630"/>
      <c r="AQ9" s="630"/>
      <c r="AR9" s="630"/>
      <c r="AS9" s="630"/>
      <c r="AT9" s="630"/>
      <c r="AU9" s="630"/>
      <c r="AV9" s="630"/>
      <c r="AW9" s="630"/>
      <c r="AX9" s="630"/>
      <c r="AY9" s="630"/>
      <c r="AZ9" s="630"/>
      <c r="BA9" s="630"/>
      <c r="BB9" s="630"/>
      <c r="BC9" s="631"/>
      <c r="BD9" s="629" t="s">
        <v>143</v>
      </c>
      <c r="BE9" s="630"/>
      <c r="BF9" s="630"/>
      <c r="BG9" s="630"/>
      <c r="BH9" s="630"/>
      <c r="BI9" s="630"/>
      <c r="BJ9" s="630"/>
      <c r="BK9" s="630"/>
      <c r="BL9" s="630"/>
      <c r="BM9" s="630"/>
      <c r="BN9" s="630"/>
      <c r="BO9" s="630"/>
      <c r="BP9" s="630"/>
      <c r="BQ9" s="630"/>
      <c r="BR9" s="630"/>
      <c r="BS9" s="630"/>
      <c r="BT9" s="630"/>
      <c r="BU9" s="630"/>
      <c r="BV9" s="630"/>
      <c r="BW9" s="630"/>
      <c r="BX9" s="630"/>
      <c r="BY9" s="630"/>
      <c r="BZ9" s="630"/>
      <c r="CA9" s="630"/>
      <c r="CB9" s="630"/>
      <c r="CC9" s="630"/>
      <c r="CD9" s="630"/>
      <c r="CE9" s="631"/>
      <c r="CF9" s="641" t="s">
        <v>7</v>
      </c>
      <c r="CG9" s="635" t="s">
        <v>8</v>
      </c>
      <c r="CH9" s="641" t="s">
        <v>9</v>
      </c>
      <c r="CI9" s="635" t="s">
        <v>10</v>
      </c>
      <c r="CJ9" s="635" t="s">
        <v>11</v>
      </c>
      <c r="CK9" s="635" t="s">
        <v>146</v>
      </c>
      <c r="CM9" s="640"/>
      <c r="CN9" s="640"/>
      <c r="CO9" s="640"/>
      <c r="CP9" s="640"/>
      <c r="CR9" s="642" t="s">
        <v>147</v>
      </c>
      <c r="CS9" s="642" t="s">
        <v>31</v>
      </c>
    </row>
    <row r="10" spans="1:103" ht="16" customHeight="1" x14ac:dyDescent="0.25">
      <c r="A10" s="32"/>
      <c r="B10" s="640"/>
      <c r="C10" s="642"/>
      <c r="D10" s="642"/>
      <c r="E10" s="640"/>
      <c r="F10" s="7" t="s">
        <v>13</v>
      </c>
      <c r="G10" s="7" t="s">
        <v>14</v>
      </c>
      <c r="H10" s="7" t="s">
        <v>15</v>
      </c>
      <c r="I10" s="7" t="s">
        <v>14</v>
      </c>
      <c r="J10" s="7" t="s">
        <v>2</v>
      </c>
      <c r="K10" s="8" t="s">
        <v>16</v>
      </c>
      <c r="L10" s="8" t="s">
        <v>16</v>
      </c>
      <c r="M10" s="7" t="s">
        <v>13</v>
      </c>
      <c r="N10" s="7" t="s">
        <v>14</v>
      </c>
      <c r="O10" s="7" t="s">
        <v>15</v>
      </c>
      <c r="P10" s="7" t="s">
        <v>14</v>
      </c>
      <c r="Q10" s="7" t="s">
        <v>2</v>
      </c>
      <c r="R10" s="8" t="s">
        <v>16</v>
      </c>
      <c r="S10" s="8" t="s">
        <v>16</v>
      </c>
      <c r="T10" s="7" t="s">
        <v>13</v>
      </c>
      <c r="U10" s="7" t="s">
        <v>14</v>
      </c>
      <c r="V10" s="7" t="s">
        <v>15</v>
      </c>
      <c r="W10" s="7" t="s">
        <v>14</v>
      </c>
      <c r="X10" s="7" t="s">
        <v>2</v>
      </c>
      <c r="Y10" s="7" t="s">
        <v>14</v>
      </c>
      <c r="Z10" s="7" t="s">
        <v>2</v>
      </c>
      <c r="AA10" s="8" t="s">
        <v>16</v>
      </c>
      <c r="AB10" s="8" t="s">
        <v>16</v>
      </c>
      <c r="AC10" s="7" t="s">
        <v>13</v>
      </c>
      <c r="AD10" s="7" t="s">
        <v>14</v>
      </c>
      <c r="AE10" s="7" t="s">
        <v>15</v>
      </c>
      <c r="AF10" s="7" t="s">
        <v>14</v>
      </c>
      <c r="AG10" s="7" t="s">
        <v>2</v>
      </c>
      <c r="AH10" s="8" t="s">
        <v>16</v>
      </c>
      <c r="AI10" s="8" t="s">
        <v>16</v>
      </c>
      <c r="AJ10" s="7" t="s">
        <v>13</v>
      </c>
      <c r="AK10" s="7" t="s">
        <v>14</v>
      </c>
      <c r="AL10" s="7" t="s">
        <v>15</v>
      </c>
      <c r="AM10" s="7" t="s">
        <v>14</v>
      </c>
      <c r="AN10" s="7" t="s">
        <v>2</v>
      </c>
      <c r="AO10" s="8" t="s">
        <v>16</v>
      </c>
      <c r="AP10" s="8" t="s">
        <v>16</v>
      </c>
      <c r="AQ10" s="7" t="s">
        <v>13</v>
      </c>
      <c r="AR10" s="7" t="s">
        <v>14</v>
      </c>
      <c r="AS10" s="7" t="s">
        <v>15</v>
      </c>
      <c r="AT10" s="7" t="s">
        <v>14</v>
      </c>
      <c r="AU10" s="7" t="s">
        <v>2</v>
      </c>
      <c r="AV10" s="8" t="s">
        <v>16</v>
      </c>
      <c r="AW10" s="8" t="s">
        <v>16</v>
      </c>
      <c r="AX10" s="7" t="s">
        <v>13</v>
      </c>
      <c r="AY10" s="7" t="s">
        <v>14</v>
      </c>
      <c r="AZ10" s="7" t="s">
        <v>15</v>
      </c>
      <c r="BA10" s="7" t="s">
        <v>14</v>
      </c>
      <c r="BB10" s="7" t="s">
        <v>2</v>
      </c>
      <c r="BC10" s="8" t="s">
        <v>16</v>
      </c>
      <c r="BD10" s="8" t="s">
        <v>16</v>
      </c>
      <c r="BE10" s="7" t="s">
        <v>13</v>
      </c>
      <c r="BF10" s="7" t="s">
        <v>14</v>
      </c>
      <c r="BG10" s="7" t="s">
        <v>15</v>
      </c>
      <c r="BH10" s="7" t="s">
        <v>14</v>
      </c>
      <c r="BI10" s="7" t="s">
        <v>2</v>
      </c>
      <c r="BJ10" s="8" t="s">
        <v>16</v>
      </c>
      <c r="BK10" s="8" t="s">
        <v>16</v>
      </c>
      <c r="BL10" s="7" t="s">
        <v>13</v>
      </c>
      <c r="BM10" s="7" t="s">
        <v>14</v>
      </c>
      <c r="BN10" s="7" t="s">
        <v>15</v>
      </c>
      <c r="BO10" s="7" t="s">
        <v>14</v>
      </c>
      <c r="BP10" s="7" t="s">
        <v>2</v>
      </c>
      <c r="BQ10" s="8" t="s">
        <v>16</v>
      </c>
      <c r="BR10" s="8" t="s">
        <v>16</v>
      </c>
      <c r="BS10" s="7" t="s">
        <v>13</v>
      </c>
      <c r="BT10" s="7" t="s">
        <v>14</v>
      </c>
      <c r="BU10" s="7" t="s">
        <v>15</v>
      </c>
      <c r="BV10" s="7" t="s">
        <v>14</v>
      </c>
      <c r="BW10" s="7" t="s">
        <v>2</v>
      </c>
      <c r="BX10" s="8" t="s">
        <v>16</v>
      </c>
      <c r="BY10" s="8" t="s">
        <v>16</v>
      </c>
      <c r="BZ10" s="7" t="s">
        <v>13</v>
      </c>
      <c r="CA10" s="7" t="s">
        <v>14</v>
      </c>
      <c r="CB10" s="7" t="s">
        <v>15</v>
      </c>
      <c r="CC10" s="7" t="s">
        <v>14</v>
      </c>
      <c r="CD10" s="7" t="s">
        <v>2</v>
      </c>
      <c r="CE10" s="8" t="s">
        <v>16</v>
      </c>
      <c r="CF10" s="665"/>
      <c r="CG10" s="636"/>
      <c r="CH10" s="665"/>
      <c r="CI10" s="636"/>
      <c r="CJ10" s="636"/>
      <c r="CK10" s="636"/>
      <c r="CM10" s="640" t="s">
        <v>6</v>
      </c>
      <c r="CN10" s="640"/>
      <c r="CO10" s="640" t="s">
        <v>143</v>
      </c>
      <c r="CP10" s="640"/>
      <c r="CR10" s="642"/>
      <c r="CS10" s="642"/>
    </row>
    <row r="11" spans="1:103" x14ac:dyDescent="0.25">
      <c r="A11" s="32"/>
      <c r="B11" s="640"/>
      <c r="C11" s="642"/>
      <c r="D11" s="642"/>
      <c r="E11" s="640"/>
      <c r="F11" s="7">
        <v>1</v>
      </c>
      <c r="G11" s="7">
        <v>2</v>
      </c>
      <c r="H11" s="7">
        <v>3</v>
      </c>
      <c r="I11" s="7">
        <v>4</v>
      </c>
      <c r="J11" s="7">
        <v>5</v>
      </c>
      <c r="K11" s="8">
        <v>6</v>
      </c>
      <c r="L11" s="8">
        <v>7</v>
      </c>
      <c r="M11" s="7">
        <v>8</v>
      </c>
      <c r="N11" s="7">
        <v>9</v>
      </c>
      <c r="O11" s="7">
        <v>10</v>
      </c>
      <c r="P11" s="7">
        <v>11</v>
      </c>
      <c r="Q11" s="7">
        <v>12</v>
      </c>
      <c r="R11" s="8">
        <v>13</v>
      </c>
      <c r="S11" s="8">
        <v>14</v>
      </c>
      <c r="T11" s="7">
        <v>15</v>
      </c>
      <c r="U11" s="7">
        <v>16</v>
      </c>
      <c r="V11" s="7">
        <v>17</v>
      </c>
      <c r="W11" s="7">
        <v>18</v>
      </c>
      <c r="X11" s="7">
        <v>19</v>
      </c>
      <c r="Y11" s="7">
        <v>1</v>
      </c>
      <c r="Z11" s="7">
        <v>2</v>
      </c>
      <c r="AA11" s="8">
        <v>3</v>
      </c>
      <c r="AB11" s="8">
        <v>4</v>
      </c>
      <c r="AC11" s="7">
        <v>5</v>
      </c>
      <c r="AD11" s="7">
        <v>6</v>
      </c>
      <c r="AE11" s="7">
        <v>7</v>
      </c>
      <c r="AF11" s="7">
        <v>8</v>
      </c>
      <c r="AG11" s="7">
        <v>9</v>
      </c>
      <c r="AH11" s="8">
        <v>10</v>
      </c>
      <c r="AI11" s="8">
        <v>11</v>
      </c>
      <c r="AJ11" s="7">
        <v>12</v>
      </c>
      <c r="AK11" s="7">
        <v>13</v>
      </c>
      <c r="AL11" s="7">
        <v>14</v>
      </c>
      <c r="AM11" s="7">
        <v>15</v>
      </c>
      <c r="AN11" s="7">
        <v>16</v>
      </c>
      <c r="AO11" s="8">
        <v>17</v>
      </c>
      <c r="AP11" s="8">
        <v>18</v>
      </c>
      <c r="AQ11" s="7">
        <v>19</v>
      </c>
      <c r="AR11" s="7">
        <v>20</v>
      </c>
      <c r="AS11" s="7">
        <v>21</v>
      </c>
      <c r="AT11" s="7">
        <v>22</v>
      </c>
      <c r="AU11" s="7">
        <v>23</v>
      </c>
      <c r="AV11" s="8">
        <v>24</v>
      </c>
      <c r="AW11" s="8">
        <v>25</v>
      </c>
      <c r="AX11" s="7">
        <v>26</v>
      </c>
      <c r="AY11" s="7">
        <v>27</v>
      </c>
      <c r="AZ11" s="7">
        <v>28</v>
      </c>
      <c r="BA11" s="7">
        <v>29</v>
      </c>
      <c r="BB11" s="7">
        <v>30</v>
      </c>
      <c r="BC11" s="8">
        <v>31</v>
      </c>
      <c r="BD11" s="8">
        <v>1</v>
      </c>
      <c r="BE11" s="7">
        <v>2</v>
      </c>
      <c r="BF11" s="7">
        <v>3</v>
      </c>
      <c r="BG11" s="7">
        <v>4</v>
      </c>
      <c r="BH11" s="7">
        <v>5</v>
      </c>
      <c r="BI11" s="7">
        <v>6</v>
      </c>
      <c r="BJ11" s="8">
        <v>7</v>
      </c>
      <c r="BK11" s="8">
        <v>8</v>
      </c>
      <c r="BL11" s="7">
        <v>9</v>
      </c>
      <c r="BM11" s="7">
        <v>10</v>
      </c>
      <c r="BN11" s="7">
        <v>11</v>
      </c>
      <c r="BO11" s="7">
        <v>12</v>
      </c>
      <c r="BP11" s="7">
        <v>13</v>
      </c>
      <c r="BQ11" s="8">
        <v>14</v>
      </c>
      <c r="BR11" s="8">
        <v>15</v>
      </c>
      <c r="BS11" s="7">
        <v>16</v>
      </c>
      <c r="BT11" s="7">
        <v>17</v>
      </c>
      <c r="BU11" s="7">
        <v>18</v>
      </c>
      <c r="BV11" s="7">
        <v>19</v>
      </c>
      <c r="BW11" s="7">
        <v>20</v>
      </c>
      <c r="BX11" s="8">
        <v>21</v>
      </c>
      <c r="BY11" s="8">
        <v>22</v>
      </c>
      <c r="BZ11" s="7">
        <v>23</v>
      </c>
      <c r="CA11" s="7">
        <v>24</v>
      </c>
      <c r="CB11" s="7">
        <v>25</v>
      </c>
      <c r="CC11" s="7">
        <v>26</v>
      </c>
      <c r="CD11" s="7">
        <v>27</v>
      </c>
      <c r="CE11" s="8">
        <v>28</v>
      </c>
      <c r="CF11" s="666"/>
      <c r="CG11" s="637"/>
      <c r="CH11" s="666"/>
      <c r="CI11" s="637"/>
      <c r="CJ11" s="637"/>
      <c r="CK11" s="637"/>
      <c r="CM11" s="640"/>
      <c r="CN11" s="640"/>
      <c r="CO11" s="640"/>
      <c r="CP11" s="640"/>
      <c r="CR11" s="642"/>
      <c r="CS11" s="642"/>
    </row>
    <row r="12" spans="1:103" ht="13" customHeight="1" x14ac:dyDescent="0.25">
      <c r="A12" s="32"/>
      <c r="B12" s="368"/>
      <c r="C12" s="369"/>
      <c r="D12" s="369"/>
      <c r="E12" s="369"/>
      <c r="F12" s="369"/>
      <c r="G12" s="369"/>
      <c r="H12" s="369"/>
      <c r="I12" s="369"/>
      <c r="J12" s="369"/>
      <c r="K12" s="369"/>
      <c r="L12" s="369"/>
      <c r="M12" s="369"/>
      <c r="N12" s="369"/>
      <c r="O12" s="369"/>
      <c r="P12" s="369"/>
      <c r="Q12" s="369"/>
      <c r="R12" s="369"/>
      <c r="S12" s="369"/>
      <c r="T12" s="369"/>
      <c r="U12" s="369"/>
      <c r="V12" s="369"/>
      <c r="W12" s="369"/>
      <c r="X12" s="369"/>
      <c r="Y12" s="369"/>
      <c r="Z12" s="369"/>
      <c r="AA12" s="369"/>
      <c r="AB12" s="369"/>
      <c r="AC12" s="369"/>
      <c r="AD12" s="369"/>
      <c r="AE12" s="369"/>
      <c r="AF12" s="369"/>
      <c r="AG12" s="369"/>
      <c r="AH12" s="369"/>
      <c r="AI12" s="369"/>
      <c r="AJ12" s="369"/>
      <c r="AK12" s="369"/>
      <c r="AL12" s="369"/>
      <c r="AM12" s="369"/>
      <c r="AN12" s="369"/>
      <c r="AO12" s="369"/>
      <c r="AP12" s="369"/>
      <c r="AQ12" s="369"/>
      <c r="AR12" s="369"/>
      <c r="AS12" s="369"/>
      <c r="AT12" s="369"/>
      <c r="AU12" s="369"/>
      <c r="AV12" s="370"/>
      <c r="AW12" s="369"/>
      <c r="AX12" s="369"/>
      <c r="AY12" s="369"/>
      <c r="AZ12" s="369"/>
      <c r="BA12" s="369"/>
      <c r="BB12" s="369"/>
      <c r="BC12" s="369"/>
      <c r="BD12" s="369"/>
      <c r="BE12" s="369"/>
      <c r="BF12" s="369"/>
      <c r="BG12" s="369"/>
      <c r="BH12" s="369"/>
      <c r="BI12" s="369"/>
      <c r="BJ12" s="369"/>
      <c r="BK12" s="369"/>
      <c r="BL12" s="369"/>
      <c r="BM12" s="369"/>
      <c r="BN12" s="369"/>
      <c r="BO12" s="369"/>
      <c r="BP12" s="369"/>
      <c r="BQ12" s="369"/>
      <c r="BR12" s="369"/>
      <c r="BS12" s="369"/>
      <c r="BT12" s="369"/>
      <c r="BU12" s="369"/>
      <c r="BV12" s="369"/>
      <c r="BW12" s="369"/>
      <c r="BX12" s="369"/>
      <c r="BY12" s="369"/>
      <c r="BZ12" s="369"/>
      <c r="CA12" s="370"/>
      <c r="CB12" s="369"/>
      <c r="CC12" s="369"/>
      <c r="CD12" s="369"/>
      <c r="CE12" s="369"/>
      <c r="CF12" s="369"/>
      <c r="CG12" s="369"/>
      <c r="CH12" s="369"/>
      <c r="CI12" s="369"/>
      <c r="CJ12" s="114"/>
      <c r="CK12" s="9"/>
      <c r="CM12" s="371" t="s">
        <v>7</v>
      </c>
      <c r="CN12" s="371" t="s">
        <v>34</v>
      </c>
      <c r="CO12" s="371" t="s">
        <v>7</v>
      </c>
      <c r="CP12" s="371" t="s">
        <v>34</v>
      </c>
      <c r="CQ12" s="28"/>
      <c r="CR12" s="28"/>
      <c r="CS12" s="28"/>
      <c r="CT12" s="28"/>
      <c r="CU12" s="28"/>
      <c r="CV12" s="28"/>
      <c r="CW12" s="28"/>
      <c r="CX12" s="28"/>
      <c r="CY12" s="28"/>
    </row>
    <row r="13" spans="1:103" ht="14.5" customHeight="1" x14ac:dyDescent="0.25">
      <c r="A13" s="32"/>
      <c r="B13" s="372"/>
      <c r="C13" s="34"/>
      <c r="D13" s="373"/>
      <c r="E13" s="373"/>
      <c r="F13" s="11"/>
      <c r="G13" s="12"/>
      <c r="H13" s="12"/>
      <c r="I13" s="12"/>
      <c r="J13" s="11"/>
      <c r="K13" s="13"/>
      <c r="L13" s="13"/>
      <c r="M13" s="11"/>
      <c r="N13" s="12"/>
      <c r="O13" s="12"/>
      <c r="P13" s="12"/>
      <c r="Q13" s="11"/>
      <c r="R13" s="13"/>
      <c r="S13" s="13"/>
      <c r="T13" s="11"/>
      <c r="U13" s="12"/>
      <c r="V13" s="12"/>
      <c r="W13" s="12"/>
      <c r="X13" s="11"/>
      <c r="Y13" s="11"/>
      <c r="Z13" s="12"/>
      <c r="AA13" s="13"/>
      <c r="AB13" s="13"/>
      <c r="AC13" s="11"/>
      <c r="AD13" s="12"/>
      <c r="AE13" s="12"/>
      <c r="AF13" s="12"/>
      <c r="AG13" s="11"/>
      <c r="AH13" s="13"/>
      <c r="AI13" s="13"/>
      <c r="AJ13" s="11"/>
      <c r="AK13" s="12"/>
      <c r="AL13" s="12"/>
      <c r="AM13" s="12"/>
      <c r="AN13" s="11"/>
      <c r="AO13" s="13"/>
      <c r="AP13" s="13"/>
      <c r="AQ13" s="11"/>
      <c r="AR13" s="12"/>
      <c r="AS13" s="12"/>
      <c r="AT13" s="12"/>
      <c r="AU13" s="11"/>
      <c r="AV13" s="13"/>
      <c r="AW13" s="13"/>
      <c r="AX13" s="11"/>
      <c r="AY13" s="12"/>
      <c r="AZ13" s="12"/>
      <c r="BA13" s="12"/>
      <c r="BB13" s="11"/>
      <c r="BC13" s="13"/>
      <c r="BD13" s="13"/>
      <c r="BE13" s="11"/>
      <c r="BF13" s="12"/>
      <c r="BG13" s="12"/>
      <c r="BH13" s="12"/>
      <c r="BI13" s="11"/>
      <c r="BJ13" s="13"/>
      <c r="BK13" s="13"/>
      <c r="BL13" s="11"/>
      <c r="BM13" s="12"/>
      <c r="BN13" s="12"/>
      <c r="BO13" s="12"/>
      <c r="BP13" s="11"/>
      <c r="BQ13" s="13"/>
      <c r="BR13" s="13"/>
      <c r="BS13" s="11"/>
      <c r="BT13" s="12"/>
      <c r="BU13" s="12"/>
      <c r="BV13" s="12"/>
      <c r="BW13" s="11"/>
      <c r="BX13" s="13"/>
      <c r="BY13" s="13"/>
      <c r="BZ13" s="11"/>
      <c r="CA13" s="12"/>
      <c r="CB13" s="12"/>
      <c r="CC13" s="12"/>
      <c r="CD13" s="11"/>
      <c r="CE13" s="13"/>
      <c r="CF13" s="14"/>
      <c r="CG13" s="17"/>
      <c r="CH13" s="16"/>
      <c r="CI13" s="17"/>
      <c r="CJ13" s="18"/>
      <c r="CK13" s="18"/>
      <c r="CM13" s="14"/>
      <c r="CN13" s="374"/>
      <c r="CO13" s="14"/>
      <c r="CP13" s="374"/>
      <c r="CQ13" s="28"/>
      <c r="CR13" s="375"/>
      <c r="CS13" s="376"/>
      <c r="CT13" s="28"/>
      <c r="CU13" s="28"/>
      <c r="CV13" s="28"/>
      <c r="CW13" s="28"/>
      <c r="CX13" s="28"/>
      <c r="CY13" s="28"/>
    </row>
    <row r="14" spans="1:103" ht="14.5" hidden="1" customHeight="1" x14ac:dyDescent="0.25">
      <c r="A14" s="32"/>
      <c r="B14" s="36" t="s">
        <v>334</v>
      </c>
      <c r="C14" s="39" t="s">
        <v>153</v>
      </c>
      <c r="D14" s="95" t="s">
        <v>327</v>
      </c>
      <c r="E14" s="377">
        <v>877134</v>
      </c>
      <c r="F14" s="11"/>
      <c r="G14" s="12"/>
      <c r="H14" s="12"/>
      <c r="I14" s="12"/>
      <c r="J14" s="11"/>
      <c r="K14" s="13"/>
      <c r="L14" s="13"/>
      <c r="M14" s="11"/>
      <c r="N14" s="12"/>
      <c r="O14" s="12"/>
      <c r="P14" s="12"/>
      <c r="Q14" s="11"/>
      <c r="R14" s="13"/>
      <c r="S14" s="13"/>
      <c r="T14" s="11"/>
      <c r="U14" s="12"/>
      <c r="V14" s="12"/>
      <c r="W14" s="12"/>
      <c r="X14" s="11"/>
      <c r="Y14" s="11"/>
      <c r="Z14" s="12"/>
      <c r="AA14" s="13"/>
      <c r="AB14" s="13"/>
      <c r="AC14" s="11"/>
      <c r="AD14" s="12"/>
      <c r="AE14" s="12"/>
      <c r="AF14" s="12"/>
      <c r="AG14" s="11"/>
      <c r="AH14" s="13"/>
      <c r="AI14" s="13"/>
      <c r="AJ14" s="11"/>
      <c r="AK14" s="12"/>
      <c r="AL14" s="12"/>
      <c r="AM14" s="12"/>
      <c r="AN14" s="11"/>
      <c r="AO14" s="13"/>
      <c r="AP14" s="13"/>
      <c r="AQ14" s="11"/>
      <c r="AR14" s="12"/>
      <c r="AS14" s="12"/>
      <c r="AT14" s="12"/>
      <c r="AU14" s="11"/>
      <c r="AV14" s="13"/>
      <c r="AW14" s="13"/>
      <c r="AX14" s="11"/>
      <c r="AY14" s="12"/>
      <c r="AZ14" s="12"/>
      <c r="BA14" s="12"/>
      <c r="BB14" s="11"/>
      <c r="BC14" s="13"/>
      <c r="BD14" s="13"/>
      <c r="BE14" s="11"/>
      <c r="BF14" s="12"/>
      <c r="BG14" s="12"/>
      <c r="BH14" s="12"/>
      <c r="BI14" s="11"/>
      <c r="BJ14" s="13"/>
      <c r="BK14" s="13"/>
      <c r="BL14" s="11"/>
      <c r="BM14" s="12"/>
      <c r="BN14" s="12"/>
      <c r="BO14" s="12"/>
      <c r="BP14" s="11"/>
      <c r="BQ14" s="13"/>
      <c r="BR14" s="13"/>
      <c r="BS14" s="11"/>
      <c r="BT14" s="12"/>
      <c r="BU14" s="12"/>
      <c r="BV14" s="12"/>
      <c r="BW14" s="11"/>
      <c r="BX14" s="13"/>
      <c r="BY14" s="13"/>
      <c r="BZ14" s="11"/>
      <c r="CA14" s="12"/>
      <c r="CB14" s="12"/>
      <c r="CC14" s="12"/>
      <c r="CD14" s="11"/>
      <c r="CE14" s="13"/>
      <c r="CF14" s="378">
        <f>SUM(F14:CE14)</f>
        <v>0</v>
      </c>
      <c r="CG14" s="379">
        <v>4636996</v>
      </c>
      <c r="CH14" s="402">
        <f>(CG14-CI14)/CG14</f>
        <v>0.95500319603467421</v>
      </c>
      <c r="CI14" s="20">
        <v>208650</v>
      </c>
      <c r="CJ14" s="21">
        <f>CI14*CF14</f>
        <v>0</v>
      </c>
      <c r="CK14" s="21">
        <f>CJ14*0.8</f>
        <v>0</v>
      </c>
      <c r="CM14" s="378">
        <f>SUM(Y14:BC14)</f>
        <v>0</v>
      </c>
      <c r="CN14" s="380">
        <f>CM14*$CI14*0.8</f>
        <v>0</v>
      </c>
      <c r="CO14" s="378">
        <f>SUM(BD14:CE14)</f>
        <v>0</v>
      </c>
      <c r="CP14" s="380">
        <f>CO14*$CI14*0.8</f>
        <v>0</v>
      </c>
      <c r="CQ14" s="28"/>
      <c r="CR14" s="381">
        <f>E14*CF14</f>
        <v>0</v>
      </c>
      <c r="CS14" s="382" t="e">
        <f>CK14/CR14*1000</f>
        <v>#DIV/0!</v>
      </c>
      <c r="CT14" s="28"/>
      <c r="CU14" s="28"/>
      <c r="CV14" s="28"/>
      <c r="CW14" s="28"/>
      <c r="CX14" s="28"/>
      <c r="CY14" s="28"/>
    </row>
    <row r="15" spans="1:103" ht="14.5" customHeight="1" x14ac:dyDescent="0.25">
      <c r="A15" s="32"/>
      <c r="B15" s="36" t="s">
        <v>334</v>
      </c>
      <c r="C15" s="39" t="s">
        <v>153</v>
      </c>
      <c r="D15" s="95" t="s">
        <v>328</v>
      </c>
      <c r="E15" s="377">
        <v>877134</v>
      </c>
      <c r="F15" s="11"/>
      <c r="G15" s="12"/>
      <c r="H15" s="12"/>
      <c r="I15" s="12"/>
      <c r="J15" s="11"/>
      <c r="K15" s="13"/>
      <c r="L15" s="13"/>
      <c r="M15" s="11"/>
      <c r="N15" s="12"/>
      <c r="O15" s="12"/>
      <c r="P15" s="12"/>
      <c r="Q15" s="11"/>
      <c r="R15" s="13"/>
      <c r="S15" s="13"/>
      <c r="T15" s="11"/>
      <c r="U15" s="12"/>
      <c r="V15" s="12"/>
      <c r="W15" s="12"/>
      <c r="X15" s="11"/>
      <c r="Y15" s="11"/>
      <c r="Z15" s="12"/>
      <c r="AA15" s="13"/>
      <c r="AB15" s="13"/>
      <c r="AC15" s="11"/>
      <c r="AD15" s="12"/>
      <c r="AE15" s="12"/>
      <c r="AF15" s="12"/>
      <c r="AG15" s="11"/>
      <c r="AH15" s="13"/>
      <c r="AI15" s="13"/>
      <c r="AJ15" s="11"/>
      <c r="AK15" s="12"/>
      <c r="AL15" s="12"/>
      <c r="AM15" s="12"/>
      <c r="AN15" s="11"/>
      <c r="AO15" s="13">
        <v>1</v>
      </c>
      <c r="AP15" s="13"/>
      <c r="AQ15" s="11">
        <v>1</v>
      </c>
      <c r="AR15" s="12"/>
      <c r="AS15" s="12"/>
      <c r="AT15" s="12">
        <v>1</v>
      </c>
      <c r="AU15" s="11"/>
      <c r="AV15" s="13"/>
      <c r="AW15" s="13"/>
      <c r="AX15" s="11"/>
      <c r="AY15" s="12"/>
      <c r="AZ15" s="12"/>
      <c r="BA15" s="12"/>
      <c r="BB15" s="11"/>
      <c r="BC15" s="13"/>
      <c r="BD15" s="13"/>
      <c r="BE15" s="11"/>
      <c r="BF15" s="12"/>
      <c r="BG15" s="12"/>
      <c r="BH15" s="12"/>
      <c r="BI15" s="11"/>
      <c r="BJ15" s="13"/>
      <c r="BK15" s="13"/>
      <c r="BL15" s="11"/>
      <c r="BM15" s="12"/>
      <c r="BN15" s="12"/>
      <c r="BO15" s="12"/>
      <c r="BP15" s="11"/>
      <c r="BQ15" s="13"/>
      <c r="BR15" s="13"/>
      <c r="BS15" s="11"/>
      <c r="BT15" s="12"/>
      <c r="BU15" s="12"/>
      <c r="BV15" s="12"/>
      <c r="BW15" s="11"/>
      <c r="BX15" s="13"/>
      <c r="BY15" s="13"/>
      <c r="BZ15" s="11"/>
      <c r="CA15" s="12"/>
      <c r="CB15" s="12"/>
      <c r="CC15" s="12"/>
      <c r="CD15" s="11"/>
      <c r="CE15" s="13"/>
      <c r="CF15" s="378">
        <f>SUM(F15:CE15)</f>
        <v>3</v>
      </c>
      <c r="CG15" s="379">
        <v>693342</v>
      </c>
      <c r="CH15" s="402">
        <v>0.91434866198787901</v>
      </c>
      <c r="CI15" s="20">
        <f>CG15-(CG15*CH15)</f>
        <v>59385.670000000042</v>
      </c>
      <c r="CJ15" s="21">
        <f>CI15*CF15</f>
        <v>178157.01000000013</v>
      </c>
      <c r="CK15" s="21">
        <f>CJ15*0.8</f>
        <v>142525.60800000009</v>
      </c>
      <c r="CM15" s="378">
        <f>SUM(Y15:BC15)</f>
        <v>3</v>
      </c>
      <c r="CN15" s="380">
        <f>CM15*$CI15*0.8</f>
        <v>142525.60800000009</v>
      </c>
      <c r="CO15" s="378">
        <f>SUM(BD15:CE15)</f>
        <v>0</v>
      </c>
      <c r="CP15" s="380">
        <f>CO15*$CI15*0.8</f>
        <v>0</v>
      </c>
      <c r="CQ15" s="28"/>
      <c r="CR15" s="381">
        <f t="shared" ref="CR15:CR33" si="0">E15*CF15</f>
        <v>2631402</v>
      </c>
      <c r="CS15" s="382"/>
      <c r="CT15" s="28"/>
      <c r="CU15" s="28"/>
      <c r="CV15" s="28"/>
      <c r="CW15" s="28"/>
      <c r="CX15" s="28"/>
      <c r="CY15" s="28"/>
    </row>
    <row r="16" spans="1:103" ht="14.5" customHeight="1" x14ac:dyDescent="0.25">
      <c r="A16" s="32"/>
      <c r="B16" s="36"/>
      <c r="C16" s="39" t="s">
        <v>158</v>
      </c>
      <c r="D16" s="95" t="s">
        <v>219</v>
      </c>
      <c r="E16" s="377">
        <v>900000</v>
      </c>
      <c r="F16" s="11"/>
      <c r="G16" s="12"/>
      <c r="H16" s="12"/>
      <c r="I16" s="12"/>
      <c r="J16" s="11"/>
      <c r="K16" s="13"/>
      <c r="L16" s="13"/>
      <c r="M16" s="11"/>
      <c r="N16" s="12"/>
      <c r="O16" s="12"/>
      <c r="P16" s="12"/>
      <c r="Q16" s="11"/>
      <c r="R16" s="13"/>
      <c r="S16" s="13"/>
      <c r="T16" s="11"/>
      <c r="U16" s="12"/>
      <c r="V16" s="12"/>
      <c r="W16" s="12"/>
      <c r="X16" s="11"/>
      <c r="Y16" s="11"/>
      <c r="Z16" s="12"/>
      <c r="AA16" s="13"/>
      <c r="AB16" s="13"/>
      <c r="AC16" s="11"/>
      <c r="AD16" s="12"/>
      <c r="AE16" s="12"/>
      <c r="AF16" s="12"/>
      <c r="AG16" s="11"/>
      <c r="AH16" s="13"/>
      <c r="AI16" s="13"/>
      <c r="AJ16" s="11"/>
      <c r="AK16" s="12"/>
      <c r="AL16" s="12"/>
      <c r="AM16" s="12"/>
      <c r="AN16" s="11"/>
      <c r="AO16" s="13"/>
      <c r="AP16" s="13"/>
      <c r="AQ16" s="11"/>
      <c r="AR16" s="12"/>
      <c r="AS16" s="12"/>
      <c r="AT16" s="12"/>
      <c r="AU16" s="11"/>
      <c r="AV16" s="13"/>
      <c r="AW16" s="13"/>
      <c r="AX16" s="11"/>
      <c r="AY16" s="12"/>
      <c r="AZ16" s="662" t="s">
        <v>157</v>
      </c>
      <c r="BA16" s="663"/>
      <c r="BB16" s="663"/>
      <c r="BC16" s="663"/>
      <c r="BD16" s="663"/>
      <c r="BE16" s="663"/>
      <c r="BF16" s="663"/>
      <c r="BG16" s="663"/>
      <c r="BH16" s="663"/>
      <c r="BI16" s="663"/>
      <c r="BJ16" s="663"/>
      <c r="BK16" s="663"/>
      <c r="BL16" s="663"/>
      <c r="BM16" s="663"/>
      <c r="BN16" s="663"/>
      <c r="BO16" s="664"/>
      <c r="BP16" s="11"/>
      <c r="BQ16" s="13"/>
      <c r="BR16" s="13"/>
      <c r="BS16" s="11"/>
      <c r="BT16" s="12"/>
      <c r="BU16" s="12"/>
      <c r="BV16" s="12"/>
      <c r="BW16" s="11"/>
      <c r="BX16" s="13"/>
      <c r="BY16" s="13"/>
      <c r="BZ16" s="11"/>
      <c r="CA16" s="12"/>
      <c r="CB16" s="12"/>
      <c r="CC16" s="12"/>
      <c r="CD16" s="11"/>
      <c r="CE16" s="13"/>
      <c r="CF16" s="386">
        <v>900000</v>
      </c>
      <c r="CG16" s="379">
        <v>181800</v>
      </c>
      <c r="CH16" s="402">
        <v>0.85009405940594096</v>
      </c>
      <c r="CI16" s="20">
        <f>CG16-(CG16*CH16)</f>
        <v>27252.899999999936</v>
      </c>
      <c r="CJ16" s="21">
        <f>CI16</f>
        <v>27252.899999999936</v>
      </c>
      <c r="CK16" s="21">
        <f>CJ16*0.8</f>
        <v>21802.319999999949</v>
      </c>
      <c r="CM16" s="378">
        <f>SUM(Y16:BC16)</f>
        <v>0</v>
      </c>
      <c r="CN16" s="380">
        <f>CK16</f>
        <v>21802.319999999949</v>
      </c>
      <c r="CO16" s="378">
        <f>SUM(BD16:CE16)</f>
        <v>0</v>
      </c>
      <c r="CP16" s="380">
        <f>CO16*$CI16*0.8</f>
        <v>0</v>
      </c>
      <c r="CQ16" s="28"/>
      <c r="CR16" s="381">
        <v>900000</v>
      </c>
      <c r="CS16" s="382"/>
      <c r="CT16" s="28"/>
      <c r="CU16" s="28"/>
      <c r="CV16" s="28"/>
      <c r="CW16" s="28"/>
      <c r="CX16" s="28"/>
      <c r="CY16" s="28"/>
    </row>
    <row r="17" spans="1:103" ht="14.5" hidden="1" customHeight="1" x14ac:dyDescent="0.4">
      <c r="A17" s="32"/>
      <c r="B17" s="36"/>
      <c r="C17" s="39" t="s">
        <v>149</v>
      </c>
      <c r="D17" s="95" t="s">
        <v>148</v>
      </c>
      <c r="E17" s="377" t="s">
        <v>150</v>
      </c>
      <c r="F17" s="11"/>
      <c r="G17" s="12"/>
      <c r="H17" s="12"/>
      <c r="I17" s="12"/>
      <c r="J17" s="11"/>
      <c r="K17" s="13"/>
      <c r="L17" s="13"/>
      <c r="M17" s="11"/>
      <c r="N17" s="12"/>
      <c r="O17" s="12"/>
      <c r="P17" s="12"/>
      <c r="Q17" s="11"/>
      <c r="R17" s="13"/>
      <c r="S17" s="13"/>
      <c r="T17" s="11"/>
      <c r="U17" s="12"/>
      <c r="V17" s="12"/>
      <c r="W17" s="12"/>
      <c r="X17" s="11"/>
      <c r="Y17" s="11"/>
      <c r="Z17" s="12"/>
      <c r="AA17" s="13"/>
      <c r="AB17" s="13"/>
      <c r="AC17" s="11"/>
      <c r="AD17" s="12"/>
      <c r="AE17" s="12"/>
      <c r="AF17" s="12"/>
      <c r="AG17" s="11"/>
      <c r="AH17" s="13"/>
      <c r="AI17" s="13"/>
      <c r="AJ17" s="11"/>
      <c r="AK17" s="12"/>
      <c r="AL17" s="12"/>
      <c r="AM17" s="12"/>
      <c r="AN17" s="11"/>
      <c r="AO17" s="13"/>
      <c r="AP17" s="13"/>
      <c r="AQ17" s="11"/>
      <c r="AR17" s="12"/>
      <c r="AS17" s="12"/>
      <c r="AT17" s="12"/>
      <c r="AU17" s="11"/>
      <c r="AV17" s="13"/>
      <c r="AW17" s="13"/>
      <c r="AX17" s="11"/>
      <c r="AY17" s="12"/>
      <c r="AZ17" s="12"/>
      <c r="BA17" s="12"/>
      <c r="BB17" s="11"/>
      <c r="BC17" s="13"/>
      <c r="BD17" s="13"/>
      <c r="BE17" s="11"/>
      <c r="BF17" s="12"/>
      <c r="BG17" s="12"/>
      <c r="BH17" s="12"/>
      <c r="BI17" s="11"/>
      <c r="BJ17" s="13"/>
      <c r="BK17" s="13"/>
      <c r="BL17" s="11"/>
      <c r="BM17" s="12"/>
      <c r="BN17" s="12"/>
      <c r="BO17" s="12"/>
      <c r="BP17" s="11"/>
      <c r="BQ17" s="13"/>
      <c r="BR17" s="13"/>
      <c r="BS17" s="11"/>
      <c r="BT17" s="12"/>
      <c r="BU17" s="12"/>
      <c r="BV17" s="12"/>
      <c r="BW17" s="11"/>
      <c r="BX17" s="13"/>
      <c r="BY17" s="13"/>
      <c r="BZ17" s="11"/>
      <c r="CA17" s="12"/>
      <c r="CB17" s="12"/>
      <c r="CC17" s="12"/>
      <c r="CD17" s="11"/>
      <c r="CE17" s="13"/>
      <c r="CF17" s="378">
        <f>SUM(F17:X17)</f>
        <v>0</v>
      </c>
      <c r="CG17" s="379">
        <v>14000</v>
      </c>
      <c r="CH17" s="19">
        <v>0.05</v>
      </c>
      <c r="CI17" s="20">
        <f>CG17*(1-CH17)</f>
        <v>13300</v>
      </c>
      <c r="CJ17" s="21">
        <f>CI17*CF17</f>
        <v>0</v>
      </c>
      <c r="CK17" s="21">
        <f>CJ17*0.8</f>
        <v>0</v>
      </c>
      <c r="CL17" s="383"/>
      <c r="CM17" s="378">
        <f>SUM(H17:Z17)</f>
        <v>0</v>
      </c>
      <c r="CN17" s="380">
        <f>CM17*$CI17*0.8</f>
        <v>0</v>
      </c>
      <c r="CO17" s="378">
        <f>SUM(J17:AB17)</f>
        <v>0</v>
      </c>
      <c r="CP17" s="380">
        <f>CO17*$CI17*0.8</f>
        <v>0</v>
      </c>
      <c r="CQ17" s="28"/>
      <c r="CR17" s="381" t="e">
        <f t="shared" si="0"/>
        <v>#VALUE!</v>
      </c>
      <c r="CS17" s="382" t="e">
        <f>CK17/CR17*1000</f>
        <v>#VALUE!</v>
      </c>
      <c r="CT17" s="28"/>
      <c r="CU17" s="28"/>
      <c r="CV17" s="28"/>
      <c r="CW17" s="28"/>
      <c r="CX17" s="28"/>
      <c r="CY17" s="28"/>
    </row>
    <row r="18" spans="1:103" ht="14.5" customHeight="1" x14ac:dyDescent="0.25">
      <c r="A18" s="32"/>
      <c r="B18" s="36"/>
      <c r="C18" s="39"/>
      <c r="D18" s="95"/>
      <c r="E18" s="377"/>
      <c r="F18" s="11"/>
      <c r="G18" s="12"/>
      <c r="H18" s="12"/>
      <c r="I18" s="12"/>
      <c r="J18" s="11"/>
      <c r="K18" s="13"/>
      <c r="L18" s="13"/>
      <c r="M18" s="11"/>
      <c r="N18" s="12"/>
      <c r="O18" s="12"/>
      <c r="P18" s="12"/>
      <c r="Q18" s="11"/>
      <c r="R18" s="13"/>
      <c r="S18" s="13"/>
      <c r="T18" s="11"/>
      <c r="U18" s="12"/>
      <c r="V18" s="12"/>
      <c r="W18" s="12"/>
      <c r="X18" s="11"/>
      <c r="Y18" s="11"/>
      <c r="Z18" s="12"/>
      <c r="AA18" s="13"/>
      <c r="AB18" s="13"/>
      <c r="AC18" s="11"/>
      <c r="AD18" s="12"/>
      <c r="AE18" s="12"/>
      <c r="AF18" s="12"/>
      <c r="AG18" s="11"/>
      <c r="AH18" s="13"/>
      <c r="AI18" s="13"/>
      <c r="AJ18" s="11"/>
      <c r="AK18" s="12"/>
      <c r="AL18" s="12"/>
      <c r="AM18" s="12"/>
      <c r="AN18" s="11"/>
      <c r="AO18" s="13"/>
      <c r="AP18" s="13"/>
      <c r="AQ18" s="11"/>
      <c r="AR18" s="12"/>
      <c r="AS18" s="12"/>
      <c r="AT18" s="12"/>
      <c r="AU18" s="11"/>
      <c r="AV18" s="13"/>
      <c r="AW18" s="13"/>
      <c r="AX18" s="11"/>
      <c r="AY18" s="12"/>
      <c r="AZ18" s="12"/>
      <c r="BA18" s="12"/>
      <c r="BB18" s="11"/>
      <c r="BC18" s="13"/>
      <c r="BD18" s="13"/>
      <c r="BE18" s="11"/>
      <c r="BF18" s="12"/>
      <c r="BG18" s="12"/>
      <c r="BH18" s="12"/>
      <c r="BI18" s="11"/>
      <c r="BJ18" s="13"/>
      <c r="BK18" s="13"/>
      <c r="BL18" s="11"/>
      <c r="BM18" s="12"/>
      <c r="BN18" s="12"/>
      <c r="BO18" s="12"/>
      <c r="BP18" s="11"/>
      <c r="BQ18" s="13"/>
      <c r="BR18" s="13"/>
      <c r="BS18" s="11"/>
      <c r="BT18" s="12"/>
      <c r="BU18" s="12"/>
      <c r="BV18" s="12"/>
      <c r="BW18" s="11"/>
      <c r="BX18" s="13"/>
      <c r="BY18" s="13"/>
      <c r="BZ18" s="11"/>
      <c r="CA18" s="12"/>
      <c r="CB18" s="12"/>
      <c r="CC18" s="12"/>
      <c r="CD18" s="11"/>
      <c r="CE18" s="13"/>
      <c r="CF18" s="378"/>
      <c r="CG18" s="379"/>
      <c r="CH18" s="19"/>
      <c r="CI18" s="20"/>
      <c r="CJ18" s="21"/>
      <c r="CK18" s="21"/>
      <c r="CM18" s="378"/>
      <c r="CN18" s="380"/>
      <c r="CO18" s="378"/>
      <c r="CP18" s="380"/>
      <c r="CQ18" s="28"/>
      <c r="CR18" s="381"/>
      <c r="CS18" s="382"/>
      <c r="CT18" s="28"/>
      <c r="CU18" s="28"/>
      <c r="CV18" s="28"/>
      <c r="CW18" s="28"/>
      <c r="CX18" s="28"/>
      <c r="CY18" s="28"/>
    </row>
    <row r="19" spans="1:103" ht="14.5" hidden="1" customHeight="1" x14ac:dyDescent="0.25">
      <c r="A19" s="32"/>
      <c r="B19" s="36"/>
      <c r="C19" s="39" t="s">
        <v>156</v>
      </c>
      <c r="D19" s="95" t="s">
        <v>329</v>
      </c>
      <c r="E19" s="377">
        <v>482230</v>
      </c>
      <c r="F19" s="11"/>
      <c r="G19" s="12"/>
      <c r="H19" s="12"/>
      <c r="I19" s="12"/>
      <c r="J19" s="11"/>
      <c r="K19" s="13"/>
      <c r="L19" s="13"/>
      <c r="M19" s="11"/>
      <c r="N19" s="12"/>
      <c r="O19" s="12"/>
      <c r="P19" s="12"/>
      <c r="Q19" s="11"/>
      <c r="R19" s="13"/>
      <c r="S19" s="13"/>
      <c r="T19" s="11"/>
      <c r="U19" s="12"/>
      <c r="V19" s="12"/>
      <c r="W19" s="12"/>
      <c r="X19" s="11"/>
      <c r="Y19" s="11"/>
      <c r="Z19" s="12"/>
      <c r="AA19" s="13"/>
      <c r="AB19" s="13"/>
      <c r="AC19" s="11"/>
      <c r="AD19" s="12"/>
      <c r="AE19" s="12"/>
      <c r="AF19" s="12"/>
      <c r="AG19" s="11"/>
      <c r="AH19" s="13"/>
      <c r="AI19" s="13"/>
      <c r="AJ19" s="11"/>
      <c r="AK19" s="12"/>
      <c r="AL19" s="12"/>
      <c r="AM19" s="12"/>
      <c r="AN19" s="11"/>
      <c r="AO19" s="13"/>
      <c r="AP19" s="13"/>
      <c r="AQ19" s="11"/>
      <c r="AR19" s="12"/>
      <c r="AS19" s="12"/>
      <c r="AT19" s="12"/>
      <c r="AU19" s="11"/>
      <c r="AV19" s="13"/>
      <c r="AW19" s="13"/>
      <c r="AX19" s="11"/>
      <c r="AY19" s="12"/>
      <c r="AZ19" s="12"/>
      <c r="BA19" s="12"/>
      <c r="BB19" s="11"/>
      <c r="BC19" s="13"/>
      <c r="BD19" s="13"/>
      <c r="BE19" s="11"/>
      <c r="BF19" s="12"/>
      <c r="BG19" s="12"/>
      <c r="BH19" s="12"/>
      <c r="BI19" s="11"/>
      <c r="BJ19" s="13"/>
      <c r="BK19" s="13"/>
      <c r="BL19" s="11"/>
      <c r="BM19" s="12"/>
      <c r="BN19" s="12"/>
      <c r="BO19" s="12"/>
      <c r="BP19" s="11"/>
      <c r="BQ19" s="13"/>
      <c r="BR19" s="13"/>
      <c r="BS19" s="11"/>
      <c r="BT19" s="12"/>
      <c r="BU19" s="12"/>
      <c r="BV19" s="12"/>
      <c r="BW19" s="11"/>
      <c r="BX19" s="13"/>
      <c r="BY19" s="13"/>
      <c r="BZ19" s="11"/>
      <c r="CA19" s="12"/>
      <c r="CB19" s="12"/>
      <c r="CC19" s="12"/>
      <c r="CD19" s="11"/>
      <c r="CE19" s="13"/>
      <c r="CF19" s="378">
        <f t="shared" ref="CF19:CF20" si="1">SUM(F19:CE19)</f>
        <v>0</v>
      </c>
      <c r="CG19" s="379">
        <v>2618250</v>
      </c>
      <c r="CH19" s="402">
        <f>(CG19-CI19)/CG19</f>
        <v>0.91618065501766444</v>
      </c>
      <c r="CI19" s="20">
        <v>219460</v>
      </c>
      <c r="CJ19" s="21">
        <f>CI19*CF19</f>
        <v>0</v>
      </c>
      <c r="CK19" s="21">
        <f>CJ19*0.8</f>
        <v>0</v>
      </c>
      <c r="CM19" s="378">
        <f>SUM(Y19:BC19)</f>
        <v>0</v>
      </c>
      <c r="CN19" s="380">
        <f>CM19*$CI19*0.8</f>
        <v>0</v>
      </c>
      <c r="CO19" s="378">
        <f>SUM(BD19:CE19)</f>
        <v>0</v>
      </c>
      <c r="CP19" s="380">
        <f t="shared" ref="CP19:CP25" si="2">CO19*$CI19*0.8</f>
        <v>0</v>
      </c>
      <c r="CQ19" s="28"/>
      <c r="CR19" s="381">
        <f t="shared" si="0"/>
        <v>0</v>
      </c>
      <c r="CS19" s="382"/>
      <c r="CT19" s="28"/>
      <c r="CU19" s="28"/>
      <c r="CV19" s="28"/>
      <c r="CW19" s="28"/>
      <c r="CX19" s="28"/>
      <c r="CY19" s="28"/>
    </row>
    <row r="20" spans="1:103" ht="14.5" customHeight="1" x14ac:dyDescent="0.25">
      <c r="A20" s="32"/>
      <c r="B20" s="36"/>
      <c r="C20" s="39" t="s">
        <v>156</v>
      </c>
      <c r="D20" s="95" t="s">
        <v>328</v>
      </c>
      <c r="E20" s="377">
        <v>468089</v>
      </c>
      <c r="F20" s="11"/>
      <c r="G20" s="12"/>
      <c r="H20" s="12"/>
      <c r="I20" s="12"/>
      <c r="J20" s="11"/>
      <c r="K20" s="13"/>
      <c r="L20" s="13"/>
      <c r="M20" s="11"/>
      <c r="N20" s="12"/>
      <c r="O20" s="12"/>
      <c r="P20" s="12"/>
      <c r="Q20" s="11"/>
      <c r="R20" s="13"/>
      <c r="S20" s="13"/>
      <c r="T20" s="11"/>
      <c r="U20" s="12"/>
      <c r="V20" s="12"/>
      <c r="W20" s="12"/>
      <c r="X20" s="11"/>
      <c r="Y20" s="11"/>
      <c r="Z20" s="12"/>
      <c r="AA20" s="13"/>
      <c r="AB20" s="13"/>
      <c r="AC20" s="11"/>
      <c r="AD20" s="12"/>
      <c r="AE20" s="12"/>
      <c r="AF20" s="12"/>
      <c r="AG20" s="11"/>
      <c r="AH20" s="13"/>
      <c r="AI20" s="13"/>
      <c r="AJ20" s="11"/>
      <c r="AK20" s="12"/>
      <c r="AL20" s="12"/>
      <c r="AM20" s="12"/>
      <c r="AN20" s="11"/>
      <c r="AO20" s="13">
        <v>1</v>
      </c>
      <c r="AP20" s="13"/>
      <c r="AQ20" s="11">
        <v>1</v>
      </c>
      <c r="AR20" s="12"/>
      <c r="AS20" s="12">
        <v>1</v>
      </c>
      <c r="AT20" s="12"/>
      <c r="AU20" s="11"/>
      <c r="AV20" s="13"/>
      <c r="AW20" s="13"/>
      <c r="AX20" s="11"/>
      <c r="AY20" s="12"/>
      <c r="AZ20" s="12"/>
      <c r="BA20" s="12"/>
      <c r="BB20" s="11"/>
      <c r="BC20" s="13"/>
      <c r="BD20" s="13"/>
      <c r="BE20" s="11"/>
      <c r="BF20" s="12"/>
      <c r="BG20" s="12"/>
      <c r="BH20" s="12"/>
      <c r="BI20" s="11"/>
      <c r="BJ20" s="13"/>
      <c r="BK20" s="13"/>
      <c r="BL20" s="11"/>
      <c r="BM20" s="12"/>
      <c r="BN20" s="12"/>
      <c r="BO20" s="12"/>
      <c r="BP20" s="11"/>
      <c r="BQ20" s="13"/>
      <c r="BR20" s="13"/>
      <c r="BS20" s="11"/>
      <c r="BT20" s="12"/>
      <c r="BU20" s="12"/>
      <c r="BV20" s="12"/>
      <c r="BW20" s="11"/>
      <c r="BX20" s="13"/>
      <c r="BY20" s="13"/>
      <c r="BZ20" s="11"/>
      <c r="CA20" s="12"/>
      <c r="CB20" s="12"/>
      <c r="CC20" s="12"/>
      <c r="CD20" s="11"/>
      <c r="CE20" s="13"/>
      <c r="CF20" s="378">
        <f t="shared" si="1"/>
        <v>3</v>
      </c>
      <c r="CG20" s="379">
        <v>698200</v>
      </c>
      <c r="CH20" s="402">
        <v>0.88880000613008003</v>
      </c>
      <c r="CI20" s="20">
        <f>CG20-(CG20*CH20)</f>
        <v>77639.835719978088</v>
      </c>
      <c r="CJ20" s="21">
        <f>CI20*CF20</f>
        <v>232919.50715993426</v>
      </c>
      <c r="CK20" s="21">
        <f>CJ20*0.8</f>
        <v>186335.60572794743</v>
      </c>
      <c r="CM20" s="378">
        <f>SUM(Y20:BC20)</f>
        <v>3</v>
      </c>
      <c r="CN20" s="380">
        <f>CM20*$CI20*0.8</f>
        <v>186335.60572794743</v>
      </c>
      <c r="CO20" s="378">
        <f>SUM(BD20:CE20)</f>
        <v>0</v>
      </c>
      <c r="CP20" s="380">
        <f t="shared" si="2"/>
        <v>0</v>
      </c>
      <c r="CQ20" s="28"/>
      <c r="CR20" s="381">
        <f t="shared" si="0"/>
        <v>1404267</v>
      </c>
      <c r="CS20" s="382"/>
      <c r="CT20" s="28"/>
      <c r="CU20" s="28"/>
      <c r="CV20" s="28"/>
      <c r="CW20" s="28"/>
      <c r="CX20" s="28"/>
      <c r="CY20" s="28"/>
    </row>
    <row r="21" spans="1:103" ht="14.5" customHeight="1" x14ac:dyDescent="0.25">
      <c r="A21" s="32"/>
      <c r="B21" s="36"/>
      <c r="C21" s="39" t="s">
        <v>158</v>
      </c>
      <c r="D21" s="95" t="s">
        <v>219</v>
      </c>
      <c r="E21" s="377">
        <v>200000</v>
      </c>
      <c r="F21" s="11"/>
      <c r="G21" s="12"/>
      <c r="H21" s="12"/>
      <c r="I21" s="12"/>
      <c r="J21" s="11"/>
      <c r="K21" s="13"/>
      <c r="L21" s="13"/>
      <c r="M21" s="11"/>
      <c r="N21" s="12"/>
      <c r="O21" s="12"/>
      <c r="P21" s="12"/>
      <c r="Q21" s="11"/>
      <c r="R21" s="13"/>
      <c r="S21" s="13"/>
      <c r="T21" s="11"/>
      <c r="U21" s="12"/>
      <c r="V21" s="12"/>
      <c r="W21" s="12"/>
      <c r="X21" s="11"/>
      <c r="Y21" s="11"/>
      <c r="Z21" s="12"/>
      <c r="AA21" s="13"/>
      <c r="AB21" s="13"/>
      <c r="AC21" s="11"/>
      <c r="AD21" s="12"/>
      <c r="AE21" s="12"/>
      <c r="AF21" s="12"/>
      <c r="AG21" s="11"/>
      <c r="AH21" s="13"/>
      <c r="AI21" s="13"/>
      <c r="AJ21" s="11"/>
      <c r="AK21" s="12"/>
      <c r="AL21" s="12"/>
      <c r="AM21" s="12"/>
      <c r="AN21" s="11"/>
      <c r="AO21" s="13"/>
      <c r="AP21" s="13"/>
      <c r="AQ21" s="11"/>
      <c r="AR21" s="12"/>
      <c r="AS21" s="12"/>
      <c r="AT21" s="12"/>
      <c r="AU21" s="11"/>
      <c r="AV21" s="13"/>
      <c r="AW21" s="13"/>
      <c r="AX21" s="11"/>
      <c r="AY21" s="12"/>
      <c r="AZ21" s="662" t="s">
        <v>168</v>
      </c>
      <c r="BA21" s="663"/>
      <c r="BB21" s="663"/>
      <c r="BC21" s="663"/>
      <c r="BD21" s="663"/>
      <c r="BE21" s="663"/>
      <c r="BF21" s="663"/>
      <c r="BG21" s="663"/>
      <c r="BH21" s="663"/>
      <c r="BI21" s="663"/>
      <c r="BJ21" s="663"/>
      <c r="BK21" s="663"/>
      <c r="BL21" s="663"/>
      <c r="BM21" s="663"/>
      <c r="BN21" s="663"/>
      <c r="BO21" s="664"/>
      <c r="BP21" s="11"/>
      <c r="BQ21" s="13"/>
      <c r="BR21" s="13"/>
      <c r="BS21" s="11"/>
      <c r="BT21" s="12"/>
      <c r="BU21" s="12"/>
      <c r="BV21" s="12"/>
      <c r="BW21" s="11"/>
      <c r="BX21" s="13"/>
      <c r="BY21" s="13"/>
      <c r="BZ21" s="11"/>
      <c r="CA21" s="12"/>
      <c r="CB21" s="12"/>
      <c r="CC21" s="12"/>
      <c r="CD21" s="11"/>
      <c r="CE21" s="13"/>
      <c r="CF21" s="386">
        <v>200000</v>
      </c>
      <c r="CG21" s="379">
        <v>0</v>
      </c>
      <c r="CH21" s="402">
        <v>1</v>
      </c>
      <c r="CI21" s="20">
        <f>CG21-(CG21*CH21)</f>
        <v>0</v>
      </c>
      <c r="CJ21" s="21">
        <f>CI21</f>
        <v>0</v>
      </c>
      <c r="CK21" s="21">
        <f>CJ21*0.8</f>
        <v>0</v>
      </c>
      <c r="CM21" s="378">
        <f>SUM(Y21:BC21)</f>
        <v>0</v>
      </c>
      <c r="CN21" s="380"/>
      <c r="CO21" s="378">
        <f>SUM(BD21:CE21)</f>
        <v>0</v>
      </c>
      <c r="CP21" s="380">
        <f t="shared" si="2"/>
        <v>0</v>
      </c>
      <c r="CQ21" s="28"/>
      <c r="CR21" s="381">
        <f>E21</f>
        <v>200000</v>
      </c>
      <c r="CS21" s="382"/>
      <c r="CT21" s="28"/>
      <c r="CU21" s="28"/>
      <c r="CV21" s="28"/>
      <c r="CW21" s="28"/>
      <c r="CX21" s="28"/>
      <c r="CY21" s="28"/>
    </row>
    <row r="22" spans="1:103" ht="14.5" customHeight="1" x14ac:dyDescent="0.25">
      <c r="A22" s="32"/>
      <c r="B22" s="36"/>
      <c r="C22" s="39"/>
      <c r="D22" s="95"/>
      <c r="E22" s="377"/>
      <c r="F22" s="11"/>
      <c r="G22" s="12"/>
      <c r="H22" s="12"/>
      <c r="I22" s="12"/>
      <c r="J22" s="11"/>
      <c r="K22" s="13"/>
      <c r="L22" s="13"/>
      <c r="M22" s="11"/>
      <c r="N22" s="12"/>
      <c r="O22" s="12"/>
      <c r="P22" s="12"/>
      <c r="Q22" s="11"/>
      <c r="R22" s="13"/>
      <c r="S22" s="13"/>
      <c r="T22" s="11"/>
      <c r="U22" s="12"/>
      <c r="V22" s="12"/>
      <c r="W22" s="12"/>
      <c r="X22" s="11"/>
      <c r="Y22" s="11"/>
      <c r="Z22" s="12"/>
      <c r="AA22" s="13"/>
      <c r="AB22" s="13"/>
      <c r="AC22" s="11"/>
      <c r="AD22" s="12"/>
      <c r="AE22" s="12"/>
      <c r="AF22" s="12"/>
      <c r="AG22" s="11"/>
      <c r="AH22" s="13"/>
      <c r="AI22" s="13"/>
      <c r="AJ22" s="11"/>
      <c r="AK22" s="12"/>
      <c r="AL22" s="12"/>
      <c r="AM22" s="12"/>
      <c r="AN22" s="11"/>
      <c r="AO22" s="13"/>
      <c r="AP22" s="13"/>
      <c r="AQ22" s="11"/>
      <c r="AR22" s="12"/>
      <c r="AS22" s="12"/>
      <c r="AT22" s="12"/>
      <c r="AU22" s="11"/>
      <c r="AV22" s="13"/>
      <c r="AW22" s="13"/>
      <c r="AX22" s="11"/>
      <c r="AY22" s="12"/>
      <c r="AZ22" s="12"/>
      <c r="BA22" s="12"/>
      <c r="BB22" s="11"/>
      <c r="BC22" s="13"/>
      <c r="BD22" s="13"/>
      <c r="BE22" s="11"/>
      <c r="BF22" s="12"/>
      <c r="BG22" s="12"/>
      <c r="BH22" s="12"/>
      <c r="BI22" s="11"/>
      <c r="BJ22" s="13"/>
      <c r="BK22" s="13"/>
      <c r="BL22" s="11"/>
      <c r="BM22" s="12"/>
      <c r="BN22" s="12"/>
      <c r="BO22" s="12"/>
      <c r="BP22" s="11"/>
      <c r="BQ22" s="13"/>
      <c r="BR22" s="13"/>
      <c r="BS22" s="11"/>
      <c r="BT22" s="12"/>
      <c r="BU22" s="12"/>
      <c r="BV22" s="12"/>
      <c r="BW22" s="11"/>
      <c r="BX22" s="13"/>
      <c r="BY22" s="13"/>
      <c r="BZ22" s="11"/>
      <c r="CA22" s="12"/>
      <c r="CB22" s="12"/>
      <c r="CC22" s="12"/>
      <c r="CD22" s="11"/>
      <c r="CE22" s="13"/>
      <c r="CF22" s="378"/>
      <c r="CG22" s="379"/>
      <c r="CH22" s="19"/>
      <c r="CI22" s="20"/>
      <c r="CJ22" s="21"/>
      <c r="CK22" s="21"/>
      <c r="CM22" s="378"/>
      <c r="CN22" s="380"/>
      <c r="CO22" s="378"/>
      <c r="CP22" s="380"/>
      <c r="CQ22" s="28"/>
      <c r="CR22" s="381"/>
      <c r="CS22" s="382"/>
      <c r="CT22" s="28"/>
      <c r="CU22" s="28"/>
      <c r="CV22" s="28"/>
      <c r="CW22" s="28"/>
      <c r="CX22" s="28"/>
      <c r="CY22" s="28"/>
    </row>
    <row r="23" spans="1:103" ht="14.5" hidden="1" customHeight="1" x14ac:dyDescent="0.25">
      <c r="A23" s="32"/>
      <c r="B23" s="36"/>
      <c r="C23" s="39" t="s">
        <v>159</v>
      </c>
      <c r="D23" s="95" t="s">
        <v>330</v>
      </c>
      <c r="E23" s="377">
        <v>120000</v>
      </c>
      <c r="F23" s="11"/>
      <c r="G23" s="12"/>
      <c r="H23" s="12"/>
      <c r="I23" s="12"/>
      <c r="J23" s="11"/>
      <c r="K23" s="13"/>
      <c r="L23" s="13"/>
      <c r="M23" s="11"/>
      <c r="N23" s="12"/>
      <c r="O23" s="12"/>
      <c r="P23" s="12"/>
      <c r="Q23" s="11"/>
      <c r="R23" s="13"/>
      <c r="S23" s="13"/>
      <c r="T23" s="11"/>
      <c r="U23" s="12"/>
      <c r="V23" s="12"/>
      <c r="W23" s="12"/>
      <c r="X23" s="11"/>
      <c r="Y23" s="11"/>
      <c r="Z23" s="12"/>
      <c r="AA23" s="13"/>
      <c r="AB23" s="13"/>
      <c r="AC23" s="11"/>
      <c r="AD23" s="12"/>
      <c r="AE23" s="12"/>
      <c r="AF23" s="12"/>
      <c r="AG23" s="11"/>
      <c r="AH23" s="13"/>
      <c r="AI23" s="13"/>
      <c r="AJ23" s="11"/>
      <c r="AK23" s="12"/>
      <c r="AL23" s="12"/>
      <c r="AM23" s="12"/>
      <c r="AN23" s="11"/>
      <c r="AO23" s="13"/>
      <c r="AP23" s="13"/>
      <c r="AQ23" s="11"/>
      <c r="AR23" s="12"/>
      <c r="AS23" s="12"/>
      <c r="AT23" s="12"/>
      <c r="AU23" s="11"/>
      <c r="AV23" s="13"/>
      <c r="AW23" s="13"/>
      <c r="AX23" s="11"/>
      <c r="AY23" s="12"/>
      <c r="AZ23" s="12"/>
      <c r="BA23" s="12"/>
      <c r="BB23" s="11"/>
      <c r="BC23" s="13"/>
      <c r="BD23" s="13"/>
      <c r="BE23" s="11"/>
      <c r="BF23" s="12"/>
      <c r="BG23" s="12"/>
      <c r="BH23" s="12"/>
      <c r="BI23" s="11"/>
      <c r="BJ23" s="13"/>
      <c r="BK23" s="13"/>
      <c r="BL23" s="11"/>
      <c r="BM23" s="12"/>
      <c r="BN23" s="12"/>
      <c r="BO23" s="12"/>
      <c r="BP23" s="11"/>
      <c r="BQ23" s="13"/>
      <c r="BR23" s="13"/>
      <c r="BS23" s="11"/>
      <c r="BT23" s="12"/>
      <c r="BU23" s="12"/>
      <c r="BV23" s="12"/>
      <c r="BW23" s="11"/>
      <c r="BX23" s="13"/>
      <c r="BY23" s="13"/>
      <c r="BZ23" s="11"/>
      <c r="CA23" s="12"/>
      <c r="CB23" s="12"/>
      <c r="CC23" s="12"/>
      <c r="CD23" s="11"/>
      <c r="CE23" s="13"/>
      <c r="CF23" s="378">
        <f t="shared" ref="CF23:CF24" si="3">SUM(F23:CE23)</f>
        <v>0</v>
      </c>
      <c r="CG23" s="384">
        <v>3184920</v>
      </c>
      <c r="CH23" s="19">
        <v>0.88</v>
      </c>
      <c r="CI23" s="20">
        <f t="shared" ref="CI23" si="4">CG23*(1-CH23)</f>
        <v>382190.39999999997</v>
      </c>
      <c r="CJ23" s="21">
        <f t="shared" ref="CJ23" si="5">CI23*CF23</f>
        <v>0</v>
      </c>
      <c r="CK23" s="21">
        <f t="shared" ref="CK23" si="6">CJ23*0.8</f>
        <v>0</v>
      </c>
      <c r="CM23" s="378">
        <f>SUM(Y23:BC23)</f>
        <v>0</v>
      </c>
      <c r="CN23" s="380">
        <f t="shared" ref="CN23:CN25" si="7">CM23*$CI23*0.8</f>
        <v>0</v>
      </c>
      <c r="CO23" s="378">
        <f>SUM(BD23:CE23)</f>
        <v>0</v>
      </c>
      <c r="CP23" s="380">
        <f t="shared" si="2"/>
        <v>0</v>
      </c>
      <c r="CQ23" s="28"/>
      <c r="CR23" s="381">
        <f t="shared" si="0"/>
        <v>0</v>
      </c>
      <c r="CS23" s="382" t="e">
        <f>CK23/CR23*1000</f>
        <v>#DIV/0!</v>
      </c>
      <c r="CT23" s="28"/>
      <c r="CU23" s="28"/>
      <c r="CV23" s="28"/>
      <c r="CW23" s="28"/>
      <c r="CX23" s="28"/>
      <c r="CY23" s="28"/>
    </row>
    <row r="24" spans="1:103" ht="14.5" customHeight="1" x14ac:dyDescent="0.25">
      <c r="A24" s="32"/>
      <c r="B24" s="36"/>
      <c r="C24" s="39" t="s">
        <v>159</v>
      </c>
      <c r="D24" s="95" t="s">
        <v>148</v>
      </c>
      <c r="E24" s="377">
        <v>120000</v>
      </c>
      <c r="F24" s="11"/>
      <c r="G24" s="12"/>
      <c r="H24" s="12"/>
      <c r="I24" s="12"/>
      <c r="J24" s="11"/>
      <c r="K24" s="13"/>
      <c r="L24" s="13"/>
      <c r="M24" s="11"/>
      <c r="N24" s="12"/>
      <c r="O24" s="12"/>
      <c r="P24" s="12"/>
      <c r="Q24" s="11"/>
      <c r="R24" s="13"/>
      <c r="S24" s="13"/>
      <c r="T24" s="11"/>
      <c r="U24" s="12"/>
      <c r="V24" s="12"/>
      <c r="W24" s="12"/>
      <c r="X24" s="11"/>
      <c r="Y24" s="11"/>
      <c r="Z24" s="12"/>
      <c r="AA24" s="13"/>
      <c r="AB24" s="13"/>
      <c r="AC24" s="11"/>
      <c r="AD24" s="12"/>
      <c r="AE24" s="12"/>
      <c r="AF24" s="12"/>
      <c r="AG24" s="11"/>
      <c r="AH24" s="13"/>
      <c r="AI24" s="13"/>
      <c r="AJ24" s="11"/>
      <c r="AK24" s="12"/>
      <c r="AL24" s="12"/>
      <c r="AM24" s="12"/>
      <c r="AN24" s="11"/>
      <c r="AO24" s="13"/>
      <c r="AP24" s="13"/>
      <c r="AQ24" s="11">
        <v>1</v>
      </c>
      <c r="AR24" s="12"/>
      <c r="AS24" s="12"/>
      <c r="AT24" s="12"/>
      <c r="AU24" s="11">
        <v>1</v>
      </c>
      <c r="AV24" s="13"/>
      <c r="AW24" s="13"/>
      <c r="AX24" s="11"/>
      <c r="AY24" s="12"/>
      <c r="AZ24" s="12"/>
      <c r="BA24" s="12"/>
      <c r="BB24" s="11"/>
      <c r="BC24" s="13"/>
      <c r="BD24" s="13"/>
      <c r="BE24" s="11"/>
      <c r="BF24" s="12"/>
      <c r="BG24" s="12"/>
      <c r="BH24" s="12"/>
      <c r="BI24" s="11"/>
      <c r="BJ24" s="13"/>
      <c r="BK24" s="13"/>
      <c r="BL24" s="11"/>
      <c r="BM24" s="12"/>
      <c r="BN24" s="12"/>
      <c r="BO24" s="12"/>
      <c r="BP24" s="11"/>
      <c r="BQ24" s="13"/>
      <c r="BR24" s="13"/>
      <c r="BS24" s="11"/>
      <c r="BT24" s="12"/>
      <c r="BU24" s="12"/>
      <c r="BV24" s="12"/>
      <c r="BW24" s="11"/>
      <c r="BX24" s="13"/>
      <c r="BY24" s="13"/>
      <c r="BZ24" s="11"/>
      <c r="CA24" s="12"/>
      <c r="CB24" s="12"/>
      <c r="CC24" s="12"/>
      <c r="CD24" s="11"/>
      <c r="CE24" s="13"/>
      <c r="CF24" s="378">
        <f t="shared" si="3"/>
        <v>2</v>
      </c>
      <c r="CG24" s="379">
        <v>576576</v>
      </c>
      <c r="CH24" s="19">
        <v>0.88</v>
      </c>
      <c r="CI24" s="20">
        <f>CG24*(1-CH24)</f>
        <v>69189.119999999995</v>
      </c>
      <c r="CJ24" s="21">
        <f>CI24*CF24</f>
        <v>138378.23999999999</v>
      </c>
      <c r="CK24" s="21">
        <f>CJ24*0.8</f>
        <v>110702.592</v>
      </c>
      <c r="CM24" s="378">
        <f>SUM(Y24:BC24)</f>
        <v>2</v>
      </c>
      <c r="CN24" s="380">
        <f t="shared" si="7"/>
        <v>110702.592</v>
      </c>
      <c r="CO24" s="378">
        <f>SUM(BD24:CE24)</f>
        <v>0</v>
      </c>
      <c r="CP24" s="380">
        <f t="shared" si="2"/>
        <v>0</v>
      </c>
      <c r="CQ24" s="28"/>
      <c r="CR24" s="381">
        <f t="shared" si="0"/>
        <v>240000</v>
      </c>
      <c r="CS24" s="382"/>
      <c r="CT24" s="28"/>
      <c r="CU24" s="28"/>
      <c r="CV24" s="28"/>
      <c r="CW24" s="28"/>
      <c r="CX24" s="28"/>
      <c r="CY24" s="28"/>
    </row>
    <row r="25" spans="1:103" ht="14.5" customHeight="1" x14ac:dyDescent="0.25">
      <c r="A25" s="32"/>
      <c r="B25" s="36"/>
      <c r="C25" s="39" t="s">
        <v>158</v>
      </c>
      <c r="D25" s="95" t="s">
        <v>219</v>
      </c>
      <c r="E25" s="377">
        <v>400000</v>
      </c>
      <c r="F25" s="11"/>
      <c r="G25" s="12"/>
      <c r="H25" s="12"/>
      <c r="I25" s="12"/>
      <c r="J25" s="11"/>
      <c r="K25" s="13"/>
      <c r="L25" s="13"/>
      <c r="M25" s="11"/>
      <c r="N25" s="12"/>
      <c r="O25" s="12"/>
      <c r="P25" s="12"/>
      <c r="Q25" s="11"/>
      <c r="R25" s="13"/>
      <c r="S25" s="13"/>
      <c r="T25" s="11"/>
      <c r="U25" s="12"/>
      <c r="V25" s="12"/>
      <c r="W25" s="12"/>
      <c r="X25" s="11"/>
      <c r="Y25" s="11"/>
      <c r="Z25" s="12"/>
      <c r="AA25" s="13"/>
      <c r="AB25" s="13"/>
      <c r="AC25" s="11"/>
      <c r="AD25" s="12"/>
      <c r="AE25" s="12"/>
      <c r="AF25" s="12"/>
      <c r="AG25" s="11"/>
      <c r="AH25" s="13"/>
      <c r="AI25" s="13"/>
      <c r="AJ25" s="11"/>
      <c r="AK25" s="12"/>
      <c r="AL25" s="12"/>
      <c r="AM25" s="12"/>
      <c r="AN25" s="11"/>
      <c r="AO25" s="13"/>
      <c r="AP25" s="13"/>
      <c r="AQ25" s="11"/>
      <c r="AR25" s="12"/>
      <c r="AS25" s="12"/>
      <c r="AT25" s="12"/>
      <c r="AU25" s="11"/>
      <c r="AV25" s="13"/>
      <c r="AW25" s="13"/>
      <c r="AX25" s="11"/>
      <c r="AY25" s="12"/>
      <c r="AZ25" s="662" t="s">
        <v>160</v>
      </c>
      <c r="BA25" s="663"/>
      <c r="BB25" s="663"/>
      <c r="BC25" s="663"/>
      <c r="BD25" s="663"/>
      <c r="BE25" s="663"/>
      <c r="BF25" s="663"/>
      <c r="BG25" s="663"/>
      <c r="BH25" s="663"/>
      <c r="BI25" s="663"/>
      <c r="BJ25" s="663"/>
      <c r="BK25" s="663"/>
      <c r="BL25" s="663"/>
      <c r="BM25" s="663"/>
      <c r="BN25" s="663"/>
      <c r="BO25" s="664"/>
      <c r="BP25" s="11"/>
      <c r="BQ25" s="13"/>
      <c r="BR25" s="13"/>
      <c r="BS25" s="11"/>
      <c r="BT25" s="12"/>
      <c r="BU25" s="12"/>
      <c r="BV25" s="12"/>
      <c r="BW25" s="11"/>
      <c r="BX25" s="13"/>
      <c r="BY25" s="13"/>
      <c r="BZ25" s="11"/>
      <c r="CA25" s="12"/>
      <c r="CB25" s="12"/>
      <c r="CC25" s="12"/>
      <c r="CD25" s="11"/>
      <c r="CE25" s="13"/>
      <c r="CF25" s="386">
        <v>400000</v>
      </c>
      <c r="CG25" s="384">
        <v>133200</v>
      </c>
      <c r="CH25" s="19">
        <v>1</v>
      </c>
      <c r="CI25" s="20">
        <f>CG25*(1-CH25)</f>
        <v>0</v>
      </c>
      <c r="CJ25" s="21">
        <f>CI25*CF25</f>
        <v>0</v>
      </c>
      <c r="CK25" s="21">
        <f>CJ25*0.8</f>
        <v>0</v>
      </c>
      <c r="CM25" s="378">
        <f>SUM(Y25:BC25)</f>
        <v>0</v>
      </c>
      <c r="CN25" s="380">
        <f t="shared" si="7"/>
        <v>0</v>
      </c>
      <c r="CO25" s="378">
        <f>SUM(BD25:CE25)</f>
        <v>0</v>
      </c>
      <c r="CP25" s="380">
        <f t="shared" si="2"/>
        <v>0</v>
      </c>
      <c r="CQ25" s="28"/>
      <c r="CR25" s="381">
        <f>E25</f>
        <v>400000</v>
      </c>
      <c r="CS25" s="382"/>
      <c r="CT25" s="28"/>
      <c r="CU25" s="28"/>
      <c r="CV25" s="28"/>
      <c r="CW25" s="28"/>
      <c r="CX25" s="28"/>
      <c r="CY25" s="28"/>
    </row>
    <row r="26" spans="1:103" ht="14.5" customHeight="1" x14ac:dyDescent="0.25">
      <c r="A26" s="32"/>
      <c r="B26" s="36"/>
      <c r="C26" s="39"/>
      <c r="D26" s="95"/>
      <c r="E26" s="377"/>
      <c r="F26" s="11"/>
      <c r="G26" s="12"/>
      <c r="H26" s="12"/>
      <c r="I26" s="12"/>
      <c r="J26" s="11"/>
      <c r="K26" s="13"/>
      <c r="L26" s="13"/>
      <c r="M26" s="11"/>
      <c r="N26" s="12"/>
      <c r="O26" s="12"/>
      <c r="P26" s="12"/>
      <c r="Q26" s="11"/>
      <c r="R26" s="13"/>
      <c r="S26" s="13"/>
      <c r="T26" s="11"/>
      <c r="U26" s="12"/>
      <c r="V26" s="12"/>
      <c r="W26" s="12"/>
      <c r="X26" s="11"/>
      <c r="Y26" s="11"/>
      <c r="Z26" s="12"/>
      <c r="AA26" s="13"/>
      <c r="AB26" s="13"/>
      <c r="AC26" s="11"/>
      <c r="AD26" s="12"/>
      <c r="AE26" s="12"/>
      <c r="AF26" s="12"/>
      <c r="AG26" s="11"/>
      <c r="AH26" s="13"/>
      <c r="AI26" s="13"/>
      <c r="AJ26" s="11"/>
      <c r="AK26" s="12"/>
      <c r="AL26" s="12"/>
      <c r="AM26" s="12"/>
      <c r="AN26" s="11"/>
      <c r="AO26" s="13"/>
      <c r="AP26" s="13"/>
      <c r="AQ26" s="11"/>
      <c r="AR26" s="12"/>
      <c r="AS26" s="12"/>
      <c r="AT26" s="12"/>
      <c r="AU26" s="11"/>
      <c r="AV26" s="13"/>
      <c r="AW26" s="13"/>
      <c r="AX26" s="11"/>
      <c r="AY26" s="12"/>
      <c r="AZ26" s="12"/>
      <c r="BA26" s="12"/>
      <c r="BB26" s="11"/>
      <c r="BC26" s="13"/>
      <c r="BD26" s="13"/>
      <c r="BE26" s="11"/>
      <c r="BF26" s="12"/>
      <c r="BG26" s="12"/>
      <c r="BH26" s="12"/>
      <c r="BI26" s="11"/>
      <c r="BJ26" s="13"/>
      <c r="BK26" s="13"/>
      <c r="BL26" s="11"/>
      <c r="BM26" s="12"/>
      <c r="BN26" s="12"/>
      <c r="BO26" s="12"/>
      <c r="BP26" s="11"/>
      <c r="BQ26" s="13"/>
      <c r="BR26" s="13"/>
      <c r="BS26" s="11"/>
      <c r="BT26" s="12"/>
      <c r="BU26" s="12"/>
      <c r="BV26" s="12"/>
      <c r="BW26" s="11"/>
      <c r="BX26" s="13"/>
      <c r="BY26" s="13"/>
      <c r="BZ26" s="11"/>
      <c r="CA26" s="12"/>
      <c r="CB26" s="12"/>
      <c r="CC26" s="12"/>
      <c r="CD26" s="11"/>
      <c r="CE26" s="13"/>
      <c r="CF26" s="386"/>
      <c r="CG26" s="384"/>
      <c r="CH26" s="19"/>
      <c r="CI26" s="20"/>
      <c r="CJ26" s="21"/>
      <c r="CK26" s="21"/>
      <c r="CM26" s="378"/>
      <c r="CN26" s="385"/>
      <c r="CO26" s="386"/>
      <c r="CP26" s="385"/>
      <c r="CQ26" s="28"/>
      <c r="CR26" s="381"/>
      <c r="CS26" s="382"/>
      <c r="CT26" s="28"/>
      <c r="CU26" s="28"/>
      <c r="CV26" s="28"/>
      <c r="CW26" s="28"/>
      <c r="CX26" s="28"/>
      <c r="CY26" s="28"/>
    </row>
    <row r="27" spans="1:103" ht="14.5" hidden="1" customHeight="1" x14ac:dyDescent="0.25">
      <c r="A27" s="32"/>
      <c r="B27" s="36"/>
      <c r="C27" s="39" t="s">
        <v>161</v>
      </c>
      <c r="D27" s="95" t="s">
        <v>331</v>
      </c>
      <c r="E27" s="377">
        <v>41000</v>
      </c>
      <c r="F27" s="11"/>
      <c r="G27" s="12"/>
      <c r="H27" s="12"/>
      <c r="I27" s="12"/>
      <c r="J27" s="11"/>
      <c r="K27" s="13"/>
      <c r="L27" s="13"/>
      <c r="M27" s="11"/>
      <c r="N27" s="12"/>
      <c r="O27" s="12"/>
      <c r="P27" s="12"/>
      <c r="Q27" s="11"/>
      <c r="R27" s="13"/>
      <c r="S27" s="13"/>
      <c r="T27" s="11"/>
      <c r="U27" s="12"/>
      <c r="V27" s="12"/>
      <c r="W27" s="12"/>
      <c r="X27" s="11"/>
      <c r="Y27" s="11"/>
      <c r="Z27" s="12"/>
      <c r="AA27" s="13"/>
      <c r="AB27" s="13"/>
      <c r="AC27" s="11"/>
      <c r="AD27" s="12"/>
      <c r="AE27" s="12"/>
      <c r="AF27" s="12"/>
      <c r="AG27" s="11"/>
      <c r="AH27" s="13"/>
      <c r="AI27" s="13"/>
      <c r="AJ27" s="11"/>
      <c r="AK27" s="12"/>
      <c r="AL27" s="12"/>
      <c r="AM27" s="12"/>
      <c r="AN27" s="11"/>
      <c r="AO27" s="13"/>
      <c r="AP27" s="13"/>
      <c r="AQ27" s="11"/>
      <c r="AR27" s="12"/>
      <c r="AS27" s="12"/>
      <c r="AT27" s="12"/>
      <c r="AU27" s="11"/>
      <c r="AV27" s="13"/>
      <c r="AW27" s="13"/>
      <c r="AX27" s="11"/>
      <c r="AY27" s="12"/>
      <c r="AZ27" s="12"/>
      <c r="BA27" s="12"/>
      <c r="BB27" s="11"/>
      <c r="BC27" s="13"/>
      <c r="BD27" s="13"/>
      <c r="BE27" s="11"/>
      <c r="BF27" s="12"/>
      <c r="BG27" s="12"/>
      <c r="BH27" s="12"/>
      <c r="BI27" s="11"/>
      <c r="BJ27" s="13"/>
      <c r="BK27" s="13"/>
      <c r="BL27" s="11"/>
      <c r="BM27" s="12"/>
      <c r="BN27" s="12"/>
      <c r="BO27" s="12"/>
      <c r="BP27" s="11"/>
      <c r="BQ27" s="13"/>
      <c r="BR27" s="13"/>
      <c r="BS27" s="11"/>
      <c r="BT27" s="12"/>
      <c r="BU27" s="12"/>
      <c r="BV27" s="12"/>
      <c r="BW27" s="11"/>
      <c r="BX27" s="13"/>
      <c r="BY27" s="13"/>
      <c r="BZ27" s="11"/>
      <c r="CA27" s="12"/>
      <c r="CB27" s="12"/>
      <c r="CC27" s="12"/>
      <c r="CD27" s="11"/>
      <c r="CE27" s="13"/>
      <c r="CF27" s="378">
        <f t="shared" ref="CF27" si="8">SUM(F27:CE27)</f>
        <v>0</v>
      </c>
      <c r="CG27" s="384">
        <v>949248</v>
      </c>
      <c r="CH27" s="19">
        <v>0.87885146979503803</v>
      </c>
      <c r="CI27" s="20">
        <f t="shared" ref="CI27" si="9">CG27*(1-CH27)</f>
        <v>114999.99999999974</v>
      </c>
      <c r="CJ27" s="21">
        <f t="shared" ref="CJ27" si="10">CI27*CF27</f>
        <v>0</v>
      </c>
      <c r="CK27" s="21">
        <f t="shared" ref="CK27:CK28" si="11">CJ27*0.8</f>
        <v>0</v>
      </c>
      <c r="CM27" s="378"/>
      <c r="CN27" s="385"/>
      <c r="CO27" s="378"/>
      <c r="CP27" s="380"/>
      <c r="CQ27" s="28"/>
      <c r="CR27" s="381"/>
      <c r="CS27" s="382"/>
      <c r="CT27" s="28"/>
      <c r="CU27" s="28"/>
      <c r="CV27" s="28"/>
      <c r="CW27" s="28"/>
      <c r="CX27" s="28"/>
      <c r="CY27" s="28"/>
    </row>
    <row r="28" spans="1:103" ht="14.5" hidden="1" customHeight="1" x14ac:dyDescent="0.25">
      <c r="A28" s="32"/>
      <c r="B28" s="36"/>
      <c r="C28" s="39" t="s">
        <v>158</v>
      </c>
      <c r="D28" s="95" t="s">
        <v>148</v>
      </c>
      <c r="E28" s="377">
        <v>41000</v>
      </c>
      <c r="F28" s="11"/>
      <c r="G28" s="12"/>
      <c r="H28" s="12"/>
      <c r="I28" s="12"/>
      <c r="J28" s="11"/>
      <c r="K28" s="13"/>
      <c r="L28" s="13"/>
      <c r="M28" s="11"/>
      <c r="N28" s="12"/>
      <c r="O28" s="12"/>
      <c r="P28" s="12"/>
      <c r="Q28" s="11"/>
      <c r="R28" s="13"/>
      <c r="S28" s="13"/>
      <c r="T28" s="11"/>
      <c r="U28" s="12"/>
      <c r="V28" s="12"/>
      <c r="W28" s="12"/>
      <c r="X28" s="11"/>
      <c r="Y28" s="11"/>
      <c r="Z28" s="12"/>
      <c r="AA28" s="13"/>
      <c r="AB28" s="13"/>
      <c r="AC28" s="11"/>
      <c r="AD28" s="12"/>
      <c r="AE28" s="12"/>
      <c r="AF28" s="12"/>
      <c r="AG28" s="11"/>
      <c r="AH28" s="13"/>
      <c r="AI28" s="13"/>
      <c r="AJ28" s="11"/>
      <c r="AK28" s="12"/>
      <c r="AL28" s="12"/>
      <c r="AM28" s="12"/>
      <c r="AN28" s="11"/>
      <c r="AO28" s="13"/>
      <c r="AP28" s="13"/>
      <c r="AQ28" s="11"/>
      <c r="AR28" s="12"/>
      <c r="AS28" s="12"/>
      <c r="AT28" s="12"/>
      <c r="AU28" s="11"/>
      <c r="AV28" s="13"/>
      <c r="AW28" s="13"/>
      <c r="AX28" s="11"/>
      <c r="AY28" s="12"/>
      <c r="AZ28" s="12"/>
      <c r="BA28" s="12"/>
      <c r="BB28" s="11"/>
      <c r="BC28" s="13"/>
      <c r="BD28" s="13"/>
      <c r="BE28" s="11"/>
      <c r="BF28" s="12"/>
      <c r="BG28" s="12"/>
      <c r="BH28" s="12"/>
      <c r="BI28" s="11"/>
      <c r="BJ28" s="13"/>
      <c r="BK28" s="13"/>
      <c r="BL28" s="11"/>
      <c r="BM28" s="12"/>
      <c r="BN28" s="12"/>
      <c r="BO28" s="12"/>
      <c r="BP28" s="11"/>
      <c r="BQ28" s="13"/>
      <c r="BR28" s="13"/>
      <c r="BS28" s="11"/>
      <c r="BT28" s="12"/>
      <c r="BU28" s="12"/>
      <c r="BV28" s="12"/>
      <c r="BW28" s="11"/>
      <c r="BX28" s="13"/>
      <c r="BY28" s="13"/>
      <c r="BZ28" s="11"/>
      <c r="CA28" s="12"/>
      <c r="CB28" s="12"/>
      <c r="CC28" s="12"/>
      <c r="CD28" s="11"/>
      <c r="CE28" s="13"/>
      <c r="CF28" s="378">
        <f t="shared" ref="CF28" si="12">SUM(F28:CE28)</f>
        <v>0</v>
      </c>
      <c r="CG28" s="384">
        <v>237120</v>
      </c>
      <c r="CH28" s="19">
        <v>0.81950067476383304</v>
      </c>
      <c r="CI28" s="20">
        <f t="shared" ref="CI28" si="13">CG28*(1-CH28)</f>
        <v>42799.999999999913</v>
      </c>
      <c r="CJ28" s="21">
        <f t="shared" ref="CJ28" si="14">CI28*CF28</f>
        <v>0</v>
      </c>
      <c r="CK28" s="21">
        <f t="shared" si="11"/>
        <v>0</v>
      </c>
      <c r="CM28" s="378"/>
      <c r="CN28" s="385"/>
      <c r="CO28" s="378"/>
      <c r="CP28" s="380"/>
      <c r="CQ28" s="28"/>
      <c r="CR28" s="381"/>
      <c r="CS28" s="382"/>
      <c r="CT28" s="28"/>
      <c r="CU28" s="28"/>
      <c r="CV28" s="28"/>
      <c r="CW28" s="28"/>
      <c r="CX28" s="28"/>
      <c r="CY28" s="28"/>
    </row>
    <row r="29" spans="1:103" ht="14.5" hidden="1" customHeight="1" x14ac:dyDescent="0.25">
      <c r="A29" s="32"/>
      <c r="B29" s="36"/>
      <c r="C29" s="39"/>
      <c r="D29" s="95" t="s">
        <v>219</v>
      </c>
      <c r="E29" s="377">
        <v>500000</v>
      </c>
      <c r="F29" s="11"/>
      <c r="G29" s="12"/>
      <c r="H29" s="12"/>
      <c r="I29" s="12"/>
      <c r="J29" s="11"/>
      <c r="K29" s="13"/>
      <c r="L29" s="13"/>
      <c r="M29" s="11"/>
      <c r="N29" s="12"/>
      <c r="O29" s="12"/>
      <c r="P29" s="12"/>
      <c r="Q29" s="11"/>
      <c r="R29" s="13"/>
      <c r="S29" s="13"/>
      <c r="T29" s="11"/>
      <c r="U29" s="12"/>
      <c r="V29" s="12"/>
      <c r="W29" s="12"/>
      <c r="X29" s="11"/>
      <c r="Y29" s="11"/>
      <c r="Z29" s="12"/>
      <c r="AA29" s="13"/>
      <c r="AB29" s="13"/>
      <c r="AC29" s="11"/>
      <c r="AD29" s="12"/>
      <c r="AE29" s="12"/>
      <c r="AF29" s="12"/>
      <c r="AG29" s="11"/>
      <c r="AH29" s="13"/>
      <c r="AI29" s="13"/>
      <c r="AJ29" s="11"/>
      <c r="AK29" s="12"/>
      <c r="AL29" s="12"/>
      <c r="AM29" s="12"/>
      <c r="AN29" s="11"/>
      <c r="AO29" s="13"/>
      <c r="AP29" s="13"/>
      <c r="AQ29" s="11"/>
      <c r="AR29" s="12"/>
      <c r="AS29" s="12"/>
      <c r="AT29" s="662"/>
      <c r="AU29" s="663"/>
      <c r="AV29" s="663"/>
      <c r="AW29" s="663"/>
      <c r="AX29" s="663"/>
      <c r="AY29" s="663"/>
      <c r="AZ29" s="663"/>
      <c r="BA29" s="663"/>
      <c r="BB29" s="663"/>
      <c r="BC29" s="663"/>
      <c r="BD29" s="663"/>
      <c r="BE29" s="663"/>
      <c r="BF29" s="663"/>
      <c r="BG29" s="663"/>
      <c r="BH29" s="663"/>
      <c r="BI29" s="663"/>
      <c r="BJ29" s="663"/>
      <c r="BK29" s="663"/>
      <c r="BL29" s="663"/>
      <c r="BM29" s="663"/>
      <c r="BN29" s="663"/>
      <c r="BO29" s="664"/>
      <c r="BP29" s="11"/>
      <c r="BQ29" s="13"/>
      <c r="BR29" s="13"/>
      <c r="BS29" s="11"/>
      <c r="BT29" s="12"/>
      <c r="BU29" s="12"/>
      <c r="BV29" s="12"/>
      <c r="BW29" s="11"/>
      <c r="BX29" s="13"/>
      <c r="BY29" s="13"/>
      <c r="BZ29" s="11"/>
      <c r="CA29" s="12"/>
      <c r="CB29" s="12"/>
      <c r="CC29" s="12"/>
      <c r="CD29" s="11"/>
      <c r="CE29" s="13"/>
      <c r="CF29" s="386"/>
      <c r="CG29" s="384"/>
      <c r="CH29" s="19"/>
      <c r="CI29" s="20"/>
      <c r="CJ29" s="21"/>
      <c r="CK29" s="21"/>
      <c r="CM29" s="378"/>
      <c r="CN29" s="385"/>
      <c r="CO29" s="378"/>
      <c r="CP29" s="380"/>
      <c r="CQ29" s="28"/>
      <c r="CR29" s="381"/>
      <c r="CS29" s="382"/>
      <c r="CT29" s="28"/>
      <c r="CU29" s="28"/>
      <c r="CV29" s="28"/>
      <c r="CW29" s="28"/>
      <c r="CX29" s="28"/>
      <c r="CY29" s="28"/>
    </row>
    <row r="30" spans="1:103" ht="14.5" hidden="1" customHeight="1" x14ac:dyDescent="0.25">
      <c r="A30" s="32"/>
      <c r="B30" s="36"/>
      <c r="C30" s="39"/>
      <c r="D30" s="95"/>
      <c r="E30" s="377"/>
      <c r="F30" s="11"/>
      <c r="G30" s="12"/>
      <c r="H30" s="12"/>
      <c r="I30" s="12"/>
      <c r="J30" s="11"/>
      <c r="K30" s="13"/>
      <c r="L30" s="13"/>
      <c r="M30" s="11"/>
      <c r="N30" s="12"/>
      <c r="O30" s="12"/>
      <c r="P30" s="12"/>
      <c r="Q30" s="11"/>
      <c r="R30" s="13"/>
      <c r="S30" s="13"/>
      <c r="T30" s="11"/>
      <c r="U30" s="12"/>
      <c r="V30" s="12"/>
      <c r="W30" s="12"/>
      <c r="X30" s="11"/>
      <c r="Y30" s="11"/>
      <c r="Z30" s="12"/>
      <c r="AA30" s="13"/>
      <c r="AB30" s="13"/>
      <c r="AC30" s="11"/>
      <c r="AD30" s="12"/>
      <c r="AE30" s="12"/>
      <c r="AF30" s="12"/>
      <c r="AG30" s="11"/>
      <c r="AH30" s="13"/>
      <c r="AI30" s="13"/>
      <c r="AJ30" s="11"/>
      <c r="AK30" s="12"/>
      <c r="AL30" s="12"/>
      <c r="AM30" s="12"/>
      <c r="AN30" s="11"/>
      <c r="AO30" s="13"/>
      <c r="AP30" s="13"/>
      <c r="AQ30" s="11"/>
      <c r="AR30" s="12"/>
      <c r="AS30" s="12"/>
      <c r="AT30" s="12"/>
      <c r="AU30" s="11"/>
      <c r="AV30" s="13"/>
      <c r="AW30" s="13"/>
      <c r="AX30" s="11"/>
      <c r="AY30" s="12"/>
      <c r="AZ30" s="12"/>
      <c r="BA30" s="12"/>
      <c r="BB30" s="11"/>
      <c r="BC30" s="13"/>
      <c r="BD30" s="13"/>
      <c r="BE30" s="11"/>
      <c r="BF30" s="12"/>
      <c r="BG30" s="12"/>
      <c r="BH30" s="12"/>
      <c r="BI30" s="11"/>
      <c r="BJ30" s="13"/>
      <c r="BK30" s="13"/>
      <c r="BL30" s="11"/>
      <c r="BM30" s="12"/>
      <c r="BN30" s="12"/>
      <c r="BO30" s="12"/>
      <c r="BP30" s="11"/>
      <c r="BQ30" s="13"/>
      <c r="BR30" s="13"/>
      <c r="BS30" s="11"/>
      <c r="BT30" s="12"/>
      <c r="BU30" s="12"/>
      <c r="BV30" s="12"/>
      <c r="BW30" s="11"/>
      <c r="BX30" s="13"/>
      <c r="BY30" s="13"/>
      <c r="BZ30" s="11"/>
      <c r="CA30" s="12"/>
      <c r="CB30" s="12"/>
      <c r="CC30" s="12"/>
      <c r="CD30" s="11"/>
      <c r="CE30" s="13"/>
      <c r="CF30" s="386"/>
      <c r="CG30" s="384"/>
      <c r="CH30" s="402"/>
      <c r="CI30" s="20"/>
      <c r="CJ30" s="21"/>
      <c r="CK30" s="21"/>
      <c r="CM30" s="378"/>
      <c r="CN30" s="385"/>
      <c r="CO30" s="386"/>
      <c r="CP30" s="385"/>
      <c r="CQ30" s="28"/>
      <c r="CR30" s="381"/>
      <c r="CS30" s="382"/>
      <c r="CT30" s="28"/>
      <c r="CU30" s="28"/>
      <c r="CV30" s="28"/>
      <c r="CW30" s="28"/>
      <c r="CX30" s="28"/>
      <c r="CY30" s="28"/>
    </row>
    <row r="31" spans="1:103" ht="14.5" hidden="1" customHeight="1" x14ac:dyDescent="0.25">
      <c r="A31" s="32"/>
      <c r="B31" s="36" t="s">
        <v>162</v>
      </c>
      <c r="C31" s="39" t="s">
        <v>163</v>
      </c>
      <c r="D31" s="95" t="s">
        <v>332</v>
      </c>
      <c r="E31" s="377">
        <v>10000</v>
      </c>
      <c r="F31" s="11"/>
      <c r="G31" s="12"/>
      <c r="H31" s="12"/>
      <c r="I31" s="12"/>
      <c r="J31" s="11"/>
      <c r="K31" s="13"/>
      <c r="L31" s="13"/>
      <c r="M31" s="11"/>
      <c r="N31" s="12"/>
      <c r="O31" s="12"/>
      <c r="P31" s="12"/>
      <c r="Q31" s="11"/>
      <c r="R31" s="13"/>
      <c r="S31" s="13"/>
      <c r="T31" s="11"/>
      <c r="U31" s="12"/>
      <c r="V31" s="12"/>
      <c r="W31" s="12"/>
      <c r="X31" s="11"/>
      <c r="Y31" s="11"/>
      <c r="Z31" s="12"/>
      <c r="AA31" s="13"/>
      <c r="AB31" s="13"/>
      <c r="AC31" s="11"/>
      <c r="AD31" s="12"/>
      <c r="AE31" s="12"/>
      <c r="AF31" s="12"/>
      <c r="AG31" s="11"/>
      <c r="AH31" s="13"/>
      <c r="AI31" s="13"/>
      <c r="AJ31" s="11"/>
      <c r="AK31" s="12"/>
      <c r="AL31" s="12"/>
      <c r="AM31" s="12"/>
      <c r="AN31" s="11"/>
      <c r="AO31" s="13"/>
      <c r="AP31" s="13"/>
      <c r="AQ31" s="11"/>
      <c r="AR31" s="12"/>
      <c r="AS31" s="12"/>
      <c r="AT31" s="12"/>
      <c r="AU31" s="11"/>
      <c r="AV31" s="13"/>
      <c r="AW31" s="13"/>
      <c r="AX31" s="11"/>
      <c r="AY31" s="12"/>
      <c r="AZ31" s="12"/>
      <c r="BA31" s="12"/>
      <c r="BB31" s="11"/>
      <c r="BC31" s="13"/>
      <c r="BD31" s="13"/>
      <c r="BE31" s="11"/>
      <c r="BF31" s="12"/>
      <c r="BG31" s="12"/>
      <c r="BH31" s="12"/>
      <c r="BI31" s="11"/>
      <c r="BJ31" s="13"/>
      <c r="BK31" s="13"/>
      <c r="BL31" s="11"/>
      <c r="BM31" s="12"/>
      <c r="BN31" s="12"/>
      <c r="BO31" s="12"/>
      <c r="BP31" s="11"/>
      <c r="BQ31" s="13"/>
      <c r="BR31" s="13"/>
      <c r="BS31" s="11"/>
      <c r="BT31" s="12"/>
      <c r="BU31" s="12"/>
      <c r="BV31" s="12"/>
      <c r="BW31" s="11"/>
      <c r="BX31" s="13"/>
      <c r="BY31" s="13"/>
      <c r="BZ31" s="11"/>
      <c r="CA31" s="12"/>
      <c r="CB31" s="12"/>
      <c r="CC31" s="12"/>
      <c r="CD31" s="11"/>
      <c r="CE31" s="13"/>
      <c r="CF31" s="378">
        <f>SUM(F31:CE31)</f>
        <v>0</v>
      </c>
      <c r="CG31" s="384">
        <v>143520</v>
      </c>
      <c r="CH31" s="402">
        <v>0.6</v>
      </c>
      <c r="CI31" s="20">
        <f>CG31*(1-CH31)</f>
        <v>57408</v>
      </c>
      <c r="CJ31" s="21">
        <f t="shared" ref="CJ31:CJ34" si="15">CI31*CF31</f>
        <v>0</v>
      </c>
      <c r="CK31" s="21">
        <f t="shared" ref="CK31:CK34" si="16">CJ31*0.8</f>
        <v>0</v>
      </c>
      <c r="CM31" s="378">
        <f>SUM(Y31:BC31)</f>
        <v>0</v>
      </c>
      <c r="CN31" s="380">
        <f>CM31*$CI31*0.8</f>
        <v>0</v>
      </c>
      <c r="CO31" s="378">
        <f>SUM(BD31:CE31)</f>
        <v>0</v>
      </c>
      <c r="CP31" s="380">
        <f>CO31*$CI31*0.8</f>
        <v>0</v>
      </c>
      <c r="CQ31" s="28"/>
      <c r="CR31" s="381">
        <f t="shared" si="0"/>
        <v>0</v>
      </c>
      <c r="CS31" s="382" t="e">
        <f>CK31/CR31*1000</f>
        <v>#DIV/0!</v>
      </c>
      <c r="CT31" s="28"/>
      <c r="CU31" s="28"/>
      <c r="CV31" s="28"/>
      <c r="CW31" s="28"/>
      <c r="CX31" s="28"/>
      <c r="CY31" s="28"/>
    </row>
    <row r="32" spans="1:103" ht="14.5" customHeight="1" x14ac:dyDescent="0.25">
      <c r="A32" s="32"/>
      <c r="B32" s="36" t="s">
        <v>162</v>
      </c>
      <c r="C32" s="39" t="s">
        <v>163</v>
      </c>
      <c r="D32" s="95" t="s">
        <v>148</v>
      </c>
      <c r="E32" s="377">
        <v>10000</v>
      </c>
      <c r="F32" s="11"/>
      <c r="G32" s="12"/>
      <c r="H32" s="12"/>
      <c r="I32" s="12"/>
      <c r="J32" s="11"/>
      <c r="K32" s="13"/>
      <c r="L32" s="13"/>
      <c r="M32" s="11"/>
      <c r="N32" s="12"/>
      <c r="O32" s="12"/>
      <c r="P32" s="12"/>
      <c r="Q32" s="11"/>
      <c r="R32" s="13"/>
      <c r="S32" s="13"/>
      <c r="T32" s="11"/>
      <c r="U32" s="12"/>
      <c r="V32" s="12"/>
      <c r="W32" s="12"/>
      <c r="X32" s="11"/>
      <c r="Y32" s="11"/>
      <c r="Z32" s="12"/>
      <c r="AA32" s="13"/>
      <c r="AB32" s="13"/>
      <c r="AC32" s="11"/>
      <c r="AD32" s="12"/>
      <c r="AE32" s="12"/>
      <c r="AF32" s="12"/>
      <c r="AG32" s="11"/>
      <c r="AH32" s="13"/>
      <c r="AI32" s="13"/>
      <c r="AJ32" s="11"/>
      <c r="AK32" s="12"/>
      <c r="AL32" s="12"/>
      <c r="AM32" s="12"/>
      <c r="AN32" s="11"/>
      <c r="AO32" s="13">
        <v>1</v>
      </c>
      <c r="AP32" s="13"/>
      <c r="AQ32" s="11"/>
      <c r="AR32" s="12">
        <v>1</v>
      </c>
      <c r="AS32" s="12"/>
      <c r="AT32" s="12"/>
      <c r="AU32" s="11"/>
      <c r="AV32" s="13"/>
      <c r="AW32" s="13"/>
      <c r="AX32" s="11">
        <v>1</v>
      </c>
      <c r="AY32" s="12"/>
      <c r="AZ32" s="12"/>
      <c r="BA32" s="12"/>
      <c r="BB32" s="11"/>
      <c r="BC32" s="13"/>
      <c r="BD32" s="13"/>
      <c r="BE32" s="11"/>
      <c r="BF32" s="12"/>
      <c r="BG32" s="12"/>
      <c r="BH32" s="12"/>
      <c r="BI32" s="11"/>
      <c r="BJ32" s="13"/>
      <c r="BK32" s="13"/>
      <c r="BL32" s="11"/>
      <c r="BM32" s="12"/>
      <c r="BN32" s="12"/>
      <c r="BO32" s="12"/>
      <c r="BP32" s="11"/>
      <c r="BQ32" s="13"/>
      <c r="BR32" s="13"/>
      <c r="BS32" s="11"/>
      <c r="BT32" s="12"/>
      <c r="BU32" s="12"/>
      <c r="BV32" s="12"/>
      <c r="BW32" s="11"/>
      <c r="BX32" s="13"/>
      <c r="BY32" s="13"/>
      <c r="BZ32" s="11"/>
      <c r="CA32" s="12"/>
      <c r="CB32" s="12"/>
      <c r="CC32" s="12"/>
      <c r="CD32" s="11"/>
      <c r="CE32" s="13"/>
      <c r="CF32" s="378">
        <f>SUM(F32:CE32)</f>
        <v>3</v>
      </c>
      <c r="CG32" s="384">
        <v>71760</v>
      </c>
      <c r="CH32" s="402">
        <v>0.6</v>
      </c>
      <c r="CI32" s="20">
        <f>CG32*(1-CH32)</f>
        <v>28704</v>
      </c>
      <c r="CJ32" s="21">
        <f>CI32*CF32</f>
        <v>86112</v>
      </c>
      <c r="CK32" s="21">
        <f t="shared" si="16"/>
        <v>68889.600000000006</v>
      </c>
      <c r="CM32" s="378">
        <f>SUM(Y32:BC32)</f>
        <v>3</v>
      </c>
      <c r="CN32" s="380">
        <f t="shared" ref="CN32:CN33" si="17">CM32*$CI32*0.8</f>
        <v>68889.600000000006</v>
      </c>
      <c r="CO32" s="378">
        <f>SUM(BD32:CE32)</f>
        <v>0</v>
      </c>
      <c r="CP32" s="380">
        <f t="shared" ref="CP32:CP34" si="18">CO32*$CI32*0.8</f>
        <v>0</v>
      </c>
      <c r="CQ32" s="28"/>
      <c r="CR32" s="381">
        <f t="shared" si="0"/>
        <v>30000</v>
      </c>
      <c r="CS32" s="382">
        <f>CK32/CR32*1000</f>
        <v>2296.3200000000002</v>
      </c>
      <c r="CT32" s="28"/>
      <c r="CU32" s="28"/>
      <c r="CV32" s="28"/>
      <c r="CW32" s="28"/>
      <c r="CX32" s="28"/>
      <c r="CY32" s="28"/>
    </row>
    <row r="33" spans="1:103" ht="14.5" hidden="1" customHeight="1" x14ac:dyDescent="0.25">
      <c r="A33" s="32"/>
      <c r="B33" s="36"/>
      <c r="C33" s="406"/>
      <c r="D33" s="95" t="s">
        <v>333</v>
      </c>
      <c r="E33" s="377">
        <v>10000</v>
      </c>
      <c r="F33" s="11"/>
      <c r="G33" s="12"/>
      <c r="H33" s="12"/>
      <c r="I33" s="12"/>
      <c r="J33" s="11"/>
      <c r="K33" s="13"/>
      <c r="L33" s="13"/>
      <c r="M33" s="11"/>
      <c r="N33" s="12"/>
      <c r="O33" s="12"/>
      <c r="P33" s="12"/>
      <c r="Q33" s="11"/>
      <c r="R33" s="13"/>
      <c r="S33" s="13"/>
      <c r="T33" s="11"/>
      <c r="U33" s="12"/>
      <c r="V33" s="12"/>
      <c r="W33" s="12"/>
      <c r="X33" s="11"/>
      <c r="Y33" s="11"/>
      <c r="Z33" s="12"/>
      <c r="AA33" s="13"/>
      <c r="AB33" s="13"/>
      <c r="AC33" s="11"/>
      <c r="AD33" s="12"/>
      <c r="AE33" s="12"/>
      <c r="AF33" s="12"/>
      <c r="AG33" s="11"/>
      <c r="AH33" s="13"/>
      <c r="AI33" s="13"/>
      <c r="AJ33" s="11"/>
      <c r="AK33" s="12"/>
      <c r="AL33" s="12"/>
      <c r="AM33" s="12"/>
      <c r="AN33" s="11"/>
      <c r="AO33" s="13"/>
      <c r="AP33" s="13"/>
      <c r="AQ33" s="11"/>
      <c r="AR33" s="12"/>
      <c r="AS33" s="12"/>
      <c r="AT33" s="12"/>
      <c r="AU33" s="12"/>
      <c r="AV33" s="13"/>
      <c r="AW33" s="13"/>
      <c r="AX33" s="12"/>
      <c r="AY33" s="12"/>
      <c r="AZ33" s="12"/>
      <c r="BA33" s="12"/>
      <c r="BB33" s="12"/>
      <c r="BC33" s="13"/>
      <c r="BD33" s="13"/>
      <c r="BE33" s="12"/>
      <c r="BF33" s="12"/>
      <c r="BG33" s="12"/>
      <c r="BH33" s="12"/>
      <c r="BI33" s="12"/>
      <c r="BJ33" s="13"/>
      <c r="BK33" s="13"/>
      <c r="BL33" s="12"/>
      <c r="BM33" s="12"/>
      <c r="BN33" s="12"/>
      <c r="BO33" s="12"/>
      <c r="BP33" s="12"/>
      <c r="BQ33" s="13"/>
      <c r="BR33" s="13"/>
      <c r="BS33" s="11"/>
      <c r="BT33" s="12"/>
      <c r="BU33" s="12"/>
      <c r="BV33" s="12"/>
      <c r="BW33" s="11"/>
      <c r="BX33" s="13"/>
      <c r="BY33" s="13"/>
      <c r="BZ33" s="11"/>
      <c r="CA33" s="12"/>
      <c r="CB33" s="12"/>
      <c r="CC33" s="12"/>
      <c r="CD33" s="11"/>
      <c r="CE33" s="13"/>
      <c r="CF33" s="378">
        <f>SUM(F33:CE33)</f>
        <v>0</v>
      </c>
      <c r="CG33" s="384">
        <v>71760</v>
      </c>
      <c r="CH33" s="402">
        <v>0.6</v>
      </c>
      <c r="CI33" s="20">
        <f>CG33*(1-CH33)</f>
        <v>28704</v>
      </c>
      <c r="CJ33" s="21">
        <f>CI33*CF33</f>
        <v>0</v>
      </c>
      <c r="CK33" s="21">
        <f t="shared" ref="CK33" si="19">CJ33*0.8</f>
        <v>0</v>
      </c>
      <c r="CM33" s="378">
        <f t="shared" ref="CM33:CM34" si="20">SUM(Y33:BC33)</f>
        <v>0</v>
      </c>
      <c r="CN33" s="380">
        <f t="shared" si="17"/>
        <v>0</v>
      </c>
      <c r="CO33" s="378">
        <f t="shared" ref="CO33:CO34" si="21">SUM(BD33:CE33)</f>
        <v>0</v>
      </c>
      <c r="CP33" s="380">
        <f t="shared" si="18"/>
        <v>0</v>
      </c>
      <c r="CQ33" s="28"/>
      <c r="CR33" s="381">
        <f t="shared" si="0"/>
        <v>0</v>
      </c>
      <c r="CS33" s="382"/>
      <c r="CT33" s="28"/>
      <c r="CU33" s="28"/>
      <c r="CV33" s="28"/>
      <c r="CW33" s="28"/>
      <c r="CX33" s="28"/>
      <c r="CY33" s="28"/>
    </row>
    <row r="34" spans="1:103" ht="14.5" customHeight="1" x14ac:dyDescent="0.25">
      <c r="A34" s="32"/>
      <c r="B34" s="36"/>
      <c r="C34" s="403"/>
      <c r="D34" s="95" t="s">
        <v>219</v>
      </c>
      <c r="E34" s="377">
        <v>600000</v>
      </c>
      <c r="F34" s="11"/>
      <c r="G34" s="12"/>
      <c r="H34" s="12"/>
      <c r="I34" s="12"/>
      <c r="J34" s="11"/>
      <c r="K34" s="13"/>
      <c r="L34" s="13"/>
      <c r="M34" s="11"/>
      <c r="N34" s="12"/>
      <c r="O34" s="12"/>
      <c r="P34" s="12"/>
      <c r="Q34" s="11"/>
      <c r="R34" s="13"/>
      <c r="S34" s="13"/>
      <c r="T34" s="11"/>
      <c r="U34" s="12"/>
      <c r="V34" s="12"/>
      <c r="W34" s="12"/>
      <c r="X34" s="11"/>
      <c r="Y34" s="11"/>
      <c r="Z34" s="12"/>
      <c r="AA34" s="13"/>
      <c r="AB34" s="13"/>
      <c r="AC34" s="11"/>
      <c r="AD34" s="12"/>
      <c r="AE34" s="12"/>
      <c r="AF34" s="12"/>
      <c r="AG34" s="11"/>
      <c r="AH34" s="13"/>
      <c r="AI34" s="13"/>
      <c r="AJ34" s="11"/>
      <c r="AK34" s="12"/>
      <c r="AL34" s="12"/>
      <c r="AM34" s="12"/>
      <c r="AN34" s="11"/>
      <c r="AO34" s="13"/>
      <c r="AP34" s="13"/>
      <c r="AQ34" s="11"/>
      <c r="AR34" s="12"/>
      <c r="AS34" s="12"/>
      <c r="AT34" s="12"/>
      <c r="AU34" s="11"/>
      <c r="AV34" s="13"/>
      <c r="AW34" s="13"/>
      <c r="AX34" s="11"/>
      <c r="AY34" s="12"/>
      <c r="AZ34" s="662" t="s">
        <v>169</v>
      </c>
      <c r="BA34" s="663"/>
      <c r="BB34" s="663"/>
      <c r="BC34" s="663"/>
      <c r="BD34" s="663"/>
      <c r="BE34" s="663"/>
      <c r="BF34" s="663"/>
      <c r="BG34" s="663"/>
      <c r="BH34" s="663"/>
      <c r="BI34" s="663"/>
      <c r="BJ34" s="663"/>
      <c r="BK34" s="663"/>
      <c r="BL34" s="663"/>
      <c r="BM34" s="663"/>
      <c r="BN34" s="663"/>
      <c r="BO34" s="664"/>
      <c r="BP34" s="11"/>
      <c r="BQ34" s="13"/>
      <c r="BR34" s="13"/>
      <c r="BS34" s="11"/>
      <c r="BT34" s="12"/>
      <c r="BU34" s="12"/>
      <c r="BV34" s="12"/>
      <c r="BW34" s="11"/>
      <c r="BX34" s="13"/>
      <c r="BY34" s="13"/>
      <c r="BZ34" s="11"/>
      <c r="CA34" s="12"/>
      <c r="CB34" s="12"/>
      <c r="CC34" s="12"/>
      <c r="CD34" s="11"/>
      <c r="CE34" s="13"/>
      <c r="CF34" s="387">
        <v>600000</v>
      </c>
      <c r="CG34" s="384">
        <v>0</v>
      </c>
      <c r="CH34" s="402">
        <v>1</v>
      </c>
      <c r="CI34" s="20">
        <v>0</v>
      </c>
      <c r="CJ34" s="21">
        <f t="shared" si="15"/>
        <v>0</v>
      </c>
      <c r="CK34" s="21">
        <f t="shared" si="16"/>
        <v>0</v>
      </c>
      <c r="CM34" s="378">
        <f t="shared" si="20"/>
        <v>0</v>
      </c>
      <c r="CN34" s="380">
        <f>CM34*$CI34*0.8</f>
        <v>0</v>
      </c>
      <c r="CO34" s="378">
        <f t="shared" si="21"/>
        <v>0</v>
      </c>
      <c r="CP34" s="380">
        <f t="shared" si="18"/>
        <v>0</v>
      </c>
      <c r="CQ34" s="28"/>
      <c r="CR34" s="381">
        <f>E34</f>
        <v>600000</v>
      </c>
      <c r="CS34" s="382"/>
      <c r="CT34" s="28"/>
      <c r="CU34" s="28"/>
      <c r="CV34" s="28"/>
      <c r="CW34" s="28"/>
      <c r="CX34" s="28"/>
      <c r="CY34" s="28"/>
    </row>
    <row r="35" spans="1:103" ht="14.5" customHeight="1" x14ac:dyDescent="0.25">
      <c r="A35" s="32"/>
      <c r="B35" s="36"/>
      <c r="C35" s="39"/>
      <c r="D35" s="95"/>
      <c r="E35" s="377"/>
      <c r="F35" s="11"/>
      <c r="G35" s="12"/>
      <c r="H35" s="12"/>
      <c r="I35" s="12"/>
      <c r="J35" s="11"/>
      <c r="K35" s="13"/>
      <c r="L35" s="13"/>
      <c r="M35" s="11"/>
      <c r="N35" s="12"/>
      <c r="O35" s="12"/>
      <c r="P35" s="12"/>
      <c r="Q35" s="11"/>
      <c r="R35" s="13"/>
      <c r="S35" s="13"/>
      <c r="T35" s="11"/>
      <c r="U35" s="12"/>
      <c r="V35" s="12"/>
      <c r="W35" s="12"/>
      <c r="X35" s="11"/>
      <c r="Y35" s="11"/>
      <c r="Z35" s="12"/>
      <c r="AA35" s="13"/>
      <c r="AB35" s="13"/>
      <c r="AC35" s="11"/>
      <c r="AD35" s="12"/>
      <c r="AE35" s="12"/>
      <c r="AF35" s="12"/>
      <c r="AG35" s="11"/>
      <c r="AH35" s="13"/>
      <c r="AI35" s="13"/>
      <c r="AJ35" s="11"/>
      <c r="AK35" s="12"/>
      <c r="AL35" s="12"/>
      <c r="AM35" s="12"/>
      <c r="AN35" s="11"/>
      <c r="AO35" s="13"/>
      <c r="AP35" s="13"/>
      <c r="AQ35" s="11"/>
      <c r="AR35" s="12"/>
      <c r="AS35" s="12"/>
      <c r="AT35" s="12"/>
      <c r="AU35" s="11"/>
      <c r="AV35" s="13"/>
      <c r="AW35" s="13"/>
      <c r="AX35" s="11"/>
      <c r="AY35" s="12"/>
      <c r="AZ35" s="12"/>
      <c r="BA35" s="12"/>
      <c r="BB35" s="11"/>
      <c r="BC35" s="13"/>
      <c r="BD35" s="13"/>
      <c r="BE35" s="11"/>
      <c r="BF35" s="12"/>
      <c r="BG35" s="12"/>
      <c r="BH35" s="12"/>
      <c r="BI35" s="11"/>
      <c r="BJ35" s="13"/>
      <c r="BK35" s="13"/>
      <c r="BL35" s="11"/>
      <c r="BM35" s="12"/>
      <c r="BN35" s="12"/>
      <c r="BO35" s="12"/>
      <c r="BP35" s="11"/>
      <c r="BQ35" s="13"/>
      <c r="BR35" s="13"/>
      <c r="BS35" s="11"/>
      <c r="BT35" s="12"/>
      <c r="BU35" s="12"/>
      <c r="BV35" s="12"/>
      <c r="BW35" s="11"/>
      <c r="BX35" s="13"/>
      <c r="BY35" s="13"/>
      <c r="BZ35" s="11"/>
      <c r="CA35" s="12"/>
      <c r="CB35" s="12"/>
      <c r="CC35" s="12"/>
      <c r="CD35" s="11"/>
      <c r="CE35" s="13"/>
      <c r="CF35" s="378"/>
      <c r="CG35" s="379"/>
      <c r="CH35" s="19"/>
      <c r="CI35" s="20"/>
      <c r="CJ35" s="21"/>
      <c r="CK35" s="21"/>
      <c r="CM35" s="172"/>
      <c r="CN35" s="388"/>
      <c r="CO35" s="172"/>
      <c r="CP35" s="388"/>
      <c r="CQ35" s="28"/>
      <c r="CR35" s="389"/>
      <c r="CS35" s="390"/>
      <c r="CT35" s="28"/>
      <c r="CU35" s="28"/>
      <c r="CV35" s="28"/>
      <c r="CW35" s="28"/>
      <c r="CX35" s="28"/>
      <c r="CY35" s="28"/>
    </row>
    <row r="36" spans="1:103" x14ac:dyDescent="0.25">
      <c r="A36" s="32"/>
      <c r="B36" s="391"/>
      <c r="C36" s="392"/>
      <c r="D36" s="392"/>
      <c r="E36" s="392"/>
      <c r="F36" s="392"/>
      <c r="G36" s="392"/>
      <c r="H36" s="392"/>
      <c r="I36" s="392"/>
      <c r="J36" s="392"/>
      <c r="K36" s="392"/>
      <c r="L36" s="392"/>
      <c r="M36" s="392"/>
      <c r="N36" s="392"/>
      <c r="O36" s="392"/>
      <c r="P36" s="392"/>
      <c r="Q36" s="393"/>
      <c r="R36" s="392"/>
      <c r="S36" s="392"/>
      <c r="T36" s="392"/>
      <c r="U36" s="392"/>
      <c r="V36" s="392"/>
      <c r="W36" s="392"/>
      <c r="X36" s="392"/>
      <c r="Y36" s="392"/>
      <c r="Z36" s="392"/>
      <c r="AA36" s="392"/>
      <c r="AB36" s="392"/>
      <c r="AC36" s="392"/>
      <c r="AD36" s="392"/>
      <c r="AE36" s="392"/>
      <c r="AF36" s="392"/>
      <c r="AG36" s="392"/>
      <c r="AH36" s="392"/>
      <c r="AI36" s="392"/>
      <c r="AJ36" s="393"/>
      <c r="AK36" s="392"/>
      <c r="AL36" s="392"/>
      <c r="AM36" s="392"/>
      <c r="AN36" s="392"/>
      <c r="AO36" s="392"/>
      <c r="AP36" s="392"/>
      <c r="AQ36" s="392"/>
      <c r="AR36" s="392"/>
      <c r="AS36" s="392"/>
      <c r="AT36" s="392"/>
      <c r="AU36" s="392"/>
      <c r="AV36" s="392"/>
      <c r="AW36" s="392"/>
      <c r="AX36" s="392"/>
      <c r="AY36" s="392"/>
      <c r="AZ36" s="392"/>
      <c r="BA36" s="392"/>
      <c r="BB36" s="392"/>
      <c r="BC36" s="392"/>
      <c r="BD36" s="392"/>
      <c r="BE36" s="392"/>
      <c r="BF36" s="392"/>
      <c r="BG36" s="392"/>
      <c r="BH36" s="392"/>
      <c r="BI36" s="392"/>
      <c r="BJ36" s="392"/>
      <c r="BK36" s="392"/>
      <c r="BL36" s="392"/>
      <c r="BM36" s="392"/>
      <c r="BN36" s="392"/>
      <c r="BO36" s="393"/>
      <c r="BP36" s="392"/>
      <c r="BQ36" s="392"/>
      <c r="BR36" s="392"/>
      <c r="BS36" s="392"/>
      <c r="BT36" s="392"/>
      <c r="BU36" s="392"/>
      <c r="BV36" s="392"/>
      <c r="BW36" s="392"/>
      <c r="BX36" s="392"/>
      <c r="BY36" s="392"/>
      <c r="BZ36" s="392"/>
      <c r="CA36" s="392"/>
      <c r="CB36" s="392"/>
      <c r="CC36" s="392"/>
      <c r="CD36" s="392"/>
      <c r="CE36" s="392"/>
      <c r="CF36" s="392"/>
      <c r="CG36" s="392"/>
      <c r="CH36" s="392"/>
      <c r="CI36" s="392"/>
      <c r="CJ36" s="23"/>
      <c r="CK36" s="24"/>
      <c r="CQ36" s="28"/>
      <c r="CR36" s="28"/>
      <c r="CS36" s="28"/>
      <c r="CT36" s="28"/>
      <c r="CU36" s="28"/>
      <c r="CV36" s="28"/>
      <c r="CW36" s="28"/>
      <c r="CX36" s="28"/>
      <c r="CY36" s="28"/>
    </row>
    <row r="37" spans="1:103" x14ac:dyDescent="0.25">
      <c r="A37" s="28"/>
      <c r="B37" s="25" t="s">
        <v>151</v>
      </c>
      <c r="C37" s="40"/>
      <c r="D37" s="40"/>
      <c r="E37" s="40"/>
      <c r="F37" s="40">
        <f t="shared" ref="F37:AK37" si="22">SUM(F13:F35)</f>
        <v>0</v>
      </c>
      <c r="G37" s="40">
        <f t="shared" si="22"/>
        <v>0</v>
      </c>
      <c r="H37" s="40">
        <f t="shared" si="22"/>
        <v>0</v>
      </c>
      <c r="I37" s="40">
        <f t="shared" si="22"/>
        <v>0</v>
      </c>
      <c r="J37" s="40">
        <f t="shared" si="22"/>
        <v>0</v>
      </c>
      <c r="K37" s="40">
        <f t="shared" si="22"/>
        <v>0</v>
      </c>
      <c r="L37" s="40">
        <f t="shared" si="22"/>
        <v>0</v>
      </c>
      <c r="M37" s="40">
        <f t="shared" si="22"/>
        <v>0</v>
      </c>
      <c r="N37" s="40">
        <f t="shared" si="22"/>
        <v>0</v>
      </c>
      <c r="O37" s="40">
        <f t="shared" si="22"/>
        <v>0</v>
      </c>
      <c r="P37" s="40">
        <f t="shared" si="22"/>
        <v>0</v>
      </c>
      <c r="Q37" s="40">
        <f t="shared" si="22"/>
        <v>0</v>
      </c>
      <c r="R37" s="40">
        <f t="shared" si="22"/>
        <v>0</v>
      </c>
      <c r="S37" s="40">
        <f t="shared" si="22"/>
        <v>0</v>
      </c>
      <c r="T37" s="40">
        <f t="shared" si="22"/>
        <v>0</v>
      </c>
      <c r="U37" s="40">
        <f t="shared" si="22"/>
        <v>0</v>
      </c>
      <c r="V37" s="40">
        <f t="shared" si="22"/>
        <v>0</v>
      </c>
      <c r="W37" s="40">
        <f t="shared" si="22"/>
        <v>0</v>
      </c>
      <c r="X37" s="40">
        <f t="shared" si="22"/>
        <v>0</v>
      </c>
      <c r="Y37" s="40">
        <f t="shared" si="22"/>
        <v>0</v>
      </c>
      <c r="Z37" s="40">
        <f t="shared" si="22"/>
        <v>0</v>
      </c>
      <c r="AA37" s="40">
        <f t="shared" si="22"/>
        <v>0</v>
      </c>
      <c r="AB37" s="40">
        <f t="shared" si="22"/>
        <v>0</v>
      </c>
      <c r="AC37" s="40">
        <f t="shared" si="22"/>
        <v>0</v>
      </c>
      <c r="AD37" s="40">
        <f t="shared" si="22"/>
        <v>0</v>
      </c>
      <c r="AE37" s="40">
        <f t="shared" si="22"/>
        <v>0</v>
      </c>
      <c r="AF37" s="40">
        <f t="shared" si="22"/>
        <v>0</v>
      </c>
      <c r="AG37" s="40">
        <f t="shared" si="22"/>
        <v>0</v>
      </c>
      <c r="AH37" s="40">
        <f t="shared" si="22"/>
        <v>0</v>
      </c>
      <c r="AI37" s="40">
        <f t="shared" si="22"/>
        <v>0</v>
      </c>
      <c r="AJ37" s="40">
        <f t="shared" si="22"/>
        <v>0</v>
      </c>
      <c r="AK37" s="40">
        <f t="shared" si="22"/>
        <v>0</v>
      </c>
      <c r="AL37" s="40">
        <f t="shared" ref="AL37:CF37" si="23">SUM(AL13:AL35)</f>
        <v>0</v>
      </c>
      <c r="AM37" s="40">
        <f t="shared" si="23"/>
        <v>0</v>
      </c>
      <c r="AN37" s="40">
        <f t="shared" si="23"/>
        <v>0</v>
      </c>
      <c r="AO37" s="40">
        <f t="shared" si="23"/>
        <v>3</v>
      </c>
      <c r="AP37" s="40">
        <f t="shared" si="23"/>
        <v>0</v>
      </c>
      <c r="AQ37" s="40">
        <f t="shared" si="23"/>
        <v>3</v>
      </c>
      <c r="AR37" s="40">
        <f t="shared" si="23"/>
        <v>1</v>
      </c>
      <c r="AS37" s="40">
        <f t="shared" si="23"/>
        <v>1</v>
      </c>
      <c r="AT37" s="40">
        <f t="shared" si="23"/>
        <v>1</v>
      </c>
      <c r="AU37" s="40">
        <f t="shared" si="23"/>
        <v>1</v>
      </c>
      <c r="AV37" s="40">
        <f t="shared" si="23"/>
        <v>0</v>
      </c>
      <c r="AW37" s="40">
        <f t="shared" si="23"/>
        <v>0</v>
      </c>
      <c r="AX37" s="40">
        <f t="shared" si="23"/>
        <v>1</v>
      </c>
      <c r="AY37" s="40">
        <f t="shared" si="23"/>
        <v>0</v>
      </c>
      <c r="AZ37" s="40">
        <f t="shared" si="23"/>
        <v>0</v>
      </c>
      <c r="BA37" s="40">
        <f t="shared" si="23"/>
        <v>0</v>
      </c>
      <c r="BB37" s="40">
        <f t="shared" si="23"/>
        <v>0</v>
      </c>
      <c r="BC37" s="40">
        <f t="shared" si="23"/>
        <v>0</v>
      </c>
      <c r="BD37" s="40">
        <f t="shared" si="23"/>
        <v>0</v>
      </c>
      <c r="BE37" s="40">
        <f t="shared" si="23"/>
        <v>0</v>
      </c>
      <c r="BF37" s="40">
        <f t="shared" si="23"/>
        <v>0</v>
      </c>
      <c r="BG37" s="40">
        <f t="shared" si="23"/>
        <v>0</v>
      </c>
      <c r="BH37" s="40">
        <f t="shared" si="23"/>
        <v>0</v>
      </c>
      <c r="BI37" s="40">
        <f t="shared" si="23"/>
        <v>0</v>
      </c>
      <c r="BJ37" s="40">
        <f t="shared" si="23"/>
        <v>0</v>
      </c>
      <c r="BK37" s="40">
        <f t="shared" si="23"/>
        <v>0</v>
      </c>
      <c r="BL37" s="40">
        <f t="shared" si="23"/>
        <v>0</v>
      </c>
      <c r="BM37" s="40">
        <f t="shared" si="23"/>
        <v>0</v>
      </c>
      <c r="BN37" s="40">
        <f t="shared" si="23"/>
        <v>0</v>
      </c>
      <c r="BO37" s="40">
        <f t="shared" si="23"/>
        <v>0</v>
      </c>
      <c r="BP37" s="40">
        <f t="shared" si="23"/>
        <v>0</v>
      </c>
      <c r="BQ37" s="40">
        <f t="shared" si="23"/>
        <v>0</v>
      </c>
      <c r="BR37" s="40">
        <f t="shared" si="23"/>
        <v>0</v>
      </c>
      <c r="BS37" s="40">
        <f t="shared" si="23"/>
        <v>0</v>
      </c>
      <c r="BT37" s="40">
        <f t="shared" si="23"/>
        <v>0</v>
      </c>
      <c r="BU37" s="40">
        <f t="shared" si="23"/>
        <v>0</v>
      </c>
      <c r="BV37" s="40">
        <f t="shared" si="23"/>
        <v>0</v>
      </c>
      <c r="BW37" s="40">
        <f t="shared" si="23"/>
        <v>0</v>
      </c>
      <c r="BX37" s="40">
        <f t="shared" si="23"/>
        <v>0</v>
      </c>
      <c r="BY37" s="40">
        <f t="shared" si="23"/>
        <v>0</v>
      </c>
      <c r="BZ37" s="40">
        <f t="shared" si="23"/>
        <v>0</v>
      </c>
      <c r="CA37" s="40">
        <f t="shared" si="23"/>
        <v>0</v>
      </c>
      <c r="CB37" s="40">
        <f t="shared" si="23"/>
        <v>0</v>
      </c>
      <c r="CC37" s="40">
        <f t="shared" si="23"/>
        <v>0</v>
      </c>
      <c r="CD37" s="40">
        <f t="shared" si="23"/>
        <v>0</v>
      </c>
      <c r="CE37" s="40">
        <f t="shared" si="23"/>
        <v>0</v>
      </c>
      <c r="CF37" s="394">
        <f t="shared" si="23"/>
        <v>2100011</v>
      </c>
      <c r="CG37" s="26"/>
      <c r="CH37" s="395"/>
      <c r="CI37" s="26"/>
      <c r="CJ37" s="407">
        <f>SUM(CJ13:CJ35)</f>
        <v>662819.65715993429</v>
      </c>
      <c r="CK37" s="407">
        <f>SUM(CK13:CK35)</f>
        <v>530255.72572794755</v>
      </c>
      <c r="CM37" s="396">
        <f>SUM(CM13:CM35)</f>
        <v>11</v>
      </c>
      <c r="CN37" s="397">
        <f>SUM(CN14:CN35)</f>
        <v>530255.72572794755</v>
      </c>
      <c r="CO37" s="396">
        <f>SUM(CO13:CO35)</f>
        <v>0</v>
      </c>
      <c r="CP37" s="397">
        <f>SUM(CP14:CP35)</f>
        <v>0</v>
      </c>
      <c r="CQ37" s="28"/>
      <c r="CR37" s="405">
        <v>14878578</v>
      </c>
      <c r="CS37" s="28"/>
      <c r="CT37" s="28"/>
      <c r="CU37" s="28"/>
      <c r="CV37" s="28"/>
      <c r="CW37" s="28"/>
      <c r="CX37" s="28"/>
      <c r="CY37" s="28"/>
    </row>
    <row r="38" spans="1:103" ht="12.5" customHeight="1" x14ac:dyDescent="0.3">
      <c r="CK38" s="398"/>
      <c r="CQ38" s="28"/>
      <c r="CR38" s="28"/>
      <c r="CS38" s="28"/>
      <c r="CT38" s="28"/>
      <c r="CU38" s="28"/>
      <c r="CV38" s="28"/>
      <c r="CW38" s="28"/>
      <c r="CX38" s="28"/>
      <c r="CY38" s="28"/>
    </row>
    <row r="39" spans="1:103" ht="13.5" customHeight="1" x14ac:dyDescent="0.4">
      <c r="A39" s="28"/>
      <c r="B39" s="28"/>
      <c r="C39" s="28"/>
      <c r="D39" s="28"/>
      <c r="E39" s="28"/>
      <c r="F39" s="28"/>
      <c r="G39" s="28"/>
      <c r="H39" s="28"/>
      <c r="I39" s="28"/>
      <c r="J39" s="28"/>
      <c r="K39" s="28"/>
      <c r="L39" s="28"/>
      <c r="M39" s="28"/>
      <c r="N39" s="28"/>
      <c r="O39" s="28"/>
      <c r="P39" s="28"/>
      <c r="Q39" s="28"/>
      <c r="R39" s="28"/>
      <c r="S39" s="28"/>
      <c r="T39" s="28"/>
      <c r="U39" s="28"/>
      <c r="V39" s="28"/>
      <c r="W39" s="28"/>
      <c r="X39" s="28"/>
      <c r="Y39" s="28"/>
      <c r="Z39" s="28"/>
      <c r="AA39" s="28"/>
      <c r="AB39" s="28"/>
      <c r="AC39" s="28"/>
      <c r="AD39" s="28"/>
      <c r="AE39" s="28"/>
      <c r="AF39" s="28"/>
      <c r="AG39" s="28"/>
      <c r="AH39" s="28"/>
      <c r="AI39" s="28"/>
      <c r="AJ39" s="28"/>
      <c r="AK39" s="28"/>
      <c r="AL39" s="28"/>
      <c r="AM39" s="28"/>
      <c r="AN39" s="28"/>
      <c r="AO39" s="28"/>
      <c r="AP39" s="28"/>
      <c r="AQ39" s="28"/>
      <c r="AR39" s="28"/>
      <c r="AS39" s="28"/>
      <c r="AT39" s="28"/>
      <c r="AU39" s="28"/>
      <c r="AV39" s="28"/>
      <c r="AW39" s="28"/>
      <c r="AX39" s="28"/>
      <c r="AY39" s="28"/>
      <c r="AZ39" s="28"/>
      <c r="BA39" s="28"/>
      <c r="BB39" s="28"/>
      <c r="BC39" s="28"/>
      <c r="BD39" s="28"/>
      <c r="BE39" s="28"/>
      <c r="BF39" s="28"/>
      <c r="BG39" s="28"/>
      <c r="BH39" s="28"/>
      <c r="BI39" s="28"/>
      <c r="BJ39" s="28"/>
      <c r="BK39" s="28"/>
      <c r="BL39" s="28"/>
      <c r="BM39" s="28"/>
      <c r="BN39" s="28"/>
      <c r="BO39" s="28"/>
      <c r="BP39" s="28"/>
      <c r="BQ39" s="28"/>
      <c r="BR39" s="28"/>
      <c r="BS39" s="28"/>
      <c r="BT39" s="28"/>
      <c r="BU39" s="28"/>
      <c r="BV39" s="28"/>
      <c r="BW39" s="28"/>
      <c r="BX39" s="28"/>
      <c r="BY39" s="28"/>
      <c r="BZ39" s="28"/>
      <c r="CA39" s="28"/>
      <c r="CB39" s="28"/>
      <c r="CC39" s="28"/>
      <c r="CD39" s="28"/>
      <c r="CE39" s="28"/>
      <c r="CF39" s="28"/>
      <c r="CG39" s="28"/>
      <c r="CH39" s="28"/>
      <c r="CI39" s="28"/>
      <c r="CJ39" s="399"/>
      <c r="CK39" s="596"/>
      <c r="CM39" s="400" t="s">
        <v>152</v>
      </c>
      <c r="CN39" s="26">
        <f>CN37+CP37</f>
        <v>530255.72572794755</v>
      </c>
      <c r="CO39" s="401" t="b">
        <f>CN39=CK37</f>
        <v>1</v>
      </c>
      <c r="CP39"/>
      <c r="CR39" s="28"/>
      <c r="CS39" s="28"/>
      <c r="CT39" s="28"/>
      <c r="CU39" s="28"/>
      <c r="CV39" s="28"/>
      <c r="CW39" s="28"/>
      <c r="CX39" s="28"/>
      <c r="CY39" s="28"/>
    </row>
    <row r="40" spans="1:103" x14ac:dyDescent="0.25">
      <c r="CK40" s="597"/>
    </row>
  </sheetData>
  <mergeCells count="24">
    <mergeCell ref="CK9:CK11"/>
    <mergeCell ref="BD9:CE9"/>
    <mergeCell ref="CF9:CF11"/>
    <mergeCell ref="CG9:CG11"/>
    <mergeCell ref="CH9:CH11"/>
    <mergeCell ref="CI9:CI11"/>
    <mergeCell ref="CJ9:CJ11"/>
    <mergeCell ref="CM9:CN9"/>
    <mergeCell ref="CO9:CP9"/>
    <mergeCell ref="CR9:CR11"/>
    <mergeCell ref="CS9:CS11"/>
    <mergeCell ref="CM10:CN11"/>
    <mergeCell ref="CO10:CP11"/>
    <mergeCell ref="B9:B11"/>
    <mergeCell ref="C9:C11"/>
    <mergeCell ref="D9:D11"/>
    <mergeCell ref="E9:E11"/>
    <mergeCell ref="F9:X9"/>
    <mergeCell ref="AT29:BO29"/>
    <mergeCell ref="Y9:BC9"/>
    <mergeCell ref="AZ16:BO16"/>
    <mergeCell ref="AZ34:BO34"/>
    <mergeCell ref="AZ25:BO25"/>
    <mergeCell ref="AZ21:BO21"/>
  </mergeCells>
  <conditionalFormatting sqref="Y16:AZ16">
    <cfRule type="notContainsBlanks" dxfId="4" priority="4">
      <formula>LEN(TRIM(Y16))&gt;0</formula>
    </cfRule>
  </conditionalFormatting>
  <conditionalFormatting sqref="Y21:AZ21">
    <cfRule type="notContainsBlanks" dxfId="3" priority="3">
      <formula>LEN(TRIM(Y21))&gt;0</formula>
    </cfRule>
  </conditionalFormatting>
  <conditionalFormatting sqref="Y25:AZ25">
    <cfRule type="notContainsBlanks" dxfId="2" priority="2">
      <formula>LEN(TRIM(Y25))&gt;0</formula>
    </cfRule>
  </conditionalFormatting>
  <conditionalFormatting sqref="Y34:AZ34">
    <cfRule type="notContainsBlanks" dxfId="1" priority="1">
      <formula>LEN(TRIM(Y34))&gt;0</formula>
    </cfRule>
  </conditionalFormatting>
  <conditionalFormatting sqref="Y13:CE14 F13:X35 Y15:CD15 CE15:CE35 BP16:CD16 Y17:CD20 BP21:CD21 Y22:CD24 BP25:CD25 Y26:CD28 Y29:AT29 BP29:CD29 Y30:CD33 BP34:CD34 Y35:CD35">
    <cfRule type="notContainsBlanks" dxfId="0" priority="9">
      <formula>LEN(TRIM(F13))&gt;0</formula>
    </cfRule>
  </conditionalFormatting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769282-4176-49FB-A301-B5E7FA336731}">
  <dimension ref="B3:CH9"/>
  <sheetViews>
    <sheetView showGridLines="0" zoomScale="72" workbookViewId="0">
      <selection activeCell="K8" sqref="K8:K9"/>
    </sheetView>
  </sheetViews>
  <sheetFormatPr defaultColWidth="8.6640625" defaultRowHeight="10" x14ac:dyDescent="0.2"/>
  <cols>
    <col min="1" max="1" width="3.5" style="314" customWidth="1"/>
    <col min="2" max="2" width="16.9140625" style="314" customWidth="1"/>
    <col min="3" max="3" width="18.9140625" style="314" bestFit="1" customWidth="1"/>
    <col min="4" max="4" width="15.08203125" style="314" bestFit="1" customWidth="1"/>
    <col min="5" max="5" width="46.4140625" style="314" customWidth="1"/>
    <col min="6" max="6" width="9.08203125" style="314" bestFit="1" customWidth="1"/>
    <col min="7" max="7" width="9" style="314" bestFit="1" customWidth="1"/>
    <col min="8" max="8" width="20.6640625" style="314" customWidth="1"/>
    <col min="9" max="9" width="13.5" style="314" bestFit="1" customWidth="1"/>
    <col min="10" max="11" width="18.08203125" style="314" bestFit="1" customWidth="1"/>
    <col min="12" max="12" width="8.6640625" style="314"/>
    <col min="13" max="13" width="12.33203125" style="314" bestFit="1" customWidth="1"/>
    <col min="14" max="16384" width="8.6640625" style="314"/>
  </cols>
  <sheetData>
    <row r="3" spans="2:86" ht="27" customHeight="1" x14ac:dyDescent="0.2"/>
    <row r="4" spans="2:86" s="28" customFormat="1" x14ac:dyDescent="0.2">
      <c r="B4" s="5" t="s">
        <v>0</v>
      </c>
      <c r="C4" s="5"/>
      <c r="D4" s="2"/>
      <c r="E4" s="2"/>
      <c r="CC4" s="29"/>
      <c r="CD4" s="361"/>
      <c r="CE4" s="29"/>
      <c r="CF4" s="30"/>
      <c r="CH4" s="31"/>
    </row>
    <row r="5" spans="2:86" s="28" customFormat="1" x14ac:dyDescent="0.2">
      <c r="B5" s="6" t="s">
        <v>155</v>
      </c>
      <c r="C5" s="6"/>
      <c r="D5" s="4"/>
      <c r="E5" s="4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30"/>
      <c r="CG5" s="30"/>
      <c r="CH5" s="30"/>
    </row>
    <row r="6" spans="2:86" s="28" customFormat="1" x14ac:dyDescent="0.2">
      <c r="B6" s="6"/>
      <c r="C6" s="6"/>
      <c r="D6" s="4"/>
      <c r="E6" s="4"/>
      <c r="F6" s="29"/>
      <c r="G6" s="29"/>
      <c r="H6" s="29"/>
      <c r="I6" s="29"/>
      <c r="J6" s="29"/>
      <c r="K6" s="29"/>
      <c r="L6" s="29"/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  <c r="AB6" s="29"/>
      <c r="AC6" s="29"/>
      <c r="AD6" s="29"/>
      <c r="AE6" s="29"/>
      <c r="AF6" s="29"/>
      <c r="AG6" s="29"/>
      <c r="AH6" s="29"/>
      <c r="AI6" s="29"/>
      <c r="AJ6" s="29"/>
      <c r="AK6" s="29"/>
      <c r="AL6" s="29"/>
      <c r="AM6" s="29"/>
      <c r="AN6" s="29"/>
      <c r="AO6" s="29"/>
      <c r="AP6" s="29"/>
      <c r="AQ6" s="29"/>
      <c r="AR6" s="29"/>
      <c r="AS6" s="29"/>
      <c r="AT6" s="29"/>
      <c r="AU6" s="29"/>
      <c r="AV6" s="29"/>
      <c r="AW6" s="29"/>
      <c r="AX6" s="29"/>
      <c r="AY6" s="29"/>
      <c r="AZ6" s="29"/>
      <c r="BA6" s="29"/>
      <c r="BB6" s="29"/>
      <c r="BC6" s="29"/>
      <c r="BD6" s="29"/>
      <c r="BE6" s="29"/>
      <c r="BF6" s="29"/>
      <c r="BG6" s="29"/>
      <c r="BH6" s="29"/>
      <c r="BI6" s="29"/>
      <c r="BJ6" s="29"/>
      <c r="BK6" s="29"/>
      <c r="BL6" s="29"/>
      <c r="BM6" s="29"/>
      <c r="BN6" s="29"/>
      <c r="BO6" s="29"/>
      <c r="BP6" s="29"/>
      <c r="BQ6" s="29"/>
      <c r="BR6" s="29"/>
      <c r="BS6" s="29"/>
      <c r="BT6" s="29"/>
      <c r="BU6" s="29"/>
      <c r="BV6" s="29"/>
      <c r="BW6" s="29"/>
      <c r="BX6" s="29"/>
      <c r="BY6" s="29"/>
      <c r="BZ6" s="29"/>
      <c r="CA6" s="29"/>
      <c r="CB6" s="29"/>
      <c r="CC6" s="29"/>
      <c r="CD6" s="29"/>
      <c r="CE6" s="29"/>
      <c r="CF6" s="30"/>
      <c r="CG6" s="30"/>
      <c r="CH6" s="30"/>
    </row>
    <row r="7" spans="2:86" ht="45.5" customHeight="1" x14ac:dyDescent="0.2">
      <c r="B7" s="550" t="s">
        <v>363</v>
      </c>
      <c r="C7" s="550" t="s">
        <v>364</v>
      </c>
      <c r="D7" s="550" t="s">
        <v>365</v>
      </c>
      <c r="E7" s="551" t="s">
        <v>144</v>
      </c>
      <c r="F7" s="551" t="s">
        <v>366</v>
      </c>
      <c r="G7" s="551" t="s">
        <v>367</v>
      </c>
      <c r="H7" s="552" t="s">
        <v>368</v>
      </c>
      <c r="I7" s="551" t="s">
        <v>369</v>
      </c>
      <c r="J7" s="551" t="s">
        <v>370</v>
      </c>
      <c r="K7" s="551" t="s">
        <v>371</v>
      </c>
    </row>
    <row r="8" spans="2:86" ht="33.5" customHeight="1" thickBot="1" x14ac:dyDescent="0.25">
      <c r="B8" s="553" t="s">
        <v>222</v>
      </c>
      <c r="C8" s="554" t="s">
        <v>170</v>
      </c>
      <c r="D8" s="554" t="s">
        <v>171</v>
      </c>
      <c r="E8" s="554" t="s">
        <v>362</v>
      </c>
      <c r="F8" s="555">
        <v>50000</v>
      </c>
      <c r="G8" s="556" t="s">
        <v>407</v>
      </c>
      <c r="H8" s="547">
        <f>J8/0.55</f>
        <v>90909.090909090897</v>
      </c>
      <c r="I8" s="548">
        <v>0.45</v>
      </c>
      <c r="J8" s="549">
        <v>50000</v>
      </c>
      <c r="K8" s="549">
        <v>50000</v>
      </c>
      <c r="M8" s="315"/>
    </row>
    <row r="9" spans="2:86" ht="33.5" customHeight="1" thickBot="1" x14ac:dyDescent="0.25">
      <c r="B9" s="553" t="s">
        <v>261</v>
      </c>
      <c r="C9" s="554" t="s">
        <v>170</v>
      </c>
      <c r="D9" s="554" t="s">
        <v>171</v>
      </c>
      <c r="E9" s="554" t="s">
        <v>409</v>
      </c>
      <c r="F9" s="555">
        <v>276923</v>
      </c>
      <c r="G9" s="556" t="s">
        <v>408</v>
      </c>
      <c r="H9" s="547">
        <v>44999.99</v>
      </c>
      <c r="I9" s="548">
        <v>1</v>
      </c>
      <c r="J9" s="549">
        <f>H9*(1-I9)</f>
        <v>0</v>
      </c>
      <c r="K9" s="549">
        <f>J9*0.8</f>
        <v>0</v>
      </c>
      <c r="M9" s="315"/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5FD469-7536-46CC-877F-28A821FF08FE}">
  <dimension ref="B1:I95"/>
  <sheetViews>
    <sheetView showGridLines="0" topLeftCell="A52" zoomScaleNormal="100" workbookViewId="0">
      <selection activeCell="E41" sqref="E41"/>
    </sheetView>
  </sheetViews>
  <sheetFormatPr defaultColWidth="21.1640625" defaultRowHeight="14.5" x14ac:dyDescent="0.4"/>
  <cols>
    <col min="1" max="1" width="4.5" style="408" customWidth="1"/>
    <col min="2" max="2" width="21.1640625" style="408"/>
    <col min="3" max="3" width="26.6640625" style="408" customWidth="1"/>
    <col min="4" max="4" width="34.33203125" style="408" customWidth="1"/>
    <col min="5" max="5" width="15.6640625" style="408" bestFit="1" customWidth="1"/>
    <col min="6" max="6" width="24" style="408" customWidth="1"/>
    <col min="7" max="7" width="21.1640625" style="409"/>
    <col min="8" max="8" width="10.08203125" style="409" customWidth="1"/>
    <col min="9" max="9" width="21.1640625" style="409"/>
    <col min="10" max="16384" width="21.1640625" style="408"/>
  </cols>
  <sheetData>
    <row r="1" spans="2:9" ht="47" customHeight="1" x14ac:dyDescent="0.4"/>
    <row r="2" spans="2:9" x14ac:dyDescent="0.2">
      <c r="B2" s="5" t="s">
        <v>0</v>
      </c>
    </row>
    <row r="3" spans="2:9" x14ac:dyDescent="0.2">
      <c r="B3" s="6" t="s">
        <v>155</v>
      </c>
    </row>
    <row r="4" spans="2:9" ht="13" customHeight="1" x14ac:dyDescent="0.4"/>
    <row r="5" spans="2:9" x14ac:dyDescent="0.4">
      <c r="B5" s="410" t="s">
        <v>172</v>
      </c>
      <c r="C5" s="410" t="s">
        <v>173</v>
      </c>
      <c r="D5" s="410" t="s">
        <v>174</v>
      </c>
      <c r="E5" s="410" t="s">
        <v>175</v>
      </c>
      <c r="F5" s="410" t="s">
        <v>176</v>
      </c>
      <c r="G5" s="410" t="s">
        <v>177</v>
      </c>
      <c r="H5" s="410" t="s">
        <v>178</v>
      </c>
      <c r="I5" s="410" t="s">
        <v>179</v>
      </c>
    </row>
    <row r="6" spans="2:9" x14ac:dyDescent="0.35">
      <c r="B6" s="411" t="s">
        <v>182</v>
      </c>
      <c r="C6" s="411" t="s">
        <v>180</v>
      </c>
      <c r="D6" s="412" t="s">
        <v>183</v>
      </c>
      <c r="E6" s="411" t="s">
        <v>181</v>
      </c>
      <c r="F6" s="411" t="s">
        <v>40</v>
      </c>
      <c r="G6" s="413">
        <v>415</v>
      </c>
      <c r="H6" s="414">
        <v>1</v>
      </c>
      <c r="I6" s="415">
        <f t="shared" ref="I6:I17" si="0">G6*H6</f>
        <v>415</v>
      </c>
    </row>
    <row r="7" spans="2:9" x14ac:dyDescent="0.35">
      <c r="B7" s="411" t="s">
        <v>182</v>
      </c>
      <c r="C7" s="411" t="s">
        <v>180</v>
      </c>
      <c r="D7" s="412" t="s">
        <v>184</v>
      </c>
      <c r="E7" s="411" t="s">
        <v>181</v>
      </c>
      <c r="F7" s="411" t="s">
        <v>40</v>
      </c>
      <c r="G7" s="413">
        <v>415</v>
      </c>
      <c r="H7" s="414">
        <v>1</v>
      </c>
      <c r="I7" s="415">
        <f t="shared" si="0"/>
        <v>415</v>
      </c>
    </row>
    <row r="8" spans="2:9" x14ac:dyDescent="0.35">
      <c r="B8" s="411" t="s">
        <v>182</v>
      </c>
      <c r="C8" s="411" t="s">
        <v>180</v>
      </c>
      <c r="D8" s="412" t="s">
        <v>185</v>
      </c>
      <c r="E8" s="411" t="s">
        <v>181</v>
      </c>
      <c r="F8" s="411" t="s">
        <v>40</v>
      </c>
      <c r="G8" s="413">
        <v>415</v>
      </c>
      <c r="H8" s="414">
        <v>1</v>
      </c>
      <c r="I8" s="415">
        <f t="shared" si="0"/>
        <v>415</v>
      </c>
    </row>
    <row r="9" spans="2:9" x14ac:dyDescent="0.35">
      <c r="B9" s="411" t="s">
        <v>182</v>
      </c>
      <c r="C9" s="411" t="s">
        <v>180</v>
      </c>
      <c r="D9" s="412" t="s">
        <v>186</v>
      </c>
      <c r="E9" s="411" t="s">
        <v>181</v>
      </c>
      <c r="F9" s="411" t="s">
        <v>40</v>
      </c>
      <c r="G9" s="413">
        <v>415</v>
      </c>
      <c r="H9" s="414">
        <v>1</v>
      </c>
      <c r="I9" s="415">
        <f t="shared" si="0"/>
        <v>415</v>
      </c>
    </row>
    <row r="10" spans="2:9" x14ac:dyDescent="0.35">
      <c r="B10" s="411" t="s">
        <v>182</v>
      </c>
      <c r="C10" s="411" t="s">
        <v>180</v>
      </c>
      <c r="D10" s="412" t="s">
        <v>187</v>
      </c>
      <c r="E10" s="411" t="s">
        <v>181</v>
      </c>
      <c r="F10" s="411" t="s">
        <v>40</v>
      </c>
      <c r="G10" s="413">
        <v>415</v>
      </c>
      <c r="H10" s="414">
        <v>1</v>
      </c>
      <c r="I10" s="415">
        <f t="shared" si="0"/>
        <v>415</v>
      </c>
    </row>
    <row r="11" spans="2:9" x14ac:dyDescent="0.35">
      <c r="B11" s="411" t="s">
        <v>182</v>
      </c>
      <c r="C11" s="411" t="s">
        <v>180</v>
      </c>
      <c r="D11" s="412" t="s">
        <v>188</v>
      </c>
      <c r="E11" s="411" t="s">
        <v>181</v>
      </c>
      <c r="F11" s="411" t="s">
        <v>40</v>
      </c>
      <c r="G11" s="413">
        <v>415</v>
      </c>
      <c r="H11" s="414">
        <v>1</v>
      </c>
      <c r="I11" s="415">
        <f t="shared" si="0"/>
        <v>415</v>
      </c>
    </row>
    <row r="12" spans="2:9" x14ac:dyDescent="0.35">
      <c r="B12" s="411" t="s">
        <v>182</v>
      </c>
      <c r="C12" s="411" t="s">
        <v>180</v>
      </c>
      <c r="D12" s="412" t="s">
        <v>189</v>
      </c>
      <c r="E12" s="411" t="s">
        <v>181</v>
      </c>
      <c r="F12" s="411" t="s">
        <v>40</v>
      </c>
      <c r="G12" s="413">
        <v>415</v>
      </c>
      <c r="H12" s="414">
        <v>1</v>
      </c>
      <c r="I12" s="415">
        <f t="shared" si="0"/>
        <v>415</v>
      </c>
    </row>
    <row r="13" spans="2:9" x14ac:dyDescent="0.35">
      <c r="B13" s="411" t="s">
        <v>182</v>
      </c>
      <c r="C13" s="411" t="s">
        <v>180</v>
      </c>
      <c r="D13" s="412" t="s">
        <v>190</v>
      </c>
      <c r="E13" s="411" t="s">
        <v>181</v>
      </c>
      <c r="F13" s="411" t="s">
        <v>40</v>
      </c>
      <c r="G13" s="413">
        <v>415</v>
      </c>
      <c r="H13" s="414">
        <v>1</v>
      </c>
      <c r="I13" s="415">
        <f t="shared" si="0"/>
        <v>415</v>
      </c>
    </row>
    <row r="14" spans="2:9" x14ac:dyDescent="0.35">
      <c r="B14" s="411" t="s">
        <v>182</v>
      </c>
      <c r="C14" s="411" t="s">
        <v>180</v>
      </c>
      <c r="D14" s="412" t="s">
        <v>191</v>
      </c>
      <c r="E14" s="411" t="s">
        <v>181</v>
      </c>
      <c r="F14" s="411" t="s">
        <v>40</v>
      </c>
      <c r="G14" s="413">
        <v>415</v>
      </c>
      <c r="H14" s="414">
        <v>1</v>
      </c>
      <c r="I14" s="415">
        <f t="shared" si="0"/>
        <v>415</v>
      </c>
    </row>
    <row r="15" spans="2:9" x14ac:dyDescent="0.35">
      <c r="B15" s="411" t="s">
        <v>182</v>
      </c>
      <c r="C15" s="411" t="s">
        <v>180</v>
      </c>
      <c r="D15" s="412" t="s">
        <v>192</v>
      </c>
      <c r="E15" s="411" t="s">
        <v>181</v>
      </c>
      <c r="F15" s="411" t="s">
        <v>40</v>
      </c>
      <c r="G15" s="413">
        <v>415</v>
      </c>
      <c r="H15" s="414">
        <v>1</v>
      </c>
      <c r="I15" s="415">
        <f t="shared" si="0"/>
        <v>415</v>
      </c>
    </row>
    <row r="16" spans="2:9" x14ac:dyDescent="0.35">
      <c r="B16" s="411" t="s">
        <v>182</v>
      </c>
      <c r="C16" s="411" t="s">
        <v>180</v>
      </c>
      <c r="D16" s="412" t="s">
        <v>193</v>
      </c>
      <c r="E16" s="411" t="s">
        <v>181</v>
      </c>
      <c r="F16" s="411" t="s">
        <v>40</v>
      </c>
      <c r="G16" s="413">
        <v>255</v>
      </c>
      <c r="H16" s="414">
        <v>1</v>
      </c>
      <c r="I16" s="415">
        <f t="shared" si="0"/>
        <v>255</v>
      </c>
    </row>
    <row r="17" spans="2:9" x14ac:dyDescent="0.35">
      <c r="B17" s="411" t="s">
        <v>182</v>
      </c>
      <c r="C17" s="411" t="s">
        <v>180</v>
      </c>
      <c r="D17" s="412" t="s">
        <v>194</v>
      </c>
      <c r="E17" s="411" t="s">
        <v>181</v>
      </c>
      <c r="F17" s="411" t="s">
        <v>40</v>
      </c>
      <c r="G17" s="413">
        <v>415</v>
      </c>
      <c r="H17" s="414">
        <v>1</v>
      </c>
      <c r="I17" s="415">
        <f t="shared" si="0"/>
        <v>415</v>
      </c>
    </row>
    <row r="18" spans="2:9" x14ac:dyDescent="0.35">
      <c r="B18" s="411" t="s">
        <v>182</v>
      </c>
      <c r="C18" s="411" t="s">
        <v>180</v>
      </c>
      <c r="D18" s="412" t="s">
        <v>183</v>
      </c>
      <c r="E18" s="411" t="s">
        <v>181</v>
      </c>
      <c r="F18" s="411" t="s">
        <v>352</v>
      </c>
      <c r="G18" s="413">
        <v>415</v>
      </c>
      <c r="H18" s="414">
        <v>1</v>
      </c>
      <c r="I18" s="415">
        <f t="shared" ref="I18:I29" si="1">G18*H18</f>
        <v>415</v>
      </c>
    </row>
    <row r="19" spans="2:9" x14ac:dyDescent="0.35">
      <c r="B19" s="411" t="s">
        <v>182</v>
      </c>
      <c r="C19" s="411" t="s">
        <v>180</v>
      </c>
      <c r="D19" s="412" t="s">
        <v>184</v>
      </c>
      <c r="E19" s="411" t="s">
        <v>181</v>
      </c>
      <c r="F19" s="411" t="s">
        <v>352</v>
      </c>
      <c r="G19" s="413">
        <v>415</v>
      </c>
      <c r="H19" s="414">
        <v>1</v>
      </c>
      <c r="I19" s="415">
        <f t="shared" si="1"/>
        <v>415</v>
      </c>
    </row>
    <row r="20" spans="2:9" x14ac:dyDescent="0.35">
      <c r="B20" s="411" t="s">
        <v>182</v>
      </c>
      <c r="C20" s="411" t="s">
        <v>180</v>
      </c>
      <c r="D20" s="412" t="s">
        <v>185</v>
      </c>
      <c r="E20" s="411" t="s">
        <v>181</v>
      </c>
      <c r="F20" s="411" t="s">
        <v>352</v>
      </c>
      <c r="G20" s="413">
        <v>415</v>
      </c>
      <c r="H20" s="414">
        <v>1</v>
      </c>
      <c r="I20" s="415">
        <f t="shared" si="1"/>
        <v>415</v>
      </c>
    </row>
    <row r="21" spans="2:9" x14ac:dyDescent="0.35">
      <c r="B21" s="411" t="s">
        <v>182</v>
      </c>
      <c r="C21" s="411" t="s">
        <v>180</v>
      </c>
      <c r="D21" s="412" t="s">
        <v>186</v>
      </c>
      <c r="E21" s="411" t="s">
        <v>181</v>
      </c>
      <c r="F21" s="411" t="s">
        <v>352</v>
      </c>
      <c r="G21" s="413">
        <v>415</v>
      </c>
      <c r="H21" s="414">
        <v>1</v>
      </c>
      <c r="I21" s="415">
        <f t="shared" si="1"/>
        <v>415</v>
      </c>
    </row>
    <row r="22" spans="2:9" x14ac:dyDescent="0.35">
      <c r="B22" s="411" t="s">
        <v>182</v>
      </c>
      <c r="C22" s="411" t="s">
        <v>180</v>
      </c>
      <c r="D22" s="412" t="s">
        <v>187</v>
      </c>
      <c r="E22" s="411" t="s">
        <v>181</v>
      </c>
      <c r="F22" s="411" t="s">
        <v>352</v>
      </c>
      <c r="G22" s="413">
        <v>415</v>
      </c>
      <c r="H22" s="414">
        <v>1</v>
      </c>
      <c r="I22" s="415">
        <f t="shared" si="1"/>
        <v>415</v>
      </c>
    </row>
    <row r="23" spans="2:9" x14ac:dyDescent="0.35">
      <c r="B23" s="411" t="s">
        <v>182</v>
      </c>
      <c r="C23" s="411" t="s">
        <v>180</v>
      </c>
      <c r="D23" s="412" t="s">
        <v>188</v>
      </c>
      <c r="E23" s="411" t="s">
        <v>181</v>
      </c>
      <c r="F23" s="411" t="s">
        <v>352</v>
      </c>
      <c r="G23" s="413">
        <v>415</v>
      </c>
      <c r="H23" s="414">
        <v>1</v>
      </c>
      <c r="I23" s="415">
        <f t="shared" si="1"/>
        <v>415</v>
      </c>
    </row>
    <row r="24" spans="2:9" x14ac:dyDescent="0.35">
      <c r="B24" s="411" t="s">
        <v>182</v>
      </c>
      <c r="C24" s="411" t="s">
        <v>180</v>
      </c>
      <c r="D24" s="412" t="s">
        <v>189</v>
      </c>
      <c r="E24" s="411" t="s">
        <v>181</v>
      </c>
      <c r="F24" s="411" t="s">
        <v>352</v>
      </c>
      <c r="G24" s="413">
        <v>415</v>
      </c>
      <c r="H24" s="414">
        <v>1</v>
      </c>
      <c r="I24" s="415">
        <f t="shared" si="1"/>
        <v>415</v>
      </c>
    </row>
    <row r="25" spans="2:9" x14ac:dyDescent="0.35">
      <c r="B25" s="411" t="s">
        <v>182</v>
      </c>
      <c r="C25" s="411" t="s">
        <v>180</v>
      </c>
      <c r="D25" s="412" t="s">
        <v>190</v>
      </c>
      <c r="E25" s="411" t="s">
        <v>181</v>
      </c>
      <c r="F25" s="411" t="s">
        <v>352</v>
      </c>
      <c r="G25" s="413">
        <v>415</v>
      </c>
      <c r="H25" s="414">
        <v>1</v>
      </c>
      <c r="I25" s="415">
        <f t="shared" si="1"/>
        <v>415</v>
      </c>
    </row>
    <row r="26" spans="2:9" x14ac:dyDescent="0.35">
      <c r="B26" s="411" t="s">
        <v>182</v>
      </c>
      <c r="C26" s="411" t="s">
        <v>180</v>
      </c>
      <c r="D26" s="412" t="s">
        <v>191</v>
      </c>
      <c r="E26" s="411" t="s">
        <v>181</v>
      </c>
      <c r="F26" s="411" t="s">
        <v>352</v>
      </c>
      <c r="G26" s="413">
        <v>415</v>
      </c>
      <c r="H26" s="414">
        <v>1</v>
      </c>
      <c r="I26" s="415">
        <f t="shared" si="1"/>
        <v>415</v>
      </c>
    </row>
    <row r="27" spans="2:9" x14ac:dyDescent="0.35">
      <c r="B27" s="411" t="s">
        <v>182</v>
      </c>
      <c r="C27" s="411" t="s">
        <v>180</v>
      </c>
      <c r="D27" s="412" t="s">
        <v>192</v>
      </c>
      <c r="E27" s="411" t="s">
        <v>181</v>
      </c>
      <c r="F27" s="411" t="s">
        <v>352</v>
      </c>
      <c r="G27" s="413">
        <v>415</v>
      </c>
      <c r="H27" s="414">
        <v>1</v>
      </c>
      <c r="I27" s="415">
        <f t="shared" si="1"/>
        <v>415</v>
      </c>
    </row>
    <row r="28" spans="2:9" x14ac:dyDescent="0.35">
      <c r="B28" s="411" t="s">
        <v>182</v>
      </c>
      <c r="C28" s="411" t="s">
        <v>180</v>
      </c>
      <c r="D28" s="412" t="s">
        <v>193</v>
      </c>
      <c r="E28" s="411" t="s">
        <v>181</v>
      </c>
      <c r="F28" s="411" t="s">
        <v>352</v>
      </c>
      <c r="G28" s="413">
        <v>255</v>
      </c>
      <c r="H28" s="414">
        <v>1</v>
      </c>
      <c r="I28" s="415">
        <f t="shared" si="1"/>
        <v>255</v>
      </c>
    </row>
    <row r="29" spans="2:9" x14ac:dyDescent="0.35">
      <c r="B29" s="411" t="s">
        <v>182</v>
      </c>
      <c r="C29" s="411" t="s">
        <v>180</v>
      </c>
      <c r="D29" s="412" t="s">
        <v>194</v>
      </c>
      <c r="E29" s="411" t="s">
        <v>181</v>
      </c>
      <c r="F29" s="411" t="s">
        <v>352</v>
      </c>
      <c r="G29" s="413">
        <v>415</v>
      </c>
      <c r="H29" s="414">
        <v>1</v>
      </c>
      <c r="I29" s="415">
        <f t="shared" si="1"/>
        <v>415</v>
      </c>
    </row>
    <row r="30" spans="2:9" x14ac:dyDescent="0.35">
      <c r="B30" s="418"/>
      <c r="C30" s="418"/>
      <c r="D30" s="418"/>
      <c r="E30" s="418"/>
      <c r="F30" s="418"/>
      <c r="G30" s="416"/>
      <c r="H30" s="417">
        <v>1</v>
      </c>
      <c r="I30" s="416">
        <f>SUM(I6:I29)</f>
        <v>9640</v>
      </c>
    </row>
    <row r="31" spans="2:9" x14ac:dyDescent="0.35">
      <c r="B31" s="411" t="s">
        <v>17</v>
      </c>
      <c r="C31" s="411" t="s">
        <v>180</v>
      </c>
      <c r="D31" s="528" t="s">
        <v>335</v>
      </c>
      <c r="E31" s="411" t="s">
        <v>181</v>
      </c>
      <c r="F31" s="411" t="s">
        <v>40</v>
      </c>
      <c r="G31" s="413">
        <v>255</v>
      </c>
      <c r="H31" s="414">
        <v>1</v>
      </c>
      <c r="I31" s="415">
        <f t="shared" ref="I31:I36" si="2">G31*H31</f>
        <v>255</v>
      </c>
    </row>
    <row r="32" spans="2:9" x14ac:dyDescent="0.35">
      <c r="B32" s="411" t="s">
        <v>17</v>
      </c>
      <c r="C32" s="411" t="s">
        <v>180</v>
      </c>
      <c r="D32" s="528" t="s">
        <v>336</v>
      </c>
      <c r="E32" s="411" t="s">
        <v>181</v>
      </c>
      <c r="F32" s="411" t="s">
        <v>40</v>
      </c>
      <c r="G32" s="413">
        <v>415</v>
      </c>
      <c r="H32" s="414">
        <v>1</v>
      </c>
      <c r="I32" s="415">
        <f t="shared" si="2"/>
        <v>415</v>
      </c>
    </row>
    <row r="33" spans="2:9" x14ac:dyDescent="0.35">
      <c r="B33" s="411" t="s">
        <v>17</v>
      </c>
      <c r="C33" s="411" t="s">
        <v>180</v>
      </c>
      <c r="D33" s="528" t="s">
        <v>337</v>
      </c>
      <c r="E33" s="411" t="s">
        <v>181</v>
      </c>
      <c r="F33" s="411" t="s">
        <v>40</v>
      </c>
      <c r="G33" s="413">
        <v>415</v>
      </c>
      <c r="H33" s="414">
        <v>1</v>
      </c>
      <c r="I33" s="415">
        <f t="shared" si="2"/>
        <v>415</v>
      </c>
    </row>
    <row r="34" spans="2:9" x14ac:dyDescent="0.35">
      <c r="B34" s="411" t="s">
        <v>17</v>
      </c>
      <c r="C34" s="411" t="s">
        <v>180</v>
      </c>
      <c r="D34" s="528" t="s">
        <v>338</v>
      </c>
      <c r="E34" s="411" t="s">
        <v>181</v>
      </c>
      <c r="F34" s="411" t="s">
        <v>40</v>
      </c>
      <c r="G34" s="413">
        <v>415</v>
      </c>
      <c r="H34" s="414">
        <v>1</v>
      </c>
      <c r="I34" s="415">
        <f t="shared" si="2"/>
        <v>415</v>
      </c>
    </row>
    <row r="35" spans="2:9" x14ac:dyDescent="0.35">
      <c r="B35" s="411" t="s">
        <v>17</v>
      </c>
      <c r="C35" s="411" t="s">
        <v>180</v>
      </c>
      <c r="D35" s="528" t="s">
        <v>318</v>
      </c>
      <c r="E35" s="411" t="s">
        <v>181</v>
      </c>
      <c r="F35" s="411" t="s">
        <v>40</v>
      </c>
      <c r="G35" s="413">
        <v>415</v>
      </c>
      <c r="H35" s="414">
        <v>1</v>
      </c>
      <c r="I35" s="415">
        <f t="shared" si="2"/>
        <v>415</v>
      </c>
    </row>
    <row r="36" spans="2:9" x14ac:dyDescent="0.35">
      <c r="B36" s="411" t="s">
        <v>17</v>
      </c>
      <c r="C36" s="411" t="s">
        <v>180</v>
      </c>
      <c r="D36" s="528" t="s">
        <v>316</v>
      </c>
      <c r="E36" s="411" t="s">
        <v>181</v>
      </c>
      <c r="F36" s="411" t="s">
        <v>40</v>
      </c>
      <c r="G36" s="413">
        <v>415</v>
      </c>
      <c r="H36" s="414">
        <v>1</v>
      </c>
      <c r="I36" s="415">
        <f t="shared" si="2"/>
        <v>415</v>
      </c>
    </row>
    <row r="37" spans="2:9" x14ac:dyDescent="0.35">
      <c r="B37" s="411" t="s">
        <v>17</v>
      </c>
      <c r="C37" s="411" t="s">
        <v>180</v>
      </c>
      <c r="D37" s="528" t="s">
        <v>335</v>
      </c>
      <c r="E37" s="411" t="s">
        <v>181</v>
      </c>
      <c r="F37" s="411" t="s">
        <v>352</v>
      </c>
      <c r="G37" s="413">
        <v>255</v>
      </c>
      <c r="H37" s="414">
        <v>1</v>
      </c>
      <c r="I37" s="415">
        <f t="shared" ref="I37:I42" si="3">G37*H37</f>
        <v>255</v>
      </c>
    </row>
    <row r="38" spans="2:9" x14ac:dyDescent="0.35">
      <c r="B38" s="411" t="s">
        <v>17</v>
      </c>
      <c r="C38" s="411" t="s">
        <v>180</v>
      </c>
      <c r="D38" s="528" t="s">
        <v>336</v>
      </c>
      <c r="E38" s="411" t="s">
        <v>181</v>
      </c>
      <c r="F38" s="411" t="s">
        <v>352</v>
      </c>
      <c r="G38" s="413">
        <v>415</v>
      </c>
      <c r="H38" s="414">
        <v>1</v>
      </c>
      <c r="I38" s="415">
        <f t="shared" si="3"/>
        <v>415</v>
      </c>
    </row>
    <row r="39" spans="2:9" x14ac:dyDescent="0.35">
      <c r="B39" s="411" t="s">
        <v>17</v>
      </c>
      <c r="C39" s="411" t="s">
        <v>180</v>
      </c>
      <c r="D39" s="528" t="s">
        <v>337</v>
      </c>
      <c r="E39" s="411" t="s">
        <v>181</v>
      </c>
      <c r="F39" s="411" t="s">
        <v>352</v>
      </c>
      <c r="G39" s="413">
        <v>415</v>
      </c>
      <c r="H39" s="414">
        <v>1</v>
      </c>
      <c r="I39" s="415">
        <f t="shared" si="3"/>
        <v>415</v>
      </c>
    </row>
    <row r="40" spans="2:9" x14ac:dyDescent="0.35">
      <c r="B40" s="411" t="s">
        <v>17</v>
      </c>
      <c r="C40" s="411" t="s">
        <v>180</v>
      </c>
      <c r="D40" s="528" t="s">
        <v>338</v>
      </c>
      <c r="E40" s="411" t="s">
        <v>181</v>
      </c>
      <c r="F40" s="411" t="s">
        <v>352</v>
      </c>
      <c r="G40" s="413">
        <v>415</v>
      </c>
      <c r="H40" s="414">
        <v>1</v>
      </c>
      <c r="I40" s="415">
        <f t="shared" si="3"/>
        <v>415</v>
      </c>
    </row>
    <row r="41" spans="2:9" x14ac:dyDescent="0.35">
      <c r="B41" s="411" t="s">
        <v>17</v>
      </c>
      <c r="C41" s="411" t="s">
        <v>180</v>
      </c>
      <c r="D41" s="528" t="s">
        <v>318</v>
      </c>
      <c r="E41" s="411" t="s">
        <v>181</v>
      </c>
      <c r="F41" s="411" t="s">
        <v>352</v>
      </c>
      <c r="G41" s="413">
        <v>415</v>
      </c>
      <c r="H41" s="414">
        <v>1</v>
      </c>
      <c r="I41" s="415">
        <f t="shared" si="3"/>
        <v>415</v>
      </c>
    </row>
    <row r="42" spans="2:9" x14ac:dyDescent="0.35">
      <c r="B42" s="411" t="s">
        <v>17</v>
      </c>
      <c r="C42" s="411" t="s">
        <v>180</v>
      </c>
      <c r="D42" s="528" t="s">
        <v>316</v>
      </c>
      <c r="E42" s="411" t="s">
        <v>181</v>
      </c>
      <c r="F42" s="411" t="s">
        <v>352</v>
      </c>
      <c r="G42" s="413">
        <v>415</v>
      </c>
      <c r="H42" s="414">
        <v>1</v>
      </c>
      <c r="I42" s="415">
        <f t="shared" si="3"/>
        <v>415</v>
      </c>
    </row>
    <row r="43" spans="2:9" x14ac:dyDescent="0.35">
      <c r="B43" s="418"/>
      <c r="C43" s="418"/>
      <c r="D43" s="418"/>
      <c r="E43" s="418"/>
      <c r="F43" s="418"/>
      <c r="G43" s="416"/>
      <c r="H43" s="417">
        <v>1</v>
      </c>
      <c r="I43" s="416">
        <f>SUM(I31:I42)</f>
        <v>4660</v>
      </c>
    </row>
    <row r="44" spans="2:9" x14ac:dyDescent="0.35">
      <c r="B44" s="411" t="s">
        <v>261</v>
      </c>
      <c r="C44" s="411" t="s">
        <v>180</v>
      </c>
      <c r="D44" s="528" t="s">
        <v>340</v>
      </c>
      <c r="E44" s="411" t="s">
        <v>181</v>
      </c>
      <c r="F44" s="411" t="s">
        <v>40</v>
      </c>
      <c r="G44" s="413">
        <v>255</v>
      </c>
      <c r="H44" s="414">
        <v>1</v>
      </c>
      <c r="I44" s="415">
        <f>G44*H44</f>
        <v>255</v>
      </c>
    </row>
    <row r="45" spans="2:9" x14ac:dyDescent="0.35">
      <c r="B45" s="411" t="s">
        <v>261</v>
      </c>
      <c r="C45" s="411" t="s">
        <v>180</v>
      </c>
      <c r="D45" s="528" t="s">
        <v>339</v>
      </c>
      <c r="E45" s="411" t="s">
        <v>181</v>
      </c>
      <c r="F45" s="411" t="s">
        <v>40</v>
      </c>
      <c r="G45" s="413">
        <v>415</v>
      </c>
      <c r="H45" s="414">
        <v>1</v>
      </c>
      <c r="I45" s="415">
        <f t="shared" ref="I45:I50" si="4">G45*H45</f>
        <v>415</v>
      </c>
    </row>
    <row r="46" spans="2:9" x14ac:dyDescent="0.35">
      <c r="B46" s="411" t="s">
        <v>261</v>
      </c>
      <c r="C46" s="411" t="s">
        <v>180</v>
      </c>
      <c r="D46" s="528" t="s">
        <v>341</v>
      </c>
      <c r="E46" s="411" t="s">
        <v>181</v>
      </c>
      <c r="F46" s="411" t="s">
        <v>40</v>
      </c>
      <c r="G46" s="413">
        <v>415</v>
      </c>
      <c r="H46" s="414">
        <v>1</v>
      </c>
      <c r="I46" s="415">
        <f t="shared" si="4"/>
        <v>415</v>
      </c>
    </row>
    <row r="47" spans="2:9" x14ac:dyDescent="0.35">
      <c r="B47" s="411" t="s">
        <v>261</v>
      </c>
      <c r="C47" s="411" t="s">
        <v>180</v>
      </c>
      <c r="D47" s="528" t="s">
        <v>342</v>
      </c>
      <c r="E47" s="411" t="s">
        <v>181</v>
      </c>
      <c r="F47" s="411" t="s">
        <v>40</v>
      </c>
      <c r="G47" s="413">
        <v>415</v>
      </c>
      <c r="H47" s="414">
        <v>1</v>
      </c>
      <c r="I47" s="415">
        <f t="shared" si="4"/>
        <v>415</v>
      </c>
    </row>
    <row r="48" spans="2:9" x14ac:dyDescent="0.35">
      <c r="B48" s="411" t="s">
        <v>261</v>
      </c>
      <c r="C48" s="411" t="s">
        <v>180</v>
      </c>
      <c r="D48" s="528" t="s">
        <v>343</v>
      </c>
      <c r="E48" s="411" t="s">
        <v>181</v>
      </c>
      <c r="F48" s="411" t="s">
        <v>40</v>
      </c>
      <c r="G48" s="413">
        <v>415</v>
      </c>
      <c r="H48" s="414">
        <v>1</v>
      </c>
      <c r="I48" s="415">
        <f t="shared" si="4"/>
        <v>415</v>
      </c>
    </row>
    <row r="49" spans="2:9" x14ac:dyDescent="0.35">
      <c r="B49" s="411" t="s">
        <v>261</v>
      </c>
      <c r="C49" s="411" t="s">
        <v>180</v>
      </c>
      <c r="D49" s="528" t="s">
        <v>344</v>
      </c>
      <c r="E49" s="411" t="s">
        <v>181</v>
      </c>
      <c r="F49" s="411" t="s">
        <v>40</v>
      </c>
      <c r="G49" s="413">
        <v>415</v>
      </c>
      <c r="H49" s="414">
        <v>1</v>
      </c>
      <c r="I49" s="415">
        <f t="shared" si="4"/>
        <v>415</v>
      </c>
    </row>
    <row r="50" spans="2:9" x14ac:dyDescent="0.35">
      <c r="B50" s="411" t="s">
        <v>261</v>
      </c>
      <c r="C50" s="411" t="s">
        <v>180</v>
      </c>
      <c r="D50" s="528" t="s">
        <v>345</v>
      </c>
      <c r="E50" s="411" t="s">
        <v>181</v>
      </c>
      <c r="F50" s="411" t="s">
        <v>40</v>
      </c>
      <c r="G50" s="413">
        <v>415</v>
      </c>
      <c r="H50" s="414">
        <v>1</v>
      </c>
      <c r="I50" s="415">
        <f t="shared" si="4"/>
        <v>415</v>
      </c>
    </row>
    <row r="51" spans="2:9" x14ac:dyDescent="0.35">
      <c r="B51" s="411" t="s">
        <v>261</v>
      </c>
      <c r="C51" s="411" t="s">
        <v>180</v>
      </c>
      <c r="D51" s="528" t="s">
        <v>340</v>
      </c>
      <c r="E51" s="411" t="s">
        <v>181</v>
      </c>
      <c r="F51" s="411" t="s">
        <v>352</v>
      </c>
      <c r="G51" s="413">
        <v>255</v>
      </c>
      <c r="H51" s="414">
        <v>1</v>
      </c>
      <c r="I51" s="415">
        <f>G51*H51</f>
        <v>255</v>
      </c>
    </row>
    <row r="52" spans="2:9" x14ac:dyDescent="0.35">
      <c r="B52" s="411" t="s">
        <v>261</v>
      </c>
      <c r="C52" s="411" t="s">
        <v>180</v>
      </c>
      <c r="D52" s="528" t="s">
        <v>339</v>
      </c>
      <c r="E52" s="411" t="s">
        <v>181</v>
      </c>
      <c r="F52" s="411" t="s">
        <v>352</v>
      </c>
      <c r="G52" s="413">
        <v>415</v>
      </c>
      <c r="H52" s="414">
        <v>1</v>
      </c>
      <c r="I52" s="415">
        <f t="shared" ref="I52:I57" si="5">G52*H52</f>
        <v>415</v>
      </c>
    </row>
    <row r="53" spans="2:9" x14ac:dyDescent="0.35">
      <c r="B53" s="411" t="s">
        <v>261</v>
      </c>
      <c r="C53" s="411" t="s">
        <v>180</v>
      </c>
      <c r="D53" s="528" t="s">
        <v>341</v>
      </c>
      <c r="E53" s="411" t="s">
        <v>181</v>
      </c>
      <c r="F53" s="411" t="s">
        <v>352</v>
      </c>
      <c r="G53" s="413">
        <v>415</v>
      </c>
      <c r="H53" s="414">
        <v>1</v>
      </c>
      <c r="I53" s="415">
        <f t="shared" si="5"/>
        <v>415</v>
      </c>
    </row>
    <row r="54" spans="2:9" x14ac:dyDescent="0.35">
      <c r="B54" s="411" t="s">
        <v>261</v>
      </c>
      <c r="C54" s="411" t="s">
        <v>180</v>
      </c>
      <c r="D54" s="528" t="s">
        <v>342</v>
      </c>
      <c r="E54" s="411" t="s">
        <v>181</v>
      </c>
      <c r="F54" s="411" t="s">
        <v>352</v>
      </c>
      <c r="G54" s="413">
        <v>415</v>
      </c>
      <c r="H54" s="414">
        <v>1</v>
      </c>
      <c r="I54" s="415">
        <f t="shared" si="5"/>
        <v>415</v>
      </c>
    </row>
    <row r="55" spans="2:9" x14ac:dyDescent="0.35">
      <c r="B55" s="411" t="s">
        <v>261</v>
      </c>
      <c r="C55" s="411" t="s">
        <v>180</v>
      </c>
      <c r="D55" s="528" t="s">
        <v>343</v>
      </c>
      <c r="E55" s="411" t="s">
        <v>181</v>
      </c>
      <c r="F55" s="411" t="s">
        <v>352</v>
      </c>
      <c r="G55" s="413">
        <v>415</v>
      </c>
      <c r="H55" s="414">
        <v>1</v>
      </c>
      <c r="I55" s="415">
        <f t="shared" si="5"/>
        <v>415</v>
      </c>
    </row>
    <row r="56" spans="2:9" x14ac:dyDescent="0.35">
      <c r="B56" s="411" t="s">
        <v>261</v>
      </c>
      <c r="C56" s="411" t="s">
        <v>180</v>
      </c>
      <c r="D56" s="528" t="s">
        <v>344</v>
      </c>
      <c r="E56" s="411" t="s">
        <v>181</v>
      </c>
      <c r="F56" s="411" t="s">
        <v>352</v>
      </c>
      <c r="G56" s="413">
        <v>415</v>
      </c>
      <c r="H56" s="414">
        <v>1</v>
      </c>
      <c r="I56" s="415">
        <f t="shared" ref="I56" si="6">G56*H56</f>
        <v>415</v>
      </c>
    </row>
    <row r="57" spans="2:9" x14ac:dyDescent="0.35">
      <c r="B57" s="411" t="s">
        <v>261</v>
      </c>
      <c r="C57" s="411" t="s">
        <v>180</v>
      </c>
      <c r="D57" s="528" t="s">
        <v>345</v>
      </c>
      <c r="E57" s="411" t="s">
        <v>181</v>
      </c>
      <c r="F57" s="411" t="s">
        <v>352</v>
      </c>
      <c r="G57" s="413">
        <v>415</v>
      </c>
      <c r="H57" s="414">
        <v>1</v>
      </c>
      <c r="I57" s="415">
        <f t="shared" si="5"/>
        <v>415</v>
      </c>
    </row>
    <row r="58" spans="2:9" x14ac:dyDescent="0.35">
      <c r="B58" s="418"/>
      <c r="C58" s="418"/>
      <c r="D58" s="418"/>
      <c r="E58" s="418"/>
      <c r="F58" s="418"/>
      <c r="G58" s="416"/>
      <c r="H58" s="417">
        <v>1</v>
      </c>
      <c r="I58" s="416">
        <f>SUM(I44:I57)</f>
        <v>5490</v>
      </c>
    </row>
    <row r="59" spans="2:9" x14ac:dyDescent="0.35">
      <c r="B59" s="528" t="s">
        <v>254</v>
      </c>
      <c r="C59" s="411" t="s">
        <v>180</v>
      </c>
      <c r="D59" s="528" t="s">
        <v>235</v>
      </c>
      <c r="E59" s="411" t="s">
        <v>181</v>
      </c>
      <c r="F59" s="411" t="s">
        <v>40</v>
      </c>
      <c r="G59" s="413">
        <v>255</v>
      </c>
      <c r="H59" s="414">
        <v>1</v>
      </c>
      <c r="I59" s="415">
        <f t="shared" ref="I59:I64" si="7">G59*H59</f>
        <v>255</v>
      </c>
    </row>
    <row r="60" spans="2:9" x14ac:dyDescent="0.35">
      <c r="B60" s="528" t="s">
        <v>254</v>
      </c>
      <c r="C60" s="411" t="s">
        <v>180</v>
      </c>
      <c r="D60" s="528" t="s">
        <v>346</v>
      </c>
      <c r="E60" s="411" t="s">
        <v>181</v>
      </c>
      <c r="F60" s="411" t="s">
        <v>40</v>
      </c>
      <c r="G60" s="413">
        <v>415</v>
      </c>
      <c r="H60" s="414">
        <v>1</v>
      </c>
      <c r="I60" s="415">
        <f t="shared" si="7"/>
        <v>415</v>
      </c>
    </row>
    <row r="61" spans="2:9" x14ac:dyDescent="0.35">
      <c r="B61" s="528" t="s">
        <v>254</v>
      </c>
      <c r="C61" s="411" t="s">
        <v>180</v>
      </c>
      <c r="D61" s="528" t="s">
        <v>316</v>
      </c>
      <c r="E61" s="411" t="s">
        <v>181</v>
      </c>
      <c r="F61" s="411" t="s">
        <v>40</v>
      </c>
      <c r="G61" s="413">
        <v>415</v>
      </c>
      <c r="H61" s="414">
        <v>1</v>
      </c>
      <c r="I61" s="415">
        <f t="shared" si="7"/>
        <v>415</v>
      </c>
    </row>
    <row r="62" spans="2:9" x14ac:dyDescent="0.35">
      <c r="B62" s="528" t="s">
        <v>254</v>
      </c>
      <c r="C62" s="411" t="s">
        <v>180</v>
      </c>
      <c r="D62" s="528" t="s">
        <v>347</v>
      </c>
      <c r="E62" s="411" t="s">
        <v>181</v>
      </c>
      <c r="F62" s="411" t="s">
        <v>40</v>
      </c>
      <c r="G62" s="413">
        <v>415</v>
      </c>
      <c r="H62" s="414">
        <v>1</v>
      </c>
      <c r="I62" s="415">
        <f t="shared" si="7"/>
        <v>415</v>
      </c>
    </row>
    <row r="63" spans="2:9" x14ac:dyDescent="0.35">
      <c r="B63" s="528" t="s">
        <v>254</v>
      </c>
      <c r="C63" s="411" t="s">
        <v>180</v>
      </c>
      <c r="D63" s="528" t="s">
        <v>348</v>
      </c>
      <c r="E63" s="411" t="s">
        <v>181</v>
      </c>
      <c r="F63" s="411" t="s">
        <v>40</v>
      </c>
      <c r="G63" s="413">
        <v>415</v>
      </c>
      <c r="H63" s="414">
        <v>1</v>
      </c>
      <c r="I63" s="415">
        <f t="shared" si="7"/>
        <v>415</v>
      </c>
    </row>
    <row r="64" spans="2:9" x14ac:dyDescent="0.35">
      <c r="B64" s="528" t="s">
        <v>254</v>
      </c>
      <c r="C64" s="411" t="s">
        <v>180</v>
      </c>
      <c r="D64" s="528" t="s">
        <v>317</v>
      </c>
      <c r="E64" s="411" t="s">
        <v>181</v>
      </c>
      <c r="F64" s="411" t="s">
        <v>40</v>
      </c>
      <c r="G64" s="413">
        <v>415</v>
      </c>
      <c r="H64" s="414">
        <v>1</v>
      </c>
      <c r="I64" s="415">
        <f t="shared" si="7"/>
        <v>415</v>
      </c>
    </row>
    <row r="65" spans="2:9" x14ac:dyDescent="0.35">
      <c r="B65" s="528" t="s">
        <v>254</v>
      </c>
      <c r="C65" s="411" t="s">
        <v>180</v>
      </c>
      <c r="D65" s="528" t="s">
        <v>235</v>
      </c>
      <c r="E65" s="411" t="s">
        <v>181</v>
      </c>
      <c r="F65" s="411" t="s">
        <v>352</v>
      </c>
      <c r="G65" s="413">
        <v>255</v>
      </c>
      <c r="H65" s="414">
        <v>1</v>
      </c>
      <c r="I65" s="415">
        <f t="shared" ref="I65:I70" si="8">G65*H65</f>
        <v>255</v>
      </c>
    </row>
    <row r="66" spans="2:9" x14ac:dyDescent="0.35">
      <c r="B66" s="528" t="s">
        <v>254</v>
      </c>
      <c r="C66" s="411" t="s">
        <v>180</v>
      </c>
      <c r="D66" s="528" t="s">
        <v>346</v>
      </c>
      <c r="E66" s="411" t="s">
        <v>181</v>
      </c>
      <c r="F66" s="411" t="s">
        <v>352</v>
      </c>
      <c r="G66" s="413">
        <v>415</v>
      </c>
      <c r="H66" s="414">
        <v>1</v>
      </c>
      <c r="I66" s="415">
        <f t="shared" si="8"/>
        <v>415</v>
      </c>
    </row>
    <row r="67" spans="2:9" x14ac:dyDescent="0.35">
      <c r="B67" s="528" t="s">
        <v>254</v>
      </c>
      <c r="C67" s="411" t="s">
        <v>180</v>
      </c>
      <c r="D67" s="528" t="s">
        <v>316</v>
      </c>
      <c r="E67" s="411" t="s">
        <v>181</v>
      </c>
      <c r="F67" s="411" t="s">
        <v>352</v>
      </c>
      <c r="G67" s="413">
        <v>415</v>
      </c>
      <c r="H67" s="414">
        <v>1</v>
      </c>
      <c r="I67" s="415">
        <f t="shared" si="8"/>
        <v>415</v>
      </c>
    </row>
    <row r="68" spans="2:9" x14ac:dyDescent="0.35">
      <c r="B68" s="528" t="s">
        <v>254</v>
      </c>
      <c r="C68" s="411" t="s">
        <v>180</v>
      </c>
      <c r="D68" s="528" t="s">
        <v>347</v>
      </c>
      <c r="E68" s="411" t="s">
        <v>181</v>
      </c>
      <c r="F68" s="411" t="s">
        <v>352</v>
      </c>
      <c r="G68" s="413">
        <v>415</v>
      </c>
      <c r="H68" s="414">
        <v>1</v>
      </c>
      <c r="I68" s="415">
        <f t="shared" si="8"/>
        <v>415</v>
      </c>
    </row>
    <row r="69" spans="2:9" x14ac:dyDescent="0.35">
      <c r="B69" s="528" t="s">
        <v>254</v>
      </c>
      <c r="C69" s="411" t="s">
        <v>180</v>
      </c>
      <c r="D69" s="528" t="s">
        <v>348</v>
      </c>
      <c r="E69" s="411" t="s">
        <v>181</v>
      </c>
      <c r="F69" s="411" t="s">
        <v>352</v>
      </c>
      <c r="G69" s="413">
        <v>415</v>
      </c>
      <c r="H69" s="414">
        <v>1</v>
      </c>
      <c r="I69" s="415">
        <f t="shared" si="8"/>
        <v>415</v>
      </c>
    </row>
    <row r="70" spans="2:9" x14ac:dyDescent="0.35">
      <c r="B70" s="528" t="s">
        <v>254</v>
      </c>
      <c r="C70" s="411" t="s">
        <v>180</v>
      </c>
      <c r="D70" s="528" t="s">
        <v>317</v>
      </c>
      <c r="E70" s="411" t="s">
        <v>181</v>
      </c>
      <c r="F70" s="411" t="s">
        <v>352</v>
      </c>
      <c r="G70" s="413">
        <v>415</v>
      </c>
      <c r="H70" s="414">
        <v>1</v>
      </c>
      <c r="I70" s="415">
        <f t="shared" si="8"/>
        <v>415</v>
      </c>
    </row>
    <row r="71" spans="2:9" x14ac:dyDescent="0.35">
      <c r="B71" s="418"/>
      <c r="C71" s="418"/>
      <c r="D71" s="418"/>
      <c r="E71" s="418"/>
      <c r="F71" s="418"/>
      <c r="G71" s="416"/>
      <c r="H71" s="417">
        <v>1</v>
      </c>
      <c r="I71" s="416">
        <f>SUM(I59:I70)</f>
        <v>4660</v>
      </c>
    </row>
    <row r="72" spans="2:9" x14ac:dyDescent="0.35">
      <c r="B72" s="528" t="s">
        <v>279</v>
      </c>
      <c r="C72" s="411" t="s">
        <v>180</v>
      </c>
      <c r="D72" s="528" t="s">
        <v>128</v>
      </c>
      <c r="E72" s="411" t="s">
        <v>181</v>
      </c>
      <c r="F72" s="411" t="s">
        <v>40</v>
      </c>
      <c r="G72" s="413">
        <v>255</v>
      </c>
      <c r="H72" s="414">
        <v>1</v>
      </c>
      <c r="I72" s="415">
        <f t="shared" ref="I72" si="9">G72*H72</f>
        <v>255</v>
      </c>
    </row>
    <row r="73" spans="2:9" x14ac:dyDescent="0.35">
      <c r="B73" s="528" t="s">
        <v>279</v>
      </c>
      <c r="C73" s="411" t="s">
        <v>180</v>
      </c>
      <c r="D73" s="528" t="s">
        <v>128</v>
      </c>
      <c r="E73" s="411" t="s">
        <v>181</v>
      </c>
      <c r="F73" s="411" t="s">
        <v>352</v>
      </c>
      <c r="G73" s="413">
        <v>255</v>
      </c>
      <c r="H73" s="414">
        <v>1</v>
      </c>
      <c r="I73" s="415">
        <f t="shared" ref="I73" si="10">G73*H73</f>
        <v>255</v>
      </c>
    </row>
    <row r="74" spans="2:9" x14ac:dyDescent="0.35">
      <c r="B74" s="418"/>
      <c r="C74" s="418"/>
      <c r="D74" s="418"/>
      <c r="E74" s="418"/>
      <c r="F74" s="418"/>
      <c r="G74" s="416"/>
      <c r="H74" s="417">
        <v>1</v>
      </c>
      <c r="I74" s="416">
        <f>SUM(I72:I73)</f>
        <v>510</v>
      </c>
    </row>
    <row r="75" spans="2:9" x14ac:dyDescent="0.35">
      <c r="B75" s="528" t="s">
        <v>349</v>
      </c>
      <c r="C75" s="411" t="s">
        <v>180</v>
      </c>
      <c r="D75" s="528" t="s">
        <v>350</v>
      </c>
      <c r="E75" s="411" t="s">
        <v>181</v>
      </c>
      <c r="F75" s="411" t="s">
        <v>40</v>
      </c>
      <c r="G75" s="529">
        <v>240</v>
      </c>
      <c r="H75" s="414">
        <v>1</v>
      </c>
      <c r="I75" s="415">
        <f t="shared" ref="I75:I78" si="11">G75*H75</f>
        <v>240</v>
      </c>
    </row>
    <row r="76" spans="2:9" x14ac:dyDescent="0.35">
      <c r="B76" s="528" t="s">
        <v>349</v>
      </c>
      <c r="C76" s="411" t="s">
        <v>180</v>
      </c>
      <c r="D76" s="528" t="s">
        <v>350</v>
      </c>
      <c r="E76" s="411" t="s">
        <v>181</v>
      </c>
      <c r="F76" s="411" t="s">
        <v>352</v>
      </c>
      <c r="G76" s="529">
        <v>480</v>
      </c>
      <c r="H76" s="414">
        <v>1</v>
      </c>
      <c r="I76" s="415">
        <f t="shared" si="11"/>
        <v>480</v>
      </c>
    </row>
    <row r="77" spans="2:9" x14ac:dyDescent="0.35">
      <c r="B77" s="528" t="s">
        <v>349</v>
      </c>
      <c r="C77" s="411" t="s">
        <v>180</v>
      </c>
      <c r="D77" s="528" t="s">
        <v>351</v>
      </c>
      <c r="E77" s="411" t="s">
        <v>181</v>
      </c>
      <c r="F77" s="411" t="s">
        <v>40</v>
      </c>
      <c r="G77" s="529">
        <v>240</v>
      </c>
      <c r="H77" s="414">
        <v>1</v>
      </c>
      <c r="I77" s="415">
        <f t="shared" si="11"/>
        <v>240</v>
      </c>
    </row>
    <row r="78" spans="2:9" x14ac:dyDescent="0.35">
      <c r="B78" s="528" t="s">
        <v>349</v>
      </c>
      <c r="C78" s="411" t="s">
        <v>180</v>
      </c>
      <c r="D78" s="528" t="s">
        <v>351</v>
      </c>
      <c r="E78" s="411" t="s">
        <v>181</v>
      </c>
      <c r="F78" s="411" t="s">
        <v>352</v>
      </c>
      <c r="G78" s="529">
        <v>480</v>
      </c>
      <c r="H78" s="414">
        <v>1</v>
      </c>
      <c r="I78" s="415">
        <f t="shared" si="11"/>
        <v>480</v>
      </c>
    </row>
    <row r="79" spans="2:9" x14ac:dyDescent="0.35">
      <c r="B79" s="528" t="s">
        <v>349</v>
      </c>
      <c r="C79" s="411" t="s">
        <v>180</v>
      </c>
      <c r="D79" s="528" t="s">
        <v>322</v>
      </c>
      <c r="E79" s="411" t="s">
        <v>181</v>
      </c>
      <c r="F79" s="411" t="s">
        <v>40</v>
      </c>
      <c r="G79" s="529">
        <v>240</v>
      </c>
      <c r="H79" s="414">
        <v>1</v>
      </c>
      <c r="I79" s="415">
        <f t="shared" ref="I79:I84" si="12">G79*H79</f>
        <v>240</v>
      </c>
    </row>
    <row r="80" spans="2:9" x14ac:dyDescent="0.35">
      <c r="B80" s="528" t="s">
        <v>349</v>
      </c>
      <c r="C80" s="411" t="s">
        <v>180</v>
      </c>
      <c r="D80" s="528" t="s">
        <v>322</v>
      </c>
      <c r="E80" s="411" t="s">
        <v>181</v>
      </c>
      <c r="F80" s="411" t="s">
        <v>352</v>
      </c>
      <c r="G80" s="529">
        <v>480</v>
      </c>
      <c r="H80" s="414">
        <v>1</v>
      </c>
      <c r="I80" s="415">
        <f t="shared" si="12"/>
        <v>480</v>
      </c>
    </row>
    <row r="81" spans="2:9" x14ac:dyDescent="0.35">
      <c r="B81" s="528" t="s">
        <v>349</v>
      </c>
      <c r="C81" s="411" t="s">
        <v>180</v>
      </c>
      <c r="D81" s="411" t="s">
        <v>320</v>
      </c>
      <c r="E81" s="411" t="s">
        <v>181</v>
      </c>
      <c r="F81" s="411" t="s">
        <v>40</v>
      </c>
      <c r="G81" s="529">
        <v>240</v>
      </c>
      <c r="H81" s="414">
        <v>1</v>
      </c>
      <c r="I81" s="415">
        <f t="shared" ref="I81:I82" si="13">G81*H81</f>
        <v>240</v>
      </c>
    </row>
    <row r="82" spans="2:9" x14ac:dyDescent="0.35">
      <c r="B82" s="528" t="s">
        <v>349</v>
      </c>
      <c r="C82" s="411" t="s">
        <v>180</v>
      </c>
      <c r="D82" s="411" t="s">
        <v>320</v>
      </c>
      <c r="E82" s="411" t="s">
        <v>181</v>
      </c>
      <c r="F82" s="411" t="s">
        <v>352</v>
      </c>
      <c r="G82" s="529">
        <v>480</v>
      </c>
      <c r="H82" s="414">
        <v>1</v>
      </c>
      <c r="I82" s="415">
        <f t="shared" si="13"/>
        <v>480</v>
      </c>
    </row>
    <row r="83" spans="2:9" x14ac:dyDescent="0.35">
      <c r="B83" s="528" t="s">
        <v>349</v>
      </c>
      <c r="C83" s="411" t="s">
        <v>180</v>
      </c>
      <c r="D83" s="411" t="s">
        <v>36</v>
      </c>
      <c r="E83" s="411" t="s">
        <v>181</v>
      </c>
      <c r="F83" s="411" t="s">
        <v>40</v>
      </c>
      <c r="G83" s="529">
        <v>240</v>
      </c>
      <c r="H83" s="414">
        <v>1</v>
      </c>
      <c r="I83" s="415">
        <f t="shared" si="12"/>
        <v>240</v>
      </c>
    </row>
    <row r="84" spans="2:9" x14ac:dyDescent="0.35">
      <c r="B84" s="528" t="s">
        <v>349</v>
      </c>
      <c r="C84" s="411" t="s">
        <v>180</v>
      </c>
      <c r="D84" s="411" t="s">
        <v>36</v>
      </c>
      <c r="E84" s="411" t="s">
        <v>181</v>
      </c>
      <c r="F84" s="411" t="s">
        <v>352</v>
      </c>
      <c r="G84" s="529">
        <v>480</v>
      </c>
      <c r="H84" s="414">
        <v>1</v>
      </c>
      <c r="I84" s="415">
        <f t="shared" si="12"/>
        <v>480</v>
      </c>
    </row>
    <row r="85" spans="2:9" x14ac:dyDescent="0.35">
      <c r="B85" s="418"/>
      <c r="C85" s="418"/>
      <c r="D85" s="418"/>
      <c r="E85" s="418"/>
      <c r="F85" s="418"/>
      <c r="G85" s="416"/>
      <c r="H85" s="417">
        <v>1</v>
      </c>
      <c r="I85" s="416">
        <f>SUM(I75:I84)</f>
        <v>3600</v>
      </c>
    </row>
    <row r="86" spans="2:9" x14ac:dyDescent="0.35">
      <c r="B86" s="528" t="s">
        <v>313</v>
      </c>
      <c r="C86" s="411" t="s">
        <v>180</v>
      </c>
      <c r="D86" s="528" t="s">
        <v>128</v>
      </c>
      <c r="E86" s="411" t="s">
        <v>181</v>
      </c>
      <c r="F86" s="411" t="s">
        <v>40</v>
      </c>
      <c r="G86" s="413">
        <v>255</v>
      </c>
      <c r="H86" s="414">
        <v>1</v>
      </c>
      <c r="I86" s="415">
        <f t="shared" ref="I86" si="14">G86*H86</f>
        <v>255</v>
      </c>
    </row>
    <row r="87" spans="2:9" x14ac:dyDescent="0.35">
      <c r="B87" s="528" t="s">
        <v>313</v>
      </c>
      <c r="C87" s="411" t="s">
        <v>180</v>
      </c>
      <c r="D87" s="528" t="s">
        <v>128</v>
      </c>
      <c r="E87" s="411" t="s">
        <v>181</v>
      </c>
      <c r="F87" s="411" t="s">
        <v>352</v>
      </c>
      <c r="G87" s="413">
        <v>255</v>
      </c>
      <c r="H87" s="414">
        <v>1</v>
      </c>
      <c r="I87" s="415">
        <f t="shared" ref="I87" si="15">G87*H87</f>
        <v>255</v>
      </c>
    </row>
    <row r="88" spans="2:9" x14ac:dyDescent="0.35">
      <c r="B88" s="418"/>
      <c r="C88" s="418"/>
      <c r="D88" s="418"/>
      <c r="E88" s="418"/>
      <c r="F88" s="418"/>
      <c r="G88" s="416"/>
      <c r="H88" s="417">
        <v>1</v>
      </c>
      <c r="I88" s="416">
        <f>SUM(I86:I87)</f>
        <v>510</v>
      </c>
    </row>
    <row r="89" spans="2:9" x14ac:dyDescent="0.35">
      <c r="B89" s="528" t="s">
        <v>353</v>
      </c>
      <c r="C89" s="411" t="s">
        <v>180</v>
      </c>
      <c r="D89" s="528" t="s">
        <v>128</v>
      </c>
      <c r="E89" s="411" t="s">
        <v>181</v>
      </c>
      <c r="F89" s="411" t="s">
        <v>40</v>
      </c>
      <c r="G89" s="413">
        <v>255</v>
      </c>
      <c r="H89" s="414">
        <v>1</v>
      </c>
      <c r="I89" s="415">
        <f t="shared" ref="I89:I90" si="16">G89*H89</f>
        <v>255</v>
      </c>
    </row>
    <row r="90" spans="2:9" x14ac:dyDescent="0.35">
      <c r="B90" s="528" t="s">
        <v>353</v>
      </c>
      <c r="C90" s="411" t="s">
        <v>180</v>
      </c>
      <c r="D90" s="528" t="s">
        <v>128</v>
      </c>
      <c r="E90" s="411" t="s">
        <v>181</v>
      </c>
      <c r="F90" s="411" t="s">
        <v>352</v>
      </c>
      <c r="G90" s="413">
        <v>255</v>
      </c>
      <c r="H90" s="414">
        <v>1</v>
      </c>
      <c r="I90" s="415">
        <f t="shared" si="16"/>
        <v>255</v>
      </c>
    </row>
    <row r="91" spans="2:9" x14ac:dyDescent="0.35">
      <c r="B91" s="418"/>
      <c r="C91" s="418"/>
      <c r="D91" s="418"/>
      <c r="E91" s="418"/>
      <c r="F91" s="418"/>
      <c r="G91" s="416"/>
      <c r="H91" s="417">
        <v>1</v>
      </c>
      <c r="I91" s="416">
        <f>SUM(I89:I90)</f>
        <v>510</v>
      </c>
    </row>
    <row r="92" spans="2:9" x14ac:dyDescent="0.35">
      <c r="B92" s="419"/>
      <c r="C92" s="419"/>
      <c r="D92" s="419"/>
      <c r="E92" s="419"/>
      <c r="F92" s="419"/>
      <c r="G92" s="420"/>
    </row>
    <row r="93" spans="2:9" ht="21" customHeight="1" x14ac:dyDescent="0.4">
      <c r="B93" s="667"/>
      <c r="C93" s="667"/>
      <c r="D93" s="421"/>
      <c r="E93" s="421"/>
      <c r="F93" s="422" t="s">
        <v>196</v>
      </c>
      <c r="G93" s="423"/>
      <c r="H93" s="424"/>
      <c r="I93" s="423">
        <f>SUM(I85,I74,I71,I58,I43,I30,I91,I88)</f>
        <v>29580</v>
      </c>
    </row>
    <row r="94" spans="2:9" ht="6" customHeight="1" x14ac:dyDescent="0.4"/>
    <row r="95" spans="2:9" ht="13" customHeight="1" x14ac:dyDescent="0.4"/>
  </sheetData>
  <mergeCells count="1">
    <mergeCell ref="B93:C93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DBC71-58A5-4057-8366-5C00460EFD11}">
  <dimension ref="B1:J42"/>
  <sheetViews>
    <sheetView showGridLines="0" zoomScaleNormal="100" workbookViewId="0">
      <selection activeCell="F11" sqref="F11"/>
    </sheetView>
  </sheetViews>
  <sheetFormatPr defaultColWidth="21.1640625" defaultRowHeight="14.5" x14ac:dyDescent="0.4"/>
  <cols>
    <col min="1" max="1" width="4.5" style="408" customWidth="1"/>
    <col min="2" max="2" width="21.1640625" style="408"/>
    <col min="3" max="3" width="26.6640625" style="408" customWidth="1"/>
    <col min="4" max="4" width="36.1640625" style="408" customWidth="1"/>
    <col min="5" max="5" width="15.6640625" style="408" bestFit="1" customWidth="1"/>
    <col min="6" max="6" width="27.08203125" style="408" customWidth="1"/>
    <col min="7" max="7" width="21.1640625" style="409"/>
    <col min="8" max="8" width="10.08203125" style="409" customWidth="1"/>
    <col min="9" max="9" width="21.1640625" style="409"/>
    <col min="10" max="16384" width="21.1640625" style="408"/>
  </cols>
  <sheetData>
    <row r="1" spans="2:10" ht="47" customHeight="1" x14ac:dyDescent="0.4"/>
    <row r="2" spans="2:10" x14ac:dyDescent="0.2">
      <c r="B2" s="5" t="s">
        <v>0</v>
      </c>
    </row>
    <row r="3" spans="2:10" x14ac:dyDescent="0.2">
      <c r="B3" s="6" t="s">
        <v>155</v>
      </c>
    </row>
    <row r="4" spans="2:10" ht="13" customHeight="1" x14ac:dyDescent="0.4"/>
    <row r="5" spans="2:10" x14ac:dyDescent="0.4">
      <c r="B5" s="410" t="s">
        <v>172</v>
      </c>
      <c r="C5" s="410" t="s">
        <v>173</v>
      </c>
      <c r="D5" s="410" t="s">
        <v>174</v>
      </c>
      <c r="E5" s="410" t="s">
        <v>175</v>
      </c>
      <c r="F5" s="410" t="s">
        <v>176</v>
      </c>
      <c r="G5" s="410" t="s">
        <v>177</v>
      </c>
      <c r="H5" s="410" t="s">
        <v>178</v>
      </c>
      <c r="I5" s="410" t="s">
        <v>179</v>
      </c>
    </row>
    <row r="6" spans="2:10" x14ac:dyDescent="0.35">
      <c r="B6" s="411" t="s">
        <v>182</v>
      </c>
      <c r="C6" s="411" t="s">
        <v>180</v>
      </c>
      <c r="D6" s="412" t="s">
        <v>399</v>
      </c>
      <c r="E6" s="411" t="s">
        <v>181</v>
      </c>
      <c r="F6" s="412" t="s">
        <v>397</v>
      </c>
      <c r="G6" s="413">
        <v>255</v>
      </c>
      <c r="H6" s="414">
        <v>1</v>
      </c>
      <c r="I6" s="415">
        <f t="shared" ref="I6:I8" si="0">G6*H6</f>
        <v>255</v>
      </c>
    </row>
    <row r="7" spans="2:10" x14ac:dyDescent="0.35">
      <c r="B7" s="411" t="s">
        <v>182</v>
      </c>
      <c r="C7" s="411" t="s">
        <v>180</v>
      </c>
      <c r="D7" s="412" t="s">
        <v>399</v>
      </c>
      <c r="E7" s="411" t="s">
        <v>181</v>
      </c>
      <c r="F7" s="412" t="s">
        <v>398</v>
      </c>
      <c r="G7" s="413">
        <v>255</v>
      </c>
      <c r="H7" s="414">
        <v>1</v>
      </c>
      <c r="I7" s="415">
        <f t="shared" ref="I7" si="1">G7*H7</f>
        <v>255</v>
      </c>
    </row>
    <row r="8" spans="2:10" x14ac:dyDescent="0.35">
      <c r="B8" s="411" t="s">
        <v>182</v>
      </c>
      <c r="C8" s="411" t="s">
        <v>180</v>
      </c>
      <c r="D8" s="412" t="s">
        <v>403</v>
      </c>
      <c r="E8" s="411" t="s">
        <v>181</v>
      </c>
      <c r="F8" s="412" t="s">
        <v>397</v>
      </c>
      <c r="G8" s="413">
        <v>900</v>
      </c>
      <c r="H8" s="414">
        <v>1</v>
      </c>
      <c r="I8" s="415">
        <f t="shared" si="0"/>
        <v>900</v>
      </c>
      <c r="J8" s="599" t="s">
        <v>404</v>
      </c>
    </row>
    <row r="9" spans="2:10" x14ac:dyDescent="0.35">
      <c r="B9" s="418"/>
      <c r="C9" s="418"/>
      <c r="D9" s="418"/>
      <c r="E9" s="418"/>
      <c r="F9" s="418"/>
      <c r="G9" s="416"/>
      <c r="H9" s="417">
        <f>SUM(H6:H8)</f>
        <v>3</v>
      </c>
      <c r="I9" s="416">
        <f>SUM(I6:I8)</f>
        <v>1410</v>
      </c>
    </row>
    <row r="10" spans="2:10" x14ac:dyDescent="0.35">
      <c r="B10" s="411" t="s">
        <v>17</v>
      </c>
      <c r="C10" s="411" t="s">
        <v>180</v>
      </c>
      <c r="D10" s="412" t="s">
        <v>400</v>
      </c>
      <c r="E10" s="411" t="s">
        <v>181</v>
      </c>
      <c r="F10" s="412" t="s">
        <v>397</v>
      </c>
      <c r="G10" s="413">
        <v>255</v>
      </c>
      <c r="H10" s="414">
        <v>1</v>
      </c>
      <c r="I10" s="415">
        <f t="shared" ref="I10:I11" si="2">G10*H10</f>
        <v>255</v>
      </c>
    </row>
    <row r="11" spans="2:10" x14ac:dyDescent="0.35">
      <c r="B11" s="411" t="s">
        <v>17</v>
      </c>
      <c r="C11" s="411" t="s">
        <v>180</v>
      </c>
      <c r="D11" s="412" t="s">
        <v>400</v>
      </c>
      <c r="E11" s="411" t="s">
        <v>181</v>
      </c>
      <c r="F11" s="412" t="s">
        <v>398</v>
      </c>
      <c r="G11" s="413">
        <v>255</v>
      </c>
      <c r="H11" s="414">
        <v>1</v>
      </c>
      <c r="I11" s="415">
        <f t="shared" si="2"/>
        <v>255</v>
      </c>
    </row>
    <row r="12" spans="2:10" x14ac:dyDescent="0.35">
      <c r="B12" s="418"/>
      <c r="C12" s="418"/>
      <c r="D12" s="418"/>
      <c r="E12" s="418"/>
      <c r="F12" s="418"/>
      <c r="G12" s="416"/>
      <c r="H12" s="417">
        <f>SUM(H10:H11)</f>
        <v>2</v>
      </c>
      <c r="I12" s="416">
        <f>SUM(I10:I11)</f>
        <v>510</v>
      </c>
    </row>
    <row r="13" spans="2:10" x14ac:dyDescent="0.35">
      <c r="B13" s="411" t="s">
        <v>261</v>
      </c>
      <c r="C13" s="411" t="s">
        <v>180</v>
      </c>
      <c r="D13" s="412" t="s">
        <v>340</v>
      </c>
      <c r="E13" s="411" t="s">
        <v>181</v>
      </c>
      <c r="F13" s="412" t="s">
        <v>397</v>
      </c>
      <c r="G13" s="413">
        <v>255</v>
      </c>
      <c r="H13" s="414">
        <v>1</v>
      </c>
      <c r="I13" s="415">
        <f>G13*H13</f>
        <v>255</v>
      </c>
    </row>
    <row r="14" spans="2:10" x14ac:dyDescent="0.35">
      <c r="B14" s="411" t="s">
        <v>261</v>
      </c>
      <c r="C14" s="411" t="s">
        <v>180</v>
      </c>
      <c r="D14" s="412" t="s">
        <v>340</v>
      </c>
      <c r="E14" s="411" t="s">
        <v>181</v>
      </c>
      <c r="F14" s="412" t="s">
        <v>398</v>
      </c>
      <c r="G14" s="413">
        <v>255</v>
      </c>
      <c r="H14" s="414">
        <v>1</v>
      </c>
      <c r="I14" s="415">
        <f>G14*H14</f>
        <v>255</v>
      </c>
    </row>
    <row r="15" spans="2:10" x14ac:dyDescent="0.35">
      <c r="B15" s="418"/>
      <c r="C15" s="418"/>
      <c r="D15" s="418"/>
      <c r="E15" s="418"/>
      <c r="F15" s="418"/>
      <c r="G15" s="416"/>
      <c r="H15" s="417">
        <f>SUM(H13:H14)</f>
        <v>2</v>
      </c>
      <c r="I15" s="416">
        <f>SUM(I13:I14)</f>
        <v>510</v>
      </c>
    </row>
    <row r="16" spans="2:10" x14ac:dyDescent="0.35">
      <c r="B16" s="528" t="s">
        <v>254</v>
      </c>
      <c r="C16" s="411" t="s">
        <v>180</v>
      </c>
      <c r="D16" s="412" t="s">
        <v>401</v>
      </c>
      <c r="E16" s="411" t="s">
        <v>181</v>
      </c>
      <c r="F16" s="412" t="s">
        <v>397</v>
      </c>
      <c r="G16" s="413">
        <v>255</v>
      </c>
      <c r="H16" s="414">
        <v>1</v>
      </c>
      <c r="I16" s="415">
        <f t="shared" ref="I16:I17" si="3">G16*H16</f>
        <v>255</v>
      </c>
    </row>
    <row r="17" spans="2:9" x14ac:dyDescent="0.35">
      <c r="B17" s="528" t="s">
        <v>254</v>
      </c>
      <c r="C17" s="411" t="s">
        <v>180</v>
      </c>
      <c r="D17" s="412" t="s">
        <v>401</v>
      </c>
      <c r="E17" s="411" t="s">
        <v>181</v>
      </c>
      <c r="F17" s="412" t="s">
        <v>398</v>
      </c>
      <c r="G17" s="413">
        <v>255</v>
      </c>
      <c r="H17" s="414">
        <v>1</v>
      </c>
      <c r="I17" s="415">
        <f t="shared" si="3"/>
        <v>255</v>
      </c>
    </row>
    <row r="18" spans="2:9" x14ac:dyDescent="0.35">
      <c r="B18" s="418"/>
      <c r="C18" s="418"/>
      <c r="D18" s="418"/>
      <c r="E18" s="418"/>
      <c r="F18" s="418"/>
      <c r="G18" s="416"/>
      <c r="H18" s="417">
        <f>SUM(H16:H17)</f>
        <v>2</v>
      </c>
      <c r="I18" s="416">
        <f>SUM(I16:I17)</f>
        <v>510</v>
      </c>
    </row>
    <row r="19" spans="2:9" x14ac:dyDescent="0.35">
      <c r="B19" s="528" t="s">
        <v>279</v>
      </c>
      <c r="C19" s="411" t="s">
        <v>180</v>
      </c>
      <c r="D19" s="411" t="s">
        <v>402</v>
      </c>
      <c r="E19" s="411" t="s">
        <v>181</v>
      </c>
      <c r="F19" s="412" t="s">
        <v>397</v>
      </c>
      <c r="G19" s="413">
        <v>255</v>
      </c>
      <c r="H19" s="414">
        <v>1</v>
      </c>
      <c r="I19" s="415">
        <f t="shared" ref="I19:I20" si="4">G19*H19</f>
        <v>255</v>
      </c>
    </row>
    <row r="20" spans="2:9" x14ac:dyDescent="0.35">
      <c r="B20" s="528" t="s">
        <v>279</v>
      </c>
      <c r="C20" s="411" t="s">
        <v>180</v>
      </c>
      <c r="D20" s="411" t="s">
        <v>402</v>
      </c>
      <c r="E20" s="411" t="s">
        <v>181</v>
      </c>
      <c r="F20" s="412" t="s">
        <v>398</v>
      </c>
      <c r="G20" s="413">
        <v>255</v>
      </c>
      <c r="H20" s="414">
        <v>1</v>
      </c>
      <c r="I20" s="415">
        <f t="shared" si="4"/>
        <v>255</v>
      </c>
    </row>
    <row r="21" spans="2:9" x14ac:dyDescent="0.35">
      <c r="B21" s="418"/>
      <c r="C21" s="418"/>
      <c r="D21" s="418"/>
      <c r="E21" s="418"/>
      <c r="F21" s="418"/>
      <c r="G21" s="416"/>
      <c r="H21" s="417">
        <f>SUM(H19:H20)</f>
        <v>2</v>
      </c>
      <c r="I21" s="416">
        <f>SUM(I19:I20)</f>
        <v>510</v>
      </c>
    </row>
    <row r="22" spans="2:9" x14ac:dyDescent="0.35">
      <c r="B22" s="528" t="s">
        <v>349</v>
      </c>
      <c r="C22" s="411" t="s">
        <v>180</v>
      </c>
      <c r="D22" s="528" t="s">
        <v>350</v>
      </c>
      <c r="E22" s="411" t="s">
        <v>181</v>
      </c>
      <c r="F22" s="412" t="s">
        <v>397</v>
      </c>
      <c r="G22" s="529">
        <v>480</v>
      </c>
      <c r="H22" s="414">
        <v>1</v>
      </c>
      <c r="I22" s="415">
        <f t="shared" ref="I22:I31" si="5">G22*H22</f>
        <v>480</v>
      </c>
    </row>
    <row r="23" spans="2:9" x14ac:dyDescent="0.35">
      <c r="B23" s="528" t="s">
        <v>349</v>
      </c>
      <c r="C23" s="411" t="s">
        <v>180</v>
      </c>
      <c r="D23" s="528" t="s">
        <v>350</v>
      </c>
      <c r="E23" s="411" t="s">
        <v>181</v>
      </c>
      <c r="F23" s="412" t="s">
        <v>398</v>
      </c>
      <c r="G23" s="529">
        <v>240</v>
      </c>
      <c r="H23" s="414">
        <v>1</v>
      </c>
      <c r="I23" s="415">
        <f t="shared" si="5"/>
        <v>240</v>
      </c>
    </row>
    <row r="24" spans="2:9" x14ac:dyDescent="0.35">
      <c r="B24" s="528" t="s">
        <v>349</v>
      </c>
      <c r="C24" s="411" t="s">
        <v>180</v>
      </c>
      <c r="D24" s="528" t="s">
        <v>351</v>
      </c>
      <c r="E24" s="411" t="s">
        <v>181</v>
      </c>
      <c r="F24" s="412" t="s">
        <v>397</v>
      </c>
      <c r="G24" s="529">
        <v>480</v>
      </c>
      <c r="H24" s="414">
        <v>1</v>
      </c>
      <c r="I24" s="415">
        <f t="shared" si="5"/>
        <v>480</v>
      </c>
    </row>
    <row r="25" spans="2:9" x14ac:dyDescent="0.35">
      <c r="B25" s="528" t="s">
        <v>349</v>
      </c>
      <c r="C25" s="411" t="s">
        <v>180</v>
      </c>
      <c r="D25" s="528" t="s">
        <v>351</v>
      </c>
      <c r="E25" s="411" t="s">
        <v>181</v>
      </c>
      <c r="F25" s="412" t="s">
        <v>398</v>
      </c>
      <c r="G25" s="529">
        <v>240</v>
      </c>
      <c r="H25" s="414">
        <v>1</v>
      </c>
      <c r="I25" s="415">
        <f t="shared" si="5"/>
        <v>240</v>
      </c>
    </row>
    <row r="26" spans="2:9" hidden="1" x14ac:dyDescent="0.35">
      <c r="B26" s="528" t="s">
        <v>349</v>
      </c>
      <c r="C26" s="411" t="s">
        <v>180</v>
      </c>
      <c r="D26" s="528" t="s">
        <v>322</v>
      </c>
      <c r="E26" s="411" t="s">
        <v>181</v>
      </c>
      <c r="F26" s="411" t="s">
        <v>40</v>
      </c>
      <c r="G26" s="529">
        <v>480</v>
      </c>
      <c r="H26" s="414">
        <v>0</v>
      </c>
      <c r="I26" s="415">
        <f t="shared" si="5"/>
        <v>0</v>
      </c>
    </row>
    <row r="27" spans="2:9" hidden="1" x14ac:dyDescent="0.35">
      <c r="B27" s="528" t="s">
        <v>349</v>
      </c>
      <c r="C27" s="411" t="s">
        <v>180</v>
      </c>
      <c r="D27" s="528" t="s">
        <v>322</v>
      </c>
      <c r="E27" s="411" t="s">
        <v>181</v>
      </c>
      <c r="F27" s="411" t="s">
        <v>352</v>
      </c>
      <c r="G27" s="529">
        <v>240</v>
      </c>
      <c r="H27" s="414">
        <v>0</v>
      </c>
      <c r="I27" s="415">
        <f t="shared" si="5"/>
        <v>0</v>
      </c>
    </row>
    <row r="28" spans="2:9" hidden="1" x14ac:dyDescent="0.35">
      <c r="B28" s="528" t="s">
        <v>349</v>
      </c>
      <c r="C28" s="411" t="s">
        <v>180</v>
      </c>
      <c r="D28" s="411" t="s">
        <v>320</v>
      </c>
      <c r="E28" s="411" t="s">
        <v>181</v>
      </c>
      <c r="F28" s="411" t="s">
        <v>40</v>
      </c>
      <c r="G28" s="529">
        <v>480</v>
      </c>
      <c r="H28" s="414">
        <v>0</v>
      </c>
      <c r="I28" s="415">
        <f t="shared" si="5"/>
        <v>0</v>
      </c>
    </row>
    <row r="29" spans="2:9" hidden="1" x14ac:dyDescent="0.35">
      <c r="B29" s="528" t="s">
        <v>349</v>
      </c>
      <c r="C29" s="411" t="s">
        <v>180</v>
      </c>
      <c r="D29" s="411" t="s">
        <v>320</v>
      </c>
      <c r="E29" s="411" t="s">
        <v>181</v>
      </c>
      <c r="F29" s="411" t="s">
        <v>352</v>
      </c>
      <c r="G29" s="529">
        <v>240</v>
      </c>
      <c r="H29" s="414">
        <v>0</v>
      </c>
      <c r="I29" s="415">
        <f t="shared" si="5"/>
        <v>0</v>
      </c>
    </row>
    <row r="30" spans="2:9" hidden="1" x14ac:dyDescent="0.35">
      <c r="B30" s="528" t="s">
        <v>349</v>
      </c>
      <c r="C30" s="411" t="s">
        <v>180</v>
      </c>
      <c r="D30" s="411" t="s">
        <v>36</v>
      </c>
      <c r="E30" s="411" t="s">
        <v>181</v>
      </c>
      <c r="F30" s="411" t="s">
        <v>40</v>
      </c>
      <c r="G30" s="529">
        <v>480</v>
      </c>
      <c r="H30" s="414">
        <v>0</v>
      </c>
      <c r="I30" s="415">
        <f t="shared" si="5"/>
        <v>0</v>
      </c>
    </row>
    <row r="31" spans="2:9" hidden="1" x14ac:dyDescent="0.35">
      <c r="B31" s="528" t="s">
        <v>349</v>
      </c>
      <c r="C31" s="411" t="s">
        <v>180</v>
      </c>
      <c r="D31" s="411" t="s">
        <v>36</v>
      </c>
      <c r="E31" s="411" t="s">
        <v>181</v>
      </c>
      <c r="F31" s="411" t="s">
        <v>352</v>
      </c>
      <c r="G31" s="529">
        <v>240</v>
      </c>
      <c r="H31" s="414">
        <v>0</v>
      </c>
      <c r="I31" s="415">
        <f t="shared" si="5"/>
        <v>0</v>
      </c>
    </row>
    <row r="32" spans="2:9" x14ac:dyDescent="0.35">
      <c r="B32" s="418"/>
      <c r="C32" s="418"/>
      <c r="D32" s="418"/>
      <c r="E32" s="418"/>
      <c r="F32" s="418"/>
      <c r="G32" s="416"/>
      <c r="H32" s="417">
        <f>SUM(H22:H30)</f>
        <v>4</v>
      </c>
      <c r="I32" s="416">
        <f>SUM(I22:I31)</f>
        <v>1440</v>
      </c>
    </row>
    <row r="33" spans="2:9" hidden="1" x14ac:dyDescent="0.35">
      <c r="B33" s="528" t="s">
        <v>313</v>
      </c>
      <c r="C33" s="411" t="s">
        <v>180</v>
      </c>
      <c r="D33" s="528" t="s">
        <v>128</v>
      </c>
      <c r="E33" s="411" t="s">
        <v>181</v>
      </c>
      <c r="F33" s="411" t="s">
        <v>40</v>
      </c>
      <c r="G33" s="413">
        <v>255</v>
      </c>
      <c r="H33" s="414">
        <v>0</v>
      </c>
      <c r="I33" s="415">
        <f t="shared" ref="I33:I34" si="6">G33*H33</f>
        <v>0</v>
      </c>
    </row>
    <row r="34" spans="2:9" hidden="1" x14ac:dyDescent="0.35">
      <c r="B34" s="528" t="s">
        <v>313</v>
      </c>
      <c r="C34" s="411" t="s">
        <v>180</v>
      </c>
      <c r="D34" s="528" t="s">
        <v>128</v>
      </c>
      <c r="E34" s="411" t="s">
        <v>181</v>
      </c>
      <c r="F34" s="411" t="s">
        <v>352</v>
      </c>
      <c r="G34" s="413">
        <v>255</v>
      </c>
      <c r="H34" s="414">
        <v>0</v>
      </c>
      <c r="I34" s="415">
        <f t="shared" si="6"/>
        <v>0</v>
      </c>
    </row>
    <row r="35" spans="2:9" hidden="1" x14ac:dyDescent="0.35">
      <c r="B35" s="418"/>
      <c r="C35" s="418"/>
      <c r="D35" s="418"/>
      <c r="E35" s="418"/>
      <c r="F35" s="418"/>
      <c r="G35" s="416"/>
      <c r="H35" s="417">
        <f>SUM(H33:H34)</f>
        <v>0</v>
      </c>
      <c r="I35" s="416">
        <f>SUM(I33:I34)</f>
        <v>0</v>
      </c>
    </row>
    <row r="36" spans="2:9" hidden="1" x14ac:dyDescent="0.35">
      <c r="B36" s="528" t="s">
        <v>353</v>
      </c>
      <c r="C36" s="411" t="s">
        <v>180</v>
      </c>
      <c r="D36" s="528" t="s">
        <v>128</v>
      </c>
      <c r="E36" s="411" t="s">
        <v>181</v>
      </c>
      <c r="F36" s="411" t="s">
        <v>40</v>
      </c>
      <c r="G36" s="413">
        <v>255</v>
      </c>
      <c r="H36" s="414">
        <v>0</v>
      </c>
      <c r="I36" s="415">
        <f t="shared" ref="I36:I37" si="7">G36*H36</f>
        <v>0</v>
      </c>
    </row>
    <row r="37" spans="2:9" hidden="1" x14ac:dyDescent="0.35">
      <c r="B37" s="528" t="s">
        <v>353</v>
      </c>
      <c r="C37" s="411" t="s">
        <v>180</v>
      </c>
      <c r="D37" s="528" t="s">
        <v>128</v>
      </c>
      <c r="E37" s="411" t="s">
        <v>181</v>
      </c>
      <c r="F37" s="411" t="s">
        <v>352</v>
      </c>
      <c r="G37" s="413">
        <v>255</v>
      </c>
      <c r="H37" s="414">
        <v>0</v>
      </c>
      <c r="I37" s="415">
        <f t="shared" si="7"/>
        <v>0</v>
      </c>
    </row>
    <row r="38" spans="2:9" hidden="1" x14ac:dyDescent="0.35">
      <c r="B38" s="418"/>
      <c r="C38" s="418"/>
      <c r="D38" s="418"/>
      <c r="E38" s="418"/>
      <c r="F38" s="418"/>
      <c r="G38" s="416"/>
      <c r="H38" s="417">
        <f>SUM(H36:H37)</f>
        <v>0</v>
      </c>
      <c r="I38" s="416">
        <f>SUM(I36:I37)</f>
        <v>0</v>
      </c>
    </row>
    <row r="39" spans="2:9" x14ac:dyDescent="0.35">
      <c r="B39" s="419"/>
      <c r="C39" s="419"/>
      <c r="D39" s="419"/>
      <c r="E39" s="419"/>
      <c r="F39" s="419"/>
      <c r="G39" s="420"/>
    </row>
    <row r="40" spans="2:9" ht="21" customHeight="1" x14ac:dyDescent="0.4">
      <c r="B40" s="667"/>
      <c r="C40" s="667"/>
      <c r="D40" s="421"/>
      <c r="E40" s="421"/>
      <c r="F40" s="422" t="s">
        <v>196</v>
      </c>
      <c r="G40" s="423"/>
      <c r="H40" s="424"/>
      <c r="I40" s="423">
        <f>SUM(I32,I21,I18,I15,I12,I9,I38,I35)</f>
        <v>4890</v>
      </c>
    </row>
    <row r="41" spans="2:9" ht="6" customHeight="1" x14ac:dyDescent="0.4"/>
    <row r="42" spans="2:9" ht="13" customHeight="1" x14ac:dyDescent="0.4"/>
  </sheetData>
  <mergeCells count="1">
    <mergeCell ref="B40:C40"/>
  </mergeCells>
  <pageMargins left="0.511811024" right="0.511811024" top="0.78740157499999996" bottom="0.78740157499999996" header="0.31496062000000002" footer="0.31496062000000002"/>
  <headerFooter>
    <oddFooter>&amp;C_x000D_&amp;1#&amp;"Calibri"&amp;10&amp;K000000 Confidential - Not for Public Consumption or Distribution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15</vt:i4>
      </vt:variant>
      <vt:variant>
        <vt:lpstr>Intervalos Nomeados</vt:lpstr>
      </vt:variant>
      <vt:variant>
        <vt:i4>3</vt:i4>
      </vt:variant>
    </vt:vector>
  </HeadingPairs>
  <TitlesOfParts>
    <vt:vector size="18" baseType="lpstr">
      <vt:lpstr>COVER</vt:lpstr>
      <vt:lpstr>RESUMO DE MEIOS - SP1</vt:lpstr>
      <vt:lpstr>RESUMO DE MEIOS - SPE</vt:lpstr>
      <vt:lpstr>TV ABERTA - SP1</vt:lpstr>
      <vt:lpstr>TV ABERTA - SPE</vt:lpstr>
      <vt:lpstr>TV ABERTA - COLCHÃO REP - SP1</vt:lpstr>
      <vt:lpstr>TV ABERTA - COLCHÃO REP - SPE</vt:lpstr>
      <vt:lpstr>TV PAGA - COLCHÃO REP - SP1</vt:lpstr>
      <vt:lpstr>TV PAGA - COLCHÃO REP - SPE</vt:lpstr>
      <vt:lpstr>RÁDIO versão completa</vt:lpstr>
      <vt:lpstr>RÁDIO</vt:lpstr>
      <vt:lpstr>JORNAL</vt:lpstr>
      <vt:lpstr>DIGITAL</vt:lpstr>
      <vt:lpstr>CUSTO GERAÇÃO SPE</vt:lpstr>
      <vt:lpstr>CUSTO GERAÇÃO SP1</vt:lpstr>
      <vt:lpstr>COVER!Area_de_impressao</vt:lpstr>
      <vt:lpstr>RÁDIO!Area_de_impressao</vt:lpstr>
      <vt:lpstr>'RÁDIO versão completa'!Area_de_impressao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Elza Savoy De Brito (Omnicom)</dc:creator>
  <cp:lastModifiedBy>Erika Gonçalves (Omnicom)</cp:lastModifiedBy>
  <dcterms:created xsi:type="dcterms:W3CDTF">2025-12-26T19:37:03Z</dcterms:created>
  <dcterms:modified xsi:type="dcterms:W3CDTF">2026-02-25T22:45:37Z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e19d756-792e-42a1-bcad-4cb9051ddd2d_Enabled">
    <vt:lpwstr>true</vt:lpwstr>
  </property>
  <property fmtid="{D5CDD505-2E9C-101B-9397-08002B2CF9AE}" pid="3" name="MSIP_Label_8e19d756-792e-42a1-bcad-4cb9051ddd2d_SetDate">
    <vt:lpwstr>2025-12-26T20:36:56Z</vt:lpwstr>
  </property>
  <property fmtid="{D5CDD505-2E9C-101B-9397-08002B2CF9AE}" pid="4" name="MSIP_Label_8e19d756-792e-42a1-bcad-4cb9051ddd2d_Method">
    <vt:lpwstr>Standard</vt:lpwstr>
  </property>
  <property fmtid="{D5CDD505-2E9C-101B-9397-08002B2CF9AE}" pid="5" name="MSIP_Label_8e19d756-792e-42a1-bcad-4cb9051ddd2d_Name">
    <vt:lpwstr>Confidential</vt:lpwstr>
  </property>
  <property fmtid="{D5CDD505-2E9C-101B-9397-08002B2CF9AE}" pid="6" name="MSIP_Label_8e19d756-792e-42a1-bcad-4cb9051ddd2d_SiteId">
    <vt:lpwstr>41eb501a-f671-4ce0-a5bf-b64168c3705f</vt:lpwstr>
  </property>
  <property fmtid="{D5CDD505-2E9C-101B-9397-08002B2CF9AE}" pid="7" name="MSIP_Label_8e19d756-792e-42a1-bcad-4cb9051ddd2d_ActionId">
    <vt:lpwstr>d33e503c-e07a-45c6-90f1-e3b7a512c17d</vt:lpwstr>
  </property>
  <property fmtid="{D5CDD505-2E9C-101B-9397-08002B2CF9AE}" pid="8" name="MSIP_Label_8e19d756-792e-42a1-bcad-4cb9051ddd2d_ContentBits">
    <vt:lpwstr>2</vt:lpwstr>
  </property>
  <property fmtid="{D5CDD505-2E9C-101B-9397-08002B2CF9AE}" pid="9" name="MSIP_Label_8e19d756-792e-42a1-bcad-4cb9051ddd2d_Tag">
    <vt:lpwstr>10, 3, 0, 1</vt:lpwstr>
  </property>
</Properties>
</file>