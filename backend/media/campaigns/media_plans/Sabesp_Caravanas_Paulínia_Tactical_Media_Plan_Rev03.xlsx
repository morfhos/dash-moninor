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Clientes\SABESP\MIDIA\17. Plano Paulínia\"/>
    </mc:Choice>
  </mc:AlternateContent>
  <xr:revisionPtr revIDLastSave="0" documentId="13_ncr:1_{8B59E500-2D87-4320-BAC1-BBC65D5815CC}" xr6:coauthVersionLast="47" xr6:coauthVersionMax="47" xr10:uidLastSave="{00000000-0000-0000-0000-000000000000}"/>
  <bookViews>
    <workbookView xWindow="19090" yWindow="-110" windowWidth="38620" windowHeight="21100" activeTab="8" xr2:uid="{12F36DE4-96BE-460C-9424-E313C1CC04E6}"/>
  </bookViews>
  <sheets>
    <sheet name="COVER" sheetId="10" r:id="rId1"/>
    <sheet name="RESUMO DE MEIOS" sheetId="26" r:id="rId2"/>
    <sheet name="RÁDIO - PAULINIA" sheetId="27" r:id="rId3"/>
    <sheet name="COBERTURA" sheetId="28" state="hidden" r:id="rId4"/>
    <sheet name="JORNAL - PAULINIA" sheetId="32" r:id="rId5"/>
    <sheet name="RÁDIO - FRANCA" sheetId="33" r:id="rId6"/>
    <sheet name="PORTAL - FRANCA" sheetId="37" r:id="rId7"/>
    <sheet name="RÁDIO - PRESIDENTE PRUDENTE" sheetId="34" r:id="rId8"/>
    <sheet name="JORNAL - PRESIDENTE PRUDENTE" sheetId="38" r:id="rId9"/>
    <sheet name="RÁDIO - JALES" sheetId="35" r:id="rId10"/>
    <sheet name="JORNAL - JALES" sheetId="39" r:id="rId11"/>
    <sheet name="COBERTURA RÁDIOS" sheetId="3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__o1" localSheetId="11" hidden="1">{"det (May)",#N/A,FALSE,"June";"sum (MAY YTD)",#N/A,FALSE,"June YTD"}</definedName>
    <definedName name="___o1" localSheetId="10" hidden="1">{"det (May)",#N/A,FALSE,"June";"sum (MAY YTD)",#N/A,FALSE,"June YTD"}</definedName>
    <definedName name="___o1" localSheetId="4" hidden="1">{"det (May)",#N/A,FALSE,"June";"sum (MAY YTD)",#N/A,FALSE,"June YTD"}</definedName>
    <definedName name="___o1" localSheetId="8" hidden="1">{"det (May)",#N/A,FALSE,"June";"sum (MAY YTD)",#N/A,FALSE,"June YTD"}</definedName>
    <definedName name="___o1" localSheetId="6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9" hidden="1">{"det (May)",#N/A,FALSE,"June";"sum (MAY YTD)",#N/A,FALSE,"June YTD"}</definedName>
    <definedName name="___o1" localSheetId="2" hidden="1">{"det (May)",#N/A,FALSE,"June";"sum (MAY YTD)",#N/A,FALSE,"June YTD"}</definedName>
    <definedName name="___o1" localSheetId="7" hidden="1">{"det (May)",#N/A,FALSE,"June";"sum (MAY YTD)",#N/A,FALSE,"June YTD"}</definedName>
    <definedName name="___o1" localSheetId="1" hidden="1">{"det (May)",#N/A,FALSE,"June";"sum (MAY YTD)",#N/A,FALSE,"June YTD"}</definedName>
    <definedName name="___o1" hidden="1">{"det (May)",#N/A,FALSE,"June";"sum (MAY YTD)",#N/A,FALSE,"June YTD"}</definedName>
    <definedName name="_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11" hidden="1">{"det (May)",#N/A,FALSE,"June";"sum (MAY YTD)",#N/A,FALSE,"June YTD"}</definedName>
    <definedName name="__o1" localSheetId="10" hidden="1">{"det (May)",#N/A,FALSE,"June";"sum (MAY YTD)",#N/A,FALSE,"June YTD"}</definedName>
    <definedName name="__o1" localSheetId="4" hidden="1">{"det (May)",#N/A,FALSE,"June";"sum (MAY YTD)",#N/A,FALSE,"June YTD"}</definedName>
    <definedName name="__o1" localSheetId="8" hidden="1">{"det (May)",#N/A,FALSE,"June";"sum (MAY YTD)",#N/A,FALSE,"June YTD"}</definedName>
    <definedName name="__o1" localSheetId="6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9" hidden="1">{"det (May)",#N/A,FALSE,"June";"sum (MAY YTD)",#N/A,FALSE,"June YTD"}</definedName>
    <definedName name="__o1" localSheetId="2" hidden="1">{"det (May)",#N/A,FALSE,"June";"sum (MAY YTD)",#N/A,FALSE,"June YTD"}</definedName>
    <definedName name="__o1" localSheetId="7" hidden="1">{"det (May)",#N/A,FALSE,"June";"sum (MAY YTD)",#N/A,FALSE,"June YTD"}</definedName>
    <definedName name="__o1" localSheetId="1" hidden="1">{"det (May)",#N/A,FALSE,"June";"sum (MAY YTD)",#N/A,FALSE,"June YTD"}</definedName>
    <definedName name="__o1" hidden="1">{"det (May)",#N/A,FALSE,"June";"sum (MAY YTD)",#N/A,FALSE,"June YTD"}</definedName>
    <definedName name="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Excel_BuiltIn__FilterDatabase_10_9_1">NA()</definedName>
    <definedName name="_2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Key1" localSheetId="0" hidden="1">#REF!</definedName>
    <definedName name="_Key1" localSheetId="5" hidden="1">#REF!</definedName>
    <definedName name="_Key1" localSheetId="9" hidden="1">#REF!</definedName>
    <definedName name="_Key1" localSheetId="2" hidden="1">#REF!</definedName>
    <definedName name="_Key1" localSheetId="7" hidden="1">#REF!</definedName>
    <definedName name="_Key1" hidden="1">#REF!</definedName>
    <definedName name="_Key2" localSheetId="0" hidden="1">#REF!</definedName>
    <definedName name="_Key2" localSheetId="5" hidden="1">#REF!</definedName>
    <definedName name="_Key2" localSheetId="9" hidden="1">#REF!</definedName>
    <definedName name="_Key2" localSheetId="2" hidden="1">#REF!</definedName>
    <definedName name="_Key2" localSheetId="7" hidden="1">#REF!</definedName>
    <definedName name="_Key2" hidden="1">#REF!</definedName>
    <definedName name="_Key3" localSheetId="0" hidden="1">#REF!</definedName>
    <definedName name="_Key3" localSheetId="5" hidden="1">#REF!</definedName>
    <definedName name="_Key3" localSheetId="9" hidden="1">#REF!</definedName>
    <definedName name="_Key3" localSheetId="2" hidden="1">#REF!</definedName>
    <definedName name="_Key3" localSheetId="7" hidden="1">#REF!</definedName>
    <definedName name="_Key3" hidden="1">#REF!</definedName>
    <definedName name="_key99" localSheetId="0" hidden="1">#REF!</definedName>
    <definedName name="_key99" localSheetId="5" hidden="1">#REF!</definedName>
    <definedName name="_key99" localSheetId="9" hidden="1">#REF!</definedName>
    <definedName name="_key99" localSheetId="2" hidden="1">#REF!</definedName>
    <definedName name="_key99" localSheetId="7" hidden="1">#REF!</definedName>
    <definedName name="_key99" hidden="1">#REF!</definedName>
    <definedName name="_M">#REF!</definedName>
    <definedName name="_O">#REF!</definedName>
    <definedName name="_o1" localSheetId="11" hidden="1">{"det (May)",#N/A,FALSE,"June";"sum (MAY YTD)",#N/A,FALSE,"June YTD"}</definedName>
    <definedName name="_o1" localSheetId="10" hidden="1">{"det (May)",#N/A,FALSE,"June";"sum (MAY YTD)",#N/A,FALSE,"June YTD"}</definedName>
    <definedName name="_o1" localSheetId="4" hidden="1">{"det (May)",#N/A,FALSE,"June";"sum (MAY YTD)",#N/A,FALSE,"June YTD"}</definedName>
    <definedName name="_o1" localSheetId="8" hidden="1">{"det (May)",#N/A,FALSE,"June";"sum (MAY YTD)",#N/A,FALSE,"June YTD"}</definedName>
    <definedName name="_o1" localSheetId="6" hidden="1">{"det (May)",#N/A,FALSE,"June";"sum (MAY YTD)",#N/A,FALSE,"June YTD"}</definedName>
    <definedName name="_o1" localSheetId="5" hidden="1">{"det (May)",#N/A,FALSE,"June";"sum (MAY YTD)",#N/A,FALSE,"June YTD"}</definedName>
    <definedName name="_o1" localSheetId="9" hidden="1">{"det (May)",#N/A,FALSE,"June";"sum (MAY YTD)",#N/A,FALSE,"June YTD"}</definedName>
    <definedName name="_o1" localSheetId="2" hidden="1">{"det (May)",#N/A,FALSE,"June";"sum (MAY YTD)",#N/A,FALSE,"June YTD"}</definedName>
    <definedName name="_o1" localSheetId="7" hidden="1">{"det (May)",#N/A,FALSE,"June";"sum (MAY YTD)",#N/A,FALSE,"June YTD"}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localSheetId="5" hidden="1">#REF!</definedName>
    <definedName name="_Sort" localSheetId="9" hidden="1">#REF!</definedName>
    <definedName name="_Sort" localSheetId="2" hidden="1">#REF!</definedName>
    <definedName name="_Sort" localSheetId="7" hidden="1">#REF!</definedName>
    <definedName name="_Sort" hidden="1">#REF!</definedName>
    <definedName name="_sort1" localSheetId="0" hidden="1">#REF!</definedName>
    <definedName name="_sort1" localSheetId="5" hidden="1">#REF!</definedName>
    <definedName name="_sort1" localSheetId="9" hidden="1">#REF!</definedName>
    <definedName name="_sort1" localSheetId="2" hidden="1">#REF!</definedName>
    <definedName name="_sort1" localSheetId="7" hidden="1">#REF!</definedName>
    <definedName name="_sort1" hidden="1">#REF!</definedName>
    <definedName name="_Table2_Out" hidden="1">#REF!</definedName>
    <definedName name="a" localSheetId="11" hidden="1">{"'Janeiro'!$A$1:$I$153"}</definedName>
    <definedName name="a" localSheetId="0" hidden="1">{"'Janeiro'!$A$1:$I$153"}</definedName>
    <definedName name="a" localSheetId="10" hidden="1">{"'Janeiro'!$A$1:$I$153"}</definedName>
    <definedName name="a" localSheetId="4" hidden="1">{"'Janeiro'!$A$1:$I$153"}</definedName>
    <definedName name="a" localSheetId="8" hidden="1">{"'Janeiro'!$A$1:$I$153"}</definedName>
    <definedName name="a" localSheetId="6" hidden="1">{"'Janeiro'!$A$1:$I$153"}</definedName>
    <definedName name="a" localSheetId="5" hidden="1">{"'Janeiro'!$A$1:$I$153"}</definedName>
    <definedName name="a" localSheetId="9" hidden="1">{"'Janeiro'!$A$1:$I$153"}</definedName>
    <definedName name="a" localSheetId="2" hidden="1">{"'Janeiro'!$A$1:$I$153"}</definedName>
    <definedName name="a" localSheetId="7" hidden="1">{"'Janeiro'!$A$1:$I$153"}</definedName>
    <definedName name="a" localSheetId="1" hidden="1">{"'Janeiro'!$A$1:$I$153"}</definedName>
    <definedName name="a" hidden="1">{"'Janeiro'!$A$1:$I$153"}</definedName>
    <definedName name="aaaa" localSheetId="11" hidden="1">{"det (May)",#N/A,FALSE,"June";"sum (MAY YTD)",#N/A,FALSE,"June YTD"}</definedName>
    <definedName name="aaaa" localSheetId="10" hidden="1">{"det (May)",#N/A,FALSE,"June";"sum (MAY YTD)",#N/A,FALSE,"June YTD"}</definedName>
    <definedName name="aaaa" localSheetId="4" hidden="1">{"det (May)",#N/A,FALSE,"June";"sum (MAY YTD)",#N/A,FALSE,"June YTD"}</definedName>
    <definedName name="aaaa" localSheetId="8" hidden="1">{"det (May)",#N/A,FALSE,"June";"sum (MAY YTD)",#N/A,FALSE,"June YTD"}</definedName>
    <definedName name="aaaa" localSheetId="6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9" hidden="1">{"det (May)",#N/A,FALSE,"June";"sum (MAY YTD)",#N/A,FALSE,"June YTD"}</definedName>
    <definedName name="aaaa" localSheetId="2" hidden="1">{"det (May)",#N/A,FALSE,"June";"sum (MAY YTD)",#N/A,FALSE,"June YTD"}</definedName>
    <definedName name="aaaa" localSheetId="7" hidden="1">{"det (May)",#N/A,FALSE,"June";"sum (MAY YTD)",#N/A,FALSE,"June YTD"}</definedName>
    <definedName name="aaaa" localSheetId="1" hidden="1">{"det (May)",#N/A,FALSE,"June";"sum (MAY YTD)",#N/A,FALSE,"June YTD"}</definedName>
    <definedName name="aaaa" hidden="1">{"det (May)",#N/A,FALSE,"June";"sum (MAY YTD)",#N/A,FALSE,"June YTD"}</definedName>
    <definedName name="aaaaa" localSheetId="11" hidden="1">{"det (May)",#N/A,FALSE,"June";"sum (MAY YTD)",#N/A,FALSE,"June YTD"}</definedName>
    <definedName name="aaaaa" localSheetId="10" hidden="1">{"det (May)",#N/A,FALSE,"June";"sum (MAY YTD)",#N/A,FALSE,"June YTD"}</definedName>
    <definedName name="aaaaa" localSheetId="4" hidden="1">{"det (May)",#N/A,FALSE,"June";"sum (MAY YTD)",#N/A,FALSE,"June YTD"}</definedName>
    <definedName name="aaaaa" localSheetId="8" hidden="1">{"det (May)",#N/A,FALSE,"June";"sum (MAY YTD)",#N/A,FALSE,"June YTD"}</definedName>
    <definedName name="aaaaa" localSheetId="6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9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7" hidden="1">{"det (May)",#N/A,FALSE,"June";"sum (MAY YTD)",#N/A,FALSE,"June YTD"}</definedName>
    <definedName name="aaaaa" localSheetId="1" hidden="1">{"det (May)",#N/A,FALSE,"June";"sum (MAY YTD)",#N/A,FALSE,"June YTD"}</definedName>
    <definedName name="aaaaa" hidden="1">{"det (May)",#N/A,FALSE,"June";"sum (MAY YTD)",#N/A,FALSE,"June YTD"}</definedName>
    <definedName name="ANNA" localSheetId="11" hidden="1">{"det (May)",#N/A,FALSE,"June";"sum (MAY YTD)",#N/A,FALSE,"June YTD"}</definedName>
    <definedName name="ANNA" localSheetId="10" hidden="1">{"det (May)",#N/A,FALSE,"June";"sum (MAY YTD)",#N/A,FALSE,"June YTD"}</definedName>
    <definedName name="ANNA" localSheetId="4" hidden="1">{"det (May)",#N/A,FALSE,"June";"sum (MAY YTD)",#N/A,FALSE,"June YTD"}</definedName>
    <definedName name="ANNA" localSheetId="8" hidden="1">{"det (May)",#N/A,FALSE,"June";"sum (MAY YTD)",#N/A,FALSE,"June YTD"}</definedName>
    <definedName name="ANNA" localSheetId="6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9" hidden="1">{"det (May)",#N/A,FALSE,"June";"sum (MAY YTD)",#N/A,FALSE,"June YTD"}</definedName>
    <definedName name="ANNA" localSheetId="2" hidden="1">{"det (May)",#N/A,FALSE,"June";"sum (MAY YTD)",#N/A,FALSE,"June YTD"}</definedName>
    <definedName name="ANNA" localSheetId="7" hidden="1">{"det (May)",#N/A,FALSE,"June";"sum (MAY YTD)",#N/A,FALSE,"June YTD"}</definedName>
    <definedName name="ANNA" localSheetId="1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COVER!$A$1:$M$36</definedName>
    <definedName name="_xlnm.Print_Area" localSheetId="5">'RÁDIO - FRANCA'!$A$1:$G$11</definedName>
    <definedName name="_xlnm.Print_Area" localSheetId="9">'RÁDIO - JALES'!$A$1:$G$11</definedName>
    <definedName name="_xlnm.Print_Area" localSheetId="2">'RÁDIO - PAULINIA'!$A$1:$G$11</definedName>
    <definedName name="_xlnm.Print_Area" localSheetId="7">'RÁDIO - PRESIDENTE PRUDENTE'!$A$1:$G$11</definedName>
    <definedName name="AS2DocOpenMode" hidden="1">"AS2DocumentBrowse"</definedName>
    <definedName name="aSa" localSheetId="0" hidden="1">#REF!</definedName>
    <definedName name="aSa" localSheetId="5" hidden="1">#REF!</definedName>
    <definedName name="aSa" localSheetId="9" hidden="1">#REF!</definedName>
    <definedName name="aSa" localSheetId="2" hidden="1">#REF!</definedName>
    <definedName name="aSa" localSheetId="7" hidden="1">#REF!</definedName>
    <definedName name="aSa" hidden="1">#REF!</definedName>
    <definedName name="asasdasd" localSheetId="0" hidden="1">#REF!</definedName>
    <definedName name="asasdasd" localSheetId="5" hidden="1">#REF!</definedName>
    <definedName name="asasdasd" localSheetId="9" hidden="1">#REF!</definedName>
    <definedName name="asasdasd" localSheetId="2" hidden="1">#REF!</definedName>
    <definedName name="asasdasd" localSheetId="7" hidden="1">#REF!</definedName>
    <definedName name="asasdasd" hidden="1">#REF!</definedName>
    <definedName name="asd" localSheetId="0" hidden="1">#REF!</definedName>
    <definedName name="asd" localSheetId="5" hidden="1">#REF!</definedName>
    <definedName name="asd" localSheetId="9" hidden="1">#REF!</definedName>
    <definedName name="asd" localSheetId="2" hidden="1">#REF!</definedName>
    <definedName name="asd" localSheetId="7" hidden="1">#REF!</definedName>
    <definedName name="asd" hidden="1">#REF!</definedName>
    <definedName name="B" localSheetId="0" hidden="1">#REF!</definedName>
    <definedName name="B" localSheetId="5" hidden="1">#REF!</definedName>
    <definedName name="B" localSheetId="9" hidden="1">#REF!</definedName>
    <definedName name="B" localSheetId="2" hidden="1">#REF!</definedName>
    <definedName name="B" localSheetId="7" hidden="1">#REF!</definedName>
    <definedName name="B" hidden="1">#REF!</definedName>
    <definedName name="B.IV.r" localSheetId="11" hidden="1">{"det (May)",#N/A,FALSE,"June";"sum (MAY YTD)",#N/A,FALSE,"June YTD"}</definedName>
    <definedName name="B.IV.r" localSheetId="10" hidden="1">{"det (May)",#N/A,FALSE,"June";"sum (MAY YTD)",#N/A,FALSE,"June YTD"}</definedName>
    <definedName name="B.IV.r" localSheetId="4" hidden="1">{"det (May)",#N/A,FALSE,"June";"sum (MAY YTD)",#N/A,FALSE,"June YTD"}</definedName>
    <definedName name="B.IV.r" localSheetId="8" hidden="1">{"det (May)",#N/A,FALSE,"June";"sum (MAY YTD)",#N/A,FALSE,"June YTD"}</definedName>
    <definedName name="B.IV.r" localSheetId="6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9" hidden="1">{"det (May)",#N/A,FALSE,"June";"sum (MAY YTD)",#N/A,FALSE,"June YTD"}</definedName>
    <definedName name="B.IV.r" localSheetId="2" hidden="1">{"det (May)",#N/A,FALSE,"June";"sum (MAY YTD)",#N/A,FALSE,"June YTD"}</definedName>
    <definedName name="B.IV.r" localSheetId="7" hidden="1">{"det (May)",#N/A,FALSE,"June";"sum (MAY YTD)",#N/A,FALSE,"June YTD"}</definedName>
    <definedName name="B.IV.r" localSheetId="1" hidden="1">{"det (May)",#N/A,FALSE,"June";"sum (MAY YTD)",#N/A,FALSE,"June YTD"}</definedName>
    <definedName name="B.IV.r" hidden="1">{"det (May)",#N/A,FALSE,"June";"sum (MAY YTD)",#N/A,FALSE,"June YTD"}</definedName>
    <definedName name="B.IV.r.SBC" localSheetId="11" hidden="1">{"det (May)",#N/A,FALSE,"June";"sum (MAY YTD)",#N/A,FALSE,"June YTD"}</definedName>
    <definedName name="B.IV.r.SBC" localSheetId="10" hidden="1">{"det (May)",#N/A,FALSE,"June";"sum (MAY YTD)",#N/A,FALSE,"June YTD"}</definedName>
    <definedName name="B.IV.r.SBC" localSheetId="4" hidden="1">{"det (May)",#N/A,FALSE,"June";"sum (MAY YTD)",#N/A,FALSE,"June YTD"}</definedName>
    <definedName name="B.IV.r.SBC" localSheetId="8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9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7" hidden="1">{"det (May)",#N/A,FALSE,"June";"sum (MAY YTD)",#N/A,FALSE,"June YTD"}</definedName>
    <definedName name="B.IV.r.SBC" localSheetId="1" hidden="1">{"det (May)",#N/A,FALSE,"June";"sum (MAY YTD)",#N/A,FALSE,"June YTD"}</definedName>
    <definedName name="B.IV.r.SBC" hidden="1">{"det (May)",#N/A,FALSE,"June";"sum (MAY YTD)",#N/A,FALSE,"June YTD"}</definedName>
    <definedName name="bhub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localSheetId="5" hidden="1">#REF!</definedName>
    <definedName name="bi" localSheetId="9" hidden="1">#REF!</definedName>
    <definedName name="bi" localSheetId="2" hidden="1">#REF!</definedName>
    <definedName name="bi" localSheetId="7" hidden="1">#REF!</definedName>
    <definedName name="bi" hidden="1">#REF!</definedName>
    <definedName name="blb" localSheetId="11" hidden="1">{"det (May)",#N/A,FALSE,"June";"sum (MAY YTD)",#N/A,FALSE,"June YTD"}</definedName>
    <definedName name="blb" localSheetId="10" hidden="1">{"det (May)",#N/A,FALSE,"June";"sum (MAY YTD)",#N/A,FALSE,"June YTD"}</definedName>
    <definedName name="blb" localSheetId="4" hidden="1">{"det (May)",#N/A,FALSE,"June";"sum (MAY YTD)",#N/A,FALSE,"June YTD"}</definedName>
    <definedName name="blb" localSheetId="8" hidden="1">{"det (May)",#N/A,FALSE,"June";"sum (MAY YTD)",#N/A,FALSE,"June YTD"}</definedName>
    <definedName name="blb" localSheetId="6" hidden="1">{"det (May)",#N/A,FALSE,"June";"sum (MAY YTD)",#N/A,FALSE,"June YTD"}</definedName>
    <definedName name="blb" localSheetId="5" hidden="1">{"det (May)",#N/A,FALSE,"June";"sum (MAY YTD)",#N/A,FALSE,"June YTD"}</definedName>
    <definedName name="blb" localSheetId="9" hidden="1">{"det (May)",#N/A,FALSE,"June";"sum (MAY YTD)",#N/A,FALSE,"June YTD"}</definedName>
    <definedName name="blb" localSheetId="2" hidden="1">{"det (May)",#N/A,FALSE,"June";"sum (MAY YTD)",#N/A,FALSE,"June YTD"}</definedName>
    <definedName name="blb" localSheetId="7" hidden="1">{"det (May)",#N/A,FALSE,"June";"sum (MAY YTD)",#N/A,FALSE,"June YTD"}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hidden="1">#REF!</definedName>
    <definedName name="book" localSheetId="11" hidden="1">{"det (May)",#N/A,FALSE,"June";"sum (MAY YTD)",#N/A,FALSE,"June YTD"}</definedName>
    <definedName name="book" localSheetId="10" hidden="1">{"det (May)",#N/A,FALSE,"June";"sum (MAY YTD)",#N/A,FALSE,"June YTD"}</definedName>
    <definedName name="book" localSheetId="4" hidden="1">{"det (May)",#N/A,FALSE,"June";"sum (MAY YTD)",#N/A,FALSE,"June YTD"}</definedName>
    <definedName name="book" localSheetId="8" hidden="1">{"det (May)",#N/A,FALSE,"June";"sum (MAY YTD)",#N/A,FALSE,"June YTD"}</definedName>
    <definedName name="book" localSheetId="6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9" hidden="1">{"det (May)",#N/A,FALSE,"June";"sum (MAY YTD)",#N/A,FALSE,"June YTD"}</definedName>
    <definedName name="book" localSheetId="2" hidden="1">{"det (May)",#N/A,FALSE,"June";"sum (MAY YTD)",#N/A,FALSE,"June YTD"}</definedName>
    <definedName name="book" localSheetId="7" hidden="1">{"det (May)",#N/A,FALSE,"June";"sum (MAY YTD)",#N/A,FALSE,"June YTD"}</definedName>
    <definedName name="book" localSheetId="1" hidden="1">{"det (May)",#N/A,FALSE,"June";"sum (MAY YTD)",#N/A,FALSE,"June YTD"}</definedName>
    <definedName name="book" hidden="1">{"det (May)",#N/A,FALSE,"June";"sum (MAY YTD)",#N/A,FALSE,"June YTD"}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>#REF!</definedName>
    <definedName name="Capa" hidden="1">#REF!</definedName>
    <definedName name="Capanova" localSheetId="0" hidden="1">#REF!</definedName>
    <definedName name="Capanova" localSheetId="5" hidden="1">#REF!</definedName>
    <definedName name="Capanova" localSheetId="9" hidden="1">#REF!</definedName>
    <definedName name="Capanova" localSheetId="2" hidden="1">#REF!</definedName>
    <definedName name="Capanova" localSheetId="7" hidden="1">#REF!</definedName>
    <definedName name="Capanova" hidden="1">#REF!</definedName>
    <definedName name="CAPTURA2" localSheetId="11" hidden="1">{"'171'!$A$1:$Z$50"}</definedName>
    <definedName name="CAPTURA2" localSheetId="10" hidden="1">{"'171'!$A$1:$Z$50"}</definedName>
    <definedName name="CAPTURA2" localSheetId="4" hidden="1">{"'171'!$A$1:$Z$50"}</definedName>
    <definedName name="CAPTURA2" localSheetId="8" hidden="1">{"'171'!$A$1:$Z$50"}</definedName>
    <definedName name="CAPTURA2" localSheetId="6" hidden="1">{"'171'!$A$1:$Z$50"}</definedName>
    <definedName name="CAPTURA2" localSheetId="5" hidden="1">{"'171'!$A$1:$Z$50"}</definedName>
    <definedName name="CAPTURA2" localSheetId="9" hidden="1">{"'171'!$A$1:$Z$50"}</definedName>
    <definedName name="CAPTURA2" localSheetId="2" hidden="1">{"'171'!$A$1:$Z$50"}</definedName>
    <definedName name="CAPTURA2" localSheetId="7" hidden="1">{"'171'!$A$1:$Z$50"}</definedName>
    <definedName name="CAPTURA2" localSheetId="1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localSheetId="5" hidden="1">#REF!</definedName>
    <definedName name="cc" localSheetId="9" hidden="1">#REF!</definedName>
    <definedName name="cc" localSheetId="2" hidden="1">#REF!</definedName>
    <definedName name="cc" localSheetId="7" hidden="1">#REF!</definedName>
    <definedName name="cc" hidden="1">#REF!</definedName>
    <definedName name="cf" localSheetId="11" hidden="1">{#N/A,#N/A,FALSE,"TOTAL"}</definedName>
    <definedName name="cf" localSheetId="10" hidden="1">{#N/A,#N/A,FALSE,"TOTAL"}</definedName>
    <definedName name="cf" localSheetId="4" hidden="1">{#N/A,#N/A,FALSE,"TOTAL"}</definedName>
    <definedName name="cf" localSheetId="8" hidden="1">{#N/A,#N/A,FALSE,"TOTAL"}</definedName>
    <definedName name="cf" localSheetId="6" hidden="1">{#N/A,#N/A,FALSE,"TOTAL"}</definedName>
    <definedName name="cf" localSheetId="5" hidden="1">{#N/A,#N/A,FALSE,"TOTAL"}</definedName>
    <definedName name="cf" localSheetId="9" hidden="1">{#N/A,#N/A,FALSE,"TOTAL"}</definedName>
    <definedName name="cf" localSheetId="2" hidden="1">{#N/A,#N/A,FALSE,"TOTAL"}</definedName>
    <definedName name="cf" localSheetId="7" hidden="1">{#N/A,#N/A,FALSE,"TOTAL"}</definedName>
    <definedName name="cf" localSheetId="1" hidden="1">{#N/A,#N/A,FALSE,"TOTAL"}</definedName>
    <definedName name="cf" hidden="1">{#N/A,#N/A,FALSE,"TOTAL"}</definedName>
    <definedName name="cinema" hidden="1">#REF!</definedName>
    <definedName name="CLIENTE">#REF!</definedName>
    <definedName name="crono" localSheetId="11" hidden="1">{"'crono'!$U$12:$W$20"}</definedName>
    <definedName name="crono" localSheetId="10" hidden="1">{"'crono'!$U$12:$W$20"}</definedName>
    <definedName name="crono" localSheetId="4" hidden="1">{"'crono'!$U$12:$W$20"}</definedName>
    <definedName name="crono" localSheetId="8" hidden="1">{"'crono'!$U$12:$W$20"}</definedName>
    <definedName name="crono" localSheetId="6" hidden="1">{"'crono'!$U$12:$W$20"}</definedName>
    <definedName name="crono" localSheetId="5" hidden="1">{"'crono'!$U$12:$W$20"}</definedName>
    <definedName name="crono" localSheetId="9" hidden="1">{"'crono'!$U$12:$W$20"}</definedName>
    <definedName name="crono" localSheetId="2" hidden="1">{"'crono'!$U$12:$W$20"}</definedName>
    <definedName name="crono" localSheetId="7" hidden="1">{"'crono'!$U$12:$W$20"}</definedName>
    <definedName name="crono" localSheetId="1" hidden="1">{"'crono'!$U$12:$W$20"}</definedName>
    <definedName name="crono" hidden="1">{"'crono'!$U$12:$W$20"}</definedName>
    <definedName name="CURVA2" localSheetId="11" hidden="1">{"'171'!$A$1:$Z$50"}</definedName>
    <definedName name="CURVA2" localSheetId="10" hidden="1">{"'171'!$A$1:$Z$50"}</definedName>
    <definedName name="CURVA2" localSheetId="4" hidden="1">{"'171'!$A$1:$Z$50"}</definedName>
    <definedName name="CURVA2" localSheetId="8" hidden="1">{"'171'!$A$1:$Z$50"}</definedName>
    <definedName name="CURVA2" localSheetId="6" hidden="1">{"'171'!$A$1:$Z$50"}</definedName>
    <definedName name="CURVA2" localSheetId="5" hidden="1">{"'171'!$A$1:$Z$50"}</definedName>
    <definedName name="CURVA2" localSheetId="9" hidden="1">{"'171'!$A$1:$Z$50"}</definedName>
    <definedName name="CURVA2" localSheetId="2" hidden="1">{"'171'!$A$1:$Z$50"}</definedName>
    <definedName name="CURVA2" localSheetId="7" hidden="1">{"'171'!$A$1:$Z$50"}</definedName>
    <definedName name="CURVA2" localSheetId="1" hidden="1">{"'171'!$A$1:$Z$50"}</definedName>
    <definedName name="CURVA2" hidden="1">{"'171'!$A$1:$Z$50"}</definedName>
    <definedName name="DocumentDate">#N/A</definedName>
    <definedName name="DocumentYear" localSheetId="5">#N/A</definedName>
    <definedName name="DocumentYear" localSheetId="9">#N/A</definedName>
    <definedName name="DocumentYear" localSheetId="2">#N/A</definedName>
    <definedName name="DocumentYear" localSheetId="7">#N/A</definedName>
    <definedName name="DocumentYear">#N/A</definedName>
    <definedName name="DONO">'[4]Conversão-Mercha'!#REF!</definedName>
    <definedName name="dsds" localSheetId="0" hidden="1">#REF!</definedName>
    <definedName name="dsds" localSheetId="5" hidden="1">#REF!</definedName>
    <definedName name="dsds" localSheetId="9" hidden="1">#REF!</definedName>
    <definedName name="dsds" localSheetId="2" hidden="1">#REF!</definedName>
    <definedName name="dsds" localSheetId="7" hidden="1">#REF!</definedName>
    <definedName name="dsds" hidden="1">#REF!</definedName>
    <definedName name="DZVVDS" hidden="1">#REF!</definedName>
    <definedName name="ee" localSheetId="11" hidden="1">{"det (May)",#N/A,FALSE,"June";"sum (MAY YTD)",#N/A,FALSE,"June YTD"}</definedName>
    <definedName name="ee" localSheetId="10" hidden="1">{"det (May)",#N/A,FALSE,"June";"sum (MAY YTD)",#N/A,FALSE,"June YTD"}</definedName>
    <definedName name="ee" localSheetId="4" hidden="1">{"det (May)",#N/A,FALSE,"June";"sum (MAY YTD)",#N/A,FALSE,"June YTD"}</definedName>
    <definedName name="ee" localSheetId="8" hidden="1">{"det (May)",#N/A,FALSE,"June";"sum (MAY YTD)",#N/A,FALSE,"June YTD"}</definedName>
    <definedName name="ee" localSheetId="6" hidden="1">{"det (May)",#N/A,FALSE,"June";"sum (MAY YTD)",#N/A,FALSE,"June YTD"}</definedName>
    <definedName name="ee" localSheetId="5" hidden="1">{"det (May)",#N/A,FALSE,"June";"sum (MAY YTD)",#N/A,FALSE,"June YTD"}</definedName>
    <definedName name="ee" localSheetId="9" hidden="1">{"det (May)",#N/A,FALSE,"June";"sum (MAY YTD)",#N/A,FALSE,"June YTD"}</definedName>
    <definedName name="ee" localSheetId="2" hidden="1">{"det (May)",#N/A,FALSE,"June";"sum (MAY YTD)",#N/A,FALSE,"June YTD"}</definedName>
    <definedName name="ee" localSheetId="7" hidden="1">{"det (May)",#N/A,FALSE,"June";"sum (MAY YTD)",#N/A,FALSE,"June YTD"}</definedName>
    <definedName name="ee" localSheetId="1" hidden="1">{"det (May)",#N/A,FALSE,"June";"sum (MAY YTD)",#N/A,FALSE,"June YTD"}</definedName>
    <definedName name="ee" hidden="1">{"det (May)",#N/A,FALSE,"June";"sum (MAY YTD)",#N/A,FALSE,"June YTD"}</definedName>
    <definedName name="ef" hidden="1">#REF!</definedName>
    <definedName name="Equatorial" localSheetId="11" hidden="1">{#N/A,#N/A,FALSE,"TOTAL"}</definedName>
    <definedName name="Equatorial" localSheetId="10" hidden="1">{#N/A,#N/A,FALSE,"TOTAL"}</definedName>
    <definedName name="Equatorial" localSheetId="4" hidden="1">{#N/A,#N/A,FALSE,"TOTAL"}</definedName>
    <definedName name="Equatorial" localSheetId="8" hidden="1">{#N/A,#N/A,FALSE,"TOTAL"}</definedName>
    <definedName name="Equatorial" localSheetId="6" hidden="1">{#N/A,#N/A,FALSE,"TOTAL"}</definedName>
    <definedName name="Equatorial" localSheetId="5" hidden="1">{#N/A,#N/A,FALSE,"TOTAL"}</definedName>
    <definedName name="Equatorial" localSheetId="9" hidden="1">{#N/A,#N/A,FALSE,"TOTAL"}</definedName>
    <definedName name="Equatorial" localSheetId="2" hidden="1">{#N/A,#N/A,FALSE,"TOTAL"}</definedName>
    <definedName name="Equatorial" localSheetId="7" hidden="1">{#N/A,#N/A,FALSE,"TOTAL"}</definedName>
    <definedName name="Equatorial" localSheetId="1" hidden="1">{#N/A,#N/A,FALSE,"TOTAL"}</definedName>
    <definedName name="Equatorial" hidden="1">{#N/A,#N/A,FALSE,"TOTAL"}</definedName>
    <definedName name="er" hidden="1">#REF!</definedName>
    <definedName name="erbg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6_1">#REF!</definedName>
    <definedName name="Excel_BuiltIn_Print_Area_8_1">#REF!</definedName>
    <definedName name="F" localSheetId="0" hidden="1">#REF!</definedName>
    <definedName name="F" localSheetId="5" hidden="1">#REF!</definedName>
    <definedName name="F" localSheetId="9" hidden="1">#REF!</definedName>
    <definedName name="F" localSheetId="2" hidden="1">#REF!</definedName>
    <definedName name="F" localSheetId="7" hidden="1">#REF!</definedName>
    <definedName name="F" hidden="1">#REF!</definedName>
    <definedName name="fd" hidden="1">#REF!</definedName>
    <definedName name="fdhgxd" localSheetId="0" hidden="1">#REF!</definedName>
    <definedName name="fdhgxd" localSheetId="5" hidden="1">#REF!</definedName>
    <definedName name="fdhgxd" localSheetId="9" hidden="1">#REF!</definedName>
    <definedName name="fdhgxd" localSheetId="2" hidden="1">#REF!</definedName>
    <definedName name="fdhgxd" localSheetId="7" hidden="1">#REF!</definedName>
    <definedName name="fdhgxd" hidden="1">#REF!</definedName>
    <definedName name="FEVEREIRO" localSheetId="11" hidden="1">{"'crono'!$U$12:$W$20"}</definedName>
    <definedName name="FEVEREIRO" localSheetId="10" hidden="1">{"'crono'!$U$12:$W$20"}</definedName>
    <definedName name="FEVEREIRO" localSheetId="4" hidden="1">{"'crono'!$U$12:$W$20"}</definedName>
    <definedName name="FEVEREIRO" localSheetId="8" hidden="1">{"'crono'!$U$12:$W$20"}</definedName>
    <definedName name="FEVEREIRO" localSheetId="6" hidden="1">{"'crono'!$U$12:$W$20"}</definedName>
    <definedName name="FEVEREIRO" localSheetId="5" hidden="1">{"'crono'!$U$12:$W$20"}</definedName>
    <definedName name="FEVEREIRO" localSheetId="9" hidden="1">{"'crono'!$U$12:$W$20"}</definedName>
    <definedName name="FEVEREIRO" localSheetId="2" hidden="1">{"'crono'!$U$12:$W$20"}</definedName>
    <definedName name="FEVEREIRO" localSheetId="7" hidden="1">{"'crono'!$U$12:$W$20"}</definedName>
    <definedName name="FEVEREIRO" localSheetId="1" hidden="1">{"'crono'!$U$12:$W$20"}</definedName>
    <definedName name="FEVEREIRO" hidden="1">{"'crono'!$U$12:$W$20"}</definedName>
    <definedName name="fffffff" localSheetId="11" hidden="1">{"'Janeiro'!$A$1:$I$153"}</definedName>
    <definedName name="fffffff" localSheetId="0" hidden="1">{"'Janeiro'!$A$1:$I$153"}</definedName>
    <definedName name="fffffff" localSheetId="10" hidden="1">{"'Janeiro'!$A$1:$I$153"}</definedName>
    <definedName name="fffffff" localSheetId="4" hidden="1">{"'Janeiro'!$A$1:$I$153"}</definedName>
    <definedName name="fffffff" localSheetId="8" hidden="1">{"'Janeiro'!$A$1:$I$153"}</definedName>
    <definedName name="fffffff" localSheetId="6" hidden="1">{"'Janeiro'!$A$1:$I$153"}</definedName>
    <definedName name="fffffff" localSheetId="5" hidden="1">{"'Janeiro'!$A$1:$I$153"}</definedName>
    <definedName name="fffffff" localSheetId="9" hidden="1">{"'Janeiro'!$A$1:$I$153"}</definedName>
    <definedName name="fffffff" localSheetId="2" hidden="1">{"'Janeiro'!$A$1:$I$153"}</definedName>
    <definedName name="fffffff" localSheetId="7" hidden="1">{"'Janeiro'!$A$1:$I$153"}</definedName>
    <definedName name="fffffff" localSheetId="1" hidden="1">{"'Janeiro'!$A$1:$I$153"}</definedName>
    <definedName name="fffffff" hidden="1">{"'Janeiro'!$A$1:$I$153"}</definedName>
    <definedName name="Fig" localSheetId="11" hidden="1">{"det (May)",#N/A,FALSE,"June";"sum (MAY YTD)",#N/A,FALSE,"June YTD"}</definedName>
    <definedName name="Fig" localSheetId="10" hidden="1">{"det (May)",#N/A,FALSE,"June";"sum (MAY YTD)",#N/A,FALSE,"June YTD"}</definedName>
    <definedName name="Fig" localSheetId="4" hidden="1">{"det (May)",#N/A,FALSE,"June";"sum (MAY YTD)",#N/A,FALSE,"June YTD"}</definedName>
    <definedName name="Fig" localSheetId="8" hidden="1">{"det (May)",#N/A,FALSE,"June";"sum (MAY YTD)",#N/A,FALSE,"June YTD"}</definedName>
    <definedName name="Fig" localSheetId="6" hidden="1">{"det (May)",#N/A,FALSE,"June";"sum (MAY YTD)",#N/A,FALSE,"June YTD"}</definedName>
    <definedName name="Fig" localSheetId="5" hidden="1">{"det (May)",#N/A,FALSE,"June";"sum (MAY YTD)",#N/A,FALSE,"June YTD"}</definedName>
    <definedName name="Fig" localSheetId="9" hidden="1">{"det (May)",#N/A,FALSE,"June";"sum (MAY YTD)",#N/A,FALSE,"June YTD"}</definedName>
    <definedName name="Fig" localSheetId="2" hidden="1">{"det (May)",#N/A,FALSE,"June";"sum (MAY YTD)",#N/A,FALSE,"June YTD"}</definedName>
    <definedName name="Fig" localSheetId="7" hidden="1">{"det (May)",#N/A,FALSE,"June";"sum (MAY YTD)",#N/A,FALSE,"June YTD"}</definedName>
    <definedName name="Fig" localSheetId="1" hidden="1">{"det (May)",#N/A,FALSE,"June";"sum (MAY YTD)",#N/A,FALSE,"June YTD"}</definedName>
    <definedName name="Fig" hidden="1">{"det (May)",#N/A,FALSE,"June";"sum (MAY YTD)",#N/A,FALSE,"June YTD"}</definedName>
    <definedName name="fk" hidden="1">#REF!</definedName>
    <definedName name="fkf" hidden="1">#REF!</definedName>
    <definedName name="fkhurf" hidden="1">#REF!</definedName>
    <definedName name="frgtgt" hidden="1">#REF!</definedName>
    <definedName name="G" localSheetId="0" hidden="1">#REF!</definedName>
    <definedName name="G" localSheetId="5" hidden="1">#REF!</definedName>
    <definedName name="G" localSheetId="9" hidden="1">#REF!</definedName>
    <definedName name="G" localSheetId="2" hidden="1">#REF!</definedName>
    <definedName name="G" localSheetId="7" hidden="1">#REF!</definedName>
    <definedName name="G" hidden="1">#REF!</definedName>
    <definedName name="gbe" hidden="1">#REF!</definedName>
    <definedName name="GFDGASD">#REF!</definedName>
    <definedName name="gfggfdgadfg" localSheetId="11" hidden="1">{"'Janeiro'!$A$1:$I$153"}</definedName>
    <definedName name="gfggfdgadfg" localSheetId="0" hidden="1">{"'Janeiro'!$A$1:$I$153"}</definedName>
    <definedName name="gfggfdgadfg" localSheetId="10" hidden="1">{"'Janeiro'!$A$1:$I$153"}</definedName>
    <definedName name="gfggfdgadfg" localSheetId="4" hidden="1">{"'Janeiro'!$A$1:$I$153"}</definedName>
    <definedName name="gfggfdgadfg" localSheetId="8" hidden="1">{"'Janeiro'!$A$1:$I$153"}</definedName>
    <definedName name="gfggfdgadfg" localSheetId="6" hidden="1">{"'Janeiro'!$A$1:$I$153"}</definedName>
    <definedName name="gfggfdgadfg" localSheetId="5" hidden="1">{"'Janeiro'!$A$1:$I$153"}</definedName>
    <definedName name="gfggfdgadfg" localSheetId="9" hidden="1">{"'Janeiro'!$A$1:$I$153"}</definedName>
    <definedName name="gfggfdgadfg" localSheetId="2" hidden="1">{"'Janeiro'!$A$1:$I$153"}</definedName>
    <definedName name="gfggfdgadfg" localSheetId="7" hidden="1">{"'Janeiro'!$A$1:$I$153"}</definedName>
    <definedName name="gfggfdgadfg" localSheetId="1" hidden="1">{"'Janeiro'!$A$1:$I$153"}</definedName>
    <definedName name="gfggfdgadfg" hidden="1">{"'Janeiro'!$A$1:$I$153"}</definedName>
    <definedName name="gfr" localSheetId="0" hidden="1">#REF!</definedName>
    <definedName name="gfr" localSheetId="5" hidden="1">#REF!</definedName>
    <definedName name="gfr" localSheetId="9" hidden="1">#REF!</definedName>
    <definedName name="gfr" localSheetId="2" hidden="1">#REF!</definedName>
    <definedName name="gfr" localSheetId="7" hidden="1">#REF!</definedName>
    <definedName name="gfr" hidden="1">#REF!</definedName>
    <definedName name="gg" localSheetId="0" hidden="1">#REF!</definedName>
    <definedName name="gg" localSheetId="5" hidden="1">#REF!</definedName>
    <definedName name="gg" localSheetId="9" hidden="1">#REF!</definedName>
    <definedName name="gg" localSheetId="2" hidden="1">#REF!</definedName>
    <definedName name="gg" localSheetId="7" hidden="1">#REF!</definedName>
    <definedName name="gg" hidden="1">#REF!</definedName>
    <definedName name="gggggggggggggggg" localSheetId="11" hidden="1">{"'Janeiro'!$A$1:$I$153"}</definedName>
    <definedName name="gggggggggggggggg" localSheetId="0" hidden="1">{"'Janeiro'!$A$1:$I$153"}</definedName>
    <definedName name="gggggggggggggggg" localSheetId="10" hidden="1">{"'Janeiro'!$A$1:$I$153"}</definedName>
    <definedName name="gggggggggggggggg" localSheetId="4" hidden="1">{"'Janeiro'!$A$1:$I$153"}</definedName>
    <definedName name="gggggggggggggggg" localSheetId="8" hidden="1">{"'Janeiro'!$A$1:$I$153"}</definedName>
    <definedName name="gggggggggggggggg" localSheetId="6" hidden="1">{"'Janeiro'!$A$1:$I$153"}</definedName>
    <definedName name="gggggggggggggggg" localSheetId="5" hidden="1">{"'Janeiro'!$A$1:$I$153"}</definedName>
    <definedName name="gggggggggggggggg" localSheetId="9" hidden="1">{"'Janeiro'!$A$1:$I$153"}</definedName>
    <definedName name="gggggggggggggggg" localSheetId="2" hidden="1">{"'Janeiro'!$A$1:$I$153"}</definedName>
    <definedName name="gggggggggggggggg" localSheetId="7" hidden="1">{"'Janeiro'!$A$1:$I$153"}</definedName>
    <definedName name="gggggggggggggggg" localSheetId="1" hidden="1">{"'Janeiro'!$A$1:$I$153"}</definedName>
    <definedName name="gggggggggggggggg" hidden="1">{"'Janeiro'!$A$1:$I$153"}</definedName>
    <definedName name="gtg" hidden="1">#REF!</definedName>
    <definedName name="hb" hidden="1">#REF!</definedName>
    <definedName name="hh" localSheetId="11" hidden="1">{"'Janeiro'!$A$1:$I$153"}</definedName>
    <definedName name="hh" localSheetId="0" hidden="1">{"'Janeiro'!$A$1:$I$153"}</definedName>
    <definedName name="hh" localSheetId="10" hidden="1">{"'Janeiro'!$A$1:$I$153"}</definedName>
    <definedName name="hh" localSheetId="4" hidden="1">{"'Janeiro'!$A$1:$I$153"}</definedName>
    <definedName name="hh" localSheetId="8" hidden="1">{"'Janeiro'!$A$1:$I$153"}</definedName>
    <definedName name="hh" localSheetId="6" hidden="1">{"'Janeiro'!$A$1:$I$153"}</definedName>
    <definedName name="hh" localSheetId="5" hidden="1">{"'Janeiro'!$A$1:$I$153"}</definedName>
    <definedName name="hh" localSheetId="9" hidden="1">{"'Janeiro'!$A$1:$I$153"}</definedName>
    <definedName name="hh" localSheetId="2" hidden="1">{"'Janeiro'!$A$1:$I$153"}</definedName>
    <definedName name="hh" localSheetId="7" hidden="1">{"'Janeiro'!$A$1:$I$153"}</definedName>
    <definedName name="hh" localSheetId="1" hidden="1">{"'Janeiro'!$A$1:$I$153"}</definedName>
    <definedName name="hh" hidden="1">{"'Janeiro'!$A$1:$I$153"}</definedName>
    <definedName name="hj">#REF!</definedName>
    <definedName name="hjit" hidden="1">#REF!</definedName>
    <definedName name="htht" hidden="1">#REF!</definedName>
    <definedName name="hthth" hidden="1">#REF!</definedName>
    <definedName name="hthy" hidden="1">#REF!</definedName>
    <definedName name="HTML_CodePage" hidden="1">1252</definedName>
    <definedName name="HTML_Control" localSheetId="11" hidden="1">{"'Janeiro'!$A$1:$I$153"}</definedName>
    <definedName name="HTML_Control" localSheetId="0" hidden="1">{"'Janeiro'!$A$1:$I$153"}</definedName>
    <definedName name="HTML_Control" localSheetId="10" hidden="1">{"'Janeiro'!$A$1:$I$153"}</definedName>
    <definedName name="HTML_Control" localSheetId="4" hidden="1">{"'Janeiro'!$A$1:$I$153"}</definedName>
    <definedName name="HTML_Control" localSheetId="8" hidden="1">{"'Janeiro'!$A$1:$I$153"}</definedName>
    <definedName name="HTML_Control" localSheetId="6" hidden="1">{"'Janeiro'!$A$1:$I$153"}</definedName>
    <definedName name="HTML_Control" localSheetId="5" hidden="1">{"'Janeiro'!$A$1:$I$153"}</definedName>
    <definedName name="HTML_Control" localSheetId="9" hidden="1">{"'Janeiro'!$A$1:$I$153"}</definedName>
    <definedName name="HTML_Control" localSheetId="2" hidden="1">{"'Janeiro'!$A$1:$I$153"}</definedName>
    <definedName name="HTML_Control" localSheetId="7" hidden="1">{"'Janeiro'!$A$1:$I$153"}</definedName>
    <definedName name="HTML_Control" localSheetId="1" hidden="1">{"'Janeiro'!$A$1:$I$153"}</definedName>
    <definedName name="HTML_Control" hidden="1">{"'Janeiro'!$A$1:$I$153"}</definedName>
    <definedName name="HTML_Control2" localSheetId="11" hidden="1">{"'171'!$A$1:$Z$50"}</definedName>
    <definedName name="HTML_Control2" localSheetId="10" hidden="1">{"'171'!$A$1:$Z$50"}</definedName>
    <definedName name="HTML_Control2" localSheetId="4" hidden="1">{"'171'!$A$1:$Z$50"}</definedName>
    <definedName name="HTML_Control2" localSheetId="8" hidden="1">{"'171'!$A$1:$Z$50"}</definedName>
    <definedName name="HTML_Control2" localSheetId="6" hidden="1">{"'171'!$A$1:$Z$50"}</definedName>
    <definedName name="HTML_Control2" localSheetId="5" hidden="1">{"'171'!$A$1:$Z$50"}</definedName>
    <definedName name="HTML_Control2" localSheetId="9" hidden="1">{"'171'!$A$1:$Z$50"}</definedName>
    <definedName name="HTML_Control2" localSheetId="2" hidden="1">{"'171'!$A$1:$Z$50"}</definedName>
    <definedName name="HTML_Control2" localSheetId="7" hidden="1">{"'171'!$A$1:$Z$50"}</definedName>
    <definedName name="HTML_Control2" localSheetId="1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>#REF!</definedName>
    <definedName name="jljl" localSheetId="11" hidden="1">{"det (May)",#N/A,FALSE,"June";"sum (MAY YTD)",#N/A,FALSE,"June YTD"}</definedName>
    <definedName name="jljl" localSheetId="10" hidden="1">{"det (May)",#N/A,FALSE,"June";"sum (MAY YTD)",#N/A,FALSE,"June YTD"}</definedName>
    <definedName name="jljl" localSheetId="4" hidden="1">{"det (May)",#N/A,FALSE,"June";"sum (MAY YTD)",#N/A,FALSE,"June YTD"}</definedName>
    <definedName name="jljl" localSheetId="8" hidden="1">{"det (May)",#N/A,FALSE,"June";"sum (MAY YTD)",#N/A,FALSE,"June YTD"}</definedName>
    <definedName name="jljl" localSheetId="6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9" hidden="1">{"det (May)",#N/A,FALSE,"June";"sum (MAY YTD)",#N/A,FALSE,"June YTD"}</definedName>
    <definedName name="jljl" localSheetId="2" hidden="1">{"det (May)",#N/A,FALSE,"June";"sum (MAY YTD)",#N/A,FALSE,"June YTD"}</definedName>
    <definedName name="jljl" localSheetId="7" hidden="1">{"det (May)",#N/A,FALSE,"June";"sum (MAY YTD)",#N/A,FALSE,"June YTD"}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rescisão" localSheetId="11" hidden="1">{"'crono'!$U$12:$W$20"}</definedName>
    <definedName name="jrescisão" localSheetId="10" hidden="1">{"'crono'!$U$12:$W$20"}</definedName>
    <definedName name="jrescisão" localSheetId="4" hidden="1">{"'crono'!$U$12:$W$20"}</definedName>
    <definedName name="jrescisão" localSheetId="8" hidden="1">{"'crono'!$U$12:$W$20"}</definedName>
    <definedName name="jrescisão" localSheetId="6" hidden="1">{"'crono'!$U$12:$W$20"}</definedName>
    <definedName name="jrescisão" localSheetId="5" hidden="1">{"'crono'!$U$12:$W$20"}</definedName>
    <definedName name="jrescisão" localSheetId="9" hidden="1">{"'crono'!$U$12:$W$20"}</definedName>
    <definedName name="jrescisão" localSheetId="2" hidden="1">{"'crono'!$U$12:$W$20"}</definedName>
    <definedName name="jrescisão" localSheetId="7" hidden="1">{"'crono'!$U$12:$W$20"}</definedName>
    <definedName name="jrescisão" localSheetId="1" hidden="1">{"'crono'!$U$12:$W$20"}</definedName>
    <definedName name="jrescisão" hidden="1">{"'crono'!$U$12:$W$20"}</definedName>
    <definedName name="kegs" localSheetId="11" hidden="1">{"det (May)",#N/A,FALSE,"June";"sum (MAY YTD)",#N/A,FALSE,"June YTD"}</definedName>
    <definedName name="kegs" localSheetId="10" hidden="1">{"det (May)",#N/A,FALSE,"June";"sum (MAY YTD)",#N/A,FALSE,"June YTD"}</definedName>
    <definedName name="kegs" localSheetId="4" hidden="1">{"det (May)",#N/A,FALSE,"June";"sum (MAY YTD)",#N/A,FALSE,"June YTD"}</definedName>
    <definedName name="kegs" localSheetId="8" hidden="1">{"det (May)",#N/A,FALSE,"June";"sum (MAY YTD)",#N/A,FALSE,"June YTD"}</definedName>
    <definedName name="kegs" localSheetId="6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9" hidden="1">{"det (May)",#N/A,FALSE,"June";"sum (MAY YTD)",#N/A,FALSE,"June YTD"}</definedName>
    <definedName name="kegs" localSheetId="2" hidden="1">{"det (May)",#N/A,FALSE,"June";"sum (MAY YTD)",#N/A,FALSE,"June YTD"}</definedName>
    <definedName name="kegs" localSheetId="7" hidden="1">{"det (May)",#N/A,FALSE,"June";"sum (MAY YTD)",#N/A,FALSE,"June YTD"}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localSheetId="5" hidden="1">#REF!</definedName>
    <definedName name="kf" localSheetId="9" hidden="1">#REF!</definedName>
    <definedName name="kf" localSheetId="2" hidden="1">#REF!</definedName>
    <definedName name="kf" localSheetId="7" hidden="1">#REF!</definedName>
    <definedName name="kf" hidden="1">#REF!</definedName>
    <definedName name="LAURA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localSheetId="5" hidden="1">#REF!</definedName>
    <definedName name="ld" localSheetId="9" hidden="1">#REF!</definedName>
    <definedName name="ld" localSheetId="2" hidden="1">#REF!</definedName>
    <definedName name="ld" localSheetId="7" hidden="1">#REF!</definedName>
    <definedName name="ld" hidden="1">#REF!</definedName>
    <definedName name="limcount" hidden="1">1</definedName>
    <definedName name="LOCPR">'[4]base TV'!$M$2:$BD$4</definedName>
    <definedName name="M">#REF!</definedName>
    <definedName name="MajorHeader" localSheetId="5">#N/A</definedName>
    <definedName name="MajorHeader" localSheetId="9">#N/A</definedName>
    <definedName name="MajorHeader" localSheetId="2">#N/A</definedName>
    <definedName name="MajorHeader" localSheetId="7">#N/A</definedName>
    <definedName name="MajorHeader">#N/A</definedName>
    <definedName name="MCN">'[4]base TV'!$G$5:$G$90</definedName>
    <definedName name="MEDIO">#REF!</definedName>
    <definedName name="merchan" localSheetId="0" hidden="1">#REF!</definedName>
    <definedName name="merchan" localSheetId="5" hidden="1">#REF!</definedName>
    <definedName name="merchan" localSheetId="9" hidden="1">#REF!</definedName>
    <definedName name="merchan" localSheetId="2" hidden="1">#REF!</definedName>
    <definedName name="merchan" localSheetId="7" hidden="1">#REF!</definedName>
    <definedName name="merchan" hidden="1">#REF!</definedName>
    <definedName name="mmm" localSheetId="0" hidden="1">#REF!</definedName>
    <definedName name="mmm" localSheetId="5" hidden="1">#REF!</definedName>
    <definedName name="mmm" localSheetId="9" hidden="1">#REF!</definedName>
    <definedName name="mmm" localSheetId="2" hidden="1">#REF!</definedName>
    <definedName name="mmm" localSheetId="7" hidden="1">#REF!</definedName>
    <definedName name="mmm" hidden="1">#REF!</definedName>
    <definedName name="mn" localSheetId="11" hidden="1">{"'Janeiro'!$A$1:$I$153"}</definedName>
    <definedName name="mn" localSheetId="0" hidden="1">{"'Janeiro'!$A$1:$I$153"}</definedName>
    <definedName name="mn" localSheetId="10" hidden="1">{"'Janeiro'!$A$1:$I$153"}</definedName>
    <definedName name="mn" localSheetId="4" hidden="1">{"'Janeiro'!$A$1:$I$153"}</definedName>
    <definedName name="mn" localSheetId="8" hidden="1">{"'Janeiro'!$A$1:$I$153"}</definedName>
    <definedName name="mn" localSheetId="6" hidden="1">{"'Janeiro'!$A$1:$I$153"}</definedName>
    <definedName name="mn" localSheetId="5" hidden="1">{"'Janeiro'!$A$1:$I$153"}</definedName>
    <definedName name="mn" localSheetId="9" hidden="1">{"'Janeiro'!$A$1:$I$153"}</definedName>
    <definedName name="mn" localSheetId="2" hidden="1">{"'Janeiro'!$A$1:$I$153"}</definedName>
    <definedName name="mn" localSheetId="7" hidden="1">{"'Janeiro'!$A$1:$I$153"}</definedName>
    <definedName name="mn" localSheetId="1" hidden="1">{"'Janeiro'!$A$1:$I$153"}</definedName>
    <definedName name="mn" hidden="1">{"'Janeiro'!$A$1:$I$153"}</definedName>
    <definedName name="N" localSheetId="0" hidden="1">#REF!</definedName>
    <definedName name="N" localSheetId="5" hidden="1">#REF!</definedName>
    <definedName name="N" localSheetId="9" hidden="1">#REF!</definedName>
    <definedName name="N" localSheetId="2" hidden="1">#REF!</definedName>
    <definedName name="N" localSheetId="7" hidden="1">#REF!</definedName>
    <definedName name="N" hidden="1">#REF!</definedName>
    <definedName name="nn" localSheetId="11" hidden="1">{"det (May)",#N/A,FALSE,"June";"sum (MAY YTD)",#N/A,FALSE,"June YTD"}</definedName>
    <definedName name="nn" localSheetId="10" hidden="1">{"det (May)",#N/A,FALSE,"June";"sum (MAY YTD)",#N/A,FALSE,"June YTD"}</definedName>
    <definedName name="nn" localSheetId="4" hidden="1">{"det (May)",#N/A,FALSE,"June";"sum (MAY YTD)",#N/A,FALSE,"June YTD"}</definedName>
    <definedName name="nn" localSheetId="8" hidden="1">{"det (May)",#N/A,FALSE,"June";"sum (MAY YTD)",#N/A,FALSE,"June YTD"}</definedName>
    <definedName name="nn" localSheetId="6" hidden="1">{"det (May)",#N/A,FALSE,"June";"sum (MAY YTD)",#N/A,FALSE,"June YTD"}</definedName>
    <definedName name="nn" localSheetId="5" hidden="1">{"det (May)",#N/A,FALSE,"June";"sum (MAY YTD)",#N/A,FALSE,"June YTD"}</definedName>
    <definedName name="nn" localSheetId="9" hidden="1">{"det (May)",#N/A,FALSE,"June";"sum (MAY YTD)",#N/A,FALSE,"June YTD"}</definedName>
    <definedName name="nn" localSheetId="2" hidden="1">{"det (May)",#N/A,FALSE,"June";"sum (MAY YTD)",#N/A,FALSE,"June YTD"}</definedName>
    <definedName name="nn" localSheetId="7" hidden="1">{"det (May)",#N/A,FALSE,"June";"sum (MAY YTD)",#N/A,FALSE,"June YTD"}</definedName>
    <definedName name="nn" localSheetId="1" hidden="1">{"det (May)",#N/A,FALSE,"June";"sum (MAY YTD)",#N/A,FALSE,"June YTD"}</definedName>
    <definedName name="nn" hidden="1">{"det (May)",#N/A,FALSE,"June";"sum (MAY YTD)",#N/A,FALSE,"June YTD"}</definedName>
    <definedName name="NOTA">#REF!</definedName>
    <definedName name="NOTAS">#REF!</definedName>
    <definedName name="novo" localSheetId="0" hidden="1">#REF!</definedName>
    <definedName name="novo" localSheetId="5" hidden="1">#REF!</definedName>
    <definedName name="novo" localSheetId="9" hidden="1">#REF!</definedName>
    <definedName name="novo" localSheetId="2" hidden="1">#REF!</definedName>
    <definedName name="novo" localSheetId="7" hidden="1">#REF!</definedName>
    <definedName name="novo" hidden="1">#REF!</definedName>
    <definedName name="ofk" hidden="1">#REF!</definedName>
    <definedName name="okf" hidden="1">#REF!</definedName>
    <definedName name="Orçamento" localSheetId="11" hidden="1">{#N/A,#N/A,FALSE,"TOTAL"}</definedName>
    <definedName name="Orçamento" localSheetId="10" hidden="1">{#N/A,#N/A,FALSE,"TOTAL"}</definedName>
    <definedName name="Orçamento" localSheetId="4" hidden="1">{#N/A,#N/A,FALSE,"TOTAL"}</definedName>
    <definedName name="Orçamento" localSheetId="8" hidden="1">{#N/A,#N/A,FALSE,"TOTAL"}</definedName>
    <definedName name="Orçamento" localSheetId="6" hidden="1">{#N/A,#N/A,FALSE,"TOTAL"}</definedName>
    <definedName name="Orçamento" localSheetId="5" hidden="1">{#N/A,#N/A,FALSE,"TOTAL"}</definedName>
    <definedName name="Orçamento" localSheetId="9" hidden="1">{#N/A,#N/A,FALSE,"TOTAL"}</definedName>
    <definedName name="Orçamento" localSheetId="2" hidden="1">{#N/A,#N/A,FALSE,"TOTAL"}</definedName>
    <definedName name="Orçamento" localSheetId="7" hidden="1">{#N/A,#N/A,FALSE,"TOTAL"}</definedName>
    <definedName name="Orçamento" localSheetId="1" hidden="1">{#N/A,#N/A,FALSE,"TOTAL"}</definedName>
    <definedName name="Orçamento" hidden="1">{#N/A,#N/A,FALSE,"TOTAL"}</definedName>
    <definedName name="P">#REF!</definedName>
    <definedName name="PERR">'[4]Conversão-Mercha'!#REF!</definedName>
    <definedName name="PJON">'[4]Conversão-Mercha'!#REF!</definedName>
    <definedName name="Plan_Media_2000" localSheetId="1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4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8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6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11" hidden="1">{"det (May)",#N/A,FALSE,"June";"sum (MAY YTD)",#N/A,FALSE,"June YTD"}</definedName>
    <definedName name="POA" localSheetId="10" hidden="1">{"det (May)",#N/A,FALSE,"June";"sum (MAY YTD)",#N/A,FALSE,"June YTD"}</definedName>
    <definedName name="POA" localSheetId="4" hidden="1">{"det (May)",#N/A,FALSE,"June";"sum (MAY YTD)",#N/A,FALSE,"June YTD"}</definedName>
    <definedName name="POA" localSheetId="8" hidden="1">{"det (May)",#N/A,FALSE,"June";"sum (MAY YTD)",#N/A,FALSE,"June YTD"}</definedName>
    <definedName name="POA" localSheetId="6" hidden="1">{"det (May)",#N/A,FALSE,"June";"sum (MAY YTD)",#N/A,FALSE,"June YTD"}</definedName>
    <definedName name="POA" localSheetId="5" hidden="1">{"det (May)",#N/A,FALSE,"June";"sum (MAY YTD)",#N/A,FALSE,"June YTD"}</definedName>
    <definedName name="POA" localSheetId="9" hidden="1">{"det (May)",#N/A,FALSE,"June";"sum (MAY YTD)",#N/A,FALSE,"June YTD"}</definedName>
    <definedName name="POA" localSheetId="2" hidden="1">{"det (May)",#N/A,FALSE,"June";"sum (MAY YTD)",#N/A,FALSE,"June YTD"}</definedName>
    <definedName name="POA" localSheetId="7" hidden="1">{"det (May)",#N/A,FALSE,"June";"sum (MAY YTD)",#N/A,FALSE,"June YTD"}</definedName>
    <definedName name="POA" localSheetId="1" hidden="1">{"det (May)",#N/A,FALSE,"June";"sum (MAY YTD)",#N/A,FALSE,"June YTD"}</definedName>
    <definedName name="POA" hidden="1">{"det (May)",#N/A,FALSE,"June";"sum (MAY YTD)",#N/A,FALSE,"June YTD"}</definedName>
    <definedName name="PRO" localSheetId="11" hidden="1">{"det (May)",#N/A,FALSE,"June";"sum (MAY YTD)",#N/A,FALSE,"June YTD"}</definedName>
    <definedName name="PRO" localSheetId="10" hidden="1">{"det (May)",#N/A,FALSE,"June";"sum (MAY YTD)",#N/A,FALSE,"June YTD"}</definedName>
    <definedName name="PRO" localSheetId="4" hidden="1">{"det (May)",#N/A,FALSE,"June";"sum (MAY YTD)",#N/A,FALSE,"June YTD"}</definedName>
    <definedName name="PRO" localSheetId="8" hidden="1">{"det (May)",#N/A,FALSE,"June";"sum (MAY YTD)",#N/A,FALSE,"June YTD"}</definedName>
    <definedName name="PRO" localSheetId="6" hidden="1">{"det (May)",#N/A,FALSE,"June";"sum (MAY YTD)",#N/A,FALSE,"June YTD"}</definedName>
    <definedName name="PRO" localSheetId="5" hidden="1">{"det (May)",#N/A,FALSE,"June";"sum (MAY YTD)",#N/A,FALSE,"June YTD"}</definedName>
    <definedName name="PRO" localSheetId="9" hidden="1">{"det (May)",#N/A,FALSE,"June";"sum (MAY YTD)",#N/A,FALSE,"June YTD"}</definedName>
    <definedName name="PRO" localSheetId="2" hidden="1">{"det (May)",#N/A,FALSE,"June";"sum (MAY YTD)",#N/A,FALSE,"June YTD"}</definedName>
    <definedName name="PRO" localSheetId="7" hidden="1">{"det (May)",#N/A,FALSE,"June";"sum (MAY YTD)",#N/A,FALSE,"June YTD"}</definedName>
    <definedName name="PRO" localSheetId="1" hidden="1">{"det (May)",#N/A,FALSE,"June";"sum (MAY YTD)",#N/A,FALSE,"June YTD"}</definedName>
    <definedName name="PRO" hidden="1">{"det (May)",#N/A,FALSE,"June";"sum (MAY YTD)",#N/A,FALSE,"June YTD"}</definedName>
    <definedName name="PROD">#REF!</definedName>
    <definedName name="PRODUCTO">#REF!</definedName>
    <definedName name="Programação">#REF!</definedName>
    <definedName name="q" localSheetId="0" hidden="1">#REF!</definedName>
    <definedName name="q" localSheetId="5" hidden="1">#REF!</definedName>
    <definedName name="q" localSheetId="9" hidden="1">#REF!</definedName>
    <definedName name="q" localSheetId="2" hidden="1">#REF!</definedName>
    <definedName name="q" localSheetId="7" hidden="1">#REF!</definedName>
    <definedName name="q" hidden="1">#REF!</definedName>
    <definedName name="radio" hidden="1">#REF!</definedName>
    <definedName name="rádio" localSheetId="0" hidden="1">#REF!</definedName>
    <definedName name="rádio" localSheetId="5" hidden="1">#REF!</definedName>
    <definedName name="rádio" localSheetId="9" hidden="1">#REF!</definedName>
    <definedName name="rádio" localSheetId="2" hidden="1">#REF!</definedName>
    <definedName name="rádio" localSheetId="7" hidden="1">#REF!</definedName>
    <definedName name="rádio" hidden="1">#REF!</definedName>
    <definedName name="RADIO_SECUNDAGEM">'[4]Conversão-Mercha'!$B$241:$B$260</definedName>
    <definedName name="rb" hidden="1">#REF!</definedName>
    <definedName name="regb" hidden="1">#REF!</definedName>
    <definedName name="rev" localSheetId="0" hidden="1">#REF!</definedName>
    <definedName name="rev" localSheetId="5" hidden="1">#REF!</definedName>
    <definedName name="rev" localSheetId="9" hidden="1">#REF!</definedName>
    <definedName name="rev" localSheetId="2" hidden="1">#REF!</definedName>
    <definedName name="rev" localSheetId="7" hidden="1">#REF!</definedName>
    <definedName name="rev" hidden="1">#REF!</definedName>
    <definedName name="revisão" localSheetId="0" hidden="1">#REF!</definedName>
    <definedName name="revisão" localSheetId="5" hidden="1">#REF!</definedName>
    <definedName name="revisão" localSheetId="9" hidden="1">#REF!</definedName>
    <definedName name="revisão" localSheetId="2" hidden="1">#REF!</definedName>
    <definedName name="revisão" localSheetId="7" hidden="1">#REF!</definedName>
    <definedName name="revisão" hidden="1">#REF!</definedName>
    <definedName name="Revista" localSheetId="0" hidden="1">#REF!</definedName>
    <definedName name="Revista" localSheetId="5" hidden="1">#REF!</definedName>
    <definedName name="Revista" localSheetId="9" hidden="1">#REF!</definedName>
    <definedName name="Revista" localSheetId="2" hidden="1">#REF!</definedName>
    <definedName name="Revista" localSheetId="7" hidden="1">#REF!</definedName>
    <definedName name="Revista" hidden="1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11" hidden="1">{#N/A,#N/A,FALSE,"TOTAL"}</definedName>
    <definedName name="serey" localSheetId="10" hidden="1">{#N/A,#N/A,FALSE,"TOTAL"}</definedName>
    <definedName name="serey" localSheetId="4" hidden="1">{#N/A,#N/A,FALSE,"TOTAL"}</definedName>
    <definedName name="serey" localSheetId="8" hidden="1">{#N/A,#N/A,FALSE,"TOTAL"}</definedName>
    <definedName name="serey" localSheetId="6" hidden="1">{#N/A,#N/A,FALSE,"TOTAL"}</definedName>
    <definedName name="serey" localSheetId="5" hidden="1">{#N/A,#N/A,FALSE,"TOTAL"}</definedName>
    <definedName name="serey" localSheetId="9" hidden="1">{#N/A,#N/A,FALSE,"TOTAL"}</definedName>
    <definedName name="serey" localSheetId="2" hidden="1">{#N/A,#N/A,FALSE,"TOTAL"}</definedName>
    <definedName name="serey" localSheetId="7" hidden="1">{#N/A,#N/A,FALSE,"TOTAL"}</definedName>
    <definedName name="serey" localSheetId="1" hidden="1">{#N/A,#N/A,FALSE,"TOTAL"}</definedName>
    <definedName name="serey" hidden="1">{#N/A,#N/A,FALSE,"TOTAL"}</definedName>
    <definedName name="sh" localSheetId="11" hidden="1">{#N/A,#N/A,FALSE,"TOTAL"}</definedName>
    <definedName name="sh" localSheetId="10" hidden="1">{#N/A,#N/A,FALSE,"TOTAL"}</definedName>
    <definedName name="sh" localSheetId="4" hidden="1">{#N/A,#N/A,FALSE,"TOTAL"}</definedName>
    <definedName name="sh" localSheetId="8" hidden="1">{#N/A,#N/A,FALSE,"TOTAL"}</definedName>
    <definedName name="sh" localSheetId="6" hidden="1">{#N/A,#N/A,FALSE,"TOTAL"}</definedName>
    <definedName name="sh" localSheetId="5" hidden="1">{#N/A,#N/A,FALSE,"TOTAL"}</definedName>
    <definedName name="sh" localSheetId="9" hidden="1">{#N/A,#N/A,FALSE,"TOTAL"}</definedName>
    <definedName name="sh" localSheetId="2" hidden="1">{#N/A,#N/A,FALSE,"TOTAL"}</definedName>
    <definedName name="sh" localSheetId="7" hidden="1">{#N/A,#N/A,FALSE,"TOTAL"}</definedName>
    <definedName name="sh" localSheetId="1" hidden="1">{#N/A,#N/A,FALSE,"TOTAL"}</definedName>
    <definedName name="sh" hidden="1">{#N/A,#N/A,FALSE,"TOTAL"}</definedName>
    <definedName name="slov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11" hidden="1">{"det (May)",#N/A,FALSE,"June";"sum (MAY YTD)",#N/A,FALSE,"June YTD"}</definedName>
    <definedName name="Soft" localSheetId="10" hidden="1">{"det (May)",#N/A,FALSE,"June";"sum (MAY YTD)",#N/A,FALSE,"June YTD"}</definedName>
    <definedName name="Soft" localSheetId="4" hidden="1">{"det (May)",#N/A,FALSE,"June";"sum (MAY YTD)",#N/A,FALSE,"June YTD"}</definedName>
    <definedName name="Soft" localSheetId="8" hidden="1">{"det (May)",#N/A,FALSE,"June";"sum (MAY YTD)",#N/A,FALSE,"June YTD"}</definedName>
    <definedName name="Soft" localSheetId="6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9" hidden="1">{"det (May)",#N/A,FALSE,"June";"sum (MAY YTD)",#N/A,FALSE,"June YTD"}</definedName>
    <definedName name="Soft" localSheetId="2" hidden="1">{"det (May)",#N/A,FALSE,"June";"sum (MAY YTD)",#N/A,FALSE,"June YTD"}</definedName>
    <definedName name="Soft" localSheetId="7" hidden="1">{"det (May)",#N/A,FALSE,"June";"sum (MAY YTD)",#N/A,FALSE,"June YTD"}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localSheetId="5" hidden="1">#REF!</definedName>
    <definedName name="sol" localSheetId="9" hidden="1">#REF!</definedName>
    <definedName name="sol" localSheetId="2" hidden="1">#REF!</definedName>
    <definedName name="sol" localSheetId="7" hidden="1">#REF!</definedName>
    <definedName name="sol" hidden="1">#REF!</definedName>
    <definedName name="stella" localSheetId="11" hidden="1">{"det (May)",#N/A,FALSE,"June";"sum (MAY YTD)",#N/A,FALSE,"June YTD"}</definedName>
    <definedName name="stella" localSheetId="10" hidden="1">{"det (May)",#N/A,FALSE,"June";"sum (MAY YTD)",#N/A,FALSE,"June YTD"}</definedName>
    <definedName name="stella" localSheetId="4" hidden="1">{"det (May)",#N/A,FALSE,"June";"sum (MAY YTD)",#N/A,FALSE,"June YTD"}</definedName>
    <definedName name="stella" localSheetId="8" hidden="1">{"det (May)",#N/A,FALSE,"June";"sum (MAY YTD)",#N/A,FALSE,"June YTD"}</definedName>
    <definedName name="stella" localSheetId="6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9" hidden="1">{"det (May)",#N/A,FALSE,"June";"sum (MAY YTD)",#N/A,FALSE,"June YTD"}</definedName>
    <definedName name="stella" localSheetId="2" hidden="1">{"det (May)",#N/A,FALSE,"June";"sum (MAY YTD)",#N/A,FALSE,"June YTD"}</definedName>
    <definedName name="stella" localSheetId="7" hidden="1">{"det (May)",#N/A,FALSE,"June";"sum (MAY YTD)",#N/A,FALSE,"June YTD"}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t" hidden="1">#REF!</definedName>
    <definedName name="tb" hidden="1">#REF!</definedName>
    <definedName name="teste">#REF!</definedName>
    <definedName name="tets" hidden="1">#REF!</definedName>
    <definedName name="text" hidden="1">#REF!</definedName>
    <definedName name="thtyht" hidden="1">#REF!</definedName>
    <definedName name="thyhh" hidden="1">#REF!</definedName>
    <definedName name="TOTAL">#REF!</definedName>
    <definedName name="TOTAL13">#REF!</definedName>
    <definedName name="TOTAL2">#REF!</definedName>
    <definedName name="TOTAL4">#REF!</definedName>
    <definedName name="TTT" localSheetId="0" hidden="1">#REF!</definedName>
    <definedName name="TTT" localSheetId="5" hidden="1">#REF!</definedName>
    <definedName name="TTT" localSheetId="9" hidden="1">#REF!</definedName>
    <definedName name="TTT" localSheetId="2" hidden="1">#REF!</definedName>
    <definedName name="TTT" localSheetId="7" hidden="1">#REF!</definedName>
    <definedName name="TTT" hidden="1">#REF!</definedName>
    <definedName name="tyb" hidden="1">#REF!</definedName>
    <definedName name="tyh" hidden="1">#REF!</definedName>
    <definedName name="tyhth" hidden="1">#REF!</definedName>
    <definedName name="UNI" localSheetId="0" hidden="1">#REF!</definedName>
    <definedName name="UNI" localSheetId="5" hidden="1">#REF!</definedName>
    <definedName name="UNI" localSheetId="9" hidden="1">#REF!</definedName>
    <definedName name="UNI" localSheetId="2" hidden="1">#REF!</definedName>
    <definedName name="UNI" localSheetId="7" hidden="1">#REF!</definedName>
    <definedName name="UNI" hidden="1">#REF!</definedName>
    <definedName name="v" hidden="1">#REF!</definedName>
    <definedName name="VERSION">#REF!</definedName>
    <definedName name="VERSIÓN">#REF!</definedName>
    <definedName name="vfvr" hidden="1">#REF!</definedName>
    <definedName name="vr" hidden="1">#REF!</definedName>
    <definedName name="WeekNumbers">#N/A</definedName>
    <definedName name="wrn.ALL." localSheetId="11" hidden="1">{#N/A,#N/A,FALSE,"DCF";#N/A,#N/A,FALSE,"WACC";#N/A,#N/A,FALSE,"Sales_EBIT";#N/A,#N/A,FALSE,"Capex_Depreciation";#N/A,#N/A,FALSE,"WC";#N/A,#N/A,FALSE,"Interest";#N/A,#N/A,FALSE,"Assumptions"}</definedName>
    <definedName name="wrn.ALL." localSheetId="10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8" hidden="1">{#N/A,#N/A,FALSE,"DCF";#N/A,#N/A,FALSE,"WACC";#N/A,#N/A,FALSE,"Sales_EBIT";#N/A,#N/A,FALSE,"Capex_Depreciation";#N/A,#N/A,FALSE,"WC";#N/A,#N/A,FALSE,"Interest";#N/A,#N/A,FALSE,"Assumptions"}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9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7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11" hidden="1">{"det (May)",#N/A,FALSE,"June";"sum (MAY YTD)",#N/A,FALSE,"June YTD"}</definedName>
    <definedName name="wrn.aug" localSheetId="10" hidden="1">{"det (May)",#N/A,FALSE,"June";"sum (MAY YTD)",#N/A,FALSE,"June YTD"}</definedName>
    <definedName name="wrn.aug" localSheetId="4" hidden="1">{"det (May)",#N/A,FALSE,"June";"sum (MAY YTD)",#N/A,FALSE,"June YTD"}</definedName>
    <definedName name="wrn.aug" localSheetId="8" hidden="1">{"det (May)",#N/A,FALSE,"June";"sum (MAY YTD)",#N/A,FALSE,"June YTD"}</definedName>
    <definedName name="wrn.aug" localSheetId="6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9" hidden="1">{"det (May)",#N/A,FALSE,"June";"sum (MAY YTD)",#N/A,FALSE,"June YTD"}</definedName>
    <definedName name="wrn.aug" localSheetId="2" hidden="1">{"det (May)",#N/A,FALSE,"June";"sum (MAY YTD)",#N/A,FALSE,"June YTD"}</definedName>
    <definedName name="wrn.aug" localSheetId="7" hidden="1">{"det (May)",#N/A,FALSE,"June";"sum (MAY YTD)",#N/A,FALSE,"June YTD"}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11" hidden="1">{"det (May)",#N/A,FALSE,"June";"sum (MAY YTD)",#N/A,FALSE,"June YTD"}</definedName>
    <definedName name="wrn.augyt" localSheetId="10" hidden="1">{"det (May)",#N/A,FALSE,"June";"sum (MAY YTD)",#N/A,FALSE,"June YTD"}</definedName>
    <definedName name="wrn.augyt" localSheetId="4" hidden="1">{"det (May)",#N/A,FALSE,"June";"sum (MAY YTD)",#N/A,FALSE,"June YTD"}</definedName>
    <definedName name="wrn.augyt" localSheetId="8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9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7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11" hidden="1">{"det (May)",#N/A,FALSE,"June";"sum (MAY YTD)",#N/A,FALSE,"June YTD"}</definedName>
    <definedName name="wrn.augYTD" localSheetId="10" hidden="1">{"det (May)",#N/A,FALSE,"June";"sum (MAY YTD)",#N/A,FALSE,"June YTD"}</definedName>
    <definedName name="wrn.augYTD" localSheetId="4" hidden="1">{"det (May)",#N/A,FALSE,"June";"sum (MAY YTD)",#N/A,FALSE,"June YTD"}</definedName>
    <definedName name="wrn.augYTD" localSheetId="8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9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7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brol.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1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8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1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8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11" hidden="1">{"1DhPgAbs",#N/A,FALSE,"dHora";"2DhPgPerc",#N/A,FALSE,"dHora";"3DhPgAbsAcum",#N/A,FALSE,"dHora"}</definedName>
    <definedName name="wrn.DhOut98." localSheetId="10" hidden="1">{"1DhPgAbs",#N/A,FALSE,"dHora";"2DhPgPerc",#N/A,FALSE,"dHora";"3DhPgAbsAcum",#N/A,FALSE,"dHora"}</definedName>
    <definedName name="wrn.DhOut98." localSheetId="4" hidden="1">{"1DhPgAbs",#N/A,FALSE,"dHora";"2DhPgPerc",#N/A,FALSE,"dHora";"3DhPgAbsAcum",#N/A,FALSE,"dHora"}</definedName>
    <definedName name="wrn.DhOut98." localSheetId="8" hidden="1">{"1DhPgAbs",#N/A,FALSE,"dHora";"2DhPgPerc",#N/A,FALSE,"dHora";"3DhPgAbsAcum",#N/A,FALSE,"dHora"}</definedName>
    <definedName name="wrn.DhOut98." localSheetId="6" hidden="1">{"1DhPgAbs",#N/A,FALSE,"dHora";"2DhPgPerc",#N/A,FALSE,"dHora";"3DhPgAbsAcum",#N/A,FALSE,"dHora"}</definedName>
    <definedName name="wrn.DhOut98." localSheetId="5" hidden="1">{"1DhPgAbs",#N/A,FALSE,"dHora";"2DhPgPerc",#N/A,FALSE,"dHora";"3DhPgAbsAcum",#N/A,FALSE,"dHora"}</definedName>
    <definedName name="wrn.DhOut98." localSheetId="9" hidden="1">{"1DhPgAbs",#N/A,FALSE,"dHora";"2DhPgPerc",#N/A,FALSE,"dHora";"3DhPgAbsAcum",#N/A,FALSE,"dHora"}</definedName>
    <definedName name="wrn.DhOut98." localSheetId="2" hidden="1">{"1DhPgAbs",#N/A,FALSE,"dHora";"2DhPgPerc",#N/A,FALSE,"dHora";"3DhPgAbsAcum",#N/A,FALSE,"dHora"}</definedName>
    <definedName name="wrn.DhOut98." localSheetId="7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11" hidden="1">{"det (May)",#N/A,FALSE,"June";"sum (MAY YTD)",#N/A,FALSE,"June YTD"}</definedName>
    <definedName name="wrn.June." localSheetId="10" hidden="1">{"det (May)",#N/A,FALSE,"June";"sum (MAY YTD)",#N/A,FALSE,"June YTD"}</definedName>
    <definedName name="wrn.June." localSheetId="4" hidden="1">{"det (May)",#N/A,FALSE,"June";"sum (MAY YTD)",#N/A,FALSE,"June YTD"}</definedName>
    <definedName name="wrn.June." localSheetId="8" hidden="1">{"det (May)",#N/A,FALSE,"June";"sum (MAY YTD)",#N/A,FALSE,"June YTD"}</definedName>
    <definedName name="wrn.June." localSheetId="6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9" hidden="1">{"det (May)",#N/A,FALSE,"June";"sum (MAY YTD)",#N/A,FALSE,"June YTD"}</definedName>
    <definedName name="wrn.June." localSheetId="2" hidden="1">{"det (May)",#N/A,FALSE,"June";"sum (MAY YTD)",#N/A,FALSE,"June YTD"}</definedName>
    <definedName name="wrn.June." localSheetId="7" hidden="1">{"det (May)",#N/A,FALSE,"June";"sum (MAY YTD)",#N/A,FALSE,"June YTD"}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total.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11" hidden="1">{"det (May)",#N/A,FALSE,"June";"sum (MAY YTD)",#N/A,FALSE,"June YTD"}</definedName>
    <definedName name="wrn1.aug" localSheetId="10" hidden="1">{"det (May)",#N/A,FALSE,"June";"sum (MAY YTD)",#N/A,FALSE,"June YTD"}</definedName>
    <definedName name="wrn1.aug" localSheetId="4" hidden="1">{"det (May)",#N/A,FALSE,"June";"sum (MAY YTD)",#N/A,FALSE,"June YTD"}</definedName>
    <definedName name="wrn1.aug" localSheetId="8" hidden="1">{"det (May)",#N/A,FALSE,"June";"sum (MAY YTD)",#N/A,FALSE,"June YTD"}</definedName>
    <definedName name="wrn1.aug" localSheetId="6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9" hidden="1">{"det (May)",#N/A,FALSE,"June";"sum (MAY YTD)",#N/A,FALSE,"June YTD"}</definedName>
    <definedName name="wrn1.aug" localSheetId="2" hidden="1">{"det (May)",#N/A,FALSE,"June";"sum (MAY YTD)",#N/A,FALSE,"June YTD"}</definedName>
    <definedName name="wrn1.aug" localSheetId="7" hidden="1">{"det (May)",#N/A,FALSE,"June";"sum (MAY YTD)",#N/A,FALSE,"June YTD"}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11" hidden="1">{"det (May)",#N/A,FALSE,"June";"sum (MAY YTD)",#N/A,FALSE,"June YTD"}</definedName>
    <definedName name="wrn1.augtyd" localSheetId="10" hidden="1">{"det (May)",#N/A,FALSE,"June";"sum (MAY YTD)",#N/A,FALSE,"June YTD"}</definedName>
    <definedName name="wrn1.augtyd" localSheetId="4" hidden="1">{"det (May)",#N/A,FALSE,"June";"sum (MAY YTD)",#N/A,FALSE,"June YTD"}</definedName>
    <definedName name="wrn1.augtyd" localSheetId="8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9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7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11" hidden="1">{"det (May)",#N/A,FALSE,"June";"sum (MAY YTD)",#N/A,FALSE,"June YTD"}</definedName>
    <definedName name="wrn1.augyt" localSheetId="10" hidden="1">{"det (May)",#N/A,FALSE,"June";"sum (MAY YTD)",#N/A,FALSE,"June YTD"}</definedName>
    <definedName name="wrn1.augyt" localSheetId="4" hidden="1">{"det (May)",#N/A,FALSE,"June";"sum (MAY YTD)",#N/A,FALSE,"June YTD"}</definedName>
    <definedName name="wrn1.augyt" localSheetId="8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9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7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1" hidden="1">{"det (May)",#N/A,FALSE,"June";"sum (MAY YTD)",#N/A,FALSE,"June YTD"}</definedName>
    <definedName name="wrn1.june" localSheetId="10" hidden="1">{"det (May)",#N/A,FALSE,"June";"sum (MAY YTD)",#N/A,FALSE,"June YTD"}</definedName>
    <definedName name="wrn1.june" localSheetId="4" hidden="1">{"det (May)",#N/A,FALSE,"June";"sum (MAY YTD)",#N/A,FALSE,"June YTD"}</definedName>
    <definedName name="wrn1.june" localSheetId="8" hidden="1">{"det (May)",#N/A,FALSE,"June";"sum (MAY YTD)",#N/A,FALSE,"June YTD"}</definedName>
    <definedName name="wrn1.june" localSheetId="6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9" hidden="1">{"det (May)",#N/A,FALSE,"June";"sum (MAY YTD)",#N/A,FALSE,"June YTD"}</definedName>
    <definedName name="wrn1.june" localSheetId="2" hidden="1">{"det (May)",#N/A,FALSE,"June";"sum (MAY YTD)",#N/A,FALSE,"June YTD"}</definedName>
    <definedName name="wrn1.june" localSheetId="7" hidden="1">{"det (May)",#N/A,FALSE,"June";"sum (MAY YTD)",#N/A,FALSE,"June YTD"}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1" hidden="1">{"det (May)",#N/A,FALSE,"June";"sum (MAY YTD)",#N/A,FALSE,"June YTD"}</definedName>
    <definedName name="wrn2.june" localSheetId="10" hidden="1">{"det (May)",#N/A,FALSE,"June";"sum (MAY YTD)",#N/A,FALSE,"June YTD"}</definedName>
    <definedName name="wrn2.june" localSheetId="4" hidden="1">{"det (May)",#N/A,FALSE,"June";"sum (MAY YTD)",#N/A,FALSE,"June YTD"}</definedName>
    <definedName name="wrn2.june" localSheetId="8" hidden="1">{"det (May)",#N/A,FALSE,"June";"sum (MAY YTD)",#N/A,FALSE,"June YTD"}</definedName>
    <definedName name="wrn2.june" localSheetId="6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9" hidden="1">{"det (May)",#N/A,FALSE,"June";"sum (MAY YTD)",#N/A,FALSE,"June YTD"}</definedName>
    <definedName name="wrn2.june" localSheetId="2" hidden="1">{"det (May)",#N/A,FALSE,"June";"sum (MAY YTD)",#N/A,FALSE,"June YTD"}</definedName>
    <definedName name="wrn2.june" localSheetId="7" hidden="1">{"det (May)",#N/A,FALSE,"June";"sum (MAY YTD)",#N/A,FALSE,"June YTD"}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localSheetId="5" hidden="1">#REF!</definedName>
    <definedName name="xxx" localSheetId="9" hidden="1">#REF!</definedName>
    <definedName name="xxx" localSheetId="2" hidden="1">#REF!</definedName>
    <definedName name="xxx" localSheetId="7" hidden="1">#REF!</definedName>
    <definedName name="xxx" hidden="1">#REF!</definedName>
    <definedName name="yhbhb" hidden="1">#REF!</definedName>
    <definedName name="zeljka" localSheetId="11" hidden="1">{"det (May)",#N/A,FALSE,"June";"sum (MAY YTD)",#N/A,FALSE,"June YTD"}</definedName>
    <definedName name="zeljka" localSheetId="10" hidden="1">{"det (May)",#N/A,FALSE,"June";"sum (MAY YTD)",#N/A,FALSE,"June YTD"}</definedName>
    <definedName name="zeljka" localSheetId="4" hidden="1">{"det (May)",#N/A,FALSE,"June";"sum (MAY YTD)",#N/A,FALSE,"June YTD"}</definedName>
    <definedName name="zeljka" localSheetId="8" hidden="1">{"det (May)",#N/A,FALSE,"June";"sum (MAY YTD)",#N/A,FALSE,"June YTD"}</definedName>
    <definedName name="zeljka" localSheetId="6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9" hidden="1">{"det (May)",#N/A,FALSE,"June";"sum (MAY YTD)",#N/A,FALSE,"June YTD"}</definedName>
    <definedName name="zeljka" localSheetId="2" hidden="1">{"det (May)",#N/A,FALSE,"June";"sum (MAY YTD)",#N/A,FALSE,"June YTD"}</definedName>
    <definedName name="zeljka" localSheetId="7" hidden="1">{"det (May)",#N/A,FALSE,"June";"sum (MAY YTD)",#N/A,FALSE,"June YTD"}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11" hidden="1">{"det (May)",#N/A,FALSE,"June";"sum (MAY YTD)",#N/A,FALSE,"June YTD"}</definedName>
    <definedName name="zeljka1" localSheetId="10" hidden="1">{"det (May)",#N/A,FALSE,"June";"sum (MAY YTD)",#N/A,FALSE,"June YTD"}</definedName>
    <definedName name="zeljka1" localSheetId="4" hidden="1">{"det (May)",#N/A,FALSE,"June";"sum (MAY YTD)",#N/A,FALSE,"June YTD"}</definedName>
    <definedName name="zeljka1" localSheetId="8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9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7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1" hidden="1">{"det (May)",#N/A,FALSE,"June";"sum (MAY YTD)",#N/A,FALSE,"June YTD"}</definedName>
    <definedName name="zeljka3" localSheetId="10" hidden="1">{"det (May)",#N/A,FALSE,"June";"sum (MAY YTD)",#N/A,FALSE,"June YTD"}</definedName>
    <definedName name="zeljka3" localSheetId="4" hidden="1">{"det (May)",#N/A,FALSE,"June";"sum (MAY YTD)",#N/A,FALSE,"June YTD"}</definedName>
    <definedName name="zeljka3" localSheetId="8" hidden="1">{"det (May)",#N/A,FALSE,"June";"sum (MAY YTD)",#N/A,FALSE,"June YTD"}</definedName>
    <definedName name="zeljka3" localSheetId="6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9" hidden="1">{"det (May)",#N/A,FALSE,"June";"sum (MAY YTD)",#N/A,FALSE,"June YTD"}</definedName>
    <definedName name="zeljka3" localSheetId="2" hidden="1">{"det (May)",#N/A,FALSE,"June";"sum (MAY YTD)",#N/A,FALSE,"June YTD"}</definedName>
    <definedName name="zeljka3" localSheetId="7" hidden="1">{"det (May)",#N/A,FALSE,"June";"sum (MAY YTD)",#N/A,FALSE,"June YTD"}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ааа" localSheetId="11" hidden="1">{"det (May)",#N/A,FALSE,"June";"sum (MAY YTD)",#N/A,FALSE,"June YTD"}</definedName>
    <definedName name="ааа" localSheetId="10" hidden="1">{"det (May)",#N/A,FALSE,"June";"sum (MAY YTD)",#N/A,FALSE,"June YTD"}</definedName>
    <definedName name="ааа" localSheetId="4" hidden="1">{"det (May)",#N/A,FALSE,"June";"sum (MAY YTD)",#N/A,FALSE,"June YTD"}</definedName>
    <definedName name="ааа" localSheetId="8" hidden="1">{"det (May)",#N/A,FALSE,"June";"sum (MAY YTD)",#N/A,FALSE,"June YTD"}</definedName>
    <definedName name="ааа" localSheetId="6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9" hidden="1">{"det (May)",#N/A,FALSE,"June";"sum (MAY YTD)",#N/A,FALSE,"June YTD"}</definedName>
    <definedName name="ааа" localSheetId="2" hidden="1">{"det (May)",#N/A,FALSE,"June";"sum (MAY YTD)",#N/A,FALSE,"June YTD"}</definedName>
    <definedName name="ааа" localSheetId="7" hidden="1">{"det (May)",#N/A,FALSE,"June";"sum (MAY YTD)",#N/A,FALSE,"June YTD"}</definedName>
    <definedName name="ааа" localSheetId="1" hidden="1">{"det (May)",#N/A,FALSE,"June";"sum (MAY YTD)",#N/A,FALSE,"June YTD"}</definedName>
    <definedName name="ааа" hidden="1">{"det (May)",#N/A,FALSE,"June";"sum (MAY YTD)",#N/A,FALSE,"June YTD"}</definedName>
    <definedName name="ввв" localSheetId="11" hidden="1">{"det (May)",#N/A,FALSE,"June";"sum (MAY YTD)",#N/A,FALSE,"June YTD"}</definedName>
    <definedName name="ввв" localSheetId="10" hidden="1">{"det (May)",#N/A,FALSE,"June";"sum (MAY YTD)",#N/A,FALSE,"June YTD"}</definedName>
    <definedName name="ввв" localSheetId="4" hidden="1">{"det (May)",#N/A,FALSE,"June";"sum (MAY YTD)",#N/A,FALSE,"June YTD"}</definedName>
    <definedName name="ввв" localSheetId="8" hidden="1">{"det (May)",#N/A,FALSE,"June";"sum (MAY YTD)",#N/A,FALSE,"June YTD"}</definedName>
    <definedName name="ввв" localSheetId="6" hidden="1">{"det (May)",#N/A,FALSE,"June";"sum (MAY YTD)",#N/A,FALSE,"June YTD"}</definedName>
    <definedName name="ввв" localSheetId="5" hidden="1">{"det (May)",#N/A,FALSE,"June";"sum (MAY YTD)",#N/A,FALSE,"June YTD"}</definedName>
    <definedName name="ввв" localSheetId="9" hidden="1">{"det (May)",#N/A,FALSE,"June";"sum (MAY YTD)",#N/A,FALSE,"June YTD"}</definedName>
    <definedName name="ввв" localSheetId="2" hidden="1">{"det (May)",#N/A,FALSE,"June";"sum (MAY YTD)",#N/A,FALSE,"June YTD"}</definedName>
    <definedName name="ввв" localSheetId="7" hidden="1">{"det (May)",#N/A,FALSE,"June";"sum (MAY YTD)",#N/A,FALSE,"June YTD"}</definedName>
    <definedName name="ввв" localSheetId="1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" i="26" l="1"/>
  <c r="J82" i="26"/>
  <c r="I82" i="26"/>
  <c r="H82" i="26"/>
  <c r="G82" i="26"/>
  <c r="F82" i="26"/>
  <c r="J81" i="26"/>
  <c r="I81" i="26"/>
  <c r="H81" i="26"/>
  <c r="G81" i="26"/>
  <c r="F81" i="26"/>
  <c r="AT22" i="32"/>
  <c r="AS22" i="32"/>
  <c r="AP22" i="32"/>
  <c r="AO19" i="32"/>
  <c r="AP19" i="32" s="1"/>
  <c r="AQ19" i="32" s="1"/>
  <c r="AS19" i="32"/>
  <c r="AL19" i="32"/>
  <c r="G17" i="26"/>
  <c r="G22" i="32"/>
  <c r="AS18" i="32"/>
  <c r="AO18" i="32"/>
  <c r="AL18" i="32"/>
  <c r="F75" i="26"/>
  <c r="F74" i="26"/>
  <c r="I74" i="26" s="1"/>
  <c r="J74" i="26" s="1"/>
  <c r="F73" i="26"/>
  <c r="F72" i="26"/>
  <c r="F68" i="26"/>
  <c r="F70" i="26" s="1"/>
  <c r="H77" i="26"/>
  <c r="G77" i="26"/>
  <c r="I75" i="26"/>
  <c r="J75" i="26" s="1"/>
  <c r="H70" i="26"/>
  <c r="G70" i="26"/>
  <c r="F58" i="26"/>
  <c r="I58" i="26" s="1"/>
  <c r="J58" i="26" s="1"/>
  <c r="F57" i="26"/>
  <c r="F56" i="26"/>
  <c r="I56" i="26" s="1"/>
  <c r="J56" i="26" s="1"/>
  <c r="F55" i="26"/>
  <c r="I55" i="26" s="1"/>
  <c r="J55" i="26" s="1"/>
  <c r="F54" i="26"/>
  <c r="I54" i="26" s="1"/>
  <c r="F50" i="26"/>
  <c r="I50" i="26" s="1"/>
  <c r="H60" i="26"/>
  <c r="G60" i="26"/>
  <c r="H52" i="26"/>
  <c r="G52" i="26"/>
  <c r="F40" i="26"/>
  <c r="I40" i="26" s="1"/>
  <c r="F39" i="26"/>
  <c r="I39" i="26" s="1"/>
  <c r="J39" i="26" s="1"/>
  <c r="F38" i="26"/>
  <c r="I38" i="26" s="1"/>
  <c r="F37" i="26"/>
  <c r="I37" i="26" s="1"/>
  <c r="F36" i="26"/>
  <c r="I36" i="26" s="1"/>
  <c r="F32" i="26"/>
  <c r="I32" i="26" s="1"/>
  <c r="H34" i="26"/>
  <c r="H24" i="26"/>
  <c r="H17" i="26"/>
  <c r="G34" i="26"/>
  <c r="G24" i="26"/>
  <c r="AL14" i="32"/>
  <c r="AT13" i="27"/>
  <c r="AU13" i="27" s="1"/>
  <c r="AT22" i="27"/>
  <c r="AT19" i="27"/>
  <c r="AT16" i="27"/>
  <c r="AM16" i="27"/>
  <c r="AM22" i="27"/>
  <c r="AM19" i="27"/>
  <c r="AM13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X11" i="27"/>
  <c r="Y11" i="27" s="1"/>
  <c r="Z11" i="27" s="1"/>
  <c r="AA11" i="27" s="1"/>
  <c r="AB11" i="27" s="1"/>
  <c r="AC11" i="27" s="1"/>
  <c r="AD11" i="27" s="1"/>
  <c r="AE11" i="27" s="1"/>
  <c r="AF11" i="27" s="1"/>
  <c r="AG11" i="27" s="1"/>
  <c r="AH11" i="27" s="1"/>
  <c r="AI11" i="27" s="1"/>
  <c r="AJ11" i="27" s="1"/>
  <c r="AK11" i="27" s="1"/>
  <c r="AL11" i="27" s="1"/>
  <c r="W11" i="27"/>
  <c r="I11" i="27"/>
  <c r="J11" i="27" s="1"/>
  <c r="K11" i="27" s="1"/>
  <c r="L11" i="27" s="1"/>
  <c r="M11" i="27" s="1"/>
  <c r="N11" i="27" s="1"/>
  <c r="O11" i="27" s="1"/>
  <c r="P11" i="27" s="1"/>
  <c r="Q11" i="27" s="1"/>
  <c r="R11" i="27" s="1"/>
  <c r="S11" i="27" s="1"/>
  <c r="T11" i="27" s="1"/>
  <c r="U11" i="27" s="1"/>
  <c r="AR27" i="34"/>
  <c r="AQ27" i="34"/>
  <c r="AW27" i="34"/>
  <c r="AU27" i="34"/>
  <c r="AM27" i="34"/>
  <c r="AI27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AT27" i="34"/>
  <c r="AT25" i="34"/>
  <c r="AP25" i="34"/>
  <c r="AQ25" i="34" s="1"/>
  <c r="AR25" i="34" s="1"/>
  <c r="AM25" i="34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AS16" i="32"/>
  <c r="AS14" i="32"/>
  <c r="AL16" i="32"/>
  <c r="V11" i="32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AH11" i="32" s="1"/>
  <c r="AI11" i="32" s="1"/>
  <c r="AJ11" i="32" s="1"/>
  <c r="AK11" i="32" s="1"/>
  <c r="H11" i="32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BP14" i="39"/>
  <c r="BY18" i="39"/>
  <c r="BY15" i="39"/>
  <c r="BY14" i="39"/>
  <c r="BW14" i="39"/>
  <c r="BP15" i="39"/>
  <c r="BA11" i="39"/>
  <c r="BB11" i="39" s="1"/>
  <c r="BC11" i="39" s="1"/>
  <c r="BD11" i="39" s="1"/>
  <c r="BE11" i="39" s="1"/>
  <c r="BF11" i="39" s="1"/>
  <c r="BG11" i="39" s="1"/>
  <c r="BH11" i="39" s="1"/>
  <c r="BI11" i="39" s="1"/>
  <c r="BJ11" i="39" s="1"/>
  <c r="BK11" i="39" s="1"/>
  <c r="BL11" i="39" s="1"/>
  <c r="BM11" i="39" s="1"/>
  <c r="BN11" i="39" s="1"/>
  <c r="BO11" i="39" s="1"/>
  <c r="AM11" i="39"/>
  <c r="AN11" i="39" s="1"/>
  <c r="AO11" i="39" s="1"/>
  <c r="AP11" i="39" s="1"/>
  <c r="AQ11" i="39" s="1"/>
  <c r="AR11" i="39" s="1"/>
  <c r="AS11" i="39" s="1"/>
  <c r="AT11" i="39" s="1"/>
  <c r="AU11" i="39" s="1"/>
  <c r="AV11" i="39" s="1"/>
  <c r="AW11" i="39" s="1"/>
  <c r="AX11" i="39" s="1"/>
  <c r="AY11" i="39" s="1"/>
  <c r="BO18" i="39"/>
  <c r="BN18" i="39"/>
  <c r="BM18" i="39"/>
  <c r="BL18" i="39"/>
  <c r="BK18" i="39"/>
  <c r="BJ18" i="39"/>
  <c r="BI18" i="39"/>
  <c r="BH18" i="39"/>
  <c r="BG18" i="39"/>
  <c r="BF18" i="39"/>
  <c r="BE18" i="39"/>
  <c r="BD18" i="39"/>
  <c r="BC18" i="39"/>
  <c r="BB18" i="39"/>
  <c r="BA18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BW15" i="39"/>
  <c r="BS15" i="39"/>
  <c r="BS14" i="39"/>
  <c r="BZ14" i="39" s="1"/>
  <c r="V11" i="39"/>
  <c r="W11" i="39" s="1"/>
  <c r="X11" i="39" s="1"/>
  <c r="Y11" i="39" s="1"/>
  <c r="Z11" i="39" s="1"/>
  <c r="AA11" i="39" s="1"/>
  <c r="AB11" i="39" s="1"/>
  <c r="AC11" i="39" s="1"/>
  <c r="AD11" i="39" s="1"/>
  <c r="AE11" i="39" s="1"/>
  <c r="AF11" i="39" s="1"/>
  <c r="AG11" i="39" s="1"/>
  <c r="AH11" i="39" s="1"/>
  <c r="AI11" i="39" s="1"/>
  <c r="AJ11" i="39" s="1"/>
  <c r="AK11" i="39" s="1"/>
  <c r="H11" i="39"/>
  <c r="I11" i="39" s="1"/>
  <c r="J11" i="39" s="1"/>
  <c r="K11" i="39" s="1"/>
  <c r="L11" i="39" s="1"/>
  <c r="M11" i="39" s="1"/>
  <c r="N11" i="39" s="1"/>
  <c r="O11" i="39" s="1"/>
  <c r="P11" i="39" s="1"/>
  <c r="Q11" i="39" s="1"/>
  <c r="R11" i="39" s="1"/>
  <c r="S11" i="39" s="1"/>
  <c r="T11" i="39" s="1"/>
  <c r="H18" i="38"/>
  <c r="G18" i="38"/>
  <c r="AT15" i="38"/>
  <c r="AT14" i="38"/>
  <c r="AP15" i="38"/>
  <c r="AP14" i="38"/>
  <c r="AS14" i="38"/>
  <c r="AO14" i="38"/>
  <c r="AL14" i="38"/>
  <c r="AV14" i="38" s="1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R18" i="38"/>
  <c r="Q18" i="38"/>
  <c r="P18" i="38"/>
  <c r="O18" i="38"/>
  <c r="N18" i="38"/>
  <c r="M18" i="38"/>
  <c r="L18" i="38"/>
  <c r="K18" i="38"/>
  <c r="J18" i="38"/>
  <c r="I18" i="38"/>
  <c r="AO15" i="38"/>
  <c r="AS15" i="38"/>
  <c r="V11" i="38"/>
  <c r="W11" i="38" s="1"/>
  <c r="X11" i="38" s="1"/>
  <c r="Y11" i="38" s="1"/>
  <c r="Z11" i="38" s="1"/>
  <c r="AA11" i="38" s="1"/>
  <c r="AB11" i="38" s="1"/>
  <c r="AC11" i="38" s="1"/>
  <c r="AD11" i="38" s="1"/>
  <c r="AE11" i="38" s="1"/>
  <c r="AF11" i="38" s="1"/>
  <c r="AG11" i="38" s="1"/>
  <c r="AH11" i="38" s="1"/>
  <c r="AI11" i="38" s="1"/>
  <c r="AJ11" i="38" s="1"/>
  <c r="AK11" i="38" s="1"/>
  <c r="H11" i="38"/>
  <c r="I11" i="38" s="1"/>
  <c r="J11" i="38" s="1"/>
  <c r="K11" i="38" s="1"/>
  <c r="L11" i="38" s="1"/>
  <c r="M11" i="38" s="1"/>
  <c r="N11" i="38" s="1"/>
  <c r="O11" i="38" s="1"/>
  <c r="P11" i="38" s="1"/>
  <c r="Q11" i="38" s="1"/>
  <c r="R11" i="38" s="1"/>
  <c r="S11" i="38" s="1"/>
  <c r="T11" i="38" s="1"/>
  <c r="S17" i="37"/>
  <c r="AS14" i="37"/>
  <c r="AS17" i="37" s="1"/>
  <c r="AO14" i="37"/>
  <c r="S14" i="37"/>
  <c r="AL14" i="37" s="1"/>
  <c r="AK17" i="37"/>
  <c r="AJ17" i="37"/>
  <c r="AI17" i="37"/>
  <c r="AH17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V11" i="37"/>
  <c r="W11" i="37" s="1"/>
  <c r="X11" i="37" s="1"/>
  <c r="Y11" i="37" s="1"/>
  <c r="Z11" i="37" s="1"/>
  <c r="AA11" i="37" s="1"/>
  <c r="AB11" i="37" s="1"/>
  <c r="AC11" i="37" s="1"/>
  <c r="AD11" i="37" s="1"/>
  <c r="AE11" i="37" s="1"/>
  <c r="AF11" i="37" s="1"/>
  <c r="AG11" i="37" s="1"/>
  <c r="AH11" i="37" s="1"/>
  <c r="AI11" i="37" s="1"/>
  <c r="AJ11" i="37" s="1"/>
  <c r="AK11" i="37" s="1"/>
  <c r="I11" i="37"/>
  <c r="J11" i="37" s="1"/>
  <c r="K11" i="37" s="1"/>
  <c r="L11" i="37" s="1"/>
  <c r="M11" i="37" s="1"/>
  <c r="N11" i="37" s="1"/>
  <c r="O11" i="37" s="1"/>
  <c r="P11" i="37" s="1"/>
  <c r="Q11" i="37" s="1"/>
  <c r="R11" i="37" s="1"/>
  <c r="S11" i="37" s="1"/>
  <c r="T11" i="37" s="1"/>
  <c r="H11" i="37"/>
  <c r="BQ24" i="35"/>
  <c r="BZ24" i="35"/>
  <c r="BX24" i="35"/>
  <c r="BX13" i="35"/>
  <c r="BZ22" i="35"/>
  <c r="BZ19" i="35"/>
  <c r="BZ20" i="35" s="1"/>
  <c r="BZ16" i="35"/>
  <c r="BZ13" i="35"/>
  <c r="BZ14" i="35" s="1"/>
  <c r="BQ22" i="35"/>
  <c r="BQ19" i="35"/>
  <c r="BQ16" i="35"/>
  <c r="BQ13" i="35"/>
  <c r="AM24" i="35"/>
  <c r="AK24" i="35"/>
  <c r="BP24" i="35"/>
  <c r="BO24" i="35"/>
  <c r="BN24" i="35"/>
  <c r="BM24" i="35"/>
  <c r="BL24" i="35"/>
  <c r="BK24" i="35"/>
  <c r="BJ24" i="35"/>
  <c r="BI24" i="35"/>
  <c r="BH24" i="35"/>
  <c r="BG24" i="35"/>
  <c r="BF24" i="35"/>
  <c r="BE24" i="35"/>
  <c r="BD24" i="35"/>
  <c r="BC24" i="35"/>
  <c r="BB24" i="35"/>
  <c r="BA24" i="35"/>
  <c r="AZ24" i="35"/>
  <c r="AY24" i="35"/>
  <c r="AX24" i="35"/>
  <c r="AW24" i="35"/>
  <c r="AV24" i="35"/>
  <c r="AU24" i="35"/>
  <c r="AT24" i="35"/>
  <c r="AS24" i="35"/>
  <c r="AR24" i="35"/>
  <c r="AQ24" i="35"/>
  <c r="AP24" i="35"/>
  <c r="AO24" i="35"/>
  <c r="AN24" i="35"/>
  <c r="BB11" i="35"/>
  <c r="BC11" i="35" s="1"/>
  <c r="BD11" i="35" s="1"/>
  <c r="BE11" i="35" s="1"/>
  <c r="BF11" i="35" s="1"/>
  <c r="BG11" i="35" s="1"/>
  <c r="BH11" i="35" s="1"/>
  <c r="BI11" i="35" s="1"/>
  <c r="BJ11" i="35" s="1"/>
  <c r="BK11" i="35" s="1"/>
  <c r="BL11" i="35" s="1"/>
  <c r="BM11" i="35" s="1"/>
  <c r="BN11" i="35" s="1"/>
  <c r="BO11" i="35" s="1"/>
  <c r="BP11" i="35" s="1"/>
  <c r="AN11" i="35"/>
  <c r="AO11" i="35" s="1"/>
  <c r="AP11" i="35" s="1"/>
  <c r="AQ11" i="35" s="1"/>
  <c r="AR11" i="35" s="1"/>
  <c r="AS11" i="35" s="1"/>
  <c r="AT11" i="35" s="1"/>
  <c r="AU11" i="35" s="1"/>
  <c r="AV11" i="35" s="1"/>
  <c r="AW11" i="35" s="1"/>
  <c r="AX11" i="35" s="1"/>
  <c r="AY11" i="35" s="1"/>
  <c r="AZ11" i="35" s="1"/>
  <c r="AL24" i="35"/>
  <c r="AJ24" i="35"/>
  <c r="AI24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BX22" i="35"/>
  <c r="BT22" i="35"/>
  <c r="CA22" i="35" s="1"/>
  <c r="CA23" i="35" s="1"/>
  <c r="BX19" i="35"/>
  <c r="BT19" i="35"/>
  <c r="BX16" i="35"/>
  <c r="BX17" i="35" s="1"/>
  <c r="BT16" i="35"/>
  <c r="BY16" i="35" s="1"/>
  <c r="BY17" i="35" s="1"/>
  <c r="BT13" i="35"/>
  <c r="W11" i="35"/>
  <c r="X11" i="35" s="1"/>
  <c r="Y11" i="35" s="1"/>
  <c r="Z11" i="35" s="1"/>
  <c r="AA11" i="35" s="1"/>
  <c r="AB11" i="35" s="1"/>
  <c r="AC11" i="35" s="1"/>
  <c r="AD11" i="35" s="1"/>
  <c r="AE11" i="35" s="1"/>
  <c r="AF11" i="35" s="1"/>
  <c r="AG11" i="35" s="1"/>
  <c r="AH11" i="35" s="1"/>
  <c r="AI11" i="35" s="1"/>
  <c r="AJ11" i="35" s="1"/>
  <c r="AK11" i="35" s="1"/>
  <c r="AL11" i="35" s="1"/>
  <c r="I11" i="35"/>
  <c r="J11" i="35" s="1"/>
  <c r="K11" i="35" s="1"/>
  <c r="L11" i="35" s="1"/>
  <c r="M11" i="35" s="1"/>
  <c r="N11" i="35" s="1"/>
  <c r="O11" i="35" s="1"/>
  <c r="P11" i="35" s="1"/>
  <c r="Q11" i="35" s="1"/>
  <c r="R11" i="35" s="1"/>
  <c r="S11" i="35" s="1"/>
  <c r="T11" i="35" s="1"/>
  <c r="U11" i="35" s="1"/>
  <c r="H27" i="34"/>
  <c r="AL27" i="34"/>
  <c r="AK27" i="34"/>
  <c r="AJ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AT22" i="34"/>
  <c r="AP22" i="34"/>
  <c r="AM22" i="34"/>
  <c r="AT19" i="34"/>
  <c r="AT20" i="34" s="1"/>
  <c r="AP19" i="34"/>
  <c r="AM19" i="34"/>
  <c r="AT16" i="34"/>
  <c r="AT17" i="34" s="1"/>
  <c r="AP16" i="34"/>
  <c r="AM16" i="34"/>
  <c r="AT13" i="34"/>
  <c r="AP13" i="34"/>
  <c r="AM13" i="34"/>
  <c r="W11" i="34"/>
  <c r="X11" i="34" s="1"/>
  <c r="Y11" i="34" s="1"/>
  <c r="Z11" i="34" s="1"/>
  <c r="AA11" i="34" s="1"/>
  <c r="AB11" i="34" s="1"/>
  <c r="AC11" i="34" s="1"/>
  <c r="AD11" i="34" s="1"/>
  <c r="AE11" i="34" s="1"/>
  <c r="AF11" i="34" s="1"/>
  <c r="AG11" i="34" s="1"/>
  <c r="AH11" i="34" s="1"/>
  <c r="AI11" i="34" s="1"/>
  <c r="AJ11" i="34" s="1"/>
  <c r="AK11" i="34" s="1"/>
  <c r="AL11" i="34" s="1"/>
  <c r="I11" i="34"/>
  <c r="J11" i="34" s="1"/>
  <c r="K11" i="34" s="1"/>
  <c r="L11" i="34" s="1"/>
  <c r="M11" i="34" s="1"/>
  <c r="N11" i="34" s="1"/>
  <c r="O11" i="34" s="1"/>
  <c r="P11" i="34" s="1"/>
  <c r="Q11" i="34" s="1"/>
  <c r="R11" i="34" s="1"/>
  <c r="S11" i="34" s="1"/>
  <c r="T11" i="34" s="1"/>
  <c r="U11" i="34" s="1"/>
  <c r="AU13" i="33"/>
  <c r="AT25" i="33"/>
  <c r="AT22" i="33"/>
  <c r="AT19" i="33"/>
  <c r="AT16" i="33"/>
  <c r="AT13" i="33"/>
  <c r="AM25" i="33"/>
  <c r="AM22" i="33"/>
  <c r="AM19" i="33"/>
  <c r="AM16" i="33"/>
  <c r="AM13" i="33"/>
  <c r="N27" i="33"/>
  <c r="G62" i="26" l="1"/>
  <c r="AT19" i="32"/>
  <c r="AT18" i="32"/>
  <c r="AP18" i="32"/>
  <c r="F60" i="26"/>
  <c r="I68" i="26"/>
  <c r="I70" i="26" s="1"/>
  <c r="H62" i="26"/>
  <c r="F52" i="26"/>
  <c r="F77" i="26"/>
  <c r="F79" i="26" s="1"/>
  <c r="I73" i="26"/>
  <c r="J73" i="26" s="1"/>
  <c r="F62" i="26"/>
  <c r="H79" i="26"/>
  <c r="G79" i="26"/>
  <c r="I57" i="26"/>
  <c r="J57" i="26" s="1"/>
  <c r="I72" i="26"/>
  <c r="G26" i="26"/>
  <c r="F42" i="26"/>
  <c r="J54" i="26"/>
  <c r="J50" i="26"/>
  <c r="I52" i="26"/>
  <c r="H26" i="26"/>
  <c r="H42" i="26"/>
  <c r="H44" i="26" s="1"/>
  <c r="I42" i="26"/>
  <c r="J38" i="26"/>
  <c r="J40" i="26"/>
  <c r="G42" i="26"/>
  <c r="G44" i="26" s="1"/>
  <c r="J32" i="26"/>
  <c r="I34" i="26"/>
  <c r="J36" i="26"/>
  <c r="F34" i="26"/>
  <c r="AL22" i="32"/>
  <c r="AM24" i="27"/>
  <c r="AU25" i="34"/>
  <c r="AU26" i="34" s="1"/>
  <c r="AT26" i="34"/>
  <c r="BT14" i="39"/>
  <c r="BZ15" i="39"/>
  <c r="BZ18" i="39" s="1"/>
  <c r="BX15" i="39"/>
  <c r="BT15" i="39"/>
  <c r="BU15" i="39" s="1"/>
  <c r="BW18" i="39"/>
  <c r="BP18" i="39"/>
  <c r="BU14" i="39"/>
  <c r="BX14" i="39"/>
  <c r="AQ14" i="38"/>
  <c r="AW14" i="38" s="1"/>
  <c r="S18" i="38"/>
  <c r="AS18" i="38"/>
  <c r="AT18" i="38"/>
  <c r="AL15" i="38"/>
  <c r="AT14" i="37"/>
  <c r="AP14" i="37"/>
  <c r="AL17" i="37"/>
  <c r="AV14" i="37"/>
  <c r="AQ14" i="37"/>
  <c r="AQ17" i="37" s="1"/>
  <c r="AT17" i="37"/>
  <c r="CA13" i="35"/>
  <c r="CA16" i="35"/>
  <c r="BY22" i="35"/>
  <c r="BY23" i="35" s="1"/>
  <c r="BY19" i="35"/>
  <c r="BY20" i="35" s="1"/>
  <c r="CA19" i="35"/>
  <c r="CA20" i="35" s="1"/>
  <c r="BZ17" i="35"/>
  <c r="BZ23" i="35"/>
  <c r="CA14" i="35"/>
  <c r="CA24" i="35" s="1"/>
  <c r="CA17" i="35"/>
  <c r="BY13" i="35"/>
  <c r="BY14" i="35" s="1"/>
  <c r="BY24" i="35" s="1"/>
  <c r="BX23" i="35"/>
  <c r="BX14" i="35"/>
  <c r="BU19" i="35"/>
  <c r="BV19" i="35" s="1"/>
  <c r="BU13" i="35"/>
  <c r="BV13" i="35" s="1"/>
  <c r="BU22" i="35"/>
  <c r="BV22" i="35" s="1"/>
  <c r="BU16" i="35"/>
  <c r="BV16" i="35" s="1"/>
  <c r="BX20" i="35"/>
  <c r="AU22" i="34"/>
  <c r="AU23" i="34" s="1"/>
  <c r="AU13" i="34"/>
  <c r="AU14" i="34" s="1"/>
  <c r="AT23" i="34"/>
  <c r="AU16" i="34"/>
  <c r="AU17" i="34" s="1"/>
  <c r="AQ19" i="34"/>
  <c r="AR19" i="34" s="1"/>
  <c r="AT14" i="34"/>
  <c r="AQ22" i="34"/>
  <c r="AR22" i="34" s="1"/>
  <c r="AQ13" i="34"/>
  <c r="AR13" i="34"/>
  <c r="AU19" i="34"/>
  <c r="AU20" i="34" s="1"/>
  <c r="AQ16" i="34"/>
  <c r="AR16" i="34" s="1"/>
  <c r="J68" i="26" l="1"/>
  <c r="J70" i="26" s="1"/>
  <c r="M70" i="26" s="1"/>
  <c r="AQ18" i="32"/>
  <c r="F15" i="26"/>
  <c r="I60" i="26"/>
  <c r="I77" i="26"/>
  <c r="I79" i="26" s="1"/>
  <c r="H80" i="26" s="1"/>
  <c r="J72" i="26"/>
  <c r="I62" i="26"/>
  <c r="J60" i="26"/>
  <c r="M60" i="26" s="1"/>
  <c r="J52" i="26"/>
  <c r="M52" i="26" s="1"/>
  <c r="J37" i="26"/>
  <c r="J42" i="26" s="1"/>
  <c r="M42" i="26" s="1"/>
  <c r="F44" i="26"/>
  <c r="I44" i="26"/>
  <c r="H45" i="26" s="1"/>
  <c r="J34" i="26"/>
  <c r="BX18" i="39"/>
  <c r="BT18" i="39"/>
  <c r="BU18" i="39"/>
  <c r="AV15" i="38"/>
  <c r="AL18" i="38"/>
  <c r="AP17" i="37"/>
  <c r="AW14" i="37"/>
  <c r="BV24" i="35"/>
  <c r="BU24" i="35"/>
  <c r="G80" i="26" l="1"/>
  <c r="G63" i="26"/>
  <c r="H63" i="26"/>
  <c r="M34" i="26"/>
  <c r="K68" i="26"/>
  <c r="K70" i="26" s="1"/>
  <c r="G45" i="26"/>
  <c r="F80" i="26"/>
  <c r="J77" i="26"/>
  <c r="M77" i="26" s="1"/>
  <c r="K50" i="26"/>
  <c r="K52" i="26" s="1"/>
  <c r="F63" i="26"/>
  <c r="J62" i="26"/>
  <c r="J63" i="26" s="1"/>
  <c r="K32" i="26"/>
  <c r="F45" i="26"/>
  <c r="J44" i="26"/>
  <c r="CA18" i="39"/>
  <c r="AP18" i="38"/>
  <c r="AQ15" i="38"/>
  <c r="CB24" i="35"/>
  <c r="J79" i="26" l="1"/>
  <c r="J80" i="26" s="1"/>
  <c r="L34" i="26"/>
  <c r="J45" i="26"/>
  <c r="L60" i="26"/>
  <c r="L52" i="26"/>
  <c r="L42" i="26"/>
  <c r="L44" i="26" s="1"/>
  <c r="AW15" i="38"/>
  <c r="AQ18" i="38"/>
  <c r="L70" i="26" l="1"/>
  <c r="L77" i="26"/>
  <c r="L62" i="26"/>
  <c r="AL27" i="33"/>
  <c r="AK27" i="33"/>
  <c r="AJ27" i="33"/>
  <c r="AI27" i="33"/>
  <c r="AH27" i="33"/>
  <c r="AG27" i="33"/>
  <c r="AF27" i="33"/>
  <c r="AE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M27" i="33"/>
  <c r="L27" i="33"/>
  <c r="K27" i="33"/>
  <c r="J27" i="33"/>
  <c r="I27" i="33"/>
  <c r="H27" i="33"/>
  <c r="W11" i="33"/>
  <c r="X11" i="33" s="1"/>
  <c r="Y11" i="33" s="1"/>
  <c r="Z11" i="33" s="1"/>
  <c r="AA11" i="33" s="1"/>
  <c r="AB11" i="33" s="1"/>
  <c r="AC11" i="33" s="1"/>
  <c r="AD11" i="33" s="1"/>
  <c r="AE11" i="33" s="1"/>
  <c r="AF11" i="33" s="1"/>
  <c r="AG11" i="33" s="1"/>
  <c r="AH11" i="33" s="1"/>
  <c r="AI11" i="33" s="1"/>
  <c r="AJ11" i="33" s="1"/>
  <c r="AK11" i="33" s="1"/>
  <c r="AL11" i="33" s="1"/>
  <c r="AP25" i="33"/>
  <c r="L79" i="26" l="1"/>
  <c r="AU25" i="33"/>
  <c r="AU26" i="33" s="1"/>
  <c r="AQ25" i="33"/>
  <c r="AR25" i="33" s="1"/>
  <c r="AT26" i="33"/>
  <c r="AP22" i="33" l="1"/>
  <c r="AT20" i="33"/>
  <c r="AP19" i="33"/>
  <c r="AT17" i="33"/>
  <c r="AP16" i="33"/>
  <c r="AT14" i="33"/>
  <c r="AP13" i="33"/>
  <c r="AM27" i="33"/>
  <c r="I11" i="33"/>
  <c r="J11" i="33" s="1"/>
  <c r="K11" i="33" s="1"/>
  <c r="L11" i="33" s="1"/>
  <c r="M11" i="33" s="1"/>
  <c r="N11" i="33" s="1"/>
  <c r="O11" i="33" s="1"/>
  <c r="P11" i="33" s="1"/>
  <c r="Q11" i="33" s="1"/>
  <c r="R11" i="33" s="1"/>
  <c r="S11" i="33" s="1"/>
  <c r="T11" i="33" s="1"/>
  <c r="U11" i="33" s="1"/>
  <c r="AQ22" i="33" l="1"/>
  <c r="AR22" i="33" s="1"/>
  <c r="AQ19" i="33"/>
  <c r="AR19" i="33" s="1"/>
  <c r="AQ13" i="33"/>
  <c r="AQ16" i="33"/>
  <c r="AR16" i="33" s="1"/>
  <c r="AU22" i="33"/>
  <c r="AU23" i="33" s="1"/>
  <c r="AU14" i="33"/>
  <c r="AT23" i="33"/>
  <c r="AT27" i="33" s="1"/>
  <c r="AU19" i="33"/>
  <c r="AU20" i="33" s="1"/>
  <c r="AU16" i="33"/>
  <c r="AU17" i="33" s="1"/>
  <c r="AU27" i="33" l="1"/>
  <c r="AR13" i="33"/>
  <c r="AR27" i="33" s="1"/>
  <c r="AQ27" i="33"/>
  <c r="AW27" i="33" l="1"/>
  <c r="AO16" i="32"/>
  <c r="AO14" i="32"/>
  <c r="AT14" i="32" l="1"/>
  <c r="AT16" i="32"/>
  <c r="AP16" i="32"/>
  <c r="AQ16" i="32" s="1"/>
  <c r="AP14" i="32"/>
  <c r="I15" i="26" l="1"/>
  <c r="F14" i="26"/>
  <c r="I14" i="26" s="1"/>
  <c r="J14" i="26" s="1"/>
  <c r="F13" i="26"/>
  <c r="AQ14" i="32"/>
  <c r="AQ22" i="32" s="1"/>
  <c r="AU22" i="32" l="1"/>
  <c r="I13" i="26"/>
  <c r="I17" i="26" s="1"/>
  <c r="F17" i="26"/>
  <c r="AP13" i="27"/>
  <c r="AP22" i="27" l="1"/>
  <c r="AP19" i="27"/>
  <c r="AP16" i="27"/>
  <c r="AT14" i="27" l="1"/>
  <c r="AU22" i="27"/>
  <c r="AQ22" i="27"/>
  <c r="AR22" i="27" s="1"/>
  <c r="AQ19" i="27"/>
  <c r="AT20" i="27"/>
  <c r="AT17" i="27"/>
  <c r="AT23" i="27"/>
  <c r="AU19" i="27"/>
  <c r="AU20" i="27" s="1"/>
  <c r="F21" i="26" s="1"/>
  <c r="I21" i="26" s="1"/>
  <c r="AQ13" i="27"/>
  <c r="AQ16" i="27"/>
  <c r="AR16" i="27" s="1"/>
  <c r="AU16" i="27"/>
  <c r="AQ24" i="27" l="1"/>
  <c r="AU17" i="27"/>
  <c r="F20" i="26" s="1"/>
  <c r="I20" i="26" s="1"/>
  <c r="AU23" i="27"/>
  <c r="F22" i="26" s="1"/>
  <c r="I22" i="26" s="1"/>
  <c r="AT24" i="27"/>
  <c r="AU14" i="27"/>
  <c r="AR13" i="27"/>
  <c r="F19" i="26"/>
  <c r="I19" i="26" s="1"/>
  <c r="AR19" i="27"/>
  <c r="AU24" i="27" l="1"/>
  <c r="F24" i="26"/>
  <c r="F26" i="26" s="1"/>
  <c r="AR24" i="27"/>
  <c r="AW24" i="27" s="1"/>
  <c r="J21" i="26" l="1"/>
  <c r="J22" i="26"/>
  <c r="J20" i="26"/>
  <c r="I24" i="26" l="1"/>
  <c r="J19" i="26"/>
  <c r="J24" i="26" s="1"/>
  <c r="K39" i="26" l="1"/>
  <c r="K58" i="26"/>
  <c r="K73" i="26"/>
  <c r="K75" i="26"/>
  <c r="K55" i="26"/>
  <c r="K56" i="26"/>
  <c r="K74" i="26"/>
  <c r="K57" i="26"/>
  <c r="K54" i="26"/>
  <c r="K72" i="26"/>
  <c r="K38" i="26"/>
  <c r="K37" i="26"/>
  <c r="K40" i="26"/>
  <c r="K36" i="26"/>
  <c r="M24" i="26"/>
  <c r="K77" i="26" l="1"/>
  <c r="K60" i="26"/>
  <c r="K42" i="26"/>
  <c r="J15" i="26"/>
  <c r="I26" i="26" l="1"/>
  <c r="G27" i="26" l="1"/>
  <c r="H27" i="26"/>
  <c r="F27" i="26"/>
  <c r="J13" i="26"/>
  <c r="K34" i="26" l="1"/>
  <c r="J17" i="26"/>
  <c r="M17" i="26" s="1"/>
  <c r="J26" i="26"/>
  <c r="K13" i="26" l="1"/>
  <c r="K14" i="26"/>
  <c r="J27" i="26"/>
  <c r="K15" i="26"/>
  <c r="K17" i="26" l="1"/>
  <c r="L17" i="26" l="1"/>
  <c r="K19" i="26"/>
  <c r="K22" i="26"/>
  <c r="K20" i="26"/>
  <c r="K21" i="26"/>
  <c r="L24" i="26" l="1"/>
  <c r="K24" i="26"/>
  <c r="L26" i="26" l="1"/>
</calcChain>
</file>

<file path=xl/sharedStrings.xml><?xml version="1.0" encoding="utf-8"?>
<sst xmlns="http://schemas.openxmlformats.org/spreadsheetml/2006/main" count="826" uniqueCount="198">
  <si>
    <t>CLIENT: SABESP</t>
  </si>
  <si>
    <t>F</t>
  </si>
  <si>
    <t>MARKET</t>
  </si>
  <si>
    <t>CHANNEL</t>
  </si>
  <si>
    <t>INS.</t>
  </si>
  <si>
    <t>CUSTO TABELA UNITÁRIO (BRUTO)</t>
  </si>
  <si>
    <t>DESC. %</t>
  </si>
  <si>
    <t>CUSTO NEGOCIADO UNITÁRIO
(BRUTO)</t>
  </si>
  <si>
    <t>CUSTO TOTAL NEGOCIADO (BRUTO)</t>
  </si>
  <si>
    <t>M</t>
  </si>
  <si>
    <t>T</t>
  </si>
  <si>
    <t>W</t>
  </si>
  <si>
    <t>S</t>
  </si>
  <si>
    <t>BANDEIRANTES</t>
  </si>
  <si>
    <t>30"</t>
  </si>
  <si>
    <t>PROPERTY</t>
  </si>
  <si>
    <t>CUSTO TOTAL DESEMBOLSO CLIENTE</t>
  </si>
  <si>
    <t>CPM</t>
  </si>
  <si>
    <t>RÁDIO</t>
  </si>
  <si>
    <t>INV. LIQUIDO</t>
  </si>
  <si>
    <t>JOVEM PAN</t>
  </si>
  <si>
    <t>ROTATIVO</t>
  </si>
  <si>
    <t>FORMAT: SPOT</t>
  </si>
  <si>
    <t>NATIVA FM</t>
  </si>
  <si>
    <t>NATIVA</t>
  </si>
  <si>
    <t>BAND FM</t>
  </si>
  <si>
    <t>07h00 as 19h00</t>
  </si>
  <si>
    <t>PRAÇA</t>
  </si>
  <si>
    <t>MEIO</t>
  </si>
  <si>
    <t>VEÍCULO</t>
  </si>
  <si>
    <t>TOTAL BRUTO</t>
  </si>
  <si>
    <t>VALOR DESEMBOLSO TT</t>
  </si>
  <si>
    <t>PART GERAL %</t>
  </si>
  <si>
    <t>RADIO</t>
  </si>
  <si>
    <t>TT RÁDIO</t>
  </si>
  <si>
    <t>Tactical Media Plan</t>
  </si>
  <si>
    <t>CONFIDENCIAL</t>
  </si>
  <si>
    <t>CLIENT:</t>
  </si>
  <si>
    <t>SABESP</t>
  </si>
  <si>
    <t>CAMPAING</t>
  </si>
  <si>
    <t>TARGET:</t>
  </si>
  <si>
    <t>AS ABCDE 25+</t>
  </si>
  <si>
    <t>VERSION</t>
  </si>
  <si>
    <t>UPDATE DATE</t>
  </si>
  <si>
    <t>UPDATES:</t>
  </si>
  <si>
    <t>TT JORNAL</t>
  </si>
  <si>
    <t>JORNAL</t>
  </si>
  <si>
    <t>GLOBO</t>
  </si>
  <si>
    <t>RECORD</t>
  </si>
  <si>
    <t>SBT</t>
  </si>
  <si>
    <t>CAMPINAS</t>
  </si>
  <si>
    <t>SOROCABA</t>
  </si>
  <si>
    <t>PROGRAM</t>
  </si>
  <si>
    <t>INV LIQUIDO</t>
  </si>
  <si>
    <t>EDUCADORA</t>
  </si>
  <si>
    <t>MUNICIPIOS</t>
  </si>
  <si>
    <t>COBERTURA DAS EMISSORAS</t>
  </si>
  <si>
    <t>EDUCADORA FM</t>
  </si>
  <si>
    <t>ÁGUAS DE LINDÓIA</t>
  </si>
  <si>
    <t>ÁGUAS DE SÃO PEDRO</t>
  </si>
  <si>
    <t>AMERICANA</t>
  </si>
  <si>
    <t>AMPARO</t>
  </si>
  <si>
    <t>ARARAS</t>
  </si>
  <si>
    <t>ARTUR NOGUEIRA</t>
  </si>
  <si>
    <t>ATIBAIA</t>
  </si>
  <si>
    <t>BOITUVA</t>
  </si>
  <si>
    <t>BRAGANÇA PAULISTA</t>
  </si>
  <si>
    <t>CAIEIRAS</t>
  </si>
  <si>
    <t>CAMPO LIMPO PAULISTA</t>
  </si>
  <si>
    <t>CAPIVARI</t>
  </si>
  <si>
    <t>CHARQUEADA</t>
  </si>
  <si>
    <t>CONCHAL</t>
  </si>
  <si>
    <t>CORDEIRÓPOLIS</t>
  </si>
  <si>
    <t>COSMÓPOLIS</t>
  </si>
  <si>
    <t>ELIAS FAUSTO</t>
  </si>
  <si>
    <t>ENGENHEIRO COELHO</t>
  </si>
  <si>
    <t>FRANCISCO MORATO</t>
  </si>
  <si>
    <t>FRANCO DA ROCHA</t>
  </si>
  <si>
    <t>HOLAMBRA</t>
  </si>
  <si>
    <t>HORTOLÂNDIA</t>
  </si>
  <si>
    <t>IBIÚNA</t>
  </si>
  <si>
    <t>INDAIATUBA</t>
  </si>
  <si>
    <t>IPERÓ</t>
  </si>
  <si>
    <t>IPEÚNA</t>
  </si>
  <si>
    <t>IRACEMÁPOLIS</t>
  </si>
  <si>
    <t>ITATIBA</t>
  </si>
  <si>
    <t>ITU</t>
  </si>
  <si>
    <t>ITUPEVA</t>
  </si>
  <si>
    <t>JAGUARIÚNA</t>
  </si>
  <si>
    <t>JANDIRA</t>
  </si>
  <si>
    <t>JARINU</t>
  </si>
  <si>
    <t>JUNDIAÍ</t>
  </si>
  <si>
    <t>LARANJAL PAULISTA</t>
  </si>
  <si>
    <t>LIMEIRA</t>
  </si>
  <si>
    <t>LINDÓIA</t>
  </si>
  <si>
    <t>LOUVEIRA</t>
  </si>
  <si>
    <t>MAIRINQUE</t>
  </si>
  <si>
    <t>MAIRIPORÃ</t>
  </si>
  <si>
    <t>MOGI GUAÇU</t>
  </si>
  <si>
    <t>MOGI MIRIM</t>
  </si>
  <si>
    <t>MOMBUCA</t>
  </si>
  <si>
    <t>MONTE ALEGRE DO SUL</t>
  </si>
  <si>
    <t>MONTE MOR</t>
  </si>
  <si>
    <t>MORUNGABA</t>
  </si>
  <si>
    <t>NOVA ODESSA</t>
  </si>
  <si>
    <t>PAULÍNIA</t>
  </si>
  <si>
    <t>PEDRA BELA</t>
  </si>
  <si>
    <t>PEDREIRA</t>
  </si>
  <si>
    <t>PEREIRAS</t>
  </si>
  <si>
    <t>PINHALZINHO</t>
  </si>
  <si>
    <t>PIRACICABA</t>
  </si>
  <si>
    <t>PIRAPORA DO BOM JESUS</t>
  </si>
  <si>
    <t>PORANGABA</t>
  </si>
  <si>
    <t>PORTO FELIZ</t>
  </si>
  <si>
    <t>RAFARD</t>
  </si>
  <si>
    <t>RIO CLARO</t>
  </si>
  <si>
    <t>RIO DAS PEDRAS</t>
  </si>
  <si>
    <t>SALTO</t>
  </si>
  <si>
    <t>SANTA BÁRBARA D'OESTE</t>
  </si>
  <si>
    <t>SANTA GERTRUDES</t>
  </si>
  <si>
    <t>SANTANA DO PARNAÍBA</t>
  </si>
  <si>
    <t>SANTO ANTÔNIO DE POSSE</t>
  </si>
  <si>
    <t>SÃO PEDRO</t>
  </si>
  <si>
    <t>SÃO ROQUE</t>
  </si>
  <si>
    <t>SERRA NEGRA</t>
  </si>
  <si>
    <t>SUMARÉ</t>
  </si>
  <si>
    <t>TIETÊ</t>
  </si>
  <si>
    <t>VALINHOS</t>
  </si>
  <si>
    <t>VÁRZEA PAULISTA</t>
  </si>
  <si>
    <t>VINHEDO</t>
  </si>
  <si>
    <t>VOTORANTIM</t>
  </si>
  <si>
    <t xml:space="preserve">BAND - NATIVA - EDUCADORA - JOVEM PAN </t>
  </si>
  <si>
    <t>PAULÍNIA (COBERTURA VIA CAMPINAS)</t>
  </si>
  <si>
    <t>MARÇO</t>
  </si>
  <si>
    <t>COMERCIAL</t>
  </si>
  <si>
    <t>ASSET</t>
  </si>
  <si>
    <t>FORMATO</t>
  </si>
  <si>
    <t>INFORMAÇÕES</t>
  </si>
  <si>
    <t>CIRCULAÇÃO / IMPRESSÕES</t>
  </si>
  <si>
    <t>CUSTO TOTAL DESEMBOLSO</t>
  </si>
  <si>
    <t>IMPACTO</t>
  </si>
  <si>
    <t>JORNAL TRIBUNA</t>
  </si>
  <si>
    <t>JORNAL DE PAULÍNIA</t>
  </si>
  <si>
    <t>DIA D</t>
  </si>
  <si>
    <t>RESUMO DE MEIOS</t>
  </si>
  <si>
    <t>FRANCA</t>
  </si>
  <si>
    <t>HERTZ FM</t>
  </si>
  <si>
    <t>ESTÚDIO 1 FM</t>
  </si>
  <si>
    <t>101.7 FM</t>
  </si>
  <si>
    <t>MAIS FM</t>
  </si>
  <si>
    <t>CAMPAING: CARAVANAS - FRANCA</t>
  </si>
  <si>
    <t>3 COLINAS FM</t>
  </si>
  <si>
    <t>PRESIDENTE PRUDENTE</t>
  </si>
  <si>
    <t>CAMPAING: CARAVANAS - PRESIDENTE PRUDENTE</t>
  </si>
  <si>
    <t>TOTAL RÁDIO</t>
  </si>
  <si>
    <t>CAMPAING: CARAVANAS - PAULÍNIA</t>
  </si>
  <si>
    <t>101 FM</t>
  </si>
  <si>
    <t>FRONTEIRA FM</t>
  </si>
  <si>
    <t>98 FM</t>
  </si>
  <si>
    <t>CAMPAING: CARAVANAS - JALES</t>
  </si>
  <si>
    <t>JALES</t>
  </si>
  <si>
    <t>ABRIL</t>
  </si>
  <si>
    <t>ANTENA FM</t>
  </si>
  <si>
    <t>REGIONAL FM</t>
  </si>
  <si>
    <t>COMERCIO DA FRANCA</t>
  </si>
  <si>
    <t>SUPER BANNER (HOME + INTERNAS)</t>
  </si>
  <si>
    <t>728x90px</t>
  </si>
  <si>
    <t>O IMPARCIAL</t>
  </si>
  <si>
    <t>TER À DOM</t>
  </si>
  <si>
    <t>PÁGINA SIMPLES - DIGITAL</t>
  </si>
  <si>
    <t>-</t>
  </si>
  <si>
    <t>MEIA PÁGINA - DIGITAL</t>
  </si>
  <si>
    <t>A TRIBUNA</t>
  </si>
  <si>
    <t>PÁGINA SIMPLES</t>
  </si>
  <si>
    <t>MEIA PÁGINA</t>
  </si>
  <si>
    <t>SEMANAL - DOMINGO</t>
  </si>
  <si>
    <t>RESUMO MENSAL</t>
  </si>
  <si>
    <t>SEMANAL - SÁBADO</t>
  </si>
  <si>
    <t>SEMANAL - SEXTA</t>
  </si>
  <si>
    <t>CARAVANAS</t>
  </si>
  <si>
    <t>Atualizações de custos de Paulínia.</t>
  </si>
  <si>
    <t>CAMPAING: CARAVANAS</t>
  </si>
  <si>
    <t>TOTAL PAULINIA</t>
  </si>
  <si>
    <t>TOTAL FRANCA</t>
  </si>
  <si>
    <t>PORTAL</t>
  </si>
  <si>
    <t>TT PORTAL</t>
  </si>
  <si>
    <t>MAIO</t>
  </si>
  <si>
    <t>ESTUDIO 1 FM</t>
  </si>
  <si>
    <t>TOTAL PRESIDENTE PRUDENTE</t>
  </si>
  <si>
    <t>TOTAL JALES</t>
  </si>
  <si>
    <t>0503/26</t>
  </si>
  <si>
    <t>TABLÓIDE - IMPRESSO - 25,5 x 29,7cm</t>
  </si>
  <si>
    <t>AGORA PAULÍNIA</t>
  </si>
  <si>
    <t>BONIFICAÇÃO</t>
  </si>
  <si>
    <t>1 PUBLIPOST REDES SOCIAIS + 2 SEQUÊNCIA STORIES</t>
  </si>
  <si>
    <t>PÁGINA SIMPLES - IMPRESSO - 29,7x52cm</t>
  </si>
  <si>
    <t>Inlclusão do jornal Agora Paulínia.</t>
  </si>
  <si>
    <t>TOTAL PRAÇAS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</si>
</sst>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8" formatCode="_(&quot;R$&quot;* #,##0_);_(&quot;R$&quot;* \(#,##0\);_(&quot;R$&quot;* &quot;-&quot;??_);_(@_)"/>
    <numFmt numFmtId="169" formatCode="_-* #,##0_-;\-* #,##0_-;_-* &quot;-&quot;??_-;_-@_-"/>
    <numFmt numFmtId="170" formatCode="#,##0_ ;\-#,##0\ "/>
    <numFmt numFmtId="171" formatCode="dd/mm/yy;@"/>
    <numFmt numFmtId="172" formatCode="_-* #,##0.0_-;\-* #,##0.0_-;_-* &quot;-&quot;??_-;_-@_-"/>
    <numFmt numFmtId="173" formatCode="0.000000%"/>
    <numFmt numFmtId="174" formatCode="0.000"/>
    <numFmt numFmtId="175" formatCode="0.0%"/>
  </numFmts>
  <fonts count="5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Tahoma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sz val="8"/>
      <color theme="0"/>
      <name val="Tahoma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sz val="8"/>
      <color theme="1"/>
      <name val="Tahoma"/>
      <family val="2"/>
    </font>
    <font>
      <sz val="7"/>
      <name val="Tahoma"/>
      <family val="2"/>
    </font>
    <font>
      <b/>
      <sz val="8"/>
      <color theme="1"/>
      <name val="Tahoma"/>
      <family val="2"/>
    </font>
    <font>
      <sz val="7"/>
      <color theme="1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1"/>
      <color indexed="9"/>
      <name val="Tahoma"/>
      <family val="2"/>
    </font>
    <font>
      <b/>
      <sz val="11"/>
      <color theme="1" tint="0.34998626667073579"/>
      <name val="Tahoma"/>
      <family val="2"/>
    </font>
    <font>
      <b/>
      <sz val="11"/>
      <name val="Tahoma"/>
      <family val="2"/>
    </font>
    <font>
      <sz val="11"/>
      <color theme="1" tint="0.34998626667073579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8"/>
      <color theme="2"/>
      <name val="Tahoma"/>
      <family val="2"/>
    </font>
    <font>
      <sz val="6"/>
      <color theme="2" tint="-0.499984740745262"/>
      <name val="Tahoma"/>
      <family val="2"/>
    </font>
    <font>
      <sz val="6"/>
      <color theme="0" tint="-0.499984740745262"/>
      <name val="Tahoma"/>
      <family val="2"/>
    </font>
    <font>
      <sz val="6"/>
      <color theme="1" tint="0.499984740745262"/>
      <name val="Tahoma"/>
      <family val="2"/>
    </font>
    <font>
      <b/>
      <sz val="12"/>
      <name val="Tahoma"/>
      <family val="2"/>
    </font>
    <font>
      <b/>
      <u/>
      <sz val="8"/>
      <color theme="0"/>
      <name val="Tahoma"/>
      <family val="2"/>
    </font>
    <font>
      <b/>
      <sz val="10"/>
      <name val="Arial"/>
      <family val="2"/>
    </font>
    <font>
      <b/>
      <sz val="16"/>
      <name val="Tahoma"/>
      <family val="2"/>
    </font>
    <font>
      <b/>
      <sz val="9"/>
      <color theme="7"/>
      <name val="Tahoma"/>
      <family val="2"/>
    </font>
    <font>
      <b/>
      <sz val="8"/>
      <color theme="4" tint="0.39997558519241921"/>
      <name val="Tahoma"/>
      <family val="2"/>
    </font>
    <font>
      <sz val="6"/>
      <name val="Tahoma"/>
      <family val="2"/>
    </font>
    <font>
      <b/>
      <sz val="9"/>
      <color theme="0"/>
      <name val="Tahoma"/>
      <family val="2"/>
    </font>
    <font>
      <sz val="9"/>
      <color theme="1"/>
      <name val="Tahoma"/>
      <family val="2"/>
    </font>
    <font>
      <b/>
      <sz val="9"/>
      <color theme="1" tint="0.34998626667073579"/>
      <name val="Tahoma"/>
      <family val="2"/>
    </font>
    <font>
      <sz val="9"/>
      <color theme="1" tint="0.14999847407452621"/>
      <name val="Tahoma"/>
      <family val="2"/>
    </font>
    <font>
      <b/>
      <sz val="9"/>
      <color theme="1"/>
      <name val="Tahoma"/>
      <family val="2"/>
    </font>
    <font>
      <sz val="8"/>
      <color theme="1" tint="0.499984740745262"/>
      <name val="Tahoma"/>
      <family val="2"/>
    </font>
    <font>
      <sz val="7"/>
      <color theme="1" tint="0.499984740745262"/>
      <name val="Tahoma"/>
      <family val="2"/>
    </font>
    <font>
      <sz val="6"/>
      <color theme="0" tint="-0.34998626667073579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" fillId="0" borderId="0"/>
    <xf numFmtId="0" fontId="6" fillId="0" borderId="0"/>
    <xf numFmtId="43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29" fillId="0" borderId="0"/>
    <xf numFmtId="43" fontId="2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6" fillId="0" borderId="0" xfId="4"/>
    <xf numFmtId="0" fontId="8" fillId="0" borderId="0" xfId="4" applyFont="1"/>
    <xf numFmtId="0" fontId="9" fillId="0" borderId="0" xfId="4" applyFont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1" fillId="3" borderId="0" xfId="5" applyFont="1" applyFill="1" applyAlignment="1">
      <alignment horizontal="left"/>
    </xf>
    <xf numFmtId="0" fontId="12" fillId="3" borderId="0" xfId="4" applyFont="1" applyFill="1" applyAlignment="1">
      <alignment horizontal="left"/>
    </xf>
    <xf numFmtId="0" fontId="7" fillId="2" borderId="3" xfId="5" applyFont="1" applyFill="1" applyBorder="1" applyAlignment="1">
      <alignment horizontal="center" vertical="center"/>
    </xf>
    <xf numFmtId="0" fontId="7" fillId="4" borderId="3" xfId="5" applyFont="1" applyFill="1" applyBorder="1" applyAlignment="1">
      <alignment horizontal="center" vertical="center"/>
    </xf>
    <xf numFmtId="165" fontId="8" fillId="0" borderId="9" xfId="7" applyFont="1" applyFill="1" applyBorder="1" applyAlignment="1">
      <alignment vertical="center" wrapText="1"/>
    </xf>
    <xf numFmtId="165" fontId="8" fillId="0" borderId="0" xfId="7" applyFont="1" applyFill="1" applyBorder="1" applyAlignment="1">
      <alignment vertical="center" wrapText="1"/>
    </xf>
    <xf numFmtId="0" fontId="16" fillId="5" borderId="1" xfId="5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6" fillId="6" borderId="1" xfId="5" applyFont="1" applyFill="1" applyBorder="1" applyAlignment="1">
      <alignment horizontal="center" vertical="center" wrapText="1"/>
    </xf>
    <xf numFmtId="9" fontId="8" fillId="0" borderId="11" xfId="8" applyFont="1" applyFill="1" applyBorder="1" applyAlignment="1">
      <alignment horizontal="center" vertical="center" wrapText="1"/>
    </xf>
    <xf numFmtId="165" fontId="8" fillId="0" borderId="11" xfId="7" applyFont="1" applyFill="1" applyBorder="1" applyAlignment="1">
      <alignment horizontal="center" vertical="center" wrapText="1"/>
    </xf>
    <xf numFmtId="165" fontId="8" fillId="0" borderId="11" xfId="7" applyFont="1" applyFill="1" applyBorder="1" applyAlignment="1">
      <alignment vertical="center" wrapText="1"/>
    </xf>
    <xf numFmtId="9" fontId="8" fillId="0" borderId="13" xfId="8" applyFont="1" applyFill="1" applyBorder="1" applyAlignment="1">
      <alignment horizontal="center" vertical="center" wrapText="1"/>
    </xf>
    <xf numFmtId="165" fontId="8" fillId="0" borderId="13" xfId="7" applyFont="1" applyFill="1" applyBorder="1" applyAlignment="1">
      <alignment horizontal="center" vertical="center" wrapText="1"/>
    </xf>
    <xf numFmtId="165" fontId="8" fillId="0" borderId="13" xfId="7" applyFont="1" applyFill="1" applyBorder="1" applyAlignment="1">
      <alignment vertical="center" wrapText="1"/>
    </xf>
    <xf numFmtId="165" fontId="8" fillId="0" borderId="13" xfId="7" applyFont="1" applyBorder="1" applyAlignment="1">
      <alignment vertical="center" wrapText="1"/>
    </xf>
    <xf numFmtId="165" fontId="8" fillId="0" borderId="15" xfId="7" applyFont="1" applyFill="1" applyBorder="1" applyAlignment="1">
      <alignment vertical="center" wrapText="1"/>
    </xf>
    <xf numFmtId="167" fontId="7" fillId="2" borderId="15" xfId="7" applyNumberFormat="1" applyFont="1" applyFill="1" applyBorder="1" applyAlignment="1">
      <alignment horizontal="left" vertical="center"/>
    </xf>
    <xf numFmtId="167" fontId="7" fillId="2" borderId="15" xfId="7" applyNumberFormat="1" applyFont="1" applyFill="1" applyBorder="1" applyAlignment="1">
      <alignment horizontal="center" vertical="center"/>
    </xf>
    <xf numFmtId="0" fontId="8" fillId="0" borderId="0" xfId="5" applyFont="1"/>
    <xf numFmtId="0" fontId="10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/>
    </xf>
    <xf numFmtId="43" fontId="8" fillId="0" borderId="0" xfId="5" applyNumberFormat="1" applyFont="1"/>
    <xf numFmtId="0" fontId="10" fillId="0" borderId="0" xfId="5" applyFont="1" applyAlignment="1">
      <alignment vertical="center"/>
    </xf>
    <xf numFmtId="0" fontId="7" fillId="2" borderId="4" xfId="5" applyFont="1" applyFill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10" fillId="0" borderId="13" xfId="5" applyFont="1" applyBorder="1" applyAlignment="1">
      <alignment horizontal="center" vertical="center" wrapText="1"/>
    </xf>
    <xf numFmtId="0" fontId="10" fillId="0" borderId="14" xfId="5" applyFont="1" applyBorder="1" applyAlignment="1">
      <alignment horizontal="center" vertical="center" wrapText="1"/>
    </xf>
    <xf numFmtId="0" fontId="7" fillId="2" borderId="15" xfId="5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6" fillId="0" borderId="0" xfId="5"/>
    <xf numFmtId="0" fontId="9" fillId="0" borderId="0" xfId="5" applyFont="1" applyAlignment="1">
      <alignment horizontal="left" vertical="center"/>
    </xf>
    <xf numFmtId="3" fontId="10" fillId="0" borderId="0" xfId="5" applyNumberFormat="1" applyFont="1" applyAlignment="1">
      <alignment horizontal="center" vertical="center"/>
    </xf>
    <xf numFmtId="0" fontId="16" fillId="5" borderId="1" xfId="4" applyFont="1" applyFill="1" applyBorder="1" applyAlignment="1">
      <alignment horizontal="center" vertical="center" wrapText="1"/>
    </xf>
    <xf numFmtId="0" fontId="16" fillId="6" borderId="1" xfId="4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9" fontId="8" fillId="0" borderId="13" xfId="3" applyFont="1" applyBorder="1" applyAlignment="1">
      <alignment horizontal="center" vertical="center" wrapText="1"/>
    </xf>
    <xf numFmtId="169" fontId="8" fillId="0" borderId="13" xfId="1" applyNumberFormat="1" applyFont="1" applyBorder="1" applyAlignment="1">
      <alignment vertical="center" wrapText="1"/>
    </xf>
    <xf numFmtId="0" fontId="10" fillId="0" borderId="13" xfId="5" applyFont="1" applyBorder="1" applyAlignment="1">
      <alignment horizontal="left" vertical="center" wrapText="1"/>
    </xf>
    <xf numFmtId="0" fontId="10" fillId="5" borderId="13" xfId="0" applyFont="1" applyFill="1" applyBorder="1" applyAlignment="1">
      <alignment vertical="center"/>
    </xf>
    <xf numFmtId="165" fontId="8" fillId="0" borderId="10" xfId="7" applyFont="1" applyBorder="1" applyAlignment="1">
      <alignment vertical="center" wrapText="1"/>
    </xf>
    <xf numFmtId="165" fontId="8" fillId="0" borderId="10" xfId="7" applyFont="1" applyFill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2" borderId="15" xfId="5" applyFont="1" applyFill="1" applyBorder="1" applyAlignment="1">
      <alignment horizontal="center" vertical="center"/>
    </xf>
    <xf numFmtId="3" fontId="7" fillId="2" borderId="15" xfId="5" applyNumberFormat="1" applyFont="1" applyFill="1" applyBorder="1" applyAlignment="1">
      <alignment horizontal="center" vertical="center"/>
    </xf>
    <xf numFmtId="167" fontId="7" fillId="2" borderId="15" xfId="7" applyNumberFormat="1" applyFont="1" applyFill="1" applyBorder="1" applyAlignment="1">
      <alignment vertical="center"/>
    </xf>
    <xf numFmtId="0" fontId="18" fillId="0" borderId="0" xfId="5" applyFont="1" applyAlignment="1">
      <alignment vertical="center"/>
    </xf>
    <xf numFmtId="3" fontId="8" fillId="0" borderId="10" xfId="8" applyNumberFormat="1" applyFont="1" applyBorder="1" applyAlignment="1">
      <alignment horizontal="center" vertical="center" wrapText="1"/>
    </xf>
    <xf numFmtId="3" fontId="8" fillId="0" borderId="13" xfId="8" applyNumberFormat="1" applyFont="1" applyBorder="1" applyAlignment="1">
      <alignment horizontal="center" vertical="center" wrapText="1"/>
    </xf>
    <xf numFmtId="9" fontId="8" fillId="0" borderId="10" xfId="3" applyFont="1" applyBorder="1" applyAlignment="1">
      <alignment horizontal="center" vertical="center" wrapText="1"/>
    </xf>
    <xf numFmtId="0" fontId="19" fillId="0" borderId="14" xfId="5" applyFont="1" applyBorder="1" applyAlignment="1">
      <alignment horizontal="center" vertical="center" wrapText="1"/>
    </xf>
    <xf numFmtId="0" fontId="7" fillId="4" borderId="4" xfId="5" applyFont="1" applyFill="1" applyBorder="1" applyAlignment="1">
      <alignment horizontal="center" vertical="center"/>
    </xf>
    <xf numFmtId="0" fontId="6" fillId="0" borderId="9" xfId="5" applyBorder="1"/>
    <xf numFmtId="0" fontId="10" fillId="0" borderId="14" xfId="5" applyFont="1" applyBorder="1" applyAlignment="1">
      <alignment horizontal="left" vertical="center" wrapText="1"/>
    </xf>
    <xf numFmtId="3" fontId="7" fillId="2" borderId="3" xfId="5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4" fontId="17" fillId="0" borderId="0" xfId="2" applyFont="1" applyAlignment="1">
      <alignment vertical="center"/>
    </xf>
    <xf numFmtId="44" fontId="17" fillId="0" borderId="0" xfId="0" applyNumberFormat="1" applyFont="1" applyAlignment="1">
      <alignment vertical="center"/>
    </xf>
    <xf numFmtId="9" fontId="17" fillId="0" borderId="0" xfId="3" applyFont="1" applyAlignment="1">
      <alignment horizontal="center" vertical="center"/>
    </xf>
    <xf numFmtId="0" fontId="21" fillId="7" borderId="0" xfId="5" applyFont="1" applyFill="1" applyAlignment="1">
      <alignment vertical="center"/>
    </xf>
    <xf numFmtId="0" fontId="22" fillId="7" borderId="0" xfId="5" applyFont="1" applyFill="1" applyAlignment="1">
      <alignment vertical="center"/>
    </xf>
    <xf numFmtId="0" fontId="25" fillId="7" borderId="0" xfId="5" applyFont="1" applyFill="1" applyAlignment="1">
      <alignment vertical="center"/>
    </xf>
    <xf numFmtId="0" fontId="26" fillId="7" borderId="0" xfId="5" applyFont="1" applyFill="1" applyAlignment="1">
      <alignment vertical="center"/>
    </xf>
    <xf numFmtId="0" fontId="22" fillId="7" borderId="0" xfId="5" applyFont="1" applyFill="1" applyAlignment="1">
      <alignment horizontal="center" vertical="center"/>
    </xf>
    <xf numFmtId="171" fontId="27" fillId="7" borderId="0" xfId="5" applyNumberFormat="1" applyFont="1" applyFill="1" applyAlignment="1">
      <alignment horizontal="center" vertical="center"/>
    </xf>
    <xf numFmtId="0" fontId="21" fillId="7" borderId="0" xfId="5" applyFont="1" applyFill="1" applyAlignment="1">
      <alignment horizontal="center" vertical="center"/>
    </xf>
    <xf numFmtId="171" fontId="27" fillId="7" borderId="0" xfId="5" applyNumberFormat="1" applyFont="1" applyFill="1" applyAlignment="1">
      <alignment vertical="center"/>
    </xf>
    <xf numFmtId="0" fontId="27" fillId="0" borderId="0" xfId="5" applyFont="1" applyAlignment="1">
      <alignment vertical="center"/>
    </xf>
    <xf numFmtId="0" fontId="27" fillId="0" borderId="0" xfId="5" applyFont="1" applyAlignment="1">
      <alignment horizontal="center" vertical="center"/>
    </xf>
    <xf numFmtId="17" fontId="17" fillId="0" borderId="0" xfId="0" applyNumberFormat="1" applyFont="1" applyAlignment="1">
      <alignment vertical="center"/>
    </xf>
    <xf numFmtId="44" fontId="17" fillId="5" borderId="0" xfId="0" applyNumberFormat="1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44" fontId="13" fillId="2" borderId="0" xfId="0" applyNumberFormat="1" applyFont="1" applyFill="1" applyAlignment="1">
      <alignment vertical="center"/>
    </xf>
    <xf numFmtId="9" fontId="13" fillId="2" borderId="0" xfId="3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13" fillId="2" borderId="0" xfId="0" applyNumberFormat="1" applyFont="1" applyFill="1" applyAlignment="1">
      <alignment horizontal="center" vertical="center"/>
    </xf>
    <xf numFmtId="9" fontId="20" fillId="0" borderId="0" xfId="3" applyFont="1" applyAlignment="1">
      <alignment horizontal="center" vertical="center"/>
    </xf>
    <xf numFmtId="44" fontId="17" fillId="0" borderId="0" xfId="0" applyNumberFormat="1" applyFont="1" applyAlignment="1">
      <alignment horizontal="center" vertical="center"/>
    </xf>
    <xf numFmtId="165" fontId="8" fillId="5" borderId="13" xfId="7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11" fillId="3" borderId="0" xfId="5" applyFont="1" applyFill="1" applyAlignment="1">
      <alignment horizontal="left" vertical="center"/>
    </xf>
    <xf numFmtId="0" fontId="12" fillId="3" borderId="0" xfId="4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21" fillId="7" borderId="0" xfId="5" applyFont="1" applyFill="1" applyAlignment="1">
      <alignment vertical="center" wrapText="1"/>
    </xf>
    <xf numFmtId="0" fontId="24" fillId="7" borderId="0" xfId="5" applyFont="1" applyFill="1" applyAlignment="1">
      <alignment horizontal="left" vertical="center"/>
    </xf>
    <xf numFmtId="0" fontId="10" fillId="9" borderId="2" xfId="5" applyFont="1" applyFill="1" applyBorder="1" applyAlignment="1">
      <alignment horizontal="centerContinuous" vertical="center"/>
    </xf>
    <xf numFmtId="3" fontId="10" fillId="9" borderId="2" xfId="5" applyNumberFormat="1" applyFont="1" applyFill="1" applyBorder="1" applyAlignment="1">
      <alignment horizontal="centerContinuous" vertical="center"/>
    </xf>
    <xf numFmtId="0" fontId="30" fillId="0" borderId="0" xfId="5" applyFont="1" applyAlignment="1">
      <alignment vertical="center"/>
    </xf>
    <xf numFmtId="3" fontId="8" fillId="0" borderId="14" xfId="1" applyNumberFormat="1" applyFont="1" applyBorder="1" applyAlignment="1">
      <alignment horizontal="center" vertical="center" wrapText="1"/>
    </xf>
    <xf numFmtId="0" fontId="7" fillId="2" borderId="21" xfId="5" applyFont="1" applyFill="1" applyBorder="1" applyAlignment="1">
      <alignment horizontal="center" vertical="center"/>
    </xf>
    <xf numFmtId="3" fontId="7" fillId="2" borderId="19" xfId="1" applyNumberFormat="1" applyFont="1" applyFill="1" applyBorder="1" applyAlignment="1">
      <alignment horizontal="center" vertical="center" wrapText="1"/>
    </xf>
    <xf numFmtId="44" fontId="17" fillId="5" borderId="0" xfId="2" applyFont="1" applyFill="1" applyAlignment="1">
      <alignment vertical="center"/>
    </xf>
    <xf numFmtId="3" fontId="13" fillId="2" borderId="16" xfId="1" applyNumberFormat="1" applyFont="1" applyFill="1" applyBorder="1" applyAlignment="1">
      <alignment horizontal="center" vertical="center" wrapText="1"/>
    </xf>
    <xf numFmtId="44" fontId="13" fillId="2" borderId="16" xfId="2" applyFont="1" applyFill="1" applyBorder="1" applyAlignment="1">
      <alignment horizontal="center" vertical="center" wrapText="1"/>
    </xf>
    <xf numFmtId="44" fontId="7" fillId="2" borderId="19" xfId="2" applyFont="1" applyFill="1" applyBorder="1" applyAlignment="1">
      <alignment horizontal="center" vertical="center" wrapText="1"/>
    </xf>
    <xf numFmtId="3" fontId="30" fillId="0" borderId="0" xfId="5" applyNumberFormat="1" applyFont="1" applyAlignment="1">
      <alignment vertical="center"/>
    </xf>
    <xf numFmtId="43" fontId="8" fillId="0" borderId="0" xfId="5" applyNumberFormat="1" applyFont="1" applyAlignment="1">
      <alignment vertical="center"/>
    </xf>
    <xf numFmtId="3" fontId="30" fillId="0" borderId="0" xfId="5" applyNumberFormat="1" applyFont="1" applyAlignment="1">
      <alignment horizontal="center" vertical="center"/>
    </xf>
    <xf numFmtId="165" fontId="8" fillId="0" borderId="0" xfId="5" applyNumberFormat="1" applyFont="1" applyAlignment="1">
      <alignment vertical="center"/>
    </xf>
    <xf numFmtId="0" fontId="12" fillId="3" borderId="0" xfId="5" applyFont="1" applyFill="1" applyAlignment="1">
      <alignment horizontal="left" vertical="center"/>
    </xf>
    <xf numFmtId="0" fontId="8" fillId="0" borderId="13" xfId="5" applyFont="1" applyBorder="1" applyAlignment="1">
      <alignment horizontal="left" vertical="center"/>
    </xf>
    <xf numFmtId="9" fontId="30" fillId="0" borderId="0" xfId="5" applyNumberFormat="1" applyFont="1" applyAlignment="1">
      <alignment vertical="center"/>
    </xf>
    <xf numFmtId="164" fontId="30" fillId="0" borderId="0" xfId="5" applyNumberFormat="1" applyFont="1" applyAlignment="1">
      <alignment vertical="center"/>
    </xf>
    <xf numFmtId="44" fontId="30" fillId="0" borderId="0" xfId="5" applyNumberFormat="1" applyFont="1" applyAlignment="1">
      <alignment vertical="center"/>
    </xf>
    <xf numFmtId="0" fontId="17" fillId="0" borderId="0" xfId="23" applyFont="1"/>
    <xf numFmtId="0" fontId="31" fillId="2" borderId="1" xfId="23" applyFont="1" applyFill="1" applyBorder="1" applyAlignment="1">
      <alignment horizontal="center"/>
    </xf>
    <xf numFmtId="0" fontId="31" fillId="2" borderId="13" xfId="23" applyFont="1" applyFill="1" applyBorder="1" applyAlignment="1">
      <alignment horizontal="center"/>
    </xf>
    <xf numFmtId="165" fontId="30" fillId="0" borderId="0" xfId="5" applyNumberFormat="1" applyFont="1" applyAlignment="1">
      <alignment vertical="center"/>
    </xf>
    <xf numFmtId="1" fontId="27" fillId="7" borderId="0" xfId="1" applyNumberFormat="1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44" fontId="33" fillId="0" borderId="0" xfId="2" applyFont="1" applyAlignment="1">
      <alignment vertical="center"/>
    </xf>
    <xf numFmtId="0" fontId="31" fillId="2" borderId="14" xfId="23" applyFont="1" applyFill="1" applyBorder="1"/>
    <xf numFmtId="0" fontId="31" fillId="2" borderId="0" xfId="23" applyFont="1" applyFill="1"/>
    <xf numFmtId="0" fontId="31" fillId="0" borderId="0" xfId="23" applyFont="1"/>
    <xf numFmtId="0" fontId="17" fillId="0" borderId="1" xfId="23" applyFont="1" applyBorder="1" applyAlignment="1">
      <alignment horizontal="left"/>
    </xf>
    <xf numFmtId="0" fontId="10" fillId="5" borderId="0" xfId="5" applyFont="1" applyFill="1" applyAlignment="1">
      <alignment vertical="center"/>
    </xf>
    <xf numFmtId="0" fontId="8" fillId="5" borderId="0" xfId="5" applyFont="1" applyFill="1" applyAlignment="1">
      <alignment vertical="center"/>
    </xf>
    <xf numFmtId="0" fontId="18" fillId="5" borderId="0" xfId="5" applyFont="1" applyFill="1" applyAlignment="1">
      <alignment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5" borderId="1" xfId="5" applyFont="1" applyFill="1" applyBorder="1" applyAlignment="1">
      <alignment horizontal="center" vertical="center"/>
    </xf>
    <xf numFmtId="3" fontId="7" fillId="5" borderId="23" xfId="5" applyNumberFormat="1" applyFont="1" applyFill="1" applyBorder="1" applyAlignment="1">
      <alignment horizontal="center" vertical="center" wrapText="1"/>
    </xf>
    <xf numFmtId="43" fontId="7" fillId="5" borderId="23" xfId="6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3" fontId="7" fillId="5" borderId="24" xfId="5" applyNumberFormat="1" applyFont="1" applyFill="1" applyBorder="1" applyAlignment="1">
      <alignment horizontal="center" vertical="center"/>
    </xf>
    <xf numFmtId="0" fontId="7" fillId="5" borderId="24" xfId="5" applyFont="1" applyFill="1" applyBorder="1" applyAlignment="1">
      <alignment horizontal="center" vertical="center"/>
    </xf>
    <xf numFmtId="0" fontId="8" fillId="0" borderId="14" xfId="5" applyFont="1" applyBorder="1" applyAlignment="1">
      <alignment horizontal="left" vertical="center" wrapText="1"/>
    </xf>
    <xf numFmtId="43" fontId="30" fillId="0" borderId="0" xfId="5" applyNumberFormat="1" applyFont="1" applyAlignment="1">
      <alignment vertical="center"/>
    </xf>
    <xf numFmtId="43" fontId="8" fillId="0" borderId="0" xfId="5" applyNumberFormat="1" applyFont="1" applyAlignment="1">
      <alignment horizontal="center" vertical="center"/>
    </xf>
    <xf numFmtId="9" fontId="8" fillId="0" borderId="0" xfId="18" applyFont="1"/>
    <xf numFmtId="4" fontId="8" fillId="0" borderId="0" xfId="5" applyNumberFormat="1" applyFont="1"/>
    <xf numFmtId="165" fontId="10" fillId="0" borderId="0" xfId="5" applyNumberFormat="1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43" fontId="10" fillId="0" borderId="0" xfId="5" applyNumberFormat="1" applyFont="1" applyAlignment="1">
      <alignment horizontal="center" vertical="center"/>
    </xf>
    <xf numFmtId="1" fontId="8" fillId="0" borderId="0" xfId="5" applyNumberFormat="1" applyFont="1" applyAlignment="1">
      <alignment horizontal="center" vertical="center"/>
    </xf>
    <xf numFmtId="0" fontId="35" fillId="0" borderId="0" xfId="4" applyFont="1" applyAlignment="1">
      <alignment vertical="center"/>
    </xf>
    <xf numFmtId="173" fontId="10" fillId="0" borderId="0" xfId="18" applyNumberFormat="1" applyFont="1" applyAlignment="1">
      <alignment horizontal="center" vertical="center"/>
    </xf>
    <xf numFmtId="0" fontId="10" fillId="0" borderId="0" xfId="5" applyFont="1" applyAlignment="1">
      <alignment horizontal="center"/>
    </xf>
    <xf numFmtId="174" fontId="10" fillId="0" borderId="0" xfId="5" applyNumberFormat="1" applyFont="1" applyAlignment="1">
      <alignment horizontal="center"/>
    </xf>
    <xf numFmtId="0" fontId="36" fillId="0" borderId="2" xfId="5" applyFont="1" applyBorder="1" applyAlignment="1">
      <alignment vertical="center" wrapText="1"/>
    </xf>
    <xf numFmtId="0" fontId="35" fillId="0" borderId="2" xfId="4" applyFont="1" applyBorder="1" applyAlignment="1">
      <alignment vertical="center"/>
    </xf>
    <xf numFmtId="0" fontId="10" fillId="0" borderId="9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0" fontId="7" fillId="2" borderId="9" xfId="5" applyFont="1" applyFill="1" applyBorder="1" applyAlignment="1">
      <alignment horizontal="center" vertical="center" wrapText="1"/>
    </xf>
    <xf numFmtId="0" fontId="10" fillId="0" borderId="11" xfId="5" applyFont="1" applyBorder="1" applyAlignment="1">
      <alignment vertical="center" wrapText="1"/>
    </xf>
    <xf numFmtId="0" fontId="8" fillId="0" borderId="11" xfId="5" applyFont="1" applyBorder="1" applyAlignment="1">
      <alignment horizontal="center" vertical="center" wrapText="1"/>
    </xf>
    <xf numFmtId="3" fontId="8" fillId="0" borderId="11" xfId="8" applyNumberFormat="1" applyFont="1" applyFill="1" applyBorder="1" applyAlignment="1">
      <alignment horizontal="center" vertical="center" wrapText="1"/>
    </xf>
    <xf numFmtId="164" fontId="8" fillId="0" borderId="11" xfId="7" applyNumberFormat="1" applyFont="1" applyFill="1" applyBorder="1" applyAlignment="1">
      <alignment horizontal="center" vertical="center" wrapText="1"/>
    </xf>
    <xf numFmtId="3" fontId="8" fillId="0" borderId="11" xfId="5" applyNumberFormat="1" applyFont="1" applyBorder="1" applyAlignment="1">
      <alignment horizontal="center"/>
    </xf>
    <xf numFmtId="0" fontId="8" fillId="0" borderId="17" xfId="5" applyFont="1" applyBorder="1" applyAlignment="1">
      <alignment horizontal="center"/>
    </xf>
    <xf numFmtId="0" fontId="10" fillId="0" borderId="13" xfId="5" applyFont="1" applyBorder="1" applyAlignment="1">
      <alignment horizontal="left" vertical="center"/>
    </xf>
    <xf numFmtId="3" fontId="10" fillId="0" borderId="13" xfId="5" applyNumberFormat="1" applyFont="1" applyBorder="1" applyAlignment="1">
      <alignment horizontal="center" vertical="center" wrapText="1"/>
    </xf>
    <xf numFmtId="3" fontId="8" fillId="0" borderId="13" xfId="8" applyNumberFormat="1" applyFont="1" applyFill="1" applyBorder="1" applyAlignment="1">
      <alignment horizontal="center" vertical="center" wrapText="1"/>
    </xf>
    <xf numFmtId="165" fontId="8" fillId="5" borderId="13" xfId="7" quotePrefix="1" applyFont="1" applyFill="1" applyBorder="1" applyAlignment="1">
      <alignment horizontal="center" vertical="center" wrapText="1"/>
    </xf>
    <xf numFmtId="164" fontId="8" fillId="5" borderId="13" xfId="7" applyNumberFormat="1" applyFont="1" applyFill="1" applyBorder="1" applyAlignment="1">
      <alignment horizontal="center" vertical="center" wrapText="1"/>
    </xf>
    <xf numFmtId="3" fontId="8" fillId="0" borderId="13" xfId="5" applyNumberFormat="1" applyFont="1" applyBorder="1" applyAlignment="1">
      <alignment horizontal="center"/>
    </xf>
    <xf numFmtId="44" fontId="8" fillId="0" borderId="18" xfId="2" applyFont="1" applyBorder="1" applyAlignment="1">
      <alignment horizontal="center"/>
    </xf>
    <xf numFmtId="3" fontId="8" fillId="0" borderId="10" xfId="8" applyNumberFormat="1" applyFont="1" applyFill="1" applyBorder="1" applyAlignment="1">
      <alignment horizontal="center" vertical="center" wrapText="1"/>
    </xf>
    <xf numFmtId="0" fontId="8" fillId="0" borderId="15" xfId="5" applyFont="1" applyBorder="1" applyAlignment="1">
      <alignment horizontal="center" vertical="center" wrapText="1"/>
    </xf>
    <xf numFmtId="9" fontId="8" fillId="0" borderId="15" xfId="5" applyNumberFormat="1" applyFont="1" applyBorder="1" applyAlignment="1">
      <alignment horizontal="center" vertical="center" wrapText="1"/>
    </xf>
    <xf numFmtId="170" fontId="7" fillId="2" borderId="15" xfId="5" applyNumberFormat="1" applyFont="1" applyFill="1" applyBorder="1" applyAlignment="1">
      <alignment horizontal="center" vertical="center"/>
    </xf>
    <xf numFmtId="9" fontId="7" fillId="2" borderId="15" xfId="18" applyFont="1" applyFill="1" applyBorder="1" applyAlignment="1">
      <alignment horizontal="center" vertical="center"/>
    </xf>
    <xf numFmtId="3" fontId="7" fillId="2" borderId="0" xfId="5" applyNumberFormat="1" applyFont="1" applyFill="1" applyAlignment="1">
      <alignment horizontal="center" vertical="center"/>
    </xf>
    <xf numFmtId="164" fontId="7" fillId="2" borderId="15" xfId="7" applyNumberFormat="1" applyFont="1" applyFill="1" applyBorder="1" applyAlignment="1">
      <alignment horizontal="center" vertical="center"/>
    </xf>
    <xf numFmtId="172" fontId="7" fillId="2" borderId="15" xfId="1" applyNumberFormat="1" applyFont="1" applyFill="1" applyBorder="1" applyAlignment="1">
      <alignment horizontal="center" vertical="center"/>
    </xf>
    <xf numFmtId="9" fontId="6" fillId="0" borderId="0" xfId="5" applyNumberFormat="1"/>
    <xf numFmtId="168" fontId="37" fillId="0" borderId="0" xfId="5" applyNumberFormat="1" applyFont="1" applyAlignment="1">
      <alignment horizontal="center" wrapText="1"/>
    </xf>
    <xf numFmtId="9" fontId="8" fillId="0" borderId="0" xfId="5" applyNumberFormat="1" applyFont="1"/>
    <xf numFmtId="175" fontId="38" fillId="0" borderId="0" xfId="18" applyNumberFormat="1" applyFont="1" applyFill="1" applyAlignment="1">
      <alignment horizontal="center" vertical="center"/>
    </xf>
    <xf numFmtId="0" fontId="34" fillId="0" borderId="0" xfId="5" applyFont="1" applyAlignment="1">
      <alignment vertical="center"/>
    </xf>
    <xf numFmtId="3" fontId="10" fillId="0" borderId="0" xfId="5" applyNumberFormat="1" applyFont="1" applyAlignment="1">
      <alignment horizontal="center" vertical="center" wrapText="1"/>
    </xf>
    <xf numFmtId="3" fontId="8" fillId="0" borderId="0" xfId="5" applyNumberFormat="1" applyFont="1" applyAlignment="1">
      <alignment horizontal="center"/>
    </xf>
    <xf numFmtId="44" fontId="8" fillId="0" borderId="0" xfId="2" applyFont="1" applyBorder="1" applyAlignment="1">
      <alignment horizontal="center"/>
    </xf>
    <xf numFmtId="0" fontId="10" fillId="0" borderId="16" xfId="5" applyFont="1" applyBorder="1" applyAlignment="1">
      <alignment horizontal="center" vertical="center" wrapText="1"/>
    </xf>
    <xf numFmtId="0" fontId="19" fillId="5" borderId="16" xfId="5" applyFont="1" applyFill="1" applyBorder="1" applyAlignment="1">
      <alignment horizontal="center" vertical="center" wrapText="1"/>
    </xf>
    <xf numFmtId="0" fontId="10" fillId="0" borderId="16" xfId="5" applyFont="1" applyBorder="1" applyAlignment="1">
      <alignment horizontal="left" vertical="center" wrapText="1"/>
    </xf>
    <xf numFmtId="0" fontId="10" fillId="0" borderId="10" xfId="5" applyFont="1" applyBorder="1" applyAlignment="1">
      <alignment horizontal="left" vertical="center" wrapText="1"/>
    </xf>
    <xf numFmtId="165" fontId="8" fillId="5" borderId="10" xfId="7" applyFont="1" applyFill="1" applyBorder="1" applyAlignment="1">
      <alignment horizontal="center" vertical="center" wrapText="1"/>
    </xf>
    <xf numFmtId="9" fontId="8" fillId="0" borderId="10" xfId="8" applyFont="1" applyFill="1" applyBorder="1" applyAlignment="1">
      <alignment horizontal="center" vertical="center" wrapText="1"/>
    </xf>
    <xf numFmtId="164" fontId="8" fillId="5" borderId="20" xfId="7" applyNumberFormat="1" applyFont="1" applyFill="1" applyBorder="1" applyAlignment="1">
      <alignment horizontal="center" vertical="center" wrapText="1"/>
    </xf>
    <xf numFmtId="165" fontId="8" fillId="0" borderId="10" xfId="7" applyFont="1" applyFill="1" applyBorder="1" applyAlignment="1">
      <alignment horizontal="center" vertical="center" wrapText="1"/>
    </xf>
    <xf numFmtId="0" fontId="8" fillId="0" borderId="0" xfId="5" applyFont="1" applyAlignment="1">
      <alignment horizontal="left" vertical="center" wrapText="1"/>
    </xf>
    <xf numFmtId="0" fontId="17" fillId="0" borderId="0" xfId="5" applyFont="1" applyAlignment="1">
      <alignment horizontal="left" vertical="center" wrapText="1"/>
    </xf>
    <xf numFmtId="0" fontId="39" fillId="0" borderId="0" xfId="5" applyFont="1" applyAlignment="1">
      <alignment horizontal="center" vertical="center"/>
    </xf>
    <xf numFmtId="0" fontId="40" fillId="0" borderId="0" xfId="5" applyFont="1" applyAlignment="1">
      <alignment horizontal="center" vertical="center"/>
    </xf>
    <xf numFmtId="164" fontId="8" fillId="0" borderId="13" xfId="1" applyNumberFormat="1" applyFont="1" applyBorder="1" applyAlignment="1">
      <alignment vertical="center" wrapText="1"/>
    </xf>
    <xf numFmtId="0" fontId="41" fillId="0" borderId="0" xfId="5" applyFont="1" applyAlignment="1">
      <alignment vertical="center"/>
    </xf>
    <xf numFmtId="0" fontId="10" fillId="10" borderId="0" xfId="5" applyFont="1" applyFill="1" applyAlignment="1">
      <alignment horizontal="center" vertical="center"/>
    </xf>
    <xf numFmtId="0" fontId="39" fillId="10" borderId="0" xfId="5" applyFont="1" applyFill="1" applyAlignment="1">
      <alignment horizontal="center" vertical="center"/>
    </xf>
    <xf numFmtId="0" fontId="7" fillId="11" borderId="0" xfId="5" applyFont="1" applyFill="1" applyAlignment="1">
      <alignment horizontal="center" vertical="center"/>
    </xf>
    <xf numFmtId="164" fontId="7" fillId="2" borderId="19" xfId="1" applyNumberFormat="1" applyFont="1" applyFill="1" applyBorder="1" applyAlignment="1">
      <alignment horizontal="center" vertical="center" wrapText="1"/>
    </xf>
    <xf numFmtId="0" fontId="42" fillId="0" borderId="0" xfId="5" applyFont="1" applyAlignment="1">
      <alignment horizontal="center" vertical="center"/>
    </xf>
    <xf numFmtId="0" fontId="43" fillId="0" borderId="0" xfId="0" applyFont="1"/>
    <xf numFmtId="0" fontId="44" fillId="0" borderId="22" xfId="24" applyFont="1" applyBorder="1" applyAlignment="1">
      <alignment vertical="center" wrapText="1" readingOrder="1"/>
    </xf>
    <xf numFmtId="169" fontId="44" fillId="0" borderId="22" xfId="25" applyNumberFormat="1" applyFont="1" applyBorder="1" applyAlignment="1">
      <alignment vertical="center" wrapText="1" readingOrder="1"/>
    </xf>
    <xf numFmtId="0" fontId="43" fillId="0" borderId="0" xfId="24" applyFont="1"/>
    <xf numFmtId="0" fontId="45" fillId="0" borderId="0" xfId="24" applyFont="1" applyAlignment="1">
      <alignment horizontal="left" vertical="center" readingOrder="1"/>
    </xf>
    <xf numFmtId="169" fontId="45" fillId="0" borderId="0" xfId="25" applyNumberFormat="1" applyFont="1" applyFill="1" applyAlignment="1">
      <alignment horizontal="right" vertical="center" readingOrder="1"/>
    </xf>
    <xf numFmtId="0" fontId="46" fillId="0" borderId="0" xfId="0" applyFont="1"/>
    <xf numFmtId="0" fontId="7" fillId="2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9" fontId="48" fillId="0" borderId="0" xfId="3" applyFont="1" applyAlignment="1">
      <alignment horizontal="center" vertical="center"/>
    </xf>
    <xf numFmtId="44" fontId="34" fillId="0" borderId="0" xfId="2" applyFont="1" applyAlignment="1">
      <alignment vertical="center"/>
    </xf>
    <xf numFmtId="0" fontId="34" fillId="0" borderId="0" xfId="0" applyFont="1" applyAlignment="1">
      <alignment vertical="center"/>
    </xf>
    <xf numFmtId="0" fontId="10" fillId="5" borderId="0" xfId="5" applyFont="1" applyFill="1" applyAlignment="1">
      <alignment horizontal="center" vertical="center"/>
    </xf>
    <xf numFmtId="0" fontId="7" fillId="5" borderId="0" xfId="5" applyFont="1" applyFill="1" applyAlignment="1">
      <alignment horizontal="center" vertical="center"/>
    </xf>
    <xf numFmtId="164" fontId="6" fillId="0" borderId="0" xfId="5" applyNumberFormat="1"/>
    <xf numFmtId="165" fontId="8" fillId="10" borderId="13" xfId="7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9" fontId="8" fillId="0" borderId="13" xfId="3" applyFont="1" applyFill="1" applyBorder="1" applyAlignment="1">
      <alignment horizontal="center" vertical="center" wrapText="1"/>
    </xf>
    <xf numFmtId="9" fontId="8" fillId="0" borderId="10" xfId="3" applyFont="1" applyFill="1" applyBorder="1" applyAlignment="1">
      <alignment horizontal="center" vertical="center" wrapText="1"/>
    </xf>
    <xf numFmtId="0" fontId="27" fillId="0" borderId="0" xfId="5" applyFont="1" applyAlignment="1">
      <alignment horizontal="left" vertical="center" wrapText="1"/>
    </xf>
    <xf numFmtId="0" fontId="21" fillId="8" borderId="0" xfId="5" applyFont="1" applyFill="1" applyAlignment="1">
      <alignment horizontal="center" vertical="center"/>
    </xf>
    <xf numFmtId="0" fontId="22" fillId="7" borderId="0" xfId="5" applyFont="1" applyFill="1" applyAlignment="1">
      <alignment horizontal="left" vertical="center"/>
    </xf>
    <xf numFmtId="0" fontId="23" fillId="8" borderId="0" xfId="5" applyFont="1" applyFill="1" applyAlignment="1">
      <alignment horizontal="center" vertical="center"/>
    </xf>
    <xf numFmtId="0" fontId="24" fillId="7" borderId="0" xfId="5" applyFont="1" applyFill="1" applyAlignment="1">
      <alignment horizontal="left" vertical="center" wrapText="1"/>
    </xf>
    <xf numFmtId="0" fontId="27" fillId="7" borderId="0" xfId="5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17" fontId="7" fillId="2" borderId="0" xfId="0" applyNumberFormat="1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5" applyFont="1" applyFill="1" applyBorder="1" applyAlignment="1">
      <alignment horizontal="center" vertical="center"/>
    </xf>
    <xf numFmtId="0" fontId="7" fillId="2" borderId="4" xfId="5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3" fontId="7" fillId="2" borderId="3" xfId="6" applyFont="1" applyFill="1" applyBorder="1" applyAlignment="1">
      <alignment horizontal="center" vertical="center" wrapText="1"/>
    </xf>
    <xf numFmtId="3" fontId="7" fillId="2" borderId="3" xfId="5" applyNumberFormat="1" applyFont="1" applyFill="1" applyBorder="1" applyAlignment="1">
      <alignment horizontal="center" vertical="center" wrapText="1"/>
    </xf>
    <xf numFmtId="0" fontId="7" fillId="2" borderId="5" xfId="5" applyFont="1" applyFill="1" applyBorder="1" applyAlignment="1">
      <alignment horizontal="center" vertical="center"/>
    </xf>
    <xf numFmtId="0" fontId="7" fillId="2" borderId="6" xfId="5" applyFont="1" applyFill="1" applyBorder="1" applyAlignment="1">
      <alignment horizontal="center" vertical="center"/>
    </xf>
    <xf numFmtId="0" fontId="7" fillId="2" borderId="25" xfId="5" applyFont="1" applyFill="1" applyBorder="1" applyAlignment="1">
      <alignment horizontal="center" vertical="center"/>
    </xf>
    <xf numFmtId="0" fontId="31" fillId="2" borderId="18" xfId="23" applyFont="1" applyFill="1" applyBorder="1" applyAlignment="1">
      <alignment horizontal="center" vertical="center"/>
    </xf>
    <xf numFmtId="0" fontId="31" fillId="2" borderId="20" xfId="23" applyFont="1" applyFill="1" applyBorder="1" applyAlignment="1">
      <alignment horizontal="center" vertical="center"/>
    </xf>
    <xf numFmtId="0" fontId="7" fillId="2" borderId="0" xfId="23" applyFont="1" applyFill="1" applyAlignment="1">
      <alignment horizontal="center"/>
    </xf>
    <xf numFmtId="0" fontId="7" fillId="2" borderId="18" xfId="23" applyFont="1" applyFill="1" applyBorder="1" applyAlignment="1">
      <alignment horizontal="center"/>
    </xf>
    <xf numFmtId="0" fontId="7" fillId="2" borderId="3" xfId="5" applyFont="1" applyFill="1" applyBorder="1" applyAlignment="1">
      <alignment horizontal="center" vertical="center" wrapText="1"/>
    </xf>
    <xf numFmtId="0" fontId="7" fillId="2" borderId="4" xfId="5" applyFont="1" applyFill="1" applyBorder="1" applyAlignment="1">
      <alignment horizontal="center" vertical="center" wrapText="1"/>
    </xf>
    <xf numFmtId="0" fontId="7" fillId="2" borderId="7" xfId="5" applyFont="1" applyFill="1" applyBorder="1" applyAlignment="1">
      <alignment horizontal="center" vertical="center" wrapText="1"/>
    </xf>
    <xf numFmtId="0" fontId="7" fillId="2" borderId="8" xfId="5" applyFont="1" applyFill="1" applyBorder="1" applyAlignment="1">
      <alignment horizontal="center" vertical="center" wrapText="1"/>
    </xf>
    <xf numFmtId="43" fontId="7" fillId="2" borderId="4" xfId="6" applyFont="1" applyFill="1" applyBorder="1" applyAlignment="1">
      <alignment horizontal="center" vertical="center" wrapText="1"/>
    </xf>
    <xf numFmtId="43" fontId="7" fillId="2" borderId="7" xfId="6" applyFont="1" applyFill="1" applyBorder="1" applyAlignment="1">
      <alignment horizontal="center" vertical="center" wrapText="1"/>
    </xf>
    <xf numFmtId="43" fontId="7" fillId="2" borderId="8" xfId="6" applyFont="1" applyFill="1" applyBorder="1" applyAlignment="1">
      <alignment horizontal="center" vertical="center" wrapText="1"/>
    </xf>
    <xf numFmtId="3" fontId="7" fillId="5" borderId="26" xfId="5" applyNumberFormat="1" applyFont="1" applyFill="1" applyBorder="1" applyAlignment="1">
      <alignment horizontal="center" vertical="center"/>
    </xf>
    <xf numFmtId="3" fontId="7" fillId="5" borderId="15" xfId="5" applyNumberFormat="1" applyFont="1" applyFill="1" applyBorder="1" applyAlignment="1">
      <alignment horizontal="center" vertical="center"/>
    </xf>
    <xf numFmtId="3" fontId="7" fillId="5" borderId="27" xfId="5" applyNumberFormat="1" applyFont="1" applyFill="1" applyBorder="1" applyAlignment="1">
      <alignment horizontal="center" vertical="center"/>
    </xf>
    <xf numFmtId="0" fontId="7" fillId="2" borderId="5" xfId="5" applyFont="1" applyFill="1" applyBorder="1" applyAlignment="1">
      <alignment horizontal="center" vertical="center" wrapText="1"/>
    </xf>
    <xf numFmtId="0" fontId="7" fillId="2" borderId="6" xfId="5" applyFont="1" applyFill="1" applyBorder="1" applyAlignment="1">
      <alignment horizontal="center" vertical="center" wrapText="1"/>
    </xf>
    <xf numFmtId="0" fontId="7" fillId="2" borderId="25" xfId="5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17" fillId="12" borderId="0" xfId="0" applyFont="1" applyFill="1" applyAlignment="1">
      <alignment horizontal="center" vertical="center"/>
    </xf>
    <xf numFmtId="0" fontId="17" fillId="12" borderId="0" xfId="0" applyFont="1" applyFill="1" applyAlignment="1">
      <alignment vertical="center"/>
    </xf>
    <xf numFmtId="44" fontId="13" fillId="12" borderId="0" xfId="0" applyNumberFormat="1" applyFont="1" applyFill="1" applyAlignment="1">
      <alignment vertical="center"/>
    </xf>
    <xf numFmtId="9" fontId="13" fillId="12" borderId="0" xfId="3" applyFont="1" applyFill="1" applyAlignment="1">
      <alignment horizontal="center" vertical="center"/>
    </xf>
  </cellXfs>
  <cellStyles count="26">
    <cellStyle name="=C:\WINNT\SYSTEM32\COMMAND.COM 2" xfId="19" xr:uid="{62C20835-F8D2-4C0D-B710-353D7AEB33B5}"/>
    <cellStyle name="Moeda" xfId="2" builtinId="4"/>
    <cellStyle name="Moeda 13" xfId="15" xr:uid="{AF1E0E40-909B-4888-AC3A-EDD4097FD92A}"/>
    <cellStyle name="Moeda 2" xfId="17" xr:uid="{2EFB0274-4A48-48AA-A5B3-8AFC77968D26}"/>
    <cellStyle name="Moeda 3" xfId="7" xr:uid="{4F2E1348-F317-4DF1-A29D-9C9560EE7356}"/>
    <cellStyle name="Moeda 7" xfId="12" xr:uid="{ED7FE915-A827-4141-AFEC-CCDC6A509ED8}"/>
    <cellStyle name="Moeda 7 2" xfId="22" xr:uid="{ECFAE3E3-3EB4-4013-8E3F-3CA63E3FC050}"/>
    <cellStyle name="Moeda 7 3" xfId="11" xr:uid="{85F32364-577F-44B1-82CF-7351FDB7723E}"/>
    <cellStyle name="Moeda 7 3 2" xfId="21" xr:uid="{71183A44-DCC8-4A4D-A70C-086DB9982925}"/>
    <cellStyle name="Normal" xfId="0" builtinId="0"/>
    <cellStyle name="Normal 10 2 2 2" xfId="5" xr:uid="{5DAB806B-A545-4A3D-8A8C-3558C715CFF4}"/>
    <cellStyle name="Normal 2" xfId="4" xr:uid="{DD22E96C-5388-471A-A47D-1D0AA10C25F3}"/>
    <cellStyle name="Normal 2 2 2 2 3" xfId="14" xr:uid="{A3662FE9-D964-4290-A2FA-CAF377B29B70}"/>
    <cellStyle name="Normal 3" xfId="16" xr:uid="{415CE65C-D0DC-4B93-A9D3-5B6E90A782C7}"/>
    <cellStyle name="Normal 3 2" xfId="24" xr:uid="{B6A6DED3-F994-4B42-993F-4D2EA782615A}"/>
    <cellStyle name="Normal 4" xfId="23" xr:uid="{EE4A39BF-BDFC-4A6F-A667-51ACA796B5CA}"/>
    <cellStyle name="Normal 5 4" xfId="13" xr:uid="{8173A727-1BAE-4CDA-9DAE-BA4393A03B88}"/>
    <cellStyle name="Normal 69" xfId="10" xr:uid="{F82067D5-5486-4A7D-A3B5-146AAA0D71A8}"/>
    <cellStyle name="Normal 69 2" xfId="20" xr:uid="{9F4F817F-B927-4D16-8AB0-D4E73D2F4A5A}"/>
    <cellStyle name="Porcentagem" xfId="3" builtinId="5"/>
    <cellStyle name="Porcentagem 2 2 4" xfId="18" xr:uid="{D855637D-A1A3-4C8D-8E80-0C5291C1601C}"/>
    <cellStyle name="Porcentagem 3 2" xfId="8" xr:uid="{49DAB729-EC94-463B-8EAE-B9233620F5FD}"/>
    <cellStyle name="Vírgula" xfId="1" builtinId="3"/>
    <cellStyle name="Vírgula 2" xfId="9" xr:uid="{2A7DAA06-3C72-4C8E-A46B-9EDC1BDEBCCB}"/>
    <cellStyle name="Vírgula 2 2" xfId="25" xr:uid="{ADD2D88C-4F04-44F4-8CC0-3EB44A6941B5}"/>
    <cellStyle name="Vírgula 3" xfId="6" xr:uid="{1E18DA6B-2ECD-41E5-B083-7A6DFC776428}"/>
  </cellStyles>
  <dxfs count="17"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142875</xdr:rowOff>
    </xdr:from>
    <xdr:ext cx="3047546" cy="1103539"/>
    <xdr:pic>
      <xdr:nvPicPr>
        <xdr:cNvPr id="2" name="Imagem 2">
          <a:extLst>
            <a:ext uri="{FF2B5EF4-FFF2-40B4-BE49-F238E27FC236}">
              <a16:creationId xmlns:a16="http://schemas.microsoft.com/office/drawing/2014/main" id="{90754E43-52E3-4DE5-A561-CD0C09C1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8100" y="142875"/>
          <a:ext cx="3047546" cy="110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1466578</xdr:colOff>
      <xdr:row>4</xdr:row>
      <xdr:rowOff>134620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7ABA5A-91A9-4E3C-91A9-46A97D5B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231069</xdr:colOff>
      <xdr:row>1</xdr:row>
      <xdr:rowOff>35279</xdr:rowOff>
    </xdr:from>
    <xdr:ext cx="1392543" cy="531636"/>
    <xdr:pic>
      <xdr:nvPicPr>
        <xdr:cNvPr id="2" name="Imagem 1">
          <a:extLst>
            <a:ext uri="{FF2B5EF4-FFF2-40B4-BE49-F238E27FC236}">
              <a16:creationId xmlns:a16="http://schemas.microsoft.com/office/drawing/2014/main" id="{72F4F1D3-1B11-44BC-AA56-9F388B1E5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1069" y="197557"/>
          <a:ext cx="1392543" cy="53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198774</xdr:colOff>
      <xdr:row>1</xdr:row>
      <xdr:rowOff>21167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EECD0A55-AE2E-4C4B-8D3E-F844B39A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98774" y="176389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231069</xdr:colOff>
      <xdr:row>1</xdr:row>
      <xdr:rowOff>35279</xdr:rowOff>
    </xdr:from>
    <xdr:ext cx="1392543" cy="531636"/>
    <xdr:pic>
      <xdr:nvPicPr>
        <xdr:cNvPr id="2" name="Imagem 1">
          <a:extLst>
            <a:ext uri="{FF2B5EF4-FFF2-40B4-BE49-F238E27FC236}">
              <a16:creationId xmlns:a16="http://schemas.microsoft.com/office/drawing/2014/main" id="{33F4E7DB-CEDE-48BE-B3CE-2285C904A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1069" y="194029"/>
          <a:ext cx="1392543" cy="53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198774</xdr:colOff>
      <xdr:row>1</xdr:row>
      <xdr:rowOff>21167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F94C7A89-63A1-4560-AE1E-FAE08C77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98774" y="186267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231069</xdr:colOff>
      <xdr:row>1</xdr:row>
      <xdr:rowOff>35279</xdr:rowOff>
    </xdr:from>
    <xdr:ext cx="1392543" cy="531636"/>
    <xdr:pic>
      <xdr:nvPicPr>
        <xdr:cNvPr id="2" name="Imagem 1">
          <a:extLst>
            <a:ext uri="{FF2B5EF4-FFF2-40B4-BE49-F238E27FC236}">
              <a16:creationId xmlns:a16="http://schemas.microsoft.com/office/drawing/2014/main" id="{C0D65FAF-10D0-4A87-B634-A763F062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1069" y="194029"/>
          <a:ext cx="1392543" cy="53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198774</xdr:colOff>
      <xdr:row>1</xdr:row>
      <xdr:rowOff>21167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86407026-7C19-43DE-9692-013A86518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98774" y="186267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231069</xdr:colOff>
      <xdr:row>1</xdr:row>
      <xdr:rowOff>35279</xdr:rowOff>
    </xdr:from>
    <xdr:ext cx="1392543" cy="531636"/>
    <xdr:pic>
      <xdr:nvPicPr>
        <xdr:cNvPr id="2" name="Imagem 1">
          <a:extLst>
            <a:ext uri="{FF2B5EF4-FFF2-40B4-BE49-F238E27FC236}">
              <a16:creationId xmlns:a16="http://schemas.microsoft.com/office/drawing/2014/main" id="{635A5CDE-054F-4791-97D6-FBDC49D4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1069" y="194029"/>
          <a:ext cx="1392543" cy="53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198774</xdr:colOff>
      <xdr:row>1</xdr:row>
      <xdr:rowOff>21167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259D60BB-8A32-4189-A743-C3C761566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98774" y="186267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16540</xdr:colOff>
      <xdr:row>3</xdr:row>
      <xdr:rowOff>20116</xdr:rowOff>
    </xdr:from>
    <xdr:to>
      <xdr:col>6</xdr:col>
      <xdr:colOff>654715</xdr:colOff>
      <xdr:row>25</xdr:row>
      <xdr:rowOff>20117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A45531D-5CA1-49AE-81A4-DF3E65827EBC}"/>
            </a:ext>
          </a:extLst>
        </xdr:cNvPr>
        <xdr:cNvGrpSpPr/>
      </xdr:nvGrpSpPr>
      <xdr:grpSpPr>
        <a:xfrm>
          <a:off x="238790" y="458266"/>
          <a:ext cx="4549775" cy="3213101"/>
          <a:chOff x="3530600" y="190500"/>
          <a:chExt cx="3873699" cy="440077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25E5E70A-CC9B-8112-E80B-4A4E7B91C7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530600" y="190500"/>
            <a:ext cx="3873699" cy="4400776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FDF460FA-3A1D-AA0F-4A21-7968F47D65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648450" y="196850"/>
            <a:ext cx="615950" cy="181456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139559</xdr:colOff>
      <xdr:row>3</xdr:row>
      <xdr:rowOff>19480</xdr:rowOff>
    </xdr:from>
    <xdr:to>
      <xdr:col>13</xdr:col>
      <xdr:colOff>156070</xdr:colOff>
      <xdr:row>25</xdr:row>
      <xdr:rowOff>4335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FE3279B-72C2-45D9-ACEE-FA34C062A134}"/>
            </a:ext>
          </a:extLst>
        </xdr:cNvPr>
        <xdr:cNvGrpSpPr/>
      </xdr:nvGrpSpPr>
      <xdr:grpSpPr>
        <a:xfrm>
          <a:off x="4933809" y="457630"/>
          <a:ext cx="3978911" cy="3197955"/>
          <a:chOff x="3517900" y="4705350"/>
          <a:chExt cx="3798011" cy="4229330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C7B2B7DE-FF0D-B4BC-EBAF-F7E8F9A0C3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17900" y="4705350"/>
            <a:ext cx="3798011" cy="4229330"/>
          </a:xfrm>
          <a:prstGeom prst="rect">
            <a:avLst/>
          </a:prstGeom>
        </xdr:spPr>
      </xdr:pic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D6358118-644C-77E2-A4F8-A796FE9A36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629401" y="4806950"/>
            <a:ext cx="627186" cy="17783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196851</xdr:colOff>
      <xdr:row>35</xdr:row>
      <xdr:rowOff>92075</xdr:rowOff>
    </xdr:from>
    <xdr:to>
      <xdr:col>11</xdr:col>
      <xdr:colOff>628651</xdr:colOff>
      <xdr:row>43</xdr:row>
      <xdr:rowOff>48401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6FA193-6A79-48AB-B565-53A43AAEA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851" y="5203825"/>
          <a:ext cx="7867650" cy="1124726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196850</xdr:colOff>
      <xdr:row>28</xdr:row>
      <xdr:rowOff>38100</xdr:rowOff>
    </xdr:from>
    <xdr:to>
      <xdr:col>12</xdr:col>
      <xdr:colOff>42473</xdr:colOff>
      <xdr:row>35</xdr:row>
      <xdr:rowOff>17759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46E833-F091-4240-9081-2175760D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850" y="4127500"/>
          <a:ext cx="7941873" cy="10020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LZA\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btfs\inte_mkt\Tabela%20de%20Pre&#231;os\03%20-%20TABELAS%20SBT%20POR%20ANO\2011\TABELAS_2011\TABELAS_NET\07%20-%20JULHO_2011\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3784-97EF-4DC5-BE84-9C7803E04746}">
  <sheetPr>
    <pageSetUpPr fitToPage="1"/>
  </sheetPr>
  <dimension ref="B1:N36"/>
  <sheetViews>
    <sheetView showGridLines="0" zoomScale="70" zoomScaleNormal="70" zoomScaleSheetLayoutView="47" workbookViewId="0">
      <selection activeCell="E29" sqref="E29"/>
    </sheetView>
  </sheetViews>
  <sheetFormatPr defaultColWidth="11.5" defaultRowHeight="20.25" customHeight="1" x14ac:dyDescent="0.4"/>
  <cols>
    <col min="1" max="1" width="2.5" style="65" customWidth="1"/>
    <col min="2" max="2" width="15" style="65" customWidth="1"/>
    <col min="3" max="3" width="25.33203125" style="71" customWidth="1"/>
    <col min="4" max="6" width="11.5" style="65" customWidth="1"/>
    <col min="7" max="7" width="27.83203125" style="65" customWidth="1"/>
    <col min="8" max="10" width="11.5" style="65" customWidth="1"/>
    <col min="11" max="11" width="25.33203125" style="65" customWidth="1"/>
    <col min="12" max="16384" width="11.5" style="65"/>
  </cols>
  <sheetData>
    <row r="1" spans="2:11" ht="12" customHeight="1" x14ac:dyDescent="0.4"/>
    <row r="6" spans="2:11" ht="20.25" customHeight="1" x14ac:dyDescent="0.4">
      <c r="B6" s="226" t="s">
        <v>35</v>
      </c>
      <c r="C6" s="226"/>
      <c r="D6" s="226"/>
      <c r="E6" s="226"/>
      <c r="F6" s="226"/>
      <c r="G6" s="226"/>
      <c r="I6" s="227" t="s">
        <v>36</v>
      </c>
      <c r="J6" s="227"/>
      <c r="K6" s="227"/>
    </row>
    <row r="8" spans="2:11" ht="20.25" customHeight="1" x14ac:dyDescent="0.4">
      <c r="B8" s="66" t="s">
        <v>37</v>
      </c>
      <c r="C8" s="228" t="s">
        <v>38</v>
      </c>
      <c r="D8" s="228"/>
      <c r="E8" s="228"/>
      <c r="F8" s="228"/>
      <c r="G8" s="228"/>
      <c r="H8" s="228"/>
      <c r="I8" s="228"/>
      <c r="J8" s="228"/>
      <c r="K8" s="228"/>
    </row>
    <row r="9" spans="2:11" ht="20.25" customHeight="1" x14ac:dyDescent="0.4">
      <c r="B9" s="66" t="s">
        <v>39</v>
      </c>
      <c r="C9" s="228" t="s">
        <v>179</v>
      </c>
      <c r="D9" s="228"/>
      <c r="E9" s="228"/>
      <c r="F9" s="228"/>
      <c r="G9" s="228"/>
      <c r="H9" s="228"/>
      <c r="I9" s="228"/>
      <c r="J9" s="228"/>
      <c r="K9" s="228"/>
    </row>
    <row r="10" spans="2:11" ht="20.25" customHeight="1" x14ac:dyDescent="0.4">
      <c r="B10" s="67" t="s">
        <v>40</v>
      </c>
      <c r="C10" s="95" t="s">
        <v>41</v>
      </c>
      <c r="D10" s="68"/>
      <c r="E10" s="68"/>
      <c r="F10" s="68"/>
      <c r="G10" s="68"/>
      <c r="H10" s="68"/>
      <c r="I10" s="68"/>
      <c r="J10" s="68"/>
      <c r="K10" s="68"/>
    </row>
    <row r="11" spans="2:11" ht="20.25" customHeight="1" x14ac:dyDescent="0.4">
      <c r="B11" s="229"/>
      <c r="C11" s="229"/>
      <c r="D11" s="229"/>
      <c r="E11" s="229"/>
      <c r="F11" s="229"/>
      <c r="G11" s="229"/>
      <c r="H11" s="229"/>
      <c r="I11" s="229"/>
      <c r="J11" s="229"/>
      <c r="K11" s="229"/>
    </row>
    <row r="12" spans="2:11" ht="13.5" customHeight="1" x14ac:dyDescent="0.4">
      <c r="B12" s="225"/>
      <c r="C12" s="225"/>
      <c r="D12" s="225"/>
      <c r="E12" s="225"/>
      <c r="F12" s="225"/>
      <c r="G12" s="225"/>
      <c r="H12" s="225"/>
      <c r="I12" s="225"/>
      <c r="J12" s="225"/>
      <c r="K12" s="225"/>
    </row>
    <row r="14" spans="2:11" ht="20.25" customHeight="1" x14ac:dyDescent="0.4">
      <c r="B14" s="69" t="s">
        <v>42</v>
      </c>
      <c r="C14" s="69" t="s">
        <v>43</v>
      </c>
      <c r="D14" s="69" t="s">
        <v>44</v>
      </c>
      <c r="E14" s="69"/>
      <c r="F14" s="66"/>
      <c r="G14" s="66"/>
      <c r="H14" s="66"/>
      <c r="I14" s="66"/>
      <c r="J14" s="66"/>
      <c r="K14" s="66"/>
    </row>
    <row r="15" spans="2:11" ht="20.25" customHeight="1" x14ac:dyDescent="0.4">
      <c r="B15" s="119">
        <v>1</v>
      </c>
      <c r="C15" s="70">
        <v>46084</v>
      </c>
      <c r="D15" s="230" t="s">
        <v>180</v>
      </c>
      <c r="E15" s="230"/>
      <c r="F15" s="230"/>
      <c r="G15" s="230"/>
      <c r="H15" s="230"/>
      <c r="I15" s="230"/>
      <c r="J15" s="230"/>
      <c r="K15" s="230"/>
    </row>
    <row r="16" spans="2:11" ht="20.25" customHeight="1" x14ac:dyDescent="0.4">
      <c r="B16" s="119">
        <v>2</v>
      </c>
      <c r="C16" s="70" t="s">
        <v>190</v>
      </c>
      <c r="D16" s="230" t="s">
        <v>196</v>
      </c>
      <c r="E16" s="230"/>
      <c r="F16" s="230"/>
      <c r="G16" s="230"/>
      <c r="H16" s="230"/>
      <c r="I16" s="230"/>
      <c r="J16" s="230"/>
      <c r="K16" s="230"/>
    </row>
    <row r="17" spans="2:14" ht="20.25" customHeight="1" x14ac:dyDescent="0.4">
      <c r="B17" s="119"/>
      <c r="C17" s="70"/>
      <c r="D17" s="230"/>
      <c r="E17" s="230"/>
      <c r="F17" s="230"/>
      <c r="G17" s="230"/>
      <c r="H17" s="230"/>
      <c r="I17" s="230"/>
      <c r="J17" s="230"/>
      <c r="K17" s="230"/>
    </row>
    <row r="18" spans="2:14" ht="20.25" customHeight="1" x14ac:dyDescent="0.4">
      <c r="B18" s="71"/>
      <c r="C18" s="70"/>
      <c r="D18" s="94"/>
      <c r="E18" s="94"/>
      <c r="F18" s="94"/>
      <c r="G18" s="94"/>
      <c r="H18" s="94"/>
      <c r="I18" s="94"/>
      <c r="J18" s="94"/>
      <c r="K18" s="94"/>
    </row>
    <row r="19" spans="2:14" ht="20.25" customHeight="1" x14ac:dyDescent="0.4">
      <c r="B19" s="71"/>
      <c r="C19" s="70"/>
      <c r="D19" s="94"/>
      <c r="E19" s="94"/>
      <c r="F19" s="94"/>
      <c r="G19" s="94"/>
      <c r="H19" s="94"/>
      <c r="I19" s="94"/>
      <c r="J19" s="94"/>
      <c r="K19" s="94"/>
      <c r="L19" s="73"/>
      <c r="M19" s="73"/>
      <c r="N19" s="73"/>
    </row>
    <row r="20" spans="2:14" ht="20.25" customHeight="1" x14ac:dyDescent="0.4">
      <c r="B20" s="74"/>
      <c r="C20" s="70"/>
      <c r="D20" s="94"/>
      <c r="E20" s="94"/>
      <c r="F20" s="94"/>
      <c r="G20" s="94"/>
      <c r="H20" s="94"/>
      <c r="I20" s="94"/>
      <c r="J20" s="94"/>
      <c r="K20" s="94"/>
      <c r="L20" s="73"/>
      <c r="M20" s="73"/>
      <c r="N20" s="73"/>
    </row>
    <row r="21" spans="2:14" ht="20.25" customHeight="1" x14ac:dyDescent="0.4">
      <c r="B21" s="74"/>
      <c r="C21" s="70"/>
      <c r="D21" s="224"/>
      <c r="E21" s="224"/>
      <c r="F21" s="224"/>
      <c r="G21" s="224"/>
      <c r="H21" s="224"/>
      <c r="I21" s="224"/>
      <c r="J21" s="224"/>
      <c r="K21" s="224"/>
      <c r="L21" s="73"/>
      <c r="M21" s="73"/>
      <c r="N21" s="73"/>
    </row>
    <row r="22" spans="2:14" ht="20.25" customHeight="1" x14ac:dyDescent="0.4">
      <c r="B22" s="74"/>
      <c r="C22" s="70"/>
      <c r="D22" s="224"/>
      <c r="E22" s="224"/>
      <c r="F22" s="224"/>
      <c r="G22" s="224"/>
      <c r="H22" s="224"/>
      <c r="I22" s="224"/>
      <c r="J22" s="224"/>
      <c r="K22" s="224"/>
      <c r="L22" s="73"/>
      <c r="M22" s="73"/>
      <c r="N22" s="73"/>
    </row>
    <row r="23" spans="2:14" ht="20.25" customHeight="1" x14ac:dyDescent="0.4">
      <c r="B23" s="74"/>
      <c r="C23" s="70"/>
      <c r="D23" s="72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spans="2:14" ht="20.25" customHeight="1" x14ac:dyDescent="0.4">
      <c r="B24" s="74"/>
      <c r="C24" s="70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spans="2:14" ht="20.25" customHeight="1" x14ac:dyDescent="0.4">
      <c r="B25" s="74"/>
      <c r="C25" s="70"/>
      <c r="D25" s="224"/>
      <c r="E25" s="224"/>
      <c r="F25" s="224"/>
      <c r="G25" s="224"/>
      <c r="H25" s="224"/>
      <c r="I25" s="224"/>
      <c r="J25" s="224"/>
      <c r="K25" s="224"/>
      <c r="L25" s="73"/>
      <c r="M25" s="73"/>
      <c r="N25" s="73"/>
    </row>
    <row r="26" spans="2:14" ht="20.25" customHeight="1" x14ac:dyDescent="0.4">
      <c r="B26" s="74"/>
      <c r="C26" s="70"/>
      <c r="D26" s="224"/>
      <c r="E26" s="224"/>
      <c r="F26" s="224"/>
      <c r="G26" s="224"/>
      <c r="H26" s="224"/>
      <c r="I26" s="224"/>
      <c r="J26" s="224"/>
      <c r="K26" s="224"/>
      <c r="L26" s="73"/>
      <c r="M26" s="73"/>
      <c r="N26" s="73"/>
    </row>
    <row r="27" spans="2:14" ht="20.25" customHeight="1" x14ac:dyDescent="0.4">
      <c r="B27" s="74"/>
      <c r="C27" s="70"/>
      <c r="D27" s="224"/>
      <c r="E27" s="224"/>
      <c r="F27" s="224"/>
      <c r="G27" s="224"/>
      <c r="H27" s="224"/>
      <c r="I27" s="224"/>
      <c r="J27" s="224"/>
      <c r="K27" s="224"/>
      <c r="L27" s="73"/>
      <c r="M27" s="73"/>
      <c r="N27" s="73"/>
    </row>
    <row r="28" spans="2:14" ht="20.25" customHeight="1" x14ac:dyDescent="0.4">
      <c r="B28" s="74"/>
      <c r="C28" s="70"/>
      <c r="D28" s="224"/>
      <c r="E28" s="224"/>
      <c r="F28" s="224"/>
      <c r="G28" s="224"/>
      <c r="H28" s="224"/>
      <c r="I28" s="224"/>
      <c r="J28" s="224"/>
      <c r="K28" s="224"/>
      <c r="L28" s="73"/>
      <c r="M28" s="73"/>
      <c r="N28" s="73"/>
    </row>
    <row r="29" spans="2:14" ht="20.25" customHeight="1" x14ac:dyDescent="0.4">
      <c r="B29" s="74"/>
      <c r="C29" s="70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</row>
    <row r="30" spans="2:14" ht="20.25" customHeight="1" x14ac:dyDescent="0.4">
      <c r="B30" s="74"/>
      <c r="C30" s="74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</row>
    <row r="31" spans="2:14" ht="20.25" customHeight="1" x14ac:dyDescent="0.4">
      <c r="B31" s="74"/>
      <c r="C31" s="74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</row>
    <row r="32" spans="2:14" ht="20.25" customHeight="1" x14ac:dyDescent="0.4">
      <c r="B32" s="71"/>
    </row>
    <row r="33" spans="2:4" ht="20.25" customHeight="1" x14ac:dyDescent="0.4">
      <c r="B33" s="71"/>
    </row>
    <row r="34" spans="2:4" ht="20.25" customHeight="1" x14ac:dyDescent="0.4">
      <c r="B34" s="71"/>
    </row>
    <row r="35" spans="2:4" ht="20.25" customHeight="1" x14ac:dyDescent="0.4">
      <c r="B35" s="71"/>
    </row>
    <row r="36" spans="2:4" ht="20.25" customHeight="1" x14ac:dyDescent="0.4">
      <c r="B36" s="71"/>
      <c r="D36" s="73"/>
    </row>
  </sheetData>
  <mergeCells count="12">
    <mergeCell ref="D27:K28"/>
    <mergeCell ref="D21:K22"/>
    <mergeCell ref="D25:K26"/>
    <mergeCell ref="B12:K12"/>
    <mergeCell ref="B6:G6"/>
    <mergeCell ref="I6:K6"/>
    <mergeCell ref="C8:K8"/>
    <mergeCell ref="C9:K9"/>
    <mergeCell ref="B11:K11"/>
    <mergeCell ref="D16:K16"/>
    <mergeCell ref="D17:K17"/>
    <mergeCell ref="D15:K15"/>
  </mergeCells>
  <pageMargins left="0.25" right="0.25" top="0.75" bottom="0.75" header="0.3" footer="0.3"/>
  <pageSetup paperSize="9" scale="6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7710-8166-460C-92A0-0E4856DDD7E3}">
  <dimension ref="B1:R82"/>
  <sheetViews>
    <sheetView showGridLines="0" zoomScale="89" zoomScaleNormal="100" workbookViewId="0">
      <pane ySplit="11" topLeftCell="A33" activePane="bottomLeft" state="frozen"/>
      <selection pane="bottomLeft" activeCell="M82" sqref="M82"/>
    </sheetView>
  </sheetViews>
  <sheetFormatPr defaultColWidth="8.6640625" defaultRowHeight="22.5" customHeight="1" x14ac:dyDescent="0.4"/>
  <cols>
    <col min="1" max="1" width="3.33203125" style="61" customWidth="1"/>
    <col min="2" max="2" width="24.5" style="61" customWidth="1"/>
    <col min="3" max="3" width="18.83203125" style="60" customWidth="1"/>
    <col min="4" max="4" width="17.9140625" style="61" bestFit="1" customWidth="1"/>
    <col min="5" max="5" width="1.6640625" style="61" customWidth="1"/>
    <col min="6" max="8" width="15.5" style="61" customWidth="1"/>
    <col min="9" max="9" width="17.4140625" style="61" customWidth="1"/>
    <col min="10" max="10" width="19.08203125" style="61" customWidth="1"/>
    <col min="11" max="11" width="11.33203125" style="60" customWidth="1"/>
    <col min="12" max="12" width="8" style="60" customWidth="1"/>
    <col min="13" max="13" width="11.83203125" style="120" customWidth="1"/>
    <col min="14" max="14" width="5.83203125" style="61" customWidth="1"/>
    <col min="15" max="15" width="13.83203125" style="61" customWidth="1"/>
    <col min="16" max="16" width="15.83203125" style="61" customWidth="1"/>
    <col min="17" max="16384" width="8.6640625" style="61"/>
  </cols>
  <sheetData>
    <row r="1" spans="2:18" ht="13" customHeight="1" x14ac:dyDescent="0.4"/>
    <row r="2" spans="2:18" ht="13" customHeight="1" x14ac:dyDescent="0.4"/>
    <row r="3" spans="2:18" ht="13" customHeight="1" x14ac:dyDescent="0.4"/>
    <row r="4" spans="2:18" ht="13" customHeight="1" x14ac:dyDescent="0.4"/>
    <row r="5" spans="2:18" ht="13" customHeight="1" x14ac:dyDescent="0.4">
      <c r="B5" s="91" t="s">
        <v>0</v>
      </c>
    </row>
    <row r="6" spans="2:18" ht="13" customHeight="1" x14ac:dyDescent="0.4">
      <c r="B6" s="92" t="s">
        <v>181</v>
      </c>
    </row>
    <row r="7" spans="2:18" ht="13" customHeight="1" x14ac:dyDescent="0.4">
      <c r="B7" s="92"/>
      <c r="K7" s="61"/>
    </row>
    <row r="8" spans="2:18" ht="13" customHeight="1" x14ac:dyDescent="0.4">
      <c r="B8" s="93" t="s">
        <v>144</v>
      </c>
    </row>
    <row r="9" spans="2:18" ht="13" customHeight="1" x14ac:dyDescent="0.4"/>
    <row r="10" spans="2:18" ht="22.5" customHeight="1" x14ac:dyDescent="0.4">
      <c r="B10" s="231" t="s">
        <v>27</v>
      </c>
      <c r="C10" s="231" t="s">
        <v>28</v>
      </c>
      <c r="D10" s="231" t="s">
        <v>29</v>
      </c>
      <c r="F10" s="232" t="s">
        <v>133</v>
      </c>
      <c r="G10" s="232" t="s">
        <v>161</v>
      </c>
      <c r="H10" s="232" t="s">
        <v>186</v>
      </c>
      <c r="I10" s="231" t="s">
        <v>30</v>
      </c>
      <c r="J10" s="231" t="s">
        <v>31</v>
      </c>
      <c r="K10" s="231" t="s">
        <v>32</v>
      </c>
    </row>
    <row r="11" spans="2:18" ht="22.5" customHeight="1" x14ac:dyDescent="0.4">
      <c r="B11" s="231"/>
      <c r="C11" s="231"/>
      <c r="D11" s="231"/>
      <c r="F11" s="232"/>
      <c r="G11" s="232"/>
      <c r="H11" s="232"/>
      <c r="I11" s="231"/>
      <c r="J11" s="231"/>
      <c r="K11" s="231"/>
    </row>
    <row r="12" spans="2:18" ht="14" customHeight="1" x14ac:dyDescent="0.4">
      <c r="F12" s="75"/>
      <c r="G12" s="75"/>
      <c r="H12" s="75"/>
      <c r="Q12" s="77"/>
    </row>
    <row r="13" spans="2:18" ht="14" customHeight="1" x14ac:dyDescent="0.4">
      <c r="B13" s="61" t="s">
        <v>105</v>
      </c>
      <c r="C13" s="60" t="s">
        <v>46</v>
      </c>
      <c r="D13" s="193" t="s">
        <v>141</v>
      </c>
      <c r="F13" s="102">
        <f>'JORNAL - PAULINIA'!AT14*1.25</f>
        <v>9360</v>
      </c>
      <c r="G13" s="102">
        <v>0</v>
      </c>
      <c r="H13" s="102">
        <v>0</v>
      </c>
      <c r="I13" s="76">
        <f>SUM(F13:H13)</f>
        <v>9360</v>
      </c>
      <c r="J13" s="76">
        <f>I13*0.8</f>
        <v>7488</v>
      </c>
      <c r="K13" s="64">
        <f>J13/$J$17</f>
        <v>0.31904015270297903</v>
      </c>
      <c r="L13" s="87"/>
      <c r="Q13" s="77"/>
      <c r="R13" s="77"/>
    </row>
    <row r="14" spans="2:18" ht="14" customHeight="1" x14ac:dyDescent="0.4">
      <c r="B14" s="61" t="s">
        <v>105</v>
      </c>
      <c r="C14" s="60" t="s">
        <v>46</v>
      </c>
      <c r="D14" s="194" t="s">
        <v>142</v>
      </c>
      <c r="F14" s="102">
        <f>'JORNAL - PAULINIA'!AT16*1.25</f>
        <v>13728.000000000002</v>
      </c>
      <c r="G14" s="102">
        <v>0</v>
      </c>
      <c r="H14" s="102">
        <v>0</v>
      </c>
      <c r="I14" s="76">
        <f>SUM(F14:H14)</f>
        <v>13728.000000000002</v>
      </c>
      <c r="J14" s="76">
        <f>I14*0.8</f>
        <v>10982.400000000001</v>
      </c>
      <c r="K14" s="64">
        <f>J14/$J$17</f>
        <v>0.46792555729770269</v>
      </c>
      <c r="L14" s="87"/>
      <c r="Q14" s="77"/>
      <c r="R14" s="77"/>
    </row>
    <row r="15" spans="2:18" ht="14" customHeight="1" x14ac:dyDescent="0.4">
      <c r="B15" s="61" t="s">
        <v>105</v>
      </c>
      <c r="C15" s="60" t="s">
        <v>46</v>
      </c>
      <c r="D15" s="194" t="s">
        <v>192</v>
      </c>
      <c r="F15" s="102">
        <f>'JORNAL - PAULINIA'!AT18*1.25</f>
        <v>6250</v>
      </c>
      <c r="G15" s="102">
        <v>0</v>
      </c>
      <c r="H15" s="102">
        <v>0</v>
      </c>
      <c r="I15" s="76">
        <f>SUM(F15:H15)</f>
        <v>6250</v>
      </c>
      <c r="J15" s="76">
        <f>I15*0.8</f>
        <v>5000</v>
      </c>
      <c r="K15" s="64">
        <f>J15/$J$17</f>
        <v>0.21303428999931828</v>
      </c>
      <c r="L15" s="87"/>
      <c r="Q15" s="77"/>
      <c r="R15" s="77"/>
    </row>
    <row r="16" spans="2:18" ht="14" customHeight="1" x14ac:dyDescent="0.4">
      <c r="F16" s="62"/>
      <c r="G16" s="62"/>
      <c r="H16" s="62"/>
      <c r="I16" s="63"/>
      <c r="J16" s="63"/>
      <c r="K16" s="64"/>
      <c r="Q16" s="77"/>
    </row>
    <row r="17" spans="2:18" ht="14" customHeight="1" x14ac:dyDescent="0.4">
      <c r="B17" s="78" t="s">
        <v>45</v>
      </c>
      <c r="C17" s="79"/>
      <c r="D17" s="80"/>
      <c r="F17" s="81">
        <f>SUM(F13:F15)</f>
        <v>29338</v>
      </c>
      <c r="G17" s="81">
        <f>SUM(G13:G15)</f>
        <v>0</v>
      </c>
      <c r="H17" s="81">
        <f t="shared" ref="H17:K17" si="0">SUM(H13:H15)</f>
        <v>0</v>
      </c>
      <c r="I17" s="81">
        <f t="shared" si="0"/>
        <v>29338</v>
      </c>
      <c r="J17" s="81">
        <f t="shared" si="0"/>
        <v>23470.400000000001</v>
      </c>
      <c r="K17" s="85">
        <f t="shared" si="0"/>
        <v>1</v>
      </c>
      <c r="L17" s="82">
        <f>J17/J26</f>
        <v>0.24446143366323433</v>
      </c>
      <c r="M17" s="120" t="b">
        <f>J17='JORNAL - PAULINIA'!AT22</f>
        <v>1</v>
      </c>
      <c r="N17" s="90"/>
      <c r="Q17" s="77"/>
    </row>
    <row r="18" spans="2:18" s="83" customFormat="1" ht="14" customHeight="1" x14ac:dyDescent="0.4">
      <c r="C18" s="84"/>
      <c r="L18" s="84"/>
      <c r="M18" s="120"/>
    </row>
    <row r="19" spans="2:18" s="83" customFormat="1" ht="14" customHeight="1" x14ac:dyDescent="0.4">
      <c r="B19" s="61" t="s">
        <v>105</v>
      </c>
      <c r="C19" s="60" t="s">
        <v>33</v>
      </c>
      <c r="D19" s="61" t="s">
        <v>25</v>
      </c>
      <c r="F19" s="62">
        <f>'RÁDIO - PAULINIA'!AU14*1.25</f>
        <v>29342.25</v>
      </c>
      <c r="G19" s="62">
        <v>0</v>
      </c>
      <c r="H19" s="62">
        <v>0</v>
      </c>
      <c r="I19" s="76">
        <f t="shared" ref="I19:I22" si="1">SUM(F19:H19)</f>
        <v>29342.25</v>
      </c>
      <c r="J19" s="63">
        <f t="shared" ref="J19:J22" si="2">I19*0.8</f>
        <v>23473.800000000003</v>
      </c>
      <c r="K19" s="64">
        <f>J19/$J$24</f>
        <v>0.32360604481500782</v>
      </c>
      <c r="L19" s="60"/>
      <c r="M19" s="120"/>
    </row>
    <row r="20" spans="2:18" s="83" customFormat="1" ht="14" customHeight="1" x14ac:dyDescent="0.4">
      <c r="B20" s="61" t="s">
        <v>105</v>
      </c>
      <c r="C20" s="60" t="s">
        <v>33</v>
      </c>
      <c r="D20" s="61" t="s">
        <v>23</v>
      </c>
      <c r="F20" s="62">
        <f>'RÁDIO - PAULINIA'!AU17*1.25</f>
        <v>24696</v>
      </c>
      <c r="G20" s="62">
        <v>0</v>
      </c>
      <c r="H20" s="62">
        <v>0</v>
      </c>
      <c r="I20" s="76">
        <f t="shared" si="1"/>
        <v>24696</v>
      </c>
      <c r="J20" s="63">
        <f t="shared" si="2"/>
        <v>19756.800000000003</v>
      </c>
      <c r="K20" s="64">
        <f>J20/$J$24</f>
        <v>0.27236407851311445</v>
      </c>
      <c r="L20" s="60"/>
      <c r="M20" s="120"/>
    </row>
    <row r="21" spans="2:18" s="83" customFormat="1" ht="14" customHeight="1" x14ac:dyDescent="0.4">
      <c r="B21" s="61" t="s">
        <v>105</v>
      </c>
      <c r="C21" s="60" t="s">
        <v>33</v>
      </c>
      <c r="D21" s="61" t="s">
        <v>54</v>
      </c>
      <c r="F21" s="62">
        <f>'RÁDIO - PAULINIA'!AU20*1.25</f>
        <v>26397</v>
      </c>
      <c r="G21" s="62">
        <v>0</v>
      </c>
      <c r="H21" s="62">
        <v>0</v>
      </c>
      <c r="I21" s="76">
        <f t="shared" si="1"/>
        <v>26397</v>
      </c>
      <c r="J21" s="63">
        <f t="shared" si="2"/>
        <v>21117.600000000002</v>
      </c>
      <c r="K21" s="64">
        <f>J21/$J$24</f>
        <v>0.29112384922702794</v>
      </c>
      <c r="L21" s="60"/>
      <c r="M21" s="120"/>
    </row>
    <row r="22" spans="2:18" s="83" customFormat="1" ht="14" customHeight="1" x14ac:dyDescent="0.4">
      <c r="B22" s="61" t="s">
        <v>105</v>
      </c>
      <c r="C22" s="60" t="s">
        <v>33</v>
      </c>
      <c r="D22" s="61" t="s">
        <v>20</v>
      </c>
      <c r="F22" s="62">
        <f>'RÁDIO - PAULINIA'!AU23*1.25</f>
        <v>10237.5</v>
      </c>
      <c r="G22" s="62">
        <v>0</v>
      </c>
      <c r="H22" s="62">
        <v>0</v>
      </c>
      <c r="I22" s="76">
        <f t="shared" si="1"/>
        <v>10237.5</v>
      </c>
      <c r="J22" s="63">
        <f t="shared" si="2"/>
        <v>8190</v>
      </c>
      <c r="K22" s="64">
        <f>J22/$J$24</f>
        <v>0.11290602744484973</v>
      </c>
      <c r="L22" s="60"/>
      <c r="M22" s="120"/>
    </row>
    <row r="23" spans="2:18" ht="14" customHeight="1" x14ac:dyDescent="0.4">
      <c r="O23" s="83"/>
      <c r="P23" s="83"/>
      <c r="Q23" s="83"/>
    </row>
    <row r="24" spans="2:18" ht="14" customHeight="1" x14ac:dyDescent="0.4">
      <c r="B24" s="78" t="s">
        <v>34</v>
      </c>
      <c r="C24" s="79"/>
      <c r="D24" s="80"/>
      <c r="F24" s="81">
        <f t="shared" ref="F24:K24" si="3">SUM(F19:F22)</f>
        <v>90672.75</v>
      </c>
      <c r="G24" s="81">
        <f t="shared" si="3"/>
        <v>0</v>
      </c>
      <c r="H24" s="81">
        <f t="shared" si="3"/>
        <v>0</v>
      </c>
      <c r="I24" s="81">
        <f t="shared" si="3"/>
        <v>90672.75</v>
      </c>
      <c r="J24" s="81">
        <f t="shared" si="3"/>
        <v>72538.200000000012</v>
      </c>
      <c r="K24" s="82">
        <f t="shared" si="3"/>
        <v>1</v>
      </c>
      <c r="L24" s="82">
        <f>J24/J26</f>
        <v>0.75553856633676575</v>
      </c>
      <c r="M24" s="120" t="b">
        <f>J24='RÁDIO - PAULINIA'!AU24</f>
        <v>1</v>
      </c>
      <c r="N24" s="89"/>
      <c r="O24" s="83"/>
      <c r="P24" s="83"/>
      <c r="Q24" s="83"/>
    </row>
    <row r="25" spans="2:18" ht="14" customHeight="1" x14ac:dyDescent="0.4"/>
    <row r="26" spans="2:18" ht="14" customHeight="1" x14ac:dyDescent="0.4">
      <c r="B26" s="264" t="s">
        <v>182</v>
      </c>
      <c r="C26" s="265"/>
      <c r="D26" s="266"/>
      <c r="F26" s="267">
        <f>SUM(F17,F24)</f>
        <v>120010.75</v>
      </c>
      <c r="G26" s="267">
        <f>SUM(G17,G24)</f>
        <v>0</v>
      </c>
      <c r="H26" s="267">
        <f>SUM(H17,H24)</f>
        <v>0</v>
      </c>
      <c r="I26" s="267">
        <f>SUM(I17,I24,)</f>
        <v>120010.75</v>
      </c>
      <c r="J26" s="267">
        <f>SUM(J17,J24,)</f>
        <v>96008.6</v>
      </c>
      <c r="K26" s="267"/>
      <c r="L26" s="268">
        <f>SUM(L10:L25)</f>
        <v>1</v>
      </c>
    </row>
    <row r="27" spans="2:18" s="212" customFormat="1" ht="14" customHeight="1" x14ac:dyDescent="0.4">
      <c r="C27" s="213"/>
      <c r="F27" s="214">
        <f>F26/I26</f>
        <v>1</v>
      </c>
      <c r="G27" s="214">
        <f>G26/I26</f>
        <v>0</v>
      </c>
      <c r="H27" s="214">
        <f>H26/I26</f>
        <v>0</v>
      </c>
      <c r="I27" s="213"/>
      <c r="J27" s="215" t="b">
        <f>'RESUMO DE MEIOS'!J26='JORNAL - PAULINIA'!AQ22+'RÁDIO - PAULINIA'!AR24</f>
        <v>1</v>
      </c>
      <c r="K27" s="213"/>
      <c r="L27" s="213"/>
      <c r="M27" s="216"/>
    </row>
    <row r="28" spans="2:18" ht="17" customHeight="1" x14ac:dyDescent="0.4">
      <c r="F28" s="86"/>
      <c r="G28" s="86"/>
      <c r="H28" s="86"/>
      <c r="I28" s="60"/>
      <c r="J28" s="121"/>
    </row>
    <row r="29" spans="2:18" ht="22.5" customHeight="1" x14ac:dyDescent="0.4">
      <c r="B29" s="231" t="s">
        <v>27</v>
      </c>
      <c r="C29" s="231" t="s">
        <v>28</v>
      </c>
      <c r="D29" s="231" t="s">
        <v>29</v>
      </c>
      <c r="F29" s="232" t="s">
        <v>133</v>
      </c>
      <c r="G29" s="232" t="s">
        <v>161</v>
      </c>
      <c r="H29" s="232" t="s">
        <v>186</v>
      </c>
      <c r="I29" s="231" t="s">
        <v>30</v>
      </c>
      <c r="J29" s="231" t="s">
        <v>31</v>
      </c>
      <c r="K29" s="231" t="s">
        <v>32</v>
      </c>
    </row>
    <row r="30" spans="2:18" ht="22.5" customHeight="1" x14ac:dyDescent="0.4">
      <c r="B30" s="231"/>
      <c r="C30" s="231"/>
      <c r="D30" s="231"/>
      <c r="F30" s="232"/>
      <c r="G30" s="232"/>
      <c r="H30" s="232"/>
      <c r="I30" s="231"/>
      <c r="J30" s="231"/>
      <c r="K30" s="231"/>
    </row>
    <row r="31" spans="2:18" ht="14" customHeight="1" x14ac:dyDescent="0.4">
      <c r="F31" s="75"/>
      <c r="G31" s="75"/>
      <c r="H31" s="75"/>
      <c r="Q31" s="77"/>
    </row>
    <row r="32" spans="2:18" ht="14" customHeight="1" x14ac:dyDescent="0.4">
      <c r="B32" s="61" t="s">
        <v>145</v>
      </c>
      <c r="C32" s="60" t="s">
        <v>184</v>
      </c>
      <c r="D32" s="193" t="s">
        <v>164</v>
      </c>
      <c r="F32" s="102">
        <f>'PORTAL - FRANCA'!AT14*1.25</f>
        <v>28800</v>
      </c>
      <c r="G32" s="102">
        <v>0</v>
      </c>
      <c r="H32" s="102">
        <v>0</v>
      </c>
      <c r="I32" s="76">
        <f>SUM(F32:H32)</f>
        <v>28800</v>
      </c>
      <c r="J32" s="76">
        <f>I32*0.8</f>
        <v>23040</v>
      </c>
      <c r="K32" s="64">
        <f>J32/$J$34</f>
        <v>1</v>
      </c>
      <c r="L32" s="87"/>
      <c r="Q32" s="77"/>
      <c r="R32" s="77"/>
    </row>
    <row r="33" spans="2:17" ht="14" customHeight="1" x14ac:dyDescent="0.4">
      <c r="F33" s="62"/>
      <c r="G33" s="62"/>
      <c r="H33" s="62"/>
      <c r="I33" s="63"/>
      <c r="J33" s="63"/>
      <c r="K33" s="64"/>
      <c r="Q33" s="77"/>
    </row>
    <row r="34" spans="2:17" ht="14" customHeight="1" x14ac:dyDescent="0.4">
      <c r="B34" s="78" t="s">
        <v>185</v>
      </c>
      <c r="C34" s="79"/>
      <c r="D34" s="80"/>
      <c r="F34" s="81">
        <f t="shared" ref="F34:K34" si="4">SUM(F32:F32)</f>
        <v>28800</v>
      </c>
      <c r="G34" s="81">
        <f t="shared" si="4"/>
        <v>0</v>
      </c>
      <c r="H34" s="81">
        <f t="shared" si="4"/>
        <v>0</v>
      </c>
      <c r="I34" s="81">
        <f t="shared" si="4"/>
        <v>28800</v>
      </c>
      <c r="J34" s="81">
        <f t="shared" si="4"/>
        <v>23040</v>
      </c>
      <c r="K34" s="85">
        <f t="shared" si="4"/>
        <v>1</v>
      </c>
      <c r="L34" s="82">
        <f>J34/J44</f>
        <v>0.5046942700552447</v>
      </c>
      <c r="M34" s="120" t="b">
        <f>J34=SUM('PORTAL - FRANCA'!AT17)</f>
        <v>1</v>
      </c>
      <c r="N34" s="90"/>
      <c r="Q34" s="77"/>
    </row>
    <row r="35" spans="2:17" s="83" customFormat="1" ht="14" customHeight="1" x14ac:dyDescent="0.4">
      <c r="C35" s="84"/>
      <c r="L35" s="84"/>
      <c r="M35" s="120"/>
    </row>
    <row r="36" spans="2:17" s="83" customFormat="1" ht="14" customHeight="1" x14ac:dyDescent="0.4">
      <c r="B36" s="61" t="s">
        <v>145</v>
      </c>
      <c r="C36" s="60" t="s">
        <v>33</v>
      </c>
      <c r="D36" s="61" t="s">
        <v>146</v>
      </c>
      <c r="F36" s="62">
        <f>'RÁDIO - FRANCA'!AU14*1.25</f>
        <v>9625</v>
      </c>
      <c r="G36" s="62">
        <v>0</v>
      </c>
      <c r="H36" s="62">
        <v>0</v>
      </c>
      <c r="I36" s="76">
        <f>SUM(F36:H36)</f>
        <v>9625</v>
      </c>
      <c r="J36" s="63">
        <f t="shared" ref="J36:J40" si="5">I36*0.8</f>
        <v>7700</v>
      </c>
      <c r="K36" s="64">
        <f>J36/$J$24</f>
        <v>0.10615096597379034</v>
      </c>
      <c r="L36" s="60"/>
      <c r="M36" s="120"/>
    </row>
    <row r="37" spans="2:17" s="83" customFormat="1" ht="14" customHeight="1" x14ac:dyDescent="0.4">
      <c r="B37" s="61" t="s">
        <v>145</v>
      </c>
      <c r="C37" s="60" t="s">
        <v>33</v>
      </c>
      <c r="D37" s="61" t="s">
        <v>187</v>
      </c>
      <c r="F37" s="62">
        <f>'RÁDIO - FRANCA'!AU17*1.25</f>
        <v>8085.0000000000009</v>
      </c>
      <c r="G37" s="62">
        <v>0</v>
      </c>
      <c r="H37" s="62">
        <v>0</v>
      </c>
      <c r="I37" s="76">
        <f t="shared" ref="I37:I40" si="6">SUM(F37:H37)</f>
        <v>8085.0000000000009</v>
      </c>
      <c r="J37" s="63">
        <f t="shared" si="5"/>
        <v>6468.0000000000009</v>
      </c>
      <c r="K37" s="64">
        <f>J37/$J$24</f>
        <v>8.9166811417983896E-2</v>
      </c>
      <c r="L37" s="60"/>
      <c r="M37" s="120"/>
    </row>
    <row r="38" spans="2:17" s="83" customFormat="1" ht="14" customHeight="1" x14ac:dyDescent="0.4">
      <c r="B38" s="61" t="s">
        <v>145</v>
      </c>
      <c r="C38" s="60" t="s">
        <v>33</v>
      </c>
      <c r="D38" s="61" t="s">
        <v>148</v>
      </c>
      <c r="F38" s="62">
        <f>'RÁDIO - FRANCA'!AU20*1.25</f>
        <v>7122.5000000000009</v>
      </c>
      <c r="G38" s="62">
        <v>0</v>
      </c>
      <c r="H38" s="62">
        <v>0</v>
      </c>
      <c r="I38" s="76">
        <f t="shared" si="6"/>
        <v>7122.5000000000009</v>
      </c>
      <c r="J38" s="63">
        <f t="shared" si="5"/>
        <v>5698.0000000000009</v>
      </c>
      <c r="K38" s="64">
        <f>J38/$J$24</f>
        <v>7.855171482060487E-2</v>
      </c>
      <c r="L38" s="60"/>
      <c r="M38" s="120"/>
    </row>
    <row r="39" spans="2:17" s="83" customFormat="1" ht="14" customHeight="1" x14ac:dyDescent="0.4">
      <c r="B39" s="61" t="s">
        <v>145</v>
      </c>
      <c r="C39" s="60" t="s">
        <v>33</v>
      </c>
      <c r="D39" s="61" t="s">
        <v>151</v>
      </c>
      <c r="F39" s="62">
        <f>'RÁDIO - FRANCA'!AU23*1.25</f>
        <v>918.75</v>
      </c>
      <c r="G39" s="62">
        <v>0</v>
      </c>
      <c r="H39" s="62">
        <v>0</v>
      </c>
      <c r="I39" s="76">
        <f t="shared" ref="I39" si="7">SUM(F39:H39)</f>
        <v>918.75</v>
      </c>
      <c r="J39" s="63">
        <f t="shared" ref="J39" si="8">I39*0.8</f>
        <v>735</v>
      </c>
      <c r="K39" s="64">
        <f>J39/$J$24</f>
        <v>1.0132592206589078E-2</v>
      </c>
      <c r="L39" s="60"/>
      <c r="M39" s="120"/>
    </row>
    <row r="40" spans="2:17" s="83" customFormat="1" ht="14" customHeight="1" x14ac:dyDescent="0.4">
      <c r="B40" s="61" t="s">
        <v>145</v>
      </c>
      <c r="C40" s="60" t="s">
        <v>33</v>
      </c>
      <c r="D40" s="61" t="s">
        <v>149</v>
      </c>
      <c r="F40" s="62">
        <f>'RÁDIO - FRANCA'!AU26*1.25</f>
        <v>2512.9999999999995</v>
      </c>
      <c r="G40" s="62">
        <v>0</v>
      </c>
      <c r="H40" s="62">
        <v>0</v>
      </c>
      <c r="I40" s="76">
        <f t="shared" si="6"/>
        <v>2512.9999999999995</v>
      </c>
      <c r="J40" s="63">
        <f t="shared" si="5"/>
        <v>2010.3999999999996</v>
      </c>
      <c r="K40" s="64">
        <f>J40/$J$24</f>
        <v>2.7715052206975073E-2</v>
      </c>
      <c r="L40" s="60"/>
      <c r="M40" s="120"/>
    </row>
    <row r="41" spans="2:17" ht="14" customHeight="1" x14ac:dyDescent="0.4">
      <c r="O41" s="83"/>
      <c r="P41" s="83"/>
      <c r="Q41" s="83"/>
    </row>
    <row r="42" spans="2:17" ht="14" customHeight="1" x14ac:dyDescent="0.4">
      <c r="B42" s="78" t="s">
        <v>34</v>
      </c>
      <c r="C42" s="79"/>
      <c r="D42" s="80"/>
      <c r="F42" s="81">
        <f t="shared" ref="F42:K42" si="9">SUM(F36:F40)</f>
        <v>28264.25</v>
      </c>
      <c r="G42" s="81">
        <f t="shared" si="9"/>
        <v>0</v>
      </c>
      <c r="H42" s="81">
        <f t="shared" si="9"/>
        <v>0</v>
      </c>
      <c r="I42" s="81">
        <f t="shared" si="9"/>
        <v>28264.25</v>
      </c>
      <c r="J42" s="81">
        <f t="shared" si="9"/>
        <v>22611.4</v>
      </c>
      <c r="K42" s="82">
        <f t="shared" si="9"/>
        <v>0.31171713662594325</v>
      </c>
      <c r="L42" s="82">
        <f>J42/J44</f>
        <v>0.49530572994475525</v>
      </c>
      <c r="M42" s="120" t="b">
        <f>J42='RÁDIO - FRANCA'!AU27</f>
        <v>1</v>
      </c>
      <c r="N42" s="89"/>
      <c r="O42" s="83"/>
      <c r="P42" s="83"/>
      <c r="Q42" s="83"/>
    </row>
    <row r="43" spans="2:17" ht="14" customHeight="1" x14ac:dyDescent="0.4"/>
    <row r="44" spans="2:17" ht="14" customHeight="1" x14ac:dyDescent="0.4">
      <c r="B44" s="264" t="s">
        <v>183</v>
      </c>
      <c r="C44" s="265"/>
      <c r="D44" s="266"/>
      <c r="F44" s="267">
        <f>SUM(F34,F42)</f>
        <v>57064.25</v>
      </c>
      <c r="G44" s="267">
        <f>SUM(G34,G42)</f>
        <v>0</v>
      </c>
      <c r="H44" s="267">
        <f>SUM(H34,H42)</f>
        <v>0</v>
      </c>
      <c r="I44" s="267">
        <f>SUM(I34,I42,)</f>
        <v>57064.25</v>
      </c>
      <c r="J44" s="267">
        <f>SUM(J34,J42,)</f>
        <v>45651.4</v>
      </c>
      <c r="K44" s="267"/>
      <c r="L44" s="268">
        <f>SUM(L29:L43)</f>
        <v>1</v>
      </c>
    </row>
    <row r="45" spans="2:17" s="212" customFormat="1" ht="14" customHeight="1" x14ac:dyDescent="0.4">
      <c r="C45" s="213"/>
      <c r="F45" s="214">
        <f>F44/I44</f>
        <v>1</v>
      </c>
      <c r="G45" s="214">
        <f>G44/I44</f>
        <v>0</v>
      </c>
      <c r="H45" s="214">
        <f>H44/I44</f>
        <v>0</v>
      </c>
      <c r="I45" s="213"/>
      <c r="J45" s="215" t="b">
        <f>'RESUMO DE MEIOS'!J44='RÁDIO - FRANCA'!AU27+'PORTAL - FRANCA'!AT17</f>
        <v>1</v>
      </c>
      <c r="K45" s="213"/>
      <c r="L45" s="213"/>
      <c r="M45" s="216"/>
    </row>
    <row r="46" spans="2:17" ht="17" customHeight="1" x14ac:dyDescent="0.4"/>
    <row r="47" spans="2:17" ht="22.5" customHeight="1" x14ac:dyDescent="0.4">
      <c r="B47" s="231" t="s">
        <v>27</v>
      </c>
      <c r="C47" s="231" t="s">
        <v>28</v>
      </c>
      <c r="D47" s="231" t="s">
        <v>29</v>
      </c>
      <c r="F47" s="232" t="s">
        <v>133</v>
      </c>
      <c r="G47" s="232" t="s">
        <v>161</v>
      </c>
      <c r="H47" s="232" t="s">
        <v>186</v>
      </c>
      <c r="I47" s="231" t="s">
        <v>30</v>
      </c>
      <c r="J47" s="231" t="s">
        <v>31</v>
      </c>
      <c r="K47" s="231" t="s">
        <v>32</v>
      </c>
    </row>
    <row r="48" spans="2:17" ht="22.5" customHeight="1" x14ac:dyDescent="0.4">
      <c r="B48" s="231"/>
      <c r="C48" s="231"/>
      <c r="D48" s="231"/>
      <c r="F48" s="232"/>
      <c r="G48" s="232"/>
      <c r="H48" s="232"/>
      <c r="I48" s="231"/>
      <c r="J48" s="231"/>
      <c r="K48" s="231"/>
    </row>
    <row r="49" spans="2:18" ht="14" customHeight="1" x14ac:dyDescent="0.4">
      <c r="F49" s="75"/>
      <c r="G49" s="75"/>
      <c r="H49" s="75"/>
      <c r="Q49" s="77"/>
    </row>
    <row r="50" spans="2:18" ht="14" customHeight="1" x14ac:dyDescent="0.4">
      <c r="B50" s="61" t="s">
        <v>152</v>
      </c>
      <c r="C50" s="60" t="s">
        <v>46</v>
      </c>
      <c r="D50" s="193" t="s">
        <v>167</v>
      </c>
      <c r="F50" s="102">
        <f>SUM('JORNAL - PRESIDENTE PRUDENTE'!AT14:AT15)*1.25</f>
        <v>5375</v>
      </c>
      <c r="G50" s="102">
        <v>0</v>
      </c>
      <c r="H50" s="102">
        <v>0</v>
      </c>
      <c r="I50" s="76">
        <f>SUM(F50:H50)</f>
        <v>5375</v>
      </c>
      <c r="J50" s="76">
        <f>I50*0.8</f>
        <v>4300</v>
      </c>
      <c r="K50" s="64">
        <f>J50/$J$34</f>
        <v>0.18663194444444445</v>
      </c>
      <c r="L50" s="87"/>
      <c r="Q50" s="77"/>
      <c r="R50" s="77"/>
    </row>
    <row r="51" spans="2:18" ht="14" customHeight="1" x14ac:dyDescent="0.4">
      <c r="F51" s="62"/>
      <c r="G51" s="62"/>
      <c r="H51" s="62"/>
      <c r="I51" s="63"/>
      <c r="J51" s="63"/>
      <c r="K51" s="64"/>
      <c r="Q51" s="77"/>
    </row>
    <row r="52" spans="2:18" ht="14" customHeight="1" x14ac:dyDescent="0.4">
      <c r="B52" s="78" t="s">
        <v>45</v>
      </c>
      <c r="C52" s="79"/>
      <c r="D52" s="80"/>
      <c r="F52" s="81">
        <f t="shared" ref="F52:K52" si="10">SUM(F50:F50)</f>
        <v>5375</v>
      </c>
      <c r="G52" s="81">
        <f t="shared" si="10"/>
        <v>0</v>
      </c>
      <c r="H52" s="81">
        <f t="shared" si="10"/>
        <v>0</v>
      </c>
      <c r="I52" s="81">
        <f t="shared" si="10"/>
        <v>5375</v>
      </c>
      <c r="J52" s="81">
        <f t="shared" si="10"/>
        <v>4300</v>
      </c>
      <c r="K52" s="85">
        <f t="shared" si="10"/>
        <v>0.18663194444444445</v>
      </c>
      <c r="L52" s="82">
        <f>J52/J62</f>
        <v>0.18026477961582638</v>
      </c>
      <c r="M52" s="120" t="b">
        <f>J52='JORNAL - PRESIDENTE PRUDENTE'!AT18</f>
        <v>1</v>
      </c>
      <c r="N52" s="90"/>
      <c r="Q52" s="77"/>
    </row>
    <row r="53" spans="2:18" s="83" customFormat="1" ht="14" customHeight="1" x14ac:dyDescent="0.4">
      <c r="C53" s="84"/>
      <c r="L53" s="84"/>
      <c r="M53" s="120"/>
    </row>
    <row r="54" spans="2:18" s="83" customFormat="1" ht="14" customHeight="1" x14ac:dyDescent="0.4">
      <c r="B54" s="61" t="s">
        <v>152</v>
      </c>
      <c r="C54" s="60" t="s">
        <v>33</v>
      </c>
      <c r="D54" s="61" t="s">
        <v>156</v>
      </c>
      <c r="F54" s="62">
        <f>'RÁDIO - PRESIDENTE PRUDENTE'!AU14*1.25</f>
        <v>8720.2500000000018</v>
      </c>
      <c r="G54" s="62">
        <v>0</v>
      </c>
      <c r="H54" s="62">
        <v>0</v>
      </c>
      <c r="I54" s="76">
        <f>SUM(F54:H54)</f>
        <v>8720.2500000000018</v>
      </c>
      <c r="J54" s="63">
        <f t="shared" ref="J54:J58" si="11">I54*0.8</f>
        <v>6976.2000000000016</v>
      </c>
      <c r="K54" s="64">
        <f>J54/$J$24</f>
        <v>9.6172775172254074E-2</v>
      </c>
      <c r="L54" s="60"/>
      <c r="M54" s="120"/>
    </row>
    <row r="55" spans="2:18" s="83" customFormat="1" ht="14" customHeight="1" x14ac:dyDescent="0.4">
      <c r="B55" s="61" t="s">
        <v>152</v>
      </c>
      <c r="C55" s="60" t="s">
        <v>33</v>
      </c>
      <c r="D55" s="61" t="s">
        <v>25</v>
      </c>
      <c r="F55" s="62">
        <f>'RÁDIO - PRESIDENTE PRUDENTE'!AU17*1.25</f>
        <v>2724.75</v>
      </c>
      <c r="G55" s="62">
        <v>0</v>
      </c>
      <c r="H55" s="62">
        <v>0</v>
      </c>
      <c r="I55" s="76">
        <f t="shared" ref="I55:I58" si="12">SUM(F55:H55)</f>
        <v>2724.75</v>
      </c>
      <c r="J55" s="63">
        <f t="shared" si="11"/>
        <v>2179.8000000000002</v>
      </c>
      <c r="K55" s="64">
        <f>J55/$J$24</f>
        <v>3.005037345839847E-2</v>
      </c>
      <c r="L55" s="60"/>
      <c r="M55" s="120"/>
    </row>
    <row r="56" spans="2:18" s="83" customFormat="1" ht="14" customHeight="1" x14ac:dyDescent="0.4">
      <c r="B56" s="61" t="s">
        <v>152</v>
      </c>
      <c r="C56" s="60" t="s">
        <v>33</v>
      </c>
      <c r="D56" s="61" t="s">
        <v>157</v>
      </c>
      <c r="F56" s="62">
        <f>'RÁDIO - PRESIDENTE PRUDENTE'!AU20*1.25</f>
        <v>3657.5</v>
      </c>
      <c r="G56" s="62">
        <v>0</v>
      </c>
      <c r="H56" s="62">
        <v>0</v>
      </c>
      <c r="I56" s="76">
        <f t="shared" si="12"/>
        <v>3657.5</v>
      </c>
      <c r="J56" s="63">
        <f t="shared" si="11"/>
        <v>2926</v>
      </c>
      <c r="K56" s="64">
        <f>J56/$J$24</f>
        <v>4.0337367070040334E-2</v>
      </c>
      <c r="L56" s="60"/>
      <c r="M56" s="120"/>
    </row>
    <row r="57" spans="2:18" s="83" customFormat="1" ht="14" customHeight="1" x14ac:dyDescent="0.4">
      <c r="B57" s="61" t="s">
        <v>152</v>
      </c>
      <c r="C57" s="60" t="s">
        <v>33</v>
      </c>
      <c r="D57" s="61" t="s">
        <v>158</v>
      </c>
      <c r="F57" s="62">
        <f>'RÁDIO - PRESIDENTE PRUDENTE'!AU23*1.25</f>
        <v>6048</v>
      </c>
      <c r="G57" s="62">
        <v>0</v>
      </c>
      <c r="H57" s="62">
        <v>0</v>
      </c>
      <c r="I57" s="76">
        <f t="shared" si="12"/>
        <v>6048</v>
      </c>
      <c r="J57" s="63">
        <f t="shared" si="11"/>
        <v>4838.4000000000005</v>
      </c>
      <c r="K57" s="64">
        <f>J57/$J$24</f>
        <v>6.6701406982803538E-2</v>
      </c>
      <c r="L57" s="60"/>
      <c r="M57" s="120"/>
    </row>
    <row r="58" spans="2:18" s="83" customFormat="1" ht="14" customHeight="1" x14ac:dyDescent="0.4">
      <c r="B58" s="61" t="s">
        <v>152</v>
      </c>
      <c r="C58" s="60" t="s">
        <v>33</v>
      </c>
      <c r="D58" s="61" t="s">
        <v>23</v>
      </c>
      <c r="F58" s="62">
        <f>'RÁDIO - PRESIDENTE PRUDENTE'!AU26*1.25</f>
        <v>3291.75</v>
      </c>
      <c r="G58" s="62">
        <v>0</v>
      </c>
      <c r="H58" s="62">
        <v>0</v>
      </c>
      <c r="I58" s="76">
        <f t="shared" si="12"/>
        <v>3291.75</v>
      </c>
      <c r="J58" s="63">
        <f t="shared" si="11"/>
        <v>2633.4</v>
      </c>
      <c r="K58" s="64">
        <f>J58/$J$24</f>
        <v>3.6303630363036299E-2</v>
      </c>
      <c r="L58" s="60"/>
      <c r="M58" s="120"/>
    </row>
    <row r="59" spans="2:18" ht="14" customHeight="1" x14ac:dyDescent="0.4">
      <c r="O59" s="83"/>
      <c r="P59" s="83"/>
      <c r="Q59" s="83"/>
    </row>
    <row r="60" spans="2:18" ht="14" customHeight="1" x14ac:dyDescent="0.4">
      <c r="B60" s="78" t="s">
        <v>34</v>
      </c>
      <c r="C60" s="79"/>
      <c r="D60" s="80"/>
      <c r="F60" s="81">
        <f t="shared" ref="F60:K60" si="13">SUM(F54:F58)</f>
        <v>24442.25</v>
      </c>
      <c r="G60" s="81">
        <f t="shared" si="13"/>
        <v>0</v>
      </c>
      <c r="H60" s="81">
        <f t="shared" si="13"/>
        <v>0</v>
      </c>
      <c r="I60" s="81">
        <f t="shared" si="13"/>
        <v>24442.25</v>
      </c>
      <c r="J60" s="81">
        <f t="shared" si="13"/>
        <v>19553.800000000003</v>
      </c>
      <c r="K60" s="82">
        <f t="shared" si="13"/>
        <v>0.26956555304653268</v>
      </c>
      <c r="L60" s="82">
        <f>J60/J62</f>
        <v>0.81973522038417357</v>
      </c>
      <c r="M60" s="120" t="b">
        <f>J60='RÁDIO - PRESIDENTE PRUDENTE'!AU27</f>
        <v>1</v>
      </c>
      <c r="N60" s="89"/>
      <c r="O60" s="83"/>
      <c r="P60" s="83"/>
      <c r="Q60" s="83"/>
    </row>
    <row r="61" spans="2:18" ht="14" customHeight="1" x14ac:dyDescent="0.4"/>
    <row r="62" spans="2:18" ht="14" customHeight="1" x14ac:dyDescent="0.4">
      <c r="B62" s="264" t="s">
        <v>188</v>
      </c>
      <c r="C62" s="265"/>
      <c r="D62" s="266"/>
      <c r="F62" s="267">
        <f>SUM(F52,F60)</f>
        <v>29817.25</v>
      </c>
      <c r="G62" s="267">
        <f>SUM(G52,G60)</f>
        <v>0</v>
      </c>
      <c r="H62" s="267">
        <f>SUM(H52,H60)</f>
        <v>0</v>
      </c>
      <c r="I62" s="267">
        <f>SUM(I52,I60,)</f>
        <v>29817.25</v>
      </c>
      <c r="J62" s="267">
        <f>SUM(J52,J60,)</f>
        <v>23853.800000000003</v>
      </c>
      <c r="K62" s="267"/>
      <c r="L62" s="268">
        <f>SUM(L47:L61)</f>
        <v>1</v>
      </c>
    </row>
    <row r="63" spans="2:18" s="212" customFormat="1" ht="14" customHeight="1" x14ac:dyDescent="0.4">
      <c r="C63" s="213"/>
      <c r="F63" s="214">
        <f>F62/I62</f>
        <v>1</v>
      </c>
      <c r="G63" s="214">
        <f>G62/I62</f>
        <v>0</v>
      </c>
      <c r="H63" s="214">
        <f>H62/I62</f>
        <v>0</v>
      </c>
      <c r="I63" s="213"/>
      <c r="J63" s="215" t="b">
        <f>'RESUMO DE MEIOS'!J62='RÁDIO - PRESIDENTE PRUDENTE'!AU27+'JORNAL - PRESIDENTE PRUDENTE'!AT18</f>
        <v>1</v>
      </c>
      <c r="K63" s="213"/>
      <c r="L63" s="213"/>
      <c r="M63" s="216"/>
    </row>
    <row r="64" spans="2:18" ht="17" customHeight="1" x14ac:dyDescent="0.4"/>
    <row r="65" spans="2:18" ht="22.5" customHeight="1" x14ac:dyDescent="0.4">
      <c r="B65" s="231" t="s">
        <v>27</v>
      </c>
      <c r="C65" s="231" t="s">
        <v>28</v>
      </c>
      <c r="D65" s="231" t="s">
        <v>29</v>
      </c>
      <c r="F65" s="232" t="s">
        <v>133</v>
      </c>
      <c r="G65" s="232" t="s">
        <v>161</v>
      </c>
      <c r="H65" s="232" t="s">
        <v>186</v>
      </c>
      <c r="I65" s="231" t="s">
        <v>30</v>
      </c>
      <c r="J65" s="231" t="s">
        <v>31</v>
      </c>
      <c r="K65" s="231" t="s">
        <v>32</v>
      </c>
    </row>
    <row r="66" spans="2:18" ht="22.5" customHeight="1" x14ac:dyDescent="0.4">
      <c r="B66" s="231"/>
      <c r="C66" s="231"/>
      <c r="D66" s="231"/>
      <c r="F66" s="232"/>
      <c r="G66" s="232"/>
      <c r="H66" s="232"/>
      <c r="I66" s="231"/>
      <c r="J66" s="231"/>
      <c r="K66" s="231"/>
    </row>
    <row r="67" spans="2:18" ht="14" customHeight="1" x14ac:dyDescent="0.4">
      <c r="F67" s="75"/>
      <c r="G67" s="75"/>
      <c r="H67" s="75"/>
      <c r="Q67" s="77"/>
    </row>
    <row r="68" spans="2:18" ht="14" customHeight="1" x14ac:dyDescent="0.4">
      <c r="B68" s="61" t="s">
        <v>160</v>
      </c>
      <c r="C68" s="60" t="s">
        <v>46</v>
      </c>
      <c r="D68" s="193" t="s">
        <v>172</v>
      </c>
      <c r="F68" s="102">
        <f>SUM('JORNAL - JALES'!BX14:BX15)*1.25</f>
        <v>20188.350000000002</v>
      </c>
      <c r="G68" s="102">
        <v>0</v>
      </c>
      <c r="H68" s="102">
        <v>0</v>
      </c>
      <c r="I68" s="76">
        <f>SUM(F68:H68)</f>
        <v>20188.350000000002</v>
      </c>
      <c r="J68" s="76">
        <f>I68*0.8</f>
        <v>16150.680000000002</v>
      </c>
      <c r="K68" s="64">
        <f>J68/$J$34</f>
        <v>0.7009843750000001</v>
      </c>
      <c r="L68" s="87"/>
      <c r="Q68" s="77"/>
      <c r="R68" s="77"/>
    </row>
    <row r="69" spans="2:18" ht="14" customHeight="1" x14ac:dyDescent="0.4">
      <c r="F69" s="62"/>
      <c r="G69" s="62"/>
      <c r="H69" s="62"/>
      <c r="I69" s="63"/>
      <c r="J69" s="63"/>
      <c r="K69" s="64"/>
      <c r="Q69" s="77"/>
    </row>
    <row r="70" spans="2:18" ht="14" customHeight="1" x14ac:dyDescent="0.4">
      <c r="B70" s="78" t="s">
        <v>45</v>
      </c>
      <c r="C70" s="79"/>
      <c r="D70" s="80"/>
      <c r="F70" s="81">
        <f t="shared" ref="F70:K70" si="14">SUM(F68:F68)</f>
        <v>20188.350000000002</v>
      </c>
      <c r="G70" s="81">
        <f t="shared" si="14"/>
        <v>0</v>
      </c>
      <c r="H70" s="81">
        <f t="shared" si="14"/>
        <v>0</v>
      </c>
      <c r="I70" s="81">
        <f t="shared" si="14"/>
        <v>20188.350000000002</v>
      </c>
      <c r="J70" s="81">
        <f t="shared" si="14"/>
        <v>16150.680000000002</v>
      </c>
      <c r="K70" s="85">
        <f t="shared" si="14"/>
        <v>0.7009843750000001</v>
      </c>
      <c r="L70" s="82">
        <f>J70/J79</f>
        <v>0.72480868549025534</v>
      </c>
      <c r="M70" s="120" t="b">
        <f>J70='JORNAL - JALES'!BU18</f>
        <v>1</v>
      </c>
      <c r="N70" s="90"/>
      <c r="Q70" s="77"/>
    </row>
    <row r="71" spans="2:18" s="83" customFormat="1" ht="14" customHeight="1" x14ac:dyDescent="0.4">
      <c r="C71" s="84"/>
      <c r="L71" s="84"/>
      <c r="M71" s="120"/>
    </row>
    <row r="72" spans="2:18" s="83" customFormat="1" ht="14" customHeight="1" x14ac:dyDescent="0.4">
      <c r="B72" s="61" t="s">
        <v>160</v>
      </c>
      <c r="C72" s="60" t="s">
        <v>33</v>
      </c>
      <c r="D72" s="61" t="s">
        <v>162</v>
      </c>
      <c r="F72" s="62">
        <f>SUM('RÁDIO - JALES'!BY14,'RÁDIO - JALES'!CA14)*1.25</f>
        <v>1601.25</v>
      </c>
      <c r="G72" s="62">
        <v>0</v>
      </c>
      <c r="H72" s="62">
        <v>0</v>
      </c>
      <c r="I72" s="76">
        <f>SUM(F72:H72)</f>
        <v>1601.25</v>
      </c>
      <c r="J72" s="63">
        <f t="shared" ref="J72:J75" si="15">I72*0.8</f>
        <v>1281</v>
      </c>
      <c r="K72" s="64">
        <f>J72/$J$24</f>
        <v>1.7659660702912392E-2</v>
      </c>
      <c r="L72" s="60"/>
      <c r="M72" s="120"/>
    </row>
    <row r="73" spans="2:18" s="83" customFormat="1" ht="14" customHeight="1" x14ac:dyDescent="0.4">
      <c r="B73" s="61" t="s">
        <v>160</v>
      </c>
      <c r="C73" s="60" t="s">
        <v>33</v>
      </c>
      <c r="D73" s="61" t="s">
        <v>163</v>
      </c>
      <c r="F73" s="62">
        <f>SUM('RÁDIO - JALES'!BY17,'RÁDIO - JALES'!CA17)*1.25</f>
        <v>2205</v>
      </c>
      <c r="G73" s="62">
        <v>0</v>
      </c>
      <c r="H73" s="62">
        <v>0</v>
      </c>
      <c r="I73" s="76">
        <f t="shared" ref="I73:I75" si="16">SUM(F73:H73)</f>
        <v>2205</v>
      </c>
      <c r="J73" s="63">
        <f t="shared" si="15"/>
        <v>1764</v>
      </c>
      <c r="K73" s="64">
        <f>J73/$J$24</f>
        <v>2.4318221295813788E-2</v>
      </c>
      <c r="L73" s="60"/>
      <c r="M73" s="120"/>
    </row>
    <row r="74" spans="2:18" s="83" customFormat="1" ht="14" customHeight="1" x14ac:dyDescent="0.4">
      <c r="B74" s="61" t="s">
        <v>160</v>
      </c>
      <c r="C74" s="60" t="s">
        <v>33</v>
      </c>
      <c r="D74" s="61" t="s">
        <v>25</v>
      </c>
      <c r="F74" s="62">
        <f>SUM('RÁDIO - JALES'!BY20,'RÁDIO - JALES'!CA20)*1.25</f>
        <v>2693.25</v>
      </c>
      <c r="G74" s="62">
        <v>0</v>
      </c>
      <c r="H74" s="62">
        <v>0</v>
      </c>
      <c r="I74" s="76">
        <f t="shared" si="16"/>
        <v>2693.25</v>
      </c>
      <c r="J74" s="63">
        <f t="shared" si="15"/>
        <v>2154.6</v>
      </c>
      <c r="K74" s="64">
        <f>J74/$J$24</f>
        <v>2.9702970297029698E-2</v>
      </c>
      <c r="L74" s="60"/>
      <c r="M74" s="120"/>
    </row>
    <row r="75" spans="2:18" s="83" customFormat="1" ht="14" customHeight="1" x14ac:dyDescent="0.4">
      <c r="B75" s="61" t="s">
        <v>160</v>
      </c>
      <c r="C75" s="60" t="s">
        <v>33</v>
      </c>
      <c r="D75" s="61" t="s">
        <v>23</v>
      </c>
      <c r="F75" s="62">
        <f>SUM('RÁDIO - JALES'!BY23,'RÁDIO - JALES'!CA23)*1.25</f>
        <v>1165.5</v>
      </c>
      <c r="G75" s="62">
        <v>0</v>
      </c>
      <c r="H75" s="62">
        <v>0</v>
      </c>
      <c r="I75" s="76">
        <f t="shared" si="16"/>
        <v>1165.5</v>
      </c>
      <c r="J75" s="63">
        <f t="shared" si="15"/>
        <v>932.40000000000009</v>
      </c>
      <c r="K75" s="64">
        <f>J75/$J$24</f>
        <v>1.2853916970644433E-2</v>
      </c>
      <c r="L75" s="60"/>
      <c r="M75" s="120"/>
    </row>
    <row r="76" spans="2:18" ht="14" customHeight="1" x14ac:dyDescent="0.4">
      <c r="O76" s="83"/>
      <c r="P76" s="83"/>
      <c r="Q76" s="83"/>
    </row>
    <row r="77" spans="2:18" ht="14" customHeight="1" x14ac:dyDescent="0.4">
      <c r="B77" s="78" t="s">
        <v>34</v>
      </c>
      <c r="C77" s="79"/>
      <c r="D77" s="80"/>
      <c r="F77" s="81">
        <f t="shared" ref="F77:K77" si="17">SUM(F72:F75)</f>
        <v>7665</v>
      </c>
      <c r="G77" s="81">
        <f t="shared" si="17"/>
        <v>0</v>
      </c>
      <c r="H77" s="81">
        <f t="shared" si="17"/>
        <v>0</v>
      </c>
      <c r="I77" s="81">
        <f t="shared" si="17"/>
        <v>7665</v>
      </c>
      <c r="J77" s="81">
        <f t="shared" si="17"/>
        <v>6132</v>
      </c>
      <c r="K77" s="82">
        <f t="shared" si="17"/>
        <v>8.4534769266400314E-2</v>
      </c>
      <c r="L77" s="82">
        <f>J77/J79</f>
        <v>0.27519131450974477</v>
      </c>
      <c r="M77" s="120" t="b">
        <f>J77='RÁDIO - JALES'!BV24</f>
        <v>1</v>
      </c>
      <c r="N77" s="89"/>
      <c r="O77" s="83"/>
      <c r="P77" s="83"/>
      <c r="Q77" s="83"/>
    </row>
    <row r="78" spans="2:18" ht="14" customHeight="1" x14ac:dyDescent="0.4"/>
    <row r="79" spans="2:18" ht="14" customHeight="1" x14ac:dyDescent="0.4">
      <c r="B79" s="264" t="s">
        <v>189</v>
      </c>
      <c r="C79" s="265"/>
      <c r="D79" s="266"/>
      <c r="F79" s="267">
        <f>SUM(F70,F77)</f>
        <v>27853.350000000002</v>
      </c>
      <c r="G79" s="267">
        <f>SUM(G70,G77)</f>
        <v>0</v>
      </c>
      <c r="H79" s="267">
        <f>SUM(H70,H77)</f>
        <v>0</v>
      </c>
      <c r="I79" s="267">
        <f>SUM(I70,I77,)</f>
        <v>27853.350000000002</v>
      </c>
      <c r="J79" s="267">
        <f>SUM(J70,J77,)</f>
        <v>22282.68</v>
      </c>
      <c r="K79" s="267"/>
      <c r="L79" s="268">
        <f>SUM(L65:L78)</f>
        <v>1</v>
      </c>
    </row>
    <row r="80" spans="2:18" s="212" customFormat="1" ht="11" customHeight="1" x14ac:dyDescent="0.4">
      <c r="C80" s="213"/>
      <c r="F80" s="214">
        <f>F79/I79</f>
        <v>1</v>
      </c>
      <c r="G80" s="214">
        <f>G79/I79</f>
        <v>0</v>
      </c>
      <c r="H80" s="214">
        <f>H79/I79</f>
        <v>0</v>
      </c>
      <c r="I80" s="213"/>
      <c r="J80" s="215" t="b">
        <f>'RESUMO DE MEIOS'!J79='RÁDIO - JALES'!BV24+'JORNAL - JALES'!BU18</f>
        <v>1</v>
      </c>
      <c r="K80" s="213"/>
      <c r="L80" s="213"/>
      <c r="M80" s="216"/>
    </row>
    <row r="81" spans="2:13" ht="27.5" customHeight="1" x14ac:dyDescent="0.4">
      <c r="B81" s="211" t="s">
        <v>197</v>
      </c>
      <c r="C81" s="79"/>
      <c r="D81" s="80"/>
      <c r="F81" s="81">
        <f>SUM(F79,F62,F44,F26)</f>
        <v>234745.60000000001</v>
      </c>
      <c r="G81" s="81">
        <f>SUM(G79,G62,G44,G26)</f>
        <v>0</v>
      </c>
      <c r="H81" s="81">
        <f>SUM(H79,H62,H44,H26)</f>
        <v>0</v>
      </c>
      <c r="I81" s="81">
        <f>SUM(I79,I62,I44,I26)</f>
        <v>234745.60000000001</v>
      </c>
      <c r="J81" s="81">
        <f>SUM(J79,J62,J44,J26)</f>
        <v>187796.48000000001</v>
      </c>
      <c r="K81" s="81"/>
      <c r="L81" s="82"/>
      <c r="M81" s="120" t="b">
        <f>SUM('RÁDIO - PAULINIA'!AR24,'JORNAL - PAULINIA'!AQ22,'RÁDIO - FRANCA'!AR27,'PORTAL - FRANCA'!AQ17,'RÁDIO - PRESIDENTE PRUDENTE'!AR27,'JORNAL - PRESIDENTE PRUDENTE'!AQ18,'RÁDIO - JALES'!BV24,'JORNAL - JALES'!BU18)=J81</f>
        <v>1</v>
      </c>
    </row>
    <row r="82" spans="2:13" s="262" customFormat="1" ht="13.5" customHeight="1" x14ac:dyDescent="0.4">
      <c r="C82" s="263"/>
      <c r="F82" s="262" t="b">
        <f>SUM(F79,F62,F44,F26)=F81</f>
        <v>1</v>
      </c>
      <c r="G82" s="262" t="b">
        <f>SUM(G79,G62,G44,G26)=G81</f>
        <v>1</v>
      </c>
      <c r="H82" s="262" t="b">
        <f>SUM(H79,H62,H44,H26)=H81</f>
        <v>1</v>
      </c>
      <c r="I82" s="262" t="b">
        <f>SUM(I79,I62,I44,I26)=I81</f>
        <v>1</v>
      </c>
      <c r="J82" s="262" t="b">
        <f>SUM(J79,J62,J44,J26)=J81</f>
        <v>1</v>
      </c>
      <c r="K82" s="263"/>
      <c r="L82" s="263"/>
    </row>
  </sheetData>
  <mergeCells count="36">
    <mergeCell ref="H65:H66"/>
    <mergeCell ref="I65:I66"/>
    <mergeCell ref="J65:J66"/>
    <mergeCell ref="K65:K66"/>
    <mergeCell ref="B47:B48"/>
    <mergeCell ref="C47:C48"/>
    <mergeCell ref="D47:D48"/>
    <mergeCell ref="B65:B66"/>
    <mergeCell ref="C65:C66"/>
    <mergeCell ref="D65:D66"/>
    <mergeCell ref="F65:F66"/>
    <mergeCell ref="G65:G66"/>
    <mergeCell ref="F47:F48"/>
    <mergeCell ref="G47:G48"/>
    <mergeCell ref="J29:J30"/>
    <mergeCell ref="K29:K30"/>
    <mergeCell ref="G10:G11"/>
    <mergeCell ref="G29:G30"/>
    <mergeCell ref="H10:H11"/>
    <mergeCell ref="H29:H30"/>
    <mergeCell ref="J10:J11"/>
    <mergeCell ref="K10:K11"/>
    <mergeCell ref="H47:H48"/>
    <mergeCell ref="I47:I48"/>
    <mergeCell ref="J47:J48"/>
    <mergeCell ref="K47:K48"/>
    <mergeCell ref="B29:B30"/>
    <mergeCell ref="C29:C30"/>
    <mergeCell ref="D29:D30"/>
    <mergeCell ref="F29:F30"/>
    <mergeCell ref="I29:I30"/>
    <mergeCell ref="B10:B11"/>
    <mergeCell ref="C10:C11"/>
    <mergeCell ref="D10:D11"/>
    <mergeCell ref="F10:F11"/>
    <mergeCell ref="I10:I1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BEF7-0571-4EFA-826C-FA421AB6ADF2}">
  <dimension ref="A1:AY30"/>
  <sheetViews>
    <sheetView showGridLines="0" zoomScale="78" zoomScaleNormal="90" zoomScaleSheetLayoutView="45" workbookViewId="0">
      <pane xSplit="4" ySplit="11" topLeftCell="E12" activePane="bottomRight" state="frozen"/>
      <selection activeCell="BT14" sqref="BT14"/>
      <selection pane="topRight" activeCell="BT14" sqref="BT14"/>
      <selection pane="bottomLeft" activeCell="BT14" sqref="BT14"/>
      <selection pane="bottomRight" activeCell="S49" sqref="S49"/>
    </sheetView>
  </sheetViews>
  <sheetFormatPr defaultColWidth="8.83203125" defaultRowHeight="12.5" x14ac:dyDescent="0.4"/>
  <cols>
    <col min="1" max="1" width="4" style="98" customWidth="1"/>
    <col min="2" max="2" width="32.1640625" style="98" customWidth="1"/>
    <col min="3" max="3" width="20.4140625" style="98" customWidth="1"/>
    <col min="4" max="4" width="19.08203125" style="98" customWidth="1"/>
    <col min="5" max="5" width="18.6640625" style="98" customWidth="1"/>
    <col min="6" max="6" width="21" style="98" customWidth="1"/>
    <col min="7" max="7" width="14.58203125" style="98" customWidth="1"/>
    <col min="8" max="9" width="4.5" style="98" customWidth="1"/>
    <col min="10" max="11" width="5" style="98" customWidth="1"/>
    <col min="12" max="19" width="4.5" style="98" customWidth="1"/>
    <col min="20" max="20" width="4.83203125" style="98" customWidth="1"/>
    <col min="21" max="21" width="4.5" style="98" customWidth="1"/>
    <col min="22" max="23" width="4.5" style="98" hidden="1" customWidth="1"/>
    <col min="24" max="25" width="5" style="98" hidden="1" customWidth="1"/>
    <col min="26" max="33" width="4.5" style="98" hidden="1" customWidth="1"/>
    <col min="34" max="34" width="4.83203125" style="98" hidden="1" customWidth="1"/>
    <col min="35" max="36" width="4.5" style="98" hidden="1" customWidth="1"/>
    <col min="37" max="37" width="4.83203125" style="98" hidden="1" customWidth="1"/>
    <col min="38" max="38" width="4.5" style="98" hidden="1" customWidth="1"/>
    <col min="39" max="39" width="10.58203125" style="106" customWidth="1"/>
    <col min="40" max="44" width="14.1640625" style="98" customWidth="1"/>
    <col min="45" max="45" width="2.5" style="98" customWidth="1"/>
    <col min="46" max="46" width="6.9140625" style="108" customWidth="1"/>
    <col min="47" max="47" width="17.58203125" style="98" customWidth="1"/>
    <col min="48" max="48" width="2.1640625" style="98" customWidth="1"/>
    <col min="49" max="49" width="12.08203125" style="51" customWidth="1"/>
    <col min="50" max="50" width="8.83203125" style="98"/>
    <col min="51" max="51" width="11.9140625" style="98" bestFit="1" customWidth="1"/>
    <col min="52" max="16384" width="8.83203125" style="98"/>
  </cols>
  <sheetData>
    <row r="1" spans="1:51" x14ac:dyDescent="0.4">
      <c r="AR1" s="107"/>
    </row>
    <row r="2" spans="1:51" x14ac:dyDescent="0.4">
      <c r="AN2" s="34"/>
      <c r="AO2" s="34"/>
      <c r="AP2" s="34"/>
      <c r="AQ2" s="34"/>
      <c r="AR2" s="107"/>
    </row>
    <row r="3" spans="1:51" x14ac:dyDescent="0.4">
      <c r="A3" s="34"/>
      <c r="B3" s="36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7"/>
      <c r="AN3" s="109"/>
      <c r="AO3" s="109"/>
      <c r="AP3" s="109"/>
      <c r="AQ3" s="109"/>
      <c r="AR3" s="107"/>
      <c r="AS3" s="34"/>
    </row>
    <row r="4" spans="1:51" x14ac:dyDescent="0.4">
      <c r="A4" s="34"/>
      <c r="B4" s="36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7"/>
      <c r="AN4" s="109"/>
      <c r="AO4" s="109"/>
      <c r="AP4" s="109"/>
      <c r="AQ4" s="109"/>
      <c r="AR4" s="107"/>
      <c r="AS4" s="34"/>
    </row>
    <row r="5" spans="1:51" x14ac:dyDescent="0.4">
      <c r="A5" s="34"/>
      <c r="B5" s="91" t="s">
        <v>0</v>
      </c>
      <c r="C5" s="9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7"/>
      <c r="AN5" s="34"/>
      <c r="AO5" s="109"/>
      <c r="AP5" s="109"/>
      <c r="AQ5" s="109"/>
      <c r="AR5" s="107"/>
      <c r="AS5" s="34"/>
    </row>
    <row r="6" spans="1:51" x14ac:dyDescent="0.4">
      <c r="A6" s="34"/>
      <c r="B6" s="92" t="s">
        <v>155</v>
      </c>
      <c r="C6" s="9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37"/>
      <c r="AN6" s="34"/>
      <c r="AO6" s="109"/>
      <c r="AP6" s="109"/>
      <c r="AQ6" s="109"/>
      <c r="AR6" s="107"/>
      <c r="AS6" s="34"/>
    </row>
    <row r="7" spans="1:51" x14ac:dyDescent="0.4">
      <c r="A7" s="34"/>
      <c r="B7" s="110"/>
      <c r="C7" s="110"/>
      <c r="D7" s="25"/>
      <c r="E7" s="25"/>
      <c r="F7" s="25"/>
      <c r="G7" s="25"/>
      <c r="H7" s="25"/>
      <c r="I7" s="217"/>
      <c r="J7" s="217"/>
      <c r="K7" s="217"/>
      <c r="L7" s="217"/>
      <c r="M7" s="218"/>
      <c r="N7" s="201" t="s">
        <v>143</v>
      </c>
      <c r="O7" s="199"/>
      <c r="P7" s="199"/>
      <c r="Q7" s="199"/>
      <c r="R7" s="199"/>
      <c r="S7" s="199"/>
      <c r="T7" s="199"/>
      <c r="U7" s="25"/>
      <c r="V7" s="25"/>
      <c r="W7" s="25"/>
      <c r="X7" s="25"/>
      <c r="Y7" s="25"/>
      <c r="Z7" s="25"/>
      <c r="AA7" s="203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37"/>
      <c r="AN7" s="109"/>
      <c r="AO7" s="109"/>
      <c r="AP7" s="109"/>
      <c r="AQ7" s="109"/>
      <c r="AR7" s="107"/>
      <c r="AS7" s="34"/>
    </row>
    <row r="8" spans="1:51" ht="15.5" customHeight="1" x14ac:dyDescent="0.4">
      <c r="A8" s="34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7"/>
      <c r="AN8" s="96"/>
      <c r="AO8" s="96"/>
      <c r="AP8" s="96"/>
      <c r="AQ8" s="96"/>
      <c r="AR8" s="96"/>
      <c r="AS8" s="34"/>
    </row>
    <row r="9" spans="1:51" s="34" customFormat="1" ht="16" customHeight="1" x14ac:dyDescent="0.4">
      <c r="A9" s="28"/>
      <c r="B9" s="235" t="s">
        <v>2</v>
      </c>
      <c r="C9" s="235" t="s">
        <v>3</v>
      </c>
      <c r="D9" s="235" t="s">
        <v>52</v>
      </c>
      <c r="E9" s="237" t="s">
        <v>15</v>
      </c>
      <c r="F9" s="233" t="s">
        <v>135</v>
      </c>
      <c r="G9" s="238" t="s">
        <v>22</v>
      </c>
      <c r="H9" s="242" t="s">
        <v>133</v>
      </c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1" t="s">
        <v>4</v>
      </c>
      <c r="AN9" s="240" t="s">
        <v>5</v>
      </c>
      <c r="AO9" s="238" t="s">
        <v>6</v>
      </c>
      <c r="AP9" s="240" t="s">
        <v>7</v>
      </c>
      <c r="AQ9" s="240" t="s">
        <v>8</v>
      </c>
      <c r="AR9" s="240" t="s">
        <v>16</v>
      </c>
      <c r="AS9" s="28"/>
      <c r="AT9" s="235" t="s">
        <v>133</v>
      </c>
      <c r="AU9" s="235"/>
      <c r="AW9" s="51"/>
    </row>
    <row r="10" spans="1:51" s="34" customFormat="1" ht="16" customHeight="1" x14ac:dyDescent="0.4">
      <c r="A10" s="28"/>
      <c r="B10" s="235"/>
      <c r="C10" s="235"/>
      <c r="D10" s="235"/>
      <c r="E10" s="237"/>
      <c r="F10" s="234"/>
      <c r="G10" s="238"/>
      <c r="H10" s="8" t="s">
        <v>12</v>
      </c>
      <c r="I10" s="7" t="s">
        <v>9</v>
      </c>
      <c r="J10" s="7" t="s">
        <v>10</v>
      </c>
      <c r="K10" s="7" t="s">
        <v>11</v>
      </c>
      <c r="L10" s="7" t="s">
        <v>10</v>
      </c>
      <c r="M10" s="7" t="s">
        <v>1</v>
      </c>
      <c r="N10" s="8" t="s">
        <v>12</v>
      </c>
      <c r="O10" s="8" t="s">
        <v>12</v>
      </c>
      <c r="P10" s="7" t="s">
        <v>9</v>
      </c>
      <c r="Q10" s="7" t="s">
        <v>10</v>
      </c>
      <c r="R10" s="7" t="s">
        <v>11</v>
      </c>
      <c r="S10" s="7" t="s">
        <v>10</v>
      </c>
      <c r="T10" s="7" t="s">
        <v>1</v>
      </c>
      <c r="U10" s="8" t="s">
        <v>12</v>
      </c>
      <c r="V10" s="8" t="s">
        <v>12</v>
      </c>
      <c r="W10" s="7" t="s">
        <v>9</v>
      </c>
      <c r="X10" s="7" t="s">
        <v>10</v>
      </c>
      <c r="Y10" s="7" t="s">
        <v>11</v>
      </c>
      <c r="Z10" s="7" t="s">
        <v>10</v>
      </c>
      <c r="AA10" s="7" t="s">
        <v>1</v>
      </c>
      <c r="AB10" s="8" t="s">
        <v>12</v>
      </c>
      <c r="AC10" s="8" t="s">
        <v>12</v>
      </c>
      <c r="AD10" s="7" t="s">
        <v>9</v>
      </c>
      <c r="AE10" s="7" t="s">
        <v>10</v>
      </c>
      <c r="AF10" s="7" t="s">
        <v>11</v>
      </c>
      <c r="AG10" s="7" t="s">
        <v>10</v>
      </c>
      <c r="AH10" s="7" t="s">
        <v>1</v>
      </c>
      <c r="AI10" s="8" t="s">
        <v>12</v>
      </c>
      <c r="AJ10" s="8" t="s">
        <v>12</v>
      </c>
      <c r="AK10" s="7" t="s">
        <v>9</v>
      </c>
      <c r="AL10" s="7" t="s">
        <v>10</v>
      </c>
      <c r="AM10" s="241"/>
      <c r="AN10" s="240"/>
      <c r="AO10" s="238"/>
      <c r="AP10" s="240"/>
      <c r="AQ10" s="240"/>
      <c r="AR10" s="240"/>
      <c r="AS10" s="28"/>
      <c r="AT10" s="235"/>
      <c r="AU10" s="235"/>
      <c r="AW10" s="51"/>
    </row>
    <row r="11" spans="1:51" s="34" customFormat="1" ht="16" customHeight="1" x14ac:dyDescent="0.4">
      <c r="A11" s="28"/>
      <c r="B11" s="236"/>
      <c r="C11" s="236"/>
      <c r="D11" s="236"/>
      <c r="E11" s="233"/>
      <c r="F11" s="234"/>
      <c r="G11" s="239"/>
      <c r="H11" s="56">
        <v>1</v>
      </c>
      <c r="I11" s="29">
        <f t="shared" ref="I11:U11" si="0">H11+1</f>
        <v>2</v>
      </c>
      <c r="J11" s="29">
        <f t="shared" si="0"/>
        <v>3</v>
      </c>
      <c r="K11" s="29">
        <f t="shared" si="0"/>
        <v>4</v>
      </c>
      <c r="L11" s="29">
        <f t="shared" si="0"/>
        <v>5</v>
      </c>
      <c r="M11" s="29">
        <f t="shared" si="0"/>
        <v>6</v>
      </c>
      <c r="N11" s="56">
        <f t="shared" si="0"/>
        <v>7</v>
      </c>
      <c r="O11" s="56">
        <f t="shared" si="0"/>
        <v>8</v>
      </c>
      <c r="P11" s="29">
        <f t="shared" si="0"/>
        <v>9</v>
      </c>
      <c r="Q11" s="29">
        <f t="shared" si="0"/>
        <v>10</v>
      </c>
      <c r="R11" s="29">
        <f t="shared" si="0"/>
        <v>11</v>
      </c>
      <c r="S11" s="29">
        <f t="shared" si="0"/>
        <v>12</v>
      </c>
      <c r="T11" s="29">
        <f t="shared" si="0"/>
        <v>13</v>
      </c>
      <c r="U11" s="56">
        <f t="shared" si="0"/>
        <v>14</v>
      </c>
      <c r="V11" s="56">
        <v>15</v>
      </c>
      <c r="W11" s="29">
        <f t="shared" ref="W11:AL11" si="1">V11+1</f>
        <v>16</v>
      </c>
      <c r="X11" s="29">
        <f t="shared" si="1"/>
        <v>17</v>
      </c>
      <c r="Y11" s="29">
        <f t="shared" si="1"/>
        <v>18</v>
      </c>
      <c r="Z11" s="29">
        <f t="shared" si="1"/>
        <v>19</v>
      </c>
      <c r="AA11" s="29">
        <f t="shared" si="1"/>
        <v>20</v>
      </c>
      <c r="AB11" s="56">
        <f t="shared" si="1"/>
        <v>21</v>
      </c>
      <c r="AC11" s="56">
        <f t="shared" si="1"/>
        <v>22</v>
      </c>
      <c r="AD11" s="29">
        <f t="shared" si="1"/>
        <v>23</v>
      </c>
      <c r="AE11" s="29">
        <f t="shared" si="1"/>
        <v>24</v>
      </c>
      <c r="AF11" s="29">
        <f t="shared" si="1"/>
        <v>25</v>
      </c>
      <c r="AG11" s="29">
        <f t="shared" si="1"/>
        <v>26</v>
      </c>
      <c r="AH11" s="29">
        <f t="shared" si="1"/>
        <v>27</v>
      </c>
      <c r="AI11" s="56">
        <f t="shared" si="1"/>
        <v>28</v>
      </c>
      <c r="AJ11" s="56">
        <f t="shared" si="1"/>
        <v>29</v>
      </c>
      <c r="AK11" s="29">
        <f t="shared" si="1"/>
        <v>30</v>
      </c>
      <c r="AL11" s="29">
        <f t="shared" si="1"/>
        <v>31</v>
      </c>
      <c r="AM11" s="241"/>
      <c r="AN11" s="240"/>
      <c r="AO11" s="238"/>
      <c r="AP11" s="240"/>
      <c r="AQ11" s="240"/>
      <c r="AR11" s="240"/>
      <c r="AS11" s="28"/>
      <c r="AT11" s="59" t="s">
        <v>4</v>
      </c>
      <c r="AU11" s="7" t="s">
        <v>53</v>
      </c>
      <c r="AW11" s="51"/>
    </row>
    <row r="12" spans="1:51" s="127" customFormat="1" ht="16" customHeight="1" x14ac:dyDescent="0.4">
      <c r="A12" s="126"/>
      <c r="B12" s="129"/>
      <c r="C12" s="129"/>
      <c r="D12" s="129"/>
      <c r="E12" s="130"/>
      <c r="F12" s="130"/>
      <c r="G12" s="131"/>
      <c r="H12" s="39"/>
      <c r="I12" s="132"/>
      <c r="J12" s="132"/>
      <c r="K12" s="132"/>
      <c r="L12" s="132"/>
      <c r="M12" s="132"/>
      <c r="N12" s="39"/>
      <c r="O12" s="39"/>
      <c r="P12" s="132"/>
      <c r="Q12" s="132"/>
      <c r="R12" s="132"/>
      <c r="S12" s="132"/>
      <c r="T12" s="132"/>
      <c r="U12" s="39"/>
      <c r="V12" s="39"/>
      <c r="W12" s="132"/>
      <c r="X12" s="132"/>
      <c r="Y12" s="132"/>
      <c r="Z12" s="132"/>
      <c r="AA12" s="132"/>
      <c r="AB12" s="39"/>
      <c r="AC12" s="39"/>
      <c r="AD12" s="132"/>
      <c r="AE12" s="132"/>
      <c r="AF12" s="132"/>
      <c r="AG12" s="132"/>
      <c r="AH12" s="132"/>
      <c r="AI12" s="39"/>
      <c r="AJ12" s="132"/>
      <c r="AK12" s="132"/>
      <c r="AL12" s="132"/>
      <c r="AM12" s="133"/>
      <c r="AN12" s="134"/>
      <c r="AO12" s="135"/>
      <c r="AP12" s="134"/>
      <c r="AQ12" s="134"/>
      <c r="AR12" s="134"/>
      <c r="AS12" s="126"/>
      <c r="AT12" s="136"/>
      <c r="AU12" s="137"/>
      <c r="AW12" s="128"/>
    </row>
    <row r="13" spans="1:51" ht="16" customHeight="1" x14ac:dyDescent="0.4">
      <c r="A13" s="34"/>
      <c r="B13" s="44" t="s">
        <v>132</v>
      </c>
      <c r="C13" s="40" t="s">
        <v>25</v>
      </c>
      <c r="D13" s="40" t="s">
        <v>21</v>
      </c>
      <c r="E13" s="43" t="s">
        <v>26</v>
      </c>
      <c r="F13" s="138" t="s">
        <v>134</v>
      </c>
      <c r="G13" s="32" t="s">
        <v>14</v>
      </c>
      <c r="H13" s="39"/>
      <c r="I13" s="12"/>
      <c r="J13" s="38"/>
      <c r="K13" s="38"/>
      <c r="L13" s="38"/>
      <c r="M13" s="38"/>
      <c r="N13" s="39">
        <v>5</v>
      </c>
      <c r="O13" s="39">
        <v>5</v>
      </c>
      <c r="P13" s="38">
        <v>5</v>
      </c>
      <c r="Q13" s="132">
        <v>5</v>
      </c>
      <c r="R13" s="132">
        <v>5</v>
      </c>
      <c r="S13" s="132">
        <v>5</v>
      </c>
      <c r="T13" s="132">
        <v>5</v>
      </c>
      <c r="U13" s="39"/>
      <c r="V13" s="39"/>
      <c r="W13" s="132"/>
      <c r="X13" s="132"/>
      <c r="Y13" s="132"/>
      <c r="Z13" s="132"/>
      <c r="AA13" s="132"/>
      <c r="AB13" s="39"/>
      <c r="AC13" s="39"/>
      <c r="AD13" s="132"/>
      <c r="AE13" s="132"/>
      <c r="AF13" s="132"/>
      <c r="AG13" s="132"/>
      <c r="AH13" s="132"/>
      <c r="AI13" s="39"/>
      <c r="AJ13" s="132"/>
      <c r="AK13" s="132"/>
      <c r="AL13" s="132"/>
      <c r="AM13" s="53">
        <f>SUM(H13:AL13)</f>
        <v>35</v>
      </c>
      <c r="AN13" s="20">
        <v>1863</v>
      </c>
      <c r="AO13" s="41">
        <v>0.55000000000000004</v>
      </c>
      <c r="AP13" s="20">
        <f>AN13*(1-AO13)</f>
        <v>838.34999999999991</v>
      </c>
      <c r="AQ13" s="20">
        <f>AP13*AM13</f>
        <v>29342.249999999996</v>
      </c>
      <c r="AR13" s="20">
        <f>AQ13*0.8</f>
        <v>23473.8</v>
      </c>
      <c r="AS13" s="28"/>
      <c r="AT13" s="99">
        <f>SUM(H13:AL13
)</f>
        <v>35</v>
      </c>
      <c r="AU13" s="42">
        <f>AT13*AP13*0.8</f>
        <v>23473.8</v>
      </c>
      <c r="AY13" s="118"/>
    </row>
    <row r="14" spans="1:51" ht="16" customHeight="1" x14ac:dyDescent="0.4">
      <c r="A14" s="28"/>
      <c r="B14" s="47"/>
      <c r="C14" s="111"/>
      <c r="D14" s="111"/>
      <c r="E14" s="43"/>
      <c r="F14" s="58"/>
      <c r="G14" s="32"/>
      <c r="H14" s="39"/>
      <c r="I14" s="38"/>
      <c r="J14" s="38"/>
      <c r="K14" s="38"/>
      <c r="L14" s="38"/>
      <c r="M14" s="38"/>
      <c r="N14" s="39"/>
      <c r="O14" s="39"/>
      <c r="P14" s="38"/>
      <c r="Q14" s="132"/>
      <c r="R14" s="132"/>
      <c r="S14" s="132"/>
      <c r="T14" s="132"/>
      <c r="U14" s="39"/>
      <c r="V14" s="39"/>
      <c r="W14" s="132"/>
      <c r="X14" s="132"/>
      <c r="Y14" s="132"/>
      <c r="Z14" s="132"/>
      <c r="AA14" s="132"/>
      <c r="AB14" s="39"/>
      <c r="AC14" s="39"/>
      <c r="AD14" s="132"/>
      <c r="AE14" s="132"/>
      <c r="AF14" s="132"/>
      <c r="AG14" s="132"/>
      <c r="AH14" s="132"/>
      <c r="AI14" s="39"/>
      <c r="AJ14" s="132"/>
      <c r="AK14" s="132"/>
      <c r="AL14" s="132"/>
      <c r="AM14" s="52"/>
      <c r="AN14" s="45"/>
      <c r="AO14" s="54"/>
      <c r="AP14" s="45"/>
      <c r="AQ14" s="45"/>
      <c r="AR14" s="45"/>
      <c r="AS14" s="28"/>
      <c r="AT14" s="103">
        <f>SUM(AT13:AT13)</f>
        <v>35</v>
      </c>
      <c r="AU14" s="104">
        <f>SUM(AU13:AU13)</f>
        <v>23473.8</v>
      </c>
    </row>
    <row r="15" spans="1:51" ht="16" customHeight="1" x14ac:dyDescent="0.4">
      <c r="A15" s="28"/>
      <c r="B15" s="129"/>
      <c r="C15" s="129"/>
      <c r="D15" s="129"/>
      <c r="E15" s="130"/>
      <c r="F15" s="130"/>
      <c r="G15" s="131"/>
      <c r="H15" s="39"/>
      <c r="I15" s="132"/>
      <c r="J15" s="132"/>
      <c r="K15" s="132"/>
      <c r="L15" s="132"/>
      <c r="M15" s="132"/>
      <c r="N15" s="39"/>
      <c r="O15" s="39"/>
      <c r="P15" s="132"/>
      <c r="Q15" s="132"/>
      <c r="R15" s="132"/>
      <c r="S15" s="132"/>
      <c r="T15" s="132"/>
      <c r="U15" s="39"/>
      <c r="V15" s="39"/>
      <c r="W15" s="132"/>
      <c r="X15" s="132"/>
      <c r="Y15" s="132"/>
      <c r="Z15" s="132"/>
      <c r="AA15" s="132"/>
      <c r="AB15" s="39"/>
      <c r="AC15" s="39"/>
      <c r="AD15" s="132"/>
      <c r="AE15" s="132"/>
      <c r="AF15" s="132"/>
      <c r="AG15" s="132"/>
      <c r="AH15" s="132"/>
      <c r="AI15" s="39"/>
      <c r="AJ15" s="132"/>
      <c r="AK15" s="132"/>
      <c r="AL15" s="132"/>
      <c r="AM15" s="133"/>
      <c r="AN15" s="134"/>
      <c r="AO15" s="135"/>
      <c r="AP15" s="134"/>
      <c r="AQ15" s="134"/>
      <c r="AR15" s="134"/>
      <c r="AS15" s="126"/>
      <c r="AT15" s="136"/>
      <c r="AU15" s="137"/>
    </row>
    <row r="16" spans="1:51" ht="17.399999999999999" customHeight="1" x14ac:dyDescent="0.4">
      <c r="A16" s="28"/>
      <c r="B16" s="44"/>
      <c r="C16" s="40" t="s">
        <v>24</v>
      </c>
      <c r="D16" s="40" t="s">
        <v>21</v>
      </c>
      <c r="E16" s="43" t="s">
        <v>26</v>
      </c>
      <c r="F16" s="138" t="s">
        <v>134</v>
      </c>
      <c r="G16" s="32" t="s">
        <v>14</v>
      </c>
      <c r="H16" s="39"/>
      <c r="I16" s="12"/>
      <c r="J16" s="38"/>
      <c r="K16" s="38"/>
      <c r="L16" s="38"/>
      <c r="M16" s="38"/>
      <c r="N16" s="39">
        <v>5</v>
      </c>
      <c r="O16" s="39">
        <v>5</v>
      </c>
      <c r="P16" s="38">
        <v>5</v>
      </c>
      <c r="Q16" s="132">
        <v>5</v>
      </c>
      <c r="R16" s="132">
        <v>5</v>
      </c>
      <c r="S16" s="132">
        <v>5</v>
      </c>
      <c r="T16" s="132">
        <v>5</v>
      </c>
      <c r="U16" s="39"/>
      <c r="V16" s="39"/>
      <c r="W16" s="132"/>
      <c r="X16" s="132"/>
      <c r="Y16" s="132"/>
      <c r="Z16" s="132"/>
      <c r="AA16" s="132"/>
      <c r="AB16" s="39"/>
      <c r="AC16" s="39"/>
      <c r="AD16" s="132"/>
      <c r="AE16" s="132"/>
      <c r="AF16" s="132"/>
      <c r="AG16" s="132"/>
      <c r="AH16" s="132"/>
      <c r="AI16" s="39"/>
      <c r="AJ16" s="132"/>
      <c r="AK16" s="132"/>
      <c r="AL16" s="132"/>
      <c r="AM16" s="53">
        <f>SUM(H16:AL16)</f>
        <v>35</v>
      </c>
      <c r="AN16" s="20">
        <v>1568</v>
      </c>
      <c r="AO16" s="41">
        <v>0.55000000000000004</v>
      </c>
      <c r="AP16" s="20">
        <f>AN16*(1-AO16)</f>
        <v>705.59999999999991</v>
      </c>
      <c r="AQ16" s="20">
        <f>AP16*AM16</f>
        <v>24695.999999999996</v>
      </c>
      <c r="AR16" s="20">
        <f>AQ16*0.8</f>
        <v>19756.8</v>
      </c>
      <c r="AS16" s="28"/>
      <c r="AT16" s="99">
        <f>SUM(H16:AL16
)</f>
        <v>35</v>
      </c>
      <c r="AU16" s="42">
        <f>AT16*AP16*0.8</f>
        <v>19756.8</v>
      </c>
    </row>
    <row r="17" spans="1:49" ht="16" customHeight="1" x14ac:dyDescent="0.4">
      <c r="A17" s="28"/>
      <c r="B17" s="44"/>
      <c r="C17" s="111"/>
      <c r="D17" s="111"/>
      <c r="E17" s="43"/>
      <c r="F17" s="58"/>
      <c r="G17" s="32"/>
      <c r="H17" s="39"/>
      <c r="I17" s="38"/>
      <c r="J17" s="38"/>
      <c r="K17" s="38"/>
      <c r="L17" s="38"/>
      <c r="M17" s="38"/>
      <c r="N17" s="39"/>
      <c r="O17" s="39"/>
      <c r="P17" s="38"/>
      <c r="Q17" s="132"/>
      <c r="R17" s="132"/>
      <c r="S17" s="132"/>
      <c r="T17" s="132"/>
      <c r="U17" s="39"/>
      <c r="V17" s="39"/>
      <c r="W17" s="132"/>
      <c r="X17" s="132"/>
      <c r="Y17" s="132"/>
      <c r="Z17" s="132"/>
      <c r="AA17" s="132"/>
      <c r="AB17" s="39"/>
      <c r="AC17" s="39"/>
      <c r="AD17" s="132"/>
      <c r="AE17" s="132"/>
      <c r="AF17" s="132"/>
      <c r="AG17" s="132"/>
      <c r="AH17" s="132"/>
      <c r="AI17" s="39"/>
      <c r="AJ17" s="132"/>
      <c r="AK17" s="132"/>
      <c r="AL17" s="132"/>
      <c r="AM17" s="52"/>
      <c r="AN17" s="45"/>
      <c r="AO17" s="54"/>
      <c r="AP17" s="45"/>
      <c r="AQ17" s="45"/>
      <c r="AR17" s="45"/>
      <c r="AS17" s="28"/>
      <c r="AT17" s="103">
        <f>SUM(AT16:AT16)</f>
        <v>35</v>
      </c>
      <c r="AU17" s="104">
        <f>SUM(AU16:AU16)</f>
        <v>19756.8</v>
      </c>
    </row>
    <row r="18" spans="1:49" ht="16" customHeight="1" x14ac:dyDescent="0.4">
      <c r="A18" s="28"/>
      <c r="B18" s="44"/>
      <c r="C18" s="43"/>
      <c r="D18" s="129"/>
      <c r="E18" s="130"/>
      <c r="F18" s="130"/>
      <c r="G18" s="131"/>
      <c r="H18" s="39"/>
      <c r="I18" s="132"/>
      <c r="J18" s="132"/>
      <c r="K18" s="132"/>
      <c r="L18" s="132"/>
      <c r="M18" s="132"/>
      <c r="N18" s="39"/>
      <c r="O18" s="39"/>
      <c r="P18" s="132"/>
      <c r="Q18" s="132"/>
      <c r="R18" s="132"/>
      <c r="S18" s="132"/>
      <c r="T18" s="132"/>
      <c r="U18" s="39"/>
      <c r="V18" s="39"/>
      <c r="W18" s="132"/>
      <c r="X18" s="132"/>
      <c r="Y18" s="132"/>
      <c r="Z18" s="132"/>
      <c r="AA18" s="132"/>
      <c r="AB18" s="39"/>
      <c r="AC18" s="39"/>
      <c r="AD18" s="132"/>
      <c r="AE18" s="132"/>
      <c r="AF18" s="132"/>
      <c r="AG18" s="132"/>
      <c r="AH18" s="132"/>
      <c r="AI18" s="39"/>
      <c r="AJ18" s="132"/>
      <c r="AK18" s="132"/>
      <c r="AL18" s="132"/>
      <c r="AM18" s="133"/>
      <c r="AN18" s="134"/>
      <c r="AO18" s="135"/>
      <c r="AP18" s="134"/>
      <c r="AQ18" s="134"/>
      <c r="AR18" s="134"/>
      <c r="AS18" s="126"/>
      <c r="AT18" s="136"/>
      <c r="AU18" s="137"/>
    </row>
    <row r="19" spans="1:49" ht="16" customHeight="1" x14ac:dyDescent="0.4">
      <c r="A19" s="28"/>
      <c r="B19" s="44"/>
      <c r="C19" s="40" t="s">
        <v>54</v>
      </c>
      <c r="D19" s="40" t="s">
        <v>21</v>
      </c>
      <c r="E19" s="43" t="s">
        <v>26</v>
      </c>
      <c r="F19" s="138" t="s">
        <v>134</v>
      </c>
      <c r="G19" s="32" t="s">
        <v>14</v>
      </c>
      <c r="H19" s="39"/>
      <c r="I19" s="12"/>
      <c r="J19" s="38"/>
      <c r="K19" s="38"/>
      <c r="L19" s="38"/>
      <c r="M19" s="38"/>
      <c r="N19" s="39">
        <v>5</v>
      </c>
      <c r="O19" s="39">
        <v>5</v>
      </c>
      <c r="P19" s="38">
        <v>5</v>
      </c>
      <c r="Q19" s="132">
        <v>5</v>
      </c>
      <c r="R19" s="132">
        <v>5</v>
      </c>
      <c r="S19" s="132">
        <v>5</v>
      </c>
      <c r="T19" s="132">
        <v>5</v>
      </c>
      <c r="U19" s="39"/>
      <c r="V19" s="39"/>
      <c r="W19" s="132"/>
      <c r="X19" s="132"/>
      <c r="Y19" s="132"/>
      <c r="Z19" s="132"/>
      <c r="AA19" s="132"/>
      <c r="AB19" s="39"/>
      <c r="AC19" s="39"/>
      <c r="AD19" s="132"/>
      <c r="AE19" s="132"/>
      <c r="AF19" s="132"/>
      <c r="AG19" s="132"/>
      <c r="AH19" s="132"/>
      <c r="AI19" s="39"/>
      <c r="AJ19" s="132"/>
      <c r="AK19" s="132"/>
      <c r="AL19" s="132"/>
      <c r="AM19" s="53">
        <f>SUM(H19:AL19)</f>
        <v>35</v>
      </c>
      <c r="AN19" s="20">
        <v>1676</v>
      </c>
      <c r="AO19" s="41">
        <v>0.55000000000000004</v>
      </c>
      <c r="AP19" s="20">
        <f>AN19*(1-AO19)</f>
        <v>754.19999999999993</v>
      </c>
      <c r="AQ19" s="20">
        <f>AP19*AM19</f>
        <v>26396.999999999996</v>
      </c>
      <c r="AR19" s="20">
        <f>AQ19*0.8</f>
        <v>21117.599999999999</v>
      </c>
      <c r="AS19" s="28"/>
      <c r="AT19" s="99">
        <f>SUM(H19:AL19
)</f>
        <v>35</v>
      </c>
      <c r="AU19" s="42">
        <f>AT19*AP19*0.8</f>
        <v>21117.599999999999</v>
      </c>
    </row>
    <row r="20" spans="1:49" ht="16" customHeight="1" x14ac:dyDescent="0.4">
      <c r="A20" s="28"/>
      <c r="B20" s="44"/>
      <c r="C20" s="111"/>
      <c r="D20" s="111"/>
      <c r="E20" s="43"/>
      <c r="F20" s="58"/>
      <c r="G20" s="32"/>
      <c r="H20" s="39"/>
      <c r="I20" s="38"/>
      <c r="J20" s="38"/>
      <c r="K20" s="38"/>
      <c r="L20" s="38"/>
      <c r="M20" s="38"/>
      <c r="N20" s="39"/>
      <c r="O20" s="39"/>
      <c r="P20" s="38"/>
      <c r="Q20" s="132"/>
      <c r="R20" s="132"/>
      <c r="S20" s="132"/>
      <c r="T20" s="132"/>
      <c r="U20" s="39"/>
      <c r="V20" s="39"/>
      <c r="W20" s="132"/>
      <c r="X20" s="132"/>
      <c r="Y20" s="132"/>
      <c r="Z20" s="132"/>
      <c r="AA20" s="132"/>
      <c r="AB20" s="39"/>
      <c r="AC20" s="39"/>
      <c r="AD20" s="132"/>
      <c r="AE20" s="132"/>
      <c r="AF20" s="132"/>
      <c r="AG20" s="132"/>
      <c r="AH20" s="132"/>
      <c r="AI20" s="39"/>
      <c r="AJ20" s="132"/>
      <c r="AK20" s="132"/>
      <c r="AL20" s="132"/>
      <c r="AM20" s="52"/>
      <c r="AN20" s="45"/>
      <c r="AO20" s="54"/>
      <c r="AP20" s="45"/>
      <c r="AQ20" s="45"/>
      <c r="AR20" s="45"/>
      <c r="AS20" s="28"/>
      <c r="AT20" s="103">
        <f>SUM(AT19:AT19)</f>
        <v>35</v>
      </c>
      <c r="AU20" s="104">
        <f>SUM(AU19:AU19)</f>
        <v>21117.599999999999</v>
      </c>
    </row>
    <row r="21" spans="1:49" ht="16" customHeight="1" x14ac:dyDescent="0.4">
      <c r="A21" s="28"/>
      <c r="B21" s="44"/>
      <c r="C21" s="43"/>
      <c r="D21" s="129"/>
      <c r="E21" s="130"/>
      <c r="F21" s="130"/>
      <c r="G21" s="131"/>
      <c r="H21" s="39"/>
      <c r="I21" s="132"/>
      <c r="J21" s="132"/>
      <c r="K21" s="132"/>
      <c r="L21" s="132"/>
      <c r="M21" s="132"/>
      <c r="N21" s="39"/>
      <c r="O21" s="39"/>
      <c r="P21" s="132"/>
      <c r="Q21" s="132"/>
      <c r="R21" s="132"/>
      <c r="S21" s="132"/>
      <c r="T21" s="132"/>
      <c r="U21" s="39"/>
      <c r="V21" s="39"/>
      <c r="W21" s="132"/>
      <c r="X21" s="132"/>
      <c r="Y21" s="132"/>
      <c r="Z21" s="132"/>
      <c r="AA21" s="132"/>
      <c r="AB21" s="39"/>
      <c r="AC21" s="39"/>
      <c r="AD21" s="132"/>
      <c r="AE21" s="132"/>
      <c r="AF21" s="132"/>
      <c r="AG21" s="132"/>
      <c r="AH21" s="132"/>
      <c r="AI21" s="39"/>
      <c r="AJ21" s="132"/>
      <c r="AK21" s="132"/>
      <c r="AL21" s="132"/>
      <c r="AM21" s="133"/>
      <c r="AN21" s="134"/>
      <c r="AO21" s="135"/>
      <c r="AP21" s="134"/>
      <c r="AQ21" s="134"/>
      <c r="AR21" s="134"/>
      <c r="AS21" s="126"/>
      <c r="AT21" s="136"/>
      <c r="AU21" s="137"/>
    </row>
    <row r="22" spans="1:49" ht="16" customHeight="1" x14ac:dyDescent="0.4">
      <c r="A22" s="28"/>
      <c r="B22" s="44"/>
      <c r="C22" s="40" t="s">
        <v>20</v>
      </c>
      <c r="D22" s="40" t="s">
        <v>21</v>
      </c>
      <c r="E22" s="43" t="s">
        <v>26</v>
      </c>
      <c r="F22" s="138" t="s">
        <v>134</v>
      </c>
      <c r="G22" s="32" t="s">
        <v>14</v>
      </c>
      <c r="H22" s="39"/>
      <c r="I22" s="12"/>
      <c r="J22" s="38"/>
      <c r="K22" s="38"/>
      <c r="L22" s="38"/>
      <c r="M22" s="38"/>
      <c r="N22" s="39">
        <v>5</v>
      </c>
      <c r="O22" s="39">
        <v>5</v>
      </c>
      <c r="P22" s="38">
        <v>5</v>
      </c>
      <c r="Q22" s="132">
        <v>5</v>
      </c>
      <c r="R22" s="132">
        <v>5</v>
      </c>
      <c r="S22" s="132">
        <v>5</v>
      </c>
      <c r="T22" s="132">
        <v>5</v>
      </c>
      <c r="U22" s="39"/>
      <c r="V22" s="39"/>
      <c r="W22" s="132"/>
      <c r="X22" s="132"/>
      <c r="Y22" s="132"/>
      <c r="Z22" s="132"/>
      <c r="AA22" s="132"/>
      <c r="AB22" s="39"/>
      <c r="AC22" s="39"/>
      <c r="AD22" s="132"/>
      <c r="AE22" s="132"/>
      <c r="AF22" s="132"/>
      <c r="AG22" s="132"/>
      <c r="AH22" s="132"/>
      <c r="AI22" s="39"/>
      <c r="AJ22" s="132"/>
      <c r="AK22" s="132"/>
      <c r="AL22" s="132"/>
      <c r="AM22" s="53">
        <f>SUM(H22:AL22)</f>
        <v>35</v>
      </c>
      <c r="AN22" s="20">
        <v>585</v>
      </c>
      <c r="AO22" s="41">
        <v>0.5</v>
      </c>
      <c r="AP22" s="20">
        <f>AN22*(1-AO22)</f>
        <v>292.5</v>
      </c>
      <c r="AQ22" s="20">
        <f>AP22*AM22</f>
        <v>10237.5</v>
      </c>
      <c r="AR22" s="20">
        <f>AQ22*0.8</f>
        <v>8190</v>
      </c>
      <c r="AS22" s="28"/>
      <c r="AT22" s="99">
        <f>SUM(H22:AL22
)</f>
        <v>35</v>
      </c>
      <c r="AU22" s="42">
        <f>AT22*AP22*0.8</f>
        <v>8190</v>
      </c>
    </row>
    <row r="23" spans="1:49" ht="16" customHeight="1" x14ac:dyDescent="0.4">
      <c r="A23" s="28"/>
      <c r="B23" s="44"/>
      <c r="C23" s="111"/>
      <c r="D23" s="111"/>
      <c r="E23" s="43"/>
      <c r="F23" s="58"/>
      <c r="G23" s="32"/>
      <c r="H23" s="39"/>
      <c r="I23" s="38"/>
      <c r="J23" s="38"/>
      <c r="K23" s="38"/>
      <c r="L23" s="38"/>
      <c r="M23" s="38"/>
      <c r="N23" s="39"/>
      <c r="O23" s="39"/>
      <c r="P23" s="38"/>
      <c r="Q23" s="132"/>
      <c r="R23" s="132"/>
      <c r="S23" s="132"/>
      <c r="T23" s="132"/>
      <c r="U23" s="39"/>
      <c r="V23" s="39"/>
      <c r="W23" s="132"/>
      <c r="X23" s="132"/>
      <c r="Y23" s="132"/>
      <c r="Z23" s="132"/>
      <c r="AA23" s="132"/>
      <c r="AB23" s="39"/>
      <c r="AC23" s="39"/>
      <c r="AD23" s="132"/>
      <c r="AE23" s="132"/>
      <c r="AF23" s="132"/>
      <c r="AG23" s="132"/>
      <c r="AH23" s="132"/>
      <c r="AI23" s="39"/>
      <c r="AJ23" s="132"/>
      <c r="AK23" s="132"/>
      <c r="AL23" s="132"/>
      <c r="AM23" s="52"/>
      <c r="AN23" s="45"/>
      <c r="AO23" s="54"/>
      <c r="AP23" s="45"/>
      <c r="AQ23" s="45"/>
      <c r="AR23" s="45"/>
      <c r="AS23" s="28"/>
      <c r="AT23" s="103">
        <f>SUM(AT22:AT22)</f>
        <v>35</v>
      </c>
      <c r="AU23" s="104">
        <f>SUM(AU22:AU22)</f>
        <v>8190</v>
      </c>
    </row>
    <row r="24" spans="1:49" x14ac:dyDescent="0.4">
      <c r="A24" s="28"/>
      <c r="B24" s="22" t="s">
        <v>154</v>
      </c>
      <c r="C24" s="22"/>
      <c r="D24" s="48"/>
      <c r="E24" s="48"/>
      <c r="F24" s="48"/>
      <c r="G24" s="48"/>
      <c r="H24" s="100">
        <f>SUM(H12:H23)</f>
        <v>0</v>
      </c>
      <c r="I24" s="100">
        <f t="shared" ref="I24:AL24" si="2">SUM(I12:I23)</f>
        <v>0</v>
      </c>
      <c r="J24" s="100">
        <f t="shared" si="2"/>
        <v>0</v>
      </c>
      <c r="K24" s="100">
        <f t="shared" si="2"/>
        <v>0</v>
      </c>
      <c r="L24" s="100">
        <f t="shared" si="2"/>
        <v>0</v>
      </c>
      <c r="M24" s="100">
        <f t="shared" si="2"/>
        <v>0</v>
      </c>
      <c r="N24" s="100">
        <f t="shared" si="2"/>
        <v>20</v>
      </c>
      <c r="O24" s="100">
        <f t="shared" si="2"/>
        <v>20</v>
      </c>
      <c r="P24" s="100">
        <f t="shared" si="2"/>
        <v>20</v>
      </c>
      <c r="Q24" s="100">
        <f t="shared" si="2"/>
        <v>20</v>
      </c>
      <c r="R24" s="100">
        <f t="shared" si="2"/>
        <v>20</v>
      </c>
      <c r="S24" s="100">
        <f t="shared" si="2"/>
        <v>20</v>
      </c>
      <c r="T24" s="100">
        <f t="shared" si="2"/>
        <v>20</v>
      </c>
      <c r="U24" s="100">
        <f t="shared" si="2"/>
        <v>0</v>
      </c>
      <c r="V24" s="100">
        <f t="shared" si="2"/>
        <v>0</v>
      </c>
      <c r="W24" s="100">
        <f t="shared" si="2"/>
        <v>0</v>
      </c>
      <c r="X24" s="100">
        <f t="shared" si="2"/>
        <v>0</v>
      </c>
      <c r="Y24" s="100">
        <f t="shared" si="2"/>
        <v>0</v>
      </c>
      <c r="Z24" s="100">
        <f t="shared" si="2"/>
        <v>0</v>
      </c>
      <c r="AA24" s="100">
        <f t="shared" si="2"/>
        <v>0</v>
      </c>
      <c r="AB24" s="100">
        <f t="shared" si="2"/>
        <v>0</v>
      </c>
      <c r="AC24" s="100">
        <f t="shared" si="2"/>
        <v>0</v>
      </c>
      <c r="AD24" s="100">
        <f t="shared" si="2"/>
        <v>0</v>
      </c>
      <c r="AE24" s="100">
        <f t="shared" si="2"/>
        <v>0</v>
      </c>
      <c r="AF24" s="100">
        <f t="shared" si="2"/>
        <v>0</v>
      </c>
      <c r="AG24" s="100">
        <f t="shared" si="2"/>
        <v>0</v>
      </c>
      <c r="AH24" s="100">
        <f t="shared" si="2"/>
        <v>0</v>
      </c>
      <c r="AI24" s="100">
        <f t="shared" si="2"/>
        <v>0</v>
      </c>
      <c r="AJ24" s="100">
        <f t="shared" si="2"/>
        <v>0</v>
      </c>
      <c r="AK24" s="100">
        <f t="shared" si="2"/>
        <v>0</v>
      </c>
      <c r="AL24" s="100">
        <f t="shared" si="2"/>
        <v>0</v>
      </c>
      <c r="AM24" s="49">
        <f>SUM(AM13:AM23)</f>
        <v>140</v>
      </c>
      <c r="AN24" s="50"/>
      <c r="AO24" s="50"/>
      <c r="AP24" s="50"/>
      <c r="AQ24" s="50">
        <f>SUM(AQ13:AQ23)</f>
        <v>90672.749999999985</v>
      </c>
      <c r="AR24" s="50">
        <f>SUM(AR13:AR23)</f>
        <v>72538.2</v>
      </c>
      <c r="AS24" s="34"/>
      <c r="AT24" s="101">
        <f>SUM(AT14,AT17,AT20,AT23)</f>
        <v>140</v>
      </c>
      <c r="AU24" s="105">
        <f>SUM(AU14,AU17,AU20,AU23)</f>
        <v>72538.2</v>
      </c>
      <c r="AW24" s="51" t="b">
        <f>AU24=AR24</f>
        <v>1</v>
      </c>
    </row>
    <row r="25" spans="1:49" ht="16" customHeight="1" x14ac:dyDescent="0.4">
      <c r="E25" s="32"/>
      <c r="AM25" s="98"/>
      <c r="AO25" s="112"/>
      <c r="AQ25" s="113"/>
      <c r="AR25" s="113"/>
      <c r="AW25" s="98"/>
    </row>
    <row r="26" spans="1:49" x14ac:dyDescent="0.4">
      <c r="AM26" s="98"/>
      <c r="AN26" s="139"/>
      <c r="AR26" s="114"/>
      <c r="AW26" s="98"/>
    </row>
    <row r="27" spans="1:49" x14ac:dyDescent="0.4">
      <c r="AM27" s="98"/>
      <c r="AR27" s="114"/>
      <c r="AW27" s="98"/>
    </row>
    <row r="28" spans="1:49" x14ac:dyDescent="0.4">
      <c r="AM28" s="139"/>
      <c r="AR28" s="113"/>
      <c r="AW28" s="98"/>
    </row>
    <row r="29" spans="1:49" x14ac:dyDescent="0.4">
      <c r="AM29" s="98"/>
      <c r="AN29" s="139"/>
      <c r="AQ29" s="113"/>
      <c r="AR29" s="113"/>
      <c r="AW29" s="98"/>
    </row>
    <row r="30" spans="1:49" x14ac:dyDescent="0.4">
      <c r="AM30" s="98"/>
      <c r="AU30" s="114"/>
      <c r="AW30" s="98"/>
    </row>
  </sheetData>
  <mergeCells count="14">
    <mergeCell ref="G9:G11"/>
    <mergeCell ref="AR9:AR11"/>
    <mergeCell ref="AT9:AU10"/>
    <mergeCell ref="AM9:AM11"/>
    <mergeCell ref="AN9:AN11"/>
    <mergeCell ref="AO9:AO11"/>
    <mergeCell ref="AP9:AP11"/>
    <mergeCell ref="AQ9:AQ11"/>
    <mergeCell ref="H9:AL9"/>
    <mergeCell ref="F9:F11"/>
    <mergeCell ref="B9:B11"/>
    <mergeCell ref="C9:C11"/>
    <mergeCell ref="D9:D11"/>
    <mergeCell ref="E9:E11"/>
  </mergeCells>
  <conditionalFormatting sqref="H12:AL23">
    <cfRule type="notContainsBlanks" dxfId="16" priority="20">
      <formula>LEN(TRIM(H12))&gt;0</formula>
    </cfRule>
  </conditionalFormatting>
  <conditionalFormatting sqref="N12:N23">
    <cfRule type="notContainsBlanks" dxfId="15" priority="1">
      <formula>LEN(TRIM(N12))&gt;0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54ED-B4FE-4CE4-89EF-83399A0EFA53}">
  <dimension ref="B1:H4"/>
  <sheetViews>
    <sheetView zoomScale="112" zoomScaleNormal="112" workbookViewId="0">
      <selection activeCell="G12" sqref="G12"/>
    </sheetView>
  </sheetViews>
  <sheetFormatPr defaultColWidth="8.6640625" defaultRowHeight="10" x14ac:dyDescent="0.2"/>
  <cols>
    <col min="1" max="1" width="2.83203125" style="115" customWidth="1"/>
    <col min="2" max="2" width="27.83203125" style="115" customWidth="1"/>
    <col min="3" max="5" width="20.08203125" style="115" hidden="1" customWidth="1"/>
    <col min="6" max="6" width="21.4140625" style="115" hidden="1" customWidth="1"/>
    <col min="7" max="7" width="34.83203125" style="115" customWidth="1"/>
    <col min="8" max="16384" width="8.6640625" style="115"/>
  </cols>
  <sheetData>
    <row r="1" spans="2:8" ht="15.65" customHeight="1" x14ac:dyDescent="0.2">
      <c r="B1" s="247" t="s">
        <v>56</v>
      </c>
      <c r="C1" s="247"/>
      <c r="D1" s="247"/>
      <c r="E1" s="247"/>
      <c r="F1" s="247"/>
      <c r="G1" s="248"/>
    </row>
    <row r="2" spans="2:8" ht="13" customHeight="1" x14ac:dyDescent="0.2">
      <c r="B2" s="245" t="s">
        <v>55</v>
      </c>
      <c r="C2" s="122"/>
      <c r="D2" s="123"/>
      <c r="E2" s="123"/>
      <c r="F2" s="123"/>
      <c r="G2" s="123"/>
      <c r="H2" s="124"/>
    </row>
    <row r="3" spans="2:8" x14ac:dyDescent="0.2">
      <c r="B3" s="246"/>
      <c r="C3" s="116" t="s">
        <v>47</v>
      </c>
      <c r="D3" s="116" t="s">
        <v>48</v>
      </c>
      <c r="E3" s="116" t="s">
        <v>49</v>
      </c>
      <c r="F3" s="116" t="s">
        <v>13</v>
      </c>
      <c r="G3" s="117" t="s">
        <v>18</v>
      </c>
    </row>
    <row r="4" spans="2:8" x14ac:dyDescent="0.2">
      <c r="B4" s="125" t="s">
        <v>105</v>
      </c>
      <c r="C4" s="125"/>
      <c r="D4" s="125"/>
      <c r="E4" s="125"/>
      <c r="F4" s="125"/>
      <c r="G4" s="125" t="s">
        <v>131</v>
      </c>
    </row>
  </sheetData>
  <mergeCells count="2">
    <mergeCell ref="B2:B3"/>
    <mergeCell ref="B1:G1"/>
  </mergeCells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AE0D-1C45-491F-8040-B9661DEE1863}">
  <dimension ref="A1:BA25"/>
  <sheetViews>
    <sheetView showGridLines="0" zoomScale="88" zoomScaleNormal="9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D44" sqref="D44"/>
    </sheetView>
  </sheetViews>
  <sheetFormatPr defaultColWidth="9.6640625" defaultRowHeight="13" customHeight="1" x14ac:dyDescent="0.25"/>
  <cols>
    <col min="1" max="1" width="3.83203125" style="35" customWidth="1"/>
    <col min="2" max="2" width="21.33203125" style="35" customWidth="1"/>
    <col min="3" max="3" width="23.83203125" style="35" customWidth="1"/>
    <col min="4" max="4" width="61.1640625" style="35" customWidth="1"/>
    <col min="5" max="5" width="38.4140625" style="35" customWidth="1"/>
    <col min="6" max="6" width="20" style="35" customWidth="1"/>
    <col min="7" max="20" width="4.6640625" style="35" customWidth="1"/>
    <col min="21" max="37" width="4.6640625" style="35" hidden="1" customWidth="1"/>
    <col min="38" max="38" width="9.33203125" style="35" customWidth="1"/>
    <col min="39" max="39" width="18" style="35" customWidth="1"/>
    <col min="40" max="40" width="14.6640625" style="177" customWidth="1"/>
    <col min="41" max="43" width="18" style="35" customWidth="1"/>
    <col min="44" max="44" width="3.58203125" style="35" customWidth="1"/>
    <col min="45" max="45" width="8.83203125" style="35" customWidth="1"/>
    <col min="46" max="46" width="17.83203125" style="35" customWidth="1"/>
    <col min="47" max="47" width="15.6640625" style="35" customWidth="1"/>
    <col min="48" max="16384" width="9.6640625" style="35"/>
  </cols>
  <sheetData>
    <row r="1" spans="1:53" ht="13" customHeight="1" x14ac:dyDescent="0.25">
      <c r="AN1" s="35"/>
    </row>
    <row r="2" spans="1:53" ht="13" customHeight="1" x14ac:dyDescent="0.25">
      <c r="B2" s="1"/>
      <c r="C2" s="1"/>
      <c r="D2" s="1"/>
      <c r="E2" s="1"/>
      <c r="F2" s="1"/>
      <c r="AN2" s="35"/>
    </row>
    <row r="3" spans="1:53" ht="13" customHeight="1" x14ac:dyDescent="0.25">
      <c r="A3" s="24"/>
      <c r="B3" s="2"/>
      <c r="C3" s="3"/>
      <c r="D3" s="2"/>
      <c r="E3" s="2"/>
      <c r="F3" s="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5"/>
      <c r="AM3" s="25"/>
      <c r="AN3" s="25"/>
      <c r="AO3" s="140"/>
      <c r="AP3" s="141"/>
      <c r="AQ3" s="142"/>
    </row>
    <row r="4" spans="1:53" ht="13" customHeight="1" x14ac:dyDescent="0.25">
      <c r="A4" s="24"/>
      <c r="B4" s="2"/>
      <c r="C4" s="3"/>
      <c r="D4" s="2"/>
      <c r="E4" s="2"/>
      <c r="F4" s="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25"/>
      <c r="AN4" s="25"/>
      <c r="AO4" s="26"/>
      <c r="AP4" s="24"/>
      <c r="AQ4" s="142"/>
    </row>
    <row r="5" spans="1:53" ht="13" customHeight="1" x14ac:dyDescent="0.25">
      <c r="A5" s="24"/>
      <c r="B5" s="5" t="s">
        <v>0</v>
      </c>
      <c r="C5" s="5"/>
      <c r="D5" s="2"/>
      <c r="E5" s="2"/>
      <c r="F5" s="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5"/>
      <c r="AM5" s="143"/>
      <c r="AN5" s="25"/>
      <c r="AO5" s="26"/>
      <c r="AP5" s="24"/>
      <c r="AQ5" s="27"/>
    </row>
    <row r="6" spans="1:53" ht="13" customHeight="1" x14ac:dyDescent="0.25">
      <c r="A6" s="24"/>
      <c r="B6" s="6" t="s">
        <v>155</v>
      </c>
      <c r="C6" s="6"/>
      <c r="D6" s="144"/>
      <c r="E6" s="144"/>
      <c r="F6" s="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45"/>
      <c r="AM6" s="25"/>
      <c r="AN6" s="25"/>
      <c r="AO6" s="145"/>
      <c r="AP6" s="26"/>
      <c r="AQ6" s="146"/>
    </row>
    <row r="7" spans="1:53" ht="13" customHeight="1" x14ac:dyDescent="0.25">
      <c r="A7" s="24"/>
      <c r="B7" s="2"/>
      <c r="C7" s="3"/>
      <c r="D7" s="147"/>
      <c r="E7" s="147"/>
      <c r="F7" s="14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45"/>
      <c r="AN7" s="148"/>
      <c r="AO7" s="145"/>
      <c r="AP7" s="149"/>
      <c r="AQ7" s="150"/>
    </row>
    <row r="8" spans="1:53" ht="13" customHeight="1" x14ac:dyDescent="0.25">
      <c r="A8" s="24"/>
      <c r="B8" s="151"/>
      <c r="C8" s="151"/>
      <c r="D8" s="152"/>
      <c r="E8" s="152"/>
      <c r="F8" s="152"/>
      <c r="G8" s="25"/>
      <c r="H8" s="25"/>
      <c r="I8" s="217"/>
      <c r="J8" s="217"/>
      <c r="K8" s="217"/>
      <c r="L8" s="218"/>
      <c r="M8" s="201" t="s">
        <v>143</v>
      </c>
      <c r="N8" s="199"/>
      <c r="O8" s="199"/>
      <c r="P8" s="199"/>
      <c r="Q8" s="199"/>
      <c r="R8" s="199"/>
      <c r="S8" s="199"/>
      <c r="T8" s="25"/>
      <c r="U8" s="195"/>
      <c r="V8" s="25"/>
      <c r="W8" s="25"/>
      <c r="X8" s="25"/>
      <c r="Y8" s="25"/>
      <c r="Z8" s="25"/>
      <c r="AA8" s="25"/>
      <c r="AB8" s="25"/>
      <c r="AC8" s="25"/>
      <c r="AD8" s="195"/>
      <c r="AE8" s="25"/>
      <c r="AF8" s="25"/>
      <c r="AG8" s="25"/>
      <c r="AH8" s="25"/>
      <c r="AI8" s="25"/>
      <c r="AJ8" s="25"/>
      <c r="AK8" s="25"/>
      <c r="AL8" s="25"/>
      <c r="AM8" s="25"/>
      <c r="AN8" s="25"/>
      <c r="AP8" s="149"/>
      <c r="AQ8" s="150"/>
    </row>
    <row r="9" spans="1:53" ht="16.5" customHeight="1" x14ac:dyDescent="0.25">
      <c r="A9" s="28"/>
      <c r="B9" s="249" t="s">
        <v>2</v>
      </c>
      <c r="C9" s="235" t="s">
        <v>3</v>
      </c>
      <c r="D9" s="235" t="s">
        <v>136</v>
      </c>
      <c r="E9" s="235" t="s">
        <v>137</v>
      </c>
      <c r="F9" s="249" t="s">
        <v>138</v>
      </c>
      <c r="G9" s="242" t="s">
        <v>133</v>
      </c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4"/>
      <c r="AL9" s="250" t="s">
        <v>4</v>
      </c>
      <c r="AM9" s="253" t="s">
        <v>5</v>
      </c>
      <c r="AN9" s="250" t="s">
        <v>6</v>
      </c>
      <c r="AO9" s="253" t="s">
        <v>7</v>
      </c>
      <c r="AP9" s="253" t="s">
        <v>8</v>
      </c>
      <c r="AQ9" s="253" t="s">
        <v>139</v>
      </c>
      <c r="AS9" s="249"/>
      <c r="AT9" s="249"/>
    </row>
    <row r="10" spans="1:53" ht="16.5" customHeight="1" x14ac:dyDescent="0.25">
      <c r="A10" s="28"/>
      <c r="B10" s="249"/>
      <c r="C10" s="235"/>
      <c r="D10" s="235"/>
      <c r="E10" s="235"/>
      <c r="F10" s="249"/>
      <c r="G10" s="8" t="s">
        <v>12</v>
      </c>
      <c r="H10" s="7" t="s">
        <v>9</v>
      </c>
      <c r="I10" s="7" t="s">
        <v>10</v>
      </c>
      <c r="J10" s="7" t="s">
        <v>11</v>
      </c>
      <c r="K10" s="7" t="s">
        <v>10</v>
      </c>
      <c r="L10" s="7" t="s">
        <v>1</v>
      </c>
      <c r="M10" s="8" t="s">
        <v>12</v>
      </c>
      <c r="N10" s="8" t="s">
        <v>12</v>
      </c>
      <c r="O10" s="7" t="s">
        <v>9</v>
      </c>
      <c r="P10" s="7" t="s">
        <v>10</v>
      </c>
      <c r="Q10" s="7" t="s">
        <v>11</v>
      </c>
      <c r="R10" s="7" t="s">
        <v>10</v>
      </c>
      <c r="S10" s="7" t="s">
        <v>1</v>
      </c>
      <c r="T10" s="8" t="s">
        <v>12</v>
      </c>
      <c r="U10" s="8" t="s">
        <v>12</v>
      </c>
      <c r="V10" s="7" t="s">
        <v>9</v>
      </c>
      <c r="W10" s="7" t="s">
        <v>10</v>
      </c>
      <c r="X10" s="7" t="s">
        <v>11</v>
      </c>
      <c r="Y10" s="7" t="s">
        <v>10</v>
      </c>
      <c r="Z10" s="7" t="s">
        <v>1</v>
      </c>
      <c r="AA10" s="8" t="s">
        <v>12</v>
      </c>
      <c r="AB10" s="8" t="s">
        <v>12</v>
      </c>
      <c r="AC10" s="7" t="s">
        <v>9</v>
      </c>
      <c r="AD10" s="7" t="s">
        <v>10</v>
      </c>
      <c r="AE10" s="7" t="s">
        <v>11</v>
      </c>
      <c r="AF10" s="7" t="s">
        <v>10</v>
      </c>
      <c r="AG10" s="7" t="s">
        <v>1</v>
      </c>
      <c r="AH10" s="8" t="s">
        <v>12</v>
      </c>
      <c r="AI10" s="8" t="s">
        <v>12</v>
      </c>
      <c r="AJ10" s="7" t="s">
        <v>9</v>
      </c>
      <c r="AK10" s="7" t="s">
        <v>10</v>
      </c>
      <c r="AL10" s="251"/>
      <c r="AM10" s="254"/>
      <c r="AN10" s="251"/>
      <c r="AO10" s="254"/>
      <c r="AP10" s="254"/>
      <c r="AQ10" s="254"/>
      <c r="AS10" s="249" t="s">
        <v>133</v>
      </c>
      <c r="AT10" s="249"/>
    </row>
    <row r="11" spans="1:53" ht="16.5" customHeight="1" x14ac:dyDescent="0.25">
      <c r="A11" s="28"/>
      <c r="B11" s="249"/>
      <c r="C11" s="235"/>
      <c r="D11" s="235"/>
      <c r="E11" s="235"/>
      <c r="F11" s="249"/>
      <c r="G11" s="56">
        <v>1</v>
      </c>
      <c r="H11" s="29">
        <f t="shared" ref="H11:T11" si="0">G11+1</f>
        <v>2</v>
      </c>
      <c r="I11" s="29">
        <f t="shared" si="0"/>
        <v>3</v>
      </c>
      <c r="J11" s="29">
        <f t="shared" si="0"/>
        <v>4</v>
      </c>
      <c r="K11" s="29">
        <f t="shared" si="0"/>
        <v>5</v>
      </c>
      <c r="L11" s="29">
        <f t="shared" si="0"/>
        <v>6</v>
      </c>
      <c r="M11" s="56">
        <f t="shared" si="0"/>
        <v>7</v>
      </c>
      <c r="N11" s="56">
        <f t="shared" si="0"/>
        <v>8</v>
      </c>
      <c r="O11" s="29">
        <f t="shared" si="0"/>
        <v>9</v>
      </c>
      <c r="P11" s="29">
        <f t="shared" si="0"/>
        <v>10</v>
      </c>
      <c r="Q11" s="29">
        <f t="shared" si="0"/>
        <v>11</v>
      </c>
      <c r="R11" s="29">
        <f t="shared" si="0"/>
        <v>12</v>
      </c>
      <c r="S11" s="29">
        <f t="shared" si="0"/>
        <v>13</v>
      </c>
      <c r="T11" s="56">
        <f t="shared" si="0"/>
        <v>14</v>
      </c>
      <c r="U11" s="56">
        <v>15</v>
      </c>
      <c r="V11" s="29">
        <f t="shared" ref="V11:AK11" si="1">U11+1</f>
        <v>16</v>
      </c>
      <c r="W11" s="29">
        <f t="shared" si="1"/>
        <v>17</v>
      </c>
      <c r="X11" s="29">
        <f t="shared" si="1"/>
        <v>18</v>
      </c>
      <c r="Y11" s="29">
        <f t="shared" si="1"/>
        <v>19</v>
      </c>
      <c r="Z11" s="29">
        <f t="shared" si="1"/>
        <v>20</v>
      </c>
      <c r="AA11" s="56">
        <f t="shared" si="1"/>
        <v>21</v>
      </c>
      <c r="AB11" s="56">
        <f t="shared" si="1"/>
        <v>22</v>
      </c>
      <c r="AC11" s="29">
        <f t="shared" si="1"/>
        <v>23</v>
      </c>
      <c r="AD11" s="29">
        <f t="shared" si="1"/>
        <v>24</v>
      </c>
      <c r="AE11" s="29">
        <f t="shared" si="1"/>
        <v>25</v>
      </c>
      <c r="AF11" s="29">
        <f t="shared" si="1"/>
        <v>26</v>
      </c>
      <c r="AG11" s="29">
        <f t="shared" si="1"/>
        <v>27</v>
      </c>
      <c r="AH11" s="56">
        <f t="shared" si="1"/>
        <v>28</v>
      </c>
      <c r="AI11" s="56">
        <f t="shared" si="1"/>
        <v>29</v>
      </c>
      <c r="AJ11" s="29">
        <f t="shared" si="1"/>
        <v>30</v>
      </c>
      <c r="AK11" s="29">
        <f t="shared" si="1"/>
        <v>31</v>
      </c>
      <c r="AL11" s="252"/>
      <c r="AM11" s="255"/>
      <c r="AN11" s="252"/>
      <c r="AO11" s="255"/>
      <c r="AP11" s="255"/>
      <c r="AQ11" s="255"/>
      <c r="AS11" s="249"/>
      <c r="AT11" s="249"/>
    </row>
    <row r="12" spans="1:53" ht="13" customHeight="1" x14ac:dyDescent="0.25">
      <c r="A12" s="28"/>
      <c r="B12" s="153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46"/>
      <c r="AQ12" s="9"/>
      <c r="AS12" s="155" t="s">
        <v>4</v>
      </c>
      <c r="AT12" s="155" t="s">
        <v>19</v>
      </c>
      <c r="AU12" s="24"/>
      <c r="AV12" s="24"/>
      <c r="AW12" s="24"/>
      <c r="AX12" s="24"/>
      <c r="AY12" s="24"/>
      <c r="AZ12" s="24"/>
      <c r="BA12" s="24"/>
    </row>
    <row r="13" spans="1:53" ht="16.5" customHeight="1" x14ac:dyDescent="0.25">
      <c r="A13" s="28"/>
      <c r="B13" s="156"/>
      <c r="C13" s="30"/>
      <c r="D13" s="157"/>
      <c r="E13" s="157"/>
      <c r="F13" s="157"/>
      <c r="G13" s="39"/>
      <c r="H13" s="132"/>
      <c r="I13" s="132"/>
      <c r="J13" s="132"/>
      <c r="K13" s="132"/>
      <c r="L13" s="132"/>
      <c r="M13" s="39"/>
      <c r="N13" s="39"/>
      <c r="O13" s="132"/>
      <c r="P13" s="132"/>
      <c r="Q13" s="132"/>
      <c r="R13" s="132"/>
      <c r="S13" s="132"/>
      <c r="T13" s="39"/>
      <c r="U13" s="39"/>
      <c r="V13" s="132"/>
      <c r="W13" s="132"/>
      <c r="X13" s="132"/>
      <c r="Y13" s="132"/>
      <c r="Z13" s="132"/>
      <c r="AA13" s="39"/>
      <c r="AB13" s="39"/>
      <c r="AC13" s="132"/>
      <c r="AD13" s="132"/>
      <c r="AE13" s="132"/>
      <c r="AF13" s="132"/>
      <c r="AG13" s="132"/>
      <c r="AH13" s="39"/>
      <c r="AI13" s="39"/>
      <c r="AJ13" s="132"/>
      <c r="AK13" s="38"/>
      <c r="AL13" s="158"/>
      <c r="AM13" s="15"/>
      <c r="AN13" s="14"/>
      <c r="AO13" s="15"/>
      <c r="AP13" s="16"/>
      <c r="AQ13" s="16"/>
      <c r="AS13" s="158"/>
      <c r="AT13" s="159"/>
      <c r="AU13" s="24"/>
      <c r="AV13" s="24"/>
      <c r="AW13" s="24"/>
      <c r="AX13" s="24"/>
      <c r="AY13" s="24"/>
      <c r="AZ13" s="24"/>
      <c r="BA13" s="24"/>
    </row>
    <row r="14" spans="1:53" ht="16.5" customHeight="1" x14ac:dyDescent="0.25">
      <c r="A14" s="28"/>
      <c r="B14" s="31" t="s">
        <v>132</v>
      </c>
      <c r="C14" s="32" t="s">
        <v>141</v>
      </c>
      <c r="D14" s="162" t="s">
        <v>195</v>
      </c>
      <c r="E14" s="162" t="s">
        <v>177</v>
      </c>
      <c r="F14" s="163">
        <v>8000</v>
      </c>
      <c r="G14" s="13"/>
      <c r="H14" s="11"/>
      <c r="I14" s="12"/>
      <c r="J14" s="12"/>
      <c r="K14" s="12"/>
      <c r="L14" s="11"/>
      <c r="M14" s="13">
        <v>1</v>
      </c>
      <c r="N14" s="13"/>
      <c r="O14" s="132"/>
      <c r="P14" s="132"/>
      <c r="Q14" s="132"/>
      <c r="R14" s="132"/>
      <c r="S14" s="132"/>
      <c r="T14" s="39"/>
      <c r="U14" s="39"/>
      <c r="V14" s="132"/>
      <c r="W14" s="132"/>
      <c r="X14" s="132"/>
      <c r="Y14" s="132"/>
      <c r="Z14" s="132"/>
      <c r="AA14" s="39"/>
      <c r="AB14" s="39"/>
      <c r="AC14" s="132"/>
      <c r="AD14" s="132"/>
      <c r="AE14" s="132"/>
      <c r="AF14" s="132"/>
      <c r="AG14" s="132"/>
      <c r="AH14" s="39"/>
      <c r="AI14" s="39"/>
      <c r="AJ14" s="132"/>
      <c r="AK14" s="38"/>
      <c r="AL14" s="164">
        <f>SUM(G14:AK14)</f>
        <v>1</v>
      </c>
      <c r="AM14" s="165">
        <v>10400</v>
      </c>
      <c r="AN14" s="17">
        <v>0.1</v>
      </c>
      <c r="AO14" s="18">
        <f>AM14*(1-AN14)</f>
        <v>9360</v>
      </c>
      <c r="AP14" s="19">
        <f t="shared" ref="AP14" si="2">AO14*AL14</f>
        <v>9360</v>
      </c>
      <c r="AQ14" s="19">
        <f t="shared" ref="AQ14" si="3">AP14*0.8</f>
        <v>7488</v>
      </c>
      <c r="AS14" s="164">
        <f>SUM(G14:AK14)</f>
        <v>1</v>
      </c>
      <c r="AT14" s="166">
        <f>AS14*$AO14*0.8</f>
        <v>7488</v>
      </c>
      <c r="AU14" s="24"/>
      <c r="AV14" s="24"/>
      <c r="AW14" s="24"/>
      <c r="AX14" s="24"/>
      <c r="AY14" s="24"/>
      <c r="AZ14" s="24"/>
      <c r="BA14" s="24"/>
    </row>
    <row r="15" spans="1:53" ht="16.5" customHeight="1" x14ac:dyDescent="0.25">
      <c r="A15" s="28"/>
      <c r="B15" s="31"/>
      <c r="C15" s="32"/>
      <c r="D15" s="43"/>
      <c r="F15" s="163"/>
      <c r="G15" s="39"/>
      <c r="H15" s="132"/>
      <c r="I15" s="132"/>
      <c r="J15" s="132"/>
      <c r="K15" s="132"/>
      <c r="L15" s="132"/>
      <c r="M15" s="39"/>
      <c r="N15" s="39"/>
      <c r="O15" s="132"/>
      <c r="P15" s="132"/>
      <c r="Q15" s="132"/>
      <c r="R15" s="132"/>
      <c r="S15" s="132"/>
      <c r="T15" s="39"/>
      <c r="U15" s="39"/>
      <c r="V15" s="132"/>
      <c r="W15" s="132"/>
      <c r="X15" s="132"/>
      <c r="Y15" s="132"/>
      <c r="Z15" s="132"/>
      <c r="AA15" s="39"/>
      <c r="AB15" s="39"/>
      <c r="AC15" s="132"/>
      <c r="AD15" s="132"/>
      <c r="AE15" s="132"/>
      <c r="AF15" s="132"/>
      <c r="AG15" s="132"/>
      <c r="AH15" s="39"/>
      <c r="AI15" s="39"/>
      <c r="AJ15" s="132"/>
      <c r="AK15" s="38"/>
      <c r="AL15" s="164"/>
      <c r="AM15" s="88"/>
      <c r="AN15" s="17"/>
      <c r="AO15" s="18"/>
      <c r="AP15" s="19"/>
      <c r="AQ15" s="19"/>
      <c r="AS15" s="164"/>
      <c r="AT15" s="166"/>
      <c r="AU15" s="24"/>
      <c r="AV15" s="24"/>
      <c r="AW15" s="24"/>
      <c r="AX15" s="24"/>
      <c r="AY15" s="24"/>
      <c r="AZ15" s="24"/>
      <c r="BA15" s="24"/>
    </row>
    <row r="16" spans="1:53" ht="16.5" customHeight="1" x14ac:dyDescent="0.25">
      <c r="A16" s="28"/>
      <c r="B16" s="31"/>
      <c r="C16" s="55" t="s">
        <v>142</v>
      </c>
      <c r="D16" s="43" t="s">
        <v>195</v>
      </c>
      <c r="E16" s="43" t="s">
        <v>178</v>
      </c>
      <c r="F16" s="163">
        <v>5000</v>
      </c>
      <c r="G16" s="13"/>
      <c r="H16" s="11"/>
      <c r="I16" s="12"/>
      <c r="J16" s="12"/>
      <c r="K16" s="12"/>
      <c r="L16" s="11"/>
      <c r="M16" s="13"/>
      <c r="N16" s="13"/>
      <c r="O16" s="132"/>
      <c r="P16" s="132"/>
      <c r="Q16" s="132"/>
      <c r="R16" s="132"/>
      <c r="S16" s="132">
        <v>1</v>
      </c>
      <c r="T16" s="39"/>
      <c r="U16" s="39"/>
      <c r="V16" s="132"/>
      <c r="W16" s="132"/>
      <c r="X16" s="132"/>
      <c r="Y16" s="132"/>
      <c r="Z16" s="132"/>
      <c r="AA16" s="39"/>
      <c r="AB16" s="39"/>
      <c r="AC16" s="132"/>
      <c r="AD16" s="132"/>
      <c r="AE16" s="132"/>
      <c r="AF16" s="132"/>
      <c r="AG16" s="132"/>
      <c r="AH16" s="39"/>
      <c r="AI16" s="39"/>
      <c r="AJ16" s="132"/>
      <c r="AK16" s="38"/>
      <c r="AL16" s="164">
        <f>SUM(G16:AK16)</f>
        <v>1</v>
      </c>
      <c r="AM16" s="88">
        <v>24960</v>
      </c>
      <c r="AN16" s="17">
        <v>0.45</v>
      </c>
      <c r="AO16" s="18">
        <f>AM16*(1-AN16)</f>
        <v>13728.000000000002</v>
      </c>
      <c r="AP16" s="19">
        <f>AO16*AL16</f>
        <v>13728.000000000002</v>
      </c>
      <c r="AQ16" s="19">
        <f t="shared" ref="AQ16" si="4">AP16*0.8</f>
        <v>10982.400000000001</v>
      </c>
      <c r="AS16" s="164">
        <f>SUM(G16:AK16)</f>
        <v>1</v>
      </c>
      <c r="AT16" s="166">
        <f t="shared" ref="AT16" si="5">AS16*$AO16*0.8</f>
        <v>10982.400000000001</v>
      </c>
      <c r="AU16" s="24"/>
      <c r="AV16" s="24"/>
      <c r="AW16" s="24"/>
      <c r="AX16" s="24"/>
      <c r="AY16" s="24"/>
      <c r="AZ16" s="24"/>
      <c r="BA16" s="24"/>
    </row>
    <row r="17" spans="1:53" ht="16.5" customHeight="1" x14ac:dyDescent="0.25">
      <c r="A17" s="28"/>
      <c r="B17" s="31"/>
      <c r="C17" s="32"/>
      <c r="D17" s="43"/>
      <c r="F17" s="163"/>
      <c r="G17" s="39"/>
      <c r="H17" s="132"/>
      <c r="I17" s="132"/>
      <c r="J17" s="132"/>
      <c r="K17" s="132"/>
      <c r="L17" s="132"/>
      <c r="M17" s="39"/>
      <c r="N17" s="39"/>
      <c r="O17" s="132"/>
      <c r="P17" s="132"/>
      <c r="Q17" s="132"/>
      <c r="R17" s="132"/>
      <c r="S17" s="132"/>
      <c r="T17" s="39"/>
      <c r="U17" s="39"/>
      <c r="V17" s="132"/>
      <c r="W17" s="132"/>
      <c r="X17" s="132"/>
      <c r="Y17" s="132"/>
      <c r="Z17" s="132"/>
      <c r="AA17" s="39"/>
      <c r="AB17" s="39"/>
      <c r="AC17" s="132"/>
      <c r="AD17" s="132"/>
      <c r="AE17" s="132"/>
      <c r="AF17" s="132"/>
      <c r="AG17" s="132"/>
      <c r="AH17" s="39"/>
      <c r="AI17" s="39"/>
      <c r="AJ17" s="132"/>
      <c r="AK17" s="38"/>
      <c r="AL17" s="164"/>
      <c r="AM17" s="88"/>
      <c r="AN17" s="17"/>
      <c r="AO17" s="18"/>
      <c r="AP17" s="19"/>
      <c r="AQ17" s="19"/>
      <c r="AS17" s="164"/>
      <c r="AT17" s="166"/>
      <c r="AU17" s="24"/>
      <c r="AV17" s="24"/>
      <c r="AW17" s="24"/>
      <c r="AX17" s="24"/>
      <c r="AY17" s="24"/>
      <c r="AZ17" s="24"/>
      <c r="BA17" s="24"/>
    </row>
    <row r="18" spans="1:53" ht="16.5" customHeight="1" x14ac:dyDescent="0.25">
      <c r="A18" s="28"/>
      <c r="B18" s="31"/>
      <c r="C18" s="55" t="s">
        <v>192</v>
      </c>
      <c r="D18" s="43" t="s">
        <v>191</v>
      </c>
      <c r="E18" s="43" t="s">
        <v>178</v>
      </c>
      <c r="F18" s="163">
        <v>10000</v>
      </c>
      <c r="G18" s="13"/>
      <c r="H18" s="11"/>
      <c r="I18" s="12"/>
      <c r="J18" s="12"/>
      <c r="K18" s="12"/>
      <c r="L18" s="11"/>
      <c r="M18" s="13"/>
      <c r="N18" s="13"/>
      <c r="O18" s="132"/>
      <c r="P18" s="132"/>
      <c r="Q18" s="132"/>
      <c r="R18" s="132"/>
      <c r="S18" s="132">
        <v>1</v>
      </c>
      <c r="T18" s="39"/>
      <c r="U18" s="39"/>
      <c r="V18" s="132"/>
      <c r="W18" s="132"/>
      <c r="X18" s="132"/>
      <c r="Y18" s="132"/>
      <c r="Z18" s="132"/>
      <c r="AA18" s="39"/>
      <c r="AB18" s="39"/>
      <c r="AC18" s="132"/>
      <c r="AD18" s="132"/>
      <c r="AE18" s="132"/>
      <c r="AF18" s="132"/>
      <c r="AG18" s="132"/>
      <c r="AH18" s="39"/>
      <c r="AI18" s="39"/>
      <c r="AJ18" s="132"/>
      <c r="AK18" s="38"/>
      <c r="AL18" s="164">
        <f>SUM(G18:AK18)</f>
        <v>1</v>
      </c>
      <c r="AM18" s="88">
        <v>6250</v>
      </c>
      <c r="AN18" s="17">
        <v>0</v>
      </c>
      <c r="AO18" s="18">
        <f>AM18*(1-AN18)</f>
        <v>6250</v>
      </c>
      <c r="AP18" s="19">
        <f>AO18*AL18</f>
        <v>6250</v>
      </c>
      <c r="AQ18" s="19">
        <f t="shared" ref="AQ18" si="6">AP18*0.8</f>
        <v>5000</v>
      </c>
      <c r="AS18" s="164">
        <f>SUM(G18:AK18)</f>
        <v>1</v>
      </c>
      <c r="AT18" s="166">
        <f t="shared" ref="AT18" si="7">AS18*$AO18*0.8</f>
        <v>5000</v>
      </c>
      <c r="AU18" s="24"/>
      <c r="AV18" s="24"/>
      <c r="AW18" s="24"/>
      <c r="AX18" s="24"/>
      <c r="AY18" s="24"/>
      <c r="AZ18" s="24"/>
      <c r="BA18" s="24"/>
    </row>
    <row r="19" spans="1:53" ht="16.5" customHeight="1" x14ac:dyDescent="0.25">
      <c r="A19" s="28"/>
      <c r="B19" s="31"/>
      <c r="C19" s="55"/>
      <c r="D19" s="43" t="s">
        <v>194</v>
      </c>
      <c r="E19" s="43"/>
      <c r="F19" s="163" t="s">
        <v>170</v>
      </c>
      <c r="G19" s="13"/>
      <c r="H19" s="11"/>
      <c r="I19" s="12"/>
      <c r="J19" s="12"/>
      <c r="K19" s="12"/>
      <c r="L19" s="11"/>
      <c r="M19" s="13"/>
      <c r="N19" s="13"/>
      <c r="O19" s="132"/>
      <c r="P19" s="132"/>
      <c r="Q19" s="132"/>
      <c r="R19" s="132"/>
      <c r="S19" s="132">
        <v>1</v>
      </c>
      <c r="T19" s="39"/>
      <c r="U19" s="39"/>
      <c r="V19" s="132"/>
      <c r="W19" s="132"/>
      <c r="X19" s="132"/>
      <c r="Y19" s="132"/>
      <c r="Z19" s="132"/>
      <c r="AA19" s="39"/>
      <c r="AB19" s="39"/>
      <c r="AC19" s="132"/>
      <c r="AD19" s="132"/>
      <c r="AE19" s="132"/>
      <c r="AF19" s="132"/>
      <c r="AG19" s="132"/>
      <c r="AH19" s="39"/>
      <c r="AI19" s="39"/>
      <c r="AJ19" s="132"/>
      <c r="AK19" s="38"/>
      <c r="AL19" s="164">
        <f>SUM(G19:AK19)</f>
        <v>1</v>
      </c>
      <c r="AM19" s="220" t="s">
        <v>193</v>
      </c>
      <c r="AN19" s="17">
        <v>1</v>
      </c>
      <c r="AO19" s="18">
        <f>IFERROR(AM19*(1-AN19),0)</f>
        <v>0</v>
      </c>
      <c r="AP19" s="19">
        <f>AO19*AL19</f>
        <v>0</v>
      </c>
      <c r="AQ19" s="19">
        <f t="shared" ref="AQ19" si="8">AP19*0.8</f>
        <v>0</v>
      </c>
      <c r="AS19" s="164">
        <f>SUM(G19:AK19)</f>
        <v>1</v>
      </c>
      <c r="AT19" s="166">
        <f t="shared" ref="AT19" si="9">AS19*$AO19*0.8</f>
        <v>0</v>
      </c>
      <c r="AU19" s="24"/>
      <c r="AV19" s="24"/>
      <c r="AW19" s="24"/>
      <c r="AX19" s="24"/>
      <c r="AY19" s="24"/>
      <c r="AZ19" s="24"/>
      <c r="BA19" s="24"/>
    </row>
    <row r="20" spans="1:53" ht="16.5" customHeight="1" x14ac:dyDescent="0.25">
      <c r="A20" s="28"/>
      <c r="B20" s="185"/>
      <c r="C20" s="186"/>
      <c r="D20" s="187"/>
      <c r="E20" s="188"/>
      <c r="F20" s="182"/>
      <c r="G20" s="39"/>
      <c r="H20" s="132"/>
      <c r="I20" s="132"/>
      <c r="J20" s="132"/>
      <c r="K20" s="132"/>
      <c r="L20" s="132"/>
      <c r="M20" s="39"/>
      <c r="N20" s="39"/>
      <c r="O20" s="132"/>
      <c r="P20" s="132"/>
      <c r="Q20" s="132"/>
      <c r="R20" s="132"/>
      <c r="S20" s="132"/>
      <c r="T20" s="39"/>
      <c r="U20" s="39"/>
      <c r="V20" s="132"/>
      <c r="W20" s="132"/>
      <c r="X20" s="132"/>
      <c r="Y20" s="132"/>
      <c r="Z20" s="132"/>
      <c r="AA20" s="39"/>
      <c r="AB20" s="39"/>
      <c r="AC20" s="132"/>
      <c r="AD20" s="132"/>
      <c r="AE20" s="132"/>
      <c r="AF20" s="132"/>
      <c r="AG20" s="132"/>
      <c r="AH20" s="39"/>
      <c r="AI20" s="39"/>
      <c r="AJ20" s="132"/>
      <c r="AK20" s="38"/>
      <c r="AL20" s="169"/>
      <c r="AM20" s="189"/>
      <c r="AN20" s="190"/>
      <c r="AO20" s="192"/>
      <c r="AP20" s="10"/>
      <c r="AQ20" s="46"/>
      <c r="AR20" s="57"/>
      <c r="AS20" s="169"/>
      <c r="AT20" s="191"/>
      <c r="AU20" s="24"/>
      <c r="AV20" s="24"/>
      <c r="AW20" s="24"/>
      <c r="AX20" s="24"/>
      <c r="AY20" s="24"/>
      <c r="AZ20" s="24"/>
      <c r="BA20" s="24"/>
    </row>
    <row r="21" spans="1:53" ht="13" customHeight="1" x14ac:dyDescent="0.25">
      <c r="A21" s="28"/>
      <c r="B21" s="153"/>
      <c r="C21" s="154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1"/>
      <c r="AO21" s="170"/>
      <c r="AP21" s="21"/>
      <c r="AQ21" s="9"/>
      <c r="AU21" s="24"/>
      <c r="AV21" s="24"/>
      <c r="AW21" s="24"/>
      <c r="AX21" s="24"/>
      <c r="AY21" s="24"/>
      <c r="AZ21" s="24"/>
      <c r="BA21" s="24"/>
    </row>
    <row r="22" spans="1:53" s="34" customFormat="1" ht="16.5" customHeight="1" x14ac:dyDescent="0.4">
      <c r="B22" s="22" t="s">
        <v>45</v>
      </c>
      <c r="C22" s="33"/>
      <c r="D22" s="33"/>
      <c r="E22" s="33"/>
      <c r="F22" s="33"/>
      <c r="G22" s="33">
        <f>SUM(G13:G20)</f>
        <v>0</v>
      </c>
      <c r="H22" s="33">
        <f t="shared" ref="H22:T22" si="10">SUM(H13:H20)</f>
        <v>0</v>
      </c>
      <c r="I22" s="33">
        <f t="shared" si="10"/>
        <v>0</v>
      </c>
      <c r="J22" s="33">
        <f t="shared" si="10"/>
        <v>0</v>
      </c>
      <c r="K22" s="33">
        <f t="shared" si="10"/>
        <v>0</v>
      </c>
      <c r="L22" s="33">
        <f t="shared" si="10"/>
        <v>0</v>
      </c>
      <c r="M22" s="33">
        <f t="shared" si="10"/>
        <v>1</v>
      </c>
      <c r="N22" s="33">
        <f t="shared" si="10"/>
        <v>0</v>
      </c>
      <c r="O22" s="33">
        <f t="shared" si="10"/>
        <v>0</v>
      </c>
      <c r="P22" s="33">
        <f t="shared" si="10"/>
        <v>0</v>
      </c>
      <c r="Q22" s="33">
        <f t="shared" si="10"/>
        <v>0</v>
      </c>
      <c r="R22" s="33">
        <f t="shared" si="10"/>
        <v>0</v>
      </c>
      <c r="S22" s="33">
        <f t="shared" si="10"/>
        <v>3</v>
      </c>
      <c r="T22" s="33">
        <f t="shared" si="10"/>
        <v>0</v>
      </c>
      <c r="U22" s="33">
        <f t="shared" ref="U22:AG22" si="11">SUM(U13:U16)</f>
        <v>0</v>
      </c>
      <c r="V22" s="33">
        <f t="shared" si="11"/>
        <v>0</v>
      </c>
      <c r="W22" s="33">
        <f t="shared" si="11"/>
        <v>0</v>
      </c>
      <c r="X22" s="33">
        <f t="shared" si="11"/>
        <v>0</v>
      </c>
      <c r="Y22" s="33">
        <f t="shared" si="11"/>
        <v>0</v>
      </c>
      <c r="Z22" s="33">
        <f t="shared" si="11"/>
        <v>0</v>
      </c>
      <c r="AA22" s="33">
        <f t="shared" si="11"/>
        <v>0</v>
      </c>
      <c r="AB22" s="33">
        <f t="shared" si="11"/>
        <v>0</v>
      </c>
      <c r="AC22" s="33">
        <f t="shared" si="11"/>
        <v>0</v>
      </c>
      <c r="AD22" s="33">
        <f t="shared" si="11"/>
        <v>0</v>
      </c>
      <c r="AE22" s="33">
        <f t="shared" si="11"/>
        <v>0</v>
      </c>
      <c r="AF22" s="33">
        <f t="shared" si="11"/>
        <v>0</v>
      </c>
      <c r="AG22" s="33">
        <f t="shared" si="11"/>
        <v>0</v>
      </c>
      <c r="AH22" s="33">
        <f t="shared" ref="AH22:AJ22" si="12">SUM(AH13:AH16)</f>
        <v>0</v>
      </c>
      <c r="AI22" s="33">
        <f t="shared" si="12"/>
        <v>0</v>
      </c>
      <c r="AJ22" s="33">
        <f t="shared" si="12"/>
        <v>0</v>
      </c>
      <c r="AK22" s="33">
        <f t="shared" ref="AK22" si="13">SUM(AK13:AK16)</f>
        <v>0</v>
      </c>
      <c r="AL22" s="172">
        <f>SUM(AL13:AL20)</f>
        <v>4</v>
      </c>
      <c r="AM22" s="23"/>
      <c r="AN22" s="173"/>
      <c r="AO22" s="23"/>
      <c r="AP22" s="50">
        <f>SUM(AP13:AP20)</f>
        <v>29338</v>
      </c>
      <c r="AQ22" s="50">
        <f>SUM(AQ13:AQ20)</f>
        <v>23470.400000000001</v>
      </c>
      <c r="AS22" s="174">
        <f>SUM(AS13:AS20)</f>
        <v>4</v>
      </c>
      <c r="AT22" s="175">
        <f>SUM(AT14:AT20)</f>
        <v>23470.400000000001</v>
      </c>
      <c r="AU22" s="198" t="b">
        <f>AT22=AQ22</f>
        <v>1</v>
      </c>
    </row>
    <row r="23" spans="1:53" ht="13" customHeight="1" x14ac:dyDescent="0.3">
      <c r="AQ23" s="178"/>
      <c r="AU23" s="24"/>
      <c r="AV23" s="24"/>
      <c r="AW23" s="24"/>
      <c r="AX23" s="24"/>
      <c r="AY23" s="24"/>
      <c r="AZ23" s="24"/>
      <c r="BA23" s="24"/>
    </row>
    <row r="24" spans="1:53" ht="13" customHeight="1" x14ac:dyDescent="0.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179"/>
      <c r="AO24" s="24"/>
      <c r="AP24" s="180"/>
      <c r="AQ24" s="219"/>
      <c r="AS24" s="181"/>
      <c r="AT24"/>
      <c r="AV24" s="24"/>
      <c r="AW24" s="24"/>
      <c r="AX24" s="24"/>
      <c r="AY24" s="24"/>
      <c r="AZ24" s="24"/>
      <c r="BA24" s="24"/>
    </row>
    <row r="25" spans="1:53" ht="13" customHeight="1" x14ac:dyDescent="0.25">
      <c r="AQ25" s="219"/>
    </row>
  </sheetData>
  <mergeCells count="14">
    <mergeCell ref="G9:AK9"/>
    <mergeCell ref="B9:B11"/>
    <mergeCell ref="C9:C11"/>
    <mergeCell ref="D9:D11"/>
    <mergeCell ref="E9:E11"/>
    <mergeCell ref="F9:F11"/>
    <mergeCell ref="AS9:AT9"/>
    <mergeCell ref="AS10:AT11"/>
    <mergeCell ref="AL9:AL11"/>
    <mergeCell ref="AM9:AM11"/>
    <mergeCell ref="AN9:AN11"/>
    <mergeCell ref="AO9:AO11"/>
    <mergeCell ref="AP9:AP11"/>
    <mergeCell ref="AQ9:AQ11"/>
  </mergeCells>
  <conditionalFormatting sqref="G13:AK20">
    <cfRule type="notContainsBlanks" dxfId="14" priority="18">
      <formula>LEN(TRIM(G13))&gt;0</formula>
    </cfRule>
  </conditionalFormatting>
  <conditionalFormatting sqref="M13:M20">
    <cfRule type="notContainsBlanks" dxfId="13" priority="1">
      <formula>LEN(TRIM(M13))&gt;0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EC19-2E63-4BD5-9215-7FED60AA2741}">
  <dimension ref="A1:AY33"/>
  <sheetViews>
    <sheetView showGridLines="0" zoomScale="81" zoomScaleNormal="90" zoomScaleSheetLayoutView="45" workbookViewId="0">
      <pane xSplit="4" ySplit="11" topLeftCell="E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8.83203125" defaultRowHeight="12.5" x14ac:dyDescent="0.4"/>
  <cols>
    <col min="1" max="1" width="4" style="98" customWidth="1"/>
    <col min="2" max="2" width="32.1640625" style="98" customWidth="1"/>
    <col min="3" max="3" width="20.4140625" style="98" customWidth="1"/>
    <col min="4" max="4" width="19.08203125" style="98" customWidth="1"/>
    <col min="5" max="5" width="18.6640625" style="98" customWidth="1"/>
    <col min="6" max="6" width="21" style="98" customWidth="1"/>
    <col min="7" max="7" width="14.58203125" style="98" customWidth="1"/>
    <col min="8" max="9" width="4.5" style="98" hidden="1" customWidth="1"/>
    <col min="10" max="11" width="5" style="98" hidden="1" customWidth="1"/>
    <col min="12" max="14" width="4.5" style="98" hidden="1" customWidth="1"/>
    <col min="15" max="19" width="4.5" style="98" customWidth="1"/>
    <col min="20" max="20" width="4.83203125" style="98" customWidth="1"/>
    <col min="21" max="23" width="4.5" style="98" customWidth="1"/>
    <col min="24" max="25" width="5" style="98" customWidth="1"/>
    <col min="26" max="28" width="4.5" style="98" customWidth="1"/>
    <col min="29" max="33" width="4.5" style="98" hidden="1" customWidth="1"/>
    <col min="34" max="34" width="4.83203125" style="98" hidden="1" customWidth="1"/>
    <col min="35" max="36" width="4.5" style="98" hidden="1" customWidth="1"/>
    <col min="37" max="37" width="4.83203125" style="98" hidden="1" customWidth="1"/>
    <col min="38" max="38" width="4.5" style="98" hidden="1" customWidth="1"/>
    <col min="39" max="39" width="10.58203125" style="106" customWidth="1"/>
    <col min="40" max="44" width="14.1640625" style="98" customWidth="1"/>
    <col min="45" max="45" width="2.5" style="98" customWidth="1"/>
    <col min="46" max="46" width="6.9140625" style="108" customWidth="1"/>
    <col min="47" max="47" width="17.58203125" style="98" customWidth="1"/>
    <col min="48" max="48" width="2.1640625" style="98" customWidth="1"/>
    <col min="49" max="49" width="12.08203125" style="51" customWidth="1"/>
    <col min="50" max="50" width="8.83203125" style="98"/>
    <col min="51" max="51" width="11.9140625" style="98" bestFit="1" customWidth="1"/>
    <col min="52" max="16384" width="8.83203125" style="98"/>
  </cols>
  <sheetData>
    <row r="1" spans="1:51" x14ac:dyDescent="0.4">
      <c r="AR1" s="107"/>
    </row>
    <row r="2" spans="1:51" x14ac:dyDescent="0.4">
      <c r="AN2" s="34"/>
      <c r="AO2" s="34"/>
      <c r="AP2" s="34"/>
      <c r="AQ2" s="34"/>
      <c r="AR2" s="107"/>
    </row>
    <row r="3" spans="1:51" x14ac:dyDescent="0.4">
      <c r="A3" s="34"/>
      <c r="B3" s="36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7"/>
      <c r="AN3" s="109"/>
      <c r="AO3" s="109"/>
      <c r="AP3" s="109"/>
      <c r="AQ3" s="109"/>
      <c r="AR3" s="107"/>
      <c r="AS3" s="34"/>
    </row>
    <row r="4" spans="1:51" x14ac:dyDescent="0.4">
      <c r="A4" s="34"/>
      <c r="B4" s="36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7"/>
      <c r="AN4" s="109"/>
      <c r="AO4" s="109"/>
      <c r="AP4" s="109"/>
      <c r="AQ4" s="109"/>
      <c r="AR4" s="107"/>
      <c r="AS4" s="34"/>
    </row>
    <row r="5" spans="1:51" x14ac:dyDescent="0.4">
      <c r="A5" s="34"/>
      <c r="B5" s="91" t="s">
        <v>0</v>
      </c>
      <c r="C5" s="9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7"/>
      <c r="AN5" s="34"/>
      <c r="AO5" s="109"/>
      <c r="AP5" s="109"/>
      <c r="AQ5" s="109"/>
      <c r="AR5" s="107"/>
      <c r="AS5" s="34"/>
    </row>
    <row r="6" spans="1:51" x14ac:dyDescent="0.4">
      <c r="A6" s="34"/>
      <c r="B6" s="92" t="s">
        <v>150</v>
      </c>
      <c r="C6" s="9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37"/>
      <c r="AN6" s="34"/>
      <c r="AO6" s="109"/>
      <c r="AP6" s="109"/>
      <c r="AQ6" s="109"/>
      <c r="AR6" s="107"/>
      <c r="AS6" s="34"/>
    </row>
    <row r="7" spans="1:51" x14ac:dyDescent="0.4">
      <c r="A7" s="34"/>
      <c r="B7" s="110"/>
      <c r="C7" s="110"/>
      <c r="D7" s="25"/>
      <c r="E7" s="25"/>
      <c r="F7" s="25"/>
      <c r="G7" s="25"/>
      <c r="H7" s="25"/>
      <c r="I7" s="25"/>
      <c r="J7" s="25"/>
      <c r="K7" s="25"/>
      <c r="L7" s="25"/>
      <c r="M7" s="195"/>
      <c r="N7" s="25"/>
      <c r="O7" s="25"/>
      <c r="P7" s="25"/>
      <c r="Q7" s="25"/>
      <c r="R7" s="25"/>
      <c r="S7" s="25"/>
      <c r="T7" s="201" t="s">
        <v>143</v>
      </c>
      <c r="U7" s="199"/>
      <c r="V7" s="200"/>
      <c r="W7" s="199"/>
      <c r="X7" s="199"/>
      <c r="Y7" s="199"/>
      <c r="Z7" s="199"/>
      <c r="AA7" s="19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37"/>
      <c r="AN7" s="109"/>
      <c r="AO7" s="109"/>
      <c r="AP7" s="109"/>
      <c r="AQ7" s="109"/>
      <c r="AR7" s="107"/>
      <c r="AS7" s="34"/>
    </row>
    <row r="8" spans="1:51" ht="15.5" customHeight="1" x14ac:dyDescent="0.4">
      <c r="A8" s="34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7"/>
      <c r="AN8" s="96"/>
      <c r="AO8" s="96"/>
      <c r="AP8" s="96"/>
      <c r="AQ8" s="96"/>
      <c r="AR8" s="96"/>
      <c r="AS8" s="34"/>
    </row>
    <row r="9" spans="1:51" s="34" customFormat="1" ht="16" customHeight="1" x14ac:dyDescent="0.4">
      <c r="A9" s="28"/>
      <c r="B9" s="235" t="s">
        <v>2</v>
      </c>
      <c r="C9" s="235" t="s">
        <v>3</v>
      </c>
      <c r="D9" s="235" t="s">
        <v>52</v>
      </c>
      <c r="E9" s="237" t="s">
        <v>15</v>
      </c>
      <c r="F9" s="233" t="s">
        <v>135</v>
      </c>
      <c r="G9" s="238" t="s">
        <v>22</v>
      </c>
      <c r="H9" s="242" t="s">
        <v>133</v>
      </c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1" t="s">
        <v>4</v>
      </c>
      <c r="AN9" s="240" t="s">
        <v>5</v>
      </c>
      <c r="AO9" s="238" t="s">
        <v>6</v>
      </c>
      <c r="AP9" s="240" t="s">
        <v>7</v>
      </c>
      <c r="AQ9" s="240" t="s">
        <v>8</v>
      </c>
      <c r="AR9" s="240" t="s">
        <v>16</v>
      </c>
      <c r="AS9" s="28"/>
      <c r="AT9" s="235" t="s">
        <v>133</v>
      </c>
      <c r="AU9" s="235"/>
      <c r="AW9" s="51"/>
    </row>
    <row r="10" spans="1:51" s="34" customFormat="1" ht="16" customHeight="1" x14ac:dyDescent="0.4">
      <c r="A10" s="28"/>
      <c r="B10" s="235"/>
      <c r="C10" s="235"/>
      <c r="D10" s="235"/>
      <c r="E10" s="237"/>
      <c r="F10" s="234"/>
      <c r="G10" s="238"/>
      <c r="H10" s="8" t="s">
        <v>12</v>
      </c>
      <c r="I10" s="7" t="s">
        <v>9</v>
      </c>
      <c r="J10" s="7" t="s">
        <v>10</v>
      </c>
      <c r="K10" s="7" t="s">
        <v>11</v>
      </c>
      <c r="L10" s="7" t="s">
        <v>10</v>
      </c>
      <c r="M10" s="7" t="s">
        <v>1</v>
      </c>
      <c r="N10" s="8" t="s">
        <v>12</v>
      </c>
      <c r="O10" s="8" t="s">
        <v>12</v>
      </c>
      <c r="P10" s="7" t="s">
        <v>9</v>
      </c>
      <c r="Q10" s="7" t="s">
        <v>10</v>
      </c>
      <c r="R10" s="7" t="s">
        <v>11</v>
      </c>
      <c r="S10" s="7" t="s">
        <v>10</v>
      </c>
      <c r="T10" s="7" t="s">
        <v>1</v>
      </c>
      <c r="U10" s="8" t="s">
        <v>12</v>
      </c>
      <c r="V10" s="8" t="s">
        <v>12</v>
      </c>
      <c r="W10" s="7" t="s">
        <v>9</v>
      </c>
      <c r="X10" s="7" t="s">
        <v>10</v>
      </c>
      <c r="Y10" s="7" t="s">
        <v>11</v>
      </c>
      <c r="Z10" s="7" t="s">
        <v>10</v>
      </c>
      <c r="AA10" s="7" t="s">
        <v>1</v>
      </c>
      <c r="AB10" s="8" t="s">
        <v>12</v>
      </c>
      <c r="AC10" s="8" t="s">
        <v>12</v>
      </c>
      <c r="AD10" s="7" t="s">
        <v>9</v>
      </c>
      <c r="AE10" s="7" t="s">
        <v>10</v>
      </c>
      <c r="AF10" s="7" t="s">
        <v>11</v>
      </c>
      <c r="AG10" s="7" t="s">
        <v>10</v>
      </c>
      <c r="AH10" s="7" t="s">
        <v>1</v>
      </c>
      <c r="AI10" s="8" t="s">
        <v>12</v>
      </c>
      <c r="AJ10" s="8" t="s">
        <v>12</v>
      </c>
      <c r="AK10" s="7" t="s">
        <v>9</v>
      </c>
      <c r="AL10" s="7" t="s">
        <v>10</v>
      </c>
      <c r="AM10" s="241"/>
      <c r="AN10" s="240"/>
      <c r="AO10" s="238"/>
      <c r="AP10" s="240"/>
      <c r="AQ10" s="240"/>
      <c r="AR10" s="240"/>
      <c r="AS10" s="28"/>
      <c r="AT10" s="235"/>
      <c r="AU10" s="235"/>
      <c r="AW10" s="51"/>
    </row>
    <row r="11" spans="1:51" s="34" customFormat="1" ht="16" customHeight="1" x14ac:dyDescent="0.4">
      <c r="A11" s="28"/>
      <c r="B11" s="236"/>
      <c r="C11" s="236"/>
      <c r="D11" s="236"/>
      <c r="E11" s="233"/>
      <c r="F11" s="234"/>
      <c r="G11" s="239"/>
      <c r="H11" s="56">
        <v>1</v>
      </c>
      <c r="I11" s="29">
        <f t="shared" ref="I11:U11" si="0">H11+1</f>
        <v>2</v>
      </c>
      <c r="J11" s="29">
        <f t="shared" si="0"/>
        <v>3</v>
      </c>
      <c r="K11" s="29">
        <f t="shared" si="0"/>
        <v>4</v>
      </c>
      <c r="L11" s="29">
        <f t="shared" si="0"/>
        <v>5</v>
      </c>
      <c r="M11" s="29">
        <f t="shared" si="0"/>
        <v>6</v>
      </c>
      <c r="N11" s="56">
        <f t="shared" si="0"/>
        <v>7</v>
      </c>
      <c r="O11" s="56">
        <f t="shared" si="0"/>
        <v>8</v>
      </c>
      <c r="P11" s="29">
        <f t="shared" si="0"/>
        <v>9</v>
      </c>
      <c r="Q11" s="29">
        <f t="shared" si="0"/>
        <v>10</v>
      </c>
      <c r="R11" s="29">
        <f t="shared" si="0"/>
        <v>11</v>
      </c>
      <c r="S11" s="29">
        <f t="shared" si="0"/>
        <v>12</v>
      </c>
      <c r="T11" s="29">
        <f t="shared" si="0"/>
        <v>13</v>
      </c>
      <c r="U11" s="56">
        <f t="shared" si="0"/>
        <v>14</v>
      </c>
      <c r="V11" s="56">
        <v>15</v>
      </c>
      <c r="W11" s="29">
        <f t="shared" ref="W11" si="1">V11+1</f>
        <v>16</v>
      </c>
      <c r="X11" s="29">
        <f t="shared" ref="X11" si="2">W11+1</f>
        <v>17</v>
      </c>
      <c r="Y11" s="29">
        <f t="shared" ref="Y11" si="3">X11+1</f>
        <v>18</v>
      </c>
      <c r="Z11" s="29">
        <f t="shared" ref="Z11" si="4">Y11+1</f>
        <v>19</v>
      </c>
      <c r="AA11" s="29">
        <f t="shared" ref="AA11" si="5">Z11+1</f>
        <v>20</v>
      </c>
      <c r="AB11" s="56">
        <f t="shared" ref="AB11" si="6">AA11+1</f>
        <v>21</v>
      </c>
      <c r="AC11" s="56">
        <f t="shared" ref="AC11" si="7">AB11+1</f>
        <v>22</v>
      </c>
      <c r="AD11" s="29">
        <f t="shared" ref="AD11" si="8">AC11+1</f>
        <v>23</v>
      </c>
      <c r="AE11" s="29">
        <f t="shared" ref="AE11" si="9">AD11+1</f>
        <v>24</v>
      </c>
      <c r="AF11" s="29">
        <f t="shared" ref="AF11" si="10">AE11+1</f>
        <v>25</v>
      </c>
      <c r="AG11" s="29">
        <f t="shared" ref="AG11" si="11">AF11+1</f>
        <v>26</v>
      </c>
      <c r="AH11" s="29">
        <f t="shared" ref="AH11" si="12">AG11+1</f>
        <v>27</v>
      </c>
      <c r="AI11" s="56">
        <f t="shared" ref="AI11" si="13">AH11+1</f>
        <v>28</v>
      </c>
      <c r="AJ11" s="56">
        <f t="shared" ref="AJ11" si="14">AI11+1</f>
        <v>29</v>
      </c>
      <c r="AK11" s="29">
        <f t="shared" ref="AK11" si="15">AJ11+1</f>
        <v>30</v>
      </c>
      <c r="AL11" s="29">
        <f t="shared" ref="AL11" si="16">AK11+1</f>
        <v>31</v>
      </c>
      <c r="AM11" s="241"/>
      <c r="AN11" s="240"/>
      <c r="AO11" s="238"/>
      <c r="AP11" s="240"/>
      <c r="AQ11" s="240"/>
      <c r="AR11" s="240"/>
      <c r="AS11" s="28"/>
      <c r="AT11" s="59" t="s">
        <v>4</v>
      </c>
      <c r="AU11" s="7" t="s">
        <v>53</v>
      </c>
      <c r="AW11" s="51"/>
    </row>
    <row r="12" spans="1:51" s="127" customFormat="1" ht="16" customHeight="1" x14ac:dyDescent="0.4">
      <c r="A12" s="126"/>
      <c r="B12" s="129"/>
      <c r="C12" s="129"/>
      <c r="D12" s="129"/>
      <c r="E12" s="130"/>
      <c r="F12" s="130"/>
      <c r="G12" s="131"/>
      <c r="H12" s="39"/>
      <c r="I12" s="132"/>
      <c r="J12" s="132"/>
      <c r="K12" s="132"/>
      <c r="L12" s="132"/>
      <c r="M12" s="132"/>
      <c r="N12" s="39"/>
      <c r="O12" s="39"/>
      <c r="P12" s="132"/>
      <c r="Q12" s="132"/>
      <c r="R12" s="132"/>
      <c r="S12" s="132"/>
      <c r="T12" s="132"/>
      <c r="U12" s="39"/>
      <c r="V12" s="39"/>
      <c r="W12" s="132"/>
      <c r="X12" s="132"/>
      <c r="Y12" s="132"/>
      <c r="Z12" s="132"/>
      <c r="AA12" s="132"/>
      <c r="AB12" s="39"/>
      <c r="AC12" s="39"/>
      <c r="AD12" s="132"/>
      <c r="AE12" s="132"/>
      <c r="AF12" s="132"/>
      <c r="AG12" s="132"/>
      <c r="AH12" s="132"/>
      <c r="AI12" s="39"/>
      <c r="AJ12" s="39"/>
      <c r="AK12" s="132"/>
      <c r="AL12" s="38"/>
      <c r="AM12" s="133"/>
      <c r="AN12" s="134"/>
      <c r="AO12" s="135"/>
      <c r="AP12" s="134"/>
      <c r="AQ12" s="134"/>
      <c r="AR12" s="134"/>
      <c r="AS12" s="126"/>
      <c r="AT12" s="136"/>
      <c r="AU12" s="137"/>
      <c r="AW12" s="128"/>
    </row>
    <row r="13" spans="1:51" ht="16" customHeight="1" x14ac:dyDescent="0.4">
      <c r="A13" s="34"/>
      <c r="B13" s="44" t="s">
        <v>145</v>
      </c>
      <c r="C13" s="40" t="s">
        <v>146</v>
      </c>
      <c r="D13" s="40" t="s">
        <v>21</v>
      </c>
      <c r="E13" s="43" t="s">
        <v>26</v>
      </c>
      <c r="F13" s="138" t="s">
        <v>134</v>
      </c>
      <c r="G13" s="32" t="s">
        <v>14</v>
      </c>
      <c r="H13" s="39"/>
      <c r="I13" s="12"/>
      <c r="J13" s="38"/>
      <c r="K13" s="38"/>
      <c r="L13" s="38"/>
      <c r="M13" s="38"/>
      <c r="N13" s="39"/>
      <c r="O13" s="39"/>
      <c r="P13" s="38"/>
      <c r="Q13" s="38"/>
      <c r="R13" s="38"/>
      <c r="S13" s="12"/>
      <c r="T13" s="12">
        <v>5</v>
      </c>
      <c r="U13" s="39">
        <v>5</v>
      </c>
      <c r="V13" s="39">
        <v>5</v>
      </c>
      <c r="W13" s="12">
        <v>5</v>
      </c>
      <c r="X13" s="38">
        <v>5</v>
      </c>
      <c r="Y13" s="38">
        <v>5</v>
      </c>
      <c r="Z13" s="38">
        <v>5</v>
      </c>
      <c r="AA13" s="38"/>
      <c r="AB13" s="39"/>
      <c r="AC13" s="39"/>
      <c r="AD13" s="38"/>
      <c r="AE13" s="38"/>
      <c r="AF13" s="38"/>
      <c r="AG13" s="12"/>
      <c r="AH13" s="12"/>
      <c r="AI13" s="39"/>
      <c r="AJ13" s="39"/>
      <c r="AK13" s="12"/>
      <c r="AL13" s="38"/>
      <c r="AM13" s="53">
        <f>SUM(H13:AL13)</f>
        <v>35</v>
      </c>
      <c r="AN13" s="20">
        <v>500</v>
      </c>
      <c r="AO13" s="41">
        <v>0.45</v>
      </c>
      <c r="AP13" s="20">
        <f>AN13*(1-AO13)</f>
        <v>275</v>
      </c>
      <c r="AQ13" s="20">
        <f>AP13*AM13</f>
        <v>9625</v>
      </c>
      <c r="AR13" s="20">
        <f>AQ13*0.8</f>
        <v>7700</v>
      </c>
      <c r="AS13" s="28"/>
      <c r="AT13" s="99">
        <f>SUM(H13:AL13
)</f>
        <v>35</v>
      </c>
      <c r="AU13" s="197">
        <f>AT13*AP13*0.8</f>
        <v>7700</v>
      </c>
      <c r="AY13" s="118"/>
    </row>
    <row r="14" spans="1:51" ht="16" customHeight="1" x14ac:dyDescent="0.4">
      <c r="A14" s="28"/>
      <c r="B14" s="47"/>
      <c r="C14" s="111"/>
      <c r="D14" s="111"/>
      <c r="E14" s="43"/>
      <c r="F14" s="58"/>
      <c r="G14" s="32"/>
      <c r="H14" s="39"/>
      <c r="I14" s="38"/>
      <c r="J14" s="38"/>
      <c r="K14" s="38"/>
      <c r="L14" s="38"/>
      <c r="M14" s="38"/>
      <c r="N14" s="39"/>
      <c r="O14" s="39"/>
      <c r="P14" s="38"/>
      <c r="Q14" s="38"/>
      <c r="R14" s="38"/>
      <c r="S14" s="38"/>
      <c r="T14" s="38"/>
      <c r="U14" s="39"/>
      <c r="V14" s="39"/>
      <c r="W14" s="38"/>
      <c r="X14" s="38"/>
      <c r="Y14" s="38"/>
      <c r="Z14" s="38"/>
      <c r="AA14" s="38"/>
      <c r="AB14" s="39"/>
      <c r="AC14" s="39"/>
      <c r="AD14" s="38"/>
      <c r="AE14" s="38"/>
      <c r="AF14" s="38"/>
      <c r="AG14" s="38"/>
      <c r="AH14" s="38"/>
      <c r="AI14" s="39"/>
      <c r="AJ14" s="39"/>
      <c r="AK14" s="38"/>
      <c r="AL14" s="38"/>
      <c r="AM14" s="52"/>
      <c r="AN14" s="45"/>
      <c r="AO14" s="54"/>
      <c r="AP14" s="45"/>
      <c r="AQ14" s="45"/>
      <c r="AR14" s="45"/>
      <c r="AS14" s="28"/>
      <c r="AT14" s="103">
        <f>SUM(AT13:AT13)</f>
        <v>35</v>
      </c>
      <c r="AU14" s="104">
        <f>SUM(AU13:AU13)</f>
        <v>7700</v>
      </c>
    </row>
    <row r="15" spans="1:51" ht="16" customHeight="1" x14ac:dyDescent="0.4">
      <c r="A15" s="28"/>
      <c r="B15" s="129"/>
      <c r="C15" s="129"/>
      <c r="D15" s="129"/>
      <c r="E15" s="130"/>
      <c r="F15" s="130"/>
      <c r="G15" s="131"/>
      <c r="H15" s="39"/>
      <c r="I15" s="132"/>
      <c r="J15" s="132"/>
      <c r="K15" s="132"/>
      <c r="L15" s="132"/>
      <c r="M15" s="132"/>
      <c r="N15" s="39"/>
      <c r="O15" s="39"/>
      <c r="P15" s="132"/>
      <c r="Q15" s="132"/>
      <c r="R15" s="132"/>
      <c r="S15" s="132"/>
      <c r="T15" s="132"/>
      <c r="U15" s="39"/>
      <c r="V15" s="39"/>
      <c r="W15" s="132"/>
      <c r="X15" s="132"/>
      <c r="Y15" s="132"/>
      <c r="Z15" s="132"/>
      <c r="AA15" s="132"/>
      <c r="AB15" s="39"/>
      <c r="AC15" s="39"/>
      <c r="AD15" s="132"/>
      <c r="AE15" s="132"/>
      <c r="AF15" s="132"/>
      <c r="AG15" s="132"/>
      <c r="AH15" s="132"/>
      <c r="AI15" s="39"/>
      <c r="AJ15" s="39"/>
      <c r="AK15" s="132"/>
      <c r="AL15" s="38"/>
      <c r="AM15" s="133"/>
      <c r="AN15" s="134"/>
      <c r="AO15" s="135"/>
      <c r="AP15" s="134"/>
      <c r="AQ15" s="134"/>
      <c r="AR15" s="134"/>
      <c r="AS15" s="126"/>
      <c r="AT15" s="136"/>
      <c r="AU15" s="137"/>
    </row>
    <row r="16" spans="1:51" ht="17.399999999999999" customHeight="1" x14ac:dyDescent="0.4">
      <c r="A16" s="28"/>
      <c r="B16" s="44"/>
      <c r="C16" s="40" t="s">
        <v>147</v>
      </c>
      <c r="D16" s="40" t="s">
        <v>21</v>
      </c>
      <c r="E16" s="43" t="s">
        <v>26</v>
      </c>
      <c r="F16" s="138" t="s">
        <v>134</v>
      </c>
      <c r="G16" s="32" t="s">
        <v>14</v>
      </c>
      <c r="H16" s="39"/>
      <c r="I16" s="12"/>
      <c r="J16" s="38"/>
      <c r="K16" s="38"/>
      <c r="L16" s="38"/>
      <c r="M16" s="38"/>
      <c r="N16" s="39"/>
      <c r="O16" s="39"/>
      <c r="P16" s="38"/>
      <c r="Q16" s="38"/>
      <c r="R16" s="38"/>
      <c r="S16" s="12"/>
      <c r="T16" s="12">
        <v>5</v>
      </c>
      <c r="U16" s="39">
        <v>5</v>
      </c>
      <c r="V16" s="39">
        <v>5</v>
      </c>
      <c r="W16" s="12">
        <v>5</v>
      </c>
      <c r="X16" s="38">
        <v>5</v>
      </c>
      <c r="Y16" s="38">
        <v>5</v>
      </c>
      <c r="Z16" s="38">
        <v>5</v>
      </c>
      <c r="AA16" s="38"/>
      <c r="AB16" s="39"/>
      <c r="AC16" s="39"/>
      <c r="AD16" s="38"/>
      <c r="AE16" s="38"/>
      <c r="AF16" s="38"/>
      <c r="AG16" s="12"/>
      <c r="AH16" s="12"/>
      <c r="AI16" s="39"/>
      <c r="AJ16" s="39"/>
      <c r="AK16" s="12"/>
      <c r="AL16" s="38"/>
      <c r="AM16" s="53">
        <f>SUM(H16:AL16)</f>
        <v>35</v>
      </c>
      <c r="AN16" s="20">
        <v>420</v>
      </c>
      <c r="AO16" s="41">
        <v>0.45</v>
      </c>
      <c r="AP16" s="20">
        <f>AN16*(1-AO16)</f>
        <v>231.00000000000003</v>
      </c>
      <c r="AQ16" s="20">
        <f>AP16*AM16</f>
        <v>8085.0000000000009</v>
      </c>
      <c r="AR16" s="20">
        <f>AQ16*0.8</f>
        <v>6468.0000000000009</v>
      </c>
      <c r="AS16" s="28"/>
      <c r="AT16" s="99">
        <f>SUM(H16:AL16
)</f>
        <v>35</v>
      </c>
      <c r="AU16" s="197">
        <f>AT16*AP16*0.8</f>
        <v>6468.0000000000009</v>
      </c>
    </row>
    <row r="17" spans="1:49" ht="16" customHeight="1" x14ac:dyDescent="0.4">
      <c r="A17" s="28"/>
      <c r="B17" s="44"/>
      <c r="C17" s="111"/>
      <c r="D17" s="111"/>
      <c r="E17" s="43"/>
      <c r="F17" s="58"/>
      <c r="G17" s="32"/>
      <c r="H17" s="39"/>
      <c r="I17" s="38"/>
      <c r="J17" s="38"/>
      <c r="K17" s="38"/>
      <c r="L17" s="38"/>
      <c r="M17" s="38"/>
      <c r="N17" s="39"/>
      <c r="O17" s="39"/>
      <c r="P17" s="38"/>
      <c r="Q17" s="38"/>
      <c r="R17" s="38"/>
      <c r="S17" s="38"/>
      <c r="T17" s="38"/>
      <c r="U17" s="39"/>
      <c r="V17" s="39"/>
      <c r="W17" s="38"/>
      <c r="X17" s="38"/>
      <c r="Y17" s="38"/>
      <c r="Z17" s="38"/>
      <c r="AA17" s="38"/>
      <c r="AB17" s="39"/>
      <c r="AC17" s="39"/>
      <c r="AD17" s="38"/>
      <c r="AE17" s="38"/>
      <c r="AF17" s="38"/>
      <c r="AG17" s="38"/>
      <c r="AH17" s="38"/>
      <c r="AI17" s="39"/>
      <c r="AJ17" s="39"/>
      <c r="AK17" s="38"/>
      <c r="AL17" s="38"/>
      <c r="AM17" s="52"/>
      <c r="AN17" s="45"/>
      <c r="AO17" s="54"/>
      <c r="AP17" s="45"/>
      <c r="AQ17" s="45"/>
      <c r="AR17" s="45"/>
      <c r="AS17" s="28"/>
      <c r="AT17" s="103">
        <f>SUM(AT16:AT16)</f>
        <v>35</v>
      </c>
      <c r="AU17" s="104">
        <f>SUM(AU16:AU16)</f>
        <v>6468.0000000000009</v>
      </c>
    </row>
    <row r="18" spans="1:49" ht="16" customHeight="1" x14ac:dyDescent="0.4">
      <c r="A18" s="28"/>
      <c r="B18" s="44"/>
      <c r="C18" s="43"/>
      <c r="D18" s="129"/>
      <c r="E18" s="130"/>
      <c r="F18" s="130"/>
      <c r="G18" s="131"/>
      <c r="H18" s="39"/>
      <c r="I18" s="132"/>
      <c r="J18" s="132"/>
      <c r="K18" s="132"/>
      <c r="L18" s="132"/>
      <c r="M18" s="132"/>
      <c r="N18" s="39"/>
      <c r="O18" s="39"/>
      <c r="P18" s="132"/>
      <c r="Q18" s="132"/>
      <c r="R18" s="132"/>
      <c r="S18" s="132"/>
      <c r="T18" s="132"/>
      <c r="U18" s="39"/>
      <c r="V18" s="39"/>
      <c r="W18" s="132"/>
      <c r="X18" s="132"/>
      <c r="Y18" s="132"/>
      <c r="Z18" s="132"/>
      <c r="AA18" s="132"/>
      <c r="AB18" s="39"/>
      <c r="AC18" s="39"/>
      <c r="AD18" s="132"/>
      <c r="AE18" s="132"/>
      <c r="AF18" s="132"/>
      <c r="AG18" s="132"/>
      <c r="AH18" s="132"/>
      <c r="AI18" s="39"/>
      <c r="AJ18" s="39"/>
      <c r="AK18" s="132"/>
      <c r="AL18" s="38"/>
      <c r="AM18" s="133"/>
      <c r="AN18" s="134"/>
      <c r="AO18" s="135"/>
      <c r="AP18" s="134"/>
      <c r="AQ18" s="134"/>
      <c r="AR18" s="134"/>
      <c r="AS18" s="126"/>
      <c r="AT18" s="136"/>
      <c r="AU18" s="137"/>
    </row>
    <row r="19" spans="1:49" ht="16" customHeight="1" x14ac:dyDescent="0.4">
      <c r="A19" s="28"/>
      <c r="B19" s="44"/>
      <c r="C19" s="40" t="s">
        <v>148</v>
      </c>
      <c r="D19" s="40" t="s">
        <v>21</v>
      </c>
      <c r="E19" s="43" t="s">
        <v>26</v>
      </c>
      <c r="F19" s="138" t="s">
        <v>134</v>
      </c>
      <c r="G19" s="32" t="s">
        <v>14</v>
      </c>
      <c r="H19" s="39"/>
      <c r="I19" s="12"/>
      <c r="J19" s="38"/>
      <c r="K19" s="38"/>
      <c r="L19" s="38"/>
      <c r="M19" s="38"/>
      <c r="N19" s="39"/>
      <c r="O19" s="39"/>
      <c r="P19" s="38"/>
      <c r="Q19" s="38"/>
      <c r="R19" s="38"/>
      <c r="S19" s="12"/>
      <c r="T19" s="12">
        <v>5</v>
      </c>
      <c r="U19" s="39">
        <v>5</v>
      </c>
      <c r="V19" s="39">
        <v>5</v>
      </c>
      <c r="W19" s="12">
        <v>5</v>
      </c>
      <c r="X19" s="38">
        <v>5</v>
      </c>
      <c r="Y19" s="38">
        <v>5</v>
      </c>
      <c r="Z19" s="38">
        <v>5</v>
      </c>
      <c r="AA19" s="38"/>
      <c r="AB19" s="39"/>
      <c r="AC19" s="39"/>
      <c r="AD19" s="38"/>
      <c r="AE19" s="38"/>
      <c r="AF19" s="38"/>
      <c r="AG19" s="12"/>
      <c r="AH19" s="12"/>
      <c r="AI19" s="39"/>
      <c r="AJ19" s="39"/>
      <c r="AK19" s="12"/>
      <c r="AL19" s="38"/>
      <c r="AM19" s="53">
        <f>SUM(H19:AL19)</f>
        <v>35</v>
      </c>
      <c r="AN19" s="20">
        <v>370</v>
      </c>
      <c r="AO19" s="41">
        <v>0.45</v>
      </c>
      <c r="AP19" s="20">
        <f>AN19*(1-AO19)</f>
        <v>203.50000000000003</v>
      </c>
      <c r="AQ19" s="20">
        <f>AP19*AM19</f>
        <v>7122.5000000000009</v>
      </c>
      <c r="AR19" s="20">
        <f>AQ19*0.8</f>
        <v>5698.0000000000009</v>
      </c>
      <c r="AS19" s="28"/>
      <c r="AT19" s="99">
        <f>SUM(H19:AL19
)</f>
        <v>35</v>
      </c>
      <c r="AU19" s="197">
        <f>AT19*AP19*0.8</f>
        <v>5698.0000000000009</v>
      </c>
    </row>
    <row r="20" spans="1:49" ht="16" customHeight="1" x14ac:dyDescent="0.4">
      <c r="A20" s="28"/>
      <c r="B20" s="44"/>
      <c r="C20" s="111"/>
      <c r="D20" s="111"/>
      <c r="E20" s="43"/>
      <c r="F20" s="58"/>
      <c r="G20" s="32"/>
      <c r="H20" s="39"/>
      <c r="I20" s="38"/>
      <c r="J20" s="38"/>
      <c r="K20" s="38"/>
      <c r="L20" s="38"/>
      <c r="M20" s="38"/>
      <c r="N20" s="39"/>
      <c r="O20" s="39"/>
      <c r="P20" s="38"/>
      <c r="Q20" s="38"/>
      <c r="R20" s="38"/>
      <c r="S20" s="38"/>
      <c r="T20" s="38"/>
      <c r="U20" s="39"/>
      <c r="V20" s="39"/>
      <c r="W20" s="38"/>
      <c r="X20" s="38"/>
      <c r="Y20" s="38"/>
      <c r="Z20" s="38"/>
      <c r="AA20" s="38"/>
      <c r="AB20" s="39"/>
      <c r="AC20" s="39"/>
      <c r="AD20" s="38"/>
      <c r="AE20" s="38"/>
      <c r="AF20" s="38"/>
      <c r="AG20" s="38"/>
      <c r="AH20" s="38"/>
      <c r="AI20" s="39"/>
      <c r="AJ20" s="39"/>
      <c r="AK20" s="38"/>
      <c r="AL20" s="38"/>
      <c r="AM20" s="52"/>
      <c r="AN20" s="45"/>
      <c r="AO20" s="54"/>
      <c r="AP20" s="45"/>
      <c r="AQ20" s="45"/>
      <c r="AR20" s="45"/>
      <c r="AS20" s="28"/>
      <c r="AT20" s="103">
        <f>SUM(AT19:AT19)</f>
        <v>35</v>
      </c>
      <c r="AU20" s="104">
        <f>SUM(AU19:AU19)</f>
        <v>5698.0000000000009</v>
      </c>
    </row>
    <row r="21" spans="1:49" ht="16" customHeight="1" x14ac:dyDescent="0.4">
      <c r="A21" s="28"/>
      <c r="B21" s="44"/>
      <c r="C21" s="43"/>
      <c r="D21" s="129"/>
      <c r="E21" s="130"/>
      <c r="F21" s="130"/>
      <c r="G21" s="131"/>
      <c r="H21" s="39"/>
      <c r="I21" s="132"/>
      <c r="J21" s="132"/>
      <c r="K21" s="132"/>
      <c r="L21" s="132"/>
      <c r="M21" s="132"/>
      <c r="N21" s="39"/>
      <c r="O21" s="39"/>
      <c r="P21" s="132"/>
      <c r="Q21" s="132"/>
      <c r="R21" s="132"/>
      <c r="S21" s="132"/>
      <c r="T21" s="132"/>
      <c r="U21" s="39"/>
      <c r="V21" s="39"/>
      <c r="W21" s="132"/>
      <c r="X21" s="132"/>
      <c r="Y21" s="132"/>
      <c r="Z21" s="132"/>
      <c r="AA21" s="132"/>
      <c r="AB21" s="39"/>
      <c r="AC21" s="39"/>
      <c r="AD21" s="132"/>
      <c r="AE21" s="132"/>
      <c r="AF21" s="132"/>
      <c r="AG21" s="132"/>
      <c r="AH21" s="132"/>
      <c r="AI21" s="39"/>
      <c r="AJ21" s="39"/>
      <c r="AK21" s="132"/>
      <c r="AL21" s="38"/>
      <c r="AM21" s="133"/>
      <c r="AN21" s="134"/>
      <c r="AO21" s="135"/>
      <c r="AP21" s="134"/>
      <c r="AQ21" s="134"/>
      <c r="AR21" s="134"/>
      <c r="AS21" s="126"/>
      <c r="AT21" s="136"/>
      <c r="AU21" s="137"/>
    </row>
    <row r="22" spans="1:49" ht="16" customHeight="1" x14ac:dyDescent="0.4">
      <c r="A22" s="28"/>
      <c r="B22" s="44"/>
      <c r="C22" s="40" t="s">
        <v>151</v>
      </c>
      <c r="D22" s="40" t="s">
        <v>21</v>
      </c>
      <c r="E22" s="43" t="s">
        <v>26</v>
      </c>
      <c r="F22" s="138" t="s">
        <v>134</v>
      </c>
      <c r="G22" s="32" t="s">
        <v>14</v>
      </c>
      <c r="H22" s="39"/>
      <c r="I22" s="12"/>
      <c r="J22" s="38"/>
      <c r="K22" s="38"/>
      <c r="L22" s="38"/>
      <c r="M22" s="38"/>
      <c r="N22" s="39"/>
      <c r="O22" s="39"/>
      <c r="P22" s="38"/>
      <c r="Q22" s="38"/>
      <c r="R22" s="38"/>
      <c r="S22" s="12"/>
      <c r="T22" s="12">
        <v>5</v>
      </c>
      <c r="U22" s="39">
        <v>5</v>
      </c>
      <c r="V22" s="39">
        <v>5</v>
      </c>
      <c r="W22" s="12">
        <v>5</v>
      </c>
      <c r="X22" s="38">
        <v>5</v>
      </c>
      <c r="Y22" s="38">
        <v>5</v>
      </c>
      <c r="Z22" s="38">
        <v>5</v>
      </c>
      <c r="AA22" s="38"/>
      <c r="AB22" s="39"/>
      <c r="AC22" s="39"/>
      <c r="AD22" s="38"/>
      <c r="AE22" s="38"/>
      <c r="AF22" s="38"/>
      <c r="AG22" s="12"/>
      <c r="AH22" s="12"/>
      <c r="AI22" s="39"/>
      <c r="AJ22" s="39"/>
      <c r="AK22" s="12"/>
      <c r="AL22" s="38"/>
      <c r="AM22" s="53">
        <f>SUM(H22:AL22)</f>
        <v>35</v>
      </c>
      <c r="AN22" s="20">
        <v>35</v>
      </c>
      <c r="AO22" s="41">
        <v>0.25</v>
      </c>
      <c r="AP22" s="20">
        <f>AN22*(1-AO22)</f>
        <v>26.25</v>
      </c>
      <c r="AQ22" s="20">
        <f>AP22*AM22</f>
        <v>918.75</v>
      </c>
      <c r="AR22" s="20">
        <f>AQ22*0.8</f>
        <v>735</v>
      </c>
      <c r="AS22" s="28"/>
      <c r="AT22" s="99">
        <f>SUM(H22:AL22
)</f>
        <v>35</v>
      </c>
      <c r="AU22" s="197">
        <f>AT22*AP22*0.8</f>
        <v>735</v>
      </c>
    </row>
    <row r="23" spans="1:49" ht="16" customHeight="1" x14ac:dyDescent="0.4">
      <c r="A23" s="28"/>
      <c r="B23" s="44"/>
      <c r="C23" s="111"/>
      <c r="D23" s="111"/>
      <c r="E23" s="43"/>
      <c r="F23" s="58"/>
      <c r="G23" s="32"/>
      <c r="H23" s="39"/>
      <c r="I23" s="38"/>
      <c r="J23" s="38"/>
      <c r="K23" s="38"/>
      <c r="L23" s="38"/>
      <c r="M23" s="38"/>
      <c r="N23" s="39"/>
      <c r="O23" s="39"/>
      <c r="P23" s="38"/>
      <c r="Q23" s="38"/>
      <c r="R23" s="38"/>
      <c r="S23" s="38"/>
      <c r="T23" s="38"/>
      <c r="U23" s="39"/>
      <c r="V23" s="39"/>
      <c r="W23" s="38"/>
      <c r="X23" s="38"/>
      <c r="Y23" s="38"/>
      <c r="Z23" s="38"/>
      <c r="AA23" s="38"/>
      <c r="AB23" s="39"/>
      <c r="AC23" s="39"/>
      <c r="AD23" s="38"/>
      <c r="AE23" s="38"/>
      <c r="AF23" s="38"/>
      <c r="AG23" s="38"/>
      <c r="AH23" s="38"/>
      <c r="AI23" s="39"/>
      <c r="AJ23" s="39"/>
      <c r="AK23" s="38"/>
      <c r="AL23" s="38"/>
      <c r="AM23" s="52"/>
      <c r="AN23" s="45"/>
      <c r="AO23" s="54"/>
      <c r="AP23" s="45"/>
      <c r="AQ23" s="45"/>
      <c r="AR23" s="45"/>
      <c r="AS23" s="28"/>
      <c r="AT23" s="103">
        <f>SUM(AT22:AT22)</f>
        <v>35</v>
      </c>
      <c r="AU23" s="104">
        <f>SUM(AU22:AU22)</f>
        <v>735</v>
      </c>
    </row>
    <row r="24" spans="1:49" ht="16" customHeight="1" x14ac:dyDescent="0.4">
      <c r="A24" s="28"/>
      <c r="B24" s="44"/>
      <c r="C24" s="43"/>
      <c r="D24" s="129"/>
      <c r="E24" s="130"/>
      <c r="F24" s="130"/>
      <c r="G24" s="131"/>
      <c r="H24" s="39"/>
      <c r="I24" s="132"/>
      <c r="J24" s="132"/>
      <c r="K24" s="132"/>
      <c r="L24" s="132"/>
      <c r="M24" s="132"/>
      <c r="N24" s="39"/>
      <c r="O24" s="39"/>
      <c r="P24" s="132"/>
      <c r="Q24" s="132"/>
      <c r="R24" s="132"/>
      <c r="S24" s="132"/>
      <c r="T24" s="132"/>
      <c r="U24" s="39"/>
      <c r="V24" s="39"/>
      <c r="W24" s="132"/>
      <c r="X24" s="132"/>
      <c r="Y24" s="132"/>
      <c r="Z24" s="132"/>
      <c r="AA24" s="132"/>
      <c r="AB24" s="39"/>
      <c r="AC24" s="39"/>
      <c r="AD24" s="132"/>
      <c r="AE24" s="132"/>
      <c r="AF24" s="132"/>
      <c r="AG24" s="132"/>
      <c r="AH24" s="132"/>
      <c r="AI24" s="39"/>
      <c r="AJ24" s="39"/>
      <c r="AK24" s="132"/>
      <c r="AL24" s="38"/>
      <c r="AM24" s="133"/>
      <c r="AN24" s="134"/>
      <c r="AO24" s="135"/>
      <c r="AP24" s="134"/>
      <c r="AQ24" s="134"/>
      <c r="AR24" s="134"/>
      <c r="AS24" s="126"/>
      <c r="AT24" s="136"/>
      <c r="AU24" s="137"/>
    </row>
    <row r="25" spans="1:49" ht="16" customHeight="1" x14ac:dyDescent="0.4">
      <c r="A25" s="28"/>
      <c r="B25" s="44"/>
      <c r="C25" s="40" t="s">
        <v>149</v>
      </c>
      <c r="D25" s="40" t="s">
        <v>21</v>
      </c>
      <c r="E25" s="43" t="s">
        <v>26</v>
      </c>
      <c r="F25" s="138" t="s">
        <v>134</v>
      </c>
      <c r="G25" s="32" t="s">
        <v>14</v>
      </c>
      <c r="H25" s="39"/>
      <c r="I25" s="12"/>
      <c r="J25" s="38"/>
      <c r="K25" s="38"/>
      <c r="L25" s="38"/>
      <c r="M25" s="38"/>
      <c r="N25" s="39"/>
      <c r="O25" s="39"/>
      <c r="P25" s="38"/>
      <c r="Q25" s="38"/>
      <c r="R25" s="38"/>
      <c r="S25" s="12"/>
      <c r="T25" s="12">
        <v>5</v>
      </c>
      <c r="U25" s="39">
        <v>5</v>
      </c>
      <c r="V25" s="39">
        <v>5</v>
      </c>
      <c r="W25" s="12">
        <v>5</v>
      </c>
      <c r="X25" s="38">
        <v>5</v>
      </c>
      <c r="Y25" s="38">
        <v>5</v>
      </c>
      <c r="Z25" s="38">
        <v>5</v>
      </c>
      <c r="AA25" s="38"/>
      <c r="AB25" s="39"/>
      <c r="AC25" s="39"/>
      <c r="AD25" s="38"/>
      <c r="AE25" s="38"/>
      <c r="AF25" s="38"/>
      <c r="AG25" s="12"/>
      <c r="AH25" s="12"/>
      <c r="AI25" s="39"/>
      <c r="AJ25" s="39"/>
      <c r="AK25" s="12"/>
      <c r="AL25" s="38"/>
      <c r="AM25" s="53">
        <f>SUM(H25:AL25)</f>
        <v>35</v>
      </c>
      <c r="AN25" s="20">
        <v>359</v>
      </c>
      <c r="AO25" s="41">
        <v>0.8</v>
      </c>
      <c r="AP25" s="20">
        <f>AN25*(1-AO25)</f>
        <v>71.799999999999983</v>
      </c>
      <c r="AQ25" s="20">
        <f>AP25*AM25</f>
        <v>2512.9999999999995</v>
      </c>
      <c r="AR25" s="20">
        <f>AQ25*0.8</f>
        <v>2010.3999999999996</v>
      </c>
      <c r="AS25" s="28"/>
      <c r="AT25" s="99">
        <f>SUM(H25:AL25
)</f>
        <v>35</v>
      </c>
      <c r="AU25" s="197">
        <f>AT25*AP25*0.8</f>
        <v>2010.3999999999996</v>
      </c>
    </row>
    <row r="26" spans="1:49" ht="16" customHeight="1" x14ac:dyDescent="0.4">
      <c r="A26" s="28"/>
      <c r="B26" s="44"/>
      <c r="C26" s="111"/>
      <c r="D26" s="111"/>
      <c r="E26" s="43"/>
      <c r="F26" s="58"/>
      <c r="G26" s="32"/>
      <c r="H26" s="39"/>
      <c r="I26" s="38"/>
      <c r="J26" s="38"/>
      <c r="K26" s="38"/>
      <c r="L26" s="38"/>
      <c r="M26" s="38"/>
      <c r="N26" s="39"/>
      <c r="O26" s="39"/>
      <c r="P26" s="38"/>
      <c r="Q26" s="38"/>
      <c r="R26" s="38"/>
      <c r="S26" s="38"/>
      <c r="T26" s="38"/>
      <c r="U26" s="39"/>
      <c r="V26" s="39"/>
      <c r="W26" s="38"/>
      <c r="X26" s="38"/>
      <c r="Y26" s="38"/>
      <c r="Z26" s="38"/>
      <c r="AA26" s="38"/>
      <c r="AB26" s="39"/>
      <c r="AC26" s="39"/>
      <c r="AD26" s="38"/>
      <c r="AE26" s="38"/>
      <c r="AF26" s="38"/>
      <c r="AG26" s="38"/>
      <c r="AH26" s="38"/>
      <c r="AI26" s="39"/>
      <c r="AJ26" s="39"/>
      <c r="AK26" s="38"/>
      <c r="AL26" s="38"/>
      <c r="AM26" s="52"/>
      <c r="AN26" s="45"/>
      <c r="AO26" s="54"/>
      <c r="AP26" s="45"/>
      <c r="AQ26" s="45"/>
      <c r="AR26" s="45"/>
      <c r="AS26" s="28"/>
      <c r="AT26" s="103">
        <f>SUM(AT25:AT25)</f>
        <v>35</v>
      </c>
      <c r="AU26" s="104">
        <f>SUM(AU25:AU25)</f>
        <v>2010.3999999999996</v>
      </c>
    </row>
    <row r="27" spans="1:49" x14ac:dyDescent="0.4">
      <c r="A27" s="28"/>
      <c r="B27" s="22" t="s">
        <v>154</v>
      </c>
      <c r="C27" s="22"/>
      <c r="D27" s="48"/>
      <c r="E27" s="48"/>
      <c r="F27" s="48"/>
      <c r="G27" s="48"/>
      <c r="H27" s="100">
        <f>SUM(H12:H26)</f>
        <v>0</v>
      </c>
      <c r="I27" s="100">
        <f t="shared" ref="I27:AL27" si="17">SUM(I12:I26)</f>
        <v>0</v>
      </c>
      <c r="J27" s="100">
        <f t="shared" si="17"/>
        <v>0</v>
      </c>
      <c r="K27" s="100">
        <f t="shared" si="17"/>
        <v>0</v>
      </c>
      <c r="L27" s="100">
        <f t="shared" si="17"/>
        <v>0</v>
      </c>
      <c r="M27" s="100">
        <f t="shared" si="17"/>
        <v>0</v>
      </c>
      <c r="N27" s="100">
        <f>SUM(N12:N26)</f>
        <v>0</v>
      </c>
      <c r="O27" s="100">
        <f t="shared" si="17"/>
        <v>0</v>
      </c>
      <c r="P27" s="100">
        <f t="shared" si="17"/>
        <v>0</v>
      </c>
      <c r="Q27" s="100">
        <f t="shared" si="17"/>
        <v>0</v>
      </c>
      <c r="R27" s="100">
        <f t="shared" si="17"/>
        <v>0</v>
      </c>
      <c r="S27" s="100">
        <f t="shared" si="17"/>
        <v>0</v>
      </c>
      <c r="T27" s="100">
        <f t="shared" si="17"/>
        <v>25</v>
      </c>
      <c r="U27" s="100">
        <f t="shared" si="17"/>
        <v>25</v>
      </c>
      <c r="V27" s="100">
        <f t="shared" si="17"/>
        <v>25</v>
      </c>
      <c r="W27" s="100">
        <f t="shared" si="17"/>
        <v>25</v>
      </c>
      <c r="X27" s="100">
        <f t="shared" si="17"/>
        <v>25</v>
      </c>
      <c r="Y27" s="100">
        <f t="shared" si="17"/>
        <v>25</v>
      </c>
      <c r="Z27" s="100">
        <f t="shared" si="17"/>
        <v>25</v>
      </c>
      <c r="AA27" s="100">
        <f t="shared" si="17"/>
        <v>0</v>
      </c>
      <c r="AB27" s="100">
        <f t="shared" si="17"/>
        <v>0</v>
      </c>
      <c r="AC27" s="100">
        <f t="shared" si="17"/>
        <v>0</v>
      </c>
      <c r="AD27" s="100">
        <f t="shared" si="17"/>
        <v>0</v>
      </c>
      <c r="AE27" s="100">
        <f t="shared" si="17"/>
        <v>0</v>
      </c>
      <c r="AF27" s="100">
        <f t="shared" si="17"/>
        <v>0</v>
      </c>
      <c r="AG27" s="100">
        <f t="shared" si="17"/>
        <v>0</v>
      </c>
      <c r="AH27" s="100">
        <f t="shared" si="17"/>
        <v>0</v>
      </c>
      <c r="AI27" s="100">
        <f t="shared" si="17"/>
        <v>0</v>
      </c>
      <c r="AJ27" s="100">
        <f t="shared" si="17"/>
        <v>0</v>
      </c>
      <c r="AK27" s="100">
        <f t="shared" si="17"/>
        <v>0</v>
      </c>
      <c r="AL27" s="100">
        <f t="shared" si="17"/>
        <v>0</v>
      </c>
      <c r="AM27" s="49">
        <f>SUM(AM13:AM25)</f>
        <v>175</v>
      </c>
      <c r="AN27" s="50"/>
      <c r="AO27" s="50"/>
      <c r="AP27" s="50"/>
      <c r="AQ27" s="50">
        <f>SUM(AQ13:AQ25)</f>
        <v>28264.25</v>
      </c>
      <c r="AR27" s="50">
        <f>SUM(AR13:AR25)</f>
        <v>22611.4</v>
      </c>
      <c r="AS27" s="34"/>
      <c r="AT27" s="101">
        <f>SUM(AT14,AT17,AT20,AT23,AT26)</f>
        <v>175</v>
      </c>
      <c r="AU27" s="105">
        <f>SUM(AU14,AU17,AU20,AU23,AU26)</f>
        <v>22611.4</v>
      </c>
      <c r="AW27" s="51" t="b">
        <f>AU27=AR27</f>
        <v>1</v>
      </c>
    </row>
    <row r="28" spans="1:49" ht="16" customHeight="1" x14ac:dyDescent="0.4">
      <c r="E28" s="32"/>
      <c r="AM28" s="98"/>
      <c r="AO28" s="112"/>
      <c r="AQ28" s="113"/>
      <c r="AR28" s="113"/>
      <c r="AW28" s="98"/>
    </row>
    <row r="29" spans="1:49" x14ac:dyDescent="0.4">
      <c r="AM29" s="98"/>
      <c r="AN29" s="139"/>
      <c r="AR29" s="114"/>
      <c r="AW29" s="98"/>
    </row>
    <row r="30" spans="1:49" x14ac:dyDescent="0.4">
      <c r="AM30" s="98"/>
      <c r="AR30" s="114"/>
      <c r="AW30" s="98"/>
    </row>
    <row r="31" spans="1:49" x14ac:dyDescent="0.4">
      <c r="AM31" s="139"/>
      <c r="AR31" s="113"/>
      <c r="AW31" s="98"/>
    </row>
    <row r="32" spans="1:49" x14ac:dyDescent="0.4">
      <c r="AM32" s="98"/>
      <c r="AN32" s="139"/>
      <c r="AQ32" s="113"/>
      <c r="AR32" s="113"/>
      <c r="AW32" s="98"/>
    </row>
    <row r="33" spans="39:49" x14ac:dyDescent="0.4">
      <c r="AM33" s="98"/>
      <c r="AU33" s="114"/>
      <c r="AW33" s="98"/>
    </row>
  </sheetData>
  <mergeCells count="14">
    <mergeCell ref="G9:G11"/>
    <mergeCell ref="H9:AL9"/>
    <mergeCell ref="B9:B11"/>
    <mergeCell ref="C9:C11"/>
    <mergeCell ref="D9:D11"/>
    <mergeCell ref="E9:E11"/>
    <mergeCell ref="F9:F11"/>
    <mergeCell ref="AR9:AR11"/>
    <mergeCell ref="AT9:AU10"/>
    <mergeCell ref="AM9:AM11"/>
    <mergeCell ref="AN9:AN11"/>
    <mergeCell ref="AO9:AO11"/>
    <mergeCell ref="AP9:AP11"/>
    <mergeCell ref="AQ9:AQ11"/>
  </mergeCells>
  <conditionalFormatting sqref="H12:AL26">
    <cfRule type="notContainsBlanks" dxfId="12" priority="2">
      <formula>LEN(TRIM(H12))&gt;0</formula>
    </cfRule>
  </conditionalFormatting>
  <conditionalFormatting sqref="T12:T26">
    <cfRule type="notContainsBlanks" dxfId="11" priority="1">
      <formula>LEN(TRIM(T12))&gt;0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1F6D-1431-4CE2-9F31-21D62AE87B1E}">
  <dimension ref="A1:BC19"/>
  <sheetViews>
    <sheetView showGridLines="0" zoomScale="90" zoomScaleNormal="90" workbookViewId="0">
      <pane xSplit="4" ySplit="11" topLeftCell="N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9.6640625" defaultRowHeight="13" customHeight="1" x14ac:dyDescent="0.25"/>
  <cols>
    <col min="1" max="1" width="3.83203125" style="35" customWidth="1"/>
    <col min="2" max="2" width="21.33203125" style="35" customWidth="1"/>
    <col min="3" max="3" width="23.83203125" style="35" customWidth="1"/>
    <col min="4" max="4" width="61.1640625" style="35" customWidth="1"/>
    <col min="5" max="5" width="38.4140625" style="35" customWidth="1"/>
    <col min="6" max="6" width="20" style="35" customWidth="1"/>
    <col min="7" max="13" width="4.6640625" style="35" hidden="1" customWidth="1"/>
    <col min="14" max="27" width="4.6640625" style="35" customWidth="1"/>
    <col min="28" max="37" width="4.6640625" style="35" hidden="1" customWidth="1"/>
    <col min="38" max="38" width="9.33203125" style="35" customWidth="1"/>
    <col min="39" max="39" width="18" style="35" customWidth="1"/>
    <col min="40" max="40" width="14.6640625" style="177" customWidth="1"/>
    <col min="41" max="43" width="18" style="35" customWidth="1"/>
    <col min="44" max="44" width="3.58203125" style="35" customWidth="1"/>
    <col min="45" max="45" width="8.83203125" style="35" customWidth="1"/>
    <col min="46" max="46" width="17.83203125" style="35" customWidth="1"/>
    <col min="47" max="47" width="3.83203125" style="35" customWidth="1"/>
    <col min="48" max="49" width="15.58203125" style="35" hidden="1" customWidth="1"/>
    <col min="50" max="16384" width="9.6640625" style="35"/>
  </cols>
  <sheetData>
    <row r="1" spans="1:55" ht="13" customHeight="1" x14ac:dyDescent="0.25">
      <c r="AN1" s="35"/>
    </row>
    <row r="2" spans="1:55" ht="13" customHeight="1" x14ac:dyDescent="0.25">
      <c r="B2" s="1"/>
      <c r="C2" s="1"/>
      <c r="D2" s="1"/>
      <c r="E2" s="1"/>
      <c r="F2" s="1"/>
      <c r="AN2" s="35"/>
    </row>
    <row r="3" spans="1:55" ht="13" customHeight="1" x14ac:dyDescent="0.25">
      <c r="A3" s="24"/>
      <c r="B3" s="2"/>
      <c r="C3" s="3"/>
      <c r="D3" s="2"/>
      <c r="E3" s="2"/>
      <c r="F3" s="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5"/>
      <c r="AM3" s="25"/>
      <c r="AN3" s="25"/>
      <c r="AO3" s="140"/>
      <c r="AP3" s="141"/>
      <c r="AQ3" s="142"/>
    </row>
    <row r="4" spans="1:55" ht="13" customHeight="1" x14ac:dyDescent="0.25">
      <c r="A4" s="24"/>
      <c r="B4" s="2"/>
      <c r="C4" s="3"/>
      <c r="D4" s="2"/>
      <c r="E4" s="2"/>
      <c r="F4" s="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25"/>
      <c r="AN4" s="25"/>
      <c r="AO4" s="26"/>
      <c r="AP4" s="24"/>
      <c r="AQ4" s="142"/>
    </row>
    <row r="5" spans="1:55" ht="13" customHeight="1" x14ac:dyDescent="0.25">
      <c r="A5" s="24"/>
      <c r="B5" s="5" t="s">
        <v>0</v>
      </c>
      <c r="C5" s="5"/>
      <c r="D5" s="2"/>
      <c r="E5" s="2"/>
      <c r="F5" s="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5"/>
      <c r="AM5" s="143"/>
      <c r="AN5" s="25"/>
      <c r="AO5" s="26"/>
      <c r="AP5" s="24"/>
      <c r="AQ5" s="27"/>
    </row>
    <row r="6" spans="1:55" ht="13" customHeight="1" x14ac:dyDescent="0.25">
      <c r="A6" s="24"/>
      <c r="B6" s="6" t="s">
        <v>150</v>
      </c>
      <c r="C6" s="6"/>
      <c r="D6" s="144"/>
      <c r="E6" s="144"/>
      <c r="F6" s="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45"/>
      <c r="AM6" s="25"/>
      <c r="AN6" s="25"/>
      <c r="AO6" s="145"/>
      <c r="AP6" s="26"/>
      <c r="AQ6" s="146"/>
    </row>
    <row r="7" spans="1:55" ht="13" customHeight="1" x14ac:dyDescent="0.25">
      <c r="A7" s="24"/>
      <c r="B7" s="2"/>
      <c r="C7" s="3"/>
      <c r="D7" s="147"/>
      <c r="E7" s="147"/>
      <c r="F7" s="14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45"/>
      <c r="AN7" s="148"/>
      <c r="AO7" s="145"/>
      <c r="AP7" s="149"/>
      <c r="AQ7" s="150"/>
    </row>
    <row r="8" spans="1:55" ht="13" customHeight="1" x14ac:dyDescent="0.25">
      <c r="A8" s="24"/>
      <c r="B8" s="151"/>
      <c r="C8" s="151"/>
      <c r="D8" s="152"/>
      <c r="E8" s="152"/>
      <c r="F8" s="152"/>
      <c r="G8" s="25"/>
      <c r="H8" s="25"/>
      <c r="I8" s="25"/>
      <c r="J8" s="25"/>
      <c r="K8" s="25"/>
      <c r="L8" s="195"/>
      <c r="M8" s="25"/>
      <c r="N8" s="25"/>
      <c r="O8" s="25"/>
      <c r="P8" s="25"/>
      <c r="Q8" s="25"/>
      <c r="R8" s="25"/>
      <c r="S8" s="201" t="s">
        <v>143</v>
      </c>
      <c r="T8" s="199"/>
      <c r="U8" s="200"/>
      <c r="V8" s="199"/>
      <c r="W8" s="199"/>
      <c r="X8" s="199"/>
      <c r="Y8" s="199"/>
      <c r="Z8" s="25"/>
      <c r="AA8" s="25"/>
      <c r="AB8" s="25"/>
      <c r="AC8" s="19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P8" s="149"/>
      <c r="AQ8" s="150"/>
    </row>
    <row r="9" spans="1:55" ht="16.5" customHeight="1" x14ac:dyDescent="0.25">
      <c r="A9" s="28"/>
      <c r="B9" s="249" t="s">
        <v>2</v>
      </c>
      <c r="C9" s="235" t="s">
        <v>3</v>
      </c>
      <c r="D9" s="235" t="s">
        <v>136</v>
      </c>
      <c r="E9" s="235" t="s">
        <v>137</v>
      </c>
      <c r="F9" s="249" t="s">
        <v>138</v>
      </c>
      <c r="G9" s="242" t="s">
        <v>133</v>
      </c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4"/>
      <c r="AL9" s="250" t="s">
        <v>4</v>
      </c>
      <c r="AM9" s="253" t="s">
        <v>5</v>
      </c>
      <c r="AN9" s="250" t="s">
        <v>6</v>
      </c>
      <c r="AO9" s="253" t="s">
        <v>7</v>
      </c>
      <c r="AP9" s="253" t="s">
        <v>8</v>
      </c>
      <c r="AQ9" s="253" t="s">
        <v>139</v>
      </c>
      <c r="AS9" s="249"/>
      <c r="AT9" s="249"/>
      <c r="AV9" s="235" t="s">
        <v>140</v>
      </c>
      <c r="AW9" s="235" t="s">
        <v>17</v>
      </c>
    </row>
    <row r="10" spans="1:55" ht="16.5" customHeight="1" x14ac:dyDescent="0.25">
      <c r="A10" s="28"/>
      <c r="B10" s="249"/>
      <c r="C10" s="235"/>
      <c r="D10" s="235"/>
      <c r="E10" s="235"/>
      <c r="F10" s="249"/>
      <c r="G10" s="8" t="s">
        <v>12</v>
      </c>
      <c r="H10" s="7" t="s">
        <v>9</v>
      </c>
      <c r="I10" s="7" t="s">
        <v>10</v>
      </c>
      <c r="J10" s="7" t="s">
        <v>11</v>
      </c>
      <c r="K10" s="7" t="s">
        <v>10</v>
      </c>
      <c r="L10" s="7" t="s">
        <v>1</v>
      </c>
      <c r="M10" s="8" t="s">
        <v>12</v>
      </c>
      <c r="N10" s="8" t="s">
        <v>12</v>
      </c>
      <c r="O10" s="7" t="s">
        <v>9</v>
      </c>
      <c r="P10" s="7" t="s">
        <v>10</v>
      </c>
      <c r="Q10" s="7" t="s">
        <v>11</v>
      </c>
      <c r="R10" s="7" t="s">
        <v>10</v>
      </c>
      <c r="S10" s="7" t="s">
        <v>1</v>
      </c>
      <c r="T10" s="8" t="s">
        <v>12</v>
      </c>
      <c r="U10" s="8" t="s">
        <v>12</v>
      </c>
      <c r="V10" s="7" t="s">
        <v>9</v>
      </c>
      <c r="W10" s="7" t="s">
        <v>10</v>
      </c>
      <c r="X10" s="7" t="s">
        <v>11</v>
      </c>
      <c r="Y10" s="7" t="s">
        <v>10</v>
      </c>
      <c r="Z10" s="7" t="s">
        <v>1</v>
      </c>
      <c r="AA10" s="8" t="s">
        <v>12</v>
      </c>
      <c r="AB10" s="8" t="s">
        <v>12</v>
      </c>
      <c r="AC10" s="7" t="s">
        <v>9</v>
      </c>
      <c r="AD10" s="7" t="s">
        <v>10</v>
      </c>
      <c r="AE10" s="7" t="s">
        <v>11</v>
      </c>
      <c r="AF10" s="7" t="s">
        <v>10</v>
      </c>
      <c r="AG10" s="7" t="s">
        <v>1</v>
      </c>
      <c r="AH10" s="8" t="s">
        <v>12</v>
      </c>
      <c r="AI10" s="8" t="s">
        <v>12</v>
      </c>
      <c r="AJ10" s="7" t="s">
        <v>9</v>
      </c>
      <c r="AK10" s="7" t="s">
        <v>10</v>
      </c>
      <c r="AL10" s="251"/>
      <c r="AM10" s="254"/>
      <c r="AN10" s="251"/>
      <c r="AO10" s="254"/>
      <c r="AP10" s="254"/>
      <c r="AQ10" s="254"/>
      <c r="AS10" s="249" t="s">
        <v>133</v>
      </c>
      <c r="AT10" s="249"/>
      <c r="AV10" s="235"/>
      <c r="AW10" s="235"/>
    </row>
    <row r="11" spans="1:55" ht="16.5" customHeight="1" x14ac:dyDescent="0.25">
      <c r="A11" s="28"/>
      <c r="B11" s="249"/>
      <c r="C11" s="235"/>
      <c r="D11" s="235"/>
      <c r="E11" s="235"/>
      <c r="F11" s="249"/>
      <c r="G11" s="56">
        <v>1</v>
      </c>
      <c r="H11" s="29">
        <f t="shared" ref="H11:T11" si="0">G11+1</f>
        <v>2</v>
      </c>
      <c r="I11" s="29">
        <f t="shared" si="0"/>
        <v>3</v>
      </c>
      <c r="J11" s="29">
        <f t="shared" si="0"/>
        <v>4</v>
      </c>
      <c r="K11" s="29">
        <f t="shared" si="0"/>
        <v>5</v>
      </c>
      <c r="L11" s="29">
        <f t="shared" si="0"/>
        <v>6</v>
      </c>
      <c r="M11" s="56">
        <f t="shared" si="0"/>
        <v>7</v>
      </c>
      <c r="N11" s="56">
        <f t="shared" si="0"/>
        <v>8</v>
      </c>
      <c r="O11" s="29">
        <f t="shared" si="0"/>
        <v>9</v>
      </c>
      <c r="P11" s="29">
        <f t="shared" si="0"/>
        <v>10</v>
      </c>
      <c r="Q11" s="29">
        <f t="shared" si="0"/>
        <v>11</v>
      </c>
      <c r="R11" s="29">
        <f t="shared" si="0"/>
        <v>12</v>
      </c>
      <c r="S11" s="29">
        <f t="shared" si="0"/>
        <v>13</v>
      </c>
      <c r="T11" s="56">
        <f t="shared" si="0"/>
        <v>14</v>
      </c>
      <c r="U11" s="56">
        <v>15</v>
      </c>
      <c r="V11" s="29">
        <f t="shared" ref="V11:AK11" si="1">U11+1</f>
        <v>16</v>
      </c>
      <c r="W11" s="29">
        <f t="shared" si="1"/>
        <v>17</v>
      </c>
      <c r="X11" s="29">
        <f t="shared" si="1"/>
        <v>18</v>
      </c>
      <c r="Y11" s="29">
        <f t="shared" si="1"/>
        <v>19</v>
      </c>
      <c r="Z11" s="29">
        <f t="shared" si="1"/>
        <v>20</v>
      </c>
      <c r="AA11" s="56">
        <f t="shared" si="1"/>
        <v>21</v>
      </c>
      <c r="AB11" s="56">
        <f t="shared" si="1"/>
        <v>22</v>
      </c>
      <c r="AC11" s="29">
        <f t="shared" si="1"/>
        <v>23</v>
      </c>
      <c r="AD11" s="29">
        <f t="shared" si="1"/>
        <v>24</v>
      </c>
      <c r="AE11" s="29">
        <f t="shared" si="1"/>
        <v>25</v>
      </c>
      <c r="AF11" s="29">
        <f t="shared" si="1"/>
        <v>26</v>
      </c>
      <c r="AG11" s="29">
        <f t="shared" si="1"/>
        <v>27</v>
      </c>
      <c r="AH11" s="56">
        <f t="shared" si="1"/>
        <v>28</v>
      </c>
      <c r="AI11" s="56">
        <f t="shared" si="1"/>
        <v>29</v>
      </c>
      <c r="AJ11" s="29">
        <f t="shared" si="1"/>
        <v>30</v>
      </c>
      <c r="AK11" s="29">
        <f t="shared" si="1"/>
        <v>31</v>
      </c>
      <c r="AL11" s="252"/>
      <c r="AM11" s="255"/>
      <c r="AN11" s="252"/>
      <c r="AO11" s="255"/>
      <c r="AP11" s="255"/>
      <c r="AQ11" s="255"/>
      <c r="AS11" s="249"/>
      <c r="AT11" s="249"/>
      <c r="AV11" s="235"/>
      <c r="AW11" s="235"/>
    </row>
    <row r="12" spans="1:55" ht="13" customHeight="1" x14ac:dyDescent="0.25">
      <c r="A12" s="28"/>
      <c r="B12" s="153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46"/>
      <c r="AQ12" s="9"/>
      <c r="AS12" s="155" t="s">
        <v>4</v>
      </c>
      <c r="AT12" s="155" t="s">
        <v>19</v>
      </c>
      <c r="AU12" s="24"/>
      <c r="AV12" s="24"/>
      <c r="AW12" s="24"/>
      <c r="AX12" s="24"/>
      <c r="AY12" s="24"/>
      <c r="AZ12" s="24"/>
      <c r="BA12" s="24"/>
      <c r="BB12" s="24"/>
      <c r="BC12" s="24"/>
    </row>
    <row r="13" spans="1:55" ht="16.5" customHeight="1" x14ac:dyDescent="0.25">
      <c r="A13" s="28"/>
      <c r="B13" s="156"/>
      <c r="C13" s="30"/>
      <c r="D13" s="157"/>
      <c r="E13" s="157"/>
      <c r="F13" s="157"/>
      <c r="G13" s="39"/>
      <c r="H13" s="132"/>
      <c r="I13" s="132"/>
      <c r="J13" s="132"/>
      <c r="K13" s="132"/>
      <c r="L13" s="132"/>
      <c r="M13" s="39"/>
      <c r="N13" s="39"/>
      <c r="O13" s="132"/>
      <c r="P13" s="132"/>
      <c r="Q13" s="132"/>
      <c r="R13" s="132"/>
      <c r="S13" s="132"/>
      <c r="T13" s="39"/>
      <c r="U13" s="39"/>
      <c r="V13" s="132"/>
      <c r="W13" s="132"/>
      <c r="X13" s="132"/>
      <c r="Y13" s="132"/>
      <c r="Z13" s="132"/>
      <c r="AA13" s="39"/>
      <c r="AB13" s="39"/>
      <c r="AC13" s="132"/>
      <c r="AD13" s="132"/>
      <c r="AE13" s="132"/>
      <c r="AF13" s="132"/>
      <c r="AG13" s="132"/>
      <c r="AH13" s="39"/>
      <c r="AI13" s="39"/>
      <c r="AJ13" s="132"/>
      <c r="AK13" s="38"/>
      <c r="AL13" s="158"/>
      <c r="AM13" s="15"/>
      <c r="AN13" s="14"/>
      <c r="AO13" s="15"/>
      <c r="AP13" s="16"/>
      <c r="AQ13" s="16"/>
      <c r="AS13" s="158"/>
      <c r="AT13" s="159"/>
      <c r="AU13" s="24"/>
      <c r="AV13" s="160"/>
      <c r="AW13" s="161"/>
      <c r="AX13" s="24"/>
      <c r="AY13" s="24"/>
      <c r="AZ13" s="24"/>
      <c r="BA13" s="24"/>
      <c r="BB13" s="24"/>
      <c r="BC13" s="24"/>
    </row>
    <row r="14" spans="1:55" ht="16.5" customHeight="1" x14ac:dyDescent="0.25">
      <c r="A14" s="28"/>
      <c r="B14" s="31" t="s">
        <v>145</v>
      </c>
      <c r="C14" s="32" t="s">
        <v>164</v>
      </c>
      <c r="D14" s="162" t="s">
        <v>165</v>
      </c>
      <c r="E14" s="162" t="s">
        <v>166</v>
      </c>
      <c r="F14" s="163">
        <v>200000</v>
      </c>
      <c r="G14" s="39"/>
      <c r="H14" s="132"/>
      <c r="I14" s="132"/>
      <c r="J14" s="132"/>
      <c r="K14" s="132"/>
      <c r="L14" s="132"/>
      <c r="M14" s="39"/>
      <c r="N14" s="39"/>
      <c r="O14" s="132"/>
      <c r="P14" s="132"/>
      <c r="Q14" s="132"/>
      <c r="R14" s="132"/>
      <c r="S14" s="256">
        <f>F14</f>
        <v>200000</v>
      </c>
      <c r="T14" s="257"/>
      <c r="U14" s="257"/>
      <c r="V14" s="257"/>
      <c r="W14" s="257"/>
      <c r="X14" s="257"/>
      <c r="Y14" s="258"/>
      <c r="Z14" s="132"/>
      <c r="AA14" s="39"/>
      <c r="AB14" s="39"/>
      <c r="AC14" s="132"/>
      <c r="AD14" s="132"/>
      <c r="AE14" s="132"/>
      <c r="AF14" s="132"/>
      <c r="AG14" s="132"/>
      <c r="AH14" s="39"/>
      <c r="AI14" s="39"/>
      <c r="AJ14" s="132"/>
      <c r="AK14" s="38"/>
      <c r="AL14" s="164">
        <f>SUM(G14:AK14)</f>
        <v>200000</v>
      </c>
      <c r="AM14" s="165">
        <v>180</v>
      </c>
      <c r="AN14" s="17">
        <v>0.2</v>
      </c>
      <c r="AO14" s="18">
        <f>AM14*(1-AN14)</f>
        <v>144</v>
      </c>
      <c r="AP14" s="19">
        <f>(AL14/1000)*AO14</f>
        <v>28800</v>
      </c>
      <c r="AQ14" s="19">
        <f t="shared" ref="AQ14" si="2">AP14*0.8</f>
        <v>23040</v>
      </c>
      <c r="AS14" s="164">
        <f>SUM(G14:AK14)</f>
        <v>200000</v>
      </c>
      <c r="AT14" s="166">
        <f>(AS14*$AO14/1000)*0.8</f>
        <v>23040</v>
      </c>
      <c r="AU14" s="24"/>
      <c r="AV14" s="167">
        <f>F14*AL14</f>
        <v>40000000000</v>
      </c>
      <c r="AW14" s="168">
        <f>AQ14/AV14*1000</f>
        <v>5.7600000000000001E-4</v>
      </c>
      <c r="AX14" s="24"/>
      <c r="AY14" s="24"/>
      <c r="AZ14" s="24"/>
      <c r="BA14" s="24"/>
      <c r="BB14" s="24"/>
      <c r="BC14" s="24"/>
    </row>
    <row r="15" spans="1:55" ht="16.5" customHeight="1" x14ac:dyDescent="0.25">
      <c r="A15" s="28"/>
      <c r="B15" s="185"/>
      <c r="C15" s="186"/>
      <c r="D15" s="187"/>
      <c r="E15" s="188"/>
      <c r="F15" s="182"/>
      <c r="G15" s="39"/>
      <c r="H15" s="132"/>
      <c r="I15" s="132"/>
      <c r="J15" s="132"/>
      <c r="K15" s="132"/>
      <c r="L15" s="132"/>
      <c r="M15" s="39"/>
      <c r="N15" s="39"/>
      <c r="O15" s="132"/>
      <c r="P15" s="132"/>
      <c r="Q15" s="132"/>
      <c r="R15" s="132"/>
      <c r="S15" s="132"/>
      <c r="T15" s="39"/>
      <c r="U15" s="39"/>
      <c r="V15" s="132"/>
      <c r="W15" s="132"/>
      <c r="X15" s="132"/>
      <c r="Y15" s="132"/>
      <c r="Z15" s="132"/>
      <c r="AA15" s="39"/>
      <c r="AB15" s="39"/>
      <c r="AC15" s="132"/>
      <c r="AD15" s="132"/>
      <c r="AE15" s="132"/>
      <c r="AF15" s="132"/>
      <c r="AG15" s="132"/>
      <c r="AH15" s="39"/>
      <c r="AI15" s="39"/>
      <c r="AJ15" s="132"/>
      <c r="AK15" s="38"/>
      <c r="AL15" s="169"/>
      <c r="AM15" s="189"/>
      <c r="AN15" s="190"/>
      <c r="AO15" s="192"/>
      <c r="AP15" s="10"/>
      <c r="AQ15" s="46"/>
      <c r="AR15" s="57"/>
      <c r="AS15" s="169"/>
      <c r="AT15" s="191"/>
      <c r="AU15" s="24"/>
      <c r="AV15" s="183"/>
      <c r="AW15" s="184"/>
      <c r="AX15" s="24"/>
      <c r="AY15" s="24"/>
      <c r="AZ15" s="24"/>
      <c r="BA15" s="24"/>
      <c r="BB15" s="24"/>
      <c r="BC15" s="24"/>
    </row>
    <row r="16" spans="1:55" ht="13" customHeight="1" x14ac:dyDescent="0.25">
      <c r="A16" s="28"/>
      <c r="B16" s="153"/>
      <c r="C16" s="154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1"/>
      <c r="AO16" s="170"/>
      <c r="AP16" s="21"/>
      <c r="AQ16" s="9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s="34" customFormat="1" ht="16.5" customHeight="1" x14ac:dyDescent="0.4">
      <c r="B17" s="22" t="s">
        <v>45</v>
      </c>
      <c r="C17" s="33"/>
      <c r="D17" s="33"/>
      <c r="E17" s="33"/>
      <c r="F17" s="33"/>
      <c r="G17" s="33">
        <f t="shared" ref="G17:AL17" si="3">SUM(G13:G15)</f>
        <v>0</v>
      </c>
      <c r="H17" s="33">
        <f t="shared" si="3"/>
        <v>0</v>
      </c>
      <c r="I17" s="33">
        <f t="shared" si="3"/>
        <v>0</v>
      </c>
      <c r="J17" s="33">
        <f t="shared" si="3"/>
        <v>0</v>
      </c>
      <c r="K17" s="33">
        <f t="shared" si="3"/>
        <v>0</v>
      </c>
      <c r="L17" s="33">
        <f t="shared" si="3"/>
        <v>0</v>
      </c>
      <c r="M17" s="33">
        <f t="shared" si="3"/>
        <v>0</v>
      </c>
      <c r="N17" s="33">
        <f t="shared" si="3"/>
        <v>0</v>
      </c>
      <c r="O17" s="33">
        <f t="shared" si="3"/>
        <v>0</v>
      </c>
      <c r="P17" s="33">
        <f t="shared" si="3"/>
        <v>0</v>
      </c>
      <c r="Q17" s="33">
        <f t="shared" si="3"/>
        <v>0</v>
      </c>
      <c r="R17" s="33">
        <f t="shared" si="3"/>
        <v>0</v>
      </c>
      <c r="S17" s="33">
        <f t="shared" si="3"/>
        <v>200000</v>
      </c>
      <c r="T17" s="33">
        <f t="shared" si="3"/>
        <v>0</v>
      </c>
      <c r="U17" s="33">
        <f t="shared" si="3"/>
        <v>0</v>
      </c>
      <c r="V17" s="33">
        <f t="shared" si="3"/>
        <v>0</v>
      </c>
      <c r="W17" s="33">
        <f t="shared" si="3"/>
        <v>0</v>
      </c>
      <c r="X17" s="33">
        <f t="shared" si="3"/>
        <v>0</v>
      </c>
      <c r="Y17" s="33">
        <f t="shared" si="3"/>
        <v>0</v>
      </c>
      <c r="Z17" s="33">
        <f t="shared" si="3"/>
        <v>0</v>
      </c>
      <c r="AA17" s="33">
        <f t="shared" si="3"/>
        <v>0</v>
      </c>
      <c r="AB17" s="33">
        <f t="shared" si="3"/>
        <v>0</v>
      </c>
      <c r="AC17" s="33">
        <f t="shared" si="3"/>
        <v>0</v>
      </c>
      <c r="AD17" s="33">
        <f t="shared" si="3"/>
        <v>0</v>
      </c>
      <c r="AE17" s="33">
        <f t="shared" si="3"/>
        <v>0</v>
      </c>
      <c r="AF17" s="33">
        <f t="shared" si="3"/>
        <v>0</v>
      </c>
      <c r="AG17" s="33">
        <f t="shared" si="3"/>
        <v>0</v>
      </c>
      <c r="AH17" s="33">
        <f t="shared" si="3"/>
        <v>0</v>
      </c>
      <c r="AI17" s="33">
        <f t="shared" si="3"/>
        <v>0</v>
      </c>
      <c r="AJ17" s="33">
        <f t="shared" si="3"/>
        <v>0</v>
      </c>
      <c r="AK17" s="33">
        <f t="shared" si="3"/>
        <v>0</v>
      </c>
      <c r="AL17" s="172">
        <f t="shared" si="3"/>
        <v>200000</v>
      </c>
      <c r="AM17" s="23"/>
      <c r="AN17" s="173"/>
      <c r="AO17" s="23"/>
      <c r="AP17" s="50">
        <f>SUM(AP13:AP15)</f>
        <v>28800</v>
      </c>
      <c r="AQ17" s="50">
        <f>SUM(AQ13:AQ15)</f>
        <v>23040</v>
      </c>
      <c r="AS17" s="174">
        <f>SUM(AS13:AS15)</f>
        <v>200000</v>
      </c>
      <c r="AT17" s="175">
        <f>SUM(AT13:AT15)</f>
        <v>23040</v>
      </c>
      <c r="AV17" s="176">
        <v>7895033</v>
      </c>
    </row>
    <row r="18" spans="1:55" ht="13" customHeight="1" x14ac:dyDescent="0.3">
      <c r="AQ18" s="178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ht="13" customHeight="1" x14ac:dyDescent="0.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179"/>
      <c r="AO19" s="24"/>
      <c r="AP19" s="180"/>
      <c r="AS19" s="181"/>
      <c r="AT19"/>
      <c r="AV19" s="24"/>
      <c r="AW19" s="24"/>
      <c r="AX19" s="24"/>
      <c r="AY19" s="24"/>
      <c r="AZ19" s="24"/>
      <c r="BA19" s="24"/>
      <c r="BB19" s="24"/>
      <c r="BC19" s="24"/>
    </row>
  </sheetData>
  <mergeCells count="17">
    <mergeCell ref="B9:B11"/>
    <mergeCell ref="C9:C11"/>
    <mergeCell ref="D9:D11"/>
    <mergeCell ref="E9:E11"/>
    <mergeCell ref="F9:F11"/>
    <mergeCell ref="G9:AK9"/>
    <mergeCell ref="S14:Y14"/>
    <mergeCell ref="AS9:AT9"/>
    <mergeCell ref="AV9:AV11"/>
    <mergeCell ref="AW9:AW11"/>
    <mergeCell ref="AS10:AT11"/>
    <mergeCell ref="AL9:AL11"/>
    <mergeCell ref="AM9:AM11"/>
    <mergeCell ref="AN9:AN11"/>
    <mergeCell ref="AO9:AO11"/>
    <mergeCell ref="AP9:AP11"/>
    <mergeCell ref="AQ9:AQ11"/>
  </mergeCells>
  <conditionalFormatting sqref="G13:AK13 G14:S14 Z14:AK14 G15:AK15">
    <cfRule type="notContainsBlanks" dxfId="10" priority="2">
      <formula>LEN(TRIM(G13))&gt;0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FABE-EB9F-4153-9BCA-57A79C8052C6}">
  <dimension ref="A1:AY33"/>
  <sheetViews>
    <sheetView showGridLines="0" zoomScale="92" zoomScaleNormal="90" zoomScaleSheetLayoutView="45" workbookViewId="0">
      <pane xSplit="4" ySplit="11" topLeftCell="E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8.83203125" defaultRowHeight="12.5" x14ac:dyDescent="0.4"/>
  <cols>
    <col min="1" max="1" width="4" style="98" customWidth="1"/>
    <col min="2" max="2" width="32.1640625" style="98" customWidth="1"/>
    <col min="3" max="3" width="20.4140625" style="98" customWidth="1"/>
    <col min="4" max="4" width="19.08203125" style="98" customWidth="1"/>
    <col min="5" max="5" width="18.6640625" style="98" customWidth="1"/>
    <col min="6" max="6" width="21" style="98" customWidth="1"/>
    <col min="7" max="7" width="14.58203125" style="98" customWidth="1"/>
    <col min="8" max="9" width="4.5" style="98" hidden="1" customWidth="1"/>
    <col min="10" max="11" width="5" style="98" hidden="1" customWidth="1"/>
    <col min="12" max="19" width="4.5" style="98" hidden="1" customWidth="1"/>
    <col min="20" max="20" width="4.83203125" style="98" hidden="1" customWidth="1"/>
    <col min="21" max="21" width="4.5" style="98" hidden="1" customWidth="1"/>
    <col min="22" max="23" width="4.5" style="98" customWidth="1"/>
    <col min="24" max="25" width="5" style="98" customWidth="1"/>
    <col min="26" max="33" width="4.5" style="98" customWidth="1"/>
    <col min="34" max="34" width="4.83203125" style="98" customWidth="1"/>
    <col min="35" max="35" width="4.5" style="98" customWidth="1"/>
    <col min="36" max="36" width="4.5" style="98" hidden="1" customWidth="1"/>
    <col min="37" max="37" width="4.83203125" style="98" hidden="1" customWidth="1"/>
    <col min="38" max="38" width="4.5" style="98" hidden="1" customWidth="1"/>
    <col min="39" max="39" width="10.58203125" style="106" customWidth="1"/>
    <col min="40" max="44" width="14.1640625" style="98" customWidth="1"/>
    <col min="45" max="45" width="2.5" style="98" customWidth="1"/>
    <col min="46" max="46" width="6.9140625" style="108" customWidth="1"/>
    <col min="47" max="47" width="17.58203125" style="98" customWidth="1"/>
    <col min="48" max="48" width="2.1640625" style="98" customWidth="1"/>
    <col min="49" max="49" width="12.08203125" style="51" customWidth="1"/>
    <col min="50" max="50" width="8.83203125" style="98"/>
    <col min="51" max="51" width="11.9140625" style="98" bestFit="1" customWidth="1"/>
    <col min="52" max="16384" width="8.83203125" style="98"/>
  </cols>
  <sheetData>
    <row r="1" spans="1:51" x14ac:dyDescent="0.4">
      <c r="AR1" s="107"/>
    </row>
    <row r="2" spans="1:51" x14ac:dyDescent="0.4">
      <c r="AN2" s="34"/>
      <c r="AO2" s="34"/>
      <c r="AP2" s="34"/>
      <c r="AQ2" s="34"/>
      <c r="AR2" s="107"/>
    </row>
    <row r="3" spans="1:51" x14ac:dyDescent="0.4">
      <c r="A3" s="34"/>
      <c r="B3" s="36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7"/>
      <c r="AN3" s="109"/>
      <c r="AO3" s="109"/>
      <c r="AP3" s="109"/>
      <c r="AQ3" s="109"/>
      <c r="AR3" s="107"/>
      <c r="AS3" s="34"/>
    </row>
    <row r="4" spans="1:51" x14ac:dyDescent="0.4">
      <c r="A4" s="34"/>
      <c r="B4" s="36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7"/>
      <c r="AN4" s="109"/>
      <c r="AO4" s="109"/>
      <c r="AP4" s="109"/>
      <c r="AQ4" s="109"/>
      <c r="AR4" s="107"/>
      <c r="AS4" s="34"/>
    </row>
    <row r="5" spans="1:51" x14ac:dyDescent="0.4">
      <c r="A5" s="34"/>
      <c r="B5" s="91" t="s">
        <v>0</v>
      </c>
      <c r="C5" s="9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7"/>
      <c r="AN5" s="34"/>
      <c r="AO5" s="109"/>
      <c r="AP5" s="109"/>
      <c r="AQ5" s="109"/>
      <c r="AR5" s="107"/>
      <c r="AS5" s="34"/>
    </row>
    <row r="6" spans="1:51" x14ac:dyDescent="0.4">
      <c r="A6" s="34"/>
      <c r="B6" s="92" t="s">
        <v>153</v>
      </c>
      <c r="C6" s="9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37"/>
      <c r="AN6" s="34"/>
      <c r="AO6" s="109"/>
      <c r="AP6" s="109"/>
      <c r="AQ6" s="109"/>
      <c r="AR6" s="107"/>
      <c r="AS6" s="34"/>
    </row>
    <row r="7" spans="1:51" x14ac:dyDescent="0.4">
      <c r="A7" s="34"/>
      <c r="B7" s="110"/>
      <c r="C7" s="110"/>
      <c r="D7" s="25"/>
      <c r="E7" s="25"/>
      <c r="F7" s="25"/>
      <c r="G7" s="25"/>
      <c r="H7" s="25"/>
      <c r="I7" s="25"/>
      <c r="J7" s="25"/>
      <c r="K7" s="25"/>
      <c r="L7" s="25"/>
      <c r="M7" s="195"/>
      <c r="N7" s="25"/>
      <c r="O7" s="25"/>
      <c r="P7" s="25"/>
      <c r="Q7" s="25"/>
      <c r="R7" s="25"/>
      <c r="S7" s="25"/>
      <c r="T7" s="196"/>
      <c r="U7" s="25"/>
      <c r="V7" s="25"/>
      <c r="W7" s="25"/>
      <c r="X7" s="25"/>
      <c r="Y7" s="25"/>
      <c r="Z7" s="25"/>
      <c r="AA7" s="201" t="s">
        <v>143</v>
      </c>
      <c r="AB7" s="199"/>
      <c r="AC7" s="200"/>
      <c r="AD7" s="199"/>
      <c r="AE7" s="199"/>
      <c r="AF7" s="199"/>
      <c r="AG7" s="199"/>
      <c r="AH7" s="25"/>
      <c r="AI7" s="25"/>
      <c r="AJ7" s="25"/>
      <c r="AK7" s="25"/>
      <c r="AL7" s="25"/>
      <c r="AM7" s="37"/>
      <c r="AN7" s="109"/>
      <c r="AO7" s="109"/>
      <c r="AP7" s="109"/>
      <c r="AQ7" s="109"/>
      <c r="AR7" s="107"/>
      <c r="AS7" s="34"/>
    </row>
    <row r="8" spans="1:51" ht="15.5" customHeight="1" x14ac:dyDescent="0.4">
      <c r="A8" s="34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7"/>
      <c r="AN8" s="96"/>
      <c r="AO8" s="96"/>
      <c r="AP8" s="96"/>
      <c r="AQ8" s="96"/>
      <c r="AR8" s="96"/>
      <c r="AS8" s="34"/>
    </row>
    <row r="9" spans="1:51" s="34" customFormat="1" ht="16" customHeight="1" x14ac:dyDescent="0.4">
      <c r="A9" s="28"/>
      <c r="B9" s="235" t="s">
        <v>2</v>
      </c>
      <c r="C9" s="235" t="s">
        <v>3</v>
      </c>
      <c r="D9" s="235" t="s">
        <v>52</v>
      </c>
      <c r="E9" s="237" t="s">
        <v>15</v>
      </c>
      <c r="F9" s="233" t="s">
        <v>135</v>
      </c>
      <c r="G9" s="238" t="s">
        <v>22</v>
      </c>
      <c r="H9" s="242" t="s">
        <v>133</v>
      </c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1" t="s">
        <v>4</v>
      </c>
      <c r="AN9" s="240" t="s">
        <v>5</v>
      </c>
      <c r="AO9" s="238" t="s">
        <v>6</v>
      </c>
      <c r="AP9" s="240" t="s">
        <v>7</v>
      </c>
      <c r="AQ9" s="240" t="s">
        <v>8</v>
      </c>
      <c r="AR9" s="240" t="s">
        <v>16</v>
      </c>
      <c r="AS9" s="28"/>
      <c r="AT9" s="235" t="s">
        <v>133</v>
      </c>
      <c r="AU9" s="235"/>
      <c r="AW9" s="51"/>
    </row>
    <row r="10" spans="1:51" s="34" customFormat="1" ht="16" customHeight="1" x14ac:dyDescent="0.4">
      <c r="A10" s="28"/>
      <c r="B10" s="235"/>
      <c r="C10" s="235"/>
      <c r="D10" s="235"/>
      <c r="E10" s="237"/>
      <c r="F10" s="234"/>
      <c r="G10" s="238"/>
      <c r="H10" s="8" t="s">
        <v>12</v>
      </c>
      <c r="I10" s="7" t="s">
        <v>9</v>
      </c>
      <c r="J10" s="7" t="s">
        <v>10</v>
      </c>
      <c r="K10" s="7" t="s">
        <v>11</v>
      </c>
      <c r="L10" s="7" t="s">
        <v>10</v>
      </c>
      <c r="M10" s="7" t="s">
        <v>1</v>
      </c>
      <c r="N10" s="8" t="s">
        <v>12</v>
      </c>
      <c r="O10" s="8" t="s">
        <v>12</v>
      </c>
      <c r="P10" s="7" t="s">
        <v>9</v>
      </c>
      <c r="Q10" s="7" t="s">
        <v>10</v>
      </c>
      <c r="R10" s="7" t="s">
        <v>11</v>
      </c>
      <c r="S10" s="7" t="s">
        <v>10</v>
      </c>
      <c r="T10" s="7" t="s">
        <v>1</v>
      </c>
      <c r="U10" s="8" t="s">
        <v>12</v>
      </c>
      <c r="V10" s="8" t="s">
        <v>12</v>
      </c>
      <c r="W10" s="7" t="s">
        <v>9</v>
      </c>
      <c r="X10" s="7" t="s">
        <v>10</v>
      </c>
      <c r="Y10" s="7" t="s">
        <v>11</v>
      </c>
      <c r="Z10" s="7" t="s">
        <v>10</v>
      </c>
      <c r="AA10" s="7" t="s">
        <v>1</v>
      </c>
      <c r="AB10" s="8" t="s">
        <v>12</v>
      </c>
      <c r="AC10" s="8" t="s">
        <v>12</v>
      </c>
      <c r="AD10" s="7" t="s">
        <v>9</v>
      </c>
      <c r="AE10" s="7" t="s">
        <v>10</v>
      </c>
      <c r="AF10" s="7" t="s">
        <v>11</v>
      </c>
      <c r="AG10" s="7" t="s">
        <v>10</v>
      </c>
      <c r="AH10" s="7" t="s">
        <v>1</v>
      </c>
      <c r="AI10" s="8" t="s">
        <v>12</v>
      </c>
      <c r="AJ10" s="8" t="s">
        <v>12</v>
      </c>
      <c r="AK10" s="7" t="s">
        <v>9</v>
      </c>
      <c r="AL10" s="7" t="s">
        <v>10</v>
      </c>
      <c r="AM10" s="241"/>
      <c r="AN10" s="240"/>
      <c r="AO10" s="238"/>
      <c r="AP10" s="240"/>
      <c r="AQ10" s="240"/>
      <c r="AR10" s="240"/>
      <c r="AS10" s="28"/>
      <c r="AT10" s="235"/>
      <c r="AU10" s="235"/>
      <c r="AW10" s="51"/>
    </row>
    <row r="11" spans="1:51" s="34" customFormat="1" ht="16" customHeight="1" x14ac:dyDescent="0.4">
      <c r="A11" s="28"/>
      <c r="B11" s="236"/>
      <c r="C11" s="236"/>
      <c r="D11" s="236"/>
      <c r="E11" s="233"/>
      <c r="F11" s="234"/>
      <c r="G11" s="239"/>
      <c r="H11" s="56">
        <v>1</v>
      </c>
      <c r="I11" s="29">
        <f t="shared" ref="I11:U11" si="0">H11+1</f>
        <v>2</v>
      </c>
      <c r="J11" s="29">
        <f t="shared" si="0"/>
        <v>3</v>
      </c>
      <c r="K11" s="29">
        <f t="shared" si="0"/>
        <v>4</v>
      </c>
      <c r="L11" s="29">
        <f t="shared" si="0"/>
        <v>5</v>
      </c>
      <c r="M11" s="29">
        <f t="shared" si="0"/>
        <v>6</v>
      </c>
      <c r="N11" s="56">
        <f t="shared" si="0"/>
        <v>7</v>
      </c>
      <c r="O11" s="56">
        <f t="shared" si="0"/>
        <v>8</v>
      </c>
      <c r="P11" s="29">
        <f t="shared" si="0"/>
        <v>9</v>
      </c>
      <c r="Q11" s="29">
        <f t="shared" si="0"/>
        <v>10</v>
      </c>
      <c r="R11" s="29">
        <f t="shared" si="0"/>
        <v>11</v>
      </c>
      <c r="S11" s="29">
        <f t="shared" si="0"/>
        <v>12</v>
      </c>
      <c r="T11" s="29">
        <f t="shared" si="0"/>
        <v>13</v>
      </c>
      <c r="U11" s="56">
        <f t="shared" si="0"/>
        <v>14</v>
      </c>
      <c r="V11" s="56">
        <v>15</v>
      </c>
      <c r="W11" s="29">
        <f t="shared" ref="W11:AL11" si="1">V11+1</f>
        <v>16</v>
      </c>
      <c r="X11" s="29">
        <f t="shared" si="1"/>
        <v>17</v>
      </c>
      <c r="Y11" s="29">
        <f t="shared" si="1"/>
        <v>18</v>
      </c>
      <c r="Z11" s="29">
        <f t="shared" si="1"/>
        <v>19</v>
      </c>
      <c r="AA11" s="29">
        <f t="shared" si="1"/>
        <v>20</v>
      </c>
      <c r="AB11" s="56">
        <f t="shared" si="1"/>
        <v>21</v>
      </c>
      <c r="AC11" s="56">
        <f t="shared" si="1"/>
        <v>22</v>
      </c>
      <c r="AD11" s="29">
        <f t="shared" si="1"/>
        <v>23</v>
      </c>
      <c r="AE11" s="29">
        <f t="shared" si="1"/>
        <v>24</v>
      </c>
      <c r="AF11" s="29">
        <f t="shared" si="1"/>
        <v>25</v>
      </c>
      <c r="AG11" s="29">
        <f t="shared" si="1"/>
        <v>26</v>
      </c>
      <c r="AH11" s="29">
        <f t="shared" si="1"/>
        <v>27</v>
      </c>
      <c r="AI11" s="56">
        <f t="shared" si="1"/>
        <v>28</v>
      </c>
      <c r="AJ11" s="56">
        <f t="shared" si="1"/>
        <v>29</v>
      </c>
      <c r="AK11" s="29">
        <f t="shared" si="1"/>
        <v>30</v>
      </c>
      <c r="AL11" s="29">
        <f t="shared" si="1"/>
        <v>31</v>
      </c>
      <c r="AM11" s="241"/>
      <c r="AN11" s="240"/>
      <c r="AO11" s="238"/>
      <c r="AP11" s="240"/>
      <c r="AQ11" s="240"/>
      <c r="AR11" s="240"/>
      <c r="AS11" s="28"/>
      <c r="AT11" s="59" t="s">
        <v>4</v>
      </c>
      <c r="AU11" s="7" t="s">
        <v>53</v>
      </c>
      <c r="AW11" s="51"/>
    </row>
    <row r="12" spans="1:51" s="127" customFormat="1" ht="16" customHeight="1" x14ac:dyDescent="0.4">
      <c r="A12" s="126"/>
      <c r="B12" s="129"/>
      <c r="C12" s="129"/>
      <c r="D12" s="129"/>
      <c r="E12" s="130"/>
      <c r="F12" s="130"/>
      <c r="G12" s="131"/>
      <c r="H12" s="39"/>
      <c r="I12" s="132"/>
      <c r="J12" s="132"/>
      <c r="K12" s="132"/>
      <c r="L12" s="132"/>
      <c r="M12" s="132"/>
      <c r="N12" s="39"/>
      <c r="O12" s="39"/>
      <c r="P12" s="132"/>
      <c r="Q12" s="132"/>
      <c r="R12" s="132"/>
      <c r="S12" s="132"/>
      <c r="T12" s="132"/>
      <c r="U12" s="39"/>
      <c r="V12" s="39"/>
      <c r="W12" s="132"/>
      <c r="X12" s="132"/>
      <c r="Y12" s="132"/>
      <c r="Z12" s="132"/>
      <c r="AA12" s="132"/>
      <c r="AB12" s="39"/>
      <c r="AC12" s="39"/>
      <c r="AD12" s="132"/>
      <c r="AE12" s="132"/>
      <c r="AF12" s="132"/>
      <c r="AG12" s="132"/>
      <c r="AH12" s="132"/>
      <c r="AI12" s="39"/>
      <c r="AJ12" s="39"/>
      <c r="AK12" s="132"/>
      <c r="AL12" s="38"/>
      <c r="AM12" s="133"/>
      <c r="AN12" s="134"/>
      <c r="AO12" s="135"/>
      <c r="AP12" s="134"/>
      <c r="AQ12" s="134"/>
      <c r="AR12" s="134"/>
      <c r="AS12" s="126"/>
      <c r="AT12" s="136"/>
      <c r="AU12" s="137"/>
      <c r="AW12" s="128"/>
    </row>
    <row r="13" spans="1:51" ht="16" customHeight="1" x14ac:dyDescent="0.4">
      <c r="A13" s="34"/>
      <c r="B13" s="44" t="s">
        <v>152</v>
      </c>
      <c r="C13" s="40" t="s">
        <v>156</v>
      </c>
      <c r="D13" s="40" t="s">
        <v>21</v>
      </c>
      <c r="E13" s="43" t="s">
        <v>26</v>
      </c>
      <c r="F13" s="138" t="s">
        <v>134</v>
      </c>
      <c r="G13" s="32" t="s">
        <v>14</v>
      </c>
      <c r="H13" s="39"/>
      <c r="I13" s="12"/>
      <c r="J13" s="38"/>
      <c r="K13" s="38"/>
      <c r="L13" s="38"/>
      <c r="M13" s="38"/>
      <c r="N13" s="39"/>
      <c r="O13" s="39"/>
      <c r="P13" s="38"/>
      <c r="Q13" s="38"/>
      <c r="R13" s="38"/>
      <c r="S13" s="12"/>
      <c r="T13" s="12"/>
      <c r="U13" s="39"/>
      <c r="V13" s="39"/>
      <c r="W13" s="12"/>
      <c r="X13" s="38"/>
      <c r="Y13" s="38"/>
      <c r="Z13" s="38"/>
      <c r="AA13" s="12">
        <v>5</v>
      </c>
      <c r="AB13" s="39">
        <v>5</v>
      </c>
      <c r="AC13" s="39">
        <v>5</v>
      </c>
      <c r="AD13" s="12">
        <v>5</v>
      </c>
      <c r="AE13" s="38">
        <v>5</v>
      </c>
      <c r="AF13" s="38">
        <v>5</v>
      </c>
      <c r="AG13" s="38">
        <v>5</v>
      </c>
      <c r="AH13" s="12"/>
      <c r="AI13" s="39"/>
      <c r="AJ13" s="39"/>
      <c r="AK13" s="12"/>
      <c r="AL13" s="38"/>
      <c r="AM13" s="53">
        <f>SUM(H13:AL13)</f>
        <v>35</v>
      </c>
      <c r="AN13" s="20">
        <v>453</v>
      </c>
      <c r="AO13" s="41">
        <v>0.45</v>
      </c>
      <c r="AP13" s="20">
        <f>AN13*(1-AO13)</f>
        <v>249.15000000000003</v>
      </c>
      <c r="AQ13" s="20">
        <f>AP13*AM13</f>
        <v>8720.2500000000018</v>
      </c>
      <c r="AR13" s="20">
        <f>AQ13*0.8</f>
        <v>6976.2000000000016</v>
      </c>
      <c r="AS13" s="28"/>
      <c r="AT13" s="99">
        <f>SUM(H13:AL13
)</f>
        <v>35</v>
      </c>
      <c r="AU13" s="197">
        <f>AT13*AP13*0.8</f>
        <v>6976.2000000000016</v>
      </c>
      <c r="AY13" s="118"/>
    </row>
    <row r="14" spans="1:51" ht="16" customHeight="1" x14ac:dyDescent="0.4">
      <c r="A14" s="28"/>
      <c r="B14" s="47"/>
      <c r="C14" s="111"/>
      <c r="D14" s="111"/>
      <c r="E14" s="43"/>
      <c r="F14" s="58"/>
      <c r="G14" s="32"/>
      <c r="H14" s="39"/>
      <c r="I14" s="38"/>
      <c r="J14" s="38"/>
      <c r="K14" s="38"/>
      <c r="L14" s="38"/>
      <c r="M14" s="38"/>
      <c r="N14" s="39"/>
      <c r="O14" s="39"/>
      <c r="P14" s="38"/>
      <c r="Q14" s="38"/>
      <c r="R14" s="38"/>
      <c r="S14" s="38"/>
      <c r="T14" s="38"/>
      <c r="U14" s="39"/>
      <c r="V14" s="39"/>
      <c r="W14" s="38"/>
      <c r="X14" s="38"/>
      <c r="Y14" s="38"/>
      <c r="Z14" s="38"/>
      <c r="AA14" s="38"/>
      <c r="AB14" s="39"/>
      <c r="AC14" s="39"/>
      <c r="AD14" s="38"/>
      <c r="AE14" s="38"/>
      <c r="AF14" s="38"/>
      <c r="AG14" s="38"/>
      <c r="AH14" s="38"/>
      <c r="AI14" s="39"/>
      <c r="AJ14" s="39"/>
      <c r="AK14" s="38"/>
      <c r="AL14" s="38"/>
      <c r="AM14" s="52"/>
      <c r="AN14" s="45"/>
      <c r="AO14" s="54"/>
      <c r="AP14" s="45"/>
      <c r="AQ14" s="45"/>
      <c r="AR14" s="45"/>
      <c r="AS14" s="28"/>
      <c r="AT14" s="103">
        <f>SUM(AT13:AT13)</f>
        <v>35</v>
      </c>
      <c r="AU14" s="104">
        <f>SUM(AU13:AU13)</f>
        <v>6976.2000000000016</v>
      </c>
    </row>
    <row r="15" spans="1:51" ht="16" customHeight="1" x14ac:dyDescent="0.4">
      <c r="A15" s="28"/>
      <c r="B15" s="129"/>
      <c r="C15" s="129"/>
      <c r="D15" s="129"/>
      <c r="E15" s="130"/>
      <c r="F15" s="130"/>
      <c r="G15" s="131"/>
      <c r="H15" s="39"/>
      <c r="I15" s="132"/>
      <c r="J15" s="132"/>
      <c r="K15" s="132"/>
      <c r="L15" s="132"/>
      <c r="M15" s="132"/>
      <c r="N15" s="39"/>
      <c r="O15" s="39"/>
      <c r="P15" s="132"/>
      <c r="Q15" s="132"/>
      <c r="R15" s="132"/>
      <c r="S15" s="132"/>
      <c r="T15" s="132"/>
      <c r="U15" s="39"/>
      <c r="V15" s="39"/>
      <c r="W15" s="132"/>
      <c r="X15" s="132"/>
      <c r="Y15" s="132"/>
      <c r="Z15" s="132"/>
      <c r="AA15" s="132"/>
      <c r="AB15" s="39"/>
      <c r="AC15" s="39"/>
      <c r="AD15" s="132"/>
      <c r="AE15" s="132"/>
      <c r="AF15" s="132"/>
      <c r="AG15" s="132"/>
      <c r="AH15" s="132"/>
      <c r="AI15" s="39"/>
      <c r="AJ15" s="39"/>
      <c r="AK15" s="132"/>
      <c r="AL15" s="38"/>
      <c r="AM15" s="133"/>
      <c r="AN15" s="134"/>
      <c r="AO15" s="221"/>
      <c r="AP15" s="134"/>
      <c r="AQ15" s="134"/>
      <c r="AR15" s="134"/>
      <c r="AS15" s="126"/>
      <c r="AT15" s="136"/>
      <c r="AU15" s="137"/>
    </row>
    <row r="16" spans="1:51" ht="17.399999999999999" customHeight="1" x14ac:dyDescent="0.4">
      <c r="A16" s="28"/>
      <c r="B16" s="44"/>
      <c r="C16" s="40" t="s">
        <v>25</v>
      </c>
      <c r="D16" s="40" t="s">
        <v>21</v>
      </c>
      <c r="E16" s="43" t="s">
        <v>26</v>
      </c>
      <c r="F16" s="138" t="s">
        <v>134</v>
      </c>
      <c r="G16" s="32" t="s">
        <v>14</v>
      </c>
      <c r="H16" s="39"/>
      <c r="I16" s="12"/>
      <c r="J16" s="38"/>
      <c r="K16" s="38"/>
      <c r="L16" s="38"/>
      <c r="M16" s="38"/>
      <c r="N16" s="39"/>
      <c r="O16" s="39"/>
      <c r="P16" s="38"/>
      <c r="Q16" s="38"/>
      <c r="R16" s="38"/>
      <c r="S16" s="12"/>
      <c r="T16" s="12"/>
      <c r="U16" s="39"/>
      <c r="V16" s="39"/>
      <c r="W16" s="12"/>
      <c r="X16" s="38"/>
      <c r="Y16" s="38"/>
      <c r="Z16" s="38"/>
      <c r="AA16" s="12">
        <v>5</v>
      </c>
      <c r="AB16" s="39">
        <v>5</v>
      </c>
      <c r="AC16" s="39">
        <v>5</v>
      </c>
      <c r="AD16" s="12">
        <v>5</v>
      </c>
      <c r="AE16" s="38">
        <v>5</v>
      </c>
      <c r="AF16" s="38">
        <v>5</v>
      </c>
      <c r="AG16" s="38">
        <v>5</v>
      </c>
      <c r="AH16" s="12"/>
      <c r="AI16" s="39"/>
      <c r="AJ16" s="39"/>
      <c r="AK16" s="12"/>
      <c r="AL16" s="38"/>
      <c r="AM16" s="53">
        <f>SUM(H16:AL16)</f>
        <v>35</v>
      </c>
      <c r="AN16" s="20">
        <v>173</v>
      </c>
      <c r="AO16" s="222">
        <v>0.55000000000000004</v>
      </c>
      <c r="AP16" s="20">
        <f>AN16*(1-AO16)</f>
        <v>77.849999999999994</v>
      </c>
      <c r="AQ16" s="20">
        <f>AP16*AM16</f>
        <v>2724.75</v>
      </c>
      <c r="AR16" s="20">
        <f>AQ16*0.8</f>
        <v>2179.8000000000002</v>
      </c>
      <c r="AS16" s="28"/>
      <c r="AT16" s="99">
        <f>SUM(H16:AL16
)</f>
        <v>35</v>
      </c>
      <c r="AU16" s="197">
        <f>AT16*AP16*0.8</f>
        <v>2179.8000000000002</v>
      </c>
    </row>
    <row r="17" spans="1:49" ht="16" customHeight="1" x14ac:dyDescent="0.4">
      <c r="A17" s="28"/>
      <c r="B17" s="44"/>
      <c r="C17" s="111"/>
      <c r="D17" s="111"/>
      <c r="E17" s="43"/>
      <c r="F17" s="58"/>
      <c r="G17" s="32"/>
      <c r="H17" s="39"/>
      <c r="I17" s="38"/>
      <c r="J17" s="38"/>
      <c r="K17" s="38"/>
      <c r="L17" s="38"/>
      <c r="M17" s="38"/>
      <c r="N17" s="39"/>
      <c r="O17" s="39"/>
      <c r="P17" s="38"/>
      <c r="Q17" s="38"/>
      <c r="R17" s="38"/>
      <c r="S17" s="38"/>
      <c r="T17" s="38"/>
      <c r="U17" s="39"/>
      <c r="V17" s="39"/>
      <c r="W17" s="38"/>
      <c r="X17" s="38"/>
      <c r="Y17" s="38"/>
      <c r="Z17" s="38"/>
      <c r="AA17" s="38"/>
      <c r="AB17" s="39"/>
      <c r="AC17" s="39"/>
      <c r="AD17" s="38"/>
      <c r="AE17" s="38"/>
      <c r="AF17" s="38"/>
      <c r="AG17" s="38"/>
      <c r="AH17" s="38"/>
      <c r="AI17" s="39"/>
      <c r="AJ17" s="39"/>
      <c r="AK17" s="38"/>
      <c r="AL17" s="38"/>
      <c r="AM17" s="52"/>
      <c r="AN17" s="45"/>
      <c r="AO17" s="223"/>
      <c r="AP17" s="45"/>
      <c r="AQ17" s="45"/>
      <c r="AR17" s="45"/>
      <c r="AS17" s="28"/>
      <c r="AT17" s="103">
        <f>SUM(AT16:AT16)</f>
        <v>35</v>
      </c>
      <c r="AU17" s="104">
        <f>SUM(AU16:AU16)</f>
        <v>2179.8000000000002</v>
      </c>
    </row>
    <row r="18" spans="1:49" ht="16" customHeight="1" x14ac:dyDescent="0.4">
      <c r="A18" s="28"/>
      <c r="B18" s="44"/>
      <c r="C18" s="43"/>
      <c r="D18" s="129"/>
      <c r="E18" s="130"/>
      <c r="F18" s="130"/>
      <c r="G18" s="131"/>
      <c r="H18" s="39"/>
      <c r="I18" s="132"/>
      <c r="J18" s="132"/>
      <c r="K18" s="132"/>
      <c r="L18" s="132"/>
      <c r="M18" s="132"/>
      <c r="N18" s="39"/>
      <c r="O18" s="39"/>
      <c r="P18" s="132"/>
      <c r="Q18" s="132"/>
      <c r="R18" s="132"/>
      <c r="S18" s="132"/>
      <c r="T18" s="132"/>
      <c r="U18" s="39"/>
      <c r="V18" s="39"/>
      <c r="W18" s="132"/>
      <c r="X18" s="132"/>
      <c r="Y18" s="132"/>
      <c r="Z18" s="132"/>
      <c r="AA18" s="132"/>
      <c r="AB18" s="39"/>
      <c r="AC18" s="39"/>
      <c r="AD18" s="132"/>
      <c r="AE18" s="132"/>
      <c r="AF18" s="132"/>
      <c r="AG18" s="132"/>
      <c r="AH18" s="132"/>
      <c r="AI18" s="39"/>
      <c r="AJ18" s="39"/>
      <c r="AK18" s="132"/>
      <c r="AL18" s="38"/>
      <c r="AM18" s="133"/>
      <c r="AN18" s="134"/>
      <c r="AO18" s="221"/>
      <c r="AP18" s="134"/>
      <c r="AQ18" s="134"/>
      <c r="AR18" s="134"/>
      <c r="AS18" s="126"/>
      <c r="AT18" s="136"/>
      <c r="AU18" s="137"/>
    </row>
    <row r="19" spans="1:49" ht="16" customHeight="1" x14ac:dyDescent="0.4">
      <c r="A19" s="28"/>
      <c r="B19" s="44"/>
      <c r="C19" s="40" t="s">
        <v>157</v>
      </c>
      <c r="D19" s="40" t="s">
        <v>21</v>
      </c>
      <c r="E19" s="43" t="s">
        <v>26</v>
      </c>
      <c r="F19" s="138" t="s">
        <v>134</v>
      </c>
      <c r="G19" s="32" t="s">
        <v>14</v>
      </c>
      <c r="H19" s="39"/>
      <c r="I19" s="12"/>
      <c r="J19" s="38"/>
      <c r="K19" s="38"/>
      <c r="L19" s="38"/>
      <c r="M19" s="38"/>
      <c r="N19" s="39"/>
      <c r="O19" s="39"/>
      <c r="P19" s="38"/>
      <c r="Q19" s="38"/>
      <c r="R19" s="38"/>
      <c r="S19" s="12"/>
      <c r="T19" s="12"/>
      <c r="U19" s="39"/>
      <c r="V19" s="39"/>
      <c r="W19" s="12"/>
      <c r="X19" s="38"/>
      <c r="Y19" s="38"/>
      <c r="Z19" s="38"/>
      <c r="AA19" s="12">
        <v>5</v>
      </c>
      <c r="AB19" s="39">
        <v>5</v>
      </c>
      <c r="AC19" s="39">
        <v>5</v>
      </c>
      <c r="AD19" s="12">
        <v>5</v>
      </c>
      <c r="AE19" s="38">
        <v>5</v>
      </c>
      <c r="AF19" s="38">
        <v>5</v>
      </c>
      <c r="AG19" s="38">
        <v>5</v>
      </c>
      <c r="AH19" s="12"/>
      <c r="AI19" s="39"/>
      <c r="AJ19" s="39"/>
      <c r="AK19" s="12"/>
      <c r="AL19" s="38"/>
      <c r="AM19" s="53">
        <f>SUM(H19:AL19)</f>
        <v>35</v>
      </c>
      <c r="AN19" s="20">
        <v>209</v>
      </c>
      <c r="AO19" s="222">
        <v>0.5</v>
      </c>
      <c r="AP19" s="20">
        <f>AN19*(1-AO19)</f>
        <v>104.5</v>
      </c>
      <c r="AQ19" s="20">
        <f>AP19*AM19</f>
        <v>3657.5</v>
      </c>
      <c r="AR19" s="20">
        <f>AQ19*0.8</f>
        <v>2926</v>
      </c>
      <c r="AS19" s="28"/>
      <c r="AT19" s="99">
        <f>SUM(H19:AL19
)</f>
        <v>35</v>
      </c>
      <c r="AU19" s="197">
        <f>AT19*AP19*0.8</f>
        <v>2926</v>
      </c>
    </row>
    <row r="20" spans="1:49" ht="16" customHeight="1" x14ac:dyDescent="0.4">
      <c r="A20" s="28"/>
      <c r="B20" s="44"/>
      <c r="C20" s="111"/>
      <c r="D20" s="111"/>
      <c r="E20" s="43"/>
      <c r="F20" s="58"/>
      <c r="G20" s="32"/>
      <c r="H20" s="39"/>
      <c r="I20" s="38"/>
      <c r="J20" s="38"/>
      <c r="K20" s="38"/>
      <c r="L20" s="38"/>
      <c r="M20" s="38"/>
      <c r="N20" s="39"/>
      <c r="O20" s="39"/>
      <c r="P20" s="38"/>
      <c r="Q20" s="38"/>
      <c r="R20" s="38"/>
      <c r="S20" s="38"/>
      <c r="T20" s="38"/>
      <c r="U20" s="39"/>
      <c r="V20" s="39"/>
      <c r="W20" s="38"/>
      <c r="X20" s="38"/>
      <c r="Y20" s="38"/>
      <c r="Z20" s="38"/>
      <c r="AA20" s="38"/>
      <c r="AB20" s="39"/>
      <c r="AC20" s="39"/>
      <c r="AD20" s="38"/>
      <c r="AE20" s="38"/>
      <c r="AF20" s="38"/>
      <c r="AG20" s="38"/>
      <c r="AH20" s="38"/>
      <c r="AI20" s="39"/>
      <c r="AJ20" s="39"/>
      <c r="AK20" s="38"/>
      <c r="AL20" s="38"/>
      <c r="AM20" s="52"/>
      <c r="AN20" s="45"/>
      <c r="AO20" s="223"/>
      <c r="AP20" s="45"/>
      <c r="AQ20" s="45"/>
      <c r="AR20" s="45"/>
      <c r="AS20" s="28"/>
      <c r="AT20" s="103">
        <f>SUM(AT19:AT19)</f>
        <v>35</v>
      </c>
      <c r="AU20" s="104">
        <f>SUM(AU19:AU19)</f>
        <v>2926</v>
      </c>
    </row>
    <row r="21" spans="1:49" ht="16" customHeight="1" x14ac:dyDescent="0.4">
      <c r="A21" s="28"/>
      <c r="B21" s="44"/>
      <c r="C21" s="43"/>
      <c r="D21" s="129"/>
      <c r="E21" s="130"/>
      <c r="F21" s="130"/>
      <c r="G21" s="131"/>
      <c r="H21" s="39"/>
      <c r="I21" s="132"/>
      <c r="J21" s="132"/>
      <c r="K21" s="132"/>
      <c r="L21" s="132"/>
      <c r="M21" s="132"/>
      <c r="N21" s="39"/>
      <c r="O21" s="39"/>
      <c r="P21" s="132"/>
      <c r="Q21" s="132"/>
      <c r="R21" s="132"/>
      <c r="S21" s="132"/>
      <c r="T21" s="132"/>
      <c r="U21" s="39"/>
      <c r="V21" s="39"/>
      <c r="W21" s="132"/>
      <c r="X21" s="132"/>
      <c r="Y21" s="132"/>
      <c r="Z21" s="132"/>
      <c r="AA21" s="132"/>
      <c r="AB21" s="39"/>
      <c r="AC21" s="39"/>
      <c r="AD21" s="132"/>
      <c r="AE21" s="132"/>
      <c r="AF21" s="132"/>
      <c r="AG21" s="132"/>
      <c r="AH21" s="132"/>
      <c r="AI21" s="39"/>
      <c r="AJ21" s="39"/>
      <c r="AK21" s="132"/>
      <c r="AL21" s="38"/>
      <c r="AM21" s="133"/>
      <c r="AN21" s="134"/>
      <c r="AO21" s="221"/>
      <c r="AP21" s="134"/>
      <c r="AQ21" s="134"/>
      <c r="AR21" s="134"/>
      <c r="AS21" s="126"/>
      <c r="AT21" s="136"/>
      <c r="AU21" s="137"/>
    </row>
    <row r="22" spans="1:49" ht="16" customHeight="1" x14ac:dyDescent="0.4">
      <c r="A22" s="28"/>
      <c r="B22" s="44"/>
      <c r="C22" s="40" t="s">
        <v>158</v>
      </c>
      <c r="D22" s="40" t="s">
        <v>21</v>
      </c>
      <c r="E22" s="43" t="s">
        <v>26</v>
      </c>
      <c r="F22" s="138" t="s">
        <v>134</v>
      </c>
      <c r="G22" s="32" t="s">
        <v>14</v>
      </c>
      <c r="H22" s="39"/>
      <c r="I22" s="12"/>
      <c r="J22" s="38"/>
      <c r="K22" s="38"/>
      <c r="L22" s="38"/>
      <c r="M22" s="38"/>
      <c r="N22" s="39"/>
      <c r="O22" s="39"/>
      <c r="P22" s="38"/>
      <c r="Q22" s="38"/>
      <c r="R22" s="38"/>
      <c r="S22" s="12"/>
      <c r="T22" s="12"/>
      <c r="U22" s="39"/>
      <c r="V22" s="39"/>
      <c r="W22" s="12"/>
      <c r="X22" s="38"/>
      <c r="Y22" s="38"/>
      <c r="Z22" s="38"/>
      <c r="AA22" s="12">
        <v>5</v>
      </c>
      <c r="AB22" s="39">
        <v>5</v>
      </c>
      <c r="AC22" s="39">
        <v>5</v>
      </c>
      <c r="AD22" s="12">
        <v>5</v>
      </c>
      <c r="AE22" s="38">
        <v>5</v>
      </c>
      <c r="AF22" s="38">
        <v>5</v>
      </c>
      <c r="AG22" s="38">
        <v>5</v>
      </c>
      <c r="AH22" s="12"/>
      <c r="AI22" s="39"/>
      <c r="AJ22" s="39"/>
      <c r="AK22" s="12"/>
      <c r="AL22" s="38"/>
      <c r="AM22" s="53">
        <f>SUM(H22:AL22)</f>
        <v>35</v>
      </c>
      <c r="AN22" s="20">
        <v>240</v>
      </c>
      <c r="AO22" s="222">
        <v>0.28000000000000003</v>
      </c>
      <c r="AP22" s="20">
        <f>AN22*(1-AO22)</f>
        <v>172.79999999999998</v>
      </c>
      <c r="AQ22" s="20">
        <f>AP22*AM22</f>
        <v>6047.9999999999991</v>
      </c>
      <c r="AR22" s="20">
        <f>AQ22*0.8</f>
        <v>4838.3999999999996</v>
      </c>
      <c r="AS22" s="28"/>
      <c r="AT22" s="99">
        <f>SUM(H22:AL22
)</f>
        <v>35</v>
      </c>
      <c r="AU22" s="197">
        <f>AT22*AP22*0.8</f>
        <v>4838.3999999999996</v>
      </c>
    </row>
    <row r="23" spans="1:49" ht="16" customHeight="1" x14ac:dyDescent="0.4">
      <c r="A23" s="28"/>
      <c r="B23" s="44"/>
      <c r="C23" s="111"/>
      <c r="D23" s="111"/>
      <c r="E23" s="43"/>
      <c r="F23" s="58"/>
      <c r="G23" s="32"/>
      <c r="H23" s="39"/>
      <c r="I23" s="38"/>
      <c r="J23" s="38"/>
      <c r="K23" s="38"/>
      <c r="L23" s="38"/>
      <c r="M23" s="38"/>
      <c r="N23" s="39"/>
      <c r="O23" s="39"/>
      <c r="P23" s="38"/>
      <c r="Q23" s="38"/>
      <c r="R23" s="38"/>
      <c r="S23" s="38"/>
      <c r="T23" s="38"/>
      <c r="U23" s="39"/>
      <c r="V23" s="39"/>
      <c r="W23" s="38"/>
      <c r="X23" s="38"/>
      <c r="Y23" s="38"/>
      <c r="Z23" s="38"/>
      <c r="AA23" s="38"/>
      <c r="AB23" s="39"/>
      <c r="AC23" s="39"/>
      <c r="AD23" s="38"/>
      <c r="AE23" s="38"/>
      <c r="AF23" s="38"/>
      <c r="AG23" s="38"/>
      <c r="AH23" s="38"/>
      <c r="AI23" s="39"/>
      <c r="AJ23" s="39"/>
      <c r="AK23" s="38"/>
      <c r="AL23" s="38"/>
      <c r="AM23" s="52"/>
      <c r="AN23" s="45"/>
      <c r="AO23" s="223"/>
      <c r="AP23" s="45"/>
      <c r="AQ23" s="45"/>
      <c r="AR23" s="45"/>
      <c r="AS23" s="28"/>
      <c r="AT23" s="103">
        <f>SUM(AT22:AT22)</f>
        <v>35</v>
      </c>
      <c r="AU23" s="104">
        <f>SUM(AU22:AU22)</f>
        <v>4838.3999999999996</v>
      </c>
    </row>
    <row r="24" spans="1:49" ht="16" customHeight="1" x14ac:dyDescent="0.4">
      <c r="A24" s="28"/>
      <c r="B24" s="44"/>
      <c r="C24" s="43"/>
      <c r="D24" s="129"/>
      <c r="E24" s="130"/>
      <c r="F24" s="130"/>
      <c r="G24" s="131"/>
      <c r="H24" s="39"/>
      <c r="I24" s="132"/>
      <c r="J24" s="132"/>
      <c r="K24" s="132"/>
      <c r="L24" s="132"/>
      <c r="M24" s="132"/>
      <c r="N24" s="39"/>
      <c r="O24" s="39"/>
      <c r="P24" s="132"/>
      <c r="Q24" s="132"/>
      <c r="R24" s="132"/>
      <c r="S24" s="132"/>
      <c r="T24" s="132"/>
      <c r="U24" s="39"/>
      <c r="V24" s="39"/>
      <c r="W24" s="132"/>
      <c r="X24" s="132"/>
      <c r="Y24" s="132"/>
      <c r="Z24" s="132"/>
      <c r="AA24" s="132"/>
      <c r="AB24" s="39"/>
      <c r="AC24" s="39"/>
      <c r="AD24" s="132"/>
      <c r="AE24" s="132"/>
      <c r="AF24" s="132"/>
      <c r="AG24" s="132"/>
      <c r="AH24" s="132"/>
      <c r="AI24" s="39"/>
      <c r="AJ24" s="39"/>
      <c r="AK24" s="132"/>
      <c r="AL24" s="38"/>
      <c r="AM24" s="133"/>
      <c r="AN24" s="134"/>
      <c r="AO24" s="221"/>
      <c r="AP24" s="134"/>
      <c r="AQ24" s="134"/>
      <c r="AR24" s="134"/>
      <c r="AS24" s="126"/>
      <c r="AT24" s="136"/>
      <c r="AU24" s="137"/>
    </row>
    <row r="25" spans="1:49" ht="16" customHeight="1" x14ac:dyDescent="0.4">
      <c r="A25" s="28"/>
      <c r="B25" s="44"/>
      <c r="C25" s="40" t="s">
        <v>23</v>
      </c>
      <c r="D25" s="40" t="s">
        <v>21</v>
      </c>
      <c r="E25" s="43" t="s">
        <v>26</v>
      </c>
      <c r="F25" s="138" t="s">
        <v>134</v>
      </c>
      <c r="G25" s="32" t="s">
        <v>14</v>
      </c>
      <c r="H25" s="39"/>
      <c r="I25" s="12"/>
      <c r="J25" s="38"/>
      <c r="K25" s="38"/>
      <c r="L25" s="38"/>
      <c r="M25" s="38"/>
      <c r="N25" s="39"/>
      <c r="O25" s="39"/>
      <c r="P25" s="38"/>
      <c r="Q25" s="38"/>
      <c r="R25" s="38"/>
      <c r="S25" s="12"/>
      <c r="T25" s="12"/>
      <c r="U25" s="39"/>
      <c r="V25" s="39"/>
      <c r="W25" s="12"/>
      <c r="X25" s="38"/>
      <c r="Y25" s="38"/>
      <c r="Z25" s="38"/>
      <c r="AA25" s="12">
        <v>5</v>
      </c>
      <c r="AB25" s="39">
        <v>5</v>
      </c>
      <c r="AC25" s="39">
        <v>5</v>
      </c>
      <c r="AD25" s="12">
        <v>5</v>
      </c>
      <c r="AE25" s="38">
        <v>5</v>
      </c>
      <c r="AF25" s="38">
        <v>5</v>
      </c>
      <c r="AG25" s="38">
        <v>5</v>
      </c>
      <c r="AH25" s="12"/>
      <c r="AI25" s="39"/>
      <c r="AJ25" s="39"/>
      <c r="AK25" s="12"/>
      <c r="AL25" s="38"/>
      <c r="AM25" s="53">
        <f>SUM(H25:AL25)</f>
        <v>35</v>
      </c>
      <c r="AN25" s="20">
        <v>209</v>
      </c>
      <c r="AO25" s="222">
        <v>0.55000000000000004</v>
      </c>
      <c r="AP25" s="20">
        <f>AN25*(1-AO25)</f>
        <v>94.05</v>
      </c>
      <c r="AQ25" s="20">
        <f>AP25*AM25</f>
        <v>3291.75</v>
      </c>
      <c r="AR25" s="20">
        <f>AQ25*0.8</f>
        <v>2633.4</v>
      </c>
      <c r="AS25" s="28"/>
      <c r="AT25" s="99">
        <f>SUM(H25:AL25
)</f>
        <v>35</v>
      </c>
      <c r="AU25" s="197">
        <f>AT25*AP25*0.8</f>
        <v>2633.4</v>
      </c>
    </row>
    <row r="26" spans="1:49" ht="16" customHeight="1" x14ac:dyDescent="0.4">
      <c r="A26" s="28"/>
      <c r="B26" s="44"/>
      <c r="C26" s="111"/>
      <c r="D26" s="111"/>
      <c r="E26" s="43"/>
      <c r="F26" s="58"/>
      <c r="G26" s="32"/>
      <c r="H26" s="39"/>
      <c r="I26" s="38"/>
      <c r="J26" s="38"/>
      <c r="K26" s="38"/>
      <c r="L26" s="38"/>
      <c r="M26" s="38"/>
      <c r="N26" s="39"/>
      <c r="O26" s="39"/>
      <c r="P26" s="38"/>
      <c r="Q26" s="38"/>
      <c r="R26" s="38"/>
      <c r="S26" s="38"/>
      <c r="T26" s="38"/>
      <c r="U26" s="39"/>
      <c r="V26" s="39"/>
      <c r="W26" s="38"/>
      <c r="X26" s="38"/>
      <c r="Y26" s="38"/>
      <c r="Z26" s="38"/>
      <c r="AA26" s="38"/>
      <c r="AB26" s="39"/>
      <c r="AC26" s="39"/>
      <c r="AD26" s="38"/>
      <c r="AE26" s="38"/>
      <c r="AF26" s="38"/>
      <c r="AG26" s="38"/>
      <c r="AH26" s="38"/>
      <c r="AI26" s="39"/>
      <c r="AJ26" s="39"/>
      <c r="AK26" s="38"/>
      <c r="AL26" s="38"/>
      <c r="AM26" s="52"/>
      <c r="AN26" s="45"/>
      <c r="AO26" s="54"/>
      <c r="AP26" s="45"/>
      <c r="AQ26" s="45"/>
      <c r="AR26" s="45"/>
      <c r="AS26" s="28"/>
      <c r="AT26" s="103">
        <f>SUM(AT25:AT25)</f>
        <v>35</v>
      </c>
      <c r="AU26" s="104">
        <f>SUM(AU25:AU25)</f>
        <v>2633.4</v>
      </c>
    </row>
    <row r="27" spans="1:49" x14ac:dyDescent="0.4">
      <c r="A27" s="28"/>
      <c r="B27" s="22" t="s">
        <v>154</v>
      </c>
      <c r="C27" s="22"/>
      <c r="D27" s="48"/>
      <c r="E27" s="48"/>
      <c r="F27" s="48"/>
      <c r="G27" s="48"/>
      <c r="H27" s="100">
        <f t="shared" ref="H27:AL27" si="2">SUM(H12:H23)</f>
        <v>0</v>
      </c>
      <c r="I27" s="100">
        <f t="shared" si="2"/>
        <v>0</v>
      </c>
      <c r="J27" s="100">
        <f t="shared" si="2"/>
        <v>0</v>
      </c>
      <c r="K27" s="100">
        <f t="shared" si="2"/>
        <v>0</v>
      </c>
      <c r="L27" s="100">
        <f t="shared" si="2"/>
        <v>0</v>
      </c>
      <c r="M27" s="100">
        <f t="shared" si="2"/>
        <v>0</v>
      </c>
      <c r="N27" s="100">
        <f t="shared" si="2"/>
        <v>0</v>
      </c>
      <c r="O27" s="100">
        <f t="shared" si="2"/>
        <v>0</v>
      </c>
      <c r="P27" s="100">
        <f t="shared" si="2"/>
        <v>0</v>
      </c>
      <c r="Q27" s="100">
        <f t="shared" si="2"/>
        <v>0</v>
      </c>
      <c r="R27" s="100">
        <f t="shared" si="2"/>
        <v>0</v>
      </c>
      <c r="S27" s="100">
        <f t="shared" si="2"/>
        <v>0</v>
      </c>
      <c r="T27" s="100">
        <f t="shared" si="2"/>
        <v>0</v>
      </c>
      <c r="U27" s="100">
        <f t="shared" si="2"/>
        <v>0</v>
      </c>
      <c r="V27" s="100">
        <f>SUM(V12:V26)</f>
        <v>0</v>
      </c>
      <c r="W27" s="100">
        <f t="shared" ref="W27:AI27" si="3">SUM(W12:W26)</f>
        <v>0</v>
      </c>
      <c r="X27" s="100">
        <f t="shared" si="3"/>
        <v>0</v>
      </c>
      <c r="Y27" s="100">
        <f t="shared" si="3"/>
        <v>0</v>
      </c>
      <c r="Z27" s="100">
        <f t="shared" si="3"/>
        <v>0</v>
      </c>
      <c r="AA27" s="100">
        <f t="shared" si="3"/>
        <v>25</v>
      </c>
      <c r="AB27" s="100">
        <f t="shared" si="3"/>
        <v>25</v>
      </c>
      <c r="AC27" s="100">
        <f t="shared" si="3"/>
        <v>25</v>
      </c>
      <c r="AD27" s="100">
        <f t="shared" si="3"/>
        <v>25</v>
      </c>
      <c r="AE27" s="100">
        <f t="shared" si="3"/>
        <v>25</v>
      </c>
      <c r="AF27" s="100">
        <f t="shared" si="3"/>
        <v>25</v>
      </c>
      <c r="AG27" s="100">
        <f t="shared" si="3"/>
        <v>25</v>
      </c>
      <c r="AH27" s="100">
        <f t="shared" si="3"/>
        <v>0</v>
      </c>
      <c r="AI27" s="100">
        <f t="shared" si="3"/>
        <v>0</v>
      </c>
      <c r="AJ27" s="100">
        <f t="shared" si="2"/>
        <v>0</v>
      </c>
      <c r="AK27" s="100">
        <f t="shared" si="2"/>
        <v>0</v>
      </c>
      <c r="AL27" s="100">
        <f t="shared" si="2"/>
        <v>0</v>
      </c>
      <c r="AM27" s="49">
        <f>SUM(AM13:AM26)</f>
        <v>175</v>
      </c>
      <c r="AN27" s="50"/>
      <c r="AO27" s="50"/>
      <c r="AP27" s="50"/>
      <c r="AQ27" s="50">
        <f>SUM(AQ13:AQ26)</f>
        <v>24442.25</v>
      </c>
      <c r="AR27" s="50">
        <f>SUM(AR13:AR26)</f>
        <v>19553.800000000003</v>
      </c>
      <c r="AS27" s="34"/>
      <c r="AT27" s="101">
        <f>SUM(AT14,AT17,AT20,AT23,AT26)</f>
        <v>175</v>
      </c>
      <c r="AU27" s="202">
        <f>SUM(AU14,AU17,AU20,AU23,AU26)</f>
        <v>19553.800000000003</v>
      </c>
      <c r="AW27" s="51" t="b">
        <f>AU27=AR27</f>
        <v>1</v>
      </c>
    </row>
    <row r="28" spans="1:49" ht="16" customHeight="1" x14ac:dyDescent="0.4">
      <c r="E28" s="32"/>
      <c r="AM28" s="98"/>
      <c r="AO28" s="112"/>
      <c r="AQ28" s="113"/>
      <c r="AR28" s="113"/>
      <c r="AW28" s="98"/>
    </row>
    <row r="29" spans="1:49" x14ac:dyDescent="0.4">
      <c r="AM29" s="98"/>
      <c r="AN29" s="139"/>
      <c r="AR29" s="114"/>
      <c r="AW29" s="98"/>
    </row>
    <row r="30" spans="1:49" x14ac:dyDescent="0.4">
      <c r="AM30" s="98"/>
      <c r="AR30" s="114"/>
      <c r="AW30" s="98"/>
    </row>
    <row r="31" spans="1:49" x14ac:dyDescent="0.4">
      <c r="AM31" s="139"/>
      <c r="AR31" s="113"/>
      <c r="AW31" s="98"/>
    </row>
    <row r="32" spans="1:49" x14ac:dyDescent="0.4">
      <c r="AM32" s="98"/>
      <c r="AN32" s="139"/>
      <c r="AQ32" s="113"/>
      <c r="AR32" s="113"/>
      <c r="AW32" s="98"/>
    </row>
    <row r="33" spans="39:49" x14ac:dyDescent="0.4">
      <c r="AM33" s="98"/>
      <c r="AU33" s="114"/>
      <c r="AW33" s="98"/>
    </row>
  </sheetData>
  <mergeCells count="14">
    <mergeCell ref="G9:G11"/>
    <mergeCell ref="B9:B11"/>
    <mergeCell ref="C9:C11"/>
    <mergeCell ref="D9:D11"/>
    <mergeCell ref="E9:E11"/>
    <mergeCell ref="F9:F11"/>
    <mergeCell ref="AR9:AR11"/>
    <mergeCell ref="AT9:AU10"/>
    <mergeCell ref="H9:AL9"/>
    <mergeCell ref="AM9:AM11"/>
    <mergeCell ref="AN9:AN11"/>
    <mergeCell ref="AO9:AO11"/>
    <mergeCell ref="AP9:AP11"/>
    <mergeCell ref="AQ9:AQ11"/>
  </mergeCells>
  <conditionalFormatting sqref="H12:AL26">
    <cfRule type="notContainsBlanks" dxfId="9" priority="3">
      <formula>LEN(TRIM(H12))&gt;0</formula>
    </cfRule>
  </conditionalFormatting>
  <conditionalFormatting sqref="T12:T26">
    <cfRule type="notContainsBlanks" dxfId="8" priority="2">
      <formula>LEN(TRIM(T12))&gt;0</formula>
    </cfRule>
  </conditionalFormatting>
  <conditionalFormatting sqref="AA13:AA26">
    <cfRule type="notContainsBlanks" dxfId="7" priority="1">
      <formula>LEN(TRIM(AA13))&gt;0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1AEC-AD91-4CA2-9FD9-92D25F144C0C}">
  <dimension ref="A1:BC20"/>
  <sheetViews>
    <sheetView showGridLines="0" tabSelected="1" zoomScale="90" zoomScaleNormal="90" workbookViewId="0">
      <pane xSplit="4" ySplit="11" topLeftCell="E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9.6640625" defaultRowHeight="13" customHeight="1" x14ac:dyDescent="0.25"/>
  <cols>
    <col min="1" max="1" width="3.83203125" style="35" customWidth="1"/>
    <col min="2" max="2" width="21.33203125" style="35" customWidth="1"/>
    <col min="3" max="3" width="23.83203125" style="35" customWidth="1"/>
    <col min="4" max="4" width="61.1640625" style="35" customWidth="1"/>
    <col min="5" max="5" width="38.4140625" style="35" customWidth="1"/>
    <col min="6" max="6" width="20" style="35" customWidth="1"/>
    <col min="7" max="20" width="4.6640625" style="35" hidden="1" customWidth="1"/>
    <col min="21" max="34" width="4.6640625" style="35" customWidth="1"/>
    <col min="35" max="37" width="4.6640625" style="35" hidden="1" customWidth="1"/>
    <col min="38" max="38" width="9.33203125" style="35" customWidth="1"/>
    <col min="39" max="39" width="18" style="35" customWidth="1"/>
    <col min="40" max="40" width="14.6640625" style="177" customWidth="1"/>
    <col min="41" max="43" width="18" style="35" customWidth="1"/>
    <col min="44" max="44" width="3.58203125" style="35" customWidth="1"/>
    <col min="45" max="45" width="8.83203125" style="35" customWidth="1"/>
    <col min="46" max="46" width="17.83203125" style="35" customWidth="1"/>
    <col min="47" max="47" width="3.83203125" style="35" customWidth="1"/>
    <col min="48" max="49" width="15.58203125" style="35" hidden="1" customWidth="1"/>
    <col min="50" max="16384" width="9.6640625" style="35"/>
  </cols>
  <sheetData>
    <row r="1" spans="1:55" ht="13" customHeight="1" x14ac:dyDescent="0.25">
      <c r="AN1" s="35"/>
    </row>
    <row r="2" spans="1:55" ht="13" customHeight="1" x14ac:dyDescent="0.25">
      <c r="B2" s="1"/>
      <c r="C2" s="1"/>
      <c r="D2" s="1"/>
      <c r="E2" s="1"/>
      <c r="F2" s="1"/>
      <c r="AN2" s="35"/>
    </row>
    <row r="3" spans="1:55" ht="13" customHeight="1" x14ac:dyDescent="0.25">
      <c r="A3" s="24"/>
      <c r="B3" s="2"/>
      <c r="C3" s="3"/>
      <c r="D3" s="2"/>
      <c r="E3" s="2"/>
      <c r="F3" s="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5"/>
      <c r="AM3" s="25"/>
      <c r="AN3" s="25"/>
      <c r="AO3" s="140"/>
      <c r="AP3" s="141"/>
      <c r="AQ3" s="142"/>
    </row>
    <row r="4" spans="1:55" ht="13" customHeight="1" x14ac:dyDescent="0.25">
      <c r="A4" s="24"/>
      <c r="B4" s="2"/>
      <c r="C4" s="3"/>
      <c r="D4" s="2"/>
      <c r="E4" s="2"/>
      <c r="F4" s="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25"/>
      <c r="AN4" s="25"/>
      <c r="AO4" s="26"/>
      <c r="AP4" s="24"/>
      <c r="AQ4" s="142"/>
    </row>
    <row r="5" spans="1:55" ht="13" customHeight="1" x14ac:dyDescent="0.25">
      <c r="A5" s="24"/>
      <c r="B5" s="5" t="s">
        <v>0</v>
      </c>
      <c r="C5" s="5"/>
      <c r="D5" s="2"/>
      <c r="E5" s="2"/>
      <c r="F5" s="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5"/>
      <c r="AM5" s="143"/>
      <c r="AN5" s="25"/>
      <c r="AO5" s="26"/>
      <c r="AP5" s="24"/>
      <c r="AQ5" s="27"/>
    </row>
    <row r="6" spans="1:55" ht="13" customHeight="1" x14ac:dyDescent="0.25">
      <c r="A6" s="24"/>
      <c r="B6" s="6" t="s">
        <v>153</v>
      </c>
      <c r="C6" s="6"/>
      <c r="D6" s="144"/>
      <c r="E6" s="144"/>
      <c r="F6" s="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45"/>
      <c r="AM6" s="25"/>
      <c r="AN6" s="25"/>
      <c r="AO6" s="145"/>
      <c r="AP6" s="26"/>
      <c r="AQ6" s="146"/>
    </row>
    <row r="7" spans="1:55" ht="13" customHeight="1" x14ac:dyDescent="0.25">
      <c r="A7" s="24"/>
      <c r="B7" s="2"/>
      <c r="C7" s="3"/>
      <c r="D7" s="147"/>
      <c r="E7" s="147"/>
      <c r="F7" s="14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45"/>
      <c r="AN7" s="148"/>
      <c r="AO7" s="145"/>
      <c r="AP7" s="149"/>
      <c r="AQ7" s="150"/>
    </row>
    <row r="8" spans="1:55" ht="13" customHeight="1" x14ac:dyDescent="0.25">
      <c r="A8" s="24"/>
      <c r="B8" s="151"/>
      <c r="C8" s="151"/>
      <c r="D8" s="152"/>
      <c r="E8" s="152"/>
      <c r="F8" s="152"/>
      <c r="G8" s="25"/>
      <c r="H8" s="25"/>
      <c r="I8" s="25"/>
      <c r="J8" s="25"/>
      <c r="K8" s="25"/>
      <c r="L8" s="195"/>
      <c r="M8" s="25"/>
      <c r="N8" s="25"/>
      <c r="O8" s="25"/>
      <c r="P8" s="25"/>
      <c r="Q8" s="25"/>
      <c r="R8" s="25"/>
      <c r="S8" s="25"/>
      <c r="T8" s="25"/>
      <c r="U8" s="195"/>
      <c r="V8" s="25"/>
      <c r="W8" s="25"/>
      <c r="X8" s="25"/>
      <c r="Y8" s="25"/>
      <c r="Z8" s="201" t="s">
        <v>143</v>
      </c>
      <c r="AA8" s="199"/>
      <c r="AB8" s="200"/>
      <c r="AC8" s="199"/>
      <c r="AD8" s="199"/>
      <c r="AE8" s="199"/>
      <c r="AF8" s="199"/>
      <c r="AG8" s="25"/>
      <c r="AH8" s="25"/>
      <c r="AI8" s="25"/>
      <c r="AJ8" s="25"/>
      <c r="AK8" s="25"/>
      <c r="AL8" s="25"/>
      <c r="AM8" s="25"/>
      <c r="AN8" s="25"/>
      <c r="AP8" s="149"/>
      <c r="AQ8" s="150"/>
    </row>
    <row r="9" spans="1:55" ht="16.5" customHeight="1" x14ac:dyDescent="0.25">
      <c r="A9" s="28"/>
      <c r="B9" s="249" t="s">
        <v>2</v>
      </c>
      <c r="C9" s="235" t="s">
        <v>3</v>
      </c>
      <c r="D9" s="235" t="s">
        <v>136</v>
      </c>
      <c r="E9" s="235" t="s">
        <v>137</v>
      </c>
      <c r="F9" s="249" t="s">
        <v>138</v>
      </c>
      <c r="G9" s="242" t="s">
        <v>133</v>
      </c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4"/>
      <c r="AL9" s="250" t="s">
        <v>4</v>
      </c>
      <c r="AM9" s="253" t="s">
        <v>5</v>
      </c>
      <c r="AN9" s="250" t="s">
        <v>6</v>
      </c>
      <c r="AO9" s="253" t="s">
        <v>7</v>
      </c>
      <c r="AP9" s="253" t="s">
        <v>8</v>
      </c>
      <c r="AQ9" s="253" t="s">
        <v>139</v>
      </c>
      <c r="AS9" s="249"/>
      <c r="AT9" s="249"/>
      <c r="AV9" s="235" t="s">
        <v>140</v>
      </c>
      <c r="AW9" s="235" t="s">
        <v>17</v>
      </c>
    </row>
    <row r="10" spans="1:55" ht="16.5" customHeight="1" x14ac:dyDescent="0.25">
      <c r="A10" s="28"/>
      <c r="B10" s="249"/>
      <c r="C10" s="235"/>
      <c r="D10" s="235"/>
      <c r="E10" s="235"/>
      <c r="F10" s="249"/>
      <c r="G10" s="8" t="s">
        <v>12</v>
      </c>
      <c r="H10" s="7" t="s">
        <v>9</v>
      </c>
      <c r="I10" s="7" t="s">
        <v>10</v>
      </c>
      <c r="J10" s="7" t="s">
        <v>11</v>
      </c>
      <c r="K10" s="7" t="s">
        <v>10</v>
      </c>
      <c r="L10" s="7" t="s">
        <v>1</v>
      </c>
      <c r="M10" s="8" t="s">
        <v>12</v>
      </c>
      <c r="N10" s="8" t="s">
        <v>12</v>
      </c>
      <c r="O10" s="7" t="s">
        <v>9</v>
      </c>
      <c r="P10" s="7" t="s">
        <v>10</v>
      </c>
      <c r="Q10" s="7" t="s">
        <v>11</v>
      </c>
      <c r="R10" s="7" t="s">
        <v>10</v>
      </c>
      <c r="S10" s="7" t="s">
        <v>1</v>
      </c>
      <c r="T10" s="8" t="s">
        <v>12</v>
      </c>
      <c r="U10" s="8" t="s">
        <v>12</v>
      </c>
      <c r="V10" s="7" t="s">
        <v>9</v>
      </c>
      <c r="W10" s="7" t="s">
        <v>10</v>
      </c>
      <c r="X10" s="7" t="s">
        <v>11</v>
      </c>
      <c r="Y10" s="7" t="s">
        <v>10</v>
      </c>
      <c r="Z10" s="7" t="s">
        <v>1</v>
      </c>
      <c r="AA10" s="8" t="s">
        <v>12</v>
      </c>
      <c r="AB10" s="8" t="s">
        <v>12</v>
      </c>
      <c r="AC10" s="7" t="s">
        <v>9</v>
      </c>
      <c r="AD10" s="7" t="s">
        <v>10</v>
      </c>
      <c r="AE10" s="7" t="s">
        <v>11</v>
      </c>
      <c r="AF10" s="7" t="s">
        <v>10</v>
      </c>
      <c r="AG10" s="7" t="s">
        <v>1</v>
      </c>
      <c r="AH10" s="8" t="s">
        <v>12</v>
      </c>
      <c r="AI10" s="8" t="s">
        <v>12</v>
      </c>
      <c r="AJ10" s="7" t="s">
        <v>9</v>
      </c>
      <c r="AK10" s="7" t="s">
        <v>10</v>
      </c>
      <c r="AL10" s="251"/>
      <c r="AM10" s="254"/>
      <c r="AN10" s="251"/>
      <c r="AO10" s="254"/>
      <c r="AP10" s="254"/>
      <c r="AQ10" s="254"/>
      <c r="AS10" s="249" t="s">
        <v>133</v>
      </c>
      <c r="AT10" s="249"/>
      <c r="AV10" s="235"/>
      <c r="AW10" s="235"/>
    </row>
    <row r="11" spans="1:55" ht="16.5" customHeight="1" x14ac:dyDescent="0.25">
      <c r="A11" s="28"/>
      <c r="B11" s="249"/>
      <c r="C11" s="235"/>
      <c r="D11" s="235"/>
      <c r="E11" s="235"/>
      <c r="F11" s="249"/>
      <c r="G11" s="56">
        <v>1</v>
      </c>
      <c r="H11" s="29">
        <f t="shared" ref="H11:T11" si="0">G11+1</f>
        <v>2</v>
      </c>
      <c r="I11" s="29">
        <f t="shared" si="0"/>
        <v>3</v>
      </c>
      <c r="J11" s="29">
        <f t="shared" si="0"/>
        <v>4</v>
      </c>
      <c r="K11" s="29">
        <f t="shared" si="0"/>
        <v>5</v>
      </c>
      <c r="L11" s="29">
        <f t="shared" si="0"/>
        <v>6</v>
      </c>
      <c r="M11" s="56">
        <f t="shared" si="0"/>
        <v>7</v>
      </c>
      <c r="N11" s="56">
        <f t="shared" si="0"/>
        <v>8</v>
      </c>
      <c r="O11" s="29">
        <f t="shared" si="0"/>
        <v>9</v>
      </c>
      <c r="P11" s="29">
        <f t="shared" si="0"/>
        <v>10</v>
      </c>
      <c r="Q11" s="29">
        <f t="shared" si="0"/>
        <v>11</v>
      </c>
      <c r="R11" s="29">
        <f t="shared" si="0"/>
        <v>12</v>
      </c>
      <c r="S11" s="29">
        <f t="shared" si="0"/>
        <v>13</v>
      </c>
      <c r="T11" s="56">
        <f t="shared" si="0"/>
        <v>14</v>
      </c>
      <c r="U11" s="56">
        <v>15</v>
      </c>
      <c r="V11" s="29">
        <f t="shared" ref="V11:AK11" si="1">U11+1</f>
        <v>16</v>
      </c>
      <c r="W11" s="29">
        <f t="shared" si="1"/>
        <v>17</v>
      </c>
      <c r="X11" s="29">
        <f t="shared" si="1"/>
        <v>18</v>
      </c>
      <c r="Y11" s="29">
        <f t="shared" si="1"/>
        <v>19</v>
      </c>
      <c r="Z11" s="29">
        <f t="shared" si="1"/>
        <v>20</v>
      </c>
      <c r="AA11" s="56">
        <f t="shared" si="1"/>
        <v>21</v>
      </c>
      <c r="AB11" s="56">
        <f t="shared" si="1"/>
        <v>22</v>
      </c>
      <c r="AC11" s="29">
        <f t="shared" si="1"/>
        <v>23</v>
      </c>
      <c r="AD11" s="29">
        <f t="shared" si="1"/>
        <v>24</v>
      </c>
      <c r="AE11" s="29">
        <f t="shared" si="1"/>
        <v>25</v>
      </c>
      <c r="AF11" s="29">
        <f t="shared" si="1"/>
        <v>26</v>
      </c>
      <c r="AG11" s="29">
        <f t="shared" si="1"/>
        <v>27</v>
      </c>
      <c r="AH11" s="56">
        <f t="shared" si="1"/>
        <v>28</v>
      </c>
      <c r="AI11" s="56">
        <f t="shared" si="1"/>
        <v>29</v>
      </c>
      <c r="AJ11" s="29">
        <f t="shared" si="1"/>
        <v>30</v>
      </c>
      <c r="AK11" s="29">
        <f t="shared" si="1"/>
        <v>31</v>
      </c>
      <c r="AL11" s="252"/>
      <c r="AM11" s="255"/>
      <c r="AN11" s="252"/>
      <c r="AO11" s="255"/>
      <c r="AP11" s="255"/>
      <c r="AQ11" s="255"/>
      <c r="AS11" s="249"/>
      <c r="AT11" s="249"/>
      <c r="AV11" s="235"/>
      <c r="AW11" s="235"/>
    </row>
    <row r="12" spans="1:55" ht="13" customHeight="1" x14ac:dyDescent="0.25">
      <c r="A12" s="28"/>
      <c r="B12" s="153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46"/>
      <c r="AQ12" s="9"/>
      <c r="AS12" s="155" t="s">
        <v>4</v>
      </c>
      <c r="AT12" s="155" t="s">
        <v>19</v>
      </c>
      <c r="AU12" s="24"/>
      <c r="AV12" s="24"/>
      <c r="AW12" s="24"/>
      <c r="AX12" s="24"/>
      <c r="AY12" s="24"/>
      <c r="AZ12" s="24"/>
      <c r="BA12" s="24"/>
      <c r="BB12" s="24"/>
      <c r="BC12" s="24"/>
    </row>
    <row r="13" spans="1:55" ht="16.5" customHeight="1" x14ac:dyDescent="0.25">
      <c r="A13" s="28"/>
      <c r="B13" s="156"/>
      <c r="C13" s="30"/>
      <c r="D13" s="157"/>
      <c r="E13" s="157"/>
      <c r="F13" s="157"/>
      <c r="G13" s="39"/>
      <c r="H13" s="132"/>
      <c r="I13" s="132"/>
      <c r="J13" s="132"/>
      <c r="K13" s="132"/>
      <c r="L13" s="132"/>
      <c r="M13" s="39"/>
      <c r="N13" s="39"/>
      <c r="O13" s="132"/>
      <c r="P13" s="132"/>
      <c r="Q13" s="132"/>
      <c r="R13" s="132"/>
      <c r="S13" s="132"/>
      <c r="T13" s="39"/>
      <c r="U13" s="39"/>
      <c r="V13" s="132"/>
      <c r="W13" s="132"/>
      <c r="X13" s="132"/>
      <c r="Y13" s="132"/>
      <c r="Z13" s="132"/>
      <c r="AA13" s="39"/>
      <c r="AB13" s="39"/>
      <c r="AC13" s="132"/>
      <c r="AD13" s="132"/>
      <c r="AE13" s="132"/>
      <c r="AF13" s="132"/>
      <c r="AG13" s="132"/>
      <c r="AH13" s="39"/>
      <c r="AI13" s="39"/>
      <c r="AJ13" s="132"/>
      <c r="AK13" s="38"/>
      <c r="AL13" s="158"/>
      <c r="AM13" s="15"/>
      <c r="AN13" s="14"/>
      <c r="AO13" s="15"/>
      <c r="AP13" s="16"/>
      <c r="AQ13" s="16"/>
      <c r="AS13" s="158"/>
      <c r="AT13" s="159"/>
      <c r="AU13" s="24"/>
      <c r="AV13" s="160"/>
      <c r="AW13" s="161"/>
      <c r="AX13" s="24"/>
      <c r="AY13" s="24"/>
      <c r="AZ13" s="24"/>
      <c r="BA13" s="24"/>
      <c r="BB13" s="24"/>
      <c r="BC13" s="24"/>
    </row>
    <row r="14" spans="1:55" ht="16.5" customHeight="1" x14ac:dyDescent="0.25">
      <c r="A14" s="28"/>
      <c r="B14" s="31" t="s">
        <v>152</v>
      </c>
      <c r="C14" s="32" t="s">
        <v>167</v>
      </c>
      <c r="D14" s="162" t="s">
        <v>169</v>
      </c>
      <c r="E14" s="162" t="s">
        <v>168</v>
      </c>
      <c r="F14" s="163" t="s">
        <v>170</v>
      </c>
      <c r="G14" s="39"/>
      <c r="H14" s="132"/>
      <c r="I14" s="132"/>
      <c r="J14" s="132"/>
      <c r="K14" s="132"/>
      <c r="L14" s="132"/>
      <c r="M14" s="39"/>
      <c r="N14" s="39"/>
      <c r="O14" s="132"/>
      <c r="P14" s="132"/>
      <c r="Q14" s="132"/>
      <c r="R14" s="132"/>
      <c r="S14" s="132"/>
      <c r="T14" s="39"/>
      <c r="U14" s="39"/>
      <c r="V14" s="132"/>
      <c r="W14" s="132"/>
      <c r="X14" s="132"/>
      <c r="Y14" s="132"/>
      <c r="Z14" s="132">
        <v>1</v>
      </c>
      <c r="AA14" s="39"/>
      <c r="AB14" s="39"/>
      <c r="AC14" s="132"/>
      <c r="AD14" s="132"/>
      <c r="AE14" s="132"/>
      <c r="AF14" s="132"/>
      <c r="AG14" s="132"/>
      <c r="AH14" s="39"/>
      <c r="AI14" s="39"/>
      <c r="AJ14" s="132"/>
      <c r="AK14" s="38"/>
      <c r="AL14" s="164">
        <f>SUM(G14:AK14)</f>
        <v>1</v>
      </c>
      <c r="AM14" s="165">
        <v>3500</v>
      </c>
      <c r="AN14" s="17">
        <v>0</v>
      </c>
      <c r="AO14" s="18">
        <f>AM14*(1-AN14)</f>
        <v>3500</v>
      </c>
      <c r="AP14" s="19">
        <f>AL14*AO14</f>
        <v>3500</v>
      </c>
      <c r="AQ14" s="19">
        <f t="shared" ref="AQ14" si="2">AP14*0.8</f>
        <v>2800</v>
      </c>
      <c r="AS14" s="164">
        <f>SUM(G14:AK14)</f>
        <v>1</v>
      </c>
      <c r="AT14" s="166">
        <f>(AS14*$AO14)*0.8</f>
        <v>2800</v>
      </c>
      <c r="AU14" s="24"/>
      <c r="AV14" s="167" t="e">
        <f>F14*AL14</f>
        <v>#VALUE!</v>
      </c>
      <c r="AW14" s="168" t="e">
        <f>AQ14/AV14*1000</f>
        <v>#VALUE!</v>
      </c>
      <c r="AX14" s="24"/>
      <c r="AY14" s="24"/>
      <c r="AZ14" s="24"/>
      <c r="BA14" s="24"/>
      <c r="BB14" s="24"/>
      <c r="BC14" s="24"/>
    </row>
    <row r="15" spans="1:55" ht="16.5" customHeight="1" x14ac:dyDescent="0.25">
      <c r="A15" s="28"/>
      <c r="B15" s="31"/>
      <c r="C15" s="32"/>
      <c r="D15" s="162" t="s">
        <v>171</v>
      </c>
      <c r="E15" s="162" t="s">
        <v>168</v>
      </c>
      <c r="F15" s="163" t="s">
        <v>170</v>
      </c>
      <c r="G15" s="39"/>
      <c r="H15" s="132"/>
      <c r="I15" s="132"/>
      <c r="J15" s="132"/>
      <c r="K15" s="132"/>
      <c r="L15" s="132"/>
      <c r="M15" s="39"/>
      <c r="N15" s="39"/>
      <c r="O15" s="132"/>
      <c r="P15" s="132"/>
      <c r="Q15" s="132"/>
      <c r="R15" s="132"/>
      <c r="S15" s="132"/>
      <c r="T15" s="39"/>
      <c r="U15" s="39"/>
      <c r="V15" s="132"/>
      <c r="W15" s="132"/>
      <c r="X15" s="132"/>
      <c r="Y15" s="132"/>
      <c r="Z15" s="132"/>
      <c r="AA15" s="39"/>
      <c r="AB15" s="39">
        <v>1</v>
      </c>
      <c r="AC15" s="132"/>
      <c r="AD15" s="132"/>
      <c r="AE15" s="132"/>
      <c r="AF15" s="132"/>
      <c r="AG15" s="132"/>
      <c r="AH15" s="39"/>
      <c r="AI15" s="39"/>
      <c r="AJ15" s="132"/>
      <c r="AK15" s="38"/>
      <c r="AL15" s="164">
        <f>SUM(G15:AK15)</f>
        <v>1</v>
      </c>
      <c r="AM15" s="165">
        <v>1875</v>
      </c>
      <c r="AN15" s="17">
        <v>0</v>
      </c>
      <c r="AO15" s="18">
        <f>AM15*(1-AN15)</f>
        <v>1875</v>
      </c>
      <c r="AP15" s="19">
        <f>AL15*AO15</f>
        <v>1875</v>
      </c>
      <c r="AQ15" s="19">
        <f t="shared" ref="AQ15" si="3">AP15*0.8</f>
        <v>1500</v>
      </c>
      <c r="AS15" s="164">
        <f>SUM(G15:AK15)</f>
        <v>1</v>
      </c>
      <c r="AT15" s="166">
        <f>(AS15*$AO15)*0.8</f>
        <v>1500</v>
      </c>
      <c r="AU15" s="24"/>
      <c r="AV15" s="167" t="e">
        <f>F15*AL15</f>
        <v>#VALUE!</v>
      </c>
      <c r="AW15" s="168" t="e">
        <f>AQ15/AV15*1000</f>
        <v>#VALUE!</v>
      </c>
      <c r="AX15" s="24"/>
      <c r="AY15" s="24"/>
      <c r="AZ15" s="24"/>
      <c r="BA15" s="24"/>
      <c r="BB15" s="24"/>
      <c r="BC15" s="24"/>
    </row>
    <row r="16" spans="1:55" ht="16.5" customHeight="1" x14ac:dyDescent="0.25">
      <c r="A16" s="28"/>
      <c r="B16" s="185"/>
      <c r="C16" s="186"/>
      <c r="D16" s="187"/>
      <c r="E16" s="188"/>
      <c r="F16" s="182"/>
      <c r="G16" s="39"/>
      <c r="H16" s="132"/>
      <c r="I16" s="132"/>
      <c r="J16" s="132"/>
      <c r="K16" s="132"/>
      <c r="L16" s="132"/>
      <c r="M16" s="39"/>
      <c r="N16" s="39"/>
      <c r="O16" s="132"/>
      <c r="P16" s="132"/>
      <c r="Q16" s="132"/>
      <c r="R16" s="132"/>
      <c r="S16" s="132"/>
      <c r="T16" s="39"/>
      <c r="U16" s="39"/>
      <c r="V16" s="132"/>
      <c r="W16" s="132"/>
      <c r="X16" s="132"/>
      <c r="Y16" s="132"/>
      <c r="Z16" s="132"/>
      <c r="AA16" s="39"/>
      <c r="AB16" s="39"/>
      <c r="AC16" s="132"/>
      <c r="AD16" s="132"/>
      <c r="AE16" s="132"/>
      <c r="AF16" s="132"/>
      <c r="AG16" s="132"/>
      <c r="AH16" s="39"/>
      <c r="AI16" s="39"/>
      <c r="AJ16" s="132"/>
      <c r="AK16" s="38"/>
      <c r="AL16" s="169"/>
      <c r="AM16" s="189"/>
      <c r="AN16" s="190"/>
      <c r="AO16" s="192"/>
      <c r="AP16" s="10"/>
      <c r="AQ16" s="46"/>
      <c r="AR16" s="57"/>
      <c r="AS16" s="169"/>
      <c r="AT16" s="191"/>
      <c r="AU16" s="24"/>
      <c r="AV16" s="183"/>
      <c r="AW16" s="184"/>
      <c r="AX16" s="24"/>
      <c r="AY16" s="24"/>
      <c r="AZ16" s="24"/>
      <c r="BA16" s="24"/>
      <c r="BB16" s="24"/>
      <c r="BC16" s="24"/>
    </row>
    <row r="17" spans="1:55" ht="13" customHeight="1" x14ac:dyDescent="0.25">
      <c r="A17" s="28"/>
      <c r="B17" s="153"/>
      <c r="C17" s="154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1"/>
      <c r="AO17" s="170"/>
      <c r="AP17" s="21"/>
      <c r="AQ17" s="9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s="34" customFormat="1" ht="16.5" customHeight="1" x14ac:dyDescent="0.4">
      <c r="B18" s="22" t="s">
        <v>45</v>
      </c>
      <c r="C18" s="33"/>
      <c r="D18" s="33"/>
      <c r="E18" s="33"/>
      <c r="F18" s="33"/>
      <c r="G18" s="33">
        <f t="shared" ref="G18:AL18" si="4">SUM(G13:G16)</f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  <c r="P18" s="33">
        <f t="shared" si="4"/>
        <v>0</v>
      </c>
      <c r="Q18" s="33">
        <f t="shared" si="4"/>
        <v>0</v>
      </c>
      <c r="R18" s="33">
        <f t="shared" si="4"/>
        <v>0</v>
      </c>
      <c r="S18" s="33">
        <f t="shared" si="4"/>
        <v>0</v>
      </c>
      <c r="T18" s="33">
        <f t="shared" si="4"/>
        <v>0</v>
      </c>
      <c r="U18" s="33">
        <f t="shared" si="4"/>
        <v>0</v>
      </c>
      <c r="V18" s="33">
        <f t="shared" si="4"/>
        <v>0</v>
      </c>
      <c r="W18" s="33">
        <f t="shared" si="4"/>
        <v>0</v>
      </c>
      <c r="X18" s="33">
        <f t="shared" si="4"/>
        <v>0</v>
      </c>
      <c r="Y18" s="33">
        <f t="shared" si="4"/>
        <v>0</v>
      </c>
      <c r="Z18" s="33">
        <f t="shared" si="4"/>
        <v>1</v>
      </c>
      <c r="AA18" s="33">
        <f t="shared" si="4"/>
        <v>0</v>
      </c>
      <c r="AB18" s="33">
        <f t="shared" si="4"/>
        <v>1</v>
      </c>
      <c r="AC18" s="33">
        <f t="shared" si="4"/>
        <v>0</v>
      </c>
      <c r="AD18" s="33">
        <f t="shared" si="4"/>
        <v>0</v>
      </c>
      <c r="AE18" s="33">
        <f t="shared" si="4"/>
        <v>0</v>
      </c>
      <c r="AF18" s="33">
        <f t="shared" si="4"/>
        <v>0</v>
      </c>
      <c r="AG18" s="33">
        <f t="shared" si="4"/>
        <v>0</v>
      </c>
      <c r="AH18" s="33">
        <f t="shared" si="4"/>
        <v>0</v>
      </c>
      <c r="AI18" s="33">
        <f t="shared" si="4"/>
        <v>0</v>
      </c>
      <c r="AJ18" s="33">
        <f t="shared" si="4"/>
        <v>0</v>
      </c>
      <c r="AK18" s="33">
        <f t="shared" si="4"/>
        <v>0</v>
      </c>
      <c r="AL18" s="172">
        <f t="shared" si="4"/>
        <v>2</v>
      </c>
      <c r="AM18" s="23"/>
      <c r="AN18" s="173"/>
      <c r="AO18" s="23"/>
      <c r="AP18" s="50">
        <f>SUM(AP13:AP16)</f>
        <v>5375</v>
      </c>
      <c r="AQ18" s="50">
        <f>SUM(AQ13:AQ16)</f>
        <v>4300</v>
      </c>
      <c r="AS18" s="174">
        <f>SUM(AS13:AS16)</f>
        <v>2</v>
      </c>
      <c r="AT18" s="175">
        <f>SUM(AT13:AT16)</f>
        <v>4300</v>
      </c>
      <c r="AV18" s="176">
        <v>7895033</v>
      </c>
    </row>
    <row r="19" spans="1:55" ht="13" customHeight="1" x14ac:dyDescent="0.3">
      <c r="AQ19" s="178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ht="13" customHeight="1" x14ac:dyDescent="0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179"/>
      <c r="AO20" s="24"/>
      <c r="AP20" s="180"/>
      <c r="AS20" s="181"/>
      <c r="AT20"/>
      <c r="AV20" s="24"/>
      <c r="AW20" s="24"/>
      <c r="AX20" s="24"/>
      <c r="AY20" s="24"/>
      <c r="AZ20" s="24"/>
      <c r="BA20" s="24"/>
      <c r="BB20" s="24"/>
      <c r="BC20" s="24"/>
    </row>
  </sheetData>
  <mergeCells count="16">
    <mergeCell ref="G9:AK9"/>
    <mergeCell ref="B9:B11"/>
    <mergeCell ref="C9:C11"/>
    <mergeCell ref="D9:D11"/>
    <mergeCell ref="E9:E11"/>
    <mergeCell ref="F9:F11"/>
    <mergeCell ref="AS9:AT9"/>
    <mergeCell ref="AV9:AV11"/>
    <mergeCell ref="AW9:AW11"/>
    <mergeCell ref="AS10:AT11"/>
    <mergeCell ref="AL9:AL11"/>
    <mergeCell ref="AM9:AM11"/>
    <mergeCell ref="AN9:AN11"/>
    <mergeCell ref="AO9:AO11"/>
    <mergeCell ref="AP9:AP11"/>
    <mergeCell ref="AQ9:AQ11"/>
  </mergeCells>
  <conditionalFormatting sqref="G13:AK16">
    <cfRule type="notContainsBlanks" dxfId="6" priority="2">
      <formula>LEN(TRIM(G13))&gt;0</formula>
    </cfRule>
  </conditionalFormatting>
  <conditionalFormatting sqref="Z13:Z16">
    <cfRule type="notContainsBlanks" dxfId="5" priority="1">
      <formula>LEN(TRIM(Z13))&gt;0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F0D9-9617-4F00-8851-FDFB91ECF853}">
  <dimension ref="A1:CC30"/>
  <sheetViews>
    <sheetView showGridLines="0" zoomScale="92" zoomScaleNormal="90" zoomScaleSheetLayoutView="45" workbookViewId="0">
      <pane xSplit="4" ySplit="11" topLeftCell="E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8.83203125" defaultRowHeight="12.5" x14ac:dyDescent="0.4"/>
  <cols>
    <col min="1" max="1" width="4" style="98" customWidth="1"/>
    <col min="2" max="2" width="32.1640625" style="98" customWidth="1"/>
    <col min="3" max="3" width="20.4140625" style="98" customWidth="1"/>
    <col min="4" max="4" width="19.08203125" style="98" customWidth="1"/>
    <col min="5" max="5" width="18.6640625" style="98" customWidth="1"/>
    <col min="6" max="6" width="21" style="98" customWidth="1"/>
    <col min="7" max="7" width="14.58203125" style="98" customWidth="1"/>
    <col min="8" max="9" width="4.5" style="98" hidden="1" customWidth="1"/>
    <col min="10" max="11" width="5" style="98" hidden="1" customWidth="1"/>
    <col min="12" max="19" width="4.5" style="98" hidden="1" customWidth="1"/>
    <col min="20" max="20" width="4.83203125" style="98" hidden="1" customWidth="1"/>
    <col min="21" max="23" width="4.5" style="98" hidden="1" customWidth="1"/>
    <col min="24" max="25" width="5" style="98" hidden="1" customWidth="1"/>
    <col min="26" max="28" width="4.5" style="98" hidden="1" customWidth="1"/>
    <col min="29" max="33" width="4.5" style="98" customWidth="1"/>
    <col min="34" max="34" width="4.83203125" style="98" customWidth="1"/>
    <col min="35" max="36" width="4.5" style="98" customWidth="1"/>
    <col min="37" max="37" width="4.83203125" style="98" customWidth="1"/>
    <col min="38" max="40" width="4.5" style="98" customWidth="1"/>
    <col min="41" max="42" width="5" style="98" customWidth="1"/>
    <col min="43" max="50" width="4.5" style="98" hidden="1" customWidth="1"/>
    <col min="51" max="51" width="4.83203125" style="98" hidden="1" customWidth="1"/>
    <col min="52" max="54" width="4.5" style="98" hidden="1" customWidth="1"/>
    <col min="55" max="56" width="5" style="98" hidden="1" customWidth="1"/>
    <col min="57" max="64" width="4.5" style="98" hidden="1" customWidth="1"/>
    <col min="65" max="65" width="4.83203125" style="98" hidden="1" customWidth="1"/>
    <col min="66" max="67" width="4.5" style="98" hidden="1" customWidth="1"/>
    <col min="68" max="68" width="4.83203125" style="98" hidden="1" customWidth="1"/>
    <col min="69" max="69" width="10.58203125" style="106" customWidth="1"/>
    <col min="70" max="74" width="14.1640625" style="98" customWidth="1"/>
    <col min="75" max="75" width="2.5" style="98" customWidth="1"/>
    <col min="76" max="76" width="6.9140625" style="108" customWidth="1"/>
    <col min="77" max="77" width="17.58203125" style="98" customWidth="1"/>
    <col min="78" max="78" width="6.9140625" style="108" customWidth="1"/>
    <col min="79" max="79" width="17.58203125" style="98" customWidth="1"/>
    <col min="80" max="80" width="12.58203125" style="98" customWidth="1"/>
    <col min="81" max="81" width="11.9140625" style="98" bestFit="1" customWidth="1"/>
    <col min="82" max="16384" width="8.83203125" style="98"/>
  </cols>
  <sheetData>
    <row r="1" spans="1:81" x14ac:dyDescent="0.4">
      <c r="BV1" s="107"/>
    </row>
    <row r="2" spans="1:81" x14ac:dyDescent="0.4">
      <c r="BR2" s="34"/>
      <c r="BS2" s="34"/>
      <c r="BT2" s="34"/>
      <c r="BU2" s="34"/>
      <c r="BV2" s="107"/>
    </row>
    <row r="3" spans="1:81" x14ac:dyDescent="0.4">
      <c r="A3" s="34"/>
      <c r="B3" s="36"/>
      <c r="C3" s="3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7"/>
      <c r="BR3" s="109"/>
      <c r="BS3" s="109"/>
      <c r="BT3" s="109"/>
      <c r="BU3" s="109"/>
      <c r="BV3" s="107"/>
      <c r="BW3" s="34"/>
    </row>
    <row r="4" spans="1:81" x14ac:dyDescent="0.4">
      <c r="A4" s="34"/>
      <c r="B4" s="36"/>
      <c r="C4" s="3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7"/>
      <c r="BR4" s="109"/>
      <c r="BS4" s="109"/>
      <c r="BT4" s="109"/>
      <c r="BU4" s="109"/>
      <c r="BV4" s="107"/>
      <c r="BW4" s="34"/>
    </row>
    <row r="5" spans="1:81" x14ac:dyDescent="0.4">
      <c r="A5" s="34"/>
      <c r="B5" s="91" t="s">
        <v>0</v>
      </c>
      <c r="C5" s="9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7"/>
      <c r="BR5" s="34"/>
      <c r="BS5" s="109"/>
      <c r="BT5" s="109"/>
      <c r="BU5" s="109"/>
      <c r="BV5" s="107"/>
      <c r="BW5" s="34"/>
    </row>
    <row r="6" spans="1:81" x14ac:dyDescent="0.4">
      <c r="A6" s="34"/>
      <c r="B6" s="92" t="s">
        <v>159</v>
      </c>
      <c r="C6" s="9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37"/>
      <c r="BR6" s="34"/>
      <c r="BS6" s="109"/>
      <c r="BT6" s="109"/>
      <c r="BU6" s="109"/>
      <c r="BV6" s="107"/>
      <c r="BW6" s="34"/>
    </row>
    <row r="7" spans="1:81" x14ac:dyDescent="0.4">
      <c r="A7" s="34"/>
      <c r="B7" s="110"/>
      <c r="C7" s="110"/>
      <c r="D7" s="25"/>
      <c r="E7" s="25"/>
      <c r="F7" s="25"/>
      <c r="G7" s="25"/>
      <c r="H7" s="25"/>
      <c r="I7" s="25"/>
      <c r="J7" s="25"/>
      <c r="K7" s="25"/>
      <c r="L7" s="25"/>
      <c r="M7" s="195"/>
      <c r="N7" s="25"/>
      <c r="O7" s="25"/>
      <c r="P7" s="25"/>
      <c r="Q7" s="25"/>
      <c r="R7" s="25"/>
      <c r="S7" s="25"/>
      <c r="T7" s="196"/>
      <c r="U7" s="25"/>
      <c r="V7" s="25"/>
      <c r="W7" s="25"/>
      <c r="X7" s="25"/>
      <c r="Y7" s="25"/>
      <c r="Z7" s="25"/>
      <c r="AA7" s="195"/>
      <c r="AB7" s="25"/>
      <c r="AC7" s="25"/>
      <c r="AD7" s="25"/>
      <c r="AE7" s="25"/>
      <c r="AF7" s="25"/>
      <c r="AG7" s="25"/>
      <c r="AH7" s="201" t="s">
        <v>143</v>
      </c>
      <c r="AI7" s="199"/>
      <c r="AJ7" s="200"/>
      <c r="AK7" s="199"/>
      <c r="AL7" s="199"/>
      <c r="AM7" s="199"/>
      <c r="AN7" s="199"/>
      <c r="AO7" s="25"/>
      <c r="AP7" s="25"/>
      <c r="AQ7" s="25"/>
      <c r="AR7" s="195"/>
      <c r="AS7" s="25"/>
      <c r="AT7" s="25"/>
      <c r="AU7" s="25"/>
      <c r="AV7" s="25"/>
      <c r="AW7" s="25"/>
      <c r="AX7" s="25"/>
      <c r="AY7" s="196"/>
      <c r="AZ7" s="25"/>
      <c r="BA7" s="25"/>
      <c r="BB7" s="25"/>
      <c r="BC7" s="25"/>
      <c r="BD7" s="25"/>
      <c r="BE7" s="25"/>
      <c r="BF7" s="19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37"/>
      <c r="BR7" s="109"/>
      <c r="BS7" s="109"/>
      <c r="BT7" s="109"/>
      <c r="BU7" s="109"/>
      <c r="BV7" s="107"/>
      <c r="BW7" s="34"/>
    </row>
    <row r="8" spans="1:81" ht="15.5" customHeight="1" x14ac:dyDescent="0.4">
      <c r="A8" s="34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7"/>
      <c r="BR8" s="96"/>
      <c r="BS8" s="96"/>
      <c r="BT8" s="96"/>
      <c r="BU8" s="96"/>
      <c r="BV8" s="96"/>
      <c r="BW8" s="34"/>
    </row>
    <row r="9" spans="1:81" s="34" customFormat="1" ht="16" customHeight="1" x14ac:dyDescent="0.4">
      <c r="A9" s="28"/>
      <c r="B9" s="235" t="s">
        <v>2</v>
      </c>
      <c r="C9" s="235" t="s">
        <v>3</v>
      </c>
      <c r="D9" s="235" t="s">
        <v>52</v>
      </c>
      <c r="E9" s="237" t="s">
        <v>15</v>
      </c>
      <c r="F9" s="233" t="s">
        <v>135</v>
      </c>
      <c r="G9" s="238" t="s">
        <v>22</v>
      </c>
      <c r="H9" s="242" t="s">
        <v>133</v>
      </c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  <c r="AL9" s="244"/>
      <c r="AM9" s="242" t="s">
        <v>161</v>
      </c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  <c r="BL9" s="243"/>
      <c r="BM9" s="243"/>
      <c r="BN9" s="243"/>
      <c r="BO9" s="243"/>
      <c r="BP9" s="244"/>
      <c r="BQ9" s="241" t="s">
        <v>4</v>
      </c>
      <c r="BR9" s="240" t="s">
        <v>5</v>
      </c>
      <c r="BS9" s="238" t="s">
        <v>6</v>
      </c>
      <c r="BT9" s="240" t="s">
        <v>7</v>
      </c>
      <c r="BU9" s="240" t="s">
        <v>8</v>
      </c>
      <c r="BV9" s="240" t="s">
        <v>16</v>
      </c>
      <c r="BW9" s="28"/>
      <c r="BX9" s="235" t="s">
        <v>133</v>
      </c>
      <c r="BY9" s="235"/>
      <c r="BZ9" s="235" t="s">
        <v>161</v>
      </c>
      <c r="CA9" s="235"/>
    </row>
    <row r="10" spans="1:81" s="34" customFormat="1" ht="16" customHeight="1" x14ac:dyDescent="0.4">
      <c r="A10" s="28"/>
      <c r="B10" s="235"/>
      <c r="C10" s="235"/>
      <c r="D10" s="235"/>
      <c r="E10" s="237"/>
      <c r="F10" s="234"/>
      <c r="G10" s="238"/>
      <c r="H10" s="8" t="s">
        <v>12</v>
      </c>
      <c r="I10" s="7" t="s">
        <v>9</v>
      </c>
      <c r="J10" s="7" t="s">
        <v>10</v>
      </c>
      <c r="K10" s="7" t="s">
        <v>11</v>
      </c>
      <c r="L10" s="7" t="s">
        <v>10</v>
      </c>
      <c r="M10" s="7" t="s">
        <v>1</v>
      </c>
      <c r="N10" s="8" t="s">
        <v>12</v>
      </c>
      <c r="O10" s="8" t="s">
        <v>12</v>
      </c>
      <c r="P10" s="7" t="s">
        <v>9</v>
      </c>
      <c r="Q10" s="7" t="s">
        <v>10</v>
      </c>
      <c r="R10" s="7" t="s">
        <v>11</v>
      </c>
      <c r="S10" s="7" t="s">
        <v>10</v>
      </c>
      <c r="T10" s="7" t="s">
        <v>1</v>
      </c>
      <c r="U10" s="8" t="s">
        <v>12</v>
      </c>
      <c r="V10" s="8" t="s">
        <v>12</v>
      </c>
      <c r="W10" s="7" t="s">
        <v>9</v>
      </c>
      <c r="X10" s="7" t="s">
        <v>10</v>
      </c>
      <c r="Y10" s="7" t="s">
        <v>11</v>
      </c>
      <c r="Z10" s="7" t="s">
        <v>10</v>
      </c>
      <c r="AA10" s="7" t="s">
        <v>1</v>
      </c>
      <c r="AB10" s="8" t="s">
        <v>12</v>
      </c>
      <c r="AC10" s="8" t="s">
        <v>12</v>
      </c>
      <c r="AD10" s="7" t="s">
        <v>9</v>
      </c>
      <c r="AE10" s="7" t="s">
        <v>10</v>
      </c>
      <c r="AF10" s="7" t="s">
        <v>11</v>
      </c>
      <c r="AG10" s="7" t="s">
        <v>10</v>
      </c>
      <c r="AH10" s="7" t="s">
        <v>1</v>
      </c>
      <c r="AI10" s="8" t="s">
        <v>12</v>
      </c>
      <c r="AJ10" s="8" t="s">
        <v>12</v>
      </c>
      <c r="AK10" s="7" t="s">
        <v>9</v>
      </c>
      <c r="AL10" s="7" t="s">
        <v>10</v>
      </c>
      <c r="AM10" s="7" t="s">
        <v>11</v>
      </c>
      <c r="AN10" s="7" t="s">
        <v>10</v>
      </c>
      <c r="AO10" s="7" t="s">
        <v>1</v>
      </c>
      <c r="AP10" s="8" t="s">
        <v>12</v>
      </c>
      <c r="AQ10" s="8" t="s">
        <v>12</v>
      </c>
      <c r="AR10" s="7" t="s">
        <v>9</v>
      </c>
      <c r="AS10" s="7" t="s">
        <v>10</v>
      </c>
      <c r="AT10" s="7" t="s">
        <v>11</v>
      </c>
      <c r="AU10" s="7" t="s">
        <v>10</v>
      </c>
      <c r="AV10" s="7" t="s">
        <v>1</v>
      </c>
      <c r="AW10" s="8" t="s">
        <v>12</v>
      </c>
      <c r="AX10" s="8" t="s">
        <v>12</v>
      </c>
      <c r="AY10" s="7" t="s">
        <v>9</v>
      </c>
      <c r="AZ10" s="7" t="s">
        <v>10</v>
      </c>
      <c r="BA10" s="7" t="s">
        <v>11</v>
      </c>
      <c r="BB10" s="7" t="s">
        <v>10</v>
      </c>
      <c r="BC10" s="7" t="s">
        <v>1</v>
      </c>
      <c r="BD10" s="8" t="s">
        <v>12</v>
      </c>
      <c r="BE10" s="8" t="s">
        <v>12</v>
      </c>
      <c r="BF10" s="7" t="s">
        <v>9</v>
      </c>
      <c r="BG10" s="7" t="s">
        <v>10</v>
      </c>
      <c r="BH10" s="7" t="s">
        <v>11</v>
      </c>
      <c r="BI10" s="7" t="s">
        <v>10</v>
      </c>
      <c r="BJ10" s="7" t="s">
        <v>1</v>
      </c>
      <c r="BK10" s="8" t="s">
        <v>12</v>
      </c>
      <c r="BL10" s="8" t="s">
        <v>12</v>
      </c>
      <c r="BM10" s="7" t="s">
        <v>9</v>
      </c>
      <c r="BN10" s="7" t="s">
        <v>10</v>
      </c>
      <c r="BO10" s="7" t="s">
        <v>11</v>
      </c>
      <c r="BP10" s="7" t="s">
        <v>10</v>
      </c>
      <c r="BQ10" s="241"/>
      <c r="BR10" s="240"/>
      <c r="BS10" s="238"/>
      <c r="BT10" s="240"/>
      <c r="BU10" s="240"/>
      <c r="BV10" s="240"/>
      <c r="BW10" s="28"/>
      <c r="BX10" s="235"/>
      <c r="BY10" s="235"/>
      <c r="BZ10" s="235"/>
      <c r="CA10" s="235"/>
    </row>
    <row r="11" spans="1:81" s="34" customFormat="1" ht="16" customHeight="1" x14ac:dyDescent="0.4">
      <c r="A11" s="28"/>
      <c r="B11" s="236"/>
      <c r="C11" s="236"/>
      <c r="D11" s="236"/>
      <c r="E11" s="233"/>
      <c r="F11" s="234"/>
      <c r="G11" s="239"/>
      <c r="H11" s="56">
        <v>1</v>
      </c>
      <c r="I11" s="29">
        <f t="shared" ref="I11:U11" si="0">H11+1</f>
        <v>2</v>
      </c>
      <c r="J11" s="29">
        <f t="shared" si="0"/>
        <v>3</v>
      </c>
      <c r="K11" s="29">
        <f t="shared" si="0"/>
        <v>4</v>
      </c>
      <c r="L11" s="29">
        <f t="shared" si="0"/>
        <v>5</v>
      </c>
      <c r="M11" s="29">
        <f t="shared" si="0"/>
        <v>6</v>
      </c>
      <c r="N11" s="56">
        <f t="shared" si="0"/>
        <v>7</v>
      </c>
      <c r="O11" s="56">
        <f t="shared" si="0"/>
        <v>8</v>
      </c>
      <c r="P11" s="29">
        <f t="shared" si="0"/>
        <v>9</v>
      </c>
      <c r="Q11" s="29">
        <f t="shared" si="0"/>
        <v>10</v>
      </c>
      <c r="R11" s="29">
        <f t="shared" si="0"/>
        <v>11</v>
      </c>
      <c r="S11" s="29">
        <f t="shared" si="0"/>
        <v>12</v>
      </c>
      <c r="T11" s="29">
        <f t="shared" si="0"/>
        <v>13</v>
      </c>
      <c r="U11" s="56">
        <f t="shared" si="0"/>
        <v>14</v>
      </c>
      <c r="V11" s="56">
        <v>15</v>
      </c>
      <c r="W11" s="29">
        <f t="shared" ref="W11:AL11" si="1">V11+1</f>
        <v>16</v>
      </c>
      <c r="X11" s="29">
        <f t="shared" si="1"/>
        <v>17</v>
      </c>
      <c r="Y11" s="29">
        <f t="shared" si="1"/>
        <v>18</v>
      </c>
      <c r="Z11" s="29">
        <f t="shared" si="1"/>
        <v>19</v>
      </c>
      <c r="AA11" s="29">
        <f t="shared" si="1"/>
        <v>20</v>
      </c>
      <c r="AB11" s="56">
        <f t="shared" si="1"/>
        <v>21</v>
      </c>
      <c r="AC11" s="56">
        <f t="shared" si="1"/>
        <v>22</v>
      </c>
      <c r="AD11" s="29">
        <f t="shared" si="1"/>
        <v>23</v>
      </c>
      <c r="AE11" s="29">
        <f t="shared" si="1"/>
        <v>24</v>
      </c>
      <c r="AF11" s="29">
        <f t="shared" si="1"/>
        <v>25</v>
      </c>
      <c r="AG11" s="29">
        <f t="shared" si="1"/>
        <v>26</v>
      </c>
      <c r="AH11" s="29">
        <f t="shared" si="1"/>
        <v>27</v>
      </c>
      <c r="AI11" s="56">
        <f t="shared" si="1"/>
        <v>28</v>
      </c>
      <c r="AJ11" s="56">
        <f t="shared" si="1"/>
        <v>29</v>
      </c>
      <c r="AK11" s="29">
        <f t="shared" si="1"/>
        <v>30</v>
      </c>
      <c r="AL11" s="29">
        <f t="shared" si="1"/>
        <v>31</v>
      </c>
      <c r="AM11" s="29">
        <v>1</v>
      </c>
      <c r="AN11" s="29">
        <f t="shared" ref="AN11" si="2">AM11+1</f>
        <v>2</v>
      </c>
      <c r="AO11" s="29">
        <f t="shared" ref="AO11" si="3">AN11+1</f>
        <v>3</v>
      </c>
      <c r="AP11" s="56">
        <f t="shared" ref="AP11" si="4">AO11+1</f>
        <v>4</v>
      </c>
      <c r="AQ11" s="56">
        <f t="shared" ref="AQ11" si="5">AP11+1</f>
        <v>5</v>
      </c>
      <c r="AR11" s="29">
        <f t="shared" ref="AR11" si="6">AQ11+1</f>
        <v>6</v>
      </c>
      <c r="AS11" s="29">
        <f t="shared" ref="AS11" si="7">AR11+1</f>
        <v>7</v>
      </c>
      <c r="AT11" s="29">
        <f t="shared" ref="AT11" si="8">AS11+1</f>
        <v>8</v>
      </c>
      <c r="AU11" s="29">
        <f t="shared" ref="AU11" si="9">AT11+1</f>
        <v>9</v>
      </c>
      <c r="AV11" s="29">
        <f t="shared" ref="AV11" si="10">AU11+1</f>
        <v>10</v>
      </c>
      <c r="AW11" s="56">
        <f t="shared" ref="AW11" si="11">AV11+1</f>
        <v>11</v>
      </c>
      <c r="AX11" s="56">
        <f t="shared" ref="AX11" si="12">AW11+1</f>
        <v>12</v>
      </c>
      <c r="AY11" s="29">
        <f t="shared" ref="AY11" si="13">AX11+1</f>
        <v>13</v>
      </c>
      <c r="AZ11" s="29">
        <f t="shared" ref="AZ11" si="14">AY11+1</f>
        <v>14</v>
      </c>
      <c r="BA11" s="29">
        <v>15</v>
      </c>
      <c r="BB11" s="29">
        <f t="shared" ref="BB11" si="15">BA11+1</f>
        <v>16</v>
      </c>
      <c r="BC11" s="29">
        <f t="shared" ref="BC11" si="16">BB11+1</f>
        <v>17</v>
      </c>
      <c r="BD11" s="56">
        <f t="shared" ref="BD11" si="17">BC11+1</f>
        <v>18</v>
      </c>
      <c r="BE11" s="56">
        <f t="shared" ref="BE11" si="18">BD11+1</f>
        <v>19</v>
      </c>
      <c r="BF11" s="29">
        <f t="shared" ref="BF11" si="19">BE11+1</f>
        <v>20</v>
      </c>
      <c r="BG11" s="29">
        <f t="shared" ref="BG11" si="20">BF11+1</f>
        <v>21</v>
      </c>
      <c r="BH11" s="29">
        <f t="shared" ref="BH11" si="21">BG11+1</f>
        <v>22</v>
      </c>
      <c r="BI11" s="29">
        <f t="shared" ref="BI11" si="22">BH11+1</f>
        <v>23</v>
      </c>
      <c r="BJ11" s="29">
        <f t="shared" ref="BJ11" si="23">BI11+1</f>
        <v>24</v>
      </c>
      <c r="BK11" s="56">
        <f t="shared" ref="BK11" si="24">BJ11+1</f>
        <v>25</v>
      </c>
      <c r="BL11" s="56">
        <f t="shared" ref="BL11" si="25">BK11+1</f>
        <v>26</v>
      </c>
      <c r="BM11" s="29">
        <f t="shared" ref="BM11" si="26">BL11+1</f>
        <v>27</v>
      </c>
      <c r="BN11" s="29">
        <f t="shared" ref="BN11" si="27">BM11+1</f>
        <v>28</v>
      </c>
      <c r="BO11" s="29">
        <f t="shared" ref="BO11" si="28">BN11+1</f>
        <v>29</v>
      </c>
      <c r="BP11" s="29">
        <f t="shared" ref="BP11" si="29">BO11+1</f>
        <v>30</v>
      </c>
      <c r="BQ11" s="241"/>
      <c r="BR11" s="240"/>
      <c r="BS11" s="238"/>
      <c r="BT11" s="240"/>
      <c r="BU11" s="240"/>
      <c r="BV11" s="240"/>
      <c r="BW11" s="28"/>
      <c r="BX11" s="59" t="s">
        <v>4</v>
      </c>
      <c r="BY11" s="7" t="s">
        <v>53</v>
      </c>
      <c r="BZ11" s="59" t="s">
        <v>4</v>
      </c>
      <c r="CA11" s="7" t="s">
        <v>53</v>
      </c>
    </row>
    <row r="12" spans="1:81" s="127" customFormat="1" ht="16" customHeight="1" x14ac:dyDescent="0.4">
      <c r="A12" s="126"/>
      <c r="B12" s="129"/>
      <c r="C12" s="129"/>
      <c r="D12" s="129"/>
      <c r="E12" s="130"/>
      <c r="F12" s="130"/>
      <c r="G12" s="131"/>
      <c r="H12" s="39"/>
      <c r="I12" s="132"/>
      <c r="J12" s="132"/>
      <c r="K12" s="132"/>
      <c r="L12" s="132"/>
      <c r="M12" s="132"/>
      <c r="N12" s="39"/>
      <c r="O12" s="39"/>
      <c r="P12" s="132"/>
      <c r="Q12" s="132"/>
      <c r="R12" s="132"/>
      <c r="S12" s="132"/>
      <c r="T12" s="132"/>
      <c r="U12" s="39"/>
      <c r="V12" s="39"/>
      <c r="W12" s="132"/>
      <c r="X12" s="132"/>
      <c r="Y12" s="132"/>
      <c r="Z12" s="132"/>
      <c r="AA12" s="132"/>
      <c r="AB12" s="39"/>
      <c r="AC12" s="39"/>
      <c r="AD12" s="132"/>
      <c r="AE12" s="132"/>
      <c r="AF12" s="132"/>
      <c r="AG12" s="132"/>
      <c r="AH12" s="132"/>
      <c r="AI12" s="39"/>
      <c r="AJ12" s="39"/>
      <c r="AK12" s="132"/>
      <c r="AL12" s="132"/>
      <c r="AM12" s="132"/>
      <c r="AN12" s="132"/>
      <c r="AO12" s="132"/>
      <c r="AP12" s="39"/>
      <c r="AQ12" s="39"/>
      <c r="AR12" s="132"/>
      <c r="AS12" s="132"/>
      <c r="AT12" s="132"/>
      <c r="AU12" s="132"/>
      <c r="AV12" s="132"/>
      <c r="AW12" s="39"/>
      <c r="AX12" s="39"/>
      <c r="AY12" s="132"/>
      <c r="AZ12" s="132"/>
      <c r="BA12" s="132"/>
      <c r="BB12" s="132"/>
      <c r="BC12" s="132"/>
      <c r="BD12" s="39"/>
      <c r="BE12" s="39"/>
      <c r="BF12" s="132"/>
      <c r="BG12" s="132"/>
      <c r="BH12" s="132"/>
      <c r="BI12" s="132"/>
      <c r="BJ12" s="132"/>
      <c r="BK12" s="39"/>
      <c r="BL12" s="39"/>
      <c r="BM12" s="132"/>
      <c r="BN12" s="132"/>
      <c r="BO12" s="132"/>
      <c r="BP12" s="132"/>
      <c r="BQ12" s="133"/>
      <c r="BR12" s="134"/>
      <c r="BS12" s="135"/>
      <c r="BT12" s="134"/>
      <c r="BU12" s="134"/>
      <c r="BV12" s="134"/>
      <c r="BW12" s="126"/>
      <c r="BX12" s="136"/>
      <c r="BY12" s="137"/>
      <c r="BZ12" s="136"/>
      <c r="CA12" s="137"/>
    </row>
    <row r="13" spans="1:81" ht="16" customHeight="1" x14ac:dyDescent="0.4">
      <c r="A13" s="34"/>
      <c r="B13" s="44" t="s">
        <v>160</v>
      </c>
      <c r="C13" s="40" t="s">
        <v>162</v>
      </c>
      <c r="D13" s="40" t="s">
        <v>21</v>
      </c>
      <c r="E13" s="43" t="s">
        <v>26</v>
      </c>
      <c r="F13" s="138" t="s">
        <v>134</v>
      </c>
      <c r="G13" s="32" t="s">
        <v>14</v>
      </c>
      <c r="H13" s="39"/>
      <c r="I13" s="12"/>
      <c r="J13" s="38"/>
      <c r="K13" s="38"/>
      <c r="L13" s="38"/>
      <c r="M13" s="38"/>
      <c r="N13" s="39"/>
      <c r="O13" s="39"/>
      <c r="P13" s="38"/>
      <c r="Q13" s="38"/>
      <c r="R13" s="38"/>
      <c r="S13" s="12"/>
      <c r="T13" s="12"/>
      <c r="U13" s="39"/>
      <c r="V13" s="39"/>
      <c r="W13" s="12"/>
      <c r="X13" s="38"/>
      <c r="Y13" s="38"/>
      <c r="Z13" s="38"/>
      <c r="AA13" s="38"/>
      <c r="AB13" s="39"/>
      <c r="AC13" s="39"/>
      <c r="AD13" s="38"/>
      <c r="AE13" s="38"/>
      <c r="AF13" s="38"/>
      <c r="AG13" s="12"/>
      <c r="AH13" s="12">
        <v>5</v>
      </c>
      <c r="AI13" s="39">
        <v>5</v>
      </c>
      <c r="AJ13" s="39">
        <v>5</v>
      </c>
      <c r="AK13" s="12">
        <v>5</v>
      </c>
      <c r="AL13" s="38">
        <v>5</v>
      </c>
      <c r="AM13" s="38">
        <v>5</v>
      </c>
      <c r="AN13" s="38">
        <v>5</v>
      </c>
      <c r="AO13" s="12"/>
      <c r="AP13" s="39"/>
      <c r="AQ13" s="39"/>
      <c r="AR13" s="38"/>
      <c r="AS13" s="38"/>
      <c r="AT13" s="38"/>
      <c r="AU13" s="12"/>
      <c r="AV13" s="12"/>
      <c r="AW13" s="39"/>
      <c r="AX13" s="39"/>
      <c r="AY13" s="38"/>
      <c r="AZ13" s="38"/>
      <c r="BA13" s="38"/>
      <c r="BB13" s="12"/>
      <c r="BC13" s="12"/>
      <c r="BD13" s="39"/>
      <c r="BE13" s="39"/>
      <c r="BF13" s="38"/>
      <c r="BG13" s="38"/>
      <c r="BH13" s="38"/>
      <c r="BI13" s="12"/>
      <c r="BJ13" s="12"/>
      <c r="BK13" s="39"/>
      <c r="BL13" s="39"/>
      <c r="BM13" s="38"/>
      <c r="BN13" s="38"/>
      <c r="BO13" s="38"/>
      <c r="BP13" s="12"/>
      <c r="BQ13" s="53">
        <f>SUM(H13:BP13)</f>
        <v>35</v>
      </c>
      <c r="BR13" s="20">
        <v>91.5</v>
      </c>
      <c r="BS13" s="41">
        <v>0.5</v>
      </c>
      <c r="BT13" s="20">
        <f>BR13*(1-BS13)</f>
        <v>45.75</v>
      </c>
      <c r="BU13" s="20">
        <f>BT13*BQ13</f>
        <v>1601.25</v>
      </c>
      <c r="BV13" s="20">
        <f>BU13*0.8</f>
        <v>1281</v>
      </c>
      <c r="BW13" s="28"/>
      <c r="BX13" s="99">
        <f>SUM(H13:AL13
)</f>
        <v>25</v>
      </c>
      <c r="BY13" s="197">
        <f>BX13*BT13*0.8</f>
        <v>915</v>
      </c>
      <c r="BZ13" s="99">
        <f>SUM(AM13:BP13
)</f>
        <v>10</v>
      </c>
      <c r="CA13" s="197">
        <f>BZ13*BT13*0.8</f>
        <v>366</v>
      </c>
      <c r="CC13" s="118"/>
    </row>
    <row r="14" spans="1:81" ht="16" customHeight="1" x14ac:dyDescent="0.4">
      <c r="A14" s="28"/>
      <c r="B14" s="47"/>
      <c r="C14" s="111"/>
      <c r="D14" s="111"/>
      <c r="E14" s="43"/>
      <c r="F14" s="58"/>
      <c r="G14" s="32"/>
      <c r="H14" s="39"/>
      <c r="I14" s="38"/>
      <c r="J14" s="38"/>
      <c r="K14" s="38"/>
      <c r="L14" s="38"/>
      <c r="M14" s="38"/>
      <c r="N14" s="39"/>
      <c r="O14" s="39"/>
      <c r="P14" s="38"/>
      <c r="Q14" s="38"/>
      <c r="R14" s="38"/>
      <c r="S14" s="38"/>
      <c r="T14" s="38"/>
      <c r="U14" s="39"/>
      <c r="V14" s="39"/>
      <c r="W14" s="38"/>
      <c r="X14" s="38"/>
      <c r="Y14" s="38"/>
      <c r="Z14" s="38"/>
      <c r="AA14" s="38"/>
      <c r="AB14" s="39"/>
      <c r="AC14" s="39"/>
      <c r="AD14" s="38"/>
      <c r="AE14" s="38"/>
      <c r="AF14" s="38"/>
      <c r="AG14" s="38"/>
      <c r="AH14" s="38"/>
      <c r="AI14" s="39"/>
      <c r="AJ14" s="39"/>
      <c r="AK14" s="38"/>
      <c r="AL14" s="38"/>
      <c r="AM14" s="38"/>
      <c r="AN14" s="38"/>
      <c r="AO14" s="38"/>
      <c r="AP14" s="39"/>
      <c r="AQ14" s="39"/>
      <c r="AR14" s="38"/>
      <c r="AS14" s="38"/>
      <c r="AT14" s="38"/>
      <c r="AU14" s="38"/>
      <c r="AV14" s="38"/>
      <c r="AW14" s="39"/>
      <c r="AX14" s="39"/>
      <c r="AY14" s="38"/>
      <c r="AZ14" s="38"/>
      <c r="BA14" s="38"/>
      <c r="BB14" s="38"/>
      <c r="BC14" s="38"/>
      <c r="BD14" s="39"/>
      <c r="BE14" s="39"/>
      <c r="BF14" s="38"/>
      <c r="BG14" s="38"/>
      <c r="BH14" s="38"/>
      <c r="BI14" s="38"/>
      <c r="BJ14" s="38"/>
      <c r="BK14" s="39"/>
      <c r="BL14" s="39"/>
      <c r="BM14" s="38"/>
      <c r="BN14" s="38"/>
      <c r="BO14" s="38"/>
      <c r="BP14" s="38"/>
      <c r="BQ14" s="52"/>
      <c r="BR14" s="45"/>
      <c r="BS14" s="54"/>
      <c r="BT14" s="45"/>
      <c r="BU14" s="45"/>
      <c r="BV14" s="45"/>
      <c r="BW14" s="28"/>
      <c r="BX14" s="103">
        <f>SUM(BX13:BX13)</f>
        <v>25</v>
      </c>
      <c r="BY14" s="104">
        <f>SUM(BY13:BY13)</f>
        <v>915</v>
      </c>
      <c r="BZ14" s="103">
        <f>SUM(BZ13:BZ13)</f>
        <v>10</v>
      </c>
      <c r="CA14" s="104">
        <f>SUM(CA13:CA13)</f>
        <v>366</v>
      </c>
    </row>
    <row r="15" spans="1:81" ht="16" customHeight="1" x14ac:dyDescent="0.4">
      <c r="A15" s="28"/>
      <c r="B15" s="129"/>
      <c r="C15" s="129"/>
      <c r="D15" s="129"/>
      <c r="E15" s="130"/>
      <c r="F15" s="130"/>
      <c r="G15" s="131"/>
      <c r="H15" s="39"/>
      <c r="I15" s="132"/>
      <c r="J15" s="132"/>
      <c r="K15" s="132"/>
      <c r="L15" s="132"/>
      <c r="M15" s="132"/>
      <c r="N15" s="39"/>
      <c r="O15" s="39"/>
      <c r="P15" s="132"/>
      <c r="Q15" s="132"/>
      <c r="R15" s="132"/>
      <c r="S15" s="132"/>
      <c r="T15" s="132"/>
      <c r="U15" s="39"/>
      <c r="V15" s="39"/>
      <c r="W15" s="132"/>
      <c r="X15" s="132"/>
      <c r="Y15" s="132"/>
      <c r="Z15" s="132"/>
      <c r="AA15" s="132"/>
      <c r="AB15" s="39"/>
      <c r="AC15" s="39"/>
      <c r="AD15" s="132"/>
      <c r="AE15" s="132"/>
      <c r="AF15" s="132"/>
      <c r="AG15" s="132"/>
      <c r="AH15" s="132"/>
      <c r="AI15" s="39"/>
      <c r="AJ15" s="39"/>
      <c r="AK15" s="132"/>
      <c r="AL15" s="132"/>
      <c r="AM15" s="132"/>
      <c r="AN15" s="132"/>
      <c r="AO15" s="132"/>
      <c r="AP15" s="39"/>
      <c r="AQ15" s="39"/>
      <c r="AR15" s="132"/>
      <c r="AS15" s="132"/>
      <c r="AT15" s="132"/>
      <c r="AU15" s="132"/>
      <c r="AV15" s="132"/>
      <c r="AW15" s="39"/>
      <c r="AX15" s="39"/>
      <c r="AY15" s="132"/>
      <c r="AZ15" s="132"/>
      <c r="BA15" s="132"/>
      <c r="BB15" s="132"/>
      <c r="BC15" s="132"/>
      <c r="BD15" s="39"/>
      <c r="BE15" s="39"/>
      <c r="BF15" s="132"/>
      <c r="BG15" s="132"/>
      <c r="BH15" s="132"/>
      <c r="BI15" s="132"/>
      <c r="BJ15" s="132"/>
      <c r="BK15" s="39"/>
      <c r="BL15" s="39"/>
      <c r="BM15" s="132"/>
      <c r="BN15" s="132"/>
      <c r="BO15" s="132"/>
      <c r="BP15" s="132"/>
      <c r="BQ15" s="133"/>
      <c r="BR15" s="134"/>
      <c r="BS15" s="135"/>
      <c r="BT15" s="134"/>
      <c r="BU15" s="134"/>
      <c r="BV15" s="134"/>
      <c r="BW15" s="126"/>
      <c r="BX15" s="136"/>
      <c r="BY15" s="137"/>
      <c r="BZ15" s="136"/>
      <c r="CA15" s="137"/>
    </row>
    <row r="16" spans="1:81" ht="17.399999999999999" customHeight="1" x14ac:dyDescent="0.4">
      <c r="A16" s="28"/>
      <c r="B16" s="44"/>
      <c r="C16" s="40" t="s">
        <v>163</v>
      </c>
      <c r="D16" s="40" t="s">
        <v>21</v>
      </c>
      <c r="E16" s="43" t="s">
        <v>26</v>
      </c>
      <c r="F16" s="138" t="s">
        <v>134</v>
      </c>
      <c r="G16" s="32" t="s">
        <v>14</v>
      </c>
      <c r="H16" s="39"/>
      <c r="I16" s="12"/>
      <c r="J16" s="38"/>
      <c r="K16" s="38"/>
      <c r="L16" s="38"/>
      <c r="M16" s="38"/>
      <c r="N16" s="39"/>
      <c r="O16" s="39"/>
      <c r="P16" s="38"/>
      <c r="Q16" s="38"/>
      <c r="R16" s="38"/>
      <c r="S16" s="12"/>
      <c r="T16" s="12"/>
      <c r="U16" s="39"/>
      <c r="V16" s="39"/>
      <c r="W16" s="12"/>
      <c r="X16" s="38"/>
      <c r="Y16" s="38"/>
      <c r="Z16" s="38"/>
      <c r="AA16" s="38"/>
      <c r="AB16" s="39"/>
      <c r="AC16" s="39"/>
      <c r="AD16" s="38"/>
      <c r="AE16" s="38"/>
      <c r="AF16" s="38"/>
      <c r="AG16" s="12"/>
      <c r="AH16" s="12">
        <v>5</v>
      </c>
      <c r="AI16" s="39">
        <v>5</v>
      </c>
      <c r="AJ16" s="39">
        <v>5</v>
      </c>
      <c r="AK16" s="12">
        <v>5</v>
      </c>
      <c r="AL16" s="38">
        <v>5</v>
      </c>
      <c r="AM16" s="38">
        <v>5</v>
      </c>
      <c r="AN16" s="38">
        <v>5</v>
      </c>
      <c r="AO16" s="12"/>
      <c r="AP16" s="39"/>
      <c r="AQ16" s="39"/>
      <c r="AR16" s="38"/>
      <c r="AS16" s="38"/>
      <c r="AT16" s="38"/>
      <c r="AU16" s="12"/>
      <c r="AV16" s="12"/>
      <c r="AW16" s="39"/>
      <c r="AX16" s="39"/>
      <c r="AY16" s="38"/>
      <c r="AZ16" s="38"/>
      <c r="BA16" s="38"/>
      <c r="BB16" s="12"/>
      <c r="BC16" s="12"/>
      <c r="BD16" s="39"/>
      <c r="BE16" s="39"/>
      <c r="BF16" s="38"/>
      <c r="BG16" s="38"/>
      <c r="BH16" s="38"/>
      <c r="BI16" s="12"/>
      <c r="BJ16" s="12"/>
      <c r="BK16" s="39"/>
      <c r="BL16" s="39"/>
      <c r="BM16" s="38"/>
      <c r="BN16" s="38"/>
      <c r="BO16" s="38"/>
      <c r="BP16" s="12"/>
      <c r="BQ16" s="53">
        <f>SUM(H16:BP16)</f>
        <v>35</v>
      </c>
      <c r="BR16" s="20">
        <v>78.75</v>
      </c>
      <c r="BS16" s="41">
        <v>0.2</v>
      </c>
      <c r="BT16" s="20">
        <f>BR16*(1-BS16)</f>
        <v>63</v>
      </c>
      <c r="BU16" s="20">
        <f>BT16*BQ16</f>
        <v>2205</v>
      </c>
      <c r="BV16" s="20">
        <f>BU16*0.8</f>
        <v>1764</v>
      </c>
      <c r="BW16" s="28"/>
      <c r="BX16" s="99">
        <f>SUM(H16:AL16
)</f>
        <v>25</v>
      </c>
      <c r="BY16" s="197">
        <f>BX16*BT16*0.8</f>
        <v>1260</v>
      </c>
      <c r="BZ16" s="99">
        <f>SUM(AM16:BP16
)</f>
        <v>10</v>
      </c>
      <c r="CA16" s="197">
        <f>BZ16*BT16*0.8</f>
        <v>504</v>
      </c>
    </row>
    <row r="17" spans="1:80" ht="16" customHeight="1" x14ac:dyDescent="0.4">
      <c r="A17" s="28"/>
      <c r="B17" s="44"/>
      <c r="C17" s="111"/>
      <c r="D17" s="111"/>
      <c r="E17" s="43"/>
      <c r="F17" s="58"/>
      <c r="G17" s="32"/>
      <c r="H17" s="39"/>
      <c r="I17" s="38"/>
      <c r="J17" s="38"/>
      <c r="K17" s="38"/>
      <c r="L17" s="38"/>
      <c r="M17" s="38"/>
      <c r="N17" s="39"/>
      <c r="O17" s="39"/>
      <c r="P17" s="38"/>
      <c r="Q17" s="38"/>
      <c r="R17" s="38"/>
      <c r="S17" s="38"/>
      <c r="T17" s="38"/>
      <c r="U17" s="39"/>
      <c r="V17" s="39"/>
      <c r="W17" s="38"/>
      <c r="X17" s="38"/>
      <c r="Y17" s="38"/>
      <c r="Z17" s="38"/>
      <c r="AA17" s="38"/>
      <c r="AB17" s="39"/>
      <c r="AC17" s="39"/>
      <c r="AD17" s="38"/>
      <c r="AE17" s="38"/>
      <c r="AF17" s="38"/>
      <c r="AG17" s="38"/>
      <c r="AH17" s="38"/>
      <c r="AI17" s="39"/>
      <c r="AJ17" s="39"/>
      <c r="AK17" s="38"/>
      <c r="AL17" s="38"/>
      <c r="AM17" s="38"/>
      <c r="AN17" s="38"/>
      <c r="AO17" s="38"/>
      <c r="AP17" s="39"/>
      <c r="AQ17" s="39"/>
      <c r="AR17" s="38"/>
      <c r="AS17" s="38"/>
      <c r="AT17" s="38"/>
      <c r="AU17" s="38"/>
      <c r="AV17" s="38"/>
      <c r="AW17" s="39"/>
      <c r="AX17" s="39"/>
      <c r="AY17" s="38"/>
      <c r="AZ17" s="38"/>
      <c r="BA17" s="38"/>
      <c r="BB17" s="38"/>
      <c r="BC17" s="38"/>
      <c r="BD17" s="39"/>
      <c r="BE17" s="39"/>
      <c r="BF17" s="38"/>
      <c r="BG17" s="38"/>
      <c r="BH17" s="38"/>
      <c r="BI17" s="38"/>
      <c r="BJ17" s="38"/>
      <c r="BK17" s="39"/>
      <c r="BL17" s="39"/>
      <c r="BM17" s="38"/>
      <c r="BN17" s="38"/>
      <c r="BO17" s="38"/>
      <c r="BP17" s="38"/>
      <c r="BQ17" s="52"/>
      <c r="BR17" s="45"/>
      <c r="BS17" s="54"/>
      <c r="BT17" s="45"/>
      <c r="BU17" s="45"/>
      <c r="BV17" s="45"/>
      <c r="BW17" s="28"/>
      <c r="BX17" s="103">
        <f>SUM(BX16:BX16)</f>
        <v>25</v>
      </c>
      <c r="BY17" s="104">
        <f>SUM(BY16:BY16)</f>
        <v>1260</v>
      </c>
      <c r="BZ17" s="103">
        <f>SUM(BZ16:BZ16)</f>
        <v>10</v>
      </c>
      <c r="CA17" s="104">
        <f>SUM(CA16:CA16)</f>
        <v>504</v>
      </c>
    </row>
    <row r="18" spans="1:80" ht="16" customHeight="1" x14ac:dyDescent="0.4">
      <c r="A18" s="28"/>
      <c r="B18" s="44"/>
      <c r="C18" s="43"/>
      <c r="D18" s="129"/>
      <c r="E18" s="130"/>
      <c r="F18" s="130"/>
      <c r="G18" s="131"/>
      <c r="H18" s="39"/>
      <c r="I18" s="132"/>
      <c r="J18" s="132"/>
      <c r="K18" s="132"/>
      <c r="L18" s="132"/>
      <c r="M18" s="132"/>
      <c r="N18" s="39"/>
      <c r="O18" s="39"/>
      <c r="P18" s="132"/>
      <c r="Q18" s="132"/>
      <c r="R18" s="132"/>
      <c r="S18" s="132"/>
      <c r="T18" s="132"/>
      <c r="U18" s="39"/>
      <c r="V18" s="39"/>
      <c r="W18" s="132"/>
      <c r="X18" s="132"/>
      <c r="Y18" s="132"/>
      <c r="Z18" s="132"/>
      <c r="AA18" s="132"/>
      <c r="AB18" s="39"/>
      <c r="AC18" s="39"/>
      <c r="AD18" s="132"/>
      <c r="AE18" s="132"/>
      <c r="AF18" s="132"/>
      <c r="AG18" s="132"/>
      <c r="AH18" s="132"/>
      <c r="AI18" s="39"/>
      <c r="AJ18" s="39"/>
      <c r="AK18" s="132"/>
      <c r="AL18" s="132"/>
      <c r="AM18" s="132"/>
      <c r="AN18" s="132"/>
      <c r="AO18" s="132"/>
      <c r="AP18" s="39"/>
      <c r="AQ18" s="39"/>
      <c r="AR18" s="132"/>
      <c r="AS18" s="132"/>
      <c r="AT18" s="132"/>
      <c r="AU18" s="132"/>
      <c r="AV18" s="132"/>
      <c r="AW18" s="39"/>
      <c r="AX18" s="39"/>
      <c r="AY18" s="132"/>
      <c r="AZ18" s="132"/>
      <c r="BA18" s="132"/>
      <c r="BB18" s="132"/>
      <c r="BC18" s="132"/>
      <c r="BD18" s="39"/>
      <c r="BE18" s="39"/>
      <c r="BF18" s="132"/>
      <c r="BG18" s="132"/>
      <c r="BH18" s="132"/>
      <c r="BI18" s="132"/>
      <c r="BJ18" s="132"/>
      <c r="BK18" s="39"/>
      <c r="BL18" s="39"/>
      <c r="BM18" s="132"/>
      <c r="BN18" s="132"/>
      <c r="BO18" s="132"/>
      <c r="BP18" s="132"/>
      <c r="BQ18" s="133"/>
      <c r="BR18" s="134"/>
      <c r="BS18" s="135"/>
      <c r="BT18" s="134"/>
      <c r="BU18" s="134"/>
      <c r="BV18" s="134"/>
      <c r="BW18" s="126"/>
      <c r="BX18" s="136"/>
      <c r="BY18" s="137"/>
      <c r="BZ18" s="136"/>
      <c r="CA18" s="137"/>
    </row>
    <row r="19" spans="1:80" ht="16" customHeight="1" x14ac:dyDescent="0.4">
      <c r="A19" s="28"/>
      <c r="B19" s="44"/>
      <c r="C19" s="40" t="s">
        <v>25</v>
      </c>
      <c r="D19" s="40" t="s">
        <v>21</v>
      </c>
      <c r="E19" s="43" t="s">
        <v>26</v>
      </c>
      <c r="F19" s="138" t="s">
        <v>134</v>
      </c>
      <c r="G19" s="32" t="s">
        <v>14</v>
      </c>
      <c r="H19" s="39"/>
      <c r="I19" s="12"/>
      <c r="J19" s="38"/>
      <c r="K19" s="38"/>
      <c r="L19" s="38"/>
      <c r="M19" s="38"/>
      <c r="N19" s="39"/>
      <c r="O19" s="39"/>
      <c r="P19" s="38"/>
      <c r="Q19" s="38"/>
      <c r="R19" s="38"/>
      <c r="S19" s="12"/>
      <c r="T19" s="12"/>
      <c r="U19" s="39"/>
      <c r="V19" s="39"/>
      <c r="W19" s="12"/>
      <c r="X19" s="38"/>
      <c r="Y19" s="38"/>
      <c r="Z19" s="38"/>
      <c r="AA19" s="38"/>
      <c r="AB19" s="39"/>
      <c r="AC19" s="39"/>
      <c r="AD19" s="38"/>
      <c r="AE19" s="38"/>
      <c r="AF19" s="38"/>
      <c r="AG19" s="12"/>
      <c r="AH19" s="12">
        <v>5</v>
      </c>
      <c r="AI19" s="39">
        <v>5</v>
      </c>
      <c r="AJ19" s="39">
        <v>5</v>
      </c>
      <c r="AK19" s="12">
        <v>5</v>
      </c>
      <c r="AL19" s="38">
        <v>5</v>
      </c>
      <c r="AM19" s="38">
        <v>5</v>
      </c>
      <c r="AN19" s="38">
        <v>5</v>
      </c>
      <c r="AO19" s="12"/>
      <c r="AP19" s="39"/>
      <c r="AQ19" s="39"/>
      <c r="AR19" s="38"/>
      <c r="AS19" s="38"/>
      <c r="AT19" s="38"/>
      <c r="AU19" s="12"/>
      <c r="AV19" s="12"/>
      <c r="AW19" s="39"/>
      <c r="AX19" s="39"/>
      <c r="AY19" s="38"/>
      <c r="AZ19" s="38"/>
      <c r="BA19" s="38"/>
      <c r="BB19" s="12"/>
      <c r="BC19" s="12"/>
      <c r="BD19" s="39"/>
      <c r="BE19" s="39"/>
      <c r="BF19" s="38"/>
      <c r="BG19" s="38"/>
      <c r="BH19" s="38"/>
      <c r="BI19" s="12"/>
      <c r="BJ19" s="12"/>
      <c r="BK19" s="39"/>
      <c r="BL19" s="39"/>
      <c r="BM19" s="38"/>
      <c r="BN19" s="38"/>
      <c r="BO19" s="38"/>
      <c r="BP19" s="12"/>
      <c r="BQ19" s="53">
        <f>SUM(H19:BP19)</f>
        <v>35</v>
      </c>
      <c r="BR19" s="20">
        <v>171</v>
      </c>
      <c r="BS19" s="222">
        <v>0.55000000000000004</v>
      </c>
      <c r="BT19" s="20">
        <f>BR19*(1-BS19)</f>
        <v>76.949999999999989</v>
      </c>
      <c r="BU19" s="20">
        <f>BT19*BQ19</f>
        <v>2693.2499999999995</v>
      </c>
      <c r="BV19" s="20">
        <f>BU19*0.8</f>
        <v>2154.6</v>
      </c>
      <c r="BW19" s="28"/>
      <c r="BX19" s="99">
        <f>SUM(H19:AL19
)</f>
        <v>25</v>
      </c>
      <c r="BY19" s="197">
        <f>BX19*BT19*0.8</f>
        <v>1539</v>
      </c>
      <c r="BZ19" s="99">
        <f>SUM(AM19:BP19
)</f>
        <v>10</v>
      </c>
      <c r="CA19" s="197">
        <f>BZ19*BT19*0.8</f>
        <v>615.59999999999991</v>
      </c>
    </row>
    <row r="20" spans="1:80" ht="16" customHeight="1" x14ac:dyDescent="0.4">
      <c r="A20" s="28"/>
      <c r="B20" s="44"/>
      <c r="C20" s="111"/>
      <c r="D20" s="111"/>
      <c r="E20" s="43"/>
      <c r="F20" s="58"/>
      <c r="G20" s="32"/>
      <c r="H20" s="39"/>
      <c r="I20" s="38"/>
      <c r="J20" s="38"/>
      <c r="K20" s="38"/>
      <c r="L20" s="38"/>
      <c r="M20" s="38"/>
      <c r="N20" s="39"/>
      <c r="O20" s="39"/>
      <c r="P20" s="38"/>
      <c r="Q20" s="38"/>
      <c r="R20" s="38"/>
      <c r="S20" s="38"/>
      <c r="T20" s="38"/>
      <c r="U20" s="39"/>
      <c r="V20" s="39"/>
      <c r="W20" s="38"/>
      <c r="X20" s="38"/>
      <c r="Y20" s="38"/>
      <c r="Z20" s="38"/>
      <c r="AA20" s="38"/>
      <c r="AB20" s="39"/>
      <c r="AC20" s="39"/>
      <c r="AD20" s="38"/>
      <c r="AE20" s="38"/>
      <c r="AF20" s="38"/>
      <c r="AG20" s="38"/>
      <c r="AH20" s="38"/>
      <c r="AI20" s="39"/>
      <c r="AJ20" s="39"/>
      <c r="AK20" s="38"/>
      <c r="AL20" s="38"/>
      <c r="AM20" s="38"/>
      <c r="AN20" s="38"/>
      <c r="AO20" s="38"/>
      <c r="AP20" s="39"/>
      <c r="AQ20" s="39"/>
      <c r="AR20" s="38"/>
      <c r="AS20" s="38"/>
      <c r="AT20" s="38"/>
      <c r="AU20" s="38"/>
      <c r="AV20" s="38"/>
      <c r="AW20" s="39"/>
      <c r="AX20" s="39"/>
      <c r="AY20" s="38"/>
      <c r="AZ20" s="38"/>
      <c r="BA20" s="38"/>
      <c r="BB20" s="38"/>
      <c r="BC20" s="38"/>
      <c r="BD20" s="39"/>
      <c r="BE20" s="39"/>
      <c r="BF20" s="38"/>
      <c r="BG20" s="38"/>
      <c r="BH20" s="38"/>
      <c r="BI20" s="38"/>
      <c r="BJ20" s="38"/>
      <c r="BK20" s="39"/>
      <c r="BL20" s="39"/>
      <c r="BM20" s="38"/>
      <c r="BN20" s="38"/>
      <c r="BO20" s="38"/>
      <c r="BP20" s="38"/>
      <c r="BQ20" s="52"/>
      <c r="BR20" s="45"/>
      <c r="BS20" s="223"/>
      <c r="BT20" s="45"/>
      <c r="BU20" s="45"/>
      <c r="BV20" s="45"/>
      <c r="BW20" s="28"/>
      <c r="BX20" s="103">
        <f>SUM(BX19:BX19)</f>
        <v>25</v>
      </c>
      <c r="BY20" s="104">
        <f>SUM(BY19:BY19)</f>
        <v>1539</v>
      </c>
      <c r="BZ20" s="103">
        <f>SUM(BZ19:BZ19)</f>
        <v>10</v>
      </c>
      <c r="CA20" s="104">
        <f>SUM(CA19:CA19)</f>
        <v>615.59999999999991</v>
      </c>
    </row>
    <row r="21" spans="1:80" ht="16" customHeight="1" x14ac:dyDescent="0.4">
      <c r="A21" s="28"/>
      <c r="B21" s="44"/>
      <c r="C21" s="43"/>
      <c r="D21" s="129"/>
      <c r="E21" s="130"/>
      <c r="F21" s="130"/>
      <c r="G21" s="131"/>
      <c r="H21" s="39"/>
      <c r="I21" s="132"/>
      <c r="J21" s="132"/>
      <c r="K21" s="132"/>
      <c r="L21" s="132"/>
      <c r="M21" s="132"/>
      <c r="N21" s="39"/>
      <c r="O21" s="39"/>
      <c r="P21" s="132"/>
      <c r="Q21" s="132"/>
      <c r="R21" s="132"/>
      <c r="S21" s="132"/>
      <c r="T21" s="132"/>
      <c r="U21" s="39"/>
      <c r="V21" s="39"/>
      <c r="W21" s="132"/>
      <c r="X21" s="132"/>
      <c r="Y21" s="132"/>
      <c r="Z21" s="132"/>
      <c r="AA21" s="132"/>
      <c r="AB21" s="39"/>
      <c r="AC21" s="39"/>
      <c r="AD21" s="132"/>
      <c r="AE21" s="132"/>
      <c r="AF21" s="132"/>
      <c r="AG21" s="132"/>
      <c r="AH21" s="132"/>
      <c r="AI21" s="39"/>
      <c r="AJ21" s="39"/>
      <c r="AK21" s="132"/>
      <c r="AL21" s="132"/>
      <c r="AM21" s="132"/>
      <c r="AN21" s="132"/>
      <c r="AO21" s="132"/>
      <c r="AP21" s="39"/>
      <c r="AQ21" s="39"/>
      <c r="AR21" s="132"/>
      <c r="AS21" s="132"/>
      <c r="AT21" s="132"/>
      <c r="AU21" s="132"/>
      <c r="AV21" s="132"/>
      <c r="AW21" s="39"/>
      <c r="AX21" s="39"/>
      <c r="AY21" s="132"/>
      <c r="AZ21" s="132"/>
      <c r="BA21" s="132"/>
      <c r="BB21" s="132"/>
      <c r="BC21" s="132"/>
      <c r="BD21" s="39"/>
      <c r="BE21" s="39"/>
      <c r="BF21" s="132"/>
      <c r="BG21" s="132"/>
      <c r="BH21" s="132"/>
      <c r="BI21" s="132"/>
      <c r="BJ21" s="132"/>
      <c r="BK21" s="39"/>
      <c r="BL21" s="39"/>
      <c r="BM21" s="132"/>
      <c r="BN21" s="132"/>
      <c r="BO21" s="132"/>
      <c r="BP21" s="132"/>
      <c r="BQ21" s="133"/>
      <c r="BR21" s="134"/>
      <c r="BS21" s="221"/>
      <c r="BT21" s="134"/>
      <c r="BU21" s="134"/>
      <c r="BV21" s="134"/>
      <c r="BW21" s="126"/>
      <c r="BX21" s="136"/>
      <c r="BY21" s="137"/>
      <c r="BZ21" s="136"/>
      <c r="CA21" s="137"/>
    </row>
    <row r="22" spans="1:80" ht="16" customHeight="1" x14ac:dyDescent="0.4">
      <c r="A22" s="28"/>
      <c r="B22" s="44"/>
      <c r="C22" s="40" t="s">
        <v>23</v>
      </c>
      <c r="D22" s="40" t="s">
        <v>21</v>
      </c>
      <c r="E22" s="43" t="s">
        <v>26</v>
      </c>
      <c r="F22" s="138" t="s">
        <v>134</v>
      </c>
      <c r="G22" s="32" t="s">
        <v>14</v>
      </c>
      <c r="H22" s="39"/>
      <c r="I22" s="12"/>
      <c r="J22" s="38"/>
      <c r="K22" s="38"/>
      <c r="L22" s="38"/>
      <c r="M22" s="38"/>
      <c r="N22" s="39"/>
      <c r="O22" s="39"/>
      <c r="P22" s="38"/>
      <c r="Q22" s="38"/>
      <c r="R22" s="38"/>
      <c r="S22" s="12"/>
      <c r="T22" s="12"/>
      <c r="U22" s="39"/>
      <c r="V22" s="39"/>
      <c r="W22" s="12"/>
      <c r="X22" s="38"/>
      <c r="Y22" s="38"/>
      <c r="Z22" s="38"/>
      <c r="AA22" s="38"/>
      <c r="AB22" s="39"/>
      <c r="AC22" s="39"/>
      <c r="AD22" s="38"/>
      <c r="AE22" s="38"/>
      <c r="AF22" s="38"/>
      <c r="AG22" s="12"/>
      <c r="AH22" s="12">
        <v>5</v>
      </c>
      <c r="AI22" s="39">
        <v>5</v>
      </c>
      <c r="AJ22" s="39">
        <v>5</v>
      </c>
      <c r="AK22" s="12">
        <v>5</v>
      </c>
      <c r="AL22" s="38">
        <v>5</v>
      </c>
      <c r="AM22" s="38">
        <v>5</v>
      </c>
      <c r="AN22" s="38">
        <v>5</v>
      </c>
      <c r="AO22" s="12"/>
      <c r="AP22" s="39"/>
      <c r="AQ22" s="39"/>
      <c r="AR22" s="38"/>
      <c r="AS22" s="38"/>
      <c r="AT22" s="38"/>
      <c r="AU22" s="12"/>
      <c r="AV22" s="12"/>
      <c r="AW22" s="39"/>
      <c r="AX22" s="39"/>
      <c r="AY22" s="38"/>
      <c r="AZ22" s="38"/>
      <c r="BA22" s="38"/>
      <c r="BB22" s="12"/>
      <c r="BC22" s="12"/>
      <c r="BD22" s="39"/>
      <c r="BE22" s="39"/>
      <c r="BF22" s="38"/>
      <c r="BG22" s="38"/>
      <c r="BH22" s="38"/>
      <c r="BI22" s="12"/>
      <c r="BJ22" s="12"/>
      <c r="BK22" s="39"/>
      <c r="BL22" s="39"/>
      <c r="BM22" s="38"/>
      <c r="BN22" s="38"/>
      <c r="BO22" s="38"/>
      <c r="BP22" s="12"/>
      <c r="BQ22" s="53">
        <f>SUM(H22:BP22)</f>
        <v>35</v>
      </c>
      <c r="BR22" s="20">
        <v>74</v>
      </c>
      <c r="BS22" s="222">
        <v>0.55000000000000004</v>
      </c>
      <c r="BT22" s="20">
        <f>BR22*(1-BS22)</f>
        <v>33.299999999999997</v>
      </c>
      <c r="BU22" s="20">
        <f>BT22*BQ22</f>
        <v>1165.5</v>
      </c>
      <c r="BV22" s="20">
        <f>BU22*0.8</f>
        <v>932.40000000000009</v>
      </c>
      <c r="BW22" s="28"/>
      <c r="BX22" s="99">
        <f>SUM(H22:AL22
)</f>
        <v>25</v>
      </c>
      <c r="BY22" s="197">
        <f>BX22*BT22*0.8</f>
        <v>666</v>
      </c>
      <c r="BZ22" s="99">
        <f>SUM(AM22:BP22
)</f>
        <v>10</v>
      </c>
      <c r="CA22" s="197">
        <f>BZ22*BT22*0.8</f>
        <v>266.40000000000003</v>
      </c>
    </row>
    <row r="23" spans="1:80" ht="16" customHeight="1" x14ac:dyDescent="0.4">
      <c r="A23" s="28"/>
      <c r="B23" s="44"/>
      <c r="C23" s="111"/>
      <c r="D23" s="111"/>
      <c r="E23" s="43"/>
      <c r="F23" s="58"/>
      <c r="G23" s="32"/>
      <c r="H23" s="39"/>
      <c r="I23" s="38"/>
      <c r="J23" s="38"/>
      <c r="K23" s="38"/>
      <c r="L23" s="38"/>
      <c r="M23" s="38"/>
      <c r="N23" s="39"/>
      <c r="O23" s="39"/>
      <c r="P23" s="38"/>
      <c r="Q23" s="38"/>
      <c r="R23" s="38"/>
      <c r="S23" s="38"/>
      <c r="T23" s="38"/>
      <c r="U23" s="39"/>
      <c r="V23" s="39"/>
      <c r="W23" s="38"/>
      <c r="X23" s="38"/>
      <c r="Y23" s="38"/>
      <c r="Z23" s="38"/>
      <c r="AA23" s="38"/>
      <c r="AB23" s="39"/>
      <c r="AC23" s="39"/>
      <c r="AD23" s="38"/>
      <c r="AE23" s="38"/>
      <c r="AF23" s="38"/>
      <c r="AG23" s="38"/>
      <c r="AH23" s="38"/>
      <c r="AI23" s="39"/>
      <c r="AJ23" s="39"/>
      <c r="AK23" s="38"/>
      <c r="AL23" s="38"/>
      <c r="AM23" s="38"/>
      <c r="AN23" s="38"/>
      <c r="AO23" s="38"/>
      <c r="AP23" s="39"/>
      <c r="AQ23" s="39"/>
      <c r="AR23" s="38"/>
      <c r="AS23" s="38"/>
      <c r="AT23" s="38"/>
      <c r="AU23" s="38"/>
      <c r="AV23" s="38"/>
      <c r="AW23" s="39"/>
      <c r="AX23" s="39"/>
      <c r="AY23" s="38"/>
      <c r="AZ23" s="38"/>
      <c r="BA23" s="38"/>
      <c r="BB23" s="38"/>
      <c r="BC23" s="38"/>
      <c r="BD23" s="39"/>
      <c r="BE23" s="39"/>
      <c r="BF23" s="38"/>
      <c r="BG23" s="38"/>
      <c r="BH23" s="38"/>
      <c r="BI23" s="38"/>
      <c r="BJ23" s="38"/>
      <c r="BK23" s="39"/>
      <c r="BL23" s="39"/>
      <c r="BM23" s="38"/>
      <c r="BN23" s="38"/>
      <c r="BO23" s="38"/>
      <c r="BP23" s="38"/>
      <c r="BQ23" s="52"/>
      <c r="BR23" s="45"/>
      <c r="BS23" s="54"/>
      <c r="BT23" s="45"/>
      <c r="BU23" s="45"/>
      <c r="BV23" s="45"/>
      <c r="BW23" s="28"/>
      <c r="BX23" s="103">
        <f>SUM(BX22:BX22)</f>
        <v>25</v>
      </c>
      <c r="BY23" s="104">
        <f>SUM(BY22:BY22)</f>
        <v>666</v>
      </c>
      <c r="BZ23" s="103">
        <f>SUM(BZ22:BZ22)</f>
        <v>10</v>
      </c>
      <c r="CA23" s="104">
        <f>SUM(CA22:CA22)</f>
        <v>266.40000000000003</v>
      </c>
    </row>
    <row r="24" spans="1:80" x14ac:dyDescent="0.4">
      <c r="A24" s="28"/>
      <c r="B24" s="22" t="s">
        <v>154</v>
      </c>
      <c r="C24" s="22"/>
      <c r="D24" s="48"/>
      <c r="E24" s="48"/>
      <c r="F24" s="48"/>
      <c r="G24" s="48"/>
      <c r="H24" s="100">
        <f t="shared" ref="H24:AM24" si="30">SUM(H12:H23)</f>
        <v>0</v>
      </c>
      <c r="I24" s="100">
        <f t="shared" si="30"/>
        <v>0</v>
      </c>
      <c r="J24" s="100">
        <f t="shared" si="30"/>
        <v>0</v>
      </c>
      <c r="K24" s="100">
        <f t="shared" si="30"/>
        <v>0</v>
      </c>
      <c r="L24" s="100">
        <f t="shared" si="30"/>
        <v>0</v>
      </c>
      <c r="M24" s="100">
        <f t="shared" si="30"/>
        <v>0</v>
      </c>
      <c r="N24" s="100">
        <f t="shared" si="30"/>
        <v>0</v>
      </c>
      <c r="O24" s="100">
        <f t="shared" si="30"/>
        <v>0</v>
      </c>
      <c r="P24" s="100">
        <f t="shared" si="30"/>
        <v>0</v>
      </c>
      <c r="Q24" s="100">
        <f t="shared" si="30"/>
        <v>0</v>
      </c>
      <c r="R24" s="100">
        <f t="shared" si="30"/>
        <v>0</v>
      </c>
      <c r="S24" s="100">
        <f t="shared" si="30"/>
        <v>0</v>
      </c>
      <c r="T24" s="100">
        <f t="shared" si="30"/>
        <v>0</v>
      </c>
      <c r="U24" s="100">
        <f t="shared" si="30"/>
        <v>0</v>
      </c>
      <c r="V24" s="100">
        <f t="shared" si="30"/>
        <v>0</v>
      </c>
      <c r="W24" s="100">
        <f t="shared" si="30"/>
        <v>0</v>
      </c>
      <c r="X24" s="100">
        <f t="shared" si="30"/>
        <v>0</v>
      </c>
      <c r="Y24" s="100">
        <f t="shared" si="30"/>
        <v>0</v>
      </c>
      <c r="Z24" s="100">
        <f t="shared" si="30"/>
        <v>0</v>
      </c>
      <c r="AA24" s="100">
        <f t="shared" si="30"/>
        <v>0</v>
      </c>
      <c r="AB24" s="100">
        <f t="shared" si="30"/>
        <v>0</v>
      </c>
      <c r="AC24" s="100">
        <f t="shared" si="30"/>
        <v>0</v>
      </c>
      <c r="AD24" s="100">
        <f t="shared" si="30"/>
        <v>0</v>
      </c>
      <c r="AE24" s="100">
        <f t="shared" si="30"/>
        <v>0</v>
      </c>
      <c r="AF24" s="100">
        <f t="shared" si="30"/>
        <v>0</v>
      </c>
      <c r="AG24" s="100">
        <f t="shared" si="30"/>
        <v>0</v>
      </c>
      <c r="AH24" s="100">
        <f t="shared" si="30"/>
        <v>20</v>
      </c>
      <c r="AI24" s="100">
        <f t="shared" si="30"/>
        <v>20</v>
      </c>
      <c r="AJ24" s="100">
        <f t="shared" si="30"/>
        <v>20</v>
      </c>
      <c r="AK24" s="100">
        <f t="shared" si="30"/>
        <v>20</v>
      </c>
      <c r="AL24" s="100">
        <f t="shared" si="30"/>
        <v>20</v>
      </c>
      <c r="AM24" s="100">
        <f t="shared" si="30"/>
        <v>20</v>
      </c>
      <c r="AN24" s="100">
        <f t="shared" ref="AN24:BP24" si="31">SUM(AN12:AN23)</f>
        <v>20</v>
      </c>
      <c r="AO24" s="100">
        <f t="shared" si="31"/>
        <v>0</v>
      </c>
      <c r="AP24" s="100">
        <f t="shared" si="31"/>
        <v>0</v>
      </c>
      <c r="AQ24" s="100">
        <f t="shared" si="31"/>
        <v>0</v>
      </c>
      <c r="AR24" s="100">
        <f t="shared" si="31"/>
        <v>0</v>
      </c>
      <c r="AS24" s="100">
        <f t="shared" si="31"/>
        <v>0</v>
      </c>
      <c r="AT24" s="100">
        <f t="shared" si="31"/>
        <v>0</v>
      </c>
      <c r="AU24" s="100">
        <f t="shared" si="31"/>
        <v>0</v>
      </c>
      <c r="AV24" s="100">
        <f t="shared" si="31"/>
        <v>0</v>
      </c>
      <c r="AW24" s="100">
        <f t="shared" si="31"/>
        <v>0</v>
      </c>
      <c r="AX24" s="100">
        <f t="shared" si="31"/>
        <v>0</v>
      </c>
      <c r="AY24" s="100">
        <f t="shared" si="31"/>
        <v>0</v>
      </c>
      <c r="AZ24" s="100">
        <f t="shared" si="31"/>
        <v>0</v>
      </c>
      <c r="BA24" s="100">
        <f t="shared" si="31"/>
        <v>0</v>
      </c>
      <c r="BB24" s="100">
        <f t="shared" si="31"/>
        <v>0</v>
      </c>
      <c r="BC24" s="100">
        <f t="shared" si="31"/>
        <v>0</v>
      </c>
      <c r="BD24" s="100">
        <f t="shared" si="31"/>
        <v>0</v>
      </c>
      <c r="BE24" s="100">
        <f t="shared" si="31"/>
        <v>0</v>
      </c>
      <c r="BF24" s="100">
        <f t="shared" si="31"/>
        <v>0</v>
      </c>
      <c r="BG24" s="100">
        <f t="shared" si="31"/>
        <v>0</v>
      </c>
      <c r="BH24" s="100">
        <f t="shared" si="31"/>
        <v>0</v>
      </c>
      <c r="BI24" s="100">
        <f t="shared" si="31"/>
        <v>0</v>
      </c>
      <c r="BJ24" s="100">
        <f t="shared" si="31"/>
        <v>0</v>
      </c>
      <c r="BK24" s="100">
        <f t="shared" si="31"/>
        <v>0</v>
      </c>
      <c r="BL24" s="100">
        <f t="shared" si="31"/>
        <v>0</v>
      </c>
      <c r="BM24" s="100">
        <f t="shared" si="31"/>
        <v>0</v>
      </c>
      <c r="BN24" s="100">
        <f t="shared" si="31"/>
        <v>0</v>
      </c>
      <c r="BO24" s="100">
        <f t="shared" si="31"/>
        <v>0</v>
      </c>
      <c r="BP24" s="100">
        <f t="shared" si="31"/>
        <v>0</v>
      </c>
      <c r="BQ24" s="49">
        <f>SUM(BQ13:BQ23)</f>
        <v>140</v>
      </c>
      <c r="BR24" s="50"/>
      <c r="BS24" s="50"/>
      <c r="BT24" s="50"/>
      <c r="BU24" s="50">
        <f>SUM(BU13:BU23)</f>
        <v>7665</v>
      </c>
      <c r="BV24" s="50">
        <f>SUM(BV13:BV23)</f>
        <v>6132</v>
      </c>
      <c r="BW24" s="34"/>
      <c r="BX24" s="101">
        <f>SUM(BX14,BX17,BX20,BX23)</f>
        <v>100</v>
      </c>
      <c r="BY24" s="105">
        <f>SUM(BY14,BY17,BY20,BY23)</f>
        <v>4380</v>
      </c>
      <c r="BZ24" s="101">
        <f>SUM(BZ14,BZ17,BZ20,BZ23)</f>
        <v>40</v>
      </c>
      <c r="CA24" s="105">
        <f>SUM(CA14,CA17,CA20,CA23)</f>
        <v>1752</v>
      </c>
      <c r="CB24" s="198" t="b">
        <f>SUM(BY24,CA24)=BV24</f>
        <v>1</v>
      </c>
    </row>
    <row r="25" spans="1:80" ht="16" customHeight="1" x14ac:dyDescent="0.4">
      <c r="E25" s="32"/>
      <c r="BQ25" s="98"/>
      <c r="BS25" s="112"/>
      <c r="BU25" s="113"/>
      <c r="BV25" s="113"/>
    </row>
    <row r="26" spans="1:80" x14ac:dyDescent="0.4">
      <c r="BQ26" s="98"/>
      <c r="BR26" s="139"/>
      <c r="BV26" s="114"/>
    </row>
    <row r="27" spans="1:80" x14ac:dyDescent="0.4">
      <c r="BQ27" s="98"/>
      <c r="BV27" s="114"/>
    </row>
    <row r="28" spans="1:80" x14ac:dyDescent="0.4">
      <c r="BQ28" s="139"/>
      <c r="BV28" s="113"/>
    </row>
    <row r="29" spans="1:80" x14ac:dyDescent="0.4">
      <c r="BQ29" s="98"/>
      <c r="BR29" s="139"/>
      <c r="BU29" s="113"/>
      <c r="BV29" s="113"/>
    </row>
    <row r="30" spans="1:80" x14ac:dyDescent="0.4">
      <c r="BQ30" s="98"/>
      <c r="BY30" s="114"/>
      <c r="CA30" s="114"/>
    </row>
  </sheetData>
  <mergeCells count="16">
    <mergeCell ref="G9:G11"/>
    <mergeCell ref="B9:B11"/>
    <mergeCell ref="C9:C11"/>
    <mergeCell ref="D9:D11"/>
    <mergeCell ref="E9:E11"/>
    <mergeCell ref="F9:F11"/>
    <mergeCell ref="BV9:BV11"/>
    <mergeCell ref="BX9:BY10"/>
    <mergeCell ref="AM9:BP9"/>
    <mergeCell ref="BZ9:CA10"/>
    <mergeCell ref="H9:AL9"/>
    <mergeCell ref="BQ9:BQ11"/>
    <mergeCell ref="BR9:BR11"/>
    <mergeCell ref="BS9:BS11"/>
    <mergeCell ref="BT9:BT11"/>
    <mergeCell ref="BU9:BU11"/>
  </mergeCells>
  <conditionalFormatting sqref="H12:BP23">
    <cfRule type="notContainsBlanks" dxfId="4" priority="4">
      <formula>LEN(TRIM(H12))&gt;0</formula>
    </cfRule>
  </conditionalFormatting>
  <conditionalFormatting sqref="T12:T23">
    <cfRule type="notContainsBlanks" dxfId="3" priority="3">
      <formula>LEN(TRIM(T12))&gt;0</formula>
    </cfRule>
  </conditionalFormatting>
  <conditionalFormatting sqref="AH13:AH23">
    <cfRule type="notContainsBlanks" dxfId="2" priority="1">
      <formula>LEN(TRIM(AH13))&gt;0</formula>
    </cfRule>
  </conditionalFormatting>
  <conditionalFormatting sqref="AY12:AY23">
    <cfRule type="notContainsBlanks" dxfId="1" priority="2">
      <formula>LEN(TRIM(AY12))&gt;0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8757-005E-4900-A9CE-429464C5C95B}">
  <dimension ref="A1:CE20"/>
  <sheetViews>
    <sheetView showGridLines="0" zoomScale="75" zoomScaleNormal="90" workbookViewId="0">
      <pane xSplit="4" ySplit="11" topLeftCell="E12" activePane="bottomRight" state="frozen"/>
      <selection activeCell="T7" sqref="T7"/>
      <selection pane="topRight" activeCell="T7" sqref="T7"/>
      <selection pane="bottomLeft" activeCell="T7" sqref="T7"/>
      <selection pane="bottomRight" activeCell="T7" sqref="T7"/>
    </sheetView>
  </sheetViews>
  <sheetFormatPr defaultColWidth="9.6640625" defaultRowHeight="13" customHeight="1" x14ac:dyDescent="0.25"/>
  <cols>
    <col min="1" max="1" width="3.83203125" style="35" customWidth="1"/>
    <col min="2" max="2" width="21.33203125" style="35" customWidth="1"/>
    <col min="3" max="3" width="23.83203125" style="35" customWidth="1"/>
    <col min="4" max="4" width="61.1640625" style="35" customWidth="1"/>
    <col min="5" max="5" width="38.4140625" style="35" customWidth="1"/>
    <col min="6" max="6" width="20" style="35" customWidth="1"/>
    <col min="7" max="27" width="4.6640625" style="35" hidden="1" customWidth="1"/>
    <col min="28" max="41" width="4.6640625" style="35" customWidth="1"/>
    <col min="42" max="67" width="4.6640625" style="35" hidden="1" customWidth="1"/>
    <col min="68" max="68" width="9.33203125" style="35" customWidth="1"/>
    <col min="69" max="69" width="18" style="35" customWidth="1"/>
    <col min="70" max="70" width="14.6640625" style="177" customWidth="1"/>
    <col min="71" max="73" width="18" style="35" customWidth="1"/>
    <col min="74" max="74" width="3.58203125" style="35" customWidth="1"/>
    <col min="75" max="75" width="8.83203125" style="35" customWidth="1"/>
    <col min="76" max="76" width="17.83203125" style="35" customWidth="1"/>
    <col min="77" max="77" width="8.83203125" style="35" customWidth="1"/>
    <col min="78" max="78" width="17.83203125" style="35" customWidth="1"/>
    <col min="79" max="79" width="13.4140625" style="35" customWidth="1"/>
    <col min="80" max="16384" width="9.6640625" style="35"/>
  </cols>
  <sheetData>
    <row r="1" spans="1:83" ht="13" customHeight="1" x14ac:dyDescent="0.25">
      <c r="BR1" s="35"/>
    </row>
    <row r="2" spans="1:83" ht="13" customHeight="1" x14ac:dyDescent="0.25">
      <c r="B2" s="1"/>
      <c r="C2" s="1"/>
      <c r="D2" s="1"/>
      <c r="E2" s="1"/>
      <c r="F2" s="1"/>
      <c r="BR2" s="35"/>
    </row>
    <row r="3" spans="1:83" ht="13" customHeight="1" x14ac:dyDescent="0.25">
      <c r="A3" s="24"/>
      <c r="B3" s="2"/>
      <c r="C3" s="3"/>
      <c r="D3" s="2"/>
      <c r="E3" s="2"/>
      <c r="F3" s="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5"/>
      <c r="BQ3" s="25"/>
      <c r="BR3" s="25"/>
      <c r="BS3" s="140"/>
      <c r="BT3" s="141"/>
      <c r="BU3" s="142"/>
    </row>
    <row r="4" spans="1:83" ht="13" customHeight="1" x14ac:dyDescent="0.25">
      <c r="A4" s="24"/>
      <c r="B4" s="2"/>
      <c r="C4" s="3"/>
      <c r="D4" s="2"/>
      <c r="E4" s="2"/>
      <c r="F4" s="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5"/>
      <c r="BQ4" s="25"/>
      <c r="BR4" s="25"/>
      <c r="BS4" s="26"/>
      <c r="BT4" s="24"/>
      <c r="BU4" s="142"/>
    </row>
    <row r="5" spans="1:83" ht="13" customHeight="1" x14ac:dyDescent="0.25">
      <c r="A5" s="24"/>
      <c r="B5" s="5" t="s">
        <v>0</v>
      </c>
      <c r="C5" s="5"/>
      <c r="D5" s="2"/>
      <c r="E5" s="2"/>
      <c r="F5" s="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5"/>
      <c r="BQ5" s="143"/>
      <c r="BR5" s="25"/>
      <c r="BS5" s="26"/>
      <c r="BT5" s="24"/>
      <c r="BU5" s="27"/>
    </row>
    <row r="6" spans="1:83" ht="13" customHeight="1" x14ac:dyDescent="0.25">
      <c r="A6" s="24"/>
      <c r="B6" s="6" t="s">
        <v>159</v>
      </c>
      <c r="C6" s="6"/>
      <c r="D6" s="144"/>
      <c r="E6" s="144"/>
      <c r="F6" s="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145"/>
      <c r="BQ6" s="25"/>
      <c r="BR6" s="25"/>
      <c r="BS6" s="145"/>
      <c r="BT6" s="26"/>
      <c r="BU6" s="146"/>
    </row>
    <row r="7" spans="1:83" ht="13" customHeight="1" x14ac:dyDescent="0.25">
      <c r="A7" s="24"/>
      <c r="B7" s="2"/>
      <c r="C7" s="3"/>
      <c r="D7" s="147"/>
      <c r="E7" s="147"/>
      <c r="F7" s="14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145"/>
      <c r="BR7" s="148"/>
      <c r="BS7" s="145"/>
      <c r="BT7" s="149"/>
      <c r="BU7" s="150"/>
    </row>
    <row r="8" spans="1:83" ht="13" customHeight="1" x14ac:dyDescent="0.25">
      <c r="A8" s="24"/>
      <c r="B8" s="151"/>
      <c r="C8" s="151"/>
      <c r="D8" s="152"/>
      <c r="E8" s="152"/>
      <c r="F8" s="152"/>
      <c r="G8" s="25"/>
      <c r="H8" s="25"/>
      <c r="I8" s="25"/>
      <c r="J8" s="25"/>
      <c r="K8" s="25"/>
      <c r="L8" s="195"/>
      <c r="M8" s="25"/>
      <c r="N8" s="25"/>
      <c r="O8" s="25"/>
      <c r="P8" s="25"/>
      <c r="Q8" s="25"/>
      <c r="R8" s="25"/>
      <c r="S8" s="25"/>
      <c r="T8" s="25"/>
      <c r="U8" s="195"/>
      <c r="V8" s="25"/>
      <c r="W8" s="25"/>
      <c r="X8" s="25"/>
      <c r="Y8" s="25"/>
      <c r="Z8" s="25"/>
      <c r="AA8" s="25"/>
      <c r="AB8" s="25"/>
      <c r="AC8" s="195"/>
      <c r="AD8" s="25"/>
      <c r="AE8" s="25"/>
      <c r="AF8" s="25"/>
      <c r="AG8" s="201" t="s">
        <v>143</v>
      </c>
      <c r="AH8" s="199"/>
      <c r="AI8" s="200"/>
      <c r="AJ8" s="199"/>
      <c r="AK8" s="199"/>
      <c r="AL8" s="199"/>
      <c r="AM8" s="199"/>
      <c r="AN8" s="25"/>
      <c r="AO8" s="25"/>
      <c r="AP8" s="25"/>
      <c r="AQ8" s="195"/>
      <c r="AR8" s="25"/>
      <c r="AS8" s="25"/>
      <c r="AT8" s="25"/>
      <c r="AU8" s="25"/>
      <c r="AV8" s="25"/>
      <c r="AW8" s="25"/>
      <c r="AX8" s="25"/>
      <c r="AY8" s="25"/>
      <c r="AZ8" s="195"/>
      <c r="BA8" s="25"/>
      <c r="BB8" s="25"/>
      <c r="BC8" s="25"/>
      <c r="BD8" s="25"/>
      <c r="BE8" s="25"/>
      <c r="BF8" s="25"/>
      <c r="BG8" s="25"/>
      <c r="BH8" s="195"/>
      <c r="BI8" s="25"/>
      <c r="BJ8" s="25"/>
      <c r="BK8" s="25"/>
      <c r="BL8" s="25"/>
      <c r="BM8" s="25"/>
      <c r="BN8" s="25"/>
      <c r="BO8" s="25"/>
      <c r="BP8" s="25"/>
      <c r="BQ8" s="25"/>
      <c r="BR8" s="25"/>
      <c r="BT8" s="149"/>
      <c r="BU8" s="150"/>
    </row>
    <row r="9" spans="1:83" ht="16.5" customHeight="1" x14ac:dyDescent="0.25">
      <c r="A9" s="28"/>
      <c r="B9" s="249" t="s">
        <v>2</v>
      </c>
      <c r="C9" s="235" t="s">
        <v>3</v>
      </c>
      <c r="D9" s="235" t="s">
        <v>136</v>
      </c>
      <c r="E9" s="235" t="s">
        <v>137</v>
      </c>
      <c r="F9" s="249" t="s">
        <v>138</v>
      </c>
      <c r="G9" s="242" t="s">
        <v>133</v>
      </c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4"/>
      <c r="AL9" s="242" t="s">
        <v>161</v>
      </c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  <c r="BL9" s="243"/>
      <c r="BM9" s="243"/>
      <c r="BN9" s="243"/>
      <c r="BO9" s="244"/>
      <c r="BP9" s="250" t="s">
        <v>4</v>
      </c>
      <c r="BQ9" s="253" t="s">
        <v>5</v>
      </c>
      <c r="BR9" s="250" t="s">
        <v>6</v>
      </c>
      <c r="BS9" s="253" t="s">
        <v>7</v>
      </c>
      <c r="BT9" s="253" t="s">
        <v>8</v>
      </c>
      <c r="BU9" s="253" t="s">
        <v>139</v>
      </c>
      <c r="BW9" s="259" t="s">
        <v>176</v>
      </c>
      <c r="BX9" s="260"/>
      <c r="BY9" s="260"/>
      <c r="BZ9" s="261"/>
    </row>
    <row r="10" spans="1:83" ht="16.5" customHeight="1" x14ac:dyDescent="0.25">
      <c r="A10" s="28"/>
      <c r="B10" s="249"/>
      <c r="C10" s="235"/>
      <c r="D10" s="235"/>
      <c r="E10" s="235"/>
      <c r="F10" s="249"/>
      <c r="G10" s="8" t="s">
        <v>12</v>
      </c>
      <c r="H10" s="7" t="s">
        <v>9</v>
      </c>
      <c r="I10" s="7" t="s">
        <v>10</v>
      </c>
      <c r="J10" s="7" t="s">
        <v>11</v>
      </c>
      <c r="K10" s="7" t="s">
        <v>10</v>
      </c>
      <c r="L10" s="7" t="s">
        <v>1</v>
      </c>
      <c r="M10" s="8" t="s">
        <v>12</v>
      </c>
      <c r="N10" s="8" t="s">
        <v>12</v>
      </c>
      <c r="O10" s="7" t="s">
        <v>9</v>
      </c>
      <c r="P10" s="7" t="s">
        <v>10</v>
      </c>
      <c r="Q10" s="7" t="s">
        <v>11</v>
      </c>
      <c r="R10" s="7" t="s">
        <v>10</v>
      </c>
      <c r="S10" s="7" t="s">
        <v>1</v>
      </c>
      <c r="T10" s="8" t="s">
        <v>12</v>
      </c>
      <c r="U10" s="8" t="s">
        <v>12</v>
      </c>
      <c r="V10" s="7" t="s">
        <v>9</v>
      </c>
      <c r="W10" s="7" t="s">
        <v>10</v>
      </c>
      <c r="X10" s="7" t="s">
        <v>11</v>
      </c>
      <c r="Y10" s="7" t="s">
        <v>10</v>
      </c>
      <c r="Z10" s="7" t="s">
        <v>1</v>
      </c>
      <c r="AA10" s="8" t="s">
        <v>12</v>
      </c>
      <c r="AB10" s="8" t="s">
        <v>12</v>
      </c>
      <c r="AC10" s="7" t="s">
        <v>9</v>
      </c>
      <c r="AD10" s="7" t="s">
        <v>10</v>
      </c>
      <c r="AE10" s="7" t="s">
        <v>11</v>
      </c>
      <c r="AF10" s="7" t="s">
        <v>10</v>
      </c>
      <c r="AG10" s="7" t="s">
        <v>1</v>
      </c>
      <c r="AH10" s="8" t="s">
        <v>12</v>
      </c>
      <c r="AI10" s="8" t="s">
        <v>12</v>
      </c>
      <c r="AJ10" s="7" t="s">
        <v>9</v>
      </c>
      <c r="AK10" s="7" t="s">
        <v>10</v>
      </c>
      <c r="AL10" s="7" t="s">
        <v>11</v>
      </c>
      <c r="AM10" s="7" t="s">
        <v>10</v>
      </c>
      <c r="AN10" s="7" t="s">
        <v>1</v>
      </c>
      <c r="AO10" s="8" t="s">
        <v>12</v>
      </c>
      <c r="AP10" s="8" t="s">
        <v>12</v>
      </c>
      <c r="AQ10" s="7" t="s">
        <v>9</v>
      </c>
      <c r="AR10" s="7" t="s">
        <v>10</v>
      </c>
      <c r="AS10" s="7" t="s">
        <v>11</v>
      </c>
      <c r="AT10" s="7" t="s">
        <v>10</v>
      </c>
      <c r="AU10" s="7" t="s">
        <v>1</v>
      </c>
      <c r="AV10" s="8" t="s">
        <v>12</v>
      </c>
      <c r="AW10" s="8" t="s">
        <v>12</v>
      </c>
      <c r="AX10" s="7" t="s">
        <v>9</v>
      </c>
      <c r="AY10" s="7" t="s">
        <v>10</v>
      </c>
      <c r="AZ10" s="7" t="s">
        <v>11</v>
      </c>
      <c r="BA10" s="7" t="s">
        <v>10</v>
      </c>
      <c r="BB10" s="7" t="s">
        <v>1</v>
      </c>
      <c r="BC10" s="8" t="s">
        <v>12</v>
      </c>
      <c r="BD10" s="8" t="s">
        <v>12</v>
      </c>
      <c r="BE10" s="7" t="s">
        <v>9</v>
      </c>
      <c r="BF10" s="7" t="s">
        <v>10</v>
      </c>
      <c r="BG10" s="7" t="s">
        <v>11</v>
      </c>
      <c r="BH10" s="7" t="s">
        <v>10</v>
      </c>
      <c r="BI10" s="7" t="s">
        <v>1</v>
      </c>
      <c r="BJ10" s="8" t="s">
        <v>12</v>
      </c>
      <c r="BK10" s="8" t="s">
        <v>12</v>
      </c>
      <c r="BL10" s="7" t="s">
        <v>9</v>
      </c>
      <c r="BM10" s="7" t="s">
        <v>10</v>
      </c>
      <c r="BN10" s="7" t="s">
        <v>11</v>
      </c>
      <c r="BO10" s="7" t="s">
        <v>10</v>
      </c>
      <c r="BP10" s="251"/>
      <c r="BQ10" s="254"/>
      <c r="BR10" s="251"/>
      <c r="BS10" s="254"/>
      <c r="BT10" s="254"/>
      <c r="BU10" s="254"/>
      <c r="BW10" s="249" t="s">
        <v>133</v>
      </c>
      <c r="BX10" s="249"/>
      <c r="BY10" s="249" t="s">
        <v>161</v>
      </c>
      <c r="BZ10" s="249"/>
    </row>
    <row r="11" spans="1:83" ht="16.5" customHeight="1" x14ac:dyDescent="0.25">
      <c r="A11" s="28"/>
      <c r="B11" s="249"/>
      <c r="C11" s="235"/>
      <c r="D11" s="235"/>
      <c r="E11" s="235"/>
      <c r="F11" s="249"/>
      <c r="G11" s="56">
        <v>1</v>
      </c>
      <c r="H11" s="29">
        <f t="shared" ref="H11:T11" si="0">G11+1</f>
        <v>2</v>
      </c>
      <c r="I11" s="29">
        <f t="shared" si="0"/>
        <v>3</v>
      </c>
      <c r="J11" s="29">
        <f t="shared" si="0"/>
        <v>4</v>
      </c>
      <c r="K11" s="29">
        <f t="shared" si="0"/>
        <v>5</v>
      </c>
      <c r="L11" s="29">
        <f t="shared" si="0"/>
        <v>6</v>
      </c>
      <c r="M11" s="56">
        <f t="shared" si="0"/>
        <v>7</v>
      </c>
      <c r="N11" s="56">
        <f t="shared" si="0"/>
        <v>8</v>
      </c>
      <c r="O11" s="29">
        <f t="shared" si="0"/>
        <v>9</v>
      </c>
      <c r="P11" s="29">
        <f t="shared" si="0"/>
        <v>10</v>
      </c>
      <c r="Q11" s="29">
        <f t="shared" si="0"/>
        <v>11</v>
      </c>
      <c r="R11" s="29">
        <f t="shared" si="0"/>
        <v>12</v>
      </c>
      <c r="S11" s="29">
        <f t="shared" si="0"/>
        <v>13</v>
      </c>
      <c r="T11" s="56">
        <f t="shared" si="0"/>
        <v>14</v>
      </c>
      <c r="U11" s="56">
        <v>15</v>
      </c>
      <c r="V11" s="29">
        <f t="shared" ref="V11:AK11" si="1">U11+1</f>
        <v>16</v>
      </c>
      <c r="W11" s="29">
        <f t="shared" si="1"/>
        <v>17</v>
      </c>
      <c r="X11" s="29">
        <f t="shared" si="1"/>
        <v>18</v>
      </c>
      <c r="Y11" s="29">
        <f t="shared" si="1"/>
        <v>19</v>
      </c>
      <c r="Z11" s="29">
        <f t="shared" si="1"/>
        <v>20</v>
      </c>
      <c r="AA11" s="56">
        <f t="shared" si="1"/>
        <v>21</v>
      </c>
      <c r="AB11" s="56">
        <f t="shared" si="1"/>
        <v>22</v>
      </c>
      <c r="AC11" s="29">
        <f t="shared" si="1"/>
        <v>23</v>
      </c>
      <c r="AD11" s="29">
        <f t="shared" si="1"/>
        <v>24</v>
      </c>
      <c r="AE11" s="29">
        <f t="shared" si="1"/>
        <v>25</v>
      </c>
      <c r="AF11" s="29">
        <f t="shared" si="1"/>
        <v>26</v>
      </c>
      <c r="AG11" s="29">
        <f t="shared" si="1"/>
        <v>27</v>
      </c>
      <c r="AH11" s="56">
        <f t="shared" si="1"/>
        <v>28</v>
      </c>
      <c r="AI11" s="56">
        <f t="shared" si="1"/>
        <v>29</v>
      </c>
      <c r="AJ11" s="29">
        <f t="shared" si="1"/>
        <v>30</v>
      </c>
      <c r="AK11" s="29">
        <f t="shared" si="1"/>
        <v>31</v>
      </c>
      <c r="AL11" s="29">
        <v>1</v>
      </c>
      <c r="AM11" s="29">
        <f t="shared" ref="AM11:AY11" si="2">AL11+1</f>
        <v>2</v>
      </c>
      <c r="AN11" s="29">
        <f t="shared" si="2"/>
        <v>3</v>
      </c>
      <c r="AO11" s="56">
        <f t="shared" si="2"/>
        <v>4</v>
      </c>
      <c r="AP11" s="56">
        <f t="shared" si="2"/>
        <v>5</v>
      </c>
      <c r="AQ11" s="29">
        <f t="shared" si="2"/>
        <v>6</v>
      </c>
      <c r="AR11" s="29">
        <f t="shared" si="2"/>
        <v>7</v>
      </c>
      <c r="AS11" s="29">
        <f t="shared" si="2"/>
        <v>8</v>
      </c>
      <c r="AT11" s="29">
        <f t="shared" si="2"/>
        <v>9</v>
      </c>
      <c r="AU11" s="29">
        <f t="shared" si="2"/>
        <v>10</v>
      </c>
      <c r="AV11" s="56">
        <f t="shared" si="2"/>
        <v>11</v>
      </c>
      <c r="AW11" s="56">
        <f t="shared" si="2"/>
        <v>12</v>
      </c>
      <c r="AX11" s="29">
        <f t="shared" si="2"/>
        <v>13</v>
      </c>
      <c r="AY11" s="29">
        <f t="shared" si="2"/>
        <v>14</v>
      </c>
      <c r="AZ11" s="29">
        <v>15</v>
      </c>
      <c r="BA11" s="29">
        <f t="shared" ref="BA11:BO11" si="3">AZ11+1</f>
        <v>16</v>
      </c>
      <c r="BB11" s="29">
        <f t="shared" si="3"/>
        <v>17</v>
      </c>
      <c r="BC11" s="56">
        <f t="shared" si="3"/>
        <v>18</v>
      </c>
      <c r="BD11" s="56">
        <f t="shared" si="3"/>
        <v>19</v>
      </c>
      <c r="BE11" s="29">
        <f t="shared" si="3"/>
        <v>20</v>
      </c>
      <c r="BF11" s="29">
        <f t="shared" si="3"/>
        <v>21</v>
      </c>
      <c r="BG11" s="29">
        <f t="shared" si="3"/>
        <v>22</v>
      </c>
      <c r="BH11" s="29">
        <f t="shared" si="3"/>
        <v>23</v>
      </c>
      <c r="BI11" s="29">
        <f t="shared" si="3"/>
        <v>24</v>
      </c>
      <c r="BJ11" s="56">
        <f t="shared" si="3"/>
        <v>25</v>
      </c>
      <c r="BK11" s="56">
        <f t="shared" si="3"/>
        <v>26</v>
      </c>
      <c r="BL11" s="29">
        <f t="shared" si="3"/>
        <v>27</v>
      </c>
      <c r="BM11" s="29">
        <f t="shared" si="3"/>
        <v>28</v>
      </c>
      <c r="BN11" s="29">
        <f t="shared" si="3"/>
        <v>29</v>
      </c>
      <c r="BO11" s="29">
        <f t="shared" si="3"/>
        <v>30</v>
      </c>
      <c r="BP11" s="252"/>
      <c r="BQ11" s="255"/>
      <c r="BR11" s="252"/>
      <c r="BS11" s="255"/>
      <c r="BT11" s="255"/>
      <c r="BU11" s="255"/>
      <c r="BW11" s="249"/>
      <c r="BX11" s="249"/>
      <c r="BY11" s="249"/>
      <c r="BZ11" s="249"/>
    </row>
    <row r="12" spans="1:83" ht="13" customHeight="1" x14ac:dyDescent="0.25">
      <c r="A12" s="28"/>
      <c r="B12" s="153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4"/>
      <c r="BS12" s="154"/>
      <c r="BT12" s="46"/>
      <c r="BU12" s="9"/>
      <c r="BW12" s="155" t="s">
        <v>4</v>
      </c>
      <c r="BX12" s="155" t="s">
        <v>19</v>
      </c>
      <c r="BY12" s="155" t="s">
        <v>4</v>
      </c>
      <c r="BZ12" s="155" t="s">
        <v>19</v>
      </c>
      <c r="CA12" s="24"/>
      <c r="CB12" s="24"/>
      <c r="CC12" s="24"/>
      <c r="CD12" s="24"/>
      <c r="CE12" s="24"/>
    </row>
    <row r="13" spans="1:83" ht="16.5" customHeight="1" x14ac:dyDescent="0.25">
      <c r="A13" s="28"/>
      <c r="B13" s="156"/>
      <c r="C13" s="30"/>
      <c r="D13" s="157"/>
      <c r="E13" s="157"/>
      <c r="F13" s="157"/>
      <c r="G13" s="39"/>
      <c r="H13" s="132"/>
      <c r="I13" s="132"/>
      <c r="J13" s="132"/>
      <c r="K13" s="132"/>
      <c r="L13" s="132"/>
      <c r="M13" s="39"/>
      <c r="N13" s="39"/>
      <c r="O13" s="132"/>
      <c r="P13" s="132"/>
      <c r="Q13" s="132"/>
      <c r="R13" s="132"/>
      <c r="S13" s="132"/>
      <c r="T13" s="39"/>
      <c r="U13" s="39"/>
      <c r="V13" s="132"/>
      <c r="W13" s="132"/>
      <c r="X13" s="132"/>
      <c r="Y13" s="132"/>
      <c r="Z13" s="132"/>
      <c r="AA13" s="39"/>
      <c r="AB13" s="39"/>
      <c r="AC13" s="132"/>
      <c r="AD13" s="132"/>
      <c r="AE13" s="132"/>
      <c r="AF13" s="132"/>
      <c r="AG13" s="132"/>
      <c r="AH13" s="39"/>
      <c r="AI13" s="39"/>
      <c r="AJ13" s="132"/>
      <c r="AK13" s="132"/>
      <c r="AL13" s="132"/>
      <c r="AM13" s="132"/>
      <c r="AN13" s="132"/>
      <c r="AO13" s="39"/>
      <c r="AP13" s="39"/>
      <c r="AQ13" s="132"/>
      <c r="AR13" s="132"/>
      <c r="AS13" s="132"/>
      <c r="AT13" s="132"/>
      <c r="AU13" s="132"/>
      <c r="AV13" s="39"/>
      <c r="AW13" s="39"/>
      <c r="AX13" s="132"/>
      <c r="AY13" s="132"/>
      <c r="AZ13" s="132"/>
      <c r="BA13" s="132"/>
      <c r="BB13" s="132"/>
      <c r="BC13" s="39"/>
      <c r="BD13" s="39"/>
      <c r="BE13" s="132"/>
      <c r="BF13" s="132"/>
      <c r="BG13" s="132"/>
      <c r="BH13" s="132"/>
      <c r="BI13" s="132"/>
      <c r="BJ13" s="39"/>
      <c r="BK13" s="39"/>
      <c r="BL13" s="132"/>
      <c r="BM13" s="132"/>
      <c r="BN13" s="132"/>
      <c r="BO13" s="132"/>
      <c r="BP13" s="158"/>
      <c r="BQ13" s="15"/>
      <c r="BR13" s="14"/>
      <c r="BS13" s="15"/>
      <c r="BT13" s="16"/>
      <c r="BU13" s="16"/>
      <c r="BW13" s="158"/>
      <c r="BX13" s="159"/>
      <c r="BY13" s="158"/>
      <c r="BZ13" s="159"/>
      <c r="CA13" s="24"/>
      <c r="CB13" s="24"/>
      <c r="CC13" s="24"/>
      <c r="CD13" s="24"/>
      <c r="CE13" s="24"/>
    </row>
    <row r="14" spans="1:83" ht="16.5" customHeight="1" x14ac:dyDescent="0.25">
      <c r="A14" s="28"/>
      <c r="B14" s="31" t="s">
        <v>160</v>
      </c>
      <c r="C14" s="32" t="s">
        <v>172</v>
      </c>
      <c r="D14" s="162" t="s">
        <v>173</v>
      </c>
      <c r="E14" s="162" t="s">
        <v>175</v>
      </c>
      <c r="F14" s="163">
        <v>10000</v>
      </c>
      <c r="G14" s="39"/>
      <c r="H14" s="132"/>
      <c r="I14" s="132"/>
      <c r="J14" s="132"/>
      <c r="K14" s="132"/>
      <c r="L14" s="132"/>
      <c r="M14" s="39"/>
      <c r="N14" s="39"/>
      <c r="O14" s="132"/>
      <c r="P14" s="132"/>
      <c r="Q14" s="132"/>
      <c r="R14" s="132"/>
      <c r="S14" s="132"/>
      <c r="T14" s="39"/>
      <c r="U14" s="39"/>
      <c r="V14" s="132"/>
      <c r="W14" s="132"/>
      <c r="X14" s="132"/>
      <c r="Y14" s="132"/>
      <c r="Z14" s="132"/>
      <c r="AA14" s="39"/>
      <c r="AB14" s="39"/>
      <c r="AC14" s="132"/>
      <c r="AD14" s="132"/>
      <c r="AE14" s="132"/>
      <c r="AF14" s="132"/>
      <c r="AG14" s="132"/>
      <c r="AH14" s="39"/>
      <c r="AI14" s="39">
        <v>1</v>
      </c>
      <c r="AJ14" s="132"/>
      <c r="AK14" s="132"/>
      <c r="AL14" s="132"/>
      <c r="AM14" s="132"/>
      <c r="AN14" s="132"/>
      <c r="AO14" s="39"/>
      <c r="AP14" s="39"/>
      <c r="AQ14" s="132"/>
      <c r="AR14" s="132"/>
      <c r="AS14" s="132"/>
      <c r="AT14" s="132"/>
      <c r="AU14" s="132"/>
      <c r="AV14" s="39"/>
      <c r="AW14" s="39"/>
      <c r="AX14" s="132"/>
      <c r="AY14" s="132"/>
      <c r="AZ14" s="132"/>
      <c r="BA14" s="132"/>
      <c r="BB14" s="132"/>
      <c r="BC14" s="39"/>
      <c r="BD14" s="39"/>
      <c r="BE14" s="132"/>
      <c r="BF14" s="132"/>
      <c r="BG14" s="132"/>
      <c r="BH14" s="132"/>
      <c r="BI14" s="132"/>
      <c r="BJ14" s="39"/>
      <c r="BK14" s="39"/>
      <c r="BL14" s="132"/>
      <c r="BM14" s="132"/>
      <c r="BN14" s="132"/>
      <c r="BO14" s="132"/>
      <c r="BP14" s="164">
        <f>SUM(G14:BO14)</f>
        <v>1</v>
      </c>
      <c r="BQ14" s="165">
        <v>31059</v>
      </c>
      <c r="BR14" s="17">
        <v>0.35</v>
      </c>
      <c r="BS14" s="18">
        <f>BQ14*(1-BR14)</f>
        <v>20188.350000000002</v>
      </c>
      <c r="BT14" s="19">
        <f>BP14*BS14</f>
        <v>20188.350000000002</v>
      </c>
      <c r="BU14" s="19">
        <f t="shared" ref="BU14:BU15" si="4">BT14*0.8</f>
        <v>16150.680000000002</v>
      </c>
      <c r="BW14" s="164">
        <f>SUM(G14:AK14)</f>
        <v>1</v>
      </c>
      <c r="BX14" s="166">
        <f>(BW14*$BS14)*0.8</f>
        <v>16150.680000000002</v>
      </c>
      <c r="BY14" s="164">
        <f>SUM(AL14:BO14)</f>
        <v>0</v>
      </c>
      <c r="BZ14" s="166">
        <f>(BY14*$BS14)*0.8</f>
        <v>0</v>
      </c>
      <c r="CA14" s="24"/>
      <c r="CB14" s="24"/>
      <c r="CC14" s="24"/>
      <c r="CD14" s="24"/>
      <c r="CE14" s="24"/>
    </row>
    <row r="15" spans="1:83" ht="16.5" customHeight="1" x14ac:dyDescent="0.25">
      <c r="A15" s="28"/>
      <c r="B15" s="31"/>
      <c r="C15" s="32"/>
      <c r="D15" s="162" t="s">
        <v>174</v>
      </c>
      <c r="E15" s="162"/>
      <c r="F15" s="163"/>
      <c r="G15" s="39"/>
      <c r="H15" s="132"/>
      <c r="I15" s="132"/>
      <c r="J15" s="132"/>
      <c r="K15" s="132"/>
      <c r="L15" s="132"/>
      <c r="M15" s="39"/>
      <c r="N15" s="39"/>
      <c r="O15" s="132"/>
      <c r="P15" s="132"/>
      <c r="Q15" s="132"/>
      <c r="R15" s="132"/>
      <c r="S15" s="132"/>
      <c r="T15" s="39"/>
      <c r="U15" s="39"/>
      <c r="V15" s="132"/>
      <c r="W15" s="132"/>
      <c r="X15" s="132"/>
      <c r="Y15" s="132"/>
      <c r="Z15" s="132"/>
      <c r="AA15" s="39"/>
      <c r="AB15" s="39"/>
      <c r="AC15" s="132"/>
      <c r="AD15" s="132"/>
      <c r="AE15" s="132"/>
      <c r="AF15" s="132"/>
      <c r="AG15" s="132"/>
      <c r="AH15" s="39"/>
      <c r="AI15" s="39"/>
      <c r="AJ15" s="132"/>
      <c r="AK15" s="132"/>
      <c r="AL15" s="132"/>
      <c r="AM15" s="132"/>
      <c r="AN15" s="132"/>
      <c r="AO15" s="39"/>
      <c r="AP15" s="39"/>
      <c r="AQ15" s="132"/>
      <c r="AR15" s="132"/>
      <c r="AS15" s="132"/>
      <c r="AT15" s="132"/>
      <c r="AU15" s="132"/>
      <c r="AV15" s="39"/>
      <c r="AW15" s="39"/>
      <c r="AX15" s="132"/>
      <c r="AY15" s="132"/>
      <c r="AZ15" s="132"/>
      <c r="BA15" s="132"/>
      <c r="BB15" s="132"/>
      <c r="BC15" s="39"/>
      <c r="BD15" s="39"/>
      <c r="BE15" s="132"/>
      <c r="BF15" s="132"/>
      <c r="BG15" s="132"/>
      <c r="BH15" s="132"/>
      <c r="BI15" s="132"/>
      <c r="BJ15" s="39"/>
      <c r="BK15" s="39"/>
      <c r="BL15" s="132"/>
      <c r="BM15" s="132"/>
      <c r="BN15" s="132"/>
      <c r="BO15" s="132"/>
      <c r="BP15" s="164">
        <f>SUM(G15:BO15)</f>
        <v>0</v>
      </c>
      <c r="BQ15" s="165">
        <v>15435</v>
      </c>
      <c r="BR15" s="17">
        <v>0.35</v>
      </c>
      <c r="BS15" s="18">
        <f>BQ15*(1-BR15)</f>
        <v>10032.75</v>
      </c>
      <c r="BT15" s="19">
        <f>BP15*BS15</f>
        <v>0</v>
      </c>
      <c r="BU15" s="19">
        <f t="shared" si="4"/>
        <v>0</v>
      </c>
      <c r="BW15" s="164">
        <f>SUM(G15:AK15)</f>
        <v>0</v>
      </c>
      <c r="BX15" s="166">
        <f>(BW15*$BS15)*0.8</f>
        <v>0</v>
      </c>
      <c r="BY15" s="164">
        <f>SUM(AL15:BO15)</f>
        <v>0</v>
      </c>
      <c r="BZ15" s="166">
        <f>(BY15*$BS15)*0.8</f>
        <v>0</v>
      </c>
      <c r="CA15" s="24"/>
      <c r="CB15" s="24"/>
      <c r="CC15" s="24"/>
      <c r="CD15" s="24"/>
      <c r="CE15" s="24"/>
    </row>
    <row r="16" spans="1:83" ht="16.5" customHeight="1" x14ac:dyDescent="0.25">
      <c r="A16" s="28"/>
      <c r="B16" s="185"/>
      <c r="C16" s="186"/>
      <c r="D16" s="187"/>
      <c r="E16" s="188"/>
      <c r="F16" s="182"/>
      <c r="G16" s="39"/>
      <c r="H16" s="132"/>
      <c r="I16" s="132"/>
      <c r="J16" s="132"/>
      <c r="K16" s="132"/>
      <c r="L16" s="132"/>
      <c r="M16" s="39"/>
      <c r="N16" s="39"/>
      <c r="O16" s="132"/>
      <c r="P16" s="132"/>
      <c r="Q16" s="132"/>
      <c r="R16" s="132"/>
      <c r="S16" s="132"/>
      <c r="T16" s="39"/>
      <c r="U16" s="39"/>
      <c r="V16" s="132"/>
      <c r="W16" s="132"/>
      <c r="X16" s="132"/>
      <c r="Y16" s="132"/>
      <c r="Z16" s="132"/>
      <c r="AA16" s="39"/>
      <c r="AB16" s="39"/>
      <c r="AC16" s="132"/>
      <c r="AD16" s="132"/>
      <c r="AE16" s="132"/>
      <c r="AF16" s="132"/>
      <c r="AG16" s="132"/>
      <c r="AH16" s="39"/>
      <c r="AI16" s="39"/>
      <c r="AJ16" s="132"/>
      <c r="AK16" s="132"/>
      <c r="AL16" s="132"/>
      <c r="AM16" s="132"/>
      <c r="AN16" s="132"/>
      <c r="AO16" s="39"/>
      <c r="AP16" s="39"/>
      <c r="AQ16" s="132"/>
      <c r="AR16" s="132"/>
      <c r="AS16" s="132"/>
      <c r="AT16" s="132"/>
      <c r="AU16" s="132"/>
      <c r="AV16" s="39"/>
      <c r="AW16" s="39"/>
      <c r="AX16" s="132"/>
      <c r="AY16" s="132"/>
      <c r="AZ16" s="132"/>
      <c r="BA16" s="132"/>
      <c r="BB16" s="132"/>
      <c r="BC16" s="39"/>
      <c r="BD16" s="39"/>
      <c r="BE16" s="132"/>
      <c r="BF16" s="132"/>
      <c r="BG16" s="132"/>
      <c r="BH16" s="132"/>
      <c r="BI16" s="132"/>
      <c r="BJ16" s="39"/>
      <c r="BK16" s="39"/>
      <c r="BL16" s="132"/>
      <c r="BM16" s="132"/>
      <c r="BN16" s="132"/>
      <c r="BO16" s="132"/>
      <c r="BP16" s="169"/>
      <c r="BQ16" s="189"/>
      <c r="BR16" s="190"/>
      <c r="BS16" s="192"/>
      <c r="BT16" s="10"/>
      <c r="BU16" s="46"/>
      <c r="BV16" s="57"/>
      <c r="BW16" s="169"/>
      <c r="BX16" s="191"/>
      <c r="BY16" s="169"/>
      <c r="BZ16" s="191"/>
      <c r="CA16" s="24"/>
      <c r="CB16" s="24"/>
      <c r="CC16" s="24"/>
      <c r="CD16" s="24"/>
      <c r="CE16" s="24"/>
    </row>
    <row r="17" spans="1:83" ht="13" customHeight="1" x14ac:dyDescent="0.25">
      <c r="A17" s="28"/>
      <c r="B17" s="153"/>
      <c r="C17" s="154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1"/>
      <c r="BS17" s="170"/>
      <c r="BT17" s="21"/>
      <c r="BU17" s="9"/>
      <c r="CA17" s="24"/>
      <c r="CB17" s="24"/>
      <c r="CC17" s="24"/>
      <c r="CD17" s="24"/>
      <c r="CE17" s="24"/>
    </row>
    <row r="18" spans="1:83" s="34" customFormat="1" ht="16.5" customHeight="1" x14ac:dyDescent="0.4">
      <c r="B18" s="22" t="s">
        <v>45</v>
      </c>
      <c r="C18" s="33"/>
      <c r="D18" s="33"/>
      <c r="E18" s="33"/>
      <c r="F18" s="33"/>
      <c r="G18" s="33">
        <f t="shared" ref="G18:BP18" si="5">SUM(G13:G16)</f>
        <v>0</v>
      </c>
      <c r="H18" s="33">
        <f t="shared" si="5"/>
        <v>0</v>
      </c>
      <c r="I18" s="33">
        <f t="shared" si="5"/>
        <v>0</v>
      </c>
      <c r="J18" s="33">
        <f t="shared" si="5"/>
        <v>0</v>
      </c>
      <c r="K18" s="33">
        <f t="shared" si="5"/>
        <v>0</v>
      </c>
      <c r="L18" s="33">
        <f t="shared" si="5"/>
        <v>0</v>
      </c>
      <c r="M18" s="33">
        <f t="shared" si="5"/>
        <v>0</v>
      </c>
      <c r="N18" s="33">
        <f t="shared" si="5"/>
        <v>0</v>
      </c>
      <c r="O18" s="33">
        <f t="shared" si="5"/>
        <v>0</v>
      </c>
      <c r="P18" s="33">
        <f t="shared" si="5"/>
        <v>0</v>
      </c>
      <c r="Q18" s="33">
        <f t="shared" si="5"/>
        <v>0</v>
      </c>
      <c r="R18" s="33">
        <f t="shared" si="5"/>
        <v>0</v>
      </c>
      <c r="S18" s="33">
        <f t="shared" si="5"/>
        <v>0</v>
      </c>
      <c r="T18" s="33">
        <f t="shared" si="5"/>
        <v>0</v>
      </c>
      <c r="U18" s="33">
        <f t="shared" si="5"/>
        <v>0</v>
      </c>
      <c r="V18" s="33">
        <f t="shared" si="5"/>
        <v>0</v>
      </c>
      <c r="W18" s="33">
        <f t="shared" si="5"/>
        <v>0</v>
      </c>
      <c r="X18" s="33">
        <f t="shared" si="5"/>
        <v>0</v>
      </c>
      <c r="Y18" s="33">
        <f t="shared" si="5"/>
        <v>0</v>
      </c>
      <c r="Z18" s="33">
        <f t="shared" si="5"/>
        <v>0</v>
      </c>
      <c r="AA18" s="33">
        <f t="shared" si="5"/>
        <v>0</v>
      </c>
      <c r="AB18" s="33">
        <f t="shared" si="5"/>
        <v>0</v>
      </c>
      <c r="AC18" s="33">
        <f t="shared" si="5"/>
        <v>0</v>
      </c>
      <c r="AD18" s="33">
        <f t="shared" si="5"/>
        <v>0</v>
      </c>
      <c r="AE18" s="33">
        <f t="shared" si="5"/>
        <v>0</v>
      </c>
      <c r="AF18" s="33">
        <f t="shared" si="5"/>
        <v>0</v>
      </c>
      <c r="AG18" s="33">
        <f t="shared" si="5"/>
        <v>0</v>
      </c>
      <c r="AH18" s="33">
        <f t="shared" si="5"/>
        <v>0</v>
      </c>
      <c r="AI18" s="33">
        <f t="shared" si="5"/>
        <v>1</v>
      </c>
      <c r="AJ18" s="33">
        <f t="shared" si="5"/>
        <v>0</v>
      </c>
      <c r="AK18" s="33">
        <f t="shared" si="5"/>
        <v>0</v>
      </c>
      <c r="AL18" s="33">
        <f t="shared" ref="AL18:BO18" si="6">SUM(AL13:AL16)</f>
        <v>0</v>
      </c>
      <c r="AM18" s="33">
        <f t="shared" si="6"/>
        <v>0</v>
      </c>
      <c r="AN18" s="33">
        <f t="shared" si="6"/>
        <v>0</v>
      </c>
      <c r="AO18" s="33">
        <f t="shared" si="6"/>
        <v>0</v>
      </c>
      <c r="AP18" s="33">
        <f t="shared" si="6"/>
        <v>0</v>
      </c>
      <c r="AQ18" s="33">
        <f t="shared" si="6"/>
        <v>0</v>
      </c>
      <c r="AR18" s="33">
        <f t="shared" si="6"/>
        <v>0</v>
      </c>
      <c r="AS18" s="33">
        <f t="shared" si="6"/>
        <v>0</v>
      </c>
      <c r="AT18" s="33">
        <f t="shared" si="6"/>
        <v>0</v>
      </c>
      <c r="AU18" s="33">
        <f t="shared" si="6"/>
        <v>0</v>
      </c>
      <c r="AV18" s="33">
        <f t="shared" si="6"/>
        <v>0</v>
      </c>
      <c r="AW18" s="33">
        <f t="shared" si="6"/>
        <v>0</v>
      </c>
      <c r="AX18" s="33">
        <f t="shared" si="6"/>
        <v>0</v>
      </c>
      <c r="AY18" s="33">
        <f t="shared" si="6"/>
        <v>0</v>
      </c>
      <c r="AZ18" s="33">
        <f t="shared" si="6"/>
        <v>0</v>
      </c>
      <c r="BA18" s="33">
        <f t="shared" si="6"/>
        <v>0</v>
      </c>
      <c r="BB18" s="33">
        <f t="shared" si="6"/>
        <v>0</v>
      </c>
      <c r="BC18" s="33">
        <f t="shared" si="6"/>
        <v>0</v>
      </c>
      <c r="BD18" s="33">
        <f t="shared" si="6"/>
        <v>0</v>
      </c>
      <c r="BE18" s="33">
        <f t="shared" si="6"/>
        <v>0</v>
      </c>
      <c r="BF18" s="33">
        <f t="shared" si="6"/>
        <v>0</v>
      </c>
      <c r="BG18" s="33">
        <f t="shared" si="6"/>
        <v>0</v>
      </c>
      <c r="BH18" s="33">
        <f t="shared" si="6"/>
        <v>0</v>
      </c>
      <c r="BI18" s="33">
        <f t="shared" si="6"/>
        <v>0</v>
      </c>
      <c r="BJ18" s="33">
        <f t="shared" si="6"/>
        <v>0</v>
      </c>
      <c r="BK18" s="33">
        <f t="shared" si="6"/>
        <v>0</v>
      </c>
      <c r="BL18" s="33">
        <f t="shared" si="6"/>
        <v>0</v>
      </c>
      <c r="BM18" s="33">
        <f t="shared" si="6"/>
        <v>0</v>
      </c>
      <c r="BN18" s="33">
        <f t="shared" si="6"/>
        <v>0</v>
      </c>
      <c r="BO18" s="33">
        <f t="shared" si="6"/>
        <v>0</v>
      </c>
      <c r="BP18" s="172">
        <f t="shared" si="5"/>
        <v>1</v>
      </c>
      <c r="BQ18" s="23"/>
      <c r="BR18" s="173"/>
      <c r="BS18" s="23"/>
      <c r="BT18" s="50">
        <f>SUM(BT13:BT16)</f>
        <v>20188.350000000002</v>
      </c>
      <c r="BU18" s="50">
        <f>SUM(BU13:BU16)</f>
        <v>16150.680000000002</v>
      </c>
      <c r="BW18" s="174">
        <f>SUM(BW13:BW16)</f>
        <v>1</v>
      </c>
      <c r="BX18" s="175">
        <f>SUM(BX13:BX16)</f>
        <v>16150.680000000002</v>
      </c>
      <c r="BY18" s="174">
        <f>SUM(BY13:BY16)</f>
        <v>0</v>
      </c>
      <c r="BZ18" s="175">
        <f>SUM(BZ13:BZ16)</f>
        <v>0</v>
      </c>
      <c r="CA18" s="198" t="b">
        <f>SUM(BX18,BZ18)=BU18</f>
        <v>1</v>
      </c>
    </row>
    <row r="19" spans="1:83" ht="13" customHeight="1" x14ac:dyDescent="0.3">
      <c r="BU19" s="178"/>
      <c r="CA19" s="24"/>
      <c r="CB19" s="24"/>
      <c r="CC19" s="24"/>
      <c r="CD19" s="24"/>
      <c r="CE19" s="24"/>
    </row>
    <row r="20" spans="1:83" ht="13" customHeight="1" x14ac:dyDescent="0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79"/>
      <c r="BS20" s="24"/>
      <c r="BT20" s="180"/>
      <c r="BW20" s="181"/>
      <c r="BX20"/>
      <c r="BY20" s="181"/>
      <c r="BZ20"/>
      <c r="CA20" s="24"/>
      <c r="CB20" s="24"/>
      <c r="CC20" s="24"/>
      <c r="CD20" s="24"/>
      <c r="CE20" s="24"/>
    </row>
  </sheetData>
  <mergeCells count="16">
    <mergeCell ref="G9:AK9"/>
    <mergeCell ref="AL9:BO9"/>
    <mergeCell ref="BY10:BZ11"/>
    <mergeCell ref="BW9:BZ9"/>
    <mergeCell ref="B9:B11"/>
    <mergeCell ref="C9:C11"/>
    <mergeCell ref="D9:D11"/>
    <mergeCell ref="E9:E11"/>
    <mergeCell ref="F9:F11"/>
    <mergeCell ref="BW10:BX11"/>
    <mergeCell ref="BP9:BP11"/>
    <mergeCell ref="BQ9:BQ11"/>
    <mergeCell ref="BR9:BR11"/>
    <mergeCell ref="BS9:BS11"/>
    <mergeCell ref="BT9:BT11"/>
    <mergeCell ref="BU9:BU11"/>
  </mergeCells>
  <conditionalFormatting sqref="G13:BO16">
    <cfRule type="notContainsBlanks" dxfId="0" priority="1">
      <formula>LEN(TRIM(G13))&gt;0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3D12-BA0C-46D1-84EA-EE348C0CB8FB}">
  <dimension ref="B2:C123"/>
  <sheetViews>
    <sheetView zoomScaleNormal="100" workbookViewId="0">
      <selection activeCell="B47" sqref="B47"/>
    </sheetView>
  </sheetViews>
  <sheetFormatPr defaultRowHeight="11.5" x14ac:dyDescent="0.25"/>
  <cols>
    <col min="1" max="1" width="2.9140625" style="204" customWidth="1"/>
    <col min="2" max="2" width="14.08203125" style="204" customWidth="1"/>
    <col min="3" max="3" width="11.25" style="204" bestFit="1" customWidth="1"/>
    <col min="4" max="16384" width="8.6640625" style="204"/>
  </cols>
  <sheetData>
    <row r="2" spans="2:2" x14ac:dyDescent="0.25">
      <c r="B2" s="210" t="s">
        <v>25</v>
      </c>
    </row>
    <row r="27" spans="2:2" x14ac:dyDescent="0.25">
      <c r="B27" s="210" t="s">
        <v>20</v>
      </c>
    </row>
    <row r="47" spans="2:3" x14ac:dyDescent="0.25">
      <c r="B47" s="205" t="s">
        <v>57</v>
      </c>
      <c r="C47" s="206">
        <v>7338397</v>
      </c>
    </row>
    <row r="48" spans="2:3" x14ac:dyDescent="0.25">
      <c r="B48" s="207"/>
      <c r="C48" s="207"/>
    </row>
    <row r="49" spans="2:3" x14ac:dyDescent="0.25">
      <c r="B49" s="208" t="s">
        <v>58</v>
      </c>
      <c r="C49" s="209">
        <v>17266</v>
      </c>
    </row>
    <row r="50" spans="2:3" x14ac:dyDescent="0.25">
      <c r="B50" s="208" t="s">
        <v>59</v>
      </c>
      <c r="C50" s="209">
        <v>2707</v>
      </c>
    </row>
    <row r="51" spans="2:3" x14ac:dyDescent="0.25">
      <c r="B51" s="208" t="s">
        <v>60</v>
      </c>
      <c r="C51" s="209">
        <v>210638</v>
      </c>
    </row>
    <row r="52" spans="2:3" x14ac:dyDescent="0.25">
      <c r="B52" s="208" t="s">
        <v>61</v>
      </c>
      <c r="C52" s="209">
        <v>65829</v>
      </c>
    </row>
    <row r="53" spans="2:3" x14ac:dyDescent="0.25">
      <c r="B53" s="208" t="s">
        <v>62</v>
      </c>
      <c r="C53" s="209">
        <v>118843</v>
      </c>
    </row>
    <row r="54" spans="2:3" x14ac:dyDescent="0.25">
      <c r="B54" s="208" t="s">
        <v>63</v>
      </c>
      <c r="C54" s="209">
        <v>44177</v>
      </c>
    </row>
    <row r="55" spans="2:3" x14ac:dyDescent="0.25">
      <c r="B55" s="208" t="s">
        <v>64</v>
      </c>
      <c r="C55" s="209">
        <v>126603</v>
      </c>
    </row>
    <row r="56" spans="2:3" x14ac:dyDescent="0.25">
      <c r="B56" s="208" t="s">
        <v>65</v>
      </c>
      <c r="C56" s="209">
        <v>48314</v>
      </c>
    </row>
    <row r="57" spans="2:3" x14ac:dyDescent="0.25">
      <c r="B57" s="208" t="s">
        <v>66</v>
      </c>
      <c r="C57" s="209">
        <v>146744</v>
      </c>
    </row>
    <row r="58" spans="2:3" x14ac:dyDescent="0.25">
      <c r="B58" s="208" t="s">
        <v>67</v>
      </c>
      <c r="C58" s="209">
        <v>86529</v>
      </c>
    </row>
    <row r="59" spans="2:3" x14ac:dyDescent="0.25">
      <c r="B59" s="208" t="s">
        <v>50</v>
      </c>
      <c r="C59" s="209">
        <v>1080113</v>
      </c>
    </row>
    <row r="60" spans="2:3" x14ac:dyDescent="0.25">
      <c r="B60" s="208" t="s">
        <v>68</v>
      </c>
      <c r="C60" s="209">
        <v>74074</v>
      </c>
    </row>
    <row r="61" spans="2:3" x14ac:dyDescent="0.25">
      <c r="B61" s="208" t="s">
        <v>69</v>
      </c>
      <c r="C61" s="209">
        <v>48576</v>
      </c>
    </row>
    <row r="62" spans="2:3" x14ac:dyDescent="0.25">
      <c r="B62" s="208" t="s">
        <v>70</v>
      </c>
      <c r="C62" s="209">
        <v>15085</v>
      </c>
    </row>
    <row r="63" spans="2:3" x14ac:dyDescent="0.25">
      <c r="B63" s="208" t="s">
        <v>71</v>
      </c>
      <c r="C63" s="209">
        <v>25229</v>
      </c>
    </row>
    <row r="64" spans="2:3" x14ac:dyDescent="0.25">
      <c r="B64" s="208" t="s">
        <v>72</v>
      </c>
      <c r="C64" s="209">
        <v>21080</v>
      </c>
    </row>
    <row r="65" spans="2:3" x14ac:dyDescent="0.25">
      <c r="B65" s="208" t="s">
        <v>73</v>
      </c>
      <c r="C65" s="209">
        <v>58827</v>
      </c>
    </row>
    <row r="66" spans="2:3" x14ac:dyDescent="0.25">
      <c r="B66" s="208" t="s">
        <v>74</v>
      </c>
      <c r="C66" s="209">
        <v>15775</v>
      </c>
    </row>
    <row r="67" spans="2:3" x14ac:dyDescent="0.25">
      <c r="B67" s="208" t="s">
        <v>75</v>
      </c>
      <c r="C67" s="209">
        <v>15721</v>
      </c>
    </row>
    <row r="68" spans="2:3" x14ac:dyDescent="0.25">
      <c r="B68" s="208" t="s">
        <v>76</v>
      </c>
      <c r="C68" s="209">
        <v>154472</v>
      </c>
    </row>
    <row r="69" spans="2:3" x14ac:dyDescent="0.25">
      <c r="B69" s="208" t="s">
        <v>77</v>
      </c>
      <c r="C69" s="209">
        <v>131604</v>
      </c>
    </row>
    <row r="70" spans="2:3" x14ac:dyDescent="0.25">
      <c r="B70" s="208" t="s">
        <v>78</v>
      </c>
      <c r="C70" s="209">
        <v>11299</v>
      </c>
    </row>
    <row r="71" spans="2:3" x14ac:dyDescent="0.25">
      <c r="B71" s="208" t="s">
        <v>79</v>
      </c>
      <c r="C71" s="209">
        <v>192692</v>
      </c>
    </row>
    <row r="72" spans="2:3" x14ac:dyDescent="0.25">
      <c r="B72" s="208" t="s">
        <v>80</v>
      </c>
      <c r="C72" s="209">
        <v>71217</v>
      </c>
    </row>
    <row r="73" spans="2:3" x14ac:dyDescent="0.25">
      <c r="B73" s="208" t="s">
        <v>81</v>
      </c>
      <c r="C73" s="209">
        <v>201619</v>
      </c>
    </row>
    <row r="74" spans="2:3" x14ac:dyDescent="0.25">
      <c r="B74" s="208" t="s">
        <v>82</v>
      </c>
      <c r="C74" s="209">
        <v>28300</v>
      </c>
    </row>
    <row r="75" spans="2:3" x14ac:dyDescent="0.25">
      <c r="B75" s="208" t="s">
        <v>83</v>
      </c>
      <c r="C75" s="209">
        <v>6016</v>
      </c>
    </row>
    <row r="76" spans="2:3" x14ac:dyDescent="0.25">
      <c r="B76" s="208" t="s">
        <v>84</v>
      </c>
      <c r="C76" s="209">
        <v>20029</v>
      </c>
    </row>
    <row r="77" spans="2:3" x14ac:dyDescent="0.25">
      <c r="B77" s="208" t="s">
        <v>85</v>
      </c>
      <c r="C77" s="209">
        <v>101471</v>
      </c>
    </row>
    <row r="78" spans="2:3" x14ac:dyDescent="0.25">
      <c r="B78" s="208" t="s">
        <v>86</v>
      </c>
      <c r="C78" s="209">
        <v>154147</v>
      </c>
    </row>
    <row r="79" spans="2:3" x14ac:dyDescent="0.25">
      <c r="B79" s="208" t="s">
        <v>87</v>
      </c>
      <c r="C79" s="209">
        <v>44859</v>
      </c>
    </row>
    <row r="80" spans="2:3" x14ac:dyDescent="0.25">
      <c r="B80" s="208" t="s">
        <v>88</v>
      </c>
      <c r="C80" s="209">
        <v>44311</v>
      </c>
    </row>
    <row r="81" spans="2:3" x14ac:dyDescent="0.25">
      <c r="B81" s="208" t="s">
        <v>89</v>
      </c>
      <c r="C81" s="209">
        <v>108344</v>
      </c>
    </row>
    <row r="82" spans="2:3" x14ac:dyDescent="0.25">
      <c r="B82" s="208" t="s">
        <v>90</v>
      </c>
      <c r="C82" s="209">
        <v>23847</v>
      </c>
    </row>
    <row r="83" spans="2:3" x14ac:dyDescent="0.25">
      <c r="B83" s="208" t="s">
        <v>91</v>
      </c>
      <c r="C83" s="209">
        <v>370126</v>
      </c>
    </row>
    <row r="84" spans="2:3" x14ac:dyDescent="0.25">
      <c r="B84" s="208" t="s">
        <v>92</v>
      </c>
      <c r="C84" s="209">
        <v>25251</v>
      </c>
    </row>
    <row r="85" spans="2:3" x14ac:dyDescent="0.25">
      <c r="B85" s="208" t="s">
        <v>93</v>
      </c>
      <c r="C85" s="209">
        <v>276022</v>
      </c>
    </row>
    <row r="86" spans="2:3" x14ac:dyDescent="0.25">
      <c r="B86" s="208" t="s">
        <v>94</v>
      </c>
      <c r="C86" s="209">
        <v>6712</v>
      </c>
    </row>
    <row r="87" spans="2:3" x14ac:dyDescent="0.25">
      <c r="B87" s="208" t="s">
        <v>95</v>
      </c>
      <c r="C87" s="209">
        <v>37125</v>
      </c>
    </row>
    <row r="88" spans="2:3" x14ac:dyDescent="0.25">
      <c r="B88" s="208" t="s">
        <v>96</v>
      </c>
      <c r="C88" s="209">
        <v>43223</v>
      </c>
    </row>
    <row r="89" spans="2:3" x14ac:dyDescent="0.25">
      <c r="B89" s="208" t="s">
        <v>97</v>
      </c>
      <c r="C89" s="209">
        <v>80956</v>
      </c>
    </row>
    <row r="90" spans="2:3" x14ac:dyDescent="0.25">
      <c r="B90" s="208" t="s">
        <v>98</v>
      </c>
      <c r="C90" s="209">
        <v>137245</v>
      </c>
    </row>
    <row r="91" spans="2:3" x14ac:dyDescent="0.25">
      <c r="B91" s="208" t="s">
        <v>99</v>
      </c>
      <c r="C91" s="209">
        <v>86505</v>
      </c>
    </row>
    <row r="92" spans="2:3" x14ac:dyDescent="0.25">
      <c r="B92" s="208" t="s">
        <v>100</v>
      </c>
      <c r="C92" s="209">
        <v>3266</v>
      </c>
    </row>
    <row r="93" spans="2:3" x14ac:dyDescent="0.25">
      <c r="B93" s="208" t="s">
        <v>101</v>
      </c>
      <c r="C93" s="209">
        <v>7152</v>
      </c>
    </row>
    <row r="94" spans="2:3" x14ac:dyDescent="0.25">
      <c r="B94" s="208" t="s">
        <v>102</v>
      </c>
      <c r="C94" s="209">
        <v>48949</v>
      </c>
    </row>
    <row r="95" spans="2:3" x14ac:dyDescent="0.25">
      <c r="B95" s="208" t="s">
        <v>103</v>
      </c>
      <c r="C95" s="209">
        <v>11769</v>
      </c>
    </row>
    <row r="96" spans="2:3" x14ac:dyDescent="0.25">
      <c r="B96" s="208" t="s">
        <v>104</v>
      </c>
      <c r="C96" s="209">
        <v>51242</v>
      </c>
    </row>
    <row r="97" spans="2:3" x14ac:dyDescent="0.25">
      <c r="B97" s="208" t="s">
        <v>105</v>
      </c>
      <c r="C97" s="209">
        <v>82146</v>
      </c>
    </row>
    <row r="98" spans="2:3" x14ac:dyDescent="0.25">
      <c r="B98" s="208" t="s">
        <v>106</v>
      </c>
      <c r="C98" s="209">
        <v>5780</v>
      </c>
    </row>
    <row r="99" spans="2:3" x14ac:dyDescent="0.25">
      <c r="B99" s="208" t="s">
        <v>107</v>
      </c>
      <c r="C99" s="209">
        <v>41558</v>
      </c>
    </row>
    <row r="100" spans="2:3" x14ac:dyDescent="0.25">
      <c r="B100" s="208" t="s">
        <v>108</v>
      </c>
      <c r="C100" s="209">
        <v>7454</v>
      </c>
    </row>
    <row r="101" spans="2:3" x14ac:dyDescent="0.25">
      <c r="B101" s="208" t="s">
        <v>109</v>
      </c>
      <c r="C101" s="209">
        <v>13105</v>
      </c>
    </row>
    <row r="102" spans="2:3" x14ac:dyDescent="0.25">
      <c r="B102" s="208" t="s">
        <v>110</v>
      </c>
      <c r="C102" s="209">
        <v>364571</v>
      </c>
    </row>
    <row r="103" spans="2:3" x14ac:dyDescent="0.25">
      <c r="B103" s="208" t="s">
        <v>111</v>
      </c>
      <c r="C103" s="209">
        <v>15733</v>
      </c>
    </row>
    <row r="104" spans="2:3" x14ac:dyDescent="0.25">
      <c r="B104" s="208" t="s">
        <v>112</v>
      </c>
      <c r="C104" s="209">
        <v>8326</v>
      </c>
    </row>
    <row r="105" spans="2:3" x14ac:dyDescent="0.25">
      <c r="B105" s="208" t="s">
        <v>113</v>
      </c>
      <c r="C105" s="209">
        <v>48893</v>
      </c>
    </row>
    <row r="106" spans="2:3" x14ac:dyDescent="0.25">
      <c r="B106" s="208" t="s">
        <v>114</v>
      </c>
      <c r="C106" s="209">
        <v>8612</v>
      </c>
    </row>
    <row r="107" spans="2:3" x14ac:dyDescent="0.25">
      <c r="B107" s="208" t="s">
        <v>115</v>
      </c>
      <c r="C107" s="209">
        <v>186253</v>
      </c>
    </row>
    <row r="108" spans="2:3" x14ac:dyDescent="0.25">
      <c r="B108" s="208" t="s">
        <v>116</v>
      </c>
      <c r="C108" s="209">
        <v>29501</v>
      </c>
    </row>
    <row r="109" spans="2:3" x14ac:dyDescent="0.25">
      <c r="B109" s="208" t="s">
        <v>117</v>
      </c>
      <c r="C109" s="209">
        <v>105516</v>
      </c>
    </row>
    <row r="110" spans="2:3" x14ac:dyDescent="0.25">
      <c r="B110" s="208" t="s">
        <v>118</v>
      </c>
      <c r="C110" s="209">
        <v>180009</v>
      </c>
    </row>
    <row r="111" spans="2:3" x14ac:dyDescent="0.25">
      <c r="B111" s="208" t="s">
        <v>119</v>
      </c>
      <c r="C111" s="209">
        <v>21634</v>
      </c>
    </row>
    <row r="112" spans="2:3" x14ac:dyDescent="0.25">
      <c r="B112" s="208" t="s">
        <v>120</v>
      </c>
      <c r="C112" s="209">
        <v>108813</v>
      </c>
    </row>
    <row r="113" spans="2:3" x14ac:dyDescent="0.25">
      <c r="B113" s="208" t="s">
        <v>121</v>
      </c>
      <c r="C113" s="209">
        <v>20650</v>
      </c>
    </row>
    <row r="114" spans="2:3" x14ac:dyDescent="0.25">
      <c r="B114" s="208" t="s">
        <v>122</v>
      </c>
      <c r="C114" s="209">
        <v>31662</v>
      </c>
    </row>
    <row r="115" spans="2:3" x14ac:dyDescent="0.25">
      <c r="B115" s="208" t="s">
        <v>123</v>
      </c>
      <c r="C115" s="209">
        <v>78821</v>
      </c>
    </row>
    <row r="116" spans="2:3" x14ac:dyDescent="0.25">
      <c r="B116" s="208" t="s">
        <v>124</v>
      </c>
      <c r="C116" s="209">
        <v>26387</v>
      </c>
    </row>
    <row r="117" spans="2:3" x14ac:dyDescent="0.25">
      <c r="B117" s="208" t="s">
        <v>51</v>
      </c>
      <c r="C117" s="209">
        <v>586625</v>
      </c>
    </row>
    <row r="118" spans="2:3" x14ac:dyDescent="0.25">
      <c r="B118" s="208" t="s">
        <v>125</v>
      </c>
      <c r="C118" s="209">
        <v>241311</v>
      </c>
    </row>
    <row r="119" spans="2:3" x14ac:dyDescent="0.25">
      <c r="B119" s="208" t="s">
        <v>126</v>
      </c>
      <c r="C119" s="209">
        <v>36835</v>
      </c>
    </row>
    <row r="120" spans="2:3" x14ac:dyDescent="0.25">
      <c r="B120" s="208" t="s">
        <v>127</v>
      </c>
      <c r="C120" s="209">
        <v>106793</v>
      </c>
    </row>
    <row r="121" spans="2:3" x14ac:dyDescent="0.25">
      <c r="B121" s="208" t="s">
        <v>128</v>
      </c>
      <c r="C121" s="209">
        <v>107089</v>
      </c>
    </row>
    <row r="122" spans="2:3" x14ac:dyDescent="0.25">
      <c r="B122" s="208" t="s">
        <v>129</v>
      </c>
      <c r="C122" s="209">
        <v>63611</v>
      </c>
    </row>
    <row r="123" spans="2:3" x14ac:dyDescent="0.25">
      <c r="B123" s="208" t="s">
        <v>130</v>
      </c>
      <c r="C123" s="209">
        <v>108809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5</vt:i4>
      </vt:variant>
    </vt:vector>
  </HeadingPairs>
  <TitlesOfParts>
    <vt:vector size="17" baseType="lpstr">
      <vt:lpstr>COVER</vt:lpstr>
      <vt:lpstr>RESUMO DE MEIOS</vt:lpstr>
      <vt:lpstr>RÁDIO - PAULINIA</vt:lpstr>
      <vt:lpstr>COBERTURA</vt:lpstr>
      <vt:lpstr>JORNAL - PAULINIA</vt:lpstr>
      <vt:lpstr>RÁDIO - FRANCA</vt:lpstr>
      <vt:lpstr>PORTAL - FRANCA</vt:lpstr>
      <vt:lpstr>RÁDIO - PRESIDENTE PRUDENTE</vt:lpstr>
      <vt:lpstr>JORNAL - PRESIDENTE PRUDENTE</vt:lpstr>
      <vt:lpstr>RÁDIO - JALES</vt:lpstr>
      <vt:lpstr>JORNAL - JALES</vt:lpstr>
      <vt:lpstr>COBERTURA RÁDIOS</vt:lpstr>
      <vt:lpstr>COVER!Area_de_impressao</vt:lpstr>
      <vt:lpstr>'RÁDIO - FRANCA'!Area_de_impressao</vt:lpstr>
      <vt:lpstr>'RÁDIO - JALES'!Area_de_impressao</vt:lpstr>
      <vt:lpstr>'RÁDIO - PAULINIA'!Area_de_impressao</vt:lpstr>
      <vt:lpstr>'RÁDIO - PRESIDENTE PRUDENTE'!Area_de_impressao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Savoy De Brito (Omnicom)</dc:creator>
  <cp:lastModifiedBy>Erika Gonçalves (Omnicom)</cp:lastModifiedBy>
  <dcterms:created xsi:type="dcterms:W3CDTF">2025-12-26T19:37:03Z</dcterms:created>
  <dcterms:modified xsi:type="dcterms:W3CDTF">2026-03-06T18:41:53Z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2025-12-26T20:36:56Z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d33e503c-e07a-45c6-90f1-e3b7a512c17d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