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rcio\Downloads\"/>
    </mc:Choice>
  </mc:AlternateContent>
  <xr:revisionPtr revIDLastSave="0" documentId="8_{6E7189A8-9076-4B5C-963A-71015BFD4941}" xr6:coauthVersionLast="47" xr6:coauthVersionMax="47" xr10:uidLastSave="{00000000-0000-0000-0000-000000000000}"/>
  <bookViews>
    <workbookView xWindow="-120" yWindow="-120" windowWidth="29040" windowHeight="15840" tabRatio="608" xr2:uid="{5D561D3A-DB19-8946-97C9-213ACAD41248}"/>
  </bookViews>
  <sheets>
    <sheet name="RÁDIO " sheetId="18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__o1" localSheetId="0" hidden="1">{"det (May)",#N/A,FALSE,"June";"sum (MAY YTD)",#N/A,FALSE,"June YTD"}</definedName>
    <definedName name="___o1" hidden="1">{"det (May)",#N/A,FALSE,"June";"sum (MAY YTD)",#N/A,FALSE,"June YTD"}</definedName>
    <definedName name="___rv1" localSheetId="0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rv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123Graph_A" hidden="1">'[1]RG Depots'!$C$43:$E$43</definedName>
    <definedName name="__123Graph_AGRAF1" hidden="1">'[1]RG Depots'!$C$43:$E$43</definedName>
    <definedName name="__123Graph_B" hidden="1">'[1]RG Depots'!$C$44:$E$44</definedName>
    <definedName name="__123Graph_BGRAF1" hidden="1">'[1]RG Depots'!$C$44:$E$44</definedName>
    <definedName name="__123Graph_C" hidden="1">'[1]RG Depots'!$C$45:$E$45</definedName>
    <definedName name="__123Graph_CGRAF1" hidden="1">'[1]RG Depots'!$C$45:$E$45</definedName>
    <definedName name="__123Graph_D" hidden="1">'[1]RG Depots'!$C$46:$E$46</definedName>
    <definedName name="__123Graph_DGRAF1" hidden="1">'[1]RG Depots'!$C$46:$E$46</definedName>
    <definedName name="__123Graph_E" hidden="1">'[1]RG Depots'!$C$48:$E$48</definedName>
    <definedName name="__123Graph_EGRAF1" hidden="1">'[1]RG Depots'!$C$48:$E$48</definedName>
    <definedName name="__123Graph_X" hidden="1">'[1]RG Depots'!$C$42:$E$42</definedName>
    <definedName name="__123Graph_XGRAF1" hidden="1">'[1]RG Depots'!$C$42:$E$42</definedName>
    <definedName name="__IntlFixup" hidden="1">TRUE</definedName>
    <definedName name="__o1" localSheetId="0" hidden="1">{"det (May)",#N/A,FALSE,"June";"sum (MAY YTD)",#N/A,FALSE,"June YTD"}</definedName>
    <definedName name="__o1" hidden="1">{"det (May)",#N/A,FALSE,"June";"sum (MAY YTD)",#N/A,FALSE,"June YTD"}</definedName>
    <definedName name="__rv1" localSheetId="0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rv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1">#REF!</definedName>
    <definedName name="_10">#REF!</definedName>
    <definedName name="_11">#REF!</definedName>
    <definedName name="_12">#REF!</definedName>
    <definedName name="_13">#REF!</definedName>
    <definedName name="_14">#REF!</definedName>
    <definedName name="_15">#REF!</definedName>
    <definedName name="_16">#REF!</definedName>
    <definedName name="_17">#REF!</definedName>
    <definedName name="_18">#REF!</definedName>
    <definedName name="_19">#REF!</definedName>
    <definedName name="_1Excel_BuiltIn__FilterDatabase_10_9_1">NA()</definedName>
    <definedName name="_2">#REF!</definedName>
    <definedName name="_20">#REF!</definedName>
    <definedName name="_21">#REF!</definedName>
    <definedName name="_22">#REF!</definedName>
    <definedName name="_23">#REF!</definedName>
    <definedName name="_24">#REF!</definedName>
    <definedName name="_25">#REF!</definedName>
    <definedName name="_26">#REF!</definedName>
    <definedName name="_27">#REF!</definedName>
    <definedName name="_28">#REF!</definedName>
    <definedName name="_29">#REF!</definedName>
    <definedName name="_3">#REF!</definedName>
    <definedName name="_30">#REF!</definedName>
    <definedName name="_31">#REF!</definedName>
    <definedName name="_4">#REF!</definedName>
    <definedName name="_5">#REF!</definedName>
    <definedName name="_6">#REF!</definedName>
    <definedName name="_7">#REF!</definedName>
    <definedName name="_8">#REF!</definedName>
    <definedName name="_9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Key3" localSheetId="0" hidden="1">#REF!</definedName>
    <definedName name="_Key3" hidden="1">#REF!</definedName>
    <definedName name="_key99" localSheetId="0" hidden="1">#REF!</definedName>
    <definedName name="_key99" hidden="1">#REF!</definedName>
    <definedName name="_M">#REF!</definedName>
    <definedName name="_O">#REF!</definedName>
    <definedName name="_o1" localSheetId="0" hidden="1">{"det (May)",#N/A,FALSE,"June";"sum (MAY YTD)",#N/A,FALSE,"June YTD"}</definedName>
    <definedName name="_o1" hidden="1">{"det (May)",#N/A,FALSE,"June";"sum (MAY YTD)",#N/A,FALSE,"June YTD"}</definedName>
    <definedName name="_Order1" hidden="1">255</definedName>
    <definedName name="_Order2" hidden="1">0</definedName>
    <definedName name="_rv1" localSheetId="0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rv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Sort" localSheetId="0" hidden="1">#REF!</definedName>
    <definedName name="_Sort" hidden="1">#REF!</definedName>
    <definedName name="_sort1" localSheetId="0" hidden="1">#REF!</definedName>
    <definedName name="_sort1" hidden="1">#REF!</definedName>
    <definedName name="_Table2_Out" hidden="1">#REF!</definedName>
    <definedName name="a" localSheetId="0" hidden="1">{"'Janeiro'!$A$1:$I$153"}</definedName>
    <definedName name="a" hidden="1">{"'Janeiro'!$A$1:$I$153"}</definedName>
    <definedName name="aaaa" localSheetId="0" hidden="1">{"det (May)",#N/A,FALSE,"June";"sum (MAY YTD)",#N/A,FALSE,"June YTD"}</definedName>
    <definedName name="aaaa" hidden="1">{"det (May)",#N/A,FALSE,"June";"sum (MAY YTD)",#N/A,FALSE,"June YTD"}</definedName>
    <definedName name="aaaaa" localSheetId="0" hidden="1">{"det (May)",#N/A,FALSE,"June";"sum (MAY YTD)",#N/A,FALSE,"June YTD"}</definedName>
    <definedName name="aaaaa" hidden="1">{"det (May)",#N/A,FALSE,"June";"sum (MAY YTD)",#N/A,FALSE,"June YTD"}</definedName>
    <definedName name="ANNA" localSheetId="0" hidden="1">{"det (May)",#N/A,FALSE,"June";"sum (MAY YTD)",#N/A,FALSE,"June YTD"}</definedName>
    <definedName name="ANNA" hidden="1">{"det (May)",#N/A,FALSE,"June";"sum (MAY YTD)",#N/A,FALSE,"June YTD"}</definedName>
    <definedName name="anscount" hidden="1">1</definedName>
    <definedName name="_xlnm.Print_Area" localSheetId="0">'RÁDIO '!$A$1:$F$15</definedName>
    <definedName name="AS2DocOpenMode" hidden="1">"AS2DocumentBrowse"</definedName>
    <definedName name="aSa" localSheetId="0" hidden="1">#REF!</definedName>
    <definedName name="aSa" hidden="1">#REF!</definedName>
    <definedName name="asasdasd" localSheetId="0" hidden="1">#REF!</definedName>
    <definedName name="asasdasd" hidden="1">#REF!</definedName>
    <definedName name="asd" localSheetId="0" hidden="1">#REF!</definedName>
    <definedName name="asd" hidden="1">#REF!</definedName>
    <definedName name="B" localSheetId="0" hidden="1">#REF!</definedName>
    <definedName name="B" hidden="1">#REF!</definedName>
    <definedName name="B.IV.r" localSheetId="0" hidden="1">{"det (May)",#N/A,FALSE,"June";"sum (MAY YTD)",#N/A,FALSE,"June YTD"}</definedName>
    <definedName name="B.IV.r" hidden="1">{"det (May)",#N/A,FALSE,"June";"sum (MAY YTD)",#N/A,FALSE,"June YTD"}</definedName>
    <definedName name="B.IV.r.SBC" localSheetId="0" hidden="1">{"det (May)",#N/A,FALSE,"June";"sum (MAY YTD)",#N/A,FALSE,"June YTD"}</definedName>
    <definedName name="B.IV.r.SBC" hidden="1">{"det (May)",#N/A,FALSE,"June";"sum (MAY YTD)",#N/A,FALSE,"June YTD"}</definedName>
    <definedName name="bhub" localSheetId="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ub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i" localSheetId="0" hidden="1">#REF!</definedName>
    <definedName name="bi" hidden="1">#REF!</definedName>
    <definedName name="blb" localSheetId="0" hidden="1">{"det (May)",#N/A,FALSE,"June";"sum (MAY YTD)",#N/A,FALSE,"June YTD"}</definedName>
    <definedName name="blb" hidden="1">{"det (May)",#N/A,FALSE,"June";"sum (MAY YTD)",#N/A,FALSE,"June YTD"}</definedName>
    <definedName name="BLPH1" hidden="1">'[2]Brazil Sovereign'!#REF!</definedName>
    <definedName name="BLPH2" hidden="1">'[3]Share Price 2002'!#REF!</definedName>
    <definedName name="BLPH3" hidden="1">#REF!</definedName>
    <definedName name="book" localSheetId="0" hidden="1">{"det (May)",#N/A,FALSE,"June";"sum (MAY YTD)",#N/A,FALSE,"June YTD"}</definedName>
    <definedName name="book" hidden="1">{"det (May)",#N/A,FALSE,"June";"sum (MAY YTD)",#N/A,FALSE,"June YTD"}</definedName>
    <definedName name="C_">#REF!</definedName>
    <definedName name="CACHE">'[4]Conversão-Mercha'!$A$57:$I$112</definedName>
    <definedName name="CACHESEL1">'[4]Conversão-Mercha'!$M$59:$M$72</definedName>
    <definedName name="CACHESEL10">'[4]Conversão-Mercha'!$V$59:$V$72</definedName>
    <definedName name="CACHESEL2">'[4]Conversão-Mercha'!$N$59:$N$72</definedName>
    <definedName name="CACHESEL3">'[4]Conversão-Mercha'!$O$59:$O$72</definedName>
    <definedName name="CACHESEL4">'[4]Conversão-Mercha'!$P$59:$P$72</definedName>
    <definedName name="CACHESEL5">'[4]Conversão-Mercha'!$Q$59:$Q$72</definedName>
    <definedName name="CACHESEL6">'[4]Conversão-Mercha'!$R$59:$R$72</definedName>
    <definedName name="CACHESEL7">'[4]Conversão-Mercha'!$S$59:$S$72</definedName>
    <definedName name="CACHESEL8">'[4]Conversão-Mercha'!$T$59:$T$72</definedName>
    <definedName name="CACHESEL9">'[4]Conversão-Mercha'!$U$59:$U$72</definedName>
    <definedName name="CALENDARIO">'[4]Conversão-Mercha'!$B$119:$B$132</definedName>
    <definedName name="CAMP">#REF!</definedName>
    <definedName name="Capa" hidden="1">#REF!</definedName>
    <definedName name="Capanova" localSheetId="0" hidden="1">#REF!</definedName>
    <definedName name="Capanova" hidden="1">#REF!</definedName>
    <definedName name="CAPTURA2" localSheetId="0" hidden="1">{"'171'!$A$1:$Z$50"}</definedName>
    <definedName name="CAPTURA2" hidden="1">{"'171'!$A$1:$Z$50"}</definedName>
    <definedName name="CAX">'[4]base TV'!#REF!</definedName>
    <definedName name="cc" localSheetId="0" hidden="1">#REF!</definedName>
    <definedName name="cc" hidden="1">#REF!</definedName>
    <definedName name="cf" localSheetId="0" hidden="1">{#N/A,#N/A,FALSE,"TOTAL"}</definedName>
    <definedName name="cf" hidden="1">{#N/A,#N/A,FALSE,"TOTAL"}</definedName>
    <definedName name="cinema" hidden="1">#REF!</definedName>
    <definedName name="CLIENTE">#REF!</definedName>
    <definedName name="crono" localSheetId="0" hidden="1">{"'crono'!$U$12:$W$20"}</definedName>
    <definedName name="crono" hidden="1">{"'crono'!$U$12:$W$20"}</definedName>
    <definedName name="CURVA2" localSheetId="0" hidden="1">{"'171'!$A$1:$Z$50"}</definedName>
    <definedName name="CURVA2" hidden="1">{"'171'!$A$1:$Z$50"}</definedName>
    <definedName name="DocumentDate">#N/A</definedName>
    <definedName name="DocumentYear" localSheetId="0">#N/A</definedName>
    <definedName name="DocumentYear">#N/A</definedName>
    <definedName name="DONO">'[4]Conversão-Mercha'!#REF!</definedName>
    <definedName name="dsds" localSheetId="0" hidden="1">#REF!</definedName>
    <definedName name="dsds" hidden="1">#REF!</definedName>
    <definedName name="DZVVDS" hidden="1">#REF!</definedName>
    <definedName name="ee" localSheetId="0" hidden="1">{"det (May)",#N/A,FALSE,"June";"sum (MAY YTD)",#N/A,FALSE,"June YTD"}</definedName>
    <definedName name="ee" hidden="1">{"det (May)",#N/A,FALSE,"June";"sum (MAY YTD)",#N/A,FALSE,"June YTD"}</definedName>
    <definedName name="ef" hidden="1">#REF!</definedName>
    <definedName name="Equatorial" localSheetId="0" hidden="1">{#N/A,#N/A,FALSE,"TOTAL"}</definedName>
    <definedName name="Equatorial" hidden="1">{#N/A,#N/A,FALSE,"TOTAL"}</definedName>
    <definedName name="er" hidden="1">#REF!</definedName>
    <definedName name="erbg" hidden="1">#REF!</definedName>
    <definedName name="ergb" hidden="1">#REF!</definedName>
    <definedName name="Excel_BuiltIn__FilterDatabase_10">[5]GERAÇÃO!#REF!</definedName>
    <definedName name="Excel_BuiltIn__FilterDatabase_10_1">NA()</definedName>
    <definedName name="Excel_BuiltIn__FilterDatabase_10_10">#REF!</definedName>
    <definedName name="Excel_BuiltIn__FilterDatabase_10_10_1">NA()</definedName>
    <definedName name="Excel_BuiltIn__FilterDatabase_10_10_2">NA()</definedName>
    <definedName name="Excel_BuiltIn__FilterDatabase_10_10_2_1">NA()</definedName>
    <definedName name="Excel_BuiltIn__FilterDatabase_10_10_9">NA()</definedName>
    <definedName name="Excel_BuiltIn__FilterDatabase_10_13">#N/A</definedName>
    <definedName name="Excel_BuiltIn__FilterDatabase_10_13_1">NA()</definedName>
    <definedName name="Excel_BuiltIn__FilterDatabase_10_13_2">NA()</definedName>
    <definedName name="Excel_BuiltIn__FilterDatabase_10_9">#REF!</definedName>
    <definedName name="Excel_BuiltIn__FilterDatabase_10_9_1">NA()</definedName>
    <definedName name="Excel_BuiltIn__FilterDatabase_10_9_1_1">NA()</definedName>
    <definedName name="Excel_BuiltIn__FilterDatabase_10_9_1_1_1">NA()</definedName>
    <definedName name="Excel_BuiltIn__FilterDatabase_10_9_9">NA()</definedName>
    <definedName name="Excel_BuiltIn__FilterDatabase_4">#REF!</definedName>
    <definedName name="Excel_BuiltIn__FilterDatabase_5">#REF!</definedName>
    <definedName name="Excel_BuiltIn__FilterDatabase_6">#REF!</definedName>
    <definedName name="Excel_BuiltIn__FilterDatabase_7">#REF!</definedName>
    <definedName name="Excel_BuiltIn__FilterDatabase_8">#REF!</definedName>
    <definedName name="Excel_BuiltIn_Print_Area_6_1">#REF!</definedName>
    <definedName name="Excel_BuiltIn_Print_Area_8_1">#REF!</definedName>
    <definedName name="F" localSheetId="0" hidden="1">#REF!</definedName>
    <definedName name="F" hidden="1">#REF!</definedName>
    <definedName name="fd" hidden="1">#REF!</definedName>
    <definedName name="fdhgxd" localSheetId="0" hidden="1">#REF!</definedName>
    <definedName name="fdhgxd" hidden="1">#REF!</definedName>
    <definedName name="FEVEREIRO" localSheetId="0" hidden="1">{"'crono'!$U$12:$W$20"}</definedName>
    <definedName name="FEVEREIRO" hidden="1">{"'crono'!$U$12:$W$20"}</definedName>
    <definedName name="fffffff" localSheetId="0" hidden="1">{"'Janeiro'!$A$1:$I$153"}</definedName>
    <definedName name="fffffff" hidden="1">{"'Janeiro'!$A$1:$I$153"}</definedName>
    <definedName name="Fig" localSheetId="0" hidden="1">{"det (May)",#N/A,FALSE,"June";"sum (MAY YTD)",#N/A,FALSE,"June YTD"}</definedName>
    <definedName name="Fig" hidden="1">{"det (May)",#N/A,FALSE,"June";"sum (MAY YTD)",#N/A,FALSE,"June YTD"}</definedName>
    <definedName name="fk" hidden="1">#REF!</definedName>
    <definedName name="fkf" hidden="1">#REF!</definedName>
    <definedName name="fkhurf" hidden="1">#REF!</definedName>
    <definedName name="frgtgt" hidden="1">#REF!</definedName>
    <definedName name="G" localSheetId="0" hidden="1">#REF!</definedName>
    <definedName name="G" hidden="1">#REF!</definedName>
    <definedName name="gbe" hidden="1">#REF!</definedName>
    <definedName name="GFDGASD">#REF!</definedName>
    <definedName name="gfggfdgadfg" localSheetId="0" hidden="1">{"'Janeiro'!$A$1:$I$153"}</definedName>
    <definedName name="gfggfdgadfg" hidden="1">{"'Janeiro'!$A$1:$I$153"}</definedName>
    <definedName name="gfr" localSheetId="0" hidden="1">#REF!</definedName>
    <definedName name="gfr" hidden="1">#REF!</definedName>
    <definedName name="gg" localSheetId="0" hidden="1">#REF!</definedName>
    <definedName name="gg" hidden="1">#REF!</definedName>
    <definedName name="gggggggggggggggg" localSheetId="0" hidden="1">{"'Janeiro'!$A$1:$I$153"}</definedName>
    <definedName name="gggggggggggggggg" hidden="1">{"'Janeiro'!$A$1:$I$153"}</definedName>
    <definedName name="gtg" hidden="1">#REF!</definedName>
    <definedName name="hb" hidden="1">#REF!</definedName>
    <definedName name="hh" localSheetId="0" hidden="1">{"'Janeiro'!$A$1:$I$153"}</definedName>
    <definedName name="hh" hidden="1">{"'Janeiro'!$A$1:$I$153"}</definedName>
    <definedName name="hj">#REF!</definedName>
    <definedName name="hjit" hidden="1">#REF!</definedName>
    <definedName name="htht" hidden="1">#REF!</definedName>
    <definedName name="hthth" hidden="1">#REF!</definedName>
    <definedName name="hthy" hidden="1">#REF!</definedName>
    <definedName name="HTML_CodePage" hidden="1">1252</definedName>
    <definedName name="HTML_Control" localSheetId="0" hidden="1">{"'Janeiro'!$A$1:$I$153"}</definedName>
    <definedName name="HTML_Control" hidden="1">{"'Janeiro'!$A$1:$I$153"}</definedName>
    <definedName name="HTML_Control2" localSheetId="0" hidden="1">{"'171'!$A$1:$Z$50"}</definedName>
    <definedName name="HTML_Control2" hidden="1">{"'171'!$A$1:$Z$50"}</definedName>
    <definedName name="HTML_Description" hidden="1">""</definedName>
    <definedName name="HTML_Email" hidden="1">""</definedName>
    <definedName name="HTML_Header" hidden="1">"Janeiro"</definedName>
    <definedName name="HTML_LastUpdate" hidden="1">"18/01/00"</definedName>
    <definedName name="HTML_LineAfter" hidden="1">FALSE</definedName>
    <definedName name="HTML_LineBefore" hidden="1">FALSE</definedName>
    <definedName name="HTML_Name" hidden="1">"Publicis Norton S.A."</definedName>
    <definedName name="HTML_OBDlg2" hidden="1">TRUE</definedName>
    <definedName name="HTML_OBDlg4" hidden="1">TRUE</definedName>
    <definedName name="HTML_OS" hidden="1">0</definedName>
    <definedName name="HTML_PathFile" hidden="1">"G:\Midia\WINJOB\NESTLE\Levant\PREFINGE\Prefin2000\MeuHTML.htm"</definedName>
    <definedName name="HTML_Title" hidden="1">"janeiro"</definedName>
    <definedName name="I">#REF!</definedName>
    <definedName name="jljl" localSheetId="0" hidden="1">{"det (May)",#N/A,FALSE,"June";"sum (MAY YTD)",#N/A,FALSE,"June YTD"}</definedName>
    <definedName name="jljl" hidden="1">{"det (May)",#N/A,FALSE,"June";"sum (MAY YTD)",#N/A,FALSE,"June YTD"}</definedName>
    <definedName name="jrescisão" localSheetId="0" hidden="1">{"'crono'!$U$12:$W$20"}</definedName>
    <definedName name="jrescisão" hidden="1">{"'crono'!$U$12:$W$20"}</definedName>
    <definedName name="kegs" localSheetId="0" hidden="1">{"det (May)",#N/A,FALSE,"June";"sum (MAY YTD)",#N/A,FALSE,"June YTD"}</definedName>
    <definedName name="kegs" hidden="1">{"det (May)",#N/A,FALSE,"June";"sum (MAY YTD)",#N/A,FALSE,"June YTD"}</definedName>
    <definedName name="kf" localSheetId="0" hidden="1">#REF!</definedName>
    <definedName name="kf" hidden="1">#REF!</definedName>
    <definedName name="LAURA" localSheetId="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d" localSheetId="0" hidden="1">#REF!</definedName>
    <definedName name="ld" hidden="1">#REF!</definedName>
    <definedName name="limcount" hidden="1">1</definedName>
    <definedName name="LOCPR">'[4]base TV'!$M$2:$BD$4</definedName>
    <definedName name="M">#REF!</definedName>
    <definedName name="MajorHeader" localSheetId="0">#N/A</definedName>
    <definedName name="MajorHeader">#N/A</definedName>
    <definedName name="MCN">'[4]base TV'!$G$5:$G$90</definedName>
    <definedName name="MEDIO">#REF!</definedName>
    <definedName name="merchan" localSheetId="0" hidden="1">#REF!</definedName>
    <definedName name="merchan" hidden="1">#REF!</definedName>
    <definedName name="mmm" localSheetId="0" hidden="1">#REF!</definedName>
    <definedName name="mmm" hidden="1">#REF!</definedName>
    <definedName name="mn" localSheetId="0" hidden="1">{"'Janeiro'!$A$1:$I$153"}</definedName>
    <definedName name="mn" hidden="1">{"'Janeiro'!$A$1:$I$153"}</definedName>
    <definedName name="N" localSheetId="0" hidden="1">#REF!</definedName>
    <definedName name="N" hidden="1">#REF!</definedName>
    <definedName name="nn" localSheetId="0" hidden="1">{"det (May)",#N/A,FALSE,"June";"sum (MAY YTD)",#N/A,FALSE,"June YTD"}</definedName>
    <definedName name="nn" hidden="1">{"det (May)",#N/A,FALSE,"June";"sum (MAY YTD)",#N/A,FALSE,"June YTD"}</definedName>
    <definedName name="NOTA">#REF!</definedName>
    <definedName name="NOTAS">#REF!</definedName>
    <definedName name="novo" localSheetId="0" hidden="1">#REF!</definedName>
    <definedName name="novo" hidden="1">#REF!</definedName>
    <definedName name="ofk" hidden="1">#REF!</definedName>
    <definedName name="okf" hidden="1">#REF!</definedName>
    <definedName name="Orçamento" localSheetId="0" hidden="1">{#N/A,#N/A,FALSE,"TOTAL"}</definedName>
    <definedName name="Orçamento" hidden="1">{#N/A,#N/A,FALSE,"TOTAL"}</definedName>
    <definedName name="P">#REF!</definedName>
    <definedName name="PERR">'[4]Conversão-Mercha'!#REF!</definedName>
    <definedName name="PJON">'[4]Conversão-Mercha'!#REF!</definedName>
    <definedName name="Plan_Media_2000" localSheetId="0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_Media_2000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OA" localSheetId="0" hidden="1">{"det (May)",#N/A,FALSE,"June";"sum (MAY YTD)",#N/A,FALSE,"June YTD"}</definedName>
    <definedName name="POA" hidden="1">{"det (May)",#N/A,FALSE,"June";"sum (MAY YTD)",#N/A,FALSE,"June YTD"}</definedName>
    <definedName name="PRO" localSheetId="0" hidden="1">{"det (May)",#N/A,FALSE,"June";"sum (MAY YTD)",#N/A,FALSE,"June YTD"}</definedName>
    <definedName name="PRO" hidden="1">{"det (May)",#N/A,FALSE,"June";"sum (MAY YTD)",#N/A,FALSE,"June YTD"}</definedName>
    <definedName name="PROD">#REF!</definedName>
    <definedName name="PRODUCTO">#REF!</definedName>
    <definedName name="Programação">#REF!</definedName>
    <definedName name="q" localSheetId="0" hidden="1">#REF!</definedName>
    <definedName name="q" hidden="1">#REF!</definedName>
    <definedName name="radio" hidden="1">#REF!</definedName>
    <definedName name="rádio" localSheetId="0" hidden="1">#REF!</definedName>
    <definedName name="rádio" hidden="1">#REF!</definedName>
    <definedName name="RADIO_SECUNDAGEM">'[4]Conversão-Mercha'!$B$241:$B$260</definedName>
    <definedName name="rb" hidden="1">#REF!</definedName>
    <definedName name="regb" hidden="1">#REF!</definedName>
    <definedName name="rev" localSheetId="0" hidden="1">#REF!</definedName>
    <definedName name="rev" hidden="1">#REF!</definedName>
    <definedName name="revisão" localSheetId="0" hidden="1">#REF!</definedName>
    <definedName name="revisão" hidden="1">#REF!</definedName>
    <definedName name="Revista" localSheetId="0" hidden="1">#REF!</definedName>
    <definedName name="Revista" hidden="1">#REF!</definedName>
    <definedName name="SA">#REF!</definedName>
    <definedName name="SAPBEXdnldView" hidden="1">"45AN0M0XM3X75HWY9J016QH9W"</definedName>
    <definedName name="SAPBEXsysID" hidden="1">"GWP"</definedName>
    <definedName name="SAT">'[4]base TV'!#REF!</definedName>
    <definedName name="Selecionar">'[4]Conversão-Mercha'!$D$58</definedName>
    <definedName name="sencount" hidden="1">1</definedName>
    <definedName name="serey" localSheetId="0" hidden="1">{#N/A,#N/A,FALSE,"TOTAL"}</definedName>
    <definedName name="serey" hidden="1">{#N/A,#N/A,FALSE,"TOTAL"}</definedName>
    <definedName name="sh" localSheetId="0" hidden="1">{#N/A,#N/A,FALSE,"TOTAL"}</definedName>
    <definedName name="sh" hidden="1">{#N/A,#N/A,FALSE,"TOTAL"}</definedName>
    <definedName name="slov" localSheetId="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oft" localSheetId="0" hidden="1">{"det (May)",#N/A,FALSE,"June";"sum (MAY YTD)",#N/A,FALSE,"June YTD"}</definedName>
    <definedName name="Soft" hidden="1">{"det (May)",#N/A,FALSE,"June";"sum (MAY YTD)",#N/A,FALSE,"June YTD"}</definedName>
    <definedName name="sol" localSheetId="0" hidden="1">#REF!</definedName>
    <definedName name="sol" hidden="1">#REF!</definedName>
    <definedName name="stella" localSheetId="0" hidden="1">{"det (May)",#N/A,FALSE,"June";"sum (MAY YTD)",#N/A,FALSE,"June YTD"}</definedName>
    <definedName name="stella" hidden="1">{"det (May)",#N/A,FALSE,"June";"sum (MAY YTD)",#N/A,FALSE,"June YTD"}</definedName>
    <definedName name="t" hidden="1">#REF!</definedName>
    <definedName name="tb" hidden="1">#REF!</definedName>
    <definedName name="teste">#REF!</definedName>
    <definedName name="tets" hidden="1">#REF!</definedName>
    <definedName name="text" hidden="1">#REF!</definedName>
    <definedName name="thtyht" hidden="1">#REF!</definedName>
    <definedName name="thyhh" hidden="1">#REF!</definedName>
    <definedName name="TOTAL">#REF!</definedName>
    <definedName name="TOTAL13">#REF!</definedName>
    <definedName name="TOTAL2">#REF!</definedName>
    <definedName name="TOTAL4">#REF!</definedName>
    <definedName name="TTT" localSheetId="0" hidden="1">#REF!</definedName>
    <definedName name="TTT" hidden="1">#REF!</definedName>
    <definedName name="tyb" hidden="1">#REF!</definedName>
    <definedName name="tyh" hidden="1">#REF!</definedName>
    <definedName name="tyhth" hidden="1">#REF!</definedName>
    <definedName name="UNI" localSheetId="0" hidden="1">#REF!</definedName>
    <definedName name="UNI" hidden="1">#REF!</definedName>
    <definedName name="v" hidden="1">#REF!</definedName>
    <definedName name="VERSION">#REF!</definedName>
    <definedName name="VERSIÓN">#REF!</definedName>
    <definedName name="vfvr" hidden="1">#REF!</definedName>
    <definedName name="vr" hidden="1">#REF!</definedName>
    <definedName name="WeekNumbers">#N/A</definedName>
    <definedName name="wrn.ALL." localSheetId="0" hidden="1">{#N/A,#N/A,FALSE,"DCF";#N/A,#N/A,FALSE,"WACC";#N/A,#N/A,FALSE,"Sales_EBIT";#N/A,#N/A,FALSE,"Capex_Depreciation";#N/A,#N/A,FALSE,"WC";#N/A,#N/A,FALSE,"Interest";#N/A,#N/A,FALSE,"Assumptions"}</definedName>
    <definedName name="wrn.ALL." hidden="1">{#N/A,#N/A,FALSE,"DCF";#N/A,#N/A,FALSE,"WACC";#N/A,#N/A,FALSE,"Sales_EBIT";#N/A,#N/A,FALSE,"Capex_Depreciation";#N/A,#N/A,FALSE,"WC";#N/A,#N/A,FALSE,"Interest";#N/A,#N/A,FALSE,"Assumptions"}</definedName>
    <definedName name="wrn.aug" localSheetId="0" hidden="1">{"det (May)",#N/A,FALSE,"June";"sum (MAY YTD)",#N/A,FALSE,"June YTD"}</definedName>
    <definedName name="wrn.aug" hidden="1">{"det (May)",#N/A,FALSE,"June";"sum (MAY YTD)",#N/A,FALSE,"June YTD"}</definedName>
    <definedName name="wrn.augyt" localSheetId="0" hidden="1">{"det (May)",#N/A,FALSE,"June";"sum (MAY YTD)",#N/A,FALSE,"June YTD"}</definedName>
    <definedName name="wrn.augyt" hidden="1">{"det (May)",#N/A,FALSE,"June";"sum (MAY YTD)",#N/A,FALSE,"June YTD"}</definedName>
    <definedName name="wrn.augYTD" localSheetId="0" hidden="1">{"det (May)",#N/A,FALSE,"June";"sum (MAY YTD)",#N/A,FALSE,"June YTD"}</definedName>
    <definedName name="wrn.augYTD" hidden="1">{"det (May)",#N/A,FALSE,"June";"sum (MAY YTD)",#N/A,FALSE,"June YTD"}</definedName>
    <definedName name="wrn.brol." localSheetId="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DCFEpervier." localSheetId="0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HOR._.ESTAÇÕES._.L._.2._.até._.JUN98." localSheetId="0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._.2._.até._.JUN98.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1._.até._.JUN98." localSheetId="0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R._.ESTAÇÕES._.L1._.até._.JUN98.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ut98." localSheetId="0" hidden="1">{"1DhPgAbs",#N/A,FALSE,"dHora";"2DhPgPerc",#N/A,FALSE,"dHora";"3DhPgAbsAcum",#N/A,FALSE,"dHora"}</definedName>
    <definedName name="wrn.DhOut98." hidden="1">{"1DhPgAbs",#N/A,FALSE,"dHora";"2DhPgPerc",#N/A,FALSE,"dHora";"3DhPgAbsAcum",#N/A,FALSE,"dHora"}</definedName>
    <definedName name="wrn.June." localSheetId="0" hidden="1">{"det (May)",#N/A,FALSE,"June";"sum (MAY YTD)",#N/A,FALSE,"June YTD"}</definedName>
    <definedName name="wrn.June." hidden="1">{"det (May)",#N/A,FALSE,"June";"sum (MAY YTD)",#N/A,FALSE,"June YTD"}</definedName>
    <definedName name="wrn.total." localSheetId="0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1.aug" localSheetId="0" hidden="1">{"det (May)",#N/A,FALSE,"June";"sum (MAY YTD)",#N/A,FALSE,"June YTD"}</definedName>
    <definedName name="wrn1.aug" hidden="1">{"det (May)",#N/A,FALSE,"June";"sum (MAY YTD)",#N/A,FALSE,"June YTD"}</definedName>
    <definedName name="wrn1.augtyd" localSheetId="0" hidden="1">{"det (May)",#N/A,FALSE,"June";"sum (MAY YTD)",#N/A,FALSE,"June YTD"}</definedName>
    <definedName name="wrn1.augtyd" hidden="1">{"det (May)",#N/A,FALSE,"June";"sum (MAY YTD)",#N/A,FALSE,"June YTD"}</definedName>
    <definedName name="wrn1.augyt" localSheetId="0" hidden="1">{"det (May)",#N/A,FALSE,"June";"sum (MAY YTD)",#N/A,FALSE,"June YTD"}</definedName>
    <definedName name="wrn1.augyt" hidden="1">{"det (May)",#N/A,FALSE,"June";"sum (MAY YTD)",#N/A,FALSE,"June YTD"}</definedName>
    <definedName name="wrn1.brol" localSheetId="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june" localSheetId="0" hidden="1">{"det (May)",#N/A,FALSE,"June";"sum (MAY YTD)",#N/A,FALSE,"June YTD"}</definedName>
    <definedName name="wrn1.june" hidden="1">{"det (May)",#N/A,FALSE,"June";"sum (MAY YTD)",#N/A,FALSE,"June YTD"}</definedName>
    <definedName name="wrn2.brol" localSheetId="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june" localSheetId="0" hidden="1">{"det (May)",#N/A,FALSE,"June";"sum (MAY YTD)",#N/A,FALSE,"June YTD"}</definedName>
    <definedName name="wrn2.june" hidden="1">{"det (May)",#N/A,FALSE,"June";"sum (MAY YTD)",#N/A,FALSE,"June YTD"}</definedName>
    <definedName name="xxx" localSheetId="0" hidden="1">#REF!</definedName>
    <definedName name="xxx" hidden="1">#REF!</definedName>
    <definedName name="yhbhb" hidden="1">#REF!</definedName>
    <definedName name="zeljka" localSheetId="0" hidden="1">{"det (May)",#N/A,FALSE,"June";"sum (MAY YTD)",#N/A,FALSE,"June YTD"}</definedName>
    <definedName name="zeljka" hidden="1">{"det (May)",#N/A,FALSE,"June";"sum (MAY YTD)",#N/A,FALSE,"June YTD"}</definedName>
    <definedName name="zeljka1" localSheetId="0" hidden="1">{"det (May)",#N/A,FALSE,"June";"sum (MAY YTD)",#N/A,FALSE,"June YTD"}</definedName>
    <definedName name="zeljka1" hidden="1">{"det (May)",#N/A,FALSE,"June";"sum (MAY YTD)",#N/A,FALSE,"June YTD"}</definedName>
    <definedName name="zeljka2" localSheetId="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3" localSheetId="0" hidden="1">{"det (May)",#N/A,FALSE,"June";"sum (MAY YTD)",#N/A,FALSE,"June YTD"}</definedName>
    <definedName name="zeljka3" hidden="1">{"det (May)",#N/A,FALSE,"June";"sum (MAY YTD)",#N/A,FALSE,"June YTD"}</definedName>
    <definedName name="ааа" localSheetId="0" hidden="1">{"det (May)",#N/A,FALSE,"June";"sum (MAY YTD)",#N/A,FALSE,"June YTD"}</definedName>
    <definedName name="ааа" hidden="1">{"det (May)",#N/A,FALSE,"June";"sum (MAY YTD)",#N/A,FALSE,"June YTD"}</definedName>
    <definedName name="ввв" localSheetId="0" hidden="1">{"det (May)",#N/A,FALSE,"June";"sum (MAY YTD)",#N/A,FALSE,"June YTD"}</definedName>
    <definedName name="ввв" hidden="1">{"det (May)",#N/A,FALSE,"June";"sum (MAY YTD)",#N/A,FALSE,"June YTD"}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S77" i="18" l="1"/>
  <c r="CS74" i="18"/>
  <c r="CS71" i="18"/>
  <c r="CS68" i="18"/>
  <c r="CS65" i="18"/>
  <c r="CS62" i="18"/>
  <c r="CS59" i="18"/>
  <c r="CS56" i="18"/>
  <c r="CS52" i="18"/>
  <c r="CS49" i="18"/>
  <c r="CS46" i="18"/>
  <c r="CS43" i="18"/>
  <c r="CS40" i="18"/>
  <c r="CS37" i="18"/>
  <c r="CS34" i="18"/>
  <c r="CS31" i="18"/>
  <c r="CS27" i="18"/>
  <c r="CS24" i="18"/>
  <c r="CS18" i="18"/>
  <c r="CS15" i="18"/>
  <c r="CR28" i="18" l="1"/>
  <c r="CQ28" i="18"/>
  <c r="CP28" i="18"/>
  <c r="CO28" i="18"/>
  <c r="CN28" i="18"/>
  <c r="CM28" i="18"/>
  <c r="CL28" i="18"/>
  <c r="CK28" i="18"/>
  <c r="CJ28" i="18"/>
  <c r="CI28" i="18"/>
  <c r="CH28" i="18"/>
  <c r="CG28" i="18"/>
  <c r="CF28" i="18"/>
  <c r="CE28" i="18"/>
  <c r="CD28" i="18"/>
  <c r="CC28" i="18"/>
  <c r="CB28" i="18"/>
  <c r="CA28" i="18"/>
  <c r="BZ28" i="18"/>
  <c r="BY28" i="18"/>
  <c r="BX28" i="18"/>
  <c r="BW28" i="18"/>
  <c r="BV28" i="18"/>
  <c r="BU28" i="18"/>
  <c r="BT28" i="18"/>
  <c r="BS28" i="18"/>
  <c r="BR28" i="18"/>
  <c r="BQ28" i="18"/>
  <c r="BP28" i="18"/>
  <c r="BO28" i="18"/>
  <c r="BN28" i="18"/>
  <c r="BM28" i="18"/>
  <c r="BL28" i="18"/>
  <c r="BK28" i="18"/>
  <c r="BJ28" i="18"/>
  <c r="BI28" i="18"/>
  <c r="BH28" i="18"/>
  <c r="BG28" i="18"/>
  <c r="BF28" i="18"/>
  <c r="BE28" i="18"/>
  <c r="BD28" i="18"/>
  <c r="BC28" i="18"/>
  <c r="BB28" i="18"/>
  <c r="BA28" i="18"/>
  <c r="AZ28" i="18"/>
  <c r="AY28" i="18"/>
  <c r="AX28" i="18"/>
  <c r="AW28" i="18"/>
  <c r="AV28" i="18"/>
  <c r="AU28" i="18"/>
  <c r="AT28" i="18"/>
  <c r="AS28" i="18"/>
  <c r="AR28" i="18"/>
  <c r="AQ28" i="18"/>
  <c r="AP28" i="18"/>
  <c r="AO28" i="18"/>
  <c r="AN28" i="18"/>
  <c r="AM28" i="18"/>
  <c r="AL28" i="18"/>
  <c r="AK28" i="18"/>
  <c r="AJ28" i="18"/>
  <c r="AI28" i="18"/>
  <c r="AH28" i="18"/>
  <c r="AG28" i="18"/>
  <c r="AF28" i="18"/>
  <c r="AE28" i="18"/>
  <c r="AD28" i="18"/>
  <c r="AC28" i="18"/>
  <c r="CR53" i="18"/>
  <c r="CQ53" i="18"/>
  <c r="CP53" i="18"/>
  <c r="CO53" i="18"/>
  <c r="CN53" i="18"/>
  <c r="CM53" i="18"/>
  <c r="CL53" i="18"/>
  <c r="CK53" i="18"/>
  <c r="CJ53" i="18"/>
  <c r="CI53" i="18"/>
  <c r="CH53" i="18"/>
  <c r="CG53" i="18"/>
  <c r="CF53" i="18"/>
  <c r="CE53" i="18"/>
  <c r="CD53" i="18"/>
  <c r="CC53" i="18"/>
  <c r="CB53" i="18"/>
  <c r="CA53" i="18"/>
  <c r="BZ53" i="18"/>
  <c r="BY53" i="18"/>
  <c r="BX53" i="18"/>
  <c r="BW53" i="18"/>
  <c r="BV53" i="18"/>
  <c r="BU53" i="18"/>
  <c r="BT53" i="18"/>
  <c r="BS53" i="18"/>
  <c r="BR53" i="18"/>
  <c r="BQ53" i="18"/>
  <c r="BP53" i="18"/>
  <c r="BO53" i="18"/>
  <c r="BN53" i="18"/>
  <c r="BM53" i="18"/>
  <c r="BL53" i="18"/>
  <c r="BK53" i="18"/>
  <c r="BJ53" i="18"/>
  <c r="BI53" i="18"/>
  <c r="BH53" i="18"/>
  <c r="BG53" i="18"/>
  <c r="BF53" i="18"/>
  <c r="BE53" i="18"/>
  <c r="BD53" i="18"/>
  <c r="BC53" i="18"/>
  <c r="BB53" i="18"/>
  <c r="BA53" i="18"/>
  <c r="AZ53" i="18"/>
  <c r="AY53" i="18"/>
  <c r="AX53" i="18"/>
  <c r="AW53" i="18"/>
  <c r="AV53" i="18"/>
  <c r="AU53" i="18"/>
  <c r="AT53" i="18"/>
  <c r="AS53" i="18"/>
  <c r="AR53" i="18"/>
  <c r="AQ53" i="18"/>
  <c r="AP53" i="18"/>
  <c r="AO53" i="18"/>
  <c r="AN53" i="18"/>
  <c r="AM53" i="18"/>
  <c r="AL53" i="18"/>
  <c r="AK53" i="18"/>
  <c r="AJ53" i="18"/>
  <c r="AI53" i="18"/>
  <c r="AH53" i="18"/>
  <c r="AG53" i="18"/>
  <c r="AF53" i="18"/>
  <c r="AE53" i="18"/>
  <c r="AD53" i="18"/>
  <c r="AC53" i="18"/>
  <c r="CR78" i="18"/>
  <c r="CQ78" i="18"/>
  <c r="CP78" i="18"/>
  <c r="CO78" i="18"/>
  <c r="CN78" i="18"/>
  <c r="CM78" i="18"/>
  <c r="CL78" i="18"/>
  <c r="CK78" i="18"/>
  <c r="CJ78" i="18"/>
  <c r="CI78" i="18"/>
  <c r="CH78" i="18"/>
  <c r="CG78" i="18"/>
  <c r="CF78" i="18"/>
  <c r="CE78" i="18"/>
  <c r="CD78" i="18"/>
  <c r="CC78" i="18"/>
  <c r="CB78" i="18"/>
  <c r="CA78" i="18"/>
  <c r="BZ78" i="18"/>
  <c r="BY78" i="18"/>
  <c r="BX78" i="18"/>
  <c r="BW78" i="18"/>
  <c r="BV78" i="18"/>
  <c r="BU78" i="18"/>
  <c r="BT78" i="18"/>
  <c r="BS78" i="18"/>
  <c r="BR78" i="18"/>
  <c r="BQ78" i="18"/>
  <c r="BP78" i="18"/>
  <c r="BO78" i="18"/>
  <c r="BN78" i="18"/>
  <c r="BM78" i="18"/>
  <c r="BL78" i="18"/>
  <c r="BK78" i="18"/>
  <c r="BJ78" i="18"/>
  <c r="BI78" i="18"/>
  <c r="BH78" i="18"/>
  <c r="BG78" i="18"/>
  <c r="BF78" i="18"/>
  <c r="BE78" i="18"/>
  <c r="BD78" i="18"/>
  <c r="BC78" i="18"/>
  <c r="BB78" i="18"/>
  <c r="BA78" i="18"/>
  <c r="AZ78" i="18"/>
  <c r="AY78" i="18"/>
  <c r="AX78" i="18"/>
  <c r="AW78" i="18"/>
  <c r="AV78" i="18"/>
  <c r="AU78" i="18"/>
  <c r="AT78" i="18"/>
  <c r="AS78" i="18"/>
  <c r="AR78" i="18"/>
  <c r="AQ78" i="18"/>
  <c r="AP78" i="18"/>
  <c r="AO78" i="18"/>
  <c r="AN78" i="18"/>
  <c r="AM78" i="18"/>
  <c r="AL78" i="18"/>
  <c r="AK78" i="18"/>
  <c r="AJ78" i="18"/>
  <c r="AI78" i="18"/>
  <c r="AG78" i="18"/>
  <c r="AF78" i="18"/>
  <c r="AE78" i="18"/>
  <c r="AD78" i="18"/>
  <c r="AC78" i="18"/>
  <c r="CS76" i="18"/>
  <c r="CS73" i="18"/>
  <c r="CS70" i="18"/>
  <c r="CS67" i="18"/>
  <c r="CS64" i="18"/>
  <c r="CS61" i="18"/>
  <c r="CS58" i="18"/>
  <c r="CS55" i="18"/>
  <c r="CS14" i="18"/>
  <c r="CS17" i="18"/>
  <c r="CS21" i="18"/>
  <c r="CS20" i="18"/>
  <c r="CS23" i="18"/>
  <c r="CS26" i="18"/>
  <c r="CS30" i="18"/>
  <c r="CS33" i="18"/>
  <c r="CS36" i="18"/>
  <c r="CS39" i="18"/>
  <c r="CS42" i="18"/>
  <c r="CS45" i="18"/>
  <c r="CS48" i="18"/>
  <c r="CS51" i="18"/>
  <c r="CS28" i="18" l="1"/>
  <c r="CS78" i="18"/>
  <c r="CS53" i="18"/>
  <c r="CS80" i="18" l="1"/>
  <c r="G28" i="18" l="1"/>
  <c r="G53" i="18"/>
  <c r="AB28" i="18"/>
  <c r="AA28" i="18"/>
  <c r="Z28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BR11" i="18"/>
  <c r="BS11" i="18" s="1"/>
  <c r="BT11" i="18" s="1"/>
  <c r="BU11" i="18" s="1"/>
  <c r="BV11" i="18" s="1"/>
  <c r="BW11" i="18" s="1"/>
  <c r="BX11" i="18" s="1"/>
  <c r="BY11" i="18" s="1"/>
  <c r="BZ11" i="18" s="1"/>
  <c r="CA11" i="18" s="1"/>
  <c r="CB11" i="18" s="1"/>
  <c r="CC11" i="18" s="1"/>
  <c r="CD11" i="18" s="1"/>
  <c r="CE11" i="18" s="1"/>
  <c r="CF11" i="18" s="1"/>
  <c r="CG11" i="18" s="1"/>
  <c r="CH11" i="18" s="1"/>
  <c r="CI11" i="18" s="1"/>
  <c r="CJ11" i="18" s="1"/>
  <c r="CK11" i="18" s="1"/>
  <c r="CL11" i="18" s="1"/>
  <c r="CM11" i="18" s="1"/>
  <c r="CN11" i="18" s="1"/>
  <c r="CO11" i="18" s="1"/>
  <c r="CP11" i="18" s="1"/>
  <c r="CQ11" i="18" s="1"/>
  <c r="CR11" i="18" s="1"/>
  <c r="AU11" i="18"/>
  <c r="AV11" i="18" s="1"/>
  <c r="AW11" i="18" s="1"/>
  <c r="AX11" i="18" s="1"/>
  <c r="AY11" i="18" s="1"/>
  <c r="AZ11" i="18" s="1"/>
  <c r="BA11" i="18" s="1"/>
  <c r="BB11" i="18" s="1"/>
  <c r="BC11" i="18" s="1"/>
  <c r="BD11" i="18" s="1"/>
  <c r="BE11" i="18" s="1"/>
  <c r="BF11" i="18" s="1"/>
  <c r="BG11" i="18" s="1"/>
  <c r="BH11" i="18" s="1"/>
  <c r="BI11" i="18" s="1"/>
  <c r="BJ11" i="18" s="1"/>
  <c r="BK11" i="18" s="1"/>
  <c r="BL11" i="18" s="1"/>
  <c r="BM11" i="18" s="1"/>
  <c r="BN11" i="18" s="1"/>
  <c r="BO11" i="18" s="1"/>
  <c r="BP11" i="18" s="1"/>
  <c r="AB78" i="18" l="1"/>
  <c r="AA78" i="18"/>
  <c r="Z78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AB53" i="18"/>
  <c r="AA53" i="18"/>
  <c r="Z53" i="18"/>
  <c r="Y53" i="18"/>
  <c r="X53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AH78" i="18" l="1"/>
</calcChain>
</file>

<file path=xl/sharedStrings.xml><?xml version="1.0" encoding="utf-8"?>
<sst xmlns="http://schemas.openxmlformats.org/spreadsheetml/2006/main" count="207" uniqueCount="55">
  <si>
    <t>CLIENT: SABESP</t>
  </si>
  <si>
    <t>MARKET</t>
  </si>
  <si>
    <t>CHANNEL</t>
  </si>
  <si>
    <t>INS.</t>
  </si>
  <si>
    <t>T</t>
  </si>
  <si>
    <t>W</t>
  </si>
  <si>
    <t>F</t>
  </si>
  <si>
    <t>S</t>
  </si>
  <si>
    <t>M</t>
  </si>
  <si>
    <t>PROPERTY</t>
  </si>
  <si>
    <t>MORADA FM</t>
  </si>
  <si>
    <t>TRI FM</t>
  </si>
  <si>
    <t>SAUDADE FM</t>
  </si>
  <si>
    <t>KISS FM</t>
  </si>
  <si>
    <t>ANTENA 1</t>
  </si>
  <si>
    <t>BAND VALE</t>
  </si>
  <si>
    <t>30"</t>
  </si>
  <si>
    <t>GRUPO A</t>
  </si>
  <si>
    <t>ROTATIVO</t>
  </si>
  <si>
    <t>FORMAT: SPOT</t>
  </si>
  <si>
    <t>NATIVA FM</t>
  </si>
  <si>
    <t>CARAGUATATUBA | SÃO SABASTIÃO | UBATUBA - LITORAL NORTE</t>
  </si>
  <si>
    <t>CARAGUA FM</t>
  </si>
  <si>
    <t>07h00 as 19h00</t>
  </si>
  <si>
    <t>(via Caraguatatuba)</t>
  </si>
  <si>
    <t>BEIRA MAR FM</t>
  </si>
  <si>
    <t>(via Ubatuba)</t>
  </si>
  <si>
    <t>(via São Sebastião)</t>
  </si>
  <si>
    <t>(via Ilha Bela - São Sebastião)</t>
  </si>
  <si>
    <t>RÁDIO ANTENA 8</t>
  </si>
  <si>
    <t>TOTAL RÁDIO LITORAL NORTE</t>
  </si>
  <si>
    <t>SANTOS - BAIXADA SANTISTA</t>
  </si>
  <si>
    <t>GUARUJA FM</t>
  </si>
  <si>
    <t>SANTA CECILIA FM</t>
  </si>
  <si>
    <t>JOVEM PAN FM</t>
  </si>
  <si>
    <t>MIX FM</t>
  </si>
  <si>
    <t>BOA NOVA FM</t>
  </si>
  <si>
    <t>TOTAL RÁDIO SANTOS - BAIXADA SANTISTA</t>
  </si>
  <si>
    <t>(via S.J.Campos)</t>
  </si>
  <si>
    <t>STEREO VALE</t>
  </si>
  <si>
    <t>ÓTIMA FM</t>
  </si>
  <si>
    <t>ANTENA 1 FM</t>
  </si>
  <si>
    <t>(via Taubaté)</t>
  </si>
  <si>
    <t>CANÇÃO NOVA FM</t>
  </si>
  <si>
    <t>TOTAL RÁDIO TAUBATE E SÃO JOSÉ DOS CAMPOS</t>
  </si>
  <si>
    <t>PROGRAM</t>
  </si>
  <si>
    <t>06:00-19:00</t>
  </si>
  <si>
    <t>07:00-19:00</t>
  </si>
  <si>
    <t>DEZEMBRO_2025</t>
  </si>
  <si>
    <t>JANEIRO_2026</t>
  </si>
  <si>
    <t>FEVEREIRO_2026</t>
  </si>
  <si>
    <t>TOTAL RÁDIO LITORAL + VALE DO PARAÍBA</t>
  </si>
  <si>
    <t>VALE DO PARAÍBA</t>
  </si>
  <si>
    <t>TAUBATE | SÃO JOSE DOS CAMPOS</t>
  </si>
  <si>
    <t>CAMPAING: VERÃO 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</si>
</sst>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&quot;-&quot;??_);_(@_)"/>
    <numFmt numFmtId="166" formatCode="_(* #,##0.00_);_(* \(#,##0.00\);_(* &quot;-&quot;??_);_(@_)"/>
    <numFmt numFmtId="167" formatCode="_(&quot;R$&quot;* #,##0.00_);_(&quot;R$&quot;* \(#,##0.00\);_(&quot;R$&quot;* &quot;-&quot;??_);_(@_)"/>
    <numFmt numFmtId="169" formatCode="_-&quot;R$&quot;* #,##0.00_-;\-&quot;R$&quot;* #,##0.00_-;_-&quot;R$&quot;* &quot;-&quot;??_-;_-@_-"/>
    <numFmt numFmtId="170" formatCode="[hh]\:mm\:ss"/>
    <numFmt numFmtId="171" formatCode="[mm]\:ss"/>
    <numFmt numFmtId="172" formatCode="dd\/mm\/yyyy"/>
    <numFmt numFmtId="173" formatCode="_([$€]* #,##0.00_);_([$€]* \(#,##0.00\);_([$€]* &quot;-&quot;??_);_(@_)"/>
    <numFmt numFmtId="174" formatCode="_-* #,##0.00\ &quot;€&quot;_-;\-* #,##0.00\ &quot;€&quot;_-;_-* &quot;-&quot;??\ &quot;€&quot;_-;_-@_-"/>
  </numFmts>
  <fonts count="21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Arial"/>
      <family val="2"/>
    </font>
    <font>
      <sz val="8"/>
      <name val="Tahoma"/>
      <family val="2"/>
    </font>
    <font>
      <b/>
      <u/>
      <sz val="8"/>
      <name val="Tahoma"/>
      <family val="2"/>
    </font>
    <font>
      <b/>
      <sz val="8"/>
      <name val="Tahoma"/>
      <family val="2"/>
    </font>
    <font>
      <b/>
      <sz val="8"/>
      <color theme="0" tint="-0.499984740745262"/>
      <name val="Tahoma"/>
      <family val="2"/>
    </font>
    <font>
      <b/>
      <sz val="8"/>
      <color rgb="FF808080"/>
      <name val="Tahoma"/>
      <family val="2"/>
    </font>
    <font>
      <b/>
      <sz val="8"/>
      <color theme="0"/>
      <name val="Tahoma"/>
      <family val="2"/>
    </font>
    <font>
      <sz val="11"/>
      <color indexed="8"/>
      <name val="Calibri"/>
      <family val="2"/>
    </font>
    <font>
      <b/>
      <sz val="9"/>
      <name val="Tahoma"/>
      <family val="2"/>
    </font>
    <font>
      <sz val="11"/>
      <color theme="1"/>
      <name val="Calibri"/>
      <family val="2"/>
    </font>
    <font>
      <sz val="8"/>
      <color indexed="8"/>
      <name val="Arial"/>
      <family val="2"/>
    </font>
    <font>
      <sz val="8"/>
      <color indexed="39"/>
      <name val="Arial"/>
      <family val="2"/>
    </font>
    <font>
      <sz val="11"/>
      <color indexed="9"/>
      <name val="Calibri"/>
      <family val="2"/>
    </font>
    <font>
      <sz val="8"/>
      <color rgb="FF000000"/>
      <name val="Arial"/>
      <family val="2"/>
    </font>
    <font>
      <sz val="8"/>
      <color rgb="FF0000FF"/>
      <name val="Arial"/>
      <family val="2"/>
    </font>
    <font>
      <sz val="10"/>
      <name val="Tahoma"/>
      <family val="2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2"/>
      </patternFill>
    </fill>
    <fill>
      <patternFill patternType="solid">
        <fgColor rgb="FFC0C0C0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2" tint="-0.249977111117893"/>
        <bgColor rgb="FF000000"/>
      </patternFill>
    </fill>
  </fills>
  <borders count="32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490">
    <xf numFmtId="0" fontId="0" fillId="0" borderId="0"/>
    <xf numFmtId="0" fontId="5" fillId="0" borderId="0"/>
    <xf numFmtId="0" fontId="5" fillId="0" borderId="0"/>
    <xf numFmtId="43" fontId="12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164" fontId="3" fillId="0" borderId="0" applyFont="0" applyFill="0" applyBorder="0" applyAlignment="0" applyProtection="0"/>
    <xf numFmtId="0" fontId="5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3" fillId="0" borderId="0"/>
    <xf numFmtId="43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0" fontId="3" fillId="0" borderId="0"/>
    <xf numFmtId="43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9" fontId="15" fillId="10" borderId="7" applyProtection="0">
      <alignment horizontal="left" vertical="top"/>
    </xf>
    <xf numFmtId="49" fontId="15" fillId="10" borderId="7" applyProtection="0">
      <alignment horizontal="left" vertical="top"/>
    </xf>
    <xf numFmtId="49" fontId="15" fillId="10" borderId="7" applyProtection="0">
      <alignment horizontal="left" vertical="top"/>
    </xf>
    <xf numFmtId="49" fontId="15" fillId="10" borderId="7" applyProtection="0">
      <alignment horizontal="left" vertical="top"/>
    </xf>
    <xf numFmtId="49" fontId="15" fillId="10" borderId="7" applyProtection="0">
      <alignment horizontal="left" vertical="top"/>
    </xf>
    <xf numFmtId="49" fontId="15" fillId="10" borderId="7" applyProtection="0">
      <alignment horizontal="left" vertical="top"/>
    </xf>
    <xf numFmtId="49" fontId="15" fillId="10" borderId="7" applyProtection="0">
      <alignment horizontal="left" vertical="top"/>
    </xf>
    <xf numFmtId="4" fontId="16" fillId="8" borderId="18" applyProtection="0">
      <alignment horizontal="right" vertical="top"/>
    </xf>
    <xf numFmtId="4" fontId="15" fillId="8" borderId="8" applyProtection="0">
      <alignment horizontal="right" vertical="top"/>
    </xf>
    <xf numFmtId="49" fontId="15" fillId="8" borderId="8" applyProtection="0">
      <alignment horizontal="right" vertical="top"/>
    </xf>
    <xf numFmtId="4" fontId="15" fillId="8" borderId="8" applyProtection="0">
      <alignment horizontal="right" vertical="top"/>
    </xf>
    <xf numFmtId="49" fontId="15" fillId="8" borderId="8" applyProtection="0">
      <alignment horizontal="right" vertical="top"/>
    </xf>
    <xf numFmtId="4" fontId="15" fillId="11" borderId="18" applyProtection="0">
      <alignment horizontal="right" vertical="top"/>
    </xf>
    <xf numFmtId="49" fontId="16" fillId="8" borderId="8" applyProtection="0">
      <alignment horizontal="right" vertical="top"/>
    </xf>
    <xf numFmtId="170" fontId="15" fillId="8" borderId="8" applyProtection="0">
      <alignment horizontal="right" vertical="top"/>
    </xf>
    <xf numFmtId="49" fontId="16" fillId="8" borderId="8" applyProtection="0">
      <alignment horizontal="right" vertical="top"/>
    </xf>
    <xf numFmtId="170" fontId="15" fillId="8" borderId="8" applyProtection="0">
      <alignment horizontal="right" vertical="top"/>
    </xf>
    <xf numFmtId="49" fontId="15" fillId="10" borderId="8" applyProtection="0">
      <alignment horizontal="left" vertical="top"/>
    </xf>
    <xf numFmtId="170" fontId="16" fillId="8" borderId="8" applyProtection="0">
      <alignment horizontal="right" vertical="top"/>
    </xf>
    <xf numFmtId="4" fontId="15" fillId="8" borderId="8" applyProtection="0">
      <alignment horizontal="right" vertical="top"/>
    </xf>
    <xf numFmtId="170" fontId="16" fillId="8" borderId="8" applyProtection="0">
      <alignment horizontal="right" vertical="top"/>
    </xf>
    <xf numFmtId="4" fontId="15" fillId="8" borderId="8" applyProtection="0">
      <alignment horizontal="right" vertical="top"/>
    </xf>
    <xf numFmtId="171" fontId="16" fillId="8" borderId="18" applyProtection="0">
      <alignment horizontal="right" vertical="top"/>
    </xf>
    <xf numFmtId="4" fontId="16" fillId="8" borderId="8" applyProtection="0">
      <alignment horizontal="right" vertical="top"/>
    </xf>
    <xf numFmtId="49" fontId="15" fillId="8" borderId="9" applyProtection="0">
      <alignment horizontal="left" vertical="top"/>
    </xf>
    <xf numFmtId="4" fontId="16" fillId="8" borderId="8" applyProtection="0">
      <alignment horizontal="right" vertical="top"/>
    </xf>
    <xf numFmtId="49" fontId="15" fillId="8" borderId="9" applyProtection="0">
      <alignment horizontal="left" vertical="top"/>
    </xf>
    <xf numFmtId="4" fontId="16" fillId="8" borderId="18" applyProtection="0">
      <alignment horizontal="right" vertical="top"/>
    </xf>
    <xf numFmtId="49" fontId="16" fillId="8" borderId="18" applyProtection="0">
      <alignment horizontal="right" vertical="top"/>
    </xf>
    <xf numFmtId="49" fontId="15" fillId="8" borderId="6" applyProtection="0">
      <alignment horizontal="left" vertical="top"/>
    </xf>
    <xf numFmtId="49" fontId="16" fillId="8" borderId="8" applyProtection="0">
      <alignment horizontal="left" vertical="top"/>
    </xf>
    <xf numFmtId="49" fontId="16" fillId="8" borderId="18" applyProtection="0">
      <alignment horizontal="right" vertical="top"/>
    </xf>
    <xf numFmtId="49" fontId="16" fillId="8" borderId="8" applyProtection="0">
      <alignment horizontal="left" vertical="top"/>
    </xf>
    <xf numFmtId="49" fontId="16" fillId="8" borderId="8" applyProtection="0">
      <alignment horizontal="right" vertical="top"/>
    </xf>
    <xf numFmtId="170" fontId="16" fillId="8" borderId="18" applyProtection="0">
      <alignment horizontal="right" vertical="top"/>
    </xf>
    <xf numFmtId="49" fontId="16" fillId="8" borderId="8" applyProtection="0">
      <alignment horizontal="right" vertical="top"/>
    </xf>
    <xf numFmtId="170" fontId="16" fillId="8" borderId="8" applyProtection="0">
      <alignment horizontal="right" vertical="top"/>
    </xf>
    <xf numFmtId="170" fontId="16" fillId="8" borderId="8" applyProtection="0">
      <alignment horizontal="right" vertical="top"/>
    </xf>
    <xf numFmtId="4" fontId="16" fillId="8" borderId="8" applyProtection="0">
      <alignment horizontal="right" vertical="top"/>
    </xf>
    <xf numFmtId="4" fontId="16" fillId="8" borderId="8" applyProtection="0">
      <alignment horizontal="right" vertical="top"/>
    </xf>
    <xf numFmtId="49" fontId="15" fillId="10" borderId="13" applyProtection="0">
      <alignment horizontal="left" vertical="top"/>
    </xf>
    <xf numFmtId="49" fontId="15" fillId="10" borderId="8" applyProtection="0">
      <alignment horizontal="left" vertical="top"/>
    </xf>
    <xf numFmtId="49" fontId="15" fillId="10" borderId="13" applyProtection="0">
      <alignment horizontal="left" vertical="top"/>
    </xf>
    <xf numFmtId="49" fontId="15" fillId="10" borderId="13" applyProtection="0">
      <alignment horizontal="left" vertical="top"/>
    </xf>
    <xf numFmtId="49" fontId="15" fillId="10" borderId="13" applyProtection="0">
      <alignment horizontal="left" vertical="top"/>
    </xf>
    <xf numFmtId="49" fontId="15" fillId="10" borderId="8" applyProtection="0">
      <alignment horizontal="left" vertical="top"/>
    </xf>
    <xf numFmtId="49" fontId="15" fillId="10" borderId="8" applyProtection="0">
      <alignment horizontal="left" vertical="top"/>
    </xf>
    <xf numFmtId="49" fontId="15" fillId="10" borderId="8" applyProtection="0">
      <alignment horizontal="left" vertical="top"/>
    </xf>
    <xf numFmtId="49" fontId="15" fillId="10" borderId="8" applyProtection="0">
      <alignment horizontal="left" vertical="top"/>
    </xf>
    <xf numFmtId="49" fontId="15" fillId="10" borderId="11" applyProtection="0">
      <alignment horizontal="left" vertical="top" wrapText="1"/>
    </xf>
    <xf numFmtId="49" fontId="15" fillId="10" borderId="14" applyProtection="0">
      <alignment horizontal="left" vertical="top" wrapText="1"/>
    </xf>
    <xf numFmtId="49" fontId="15" fillId="10" borderId="13" applyProtection="0">
      <alignment horizontal="left" vertical="top"/>
    </xf>
    <xf numFmtId="49" fontId="15" fillId="10" borderId="11" applyProtection="0">
      <alignment horizontal="left" vertical="top" wrapText="1"/>
    </xf>
    <xf numFmtId="49" fontId="15" fillId="10" borderId="14" applyProtection="0">
      <alignment horizontal="left" vertical="top" wrapText="1"/>
    </xf>
    <xf numFmtId="49" fontId="15" fillId="10" borderId="8" applyProtection="0">
      <alignment horizontal="left" vertical="top"/>
    </xf>
    <xf numFmtId="49" fontId="15" fillId="10" borderId="8" applyProtection="0">
      <alignment horizontal="left" vertical="top"/>
    </xf>
    <xf numFmtId="49" fontId="15" fillId="10" borderId="8" applyProtection="0">
      <alignment horizontal="left" vertical="top"/>
    </xf>
    <xf numFmtId="172" fontId="15" fillId="8" borderId="8" applyProtection="0">
      <alignment horizontal="left" vertical="top"/>
    </xf>
    <xf numFmtId="49" fontId="15" fillId="10" borderId="6" applyProtection="0">
      <alignment horizontal="center" vertical="top"/>
    </xf>
    <xf numFmtId="49" fontId="15" fillId="10" borderId="11" applyProtection="0">
      <alignment horizontal="left" vertical="top" wrapText="1"/>
    </xf>
    <xf numFmtId="49" fontId="15" fillId="10" borderId="14" applyProtection="0">
      <alignment horizontal="left" vertical="top" wrapText="1"/>
    </xf>
    <xf numFmtId="49" fontId="15" fillId="10" borderId="11" applyProtection="0">
      <alignment horizontal="left" vertical="top" wrapText="1"/>
    </xf>
    <xf numFmtId="49" fontId="15" fillId="10" borderId="6" applyProtection="0">
      <alignment horizontal="center" vertical="top"/>
    </xf>
    <xf numFmtId="49" fontId="15" fillId="10" borderId="6" applyProtection="0">
      <alignment horizontal="center" vertical="top"/>
    </xf>
    <xf numFmtId="49" fontId="15" fillId="10" borderId="6" applyProtection="0">
      <alignment horizontal="center" vertical="top"/>
    </xf>
    <xf numFmtId="49" fontId="15" fillId="10" borderId="6" applyProtection="0">
      <alignment horizontal="center" vertical="top"/>
    </xf>
    <xf numFmtId="49" fontId="15" fillId="10" borderId="13" applyProtection="0">
      <alignment horizontal="left" vertical="top"/>
    </xf>
    <xf numFmtId="49" fontId="15" fillId="10" borderId="14" applyProtection="0">
      <alignment horizontal="left" vertical="top" wrapText="1"/>
    </xf>
    <xf numFmtId="49" fontId="15" fillId="10" borderId="14" applyProtection="0">
      <alignment horizontal="left" vertical="top" wrapText="1"/>
    </xf>
    <xf numFmtId="49" fontId="15" fillId="10" borderId="13" applyProtection="0">
      <alignment horizontal="left" vertical="top"/>
    </xf>
    <xf numFmtId="49" fontId="15" fillId="10" borderId="13" applyProtection="0">
      <alignment horizontal="left" vertical="top"/>
    </xf>
    <xf numFmtId="49" fontId="15" fillId="10" borderId="13" applyProtection="0">
      <alignment horizontal="left" vertical="top"/>
    </xf>
    <xf numFmtId="49" fontId="15" fillId="10" borderId="13" applyProtection="0">
      <alignment horizontal="left" vertical="top"/>
    </xf>
    <xf numFmtId="49" fontId="15" fillId="10" borderId="14" applyProtection="0">
      <alignment horizontal="left" vertical="top" wrapText="1"/>
    </xf>
    <xf numFmtId="49" fontId="15" fillId="10" borderId="6" applyProtection="0">
      <alignment horizontal="left" vertical="top"/>
    </xf>
    <xf numFmtId="49" fontId="15" fillId="10" borderId="6" applyProtection="0">
      <alignment horizontal="center" vertical="top"/>
    </xf>
    <xf numFmtId="49" fontId="15" fillId="10" borderId="6" applyProtection="0">
      <alignment horizontal="left" vertical="top"/>
    </xf>
    <xf numFmtId="49" fontId="15" fillId="10" borderId="6" applyProtection="0">
      <alignment horizontal="left" vertical="top"/>
    </xf>
    <xf numFmtId="49" fontId="15" fillId="10" borderId="11" applyProtection="0">
      <alignment horizontal="left" vertical="top" wrapText="1"/>
    </xf>
    <xf numFmtId="49" fontId="15" fillId="10" borderId="11" applyProtection="0">
      <alignment horizontal="left" vertical="top" wrapText="1"/>
    </xf>
    <xf numFmtId="49" fontId="15" fillId="10" borderId="11" applyProtection="0">
      <alignment horizontal="left" vertical="top" wrapText="1"/>
    </xf>
    <xf numFmtId="49" fontId="15" fillId="10" borderId="11" applyProtection="0">
      <alignment horizontal="left" vertical="top" wrapText="1"/>
    </xf>
    <xf numFmtId="49" fontId="15" fillId="10" borderId="11" applyProtection="0">
      <alignment horizontal="left" vertical="top" wrapText="1"/>
    </xf>
    <xf numFmtId="49" fontId="15" fillId="10" borderId="14" applyProtection="0">
      <alignment horizontal="left" vertical="top" wrapText="1"/>
    </xf>
    <xf numFmtId="49" fontId="15" fillId="10" borderId="14" applyProtection="0">
      <alignment horizontal="left" vertical="top" wrapText="1"/>
    </xf>
    <xf numFmtId="49" fontId="15" fillId="10" borderId="14" applyProtection="0">
      <alignment horizontal="left" vertical="top" wrapText="1"/>
    </xf>
    <xf numFmtId="49" fontId="15" fillId="10" borderId="14" applyProtection="0">
      <alignment horizontal="left" vertical="top" wrapText="1"/>
    </xf>
    <xf numFmtId="49" fontId="15" fillId="10" borderId="8" applyProtection="0">
      <alignment horizontal="left" vertical="top"/>
    </xf>
    <xf numFmtId="49" fontId="15" fillId="10" borderId="6" applyProtection="0">
      <alignment horizontal="left" vertical="top"/>
    </xf>
    <xf numFmtId="49" fontId="15" fillId="10" borderId="8" applyProtection="0">
      <alignment horizontal="left" vertical="top"/>
    </xf>
    <xf numFmtId="49" fontId="15" fillId="10" borderId="14" applyProtection="0">
      <alignment horizontal="left" vertical="top" wrapText="1"/>
    </xf>
    <xf numFmtId="49" fontId="15" fillId="10" borderId="14" applyProtection="0">
      <alignment horizontal="left" vertical="top" wrapText="1"/>
    </xf>
    <xf numFmtId="49" fontId="15" fillId="10" borderId="14" applyProtection="0">
      <alignment horizontal="left" vertical="top" wrapText="1"/>
    </xf>
    <xf numFmtId="49" fontId="15" fillId="10" borderId="14" applyProtection="0">
      <alignment horizontal="left" vertical="top" wrapText="1"/>
    </xf>
    <xf numFmtId="49" fontId="15" fillId="10" borderId="14" applyProtection="0">
      <alignment horizontal="left" vertical="top" wrapText="1"/>
    </xf>
    <xf numFmtId="49" fontId="15" fillId="10" borderId="8" applyProtection="0">
      <alignment horizontal="left" vertical="top"/>
    </xf>
    <xf numFmtId="49" fontId="15" fillId="10" borderId="8" applyProtection="0">
      <alignment horizontal="left" vertical="top"/>
    </xf>
    <xf numFmtId="49" fontId="15" fillId="10" borderId="8" applyProtection="0">
      <alignment horizontal="left" vertical="top"/>
    </xf>
    <xf numFmtId="49" fontId="15" fillId="10" borderId="8" applyProtection="0">
      <alignment horizontal="left" vertical="top"/>
    </xf>
    <xf numFmtId="4" fontId="15" fillId="12" borderId="18" applyProtection="0">
      <alignment horizontal="right" vertical="top"/>
    </xf>
    <xf numFmtId="49" fontId="15" fillId="10" borderId="8" applyProtection="0">
      <alignment horizontal="left" vertical="top"/>
    </xf>
    <xf numFmtId="49" fontId="15" fillId="10" borderId="8" applyProtection="0">
      <alignment horizontal="center" vertical="top"/>
    </xf>
    <xf numFmtId="49" fontId="15" fillId="10" borderId="8" applyProtection="0">
      <alignment horizontal="left" vertical="top"/>
    </xf>
    <xf numFmtId="49" fontId="15" fillId="10" borderId="8" applyProtection="0">
      <alignment horizontal="center" vertical="top"/>
    </xf>
    <xf numFmtId="49" fontId="15" fillId="10" borderId="8" applyProtection="0">
      <alignment horizontal="left" vertical="top"/>
    </xf>
    <xf numFmtId="49" fontId="15" fillId="10" borderId="8" applyProtection="0">
      <alignment horizontal="left" vertical="top"/>
    </xf>
    <xf numFmtId="49" fontId="15" fillId="10" borderId="8" applyProtection="0">
      <alignment horizontal="left" vertical="top"/>
    </xf>
    <xf numFmtId="49" fontId="15" fillId="10" borderId="8" applyProtection="0">
      <alignment horizontal="left" vertical="top"/>
    </xf>
    <xf numFmtId="49" fontId="15" fillId="10" borderId="8" applyProtection="0">
      <alignment horizontal="left" vertical="top"/>
    </xf>
    <xf numFmtId="4" fontId="15" fillId="12" borderId="18" applyProtection="0">
      <alignment horizontal="right" vertical="top"/>
    </xf>
    <xf numFmtId="4" fontId="15" fillId="12" borderId="18" applyProtection="0">
      <alignment horizontal="right" vertical="top"/>
    </xf>
    <xf numFmtId="4" fontId="15" fillId="12" borderId="18" applyProtection="0">
      <alignment horizontal="right" vertical="top"/>
    </xf>
    <xf numFmtId="4" fontId="15" fillId="12" borderId="18" applyProtection="0">
      <alignment horizontal="right" vertical="top"/>
    </xf>
    <xf numFmtId="4" fontId="15" fillId="11" borderId="18" applyProtection="0">
      <alignment horizontal="right" vertical="top"/>
    </xf>
    <xf numFmtId="49" fontId="15" fillId="8" borderId="8" applyProtection="0">
      <alignment horizontal="right" vertical="top"/>
    </xf>
    <xf numFmtId="49" fontId="15" fillId="8" borderId="7" applyProtection="0">
      <alignment horizontal="left" vertical="top"/>
    </xf>
    <xf numFmtId="49" fontId="15" fillId="8" borderId="8" applyProtection="0">
      <alignment horizontal="right" vertical="top"/>
    </xf>
    <xf numFmtId="49" fontId="15" fillId="8" borderId="7" applyProtection="0">
      <alignment horizontal="left" vertical="top"/>
    </xf>
    <xf numFmtId="4" fontId="15" fillId="13" borderId="8" applyProtection="0">
      <alignment horizontal="right" vertical="top"/>
    </xf>
    <xf numFmtId="171" fontId="15" fillId="12" borderId="18" applyProtection="0">
      <alignment horizontal="right" vertical="top"/>
    </xf>
    <xf numFmtId="171" fontId="15" fillId="12" borderId="18" applyProtection="0">
      <alignment horizontal="right" vertical="top"/>
    </xf>
    <xf numFmtId="171" fontId="15" fillId="12" borderId="18" applyProtection="0">
      <alignment horizontal="right" vertical="top"/>
    </xf>
    <xf numFmtId="171" fontId="15" fillId="12" borderId="18" applyProtection="0">
      <alignment horizontal="right" vertical="top"/>
    </xf>
    <xf numFmtId="171" fontId="15" fillId="12" borderId="18" applyProtection="0">
      <alignment horizontal="right" vertical="top"/>
    </xf>
    <xf numFmtId="4" fontId="15" fillId="11" borderId="18" applyProtection="0">
      <alignment horizontal="right" vertical="top"/>
    </xf>
    <xf numFmtId="4" fontId="15" fillId="11" borderId="18" applyProtection="0">
      <alignment horizontal="right" vertical="top"/>
    </xf>
    <xf numFmtId="4" fontId="15" fillId="11" borderId="18" applyProtection="0">
      <alignment horizontal="right" vertical="top"/>
    </xf>
    <xf numFmtId="4" fontId="15" fillId="11" borderId="18" applyProtection="0">
      <alignment horizontal="right" vertical="top"/>
    </xf>
    <xf numFmtId="49" fontId="15" fillId="10" borderId="8" applyProtection="0">
      <alignment horizontal="left" vertical="top"/>
    </xf>
    <xf numFmtId="170" fontId="15" fillId="8" borderId="8" applyProtection="0">
      <alignment horizontal="right" vertical="top"/>
    </xf>
    <xf numFmtId="49" fontId="15" fillId="8" borderId="8" applyProtection="0">
      <alignment horizontal="left" vertical="top"/>
    </xf>
    <xf numFmtId="170" fontId="15" fillId="8" borderId="8" applyProtection="0">
      <alignment horizontal="right" vertical="top"/>
    </xf>
    <xf numFmtId="49" fontId="15" fillId="8" borderId="8" applyProtection="0">
      <alignment horizontal="left" vertical="top"/>
    </xf>
    <xf numFmtId="4" fontId="15" fillId="12" borderId="18" applyProtection="0">
      <alignment horizontal="right" vertical="top"/>
    </xf>
    <xf numFmtId="4" fontId="15" fillId="12" borderId="18" applyProtection="0">
      <alignment horizontal="right" vertical="top"/>
    </xf>
    <xf numFmtId="4" fontId="15" fillId="12" borderId="18" applyProtection="0">
      <alignment horizontal="right" vertical="top"/>
    </xf>
    <xf numFmtId="4" fontId="15" fillId="12" borderId="18" applyProtection="0">
      <alignment horizontal="right" vertical="top"/>
    </xf>
    <xf numFmtId="4" fontId="15" fillId="12" borderId="18" applyProtection="0">
      <alignment horizontal="right" vertical="top"/>
    </xf>
    <xf numFmtId="49" fontId="15" fillId="10" borderId="8" applyProtection="0">
      <alignment horizontal="left" vertical="top"/>
    </xf>
    <xf numFmtId="49" fontId="15" fillId="10" borderId="8" applyProtection="0">
      <alignment horizontal="left" vertical="top"/>
    </xf>
    <xf numFmtId="49" fontId="15" fillId="10" borderId="8" applyProtection="0">
      <alignment horizontal="left" vertical="top"/>
    </xf>
    <xf numFmtId="49" fontId="15" fillId="10" borderId="8" applyProtection="0">
      <alignment horizontal="left" vertical="top"/>
    </xf>
    <xf numFmtId="43" fontId="5" fillId="0" borderId="0" applyFont="0" applyFill="0" applyBorder="0" applyAlignment="0" applyProtection="0"/>
    <xf numFmtId="0" fontId="17" fillId="14" borderId="0" applyNumberFormat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/>
    <xf numFmtId="0" fontId="5" fillId="0" borderId="0" applyNumberForma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5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49" fontId="15" fillId="10" borderId="7" applyProtection="0">
      <alignment horizontal="left" vertical="top"/>
    </xf>
    <xf numFmtId="49" fontId="15" fillId="10" borderId="7" applyProtection="0">
      <alignment horizontal="left" vertical="top"/>
    </xf>
    <xf numFmtId="49" fontId="15" fillId="10" borderId="7" applyProtection="0">
      <alignment horizontal="left" vertical="top"/>
    </xf>
    <xf numFmtId="49" fontId="15" fillId="10" borderId="7" applyProtection="0">
      <alignment horizontal="left" vertical="top"/>
    </xf>
    <xf numFmtId="49" fontId="15" fillId="10" borderId="7" applyProtection="0">
      <alignment horizontal="left" vertical="top"/>
    </xf>
    <xf numFmtId="4" fontId="15" fillId="8" borderId="8" applyProtection="0">
      <alignment horizontal="right" vertical="top"/>
    </xf>
    <xf numFmtId="49" fontId="15" fillId="8" borderId="8" applyProtection="0">
      <alignment horizontal="right" vertical="top"/>
    </xf>
    <xf numFmtId="49" fontId="16" fillId="8" borderId="8" applyProtection="0">
      <alignment horizontal="right" vertical="top"/>
    </xf>
    <xf numFmtId="170" fontId="15" fillId="8" borderId="8" applyProtection="0">
      <alignment horizontal="right" vertical="top"/>
    </xf>
    <xf numFmtId="170" fontId="16" fillId="8" borderId="8" applyProtection="0">
      <alignment horizontal="right" vertical="top"/>
    </xf>
    <xf numFmtId="4" fontId="15" fillId="8" borderId="8" applyProtection="0">
      <alignment horizontal="right" vertical="top"/>
    </xf>
    <xf numFmtId="4" fontId="16" fillId="8" borderId="8" applyProtection="0">
      <alignment horizontal="right" vertical="top"/>
    </xf>
    <xf numFmtId="49" fontId="15" fillId="10" borderId="13" applyProtection="0">
      <alignment horizontal="left" vertical="top"/>
    </xf>
    <xf numFmtId="49" fontId="15" fillId="10" borderId="13" applyProtection="0">
      <alignment horizontal="left" vertical="top"/>
    </xf>
    <xf numFmtId="49" fontId="15" fillId="10" borderId="13" applyProtection="0">
      <alignment horizontal="left" vertical="top"/>
    </xf>
    <xf numFmtId="49" fontId="15" fillId="10" borderId="8" applyProtection="0">
      <alignment horizontal="left" vertical="top"/>
    </xf>
    <xf numFmtId="49" fontId="15" fillId="10" borderId="8" applyProtection="0">
      <alignment horizontal="left" vertical="top"/>
    </xf>
    <xf numFmtId="49" fontId="15" fillId="10" borderId="8" applyProtection="0">
      <alignment horizontal="left" vertical="top"/>
    </xf>
    <xf numFmtId="49" fontId="15" fillId="10" borderId="8" applyProtection="0">
      <alignment horizontal="left" vertical="top"/>
    </xf>
    <xf numFmtId="49" fontId="15" fillId="10" borderId="11" applyProtection="0">
      <alignment horizontal="left" vertical="top" wrapText="1"/>
    </xf>
    <xf numFmtId="49" fontId="15" fillId="10" borderId="14" applyProtection="0">
      <alignment horizontal="left" vertical="top" wrapText="1"/>
    </xf>
    <xf numFmtId="49" fontId="15" fillId="10" borderId="13" applyProtection="0">
      <alignment horizontal="left" vertical="top"/>
    </xf>
    <xf numFmtId="49" fontId="15" fillId="10" borderId="11" applyProtection="0">
      <alignment horizontal="left" vertical="top" wrapText="1"/>
    </xf>
    <xf numFmtId="49" fontId="15" fillId="10" borderId="14" applyProtection="0">
      <alignment horizontal="left" vertical="top" wrapText="1"/>
    </xf>
    <xf numFmtId="49" fontId="15" fillId="10" borderId="8" applyProtection="0">
      <alignment horizontal="left" vertical="top"/>
    </xf>
    <xf numFmtId="49" fontId="15" fillId="10" borderId="8" applyProtection="0">
      <alignment horizontal="left" vertical="top"/>
    </xf>
    <xf numFmtId="49" fontId="15" fillId="10" borderId="8" applyProtection="0">
      <alignment horizontal="left" vertical="top"/>
    </xf>
    <xf numFmtId="172" fontId="15" fillId="8" borderId="8" applyProtection="0">
      <alignment horizontal="left" vertical="top"/>
    </xf>
    <xf numFmtId="49" fontId="15" fillId="10" borderId="11" applyProtection="0">
      <alignment horizontal="left" vertical="top" wrapText="1"/>
    </xf>
    <xf numFmtId="49" fontId="15" fillId="10" borderId="14" applyProtection="0">
      <alignment horizontal="left" vertical="top" wrapText="1"/>
    </xf>
    <xf numFmtId="49" fontId="15" fillId="10" borderId="6" applyProtection="0">
      <alignment horizontal="center" vertical="top"/>
    </xf>
    <xf numFmtId="49" fontId="15" fillId="10" borderId="6" applyProtection="0">
      <alignment horizontal="center" vertical="top"/>
    </xf>
    <xf numFmtId="49" fontId="15" fillId="10" borderId="6" applyProtection="0">
      <alignment horizontal="center" vertical="top"/>
    </xf>
    <xf numFmtId="49" fontId="15" fillId="10" borderId="6" applyProtection="0">
      <alignment horizontal="center" vertical="top"/>
    </xf>
    <xf numFmtId="49" fontId="15" fillId="10" borderId="14" applyProtection="0">
      <alignment horizontal="left" vertical="top" wrapText="1"/>
    </xf>
    <xf numFmtId="49" fontId="15" fillId="10" borderId="13" applyProtection="0">
      <alignment horizontal="left" vertical="top"/>
    </xf>
    <xf numFmtId="49" fontId="15" fillId="10" borderId="13" applyProtection="0">
      <alignment horizontal="left" vertical="top"/>
    </xf>
    <xf numFmtId="49" fontId="15" fillId="10" borderId="13" applyProtection="0">
      <alignment horizontal="left" vertical="top"/>
    </xf>
    <xf numFmtId="49" fontId="15" fillId="10" borderId="13" applyProtection="0">
      <alignment horizontal="left" vertical="top"/>
    </xf>
    <xf numFmtId="49" fontId="15" fillId="10" borderId="6" applyProtection="0">
      <alignment horizontal="left" vertical="top"/>
    </xf>
    <xf numFmtId="49" fontId="15" fillId="10" borderId="6" applyProtection="0">
      <alignment horizontal="left" vertical="top"/>
    </xf>
    <xf numFmtId="49" fontId="15" fillId="10" borderId="11" applyProtection="0">
      <alignment horizontal="left" vertical="top" wrapText="1"/>
    </xf>
    <xf numFmtId="49" fontId="15" fillId="10" borderId="11" applyProtection="0">
      <alignment horizontal="left" vertical="top" wrapText="1"/>
    </xf>
    <xf numFmtId="49" fontId="15" fillId="10" borderId="11" applyProtection="0">
      <alignment horizontal="left" vertical="top" wrapText="1"/>
    </xf>
    <xf numFmtId="49" fontId="15" fillId="10" borderId="11" applyProtection="0">
      <alignment horizontal="left" vertical="top" wrapText="1"/>
    </xf>
    <xf numFmtId="49" fontId="15" fillId="10" borderId="11" applyProtection="0">
      <alignment horizontal="left" vertical="top" wrapText="1"/>
    </xf>
    <xf numFmtId="49" fontId="15" fillId="10" borderId="14" applyProtection="0">
      <alignment horizontal="left" vertical="top" wrapText="1"/>
    </xf>
    <xf numFmtId="49" fontId="15" fillId="10" borderId="14" applyProtection="0">
      <alignment horizontal="left" vertical="top" wrapText="1"/>
    </xf>
    <xf numFmtId="49" fontId="15" fillId="10" borderId="14" applyProtection="0">
      <alignment horizontal="left" vertical="top" wrapText="1"/>
    </xf>
    <xf numFmtId="49" fontId="15" fillId="10" borderId="14" applyProtection="0">
      <alignment horizontal="left" vertical="top" wrapText="1"/>
    </xf>
    <xf numFmtId="49" fontId="15" fillId="10" borderId="6" applyProtection="0">
      <alignment horizontal="left" vertical="top"/>
    </xf>
    <xf numFmtId="49" fontId="15" fillId="10" borderId="14" applyProtection="0">
      <alignment horizontal="left" vertical="top" wrapText="1"/>
    </xf>
    <xf numFmtId="49" fontId="15" fillId="10" borderId="14" applyProtection="0">
      <alignment horizontal="left" vertical="top" wrapText="1"/>
    </xf>
    <xf numFmtId="49" fontId="15" fillId="10" borderId="14" applyProtection="0">
      <alignment horizontal="left" vertical="top" wrapText="1"/>
    </xf>
    <xf numFmtId="49" fontId="15" fillId="10" borderId="14" applyProtection="0">
      <alignment horizontal="left" vertical="top" wrapText="1"/>
    </xf>
    <xf numFmtId="49" fontId="15" fillId="10" borderId="14" applyProtection="0">
      <alignment horizontal="left" vertical="top" wrapText="1"/>
    </xf>
    <xf numFmtId="49" fontId="15" fillId="10" borderId="8" applyProtection="0">
      <alignment horizontal="left" vertical="top"/>
    </xf>
    <xf numFmtId="49" fontId="15" fillId="10" borderId="8" applyProtection="0">
      <alignment horizontal="left" vertical="top"/>
    </xf>
    <xf numFmtId="49" fontId="15" fillId="10" borderId="8" applyProtection="0">
      <alignment horizontal="left" vertical="top"/>
    </xf>
    <xf numFmtId="49" fontId="15" fillId="10" borderId="8" applyProtection="0">
      <alignment horizontal="left" vertical="top"/>
    </xf>
    <xf numFmtId="49" fontId="15" fillId="10" borderId="8" applyProtection="0">
      <alignment horizontal="left" vertical="top"/>
    </xf>
    <xf numFmtId="49" fontId="15" fillId="10" borderId="8" applyProtection="0">
      <alignment horizontal="center" vertical="top"/>
    </xf>
    <xf numFmtId="49" fontId="15" fillId="10" borderId="8" applyProtection="0">
      <alignment horizontal="left" vertical="top"/>
    </xf>
    <xf numFmtId="49" fontId="15" fillId="10" borderId="8" applyProtection="0">
      <alignment horizontal="left" vertical="top"/>
    </xf>
    <xf numFmtId="49" fontId="15" fillId="10" borderId="8" applyProtection="0">
      <alignment horizontal="left" vertical="top"/>
    </xf>
    <xf numFmtId="49" fontId="15" fillId="10" borderId="8" applyProtection="0">
      <alignment horizontal="left" vertical="top"/>
    </xf>
    <xf numFmtId="49" fontId="15" fillId="10" borderId="8" applyProtection="0">
      <alignment horizontal="left" vertical="top"/>
    </xf>
    <xf numFmtId="49" fontId="15" fillId="8" borderId="8" applyProtection="0">
      <alignment horizontal="right" vertical="top"/>
    </xf>
    <xf numFmtId="49" fontId="15" fillId="8" borderId="7" applyProtection="0">
      <alignment horizontal="left" vertical="top"/>
    </xf>
    <xf numFmtId="4" fontId="15" fillId="13" borderId="8" applyProtection="0">
      <alignment horizontal="right" vertical="top"/>
    </xf>
    <xf numFmtId="170" fontId="15" fillId="8" borderId="8" applyProtection="0">
      <alignment horizontal="right" vertical="top"/>
    </xf>
    <xf numFmtId="49" fontId="15" fillId="8" borderId="8" applyProtection="0">
      <alignment horizontal="left" vertical="top"/>
    </xf>
    <xf numFmtId="49" fontId="15" fillId="10" borderId="8" applyProtection="0">
      <alignment horizontal="left" vertical="top"/>
    </xf>
    <xf numFmtId="49" fontId="15" fillId="10" borderId="8" applyProtection="0">
      <alignment horizontal="left" vertical="top"/>
    </xf>
    <xf numFmtId="49" fontId="15" fillId="10" borderId="8" applyProtection="0">
      <alignment horizontal="left" vertical="top"/>
    </xf>
    <xf numFmtId="49" fontId="15" fillId="10" borderId="8" applyProtection="0">
      <alignment horizontal="left" vertical="top"/>
    </xf>
    <xf numFmtId="44" fontId="1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5" fillId="0" borderId="0"/>
    <xf numFmtId="0" fontId="12" fillId="0" borderId="0"/>
    <xf numFmtId="0" fontId="3" fillId="0" borderId="0"/>
    <xf numFmtId="9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9" fontId="15" fillId="10" borderId="7" applyProtection="0">
      <alignment horizontal="left" vertical="top"/>
    </xf>
    <xf numFmtId="49" fontId="18" fillId="15" borderId="19">
      <alignment horizontal="left" vertical="top"/>
    </xf>
    <xf numFmtId="4" fontId="15" fillId="8" borderId="8" applyProtection="0">
      <alignment horizontal="right" vertical="top"/>
    </xf>
    <xf numFmtId="49" fontId="15" fillId="8" borderId="8" applyProtection="0">
      <alignment horizontal="right" vertical="top"/>
    </xf>
    <xf numFmtId="49" fontId="16" fillId="8" borderId="8" applyProtection="0">
      <alignment horizontal="right" vertical="top"/>
    </xf>
    <xf numFmtId="170" fontId="15" fillId="8" borderId="8" applyProtection="0">
      <alignment horizontal="right" vertical="top"/>
    </xf>
    <xf numFmtId="170" fontId="16" fillId="8" borderId="8" applyProtection="0">
      <alignment horizontal="right" vertical="top"/>
    </xf>
    <xf numFmtId="4" fontId="15" fillId="8" borderId="8" applyProtection="0">
      <alignment horizontal="right" vertical="top"/>
    </xf>
    <xf numFmtId="4" fontId="16" fillId="8" borderId="8" applyProtection="0">
      <alignment horizontal="right" vertical="top"/>
    </xf>
    <xf numFmtId="49" fontId="15" fillId="8" borderId="9" applyProtection="0">
      <alignment horizontal="left" vertical="top"/>
    </xf>
    <xf numFmtId="49" fontId="15" fillId="8" borderId="6" applyProtection="0">
      <alignment horizontal="left" vertical="top"/>
    </xf>
    <xf numFmtId="49" fontId="16" fillId="8" borderId="8" applyProtection="0">
      <alignment horizontal="left" vertical="top"/>
    </xf>
    <xf numFmtId="49" fontId="16" fillId="8" borderId="8" applyProtection="0">
      <alignment horizontal="right" vertical="top"/>
    </xf>
    <xf numFmtId="170" fontId="16" fillId="8" borderId="8" applyProtection="0">
      <alignment horizontal="right" vertical="top"/>
    </xf>
    <xf numFmtId="4" fontId="16" fillId="8" borderId="8" applyProtection="0">
      <alignment horizontal="right" vertical="top"/>
    </xf>
    <xf numFmtId="49" fontId="15" fillId="10" borderId="13" applyProtection="0">
      <alignment horizontal="left" vertical="top"/>
    </xf>
    <xf numFmtId="49" fontId="15" fillId="10" borderId="11" applyProtection="0">
      <alignment horizontal="left" vertical="top" wrapText="1"/>
    </xf>
    <xf numFmtId="49" fontId="18" fillId="15" borderId="20">
      <alignment horizontal="left" vertical="top"/>
    </xf>
    <xf numFmtId="49" fontId="15" fillId="10" borderId="14" applyProtection="0">
      <alignment horizontal="left" vertical="top" wrapText="1"/>
    </xf>
    <xf numFmtId="49" fontId="18" fillId="15" borderId="21">
      <alignment horizontal="left" vertical="top"/>
    </xf>
    <xf numFmtId="49" fontId="15" fillId="10" borderId="6" applyProtection="0">
      <alignment horizontal="center" vertical="top"/>
    </xf>
    <xf numFmtId="49" fontId="15" fillId="10" borderId="6" applyProtection="0">
      <alignment horizontal="left" vertical="top"/>
    </xf>
    <xf numFmtId="49" fontId="18" fillId="15" borderId="22">
      <alignment horizontal="left" vertical="top"/>
    </xf>
    <xf numFmtId="49" fontId="15" fillId="10" borderId="8" applyProtection="0">
      <alignment horizontal="left" vertical="top"/>
    </xf>
    <xf numFmtId="49" fontId="18" fillId="15" borderId="20">
      <alignment horizontal="left" vertical="top" indent="1"/>
    </xf>
    <xf numFmtId="49" fontId="15" fillId="10" borderId="8" applyProtection="0">
      <alignment horizontal="left" vertical="top"/>
    </xf>
    <xf numFmtId="49" fontId="15" fillId="10" borderId="8" applyProtection="0">
      <alignment horizontal="center" vertical="top"/>
    </xf>
    <xf numFmtId="4" fontId="18" fillId="16" borderId="23">
      <alignment horizontal="right" vertical="top"/>
    </xf>
    <xf numFmtId="49" fontId="15" fillId="8" borderId="8" applyProtection="0">
      <alignment horizontal="right" vertical="top"/>
    </xf>
    <xf numFmtId="49" fontId="15" fillId="8" borderId="7" applyProtection="0">
      <alignment horizontal="left" vertical="top"/>
    </xf>
    <xf numFmtId="4" fontId="18" fillId="17" borderId="23">
      <alignment horizontal="right" vertical="top"/>
    </xf>
    <xf numFmtId="170" fontId="15" fillId="8" borderId="8" applyProtection="0">
      <alignment horizontal="right" vertical="top"/>
    </xf>
    <xf numFmtId="49" fontId="15" fillId="8" borderId="8" applyProtection="0">
      <alignment horizontal="left" vertical="top"/>
    </xf>
    <xf numFmtId="4" fontId="19" fillId="9" borderId="23">
      <alignment horizontal="right" vertical="top"/>
    </xf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" fillId="0" borderId="0"/>
    <xf numFmtId="0" fontId="3" fillId="0" borderId="0"/>
    <xf numFmtId="164" fontId="5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0" fontId="3" fillId="0" borderId="0"/>
    <xf numFmtId="43" fontId="5" fillId="0" borderId="0" applyFont="0" applyFill="0" applyBorder="0" applyAlignment="0" applyProtection="0"/>
    <xf numFmtId="0" fontId="3" fillId="0" borderId="0"/>
    <xf numFmtId="0" fontId="5" fillId="0" borderId="0"/>
    <xf numFmtId="9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/>
    <xf numFmtId="0" fontId="2" fillId="0" borderId="0"/>
    <xf numFmtId="0" fontId="1" fillId="0" borderId="0"/>
    <xf numFmtId="44" fontId="1" fillId="0" borderId="0" applyFont="0" applyFill="0" applyBorder="0" applyAlignment="0" applyProtection="0"/>
  </cellStyleXfs>
  <cellXfs count="78">
    <xf numFmtId="0" fontId="0" fillId="0" borderId="0" xfId="0"/>
    <xf numFmtId="0" fontId="6" fillId="0" borderId="0" xfId="1" applyFont="1"/>
    <xf numFmtId="0" fontId="8" fillId="0" borderId="0" xfId="1" applyFont="1" applyAlignment="1">
      <alignment horizontal="center" vertical="center"/>
    </xf>
    <xf numFmtId="0" fontId="9" fillId="2" borderId="0" xfId="1" applyFont="1" applyFill="1" applyAlignment="1">
      <alignment horizontal="left"/>
    </xf>
    <xf numFmtId="0" fontId="10" fillId="2" borderId="0" xfId="2" applyFont="1" applyFill="1" applyAlignment="1">
      <alignment horizontal="left"/>
    </xf>
    <xf numFmtId="0" fontId="8" fillId="0" borderId="0" xfId="1" applyFont="1" applyAlignment="1">
      <alignment vertical="center"/>
    </xf>
    <xf numFmtId="0" fontId="11" fillId="3" borderId="4" xfId="1" applyFont="1" applyFill="1" applyBorder="1" applyAlignment="1">
      <alignment horizontal="center" vertical="center"/>
    </xf>
    <xf numFmtId="0" fontId="11" fillId="5" borderId="4" xfId="1" applyFont="1" applyFill="1" applyBorder="1" applyAlignment="1">
      <alignment horizontal="center" vertical="center"/>
    </xf>
    <xf numFmtId="0" fontId="13" fillId="4" borderId="8" xfId="1" applyFont="1" applyFill="1" applyBorder="1" applyAlignment="1">
      <alignment horizontal="center" vertical="center" wrapText="1"/>
    </xf>
    <xf numFmtId="0" fontId="13" fillId="0" borderId="8" xfId="1" applyFont="1" applyBorder="1" applyAlignment="1">
      <alignment horizontal="center" vertical="center" wrapText="1"/>
    </xf>
    <xf numFmtId="0" fontId="13" fillId="6" borderId="8" xfId="1" applyFont="1" applyFill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 wrapText="1"/>
    </xf>
    <xf numFmtId="0" fontId="8" fillId="0" borderId="9" xfId="1" applyFont="1" applyBorder="1" applyAlignment="1">
      <alignment horizontal="left" vertical="center" wrapText="1"/>
    </xf>
    <xf numFmtId="167" fontId="11" fillId="3" borderId="11" xfId="4" applyNumberFormat="1" applyFont="1" applyFill="1" applyBorder="1" applyAlignment="1">
      <alignment horizontal="left" vertical="center"/>
    </xf>
    <xf numFmtId="0" fontId="11" fillId="3" borderId="11" xfId="1" applyFont="1" applyFill="1" applyBorder="1" applyAlignment="1">
      <alignment horizontal="center" vertical="center"/>
    </xf>
    <xf numFmtId="0" fontId="20" fillId="0" borderId="0" xfId="1" applyFont="1"/>
    <xf numFmtId="3" fontId="8" fillId="0" borderId="0" xfId="1" applyNumberFormat="1" applyFont="1" applyAlignment="1">
      <alignment horizontal="center" vertical="center"/>
    </xf>
    <xf numFmtId="3" fontId="11" fillId="3" borderId="11" xfId="1" applyNumberFormat="1" applyFont="1" applyFill="1" applyBorder="1" applyAlignment="1">
      <alignment horizontal="center" vertical="center"/>
    </xf>
    <xf numFmtId="0" fontId="6" fillId="0" borderId="9" xfId="1" applyFont="1" applyBorder="1" applyAlignment="1">
      <alignment horizontal="left" vertical="center" wrapText="1"/>
    </xf>
    <xf numFmtId="0" fontId="6" fillId="0" borderId="0" xfId="1" applyFont="1" applyAlignment="1">
      <alignment vertical="center"/>
    </xf>
    <xf numFmtId="0" fontId="11" fillId="3" borderId="5" xfId="1" applyFont="1" applyFill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3" fillId="4" borderId="8" xfId="2" applyFont="1" applyFill="1" applyBorder="1" applyAlignment="1">
      <alignment horizontal="center" vertical="center" wrapText="1"/>
    </xf>
    <xf numFmtId="0" fontId="13" fillId="0" borderId="8" xfId="2" applyFont="1" applyBorder="1" applyAlignment="1">
      <alignment horizontal="center" vertical="center" wrapText="1"/>
    </xf>
    <xf numFmtId="0" fontId="11" fillId="3" borderId="15" xfId="1" applyFont="1" applyFill="1" applyBorder="1" applyAlignment="1">
      <alignment horizontal="center" vertical="center"/>
    </xf>
    <xf numFmtId="0" fontId="7" fillId="0" borderId="0" xfId="1" applyFont="1" applyAlignment="1">
      <alignment horizontal="left" vertical="center"/>
    </xf>
    <xf numFmtId="0" fontId="10" fillId="2" borderId="0" xfId="1" applyFont="1" applyFill="1" applyAlignment="1">
      <alignment horizontal="left"/>
    </xf>
    <xf numFmtId="0" fontId="8" fillId="18" borderId="1" xfId="1" applyFont="1" applyFill="1" applyBorder="1" applyAlignment="1">
      <alignment horizontal="centerContinuous" vertical="center"/>
    </xf>
    <xf numFmtId="0" fontId="11" fillId="0" borderId="0" xfId="0" applyFont="1" applyAlignment="1">
      <alignment horizontal="center" vertical="center"/>
    </xf>
    <xf numFmtId="0" fontId="13" fillId="6" borderId="8" xfId="2" applyFont="1" applyFill="1" applyBorder="1" applyAlignment="1">
      <alignment horizontal="center" vertical="center" wrapText="1"/>
    </xf>
    <xf numFmtId="3" fontId="6" fillId="0" borderId="7" xfId="5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left" vertical="center" wrapText="1"/>
    </xf>
    <xf numFmtId="3" fontId="6" fillId="0" borderId="17" xfId="5" applyNumberFormat="1" applyFont="1" applyBorder="1" applyAlignment="1">
      <alignment horizontal="center" vertical="center" wrapText="1"/>
    </xf>
    <xf numFmtId="0" fontId="8" fillId="7" borderId="9" xfId="0" applyFont="1" applyFill="1" applyBorder="1" applyAlignment="1">
      <alignment vertical="center"/>
    </xf>
    <xf numFmtId="0" fontId="8" fillId="0" borderId="9" xfId="0" applyFont="1" applyBorder="1" applyAlignment="1">
      <alignment horizontal="left" vertical="distributed"/>
    </xf>
    <xf numFmtId="0" fontId="8" fillId="4" borderId="9" xfId="0" applyFont="1" applyFill="1" applyBorder="1" applyAlignment="1">
      <alignment vertical="center"/>
    </xf>
    <xf numFmtId="0" fontId="8" fillId="0" borderId="9" xfId="0" applyFont="1" applyBorder="1" applyAlignment="1">
      <alignment vertical="center"/>
    </xf>
    <xf numFmtId="0" fontId="6" fillId="0" borderId="9" xfId="1" applyFont="1" applyBorder="1" applyAlignment="1">
      <alignment horizontal="left" vertical="distributed"/>
    </xf>
    <xf numFmtId="0" fontId="6" fillId="0" borderId="10" xfId="1" applyFont="1" applyBorder="1" applyAlignment="1">
      <alignment horizontal="center" vertical="center" wrapText="1"/>
    </xf>
    <xf numFmtId="0" fontId="8" fillId="3" borderId="11" xfId="1" applyFont="1" applyFill="1" applyBorder="1" applyAlignment="1">
      <alignment horizontal="center" vertical="center"/>
    </xf>
    <xf numFmtId="3" fontId="6" fillId="0" borderId="6" xfId="5" applyNumberFormat="1" applyFont="1" applyBorder="1" applyAlignment="1">
      <alignment horizontal="center" vertical="center" wrapText="1"/>
    </xf>
    <xf numFmtId="3" fontId="6" fillId="0" borderId="9" xfId="5" applyNumberFormat="1" applyFont="1" applyBorder="1" applyAlignment="1">
      <alignment horizontal="center" vertical="center" wrapText="1"/>
    </xf>
    <xf numFmtId="0" fontId="8" fillId="4" borderId="7" xfId="1" applyFont="1" applyFill="1" applyBorder="1" applyAlignment="1">
      <alignment vertical="center" wrapText="1"/>
    </xf>
    <xf numFmtId="0" fontId="6" fillId="0" borderId="24" xfId="1" applyFont="1" applyBorder="1" applyAlignment="1">
      <alignment horizontal="left" vertical="distributed"/>
    </xf>
    <xf numFmtId="0" fontId="6" fillId="0" borderId="24" xfId="1" applyFont="1" applyBorder="1" applyAlignment="1">
      <alignment horizontal="left" vertical="center" wrapText="1"/>
    </xf>
    <xf numFmtId="0" fontId="6" fillId="0" borderId="25" xfId="1" applyFont="1" applyBorder="1" applyAlignment="1">
      <alignment horizontal="center" vertical="center" wrapText="1"/>
    </xf>
    <xf numFmtId="0" fontId="8" fillId="4" borderId="9" xfId="1" applyFont="1" applyFill="1" applyBorder="1" applyAlignment="1">
      <alignment vertical="center" wrapText="1"/>
    </xf>
    <xf numFmtId="0" fontId="20" fillId="0" borderId="0" xfId="1" applyFont="1" applyAlignment="1">
      <alignment vertical="center"/>
    </xf>
    <xf numFmtId="3" fontId="6" fillId="0" borderId="12" xfId="5" applyNumberFormat="1" applyFont="1" applyBorder="1" applyAlignment="1">
      <alignment horizontal="center" vertical="center" wrapText="1"/>
    </xf>
    <xf numFmtId="0" fontId="13" fillId="4" borderId="26" xfId="2" applyFont="1" applyFill="1" applyBorder="1" applyAlignment="1">
      <alignment horizontal="center" vertical="center" wrapText="1"/>
    </xf>
    <xf numFmtId="0" fontId="13" fillId="6" borderId="27" xfId="2" applyFont="1" applyFill="1" applyBorder="1" applyAlignment="1">
      <alignment horizontal="center" vertical="center" wrapText="1"/>
    </xf>
    <xf numFmtId="0" fontId="13" fillId="6" borderId="26" xfId="2" applyFont="1" applyFill="1" applyBorder="1" applyAlignment="1">
      <alignment horizontal="center" vertical="center" wrapText="1"/>
    </xf>
    <xf numFmtId="0" fontId="13" fillId="4" borderId="28" xfId="2" applyFont="1" applyFill="1" applyBorder="1" applyAlignment="1">
      <alignment horizontal="center" vertical="center" wrapText="1"/>
    </xf>
    <xf numFmtId="0" fontId="13" fillId="4" borderId="29" xfId="2" applyFont="1" applyFill="1" applyBorder="1" applyAlignment="1">
      <alignment horizontal="center" vertical="center" wrapText="1"/>
    </xf>
    <xf numFmtId="0" fontId="13" fillId="6" borderId="29" xfId="2" applyFont="1" applyFill="1" applyBorder="1" applyAlignment="1">
      <alignment horizontal="center" vertical="center" wrapText="1"/>
    </xf>
    <xf numFmtId="0" fontId="13" fillId="0" borderId="29" xfId="2" applyFont="1" applyBorder="1" applyAlignment="1">
      <alignment horizontal="center" vertical="center" wrapText="1"/>
    </xf>
    <xf numFmtId="0" fontId="13" fillId="6" borderId="30" xfId="2" applyFont="1" applyFill="1" applyBorder="1" applyAlignment="1">
      <alignment horizontal="center" vertical="center" wrapText="1"/>
    </xf>
    <xf numFmtId="0" fontId="13" fillId="6" borderId="28" xfId="2" applyFont="1" applyFill="1" applyBorder="1" applyAlignment="1">
      <alignment horizontal="center" vertical="center" wrapText="1"/>
    </xf>
    <xf numFmtId="0" fontId="13" fillId="6" borderId="13" xfId="1" applyFont="1" applyFill="1" applyBorder="1" applyAlignment="1">
      <alignment horizontal="center" vertical="center" wrapText="1"/>
    </xf>
    <xf numFmtId="0" fontId="13" fillId="4" borderId="13" xfId="1" applyFont="1" applyFill="1" applyBorder="1" applyAlignment="1">
      <alignment horizontal="center" vertical="center" wrapText="1"/>
    </xf>
    <xf numFmtId="0" fontId="8" fillId="7" borderId="9" xfId="1" applyFont="1" applyFill="1" applyBorder="1" applyAlignment="1">
      <alignment vertical="center" wrapText="1"/>
    </xf>
    <xf numFmtId="0" fontId="13" fillId="4" borderId="31" xfId="2" applyFont="1" applyFill="1" applyBorder="1" applyAlignment="1">
      <alignment horizontal="center" vertical="center" wrapText="1"/>
    </xf>
    <xf numFmtId="0" fontId="13" fillId="4" borderId="13" xfId="2" applyFont="1" applyFill="1" applyBorder="1" applyAlignment="1">
      <alignment horizontal="center" vertical="center" wrapText="1"/>
    </xf>
    <xf numFmtId="0" fontId="13" fillId="6" borderId="13" xfId="2" applyFont="1" applyFill="1" applyBorder="1" applyAlignment="1">
      <alignment horizontal="center" vertical="center" wrapText="1"/>
    </xf>
    <xf numFmtId="0" fontId="13" fillId="6" borderId="26" xfId="1" applyFont="1" applyFill="1" applyBorder="1" applyAlignment="1">
      <alignment horizontal="center" vertical="center" wrapText="1"/>
    </xf>
    <xf numFmtId="0" fontId="13" fillId="4" borderId="26" xfId="1" applyFont="1" applyFill="1" applyBorder="1" applyAlignment="1">
      <alignment horizontal="center" vertical="center" wrapText="1"/>
    </xf>
    <xf numFmtId="3" fontId="11" fillId="3" borderId="5" xfId="1" applyNumberFormat="1" applyFont="1" applyFill="1" applyBorder="1" applyAlignment="1">
      <alignment horizontal="center" vertical="center"/>
    </xf>
    <xf numFmtId="3" fontId="20" fillId="0" borderId="0" xfId="1" applyNumberFormat="1" applyFont="1"/>
    <xf numFmtId="3" fontId="8" fillId="18" borderId="1" xfId="1" applyNumberFormat="1" applyFont="1" applyFill="1" applyBorder="1" applyAlignment="1">
      <alignment horizontal="centerContinuous" vertical="center"/>
    </xf>
    <xf numFmtId="3" fontId="11" fillId="0" borderId="0" xfId="1" applyNumberFormat="1" applyFont="1" applyAlignment="1">
      <alignment horizontal="center" vertical="center" wrapText="1"/>
    </xf>
    <xf numFmtId="3" fontId="6" fillId="0" borderId="16" xfId="5" applyNumberFormat="1" applyFont="1" applyBorder="1" applyAlignment="1">
      <alignment horizontal="center" vertical="center" wrapText="1"/>
    </xf>
    <xf numFmtId="0" fontId="11" fillId="3" borderId="2" xfId="1" applyFont="1" applyFill="1" applyBorder="1" applyAlignment="1">
      <alignment horizontal="center" vertical="center"/>
    </xf>
    <xf numFmtId="0" fontId="11" fillId="3" borderId="3" xfId="1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4" xfId="1" applyFont="1" applyFill="1" applyBorder="1" applyAlignment="1">
      <alignment horizontal="center" vertical="center"/>
    </xf>
    <xf numFmtId="0" fontId="8" fillId="7" borderId="9" xfId="0" applyFont="1" applyFill="1" applyBorder="1" applyAlignment="1">
      <alignment horizontal="left" vertical="center" wrapText="1"/>
    </xf>
    <xf numFmtId="0" fontId="11" fillId="3" borderId="4" xfId="0" applyFont="1" applyFill="1" applyBorder="1" applyAlignment="1">
      <alignment horizontal="center" vertical="center" wrapText="1"/>
    </xf>
    <xf numFmtId="3" fontId="11" fillId="3" borderId="4" xfId="1" applyNumberFormat="1" applyFont="1" applyFill="1" applyBorder="1" applyAlignment="1">
      <alignment horizontal="center" vertical="center" wrapText="1"/>
    </xf>
  </cellXfs>
  <cellStyles count="490">
    <cellStyle name="=C:\WINNT\SYSTEM32\COMMAND.COM" xfId="16" xr:uid="{D12CFFD8-3727-4A46-B996-C124F2046BBF}"/>
    <cellStyle name="=C:\WINNT\SYSTEM32\COMMAND.COM 2" xfId="17" xr:uid="{0F9047B3-564D-4343-96ED-4985FBA21167}"/>
    <cellStyle name="=C:\WINNT\SYSTEM32\COMMAND.COM 2 2" xfId="33" xr:uid="{311EC38B-3EF1-4453-95C8-F121182F9DBF}"/>
    <cellStyle name="=C:\WINNT\SYSTEM32\COMMAND.COM 2 2 2" xfId="381" xr:uid="{46D01F3A-1376-4F9B-9962-087164C870DA}"/>
    <cellStyle name="=C:\WINNT\SYSTEM32\COMMAND.COM 2 3" xfId="34" xr:uid="{1A8931FE-DF84-468A-BDC5-EE4D7E984718}"/>
    <cellStyle name="=C:\WINNT\SYSTEM32\COMMAND.COM 2 3 2" xfId="382" xr:uid="{7FE3F81C-0BA0-44FF-AF4B-3CDC2C48BF5E}"/>
    <cellStyle name="=C:\WINNT\SYSTEM32\COMMAND.COM 2 4" xfId="383" xr:uid="{820B7DBD-7617-4FC1-8652-6BFB744C1A71}"/>
    <cellStyle name="=C:\WINNT\SYSTEM32\COMMAND.COM 3" xfId="35" xr:uid="{0710C4E3-D050-4497-B29E-24C24FDE468A}"/>
    <cellStyle name="=C:\WINNT\SYSTEM32\COMMAND.COM_Futebol 2015 - NET" xfId="36" xr:uid="{52D8584E-3A0F-4924-84F9-47C63FB28B67}"/>
    <cellStyle name="1" xfId="37" xr:uid="{FF3C98B8-8864-4FC6-AF98-00BF21730914}"/>
    <cellStyle name="1 12" xfId="38" xr:uid="{D2674A33-DC55-4819-87D5-CA17DFC6CD93}"/>
    <cellStyle name="1 12 2" xfId="292" xr:uid="{DDF94993-0E67-486E-8486-DF73904A76B0}"/>
    <cellStyle name="1 2" xfId="39" xr:uid="{881385C4-2E84-45B1-95A2-CD622EED8E75}"/>
    <cellStyle name="1 2 2" xfId="384" xr:uid="{34429D5F-1BC0-44CA-A534-F788B7FE126D}"/>
    <cellStyle name="1 3" xfId="385" xr:uid="{37A2C5F2-12A1-43D2-BBC1-CAF673CE71C8}"/>
    <cellStyle name="1_Indy_2010_BS_BN_Final" xfId="40" xr:uid="{0FE912C5-4751-4DD5-8474-3A494EC3F3D8}"/>
    <cellStyle name="1_Indy_2010_BS_BN_Final 2" xfId="41" xr:uid="{21FBCA78-0BD8-4930-B555-E16B873C51AD}"/>
    <cellStyle name="1_Indy_2010_BS_BN_Final 2 2" xfId="293" xr:uid="{E0695BD1-3244-4B8A-A86C-6A442F5645F3}"/>
    <cellStyle name="1_Indy_2010_BS_BN_Final 3" xfId="294" xr:uid="{197920C5-A1F2-4C7E-994A-0C867E602F39}"/>
    <cellStyle name="1_Indy_2010_BS_BN_Final_Cópia de Plano Fórmula Indy 2012_Internet_23ago11" xfId="42" xr:uid="{BD70553D-D652-4E8E-BC77-C7D0BBD835CB}"/>
    <cellStyle name="1_Indy_2010_BS_BN_Final_Cópia de Plano Fórmula Indy 2012_Internet_23ago11 2" xfId="295" xr:uid="{D1F11EE9-8E91-4078-B089-0952E3055225}"/>
    <cellStyle name="1_Indy_2010_BS_BN_Final_Futebol 2015 - NET" xfId="43" xr:uid="{25F20024-B5BC-4C5C-9527-55EBA7D41E89}"/>
    <cellStyle name="1_Indy_2010_BS_BN_Final_Futebol 2015 - NET 2" xfId="296" xr:uid="{CFC6B15B-80D4-403E-BA64-9CA6069EB32D}"/>
    <cellStyle name="10" xfId="44" xr:uid="{222A2A88-E1CC-4A97-96DB-C00D40089A1A}"/>
    <cellStyle name="10 2" xfId="45" xr:uid="{8A8ADC9F-0416-4A69-9928-66D0A48E8DB7}"/>
    <cellStyle name="10 2 2" xfId="297" xr:uid="{223C7A70-3586-49F5-98E6-137BEE7726A9}"/>
    <cellStyle name="10 3" xfId="46" xr:uid="{1E7DD2D6-8527-4288-BD8F-8A4EACD6CFF9}"/>
    <cellStyle name="10 3 2" xfId="298" xr:uid="{30D2CD17-62AC-4B58-A199-0183E85E9812}"/>
    <cellStyle name="10 4" xfId="47" xr:uid="{94B48E7E-7579-4828-AABF-EC8F2E7CE314}"/>
    <cellStyle name="10 4 2" xfId="386" xr:uid="{936AD31E-4176-4DCC-874D-D5E59F366B0A}"/>
    <cellStyle name="10 5" xfId="48" xr:uid="{79CB758C-F4F7-4AE2-95F6-649A39926BD3}"/>
    <cellStyle name="10 5 2" xfId="387" xr:uid="{CDBA1524-F6A5-4B2C-854E-49C4A3065F69}"/>
    <cellStyle name="11" xfId="49" xr:uid="{1B6ABE6A-8AA0-4A8C-87B5-DAA0D19147E7}"/>
    <cellStyle name="11 2" xfId="50" xr:uid="{F3E07FA4-1A2F-48FA-A950-41CCDD15D1E8}"/>
    <cellStyle name="11 2 2" xfId="299" xr:uid="{B14984B7-ED67-4466-A532-4367D25D7D67}"/>
    <cellStyle name="11 3" xfId="51" xr:uid="{88CB9313-9D41-4E4C-B4C2-C8208D47BD7E}"/>
    <cellStyle name="11 3 2" xfId="300" xr:uid="{425965ED-1309-4D85-815F-FBCA015CC5C9}"/>
    <cellStyle name="11 4" xfId="52" xr:uid="{5CA25BCB-63E9-4AB5-A71D-9D08A3DA7C31}"/>
    <cellStyle name="11 4 2" xfId="388" xr:uid="{BFD72F6E-391F-48C3-A807-4F037681305E}"/>
    <cellStyle name="11 5" xfId="53" xr:uid="{C17020FD-BB64-4FC3-BEC1-82A599BDE3D7}"/>
    <cellStyle name="11 5 2" xfId="389" xr:uid="{890AC670-0226-47EF-A353-8280C8DF9613}"/>
    <cellStyle name="12" xfId="54" xr:uid="{F31188D5-FEA4-4161-AA8F-849E2603A4DB}"/>
    <cellStyle name="12 2" xfId="55" xr:uid="{379A561F-BA98-4FA3-8AEB-2E6DC3D31D99}"/>
    <cellStyle name="12 2 2" xfId="301" xr:uid="{EA1737C2-9D56-49CB-9D86-789E43824266}"/>
    <cellStyle name="12 3" xfId="56" xr:uid="{2833BFAE-ABCE-4A87-9741-13CEFAF98DCF}"/>
    <cellStyle name="12 3 2" xfId="302" xr:uid="{F60D87F0-0C39-451F-B33B-9D07A7460F2C}"/>
    <cellStyle name="12 4" xfId="57" xr:uid="{E9549699-9799-4FCE-A0E0-D58308AD1077}"/>
    <cellStyle name="12 4 2" xfId="390" xr:uid="{24210C95-3121-42F7-B614-CBE24583873A}"/>
    <cellStyle name="12 5" xfId="58" xr:uid="{E220115E-1102-46B7-8548-F7A45D16A883}"/>
    <cellStyle name="12 5 2" xfId="391" xr:uid="{0CFABABC-4B88-4462-A2A1-794EAC733E84}"/>
    <cellStyle name="13" xfId="59" xr:uid="{115EDF37-C24A-4EB0-962C-B2FE0FE38175}"/>
    <cellStyle name="13 2" xfId="60" xr:uid="{E43DDCBE-7310-48C5-9AB6-F610A46D0ED0}"/>
    <cellStyle name="13 2 2" xfId="303" xr:uid="{6D68C577-3190-4CF0-91B6-400B9E41277B}"/>
    <cellStyle name="13 3" xfId="61" xr:uid="{1B4CE2B1-05ED-4D7C-A509-142C9B5CCDFC}"/>
    <cellStyle name="13 4" xfId="62" xr:uid="{0C553DE2-1FA5-4FE5-8CF5-81F2013DB624}"/>
    <cellStyle name="13 4 2" xfId="392" xr:uid="{727E0E3A-94AA-42AD-B698-E71AA20D9D3F}"/>
    <cellStyle name="13 5" xfId="63" xr:uid="{FFFFF06F-1A7C-4BE8-9352-9484E00E8D24}"/>
    <cellStyle name="13 5 2" xfId="393" xr:uid="{BD5714FE-A02B-4E5B-AC37-08D988BE74D9}"/>
    <cellStyle name="14" xfId="64" xr:uid="{4E13813B-A2D1-47E1-A135-3ECB332880E8}"/>
    <cellStyle name="14 2" xfId="65" xr:uid="{BDD65176-0468-4A99-8FF4-DC61E73B10BB}"/>
    <cellStyle name="14 3" xfId="66" xr:uid="{9C46EDEF-B646-495F-9E4C-A640D0C4B08B}"/>
    <cellStyle name="14 3 2" xfId="394" xr:uid="{BF5CB751-7935-492F-9BDE-F86E981A319D}"/>
    <cellStyle name="15" xfId="67" xr:uid="{AE33E5E3-99AC-4A2E-AE99-EE6B58A09A8F}"/>
    <cellStyle name="15 2" xfId="68" xr:uid="{4693138C-11D4-4629-BC38-34D8209DDF21}"/>
    <cellStyle name="15 3" xfId="69" xr:uid="{47431B18-162E-400B-8B24-860D4FEA3B88}"/>
    <cellStyle name="15 3 2" xfId="395" xr:uid="{C085B58D-AD2E-456D-8DCA-54C12C34A553}"/>
    <cellStyle name="16" xfId="70" xr:uid="{088305B1-6AE6-4D25-A739-872DC6BF75A6}"/>
    <cellStyle name="16 2" xfId="71" xr:uid="{3F89F427-6AAD-4CA2-AD10-96229DD692CF}"/>
    <cellStyle name="16 3" xfId="72" xr:uid="{61CAF114-D7B3-447C-B6C2-6521DB88D381}"/>
    <cellStyle name="16 3 2" xfId="396" xr:uid="{98CE1021-7A0D-4D0F-A301-5016B15649F0}"/>
    <cellStyle name="17" xfId="73" xr:uid="{F9EE4496-C395-42C4-9807-03ED68CAF8F0}"/>
    <cellStyle name="17 2" xfId="74" xr:uid="{F4E89946-3B1B-4702-BAE6-98C0A9C1F5AD}"/>
    <cellStyle name="17 2 2" xfId="397" xr:uid="{983732CE-7BE8-4C1E-BD70-9690EDD43D49}"/>
    <cellStyle name="18" xfId="75" xr:uid="{BBEF8D3C-46B1-47AE-ADA5-0850BC85DC78}"/>
    <cellStyle name="18 2" xfId="76" xr:uid="{5536B83D-2B33-41C6-B8C2-A9ED34B4CDF7}"/>
    <cellStyle name="18 2 2" xfId="398" xr:uid="{99910992-CCD4-468D-AA0D-5D92EAFCAD0A}"/>
    <cellStyle name="19" xfId="77" xr:uid="{1736C37A-C249-4182-B74E-FDAA31835E50}"/>
    <cellStyle name="19 2" xfId="304" xr:uid="{EBE78D6B-802B-4471-838B-424DAA496F17}"/>
    <cellStyle name="2" xfId="78" xr:uid="{F2CEE0AB-91A2-437A-9E1B-3B62D9ABA6DB}"/>
    <cellStyle name="2 2" xfId="79" xr:uid="{C17D9F01-F35B-4E3F-9874-ABD74491F269}"/>
    <cellStyle name="2 2 2" xfId="305" xr:uid="{94222E9D-95DA-4A6F-B049-C35F75AB3314}"/>
    <cellStyle name="2 21" xfId="80" xr:uid="{F0C10C31-B124-4C1A-A2A4-378D9FFA0CD3}"/>
    <cellStyle name="2 21 2" xfId="306" xr:uid="{5288E326-6744-4C38-B482-1C9FD62563F6}"/>
    <cellStyle name="2 3" xfId="81" xr:uid="{04EC4818-188A-49A7-BFF8-6FBD795EA4CC}"/>
    <cellStyle name="2 3 2" xfId="399" xr:uid="{B1A0A7AD-6EA3-4232-9A82-F99D074DA8A7}"/>
    <cellStyle name="2_Indy_2010_BS_BN_Final" xfId="82" xr:uid="{BBFEDC9F-6F21-4F86-915E-D3197AB9A515}"/>
    <cellStyle name="2_Indy_2010_BS_BN_Final 2" xfId="83" xr:uid="{754A1409-03C4-42C9-ACDB-0E2CE078EFDA}"/>
    <cellStyle name="2_Indy_2010_BS_BN_Final 2 2" xfId="307" xr:uid="{D5DCEBF1-2EC5-485D-BA1E-9F61B0011888}"/>
    <cellStyle name="2_Indy_2010_BS_BN_Final 3" xfId="308" xr:uid="{C6A66DCB-2FCF-4FD4-B9BD-B6FB30BFCF3F}"/>
    <cellStyle name="2_Indy_2010_BS_BN_Final_Cópia de Plano Fórmula Indy 2012_Internet_23ago11" xfId="84" xr:uid="{46325926-1166-477C-A8AA-613126E52DEA}"/>
    <cellStyle name="2_Indy_2010_BS_BN_Final_Cópia de Plano Fórmula Indy 2012_Internet_23ago11 2" xfId="309" xr:uid="{BCE90CFD-EBEA-44D3-BEFD-2A2D0BAF44F8}"/>
    <cellStyle name="2_Indy_2010_BS_BN_Final_Futebol 2015 - NET" xfId="85" xr:uid="{668B6057-39A3-4AAA-B972-4DF6ADDA780D}"/>
    <cellStyle name="2_Indy_2010_BS_BN_Final_Futebol 2015 - NET 2" xfId="310" xr:uid="{E42CF5E4-082E-4369-AA4B-BBF8E9EE0798}"/>
    <cellStyle name="20" xfId="86" xr:uid="{26C8114B-6CF5-4BB4-BA18-C10C20ED9FF9}"/>
    <cellStyle name="20 2" xfId="311" xr:uid="{152D0A76-F6C7-4517-BC46-C04E53688BC3}"/>
    <cellStyle name="21" xfId="87" xr:uid="{E322F1F3-23AA-4FBC-952E-5364B9FBB36F}"/>
    <cellStyle name="21 2" xfId="312" xr:uid="{EDB3CE61-A05A-419A-9743-64167CB24BF4}"/>
    <cellStyle name="22" xfId="88" xr:uid="{DA6597EA-3905-46F1-A7C8-5C237CA9BB7B}"/>
    <cellStyle name="22 2" xfId="313" xr:uid="{4CF44A04-7914-4DF7-8791-897B41AD8DDC}"/>
    <cellStyle name="23" xfId="89" xr:uid="{85927730-4B19-4FC0-B51F-379087BB8B2A}"/>
    <cellStyle name="23 2" xfId="314" xr:uid="{965D3667-9D35-422B-8B00-B0E3AAB40604}"/>
    <cellStyle name="24" xfId="90" xr:uid="{B7279350-C275-4EAB-8F8B-1259D75B7D53}"/>
    <cellStyle name="24 2" xfId="315" xr:uid="{4D112D7C-9282-47A1-817B-4BA0B240712D}"/>
    <cellStyle name="25" xfId="91" xr:uid="{B42AC437-784A-486D-8A33-08C702CF278E}"/>
    <cellStyle name="25 2" xfId="316" xr:uid="{4613B347-AFB7-456F-8ECD-CF1E2776DCCD}"/>
    <cellStyle name="26" xfId="92" xr:uid="{9AB82C79-5900-40CA-AB45-1C3E0A5EECA6}"/>
    <cellStyle name="26 2" xfId="317" xr:uid="{0FACFF90-F79C-4467-8150-FC2498FCE251}"/>
    <cellStyle name="27" xfId="93" xr:uid="{B9E78781-88C8-4161-BD06-E6931CF69CB2}"/>
    <cellStyle name="27 2" xfId="318" xr:uid="{938A14B8-E1B1-4EA2-8049-8CCDA1CC32A0}"/>
    <cellStyle name="28" xfId="94" xr:uid="{21AA18A2-7136-4093-93C8-91B2D8D8A625}"/>
    <cellStyle name="28 2" xfId="319" xr:uid="{6C7FEE2F-94CB-4BD0-A630-42D1597DEB70}"/>
    <cellStyle name="3" xfId="95" xr:uid="{CBDC7260-16F9-40FD-BFC5-BFA200FC9621}"/>
    <cellStyle name="3 2" xfId="96" xr:uid="{7BDCAF24-B82A-49E6-8406-CA408F639C74}"/>
    <cellStyle name="3 2 2" xfId="320" xr:uid="{F1A5FED2-9D82-465A-8050-9AE1558576B5}"/>
    <cellStyle name="3 26" xfId="97" xr:uid="{BFACFCFD-F70C-49E5-A673-65BEF9E625E4}"/>
    <cellStyle name="3 26 2" xfId="321" xr:uid="{367726EC-DDBD-4076-8768-F125B3ADCBA2}"/>
    <cellStyle name="3 3" xfId="98" xr:uid="{F904C826-76F8-4200-9534-5AE4E2B48CAF}"/>
    <cellStyle name="3 3 2" xfId="400" xr:uid="{581E3764-09BD-4B6C-8CBC-7DB3173CDABD}"/>
    <cellStyle name="3 4" xfId="401" xr:uid="{77D4402A-50B2-48AE-B3E6-A53A69490F00}"/>
    <cellStyle name="3_Indy_2010_BS_BN_Final" xfId="99" xr:uid="{3628B97B-84C6-46A9-A472-110A2596BBB4}"/>
    <cellStyle name="3_Indy_2010_BS_BN_Final 2" xfId="100" xr:uid="{802538D8-8296-45A0-A833-FA3FFCDE28ED}"/>
    <cellStyle name="3_Indy_2010_BS_BN_Final 2 2" xfId="322" xr:uid="{CA5557B0-F86E-4A62-841D-1A1493E8707A}"/>
    <cellStyle name="3_Indy_2010_BS_BN_Final 3" xfId="323" xr:uid="{69C7EBB0-53D4-4DE9-8DAC-2936CC757846}"/>
    <cellStyle name="3_Indy_2010_BS_BN_Final_Cópia de Plano Fórmula Indy 2012_Internet_23ago11" xfId="101" xr:uid="{E774DFEF-BC2B-4E97-8614-06A125C2B0C2}"/>
    <cellStyle name="3_Indy_2010_BS_BN_Final_Cópia de Plano Fórmula Indy 2012_Internet_23ago11 2" xfId="324" xr:uid="{C3F73039-27CB-4F3F-B93F-FD6D9D1DC8C1}"/>
    <cellStyle name="3_Indy_2010_BS_BN_Final_Futebol 2015 - NET" xfId="102" xr:uid="{B01055E3-2C49-4173-BDD5-D86D9908C753}"/>
    <cellStyle name="3_Indy_2010_BS_BN_Final_Futebol 2015 - NET 2" xfId="325" xr:uid="{335F4514-40FD-4647-B502-61664025F4D6}"/>
    <cellStyle name="4" xfId="103" xr:uid="{95C053FD-1D84-4797-8DC6-0A75D22454D6}"/>
    <cellStyle name="4 2" xfId="104" xr:uid="{9D95A71C-F270-43D2-8395-B1ADFD408D4F}"/>
    <cellStyle name="4 2 2" xfId="326" xr:uid="{713CC6A0-70F8-4EBA-8691-04A918DBFBA8}"/>
    <cellStyle name="4 3" xfId="105" xr:uid="{1CCCD1ED-E4C3-4792-84F3-7008136DAC71}"/>
    <cellStyle name="4 3 2" xfId="402" xr:uid="{B2F6C029-B160-4730-9499-CB4E7451F145}"/>
    <cellStyle name="4 4" xfId="403" xr:uid="{E5DE7A9B-DD4B-4479-B071-705FF92120CC}"/>
    <cellStyle name="4_Indy_2010_BS_BN_Final" xfId="106" xr:uid="{82D96DB1-1F64-431B-B84C-323F6556A8CE}"/>
    <cellStyle name="4_Indy_2010_BS_BN_Final 2" xfId="107" xr:uid="{BF7AD309-30DB-48FD-A5DD-D5E661551714}"/>
    <cellStyle name="4_Indy_2010_BS_BN_Final 2 2" xfId="327" xr:uid="{F589E07B-7001-43DB-A502-5AE8834864F8}"/>
    <cellStyle name="4_Indy_2010_BS_BN_Final 3" xfId="328" xr:uid="{E5CB3A98-7954-4EF3-A434-0278BB3FD42B}"/>
    <cellStyle name="4_Indy_2010_BS_BN_Final_Cópia de Plano Fórmula Indy 2012_Internet_23ago11" xfId="108" xr:uid="{E36C3B8E-2D44-4811-95E7-EEC7156C7EEA}"/>
    <cellStyle name="4_Indy_2010_BS_BN_Final_Cópia de Plano Fórmula Indy 2012_Internet_23ago11 2" xfId="329" xr:uid="{DBD150C4-D7B9-48AB-9197-C4CC4C7B169B}"/>
    <cellStyle name="4_Indy_2010_BS_BN_Final_Futebol 2015 - NET" xfId="109" xr:uid="{26883FE9-8DE2-4571-86EA-7A657702ED53}"/>
    <cellStyle name="4_Indy_2010_BS_BN_Final_Futebol 2015 - NET 2" xfId="330" xr:uid="{4CB86E7F-2672-453A-B617-AFE91D062E20}"/>
    <cellStyle name="5" xfId="110" xr:uid="{24C3EB3A-BE78-4E74-82EF-FF35A3013031}"/>
    <cellStyle name="5 2" xfId="111" xr:uid="{E3B1D53F-D4C4-4A2B-A259-6CC70DF47CA6}"/>
    <cellStyle name="5 2 2" xfId="331" xr:uid="{62C77BB6-46D5-4E42-9359-66EA5CB4897A}"/>
    <cellStyle name="5 3" xfId="112" xr:uid="{EE7ECEC3-F046-4606-B293-197F9EC9EF75}"/>
    <cellStyle name="5 3 2" xfId="404" xr:uid="{FF6FE936-6DE2-4D76-A94C-6279CBF9B70F}"/>
    <cellStyle name="5 4" xfId="113" xr:uid="{5BA1630E-5428-4F1D-8718-404CF237C7D8}"/>
    <cellStyle name="5 4 2" xfId="405" xr:uid="{6422BA3A-452A-4C78-9955-EA8269C2A3BD}"/>
    <cellStyle name="5 40" xfId="114" xr:uid="{8FB19522-781E-49D3-AC75-82D0B00907F7}"/>
    <cellStyle name="5 40 2" xfId="332" xr:uid="{C24789CB-FC76-44D4-9C47-D9280960D153}"/>
    <cellStyle name="5 5" xfId="406" xr:uid="{071E4241-1855-4FAB-8A26-1F49C1B276F7}"/>
    <cellStyle name="5_Futebol Globo 2008_2009" xfId="115" xr:uid="{2E8FFB70-AEB6-46C2-80EC-59701C8FC83B}"/>
    <cellStyle name="5_Futebol Globo 2008_2009 2" xfId="333" xr:uid="{14AE1889-0521-44A0-A4EB-71FFFFAF741A}"/>
    <cellStyle name="5_Futebol Globo 2008_2009_Indy_2010_BS_BN_Final" xfId="116" xr:uid="{5468FFDA-A1CC-4A85-894B-F24FA642C0BE}"/>
    <cellStyle name="5_Futebol Globo 2008_2009_Indy_2010_BS_BN_Final 2" xfId="117" xr:uid="{AD9E4243-2BFF-498F-B7CC-E1D392739719}"/>
    <cellStyle name="5_Futebol Globo 2008_2009_Indy_2010_BS_BN_Final 2 2" xfId="334" xr:uid="{B99AF8A8-FADD-41D8-9712-CACD6C6A287C}"/>
    <cellStyle name="5_Futebol Globo 2008_2009_Indy_2010_BS_BN_Final 3" xfId="335" xr:uid="{51F2146D-E05F-4C85-AE55-56059E261D20}"/>
    <cellStyle name="5_Futebol Globo 2008_2009_Indy_2010_BS_BN_Final_Cópia de Plano Fórmula Indy 2012_Internet_23ago11" xfId="118" xr:uid="{8D60EC61-3D08-45FA-985E-4FA27A4AF320}"/>
    <cellStyle name="5_Futebol Globo 2008_2009_Indy_2010_BS_BN_Final_Cópia de Plano Fórmula Indy 2012_Internet_23ago11 2" xfId="336" xr:uid="{EA706C57-A12B-44DA-A612-56F646BFF070}"/>
    <cellStyle name="5_Futebol Globo 2008_2009_Indy_2010_BS_BN_Final_Futebol 2015 - NET" xfId="119" xr:uid="{AC07AAF8-348F-43EC-9C4C-6AC9E1C2C26D}"/>
    <cellStyle name="5_Futebol Globo 2008_2009_Indy_2010_BS_BN_Final_Futebol 2015 - NET 2" xfId="337" xr:uid="{A68A4C4F-AD51-40FA-9EAB-2FC5CF5D6D2C}"/>
    <cellStyle name="5_Indy_2010_BS_BN_Final" xfId="120" xr:uid="{D332A834-65F9-4250-84D9-1C8D5FEFA2A0}"/>
    <cellStyle name="5_Indy_2010_BS_BN_Final 2" xfId="121" xr:uid="{3CA352F9-8296-43F7-892B-4EB201B162F9}"/>
    <cellStyle name="5_Indy_2010_BS_BN_Final 2 2" xfId="338" xr:uid="{E310CBFC-F335-4EF5-8B3E-757857919EEB}"/>
    <cellStyle name="5_Indy_2010_BS_BN_Final 3" xfId="339" xr:uid="{3E166D31-156A-49F6-B336-9464C66D2D9E}"/>
    <cellStyle name="5_Indy_2010_BS_BN_Final_Cópia de Plano Fórmula Indy 2012_Internet_23ago11" xfId="122" xr:uid="{2953D693-1322-4A23-8931-47F3922A6DF7}"/>
    <cellStyle name="5_Indy_2010_BS_BN_Final_Cópia de Plano Fórmula Indy 2012_Internet_23ago11 2" xfId="340" xr:uid="{42FC395F-03CC-419C-B686-ADA112AD611C}"/>
    <cellStyle name="5_Indy_2010_BS_BN_Final_Futebol 2015 - NET" xfId="123" xr:uid="{953FDF36-7C68-4292-B368-13476DBC3501}"/>
    <cellStyle name="5_Indy_2010_BS_BN_Final_Futebol 2015 - NET 2" xfId="341" xr:uid="{56C86C60-A5A0-41B9-A93C-8C13E8BB551F}"/>
    <cellStyle name="6" xfId="124" xr:uid="{ADAFD53C-A4BE-463B-9C2D-761164005AF9}"/>
    <cellStyle name="6 2" xfId="125" xr:uid="{7853B043-2DEF-4E44-99CE-27DF9FE2A8A0}"/>
    <cellStyle name="6 2 2" xfId="342" xr:uid="{2140ECAE-28D1-425F-B030-AA057206F201}"/>
    <cellStyle name="6 3" xfId="126" xr:uid="{ED6BD5CF-7CB6-448B-B105-2FD7C056864D}"/>
    <cellStyle name="6 3 2" xfId="407" xr:uid="{E1A151A7-F931-4C04-8633-7D2C7FE4118D}"/>
    <cellStyle name="6 4" xfId="408" xr:uid="{5453AB28-5C5B-4407-93CE-2FD00300D908}"/>
    <cellStyle name="6_Futebol Globo 2008_2009" xfId="127" xr:uid="{A1A9C9C2-ECAD-462D-8799-F91EC8351443}"/>
    <cellStyle name="6_Futebol Globo 2008_2009 2" xfId="343" xr:uid="{D51F75D6-92FD-4DBE-8970-AB2081DECE44}"/>
    <cellStyle name="6_Futebol Globo 2008_2009_Indy_2010_BS_BN_Final" xfId="128" xr:uid="{61E7A645-BA8D-415B-9816-4A296F7762D6}"/>
    <cellStyle name="6_Futebol Globo 2008_2009_Indy_2010_BS_BN_Final 2" xfId="129" xr:uid="{7DE11929-4A47-4EDD-B9B1-73ABF89692F7}"/>
    <cellStyle name="6_Futebol Globo 2008_2009_Indy_2010_BS_BN_Final 2 2" xfId="344" xr:uid="{53321ED0-94A9-40F3-A122-60CB62631668}"/>
    <cellStyle name="6_Futebol Globo 2008_2009_Indy_2010_BS_BN_Final 3" xfId="345" xr:uid="{8652923C-A1B8-478A-A822-248CF5FE2E8E}"/>
    <cellStyle name="6_Futebol Globo 2008_2009_Indy_2010_BS_BN_Final_Cópia de Plano Fórmula Indy 2012_Internet_23ago11" xfId="130" xr:uid="{01494100-4892-42A0-9A29-B92575B2CD4F}"/>
    <cellStyle name="6_Futebol Globo 2008_2009_Indy_2010_BS_BN_Final_Cópia de Plano Fórmula Indy 2012_Internet_23ago11 2" xfId="346" xr:uid="{92494E62-D2F2-41E8-9487-DD3C31EF0BC5}"/>
    <cellStyle name="6_Futebol Globo 2008_2009_Indy_2010_BS_BN_Final_Futebol 2015 - NET" xfId="131" xr:uid="{87D173DD-CDBD-440D-8221-EDAF6648CDE5}"/>
    <cellStyle name="6_Futebol Globo 2008_2009_Indy_2010_BS_BN_Final_Futebol 2015 - NET 2" xfId="347" xr:uid="{E37487D3-A2D1-4F4D-A138-5E2211571CE9}"/>
    <cellStyle name="6_Indy_2010_BS_BN_Final" xfId="132" xr:uid="{F3A01D82-78D0-41BE-9548-0DD1AB6600DB}"/>
    <cellStyle name="6_Indy_2010_BS_BN_Final 2" xfId="133" xr:uid="{5860A7E8-46E6-4FF5-911B-489A7EB425AF}"/>
    <cellStyle name="6_Indy_2010_BS_BN_Final 2 2" xfId="348" xr:uid="{F7FCF346-62B0-4CB9-8A9F-D9B26C91E355}"/>
    <cellStyle name="6_Indy_2010_BS_BN_Final 3" xfId="349" xr:uid="{C2214B2E-453A-4B04-80CD-4A557A493A3C}"/>
    <cellStyle name="6_Indy_2010_BS_BN_Final_Cópia de Plano Fórmula Indy 2012_Internet_23ago11" xfId="134" xr:uid="{FF95826B-E58D-4E1F-AF57-6A14840A79F0}"/>
    <cellStyle name="6_Indy_2010_BS_BN_Final_Cópia de Plano Fórmula Indy 2012_Internet_23ago11 2" xfId="350" xr:uid="{E4355B31-8300-4207-BD96-C2958D937133}"/>
    <cellStyle name="6_Indy_2010_BS_BN_Final_Futebol 2015 - NET" xfId="135" xr:uid="{D329BF53-90F9-4D03-806F-06875DD8745B}"/>
    <cellStyle name="6_Indy_2010_BS_BN_Final_Futebol 2015 - NET 2" xfId="351" xr:uid="{327549FA-FE37-4D2C-BA7C-F18DDBFC5508}"/>
    <cellStyle name="7" xfId="136" xr:uid="{116AD4FA-2D71-48DA-98EE-AB7985A60CA9}"/>
    <cellStyle name="7 2" xfId="137" xr:uid="{02676FCA-8786-4E10-A49A-1E3650F46A53}"/>
    <cellStyle name="7 2 2" xfId="352" xr:uid="{553FFB11-AA25-43B1-84A1-82C6BB1F071D}"/>
    <cellStyle name="7 3" xfId="138" xr:uid="{B05BA4E1-75DE-45CE-884B-7637F4C0764B}"/>
    <cellStyle name="7 3 2" xfId="353" xr:uid="{6BCF68A7-C5F7-443D-8DD7-3CE021233F34}"/>
    <cellStyle name="7 4" xfId="139" xr:uid="{EA235C33-61A0-4E05-8E74-DA43F5BD6E8B}"/>
    <cellStyle name="7 4 2" xfId="409" xr:uid="{F2C5D7BD-A7E5-4873-A568-0C3139A813BD}"/>
    <cellStyle name="7 5" xfId="140" xr:uid="{7FAF2AA0-89D1-4B72-A346-0C670A9AB934}"/>
    <cellStyle name="7 5 2" xfId="410" xr:uid="{D258E990-51B1-471D-AAB3-2BF53BF5A1C0}"/>
    <cellStyle name="7 6" xfId="411" xr:uid="{E20EA710-D01F-4A9B-8167-EB1E38AC87B7}"/>
    <cellStyle name="7_Futebol Globo 2008_2009" xfId="141" xr:uid="{54C7F739-0232-4C8E-9C49-14DAEB3AACFB}"/>
    <cellStyle name="7_Futebol Globo 2008_2009 2" xfId="354" xr:uid="{6E26B04C-E5A1-4ABD-832D-2F2C73834BB3}"/>
    <cellStyle name="7_Futebol Globo 2008_2009_Indy_2010_BS_BN_Final" xfId="142" xr:uid="{AF8410E3-D092-4C6D-A1D8-28F52397458D}"/>
    <cellStyle name="7_Futebol Globo 2008_2009_Indy_2010_BS_BN_Final 2" xfId="143" xr:uid="{476F6830-E6A2-4635-AF6B-09A5C00CF5BD}"/>
    <cellStyle name="7_Futebol Globo 2008_2009_Indy_2010_BS_BN_Final 2 2" xfId="355" xr:uid="{AE7119BB-F4BC-46C3-9748-D7BED766A962}"/>
    <cellStyle name="7_Futebol Globo 2008_2009_Indy_2010_BS_BN_Final 3" xfId="356" xr:uid="{90E94AE0-F515-4B9F-86A5-DED481C9A377}"/>
    <cellStyle name="7_Futebol Globo 2008_2009_Indy_2010_BS_BN_Final_Cópia de Plano Fórmula Indy 2012_Internet_23ago11" xfId="144" xr:uid="{97A96927-4FA5-4ACD-8F29-9569F57B0787}"/>
    <cellStyle name="7_Futebol Globo 2008_2009_Indy_2010_BS_BN_Final_Cópia de Plano Fórmula Indy 2012_Internet_23ago11 2" xfId="357" xr:uid="{4514431F-FF0F-4F1C-9495-B58E48E6EE3E}"/>
    <cellStyle name="7_Futebol Globo 2008_2009_Indy_2010_BS_BN_Final_Futebol 2015 - NET" xfId="145" xr:uid="{81A3C950-C2E6-483F-BB95-4844D4458CA4}"/>
    <cellStyle name="7_Futebol Globo 2008_2009_Indy_2010_BS_BN_Final_Futebol 2015 - NET 2" xfId="358" xr:uid="{08083728-1339-4AA0-AB1D-CECA5ACD5A20}"/>
    <cellStyle name="7_Indy_2010_BS_BN_Final" xfId="146" xr:uid="{4AEE91CC-4044-4B74-98B0-B92F498C9053}"/>
    <cellStyle name="7_Indy_2010_BS_BN_Final 2" xfId="147" xr:uid="{353FAB48-8D13-48EF-B95B-FBAF5AFC0A38}"/>
    <cellStyle name="7_Indy_2010_BS_BN_Final_Cópia de Plano Fórmula Indy 2012_Internet_23ago11" xfId="148" xr:uid="{4D863E6F-41F3-4FAD-847D-858B85303A75}"/>
    <cellStyle name="7_Indy_2010_BS_BN_Final_Futebol 2015 - NET" xfId="149" xr:uid="{42ACCA92-408E-46E6-82B8-A73625858C5F}"/>
    <cellStyle name="8" xfId="150" xr:uid="{FA2A8DAB-E469-4AA8-B959-6429876A80C6}"/>
    <cellStyle name="8 2" xfId="151" xr:uid="{FB54ADCE-687D-42A5-A7BA-2F3B9ABF11C9}"/>
    <cellStyle name="8 2 2" xfId="359" xr:uid="{AE022C33-73CA-4392-9F0A-64001CE386A3}"/>
    <cellStyle name="8 3" xfId="152" xr:uid="{19865DD3-5AF2-4E09-B9D2-0A79D4D8DFD9}"/>
    <cellStyle name="8 3 2" xfId="360" xr:uid="{3B26863C-9162-422D-ACB3-D8AEEBCAB0AF}"/>
    <cellStyle name="8 4" xfId="153" xr:uid="{B98164B6-3816-469A-A686-176BE3307E7B}"/>
    <cellStyle name="8 4 2" xfId="412" xr:uid="{5287E63F-D6FD-4375-A580-892EA5DD218E}"/>
    <cellStyle name="8 5" xfId="154" xr:uid="{B62F3F4D-C392-4F93-99FA-9C7182AF7563}"/>
    <cellStyle name="8 5 2" xfId="413" xr:uid="{71B21562-3708-4401-8F52-CA1AD280BA88}"/>
    <cellStyle name="8 6" xfId="414" xr:uid="{319784AA-58FB-42E1-92B4-6920CE0E1DB4}"/>
    <cellStyle name="8 8" xfId="155" xr:uid="{D436C9AC-2418-428B-B17B-D193E297B278}"/>
    <cellStyle name="8 8 2" xfId="361" xr:uid="{649E6B17-3385-4ABC-899B-1F3C37FB5890}"/>
    <cellStyle name="8_Futebol Globo 2008_2009" xfId="156" xr:uid="{4C6B119B-B420-4B1F-916B-C17B0B3EBE2D}"/>
    <cellStyle name="8_Futebol Globo 2008_2009_Indy_2010_BS_BN_Final" xfId="157" xr:uid="{94B62EAB-9CA1-4B5B-ABE5-EDEF874C3C77}"/>
    <cellStyle name="8_Futebol Globo 2008_2009_Indy_2010_BS_BN_Final 2" xfId="158" xr:uid="{A5EEB08D-D7A6-4078-B5B6-181DBD362BFE}"/>
    <cellStyle name="8_Futebol Globo 2008_2009_Indy_2010_BS_BN_Final_Cópia de Plano Fórmula Indy 2012_Internet_23ago11" xfId="159" xr:uid="{A6B8EC91-252A-4CB9-BC4B-9C6DF5462F92}"/>
    <cellStyle name="8_Futebol Globo 2008_2009_Indy_2010_BS_BN_Final_Futebol 2015 - NET" xfId="160" xr:uid="{F5205F41-72A0-4BAD-8950-DB888E35F49C}"/>
    <cellStyle name="8_Indy_2010_BS_BN_Final" xfId="161" xr:uid="{15F60339-FDD0-4896-808C-3A2CA90BDA04}"/>
    <cellStyle name="8_Indy_2010_BS_BN_Final 2" xfId="162" xr:uid="{FE52BD81-F05A-459F-B09B-CF6AC95500E6}"/>
    <cellStyle name="8_Indy_2010_BS_BN_Final_Cópia de Plano Fórmula Indy 2012_Internet_23ago11" xfId="163" xr:uid="{0C4D894B-2245-471B-949C-18B40AA8FBF3}"/>
    <cellStyle name="8_Indy_2010_BS_BN_Final_Futebol 2015 - NET" xfId="164" xr:uid="{3F894CC2-D822-4EE3-A970-010EAB02C6A5}"/>
    <cellStyle name="9" xfId="165" xr:uid="{E7DE7A89-74E4-4769-A837-053FFE8858D7}"/>
    <cellStyle name="9 2" xfId="166" xr:uid="{7AA9E535-BE84-4C26-91B6-D0FAD8C6B69B}"/>
    <cellStyle name="9 2 2" xfId="362" xr:uid="{6EC2716A-7B37-48C0-B33A-6F959AAE4A9D}"/>
    <cellStyle name="9 3" xfId="167" xr:uid="{E7720640-93CB-4913-95FF-FF0EB760CD7F}"/>
    <cellStyle name="9 3 2" xfId="363" xr:uid="{F41259C3-3240-48E7-9E64-C42712E31932}"/>
    <cellStyle name="9 4" xfId="168" xr:uid="{24EAC87B-05CD-4CE4-8221-94438CF34E44}"/>
    <cellStyle name="9 4 2" xfId="415" xr:uid="{A9C51935-3BCE-4027-B4EF-C45CD5FB0977}"/>
    <cellStyle name="9 5" xfId="169" xr:uid="{0A87E678-BE92-47E9-BDF0-9A1218EE0F0D}"/>
    <cellStyle name="9 5 2" xfId="416" xr:uid="{1DF590DB-18C5-4B4E-9861-510EFACD5542}"/>
    <cellStyle name="9 6" xfId="417" xr:uid="{11D5F7D2-D346-45E9-835C-03EF093B6A35}"/>
    <cellStyle name="9_Futebol Globo 2008_2009" xfId="170" xr:uid="{B3D5E350-322C-424E-B221-0061B4FFE537}"/>
    <cellStyle name="9_Futebol Globo 2008_2009_Indy_2010_BS_BN_Final" xfId="171" xr:uid="{9720B668-615C-4641-A781-C1481706D168}"/>
    <cellStyle name="9_Futebol Globo 2008_2009_Indy_2010_BS_BN_Final 2" xfId="172" xr:uid="{7274C71B-F11C-48D7-9A93-B28F4CF2B37C}"/>
    <cellStyle name="9_Futebol Globo 2008_2009_Indy_2010_BS_BN_Final_Cópia de Plano Fórmula Indy 2012_Internet_23ago11" xfId="173" xr:uid="{9054D0DF-1E00-44DD-AAB0-19F30C9B407D}"/>
    <cellStyle name="9_Futebol Globo 2008_2009_Indy_2010_BS_BN_Final_Futebol 2015 - NET" xfId="174" xr:uid="{CAD63780-DEE0-43EF-889A-9F34A2A928C5}"/>
    <cellStyle name="9_Indy_2010_BS_BN_Final" xfId="175" xr:uid="{E1DE1E1F-5332-4390-BF7B-2DA33BF60A6B}"/>
    <cellStyle name="9_Indy_2010_BS_BN_Final 2" xfId="176" xr:uid="{75FA1E2C-A391-4804-A196-D84A0E4FA3DE}"/>
    <cellStyle name="9_Indy_2010_BS_BN_Final 2 2" xfId="364" xr:uid="{0B936AB5-51CA-408F-837A-A507F428080F}"/>
    <cellStyle name="9_Indy_2010_BS_BN_Final 3" xfId="365" xr:uid="{94BA7DCF-C9DE-4457-9508-25890A16F7EC}"/>
    <cellStyle name="9_Indy_2010_BS_BN_Final_Cópia de Plano Fórmula Indy 2012_Internet_23ago11" xfId="177" xr:uid="{D77AFD51-FBDC-4F70-83C2-C899B2FE5D95}"/>
    <cellStyle name="9_Indy_2010_BS_BN_Final_Cópia de Plano Fórmula Indy 2012_Internet_23ago11 2" xfId="366" xr:uid="{B08D7422-2AB1-4D80-86D7-5F118C52F7EC}"/>
    <cellStyle name="9_Indy_2010_BS_BN_Final_Futebol 2015 - NET" xfId="178" xr:uid="{CDC0950E-5483-44CE-8EC9-48F33CE75B52}"/>
    <cellStyle name="9_Indy_2010_BS_BN_Final_Futebol 2015 - NET 2" xfId="367" xr:uid="{6809EC91-6E83-4612-86CC-7342A2E724F0}"/>
    <cellStyle name="Comma 2" xfId="179" xr:uid="{C6957A6B-BA09-4741-9DAA-5707582AB53A}"/>
    <cellStyle name="Comma 2 2" xfId="418" xr:uid="{A05B7734-1484-4ACE-9631-6A5A4BF07F0D}"/>
    <cellStyle name="Ênfase1 2" xfId="180" xr:uid="{A6E817C1-E1C4-4AAE-9040-25EA47A2CD23}"/>
    <cellStyle name="Euro" xfId="181" xr:uid="{C8950AE9-BD61-4B47-80F1-E57C6C4616D9}"/>
    <cellStyle name="Euro 2" xfId="182" xr:uid="{EBBE5DCD-DB54-4100-BE12-E7289116250D}"/>
    <cellStyle name="Euro 3" xfId="183" xr:uid="{37ABBB45-6E66-484A-A103-E9A5D81BD1D9}"/>
    <cellStyle name="Euro 4" xfId="184" xr:uid="{B7143BA3-703D-4E6F-9389-2286819C5933}"/>
    <cellStyle name="Euro 5" xfId="185" xr:uid="{42E6CC84-86D7-4766-ADD1-F63DFF620FB8}"/>
    <cellStyle name="Moeda 10" xfId="474" xr:uid="{DCBC33BC-DF29-4B5D-9B3D-8EF244162B26}"/>
    <cellStyle name="Moeda 13" xfId="485" xr:uid="{708A0EA8-807C-584A-8221-2267F3BFE631}"/>
    <cellStyle name="Moeda 2" xfId="14" xr:uid="{45F5426D-3B3D-4019-9599-D9DB784F9CFF}"/>
    <cellStyle name="Moeda 2 2" xfId="19" xr:uid="{48A53F77-4DCC-4F28-AA9A-AA0F80AF9B79}"/>
    <cellStyle name="Moeda 2 2 2" xfId="27" xr:uid="{6D5E4610-494D-47E4-A452-0B9D725F0B60}"/>
    <cellStyle name="Moeda 2 2 2 2" xfId="465" xr:uid="{A6855EE7-7E20-4F0C-8E0E-23CA63D32CD9}"/>
    <cellStyle name="Moeda 2 2 3" xfId="419" xr:uid="{A3E2CED8-2763-48A7-92B7-7AD677A87B02}"/>
    <cellStyle name="Moeda 2 2 4" xfId="478" xr:uid="{1721C5E4-AF17-4788-A9AD-BE2B4F0105A9}"/>
    <cellStyle name="Moeda 2 3" xfId="186" xr:uid="{5072111B-2529-4BD2-BE82-5CDCBCAB03D2}"/>
    <cellStyle name="Moeda 2 3 2" xfId="420" xr:uid="{F240EE23-0CAD-4073-91C2-217A719FF68C}"/>
    <cellStyle name="Moeda 2 4" xfId="187" xr:uid="{CD252150-CEA7-4A00-B659-2B1DD78C91D7}"/>
    <cellStyle name="Moeda 2 5" xfId="18" xr:uid="{CBCC82A0-95FF-40E0-BAAE-42DF4D430F5D}"/>
    <cellStyle name="Moeda 3" xfId="4" xr:uid="{694C7EAE-808F-3049-8E5C-69A9D715F8D3}"/>
    <cellStyle name="Moeda 3 2" xfId="188" xr:uid="{36B313EE-CCF1-47A5-A0EF-3E5312054224}"/>
    <cellStyle name="Moeda 3 2 2" xfId="463" xr:uid="{F4F97D60-BE80-431E-91F4-035DBB95B3F3}"/>
    <cellStyle name="Moeda 3 2 3" xfId="479" xr:uid="{46FBAC05-4402-4370-B9A9-0F8D7CA0773D}"/>
    <cellStyle name="Moeda 3 3" xfId="480" xr:uid="{951381C9-4908-4F22-801C-9B6E6C6FFA79}"/>
    <cellStyle name="Moeda 3 4" xfId="475" xr:uid="{BB47B871-A670-47D6-8C2E-0FA5CE816295}"/>
    <cellStyle name="Moeda 4" xfId="189" xr:uid="{585FE618-0AF4-4BAB-B513-0F79652FA4D5}"/>
    <cellStyle name="Moeda 4 2" xfId="190" xr:uid="{98F87C34-EEF4-4980-A0F3-A3D99F1EDD2E}"/>
    <cellStyle name="Moeda 4 3" xfId="191" xr:uid="{08F6C9BE-68E4-407A-954F-8495F1770C75}"/>
    <cellStyle name="Moeda 4 4" xfId="192" xr:uid="{312CDFD3-AD18-4440-8FE3-665673693560}"/>
    <cellStyle name="Moeda 4 5" xfId="193" xr:uid="{DC364D78-3706-40EE-8104-934B7864F4A8}"/>
    <cellStyle name="Moeda 4 6" xfId="476" xr:uid="{5CD90FBB-744D-4D23-A06B-4C8D9415436D}"/>
    <cellStyle name="Moeda 5" xfId="194" xr:uid="{B4412B4D-75C6-4CEB-AD1F-0818F9828EB9}"/>
    <cellStyle name="Moeda 5 2" xfId="421" xr:uid="{6B7A0AE7-3D21-41FC-9516-BBC32056F3B3}"/>
    <cellStyle name="Moeda 6" xfId="195" xr:uid="{C6505B22-0C43-4E17-B93F-9CCC5DAE8C2B}"/>
    <cellStyle name="Moeda 7" xfId="196" xr:uid="{9710325E-629C-4724-BCBE-06A27CD3D7C1}"/>
    <cellStyle name="Moeda 7 2" xfId="422" xr:uid="{0487C748-E5C0-4976-B4D0-1D6FECDDBBF0}"/>
    <cellStyle name="Moeda 7 3" xfId="489" xr:uid="{36C42961-B933-4E49-9809-BEF80C22EF9A}"/>
    <cellStyle name="Moeda 8" xfId="423" xr:uid="{8F03DA01-78CE-48B6-960F-AB65FE4CFBDC}"/>
    <cellStyle name="Moeda 8 2" xfId="368" xr:uid="{18082382-2CA2-4705-9A9A-EC84BBFF9CDD}"/>
    <cellStyle name="Moeda 9" xfId="424" xr:uid="{089C3AE6-2BAC-4FD0-B60D-6909202C0F0C}"/>
    <cellStyle name="Moeda 9 2" xfId="425" xr:uid="{7C8C8F2D-1AAD-4636-8548-14881A875206}"/>
    <cellStyle name="Normal" xfId="0" builtinId="0"/>
    <cellStyle name="Normal 10" xfId="197" xr:uid="{E4FFD0CC-5C31-4AD5-AB28-68B65AD146D6}"/>
    <cellStyle name="Normal 10 2" xfId="198" xr:uid="{FEA5C375-C99E-427D-82CD-2BFAB4F5AFE4}"/>
    <cellStyle name="Normal 10 2 2" xfId="426" xr:uid="{DB3288EF-F858-4F62-863F-AB62DDCF7189}"/>
    <cellStyle name="Normal 10 2 2 2" xfId="1" xr:uid="{249B6C72-741B-934E-A1E7-99F3883B3AA2}"/>
    <cellStyle name="Normal 10 2 3" xfId="427" xr:uid="{6D9B56C4-F9B5-4336-A90E-E0D9318ABBA5}"/>
    <cellStyle name="Normal 10 3" xfId="428" xr:uid="{AF0854A8-4FDA-4AC8-B0EE-313D587822C1}"/>
    <cellStyle name="Normal 11" xfId="199" xr:uid="{5818BC1F-AF46-477F-A6B8-BD1EC9DFDEBC}"/>
    <cellStyle name="Normal 11 2" xfId="200" xr:uid="{C6F5B565-BA15-4658-8035-E453F1720C05}"/>
    <cellStyle name="Normal 11 3" xfId="266" xr:uid="{E2357724-5873-427B-AF72-27BF5FA0941D}"/>
    <cellStyle name="Normal 11 4" xfId="267" xr:uid="{D08BF822-6977-4818-9A11-2D92366432F5}"/>
    <cellStyle name="Normal 11 4 2" xfId="262" xr:uid="{CA31B478-5D6E-4BB4-8040-7CF03B51A940}"/>
    <cellStyle name="Normal 12" xfId="369" xr:uid="{030A5275-9B90-46D7-9E64-D1E57ABA4C6D}"/>
    <cellStyle name="Normal 12 2" xfId="378" xr:uid="{067861BD-DF60-4272-A999-BB1C679CFEA1}"/>
    <cellStyle name="Normal 12 2 2 3" xfId="462" xr:uid="{412FEE66-EFC8-445E-9741-53E352F7E636}"/>
    <cellStyle name="Normal 13" xfId="370" xr:uid="{5185CD49-1617-4E69-93AC-CD6FA36B6E5A}"/>
    <cellStyle name="Normal 14" xfId="371" xr:uid="{E6BDD99F-4839-435A-AA9B-B22ECF947B47}"/>
    <cellStyle name="Normal 14 2" xfId="429" xr:uid="{F9BCF7AF-05BF-40F9-9D56-EEF739E80640}"/>
    <cellStyle name="Normal 15" xfId="291" xr:uid="{3F9793CD-7F17-4210-8DA7-86C62FA7A6C2}"/>
    <cellStyle name="Normal 15 2" xfId="380" xr:uid="{8C94BA0E-FE0E-4794-ABAD-408E771ED410}"/>
    <cellStyle name="Normal 15 3 2" xfId="466" xr:uid="{01DBE07C-3C87-4019-AB81-0C09BAB71B90}"/>
    <cellStyle name="Normal 15 3 3" xfId="461" xr:uid="{BD043B6C-0255-4B2B-89E1-B555E954D833}"/>
    <cellStyle name="Normal 15 3 3 2" xfId="468" xr:uid="{865AF800-770A-40A6-AD95-34DE56D4C8CE}"/>
    <cellStyle name="Normal 16" xfId="377" xr:uid="{680B973D-8655-443D-98A2-DED709AAF686}"/>
    <cellStyle name="Normal 16 2" xfId="430" xr:uid="{5D03FB41-D0A5-4AE2-8A9F-BAD88D1C3F98}"/>
    <cellStyle name="Normal 17" xfId="431" xr:uid="{4A8AD0B2-2C52-4610-AEFD-5AEA9910FBC1}"/>
    <cellStyle name="Normal 18" xfId="432" xr:uid="{A6D9406F-A1AA-4D48-80BF-CCD71C759343}"/>
    <cellStyle name="Normal 19" xfId="433" xr:uid="{90CFC240-C93B-4C18-AC86-106D4E8A9603}"/>
    <cellStyle name="Normal 2" xfId="2" xr:uid="{BD936449-74CD-5140-9B7A-DEC1C02799FF}"/>
    <cellStyle name="Normal 2 2" xfId="28" xr:uid="{688371CA-86D2-44D2-B58E-AE2A614E39D6}"/>
    <cellStyle name="Normal 2 2 2" xfId="201" xr:uid="{52708F7E-BDE4-4F79-8F32-FFB994C3F6E7}"/>
    <cellStyle name="Normal 2 2 2 2 3" xfId="484" xr:uid="{CED6B60A-779D-1A45-B134-F8FC2A7A7E2A}"/>
    <cellStyle name="Normal 2 2 3" xfId="434" xr:uid="{7C344E29-F349-45D2-A968-9A892280A0FF}"/>
    <cellStyle name="Normal 2 3" xfId="25" xr:uid="{4B8495E9-B286-4FE0-A49C-00FB0B7D2698}"/>
    <cellStyle name="Normal 2 3 2" xfId="202" xr:uid="{B1EC017F-51FE-4129-A897-A7FAC880D649}"/>
    <cellStyle name="Normal 2 3 3" xfId="435" xr:uid="{A4135EA6-A4C3-4375-BA03-9A271A9716F3}"/>
    <cellStyle name="Normal 2 4" xfId="203" xr:uid="{CBB812B4-ABD6-47C2-85DC-7B25DB669DE1}"/>
    <cellStyle name="Normal 2 5" xfId="372" xr:uid="{96D42A2F-93F5-46C9-B819-6E17E25B9F72}"/>
    <cellStyle name="Normal 20" xfId="15" xr:uid="{F952F0C7-ECE0-4C26-BCD2-F98B891AE984}"/>
    <cellStyle name="Normal 21" xfId="481" xr:uid="{50303189-FFB6-440A-8C29-4D8E21FE61BE}"/>
    <cellStyle name="Normal 22" xfId="7" xr:uid="{A6F9CC02-8591-45EE-8899-B1C2389588E3}"/>
    <cellStyle name="Normal 27_Opção 1 - 2013 + 2014" xfId="373" xr:uid="{60EB50D8-210F-4092-8F22-09814A752A3C}"/>
    <cellStyle name="Normal 3" xfId="13" xr:uid="{24F5ECF7-82BE-4E51-AF81-E9507F8FE59E}"/>
    <cellStyle name="Normal 3 2" xfId="26" xr:uid="{87B17BD0-2704-4802-A55E-28AB3F619AB8}"/>
    <cellStyle name="Normal 3 2 2" xfId="204" xr:uid="{B31D9E6D-67A5-489D-9C86-3D51C34C9D73}"/>
    <cellStyle name="Normal 3 2 2 2" xfId="205" xr:uid="{7FF48B4F-8785-498D-8A0F-F645932D1997}"/>
    <cellStyle name="Normal 3 2 3" xfId="261" xr:uid="{9F1D0B31-C4D1-4692-BE06-A4BBDBF87FE3}"/>
    <cellStyle name="Normal 3 2 4" xfId="464" xr:uid="{6044F249-FE36-40F2-A05D-F65DDDE7982F}"/>
    <cellStyle name="Normal 3 3" xfId="265" xr:uid="{B56226B7-46CA-47C4-A024-11A1F4871A26}"/>
    <cellStyle name="Normal 3 4" xfId="472" xr:uid="{4FFF6AAB-C07B-44D3-B939-7E6E885DA144}"/>
    <cellStyle name="Normal 4" xfId="20" xr:uid="{9CCB25F3-308D-4418-BE7F-327C78EB7358}"/>
    <cellStyle name="Normal 4 2" xfId="29" xr:uid="{BB2213E9-2D6F-47D3-B437-F9237D014758}"/>
    <cellStyle name="Normal 4 3" xfId="206" xr:uid="{F71A1EE7-66B1-4194-92B4-80ABCCC1A83A}"/>
    <cellStyle name="Normal 4 3 2" xfId="436" xr:uid="{2039855C-1FF0-421E-AE44-4A5F274EA8CD}"/>
    <cellStyle name="Normal 4 4" xfId="207" xr:uid="{69E31AC4-5D3A-457D-916F-0FB7FF2F09BD}"/>
    <cellStyle name="Normal 4 5" xfId="259" xr:uid="{97FAFD4E-A2AB-4478-985A-EF8C65A1D682}"/>
    <cellStyle name="Normal 4 6" xfId="268" xr:uid="{DA7448C8-3BA3-4B5B-B756-A62B195E4094}"/>
    <cellStyle name="Normal 4 7" xfId="269" xr:uid="{5CD68E3D-5511-4600-92D0-BD38DCD434E6}"/>
    <cellStyle name="Normal 4 8" xfId="281" xr:uid="{C218C93A-5BF7-4831-A7CB-253E22277E07}"/>
    <cellStyle name="Normal 4 8 2" xfId="287" xr:uid="{FC1B71D8-06A2-4277-9644-4B31D2C4CD18}"/>
    <cellStyle name="Normal 4 8 2 2" xfId="374" xr:uid="{E7C1A34C-19A9-4F03-B235-DBB07BBD0DB6}"/>
    <cellStyle name="Normal 4 8 3" xfId="289" xr:uid="{C6063B15-CACA-4B41-8CA0-3B6655CA575B}"/>
    <cellStyle name="Normal 4 9" xfId="469" xr:uid="{BEDFC2A1-0CB2-486A-B5DC-18C5DEA83848}"/>
    <cellStyle name="Normal 5" xfId="208" xr:uid="{3B14B67E-2C81-4698-A583-4C1F2FECCA05}"/>
    <cellStyle name="Normal 5 2" xfId="209" xr:uid="{C12F091C-7E83-4454-9859-A4D56E123349}"/>
    <cellStyle name="Normal 5 3" xfId="210" xr:uid="{1CBAA10D-052E-4074-B45D-A91AA42AF414}"/>
    <cellStyle name="Normal 5 4" xfId="487" xr:uid="{4D4FC6F0-876B-4088-831F-83695C242C0D}"/>
    <cellStyle name="Normal 5 5" xfId="486" xr:uid="{E2A1CD7E-AA14-47E2-BD7A-5C66AEB0D313}"/>
    <cellStyle name="Normal 6" xfId="211" xr:uid="{C077CCAC-F304-4F85-8B19-EBB707AACDAF}"/>
    <cellStyle name="Normal 6 2" xfId="212" xr:uid="{B13A81E4-33B4-462F-B467-80C524EF3AC5}"/>
    <cellStyle name="Normal 6 3" xfId="437" xr:uid="{05EBADCE-F394-48BE-ADF8-D9FB1EAF9CB0}"/>
    <cellStyle name="Normal 69" xfId="488" xr:uid="{584A09EB-C060-4EAC-84A0-9813407ACFAF}"/>
    <cellStyle name="Normal 7" xfId="213" xr:uid="{325B598F-F4A1-4904-85EF-DDA1C6F1AEB8}"/>
    <cellStyle name="Normal 7 2" xfId="438" xr:uid="{35EF51B9-9061-4093-B908-F0B34DB3FA5C}"/>
    <cellStyle name="Normal 8" xfId="214" xr:uid="{0E0B8BDF-357A-48D8-9C76-DEE77ECFA7DA}"/>
    <cellStyle name="Normal 8 2" xfId="215" xr:uid="{0DCDAAC2-9899-41DB-8355-CC1E020DE70D}"/>
    <cellStyle name="Normal 8 2 2" xfId="439" xr:uid="{1BD3D1EF-6AF3-4B06-A5D0-B2754BC86930}"/>
    <cellStyle name="Normal 8 3" xfId="440" xr:uid="{86852A43-EB7A-49EB-83EA-2059C684596C}"/>
    <cellStyle name="Normal 8_Futebol 2015 - NET" xfId="216" xr:uid="{324D9DB0-405F-4F90-9D57-C84E2510DBEF}"/>
    <cellStyle name="Normal 9" xfId="217" xr:uid="{EC71A3E9-2222-4060-94D7-826BFDBB1FA1}"/>
    <cellStyle name="Normal 9 2" xfId="218" xr:uid="{6F6ABD70-1A76-4E2C-8399-2B6999568266}"/>
    <cellStyle name="Normal 9 2 2" xfId="219" xr:uid="{E4A6D989-8EC9-4E77-B66D-39F6A738EC43}"/>
    <cellStyle name="Normal 9 3" xfId="441" xr:uid="{7398DB0A-34D5-4DA9-9C6E-0ABA4E1A34A4}"/>
    <cellStyle name="Porcentagem 10" xfId="270" xr:uid="{454CEDD2-3A86-42D2-816C-72A7BAF122C6}"/>
    <cellStyle name="Porcentagem 10 2" xfId="442" xr:uid="{D0CEAA4B-69F7-4CFF-8BF8-150FB5319D23}"/>
    <cellStyle name="Porcentagem 11" xfId="375" xr:uid="{3BD93186-F478-4435-8C21-0D9F980B34F2}"/>
    <cellStyle name="Porcentagem 12" xfId="470" xr:uid="{9FB7E1A3-57C1-44EF-AFBB-7F4F867E33A1}"/>
    <cellStyle name="Porcentagem 13" xfId="473" xr:uid="{5FD67E10-3856-4C75-93D0-F3B46E35DAB3}"/>
    <cellStyle name="Porcentagem 14" xfId="9" xr:uid="{0BC1B015-9832-49FB-A3BE-577B7271C50D}"/>
    <cellStyle name="Porcentagem 2" xfId="12" xr:uid="{4D9F2E3C-6C74-4481-86D0-7ABBAF07D9CE}"/>
    <cellStyle name="Porcentagem 2 2" xfId="220" xr:uid="{12C784BE-12A1-4102-8771-B675C65E2BB1}"/>
    <cellStyle name="Porcentagem 2 2 2" xfId="221" xr:uid="{F44123FD-DB54-425E-9237-8A33442177BC}"/>
    <cellStyle name="Porcentagem 2 2 2 2" xfId="443" xr:uid="{7C7C2406-9F09-4254-BD06-9C1ABF328BDB}"/>
    <cellStyle name="Porcentagem 2 2 3" xfId="444" xr:uid="{0C678596-35FA-46EC-A9D3-EC3AA137335B}"/>
    <cellStyle name="Porcentagem 2 2 4" xfId="482" xr:uid="{DC848C82-F874-C041-BC31-8ACF521F784D}"/>
    <cellStyle name="Porcentagem 2 3" xfId="222" xr:uid="{4F4BD3C8-B3A5-49FB-84EA-214B2B769075}"/>
    <cellStyle name="Porcentagem 2 3 2" xfId="445" xr:uid="{0848BF07-3C0E-4E53-BE48-57D2BF2A195D}"/>
    <cellStyle name="Porcentagem 2 4" xfId="446" xr:uid="{04AB6059-ED7A-49CA-B62F-570CBD9E26DA}"/>
    <cellStyle name="Porcentagem 3" xfId="22" xr:uid="{8C52E5AC-69A7-460D-AE3E-5ABFD5645F2A}"/>
    <cellStyle name="Porcentagem 3 2" xfId="5" xr:uid="{0CF0368B-1270-7743-9CCE-30BF3466CE97}"/>
    <cellStyle name="Porcentagem 3 2 2" xfId="223" xr:uid="{319DC23E-F49D-4AE6-BAB6-EE04DB16B098}"/>
    <cellStyle name="Porcentagem 3 2 2 2" xfId="447" xr:uid="{CAF0E314-8D29-42F0-A224-34A2344B5801}"/>
    <cellStyle name="Porcentagem 3 2 3" xfId="271" xr:uid="{8223B729-0D90-4E89-835B-268A22F7F85C}"/>
    <cellStyle name="Porcentagem 3 2 4" xfId="283" xr:uid="{A8CD5FD0-F509-4088-9727-ACA15F4E7750}"/>
    <cellStyle name="Porcentagem 3 2 5" xfId="284" xr:uid="{3305B42F-F930-42F1-861A-39C516A1E44C}"/>
    <cellStyle name="Porcentagem 3 2 6" xfId="31" xr:uid="{F4CB2638-F823-4849-A5C5-CC4D95633B46}"/>
    <cellStyle name="Porcentagem 3 3" xfId="260" xr:uid="{9FE956D6-2583-4C89-B9FB-C17D28B94154}"/>
    <cellStyle name="Porcentagem 3 4" xfId="272" xr:uid="{5C7BA47E-0C50-42E5-A308-B8427D44E254}"/>
    <cellStyle name="Porcentagem 3 4 2" xfId="282" xr:uid="{E7341067-3D6B-472B-AA6F-1B837455E064}"/>
    <cellStyle name="Porcentagem 3 4 2 2" xfId="288" xr:uid="{B9BBC3CB-3E54-47F3-AE7D-08DC0EF30621}"/>
    <cellStyle name="Porcentagem 3 4 2 2 2" xfId="379" xr:uid="{6531281F-F4F2-4195-8B81-F85540AFDDE8}"/>
    <cellStyle name="Porcentagem 3 4 2 3" xfId="290" xr:uid="{86230CC8-1A5B-4785-8666-4E347361D251}"/>
    <cellStyle name="Porcentagem 3 5" xfId="273" xr:uid="{70C475BF-714E-41D1-A94A-020C92B45F9C}"/>
    <cellStyle name="Porcentagem 4" xfId="24" xr:uid="{1E206643-1BA6-4DE6-AC7D-3505BD64D208}"/>
    <cellStyle name="Porcentagem 4 2" xfId="274" xr:uid="{13972A6C-80D0-4187-94E8-CB9A16CF8FE1}"/>
    <cellStyle name="Porcentagem 5" xfId="224" xr:uid="{51F48507-CEF5-4847-A448-AB99B05337FC}"/>
    <cellStyle name="Porcentagem 5 2" xfId="225" xr:uid="{A4A6B4F9-B11D-4F92-9FEF-B0D1090A15B4}"/>
    <cellStyle name="Porcentagem 5 2 2" xfId="448" xr:uid="{42E85353-11FF-4B8D-87E8-5D2F8E9058BF}"/>
    <cellStyle name="Porcentagem 5 3" xfId="226" xr:uid="{414D94D8-C74B-495B-B2EF-DA7A4E34EA87}"/>
    <cellStyle name="Porcentagem 5 4" xfId="449" xr:uid="{7E7737BB-487F-472F-B8CA-5DCDC4F4F1A6}"/>
    <cellStyle name="Porcentagem 6" xfId="227" xr:uid="{2612A7DA-458D-4D38-A398-93271DA71FF3}"/>
    <cellStyle name="Porcentagem 6 2" xfId="228" xr:uid="{42E77BF2-B728-4245-84AB-01A8A8A4E34E}"/>
    <cellStyle name="Porcentagem 7" xfId="229" xr:uid="{64AE7ECC-9578-4941-A220-EA2258FA163B}"/>
    <cellStyle name="Porcentagem 7 2" xfId="230" xr:uid="{A35EB2E2-51D5-48E8-9409-C563442246E6}"/>
    <cellStyle name="Porcentagem 7 3" xfId="275" xr:uid="{8C569849-858F-4154-B966-295642BDDB80}"/>
    <cellStyle name="Porcentagem 7 4" xfId="276" xr:uid="{03B1F84C-9F41-40B8-ADDC-1D6CC734FF68}"/>
    <cellStyle name="Porcentagem 7 4 2" xfId="263" xr:uid="{3B5C293C-6291-460B-B0E8-66142B1DEB79}"/>
    <cellStyle name="Porcentagem 8" xfId="231" xr:uid="{D193AC2A-E6FE-463A-AA71-783BB5DC22E6}"/>
    <cellStyle name="Porcentagem 8 2" xfId="450" xr:uid="{093679F1-5B1B-413A-8EAD-1E91EE76450D}"/>
    <cellStyle name="Porcentagem 9" xfId="232" xr:uid="{77B52BA7-557C-4474-865F-BFE94C8D9FFB}"/>
    <cellStyle name="Porcentagem 9 2" xfId="451" xr:uid="{E299C2F3-ADEF-4E40-ADFD-F82E5A6F8C98}"/>
    <cellStyle name="Separador de milhares 2" xfId="233" xr:uid="{2C7E29B4-D917-4E7D-9E49-2E1200846B78}"/>
    <cellStyle name="Separador de milhares 2 2" xfId="234" xr:uid="{A6D016CE-9C5E-4390-BE79-B76BF84E01E8}"/>
    <cellStyle name="Separador de milhares 2 2 2" xfId="235" xr:uid="{12A24641-920F-4EB2-B180-C01DF52BF362}"/>
    <cellStyle name="Separador de milhares 2 2 3" xfId="477" xr:uid="{CE650F7F-75DC-4160-AC02-22E0C21EAD1A}"/>
    <cellStyle name="Separador de milhares 3" xfId="236" xr:uid="{A05F6EEE-BE3F-4B02-A29D-AD8F9E1AD68B}"/>
    <cellStyle name="Separador de milhares 3 2" xfId="237" xr:uid="{407DDBC7-9754-47A9-8A9A-2FA21242327C}"/>
    <cellStyle name="Separador de milhares 3 3" xfId="238" xr:uid="{B2952AEF-BAEE-4E82-9784-B48547CFAFF7}"/>
    <cellStyle name="Separador de milhares 3 4" xfId="239" xr:uid="{421D20E4-B0B7-442F-8746-E84220E9AE2D}"/>
    <cellStyle name="Separador de milhares 3 5" xfId="240" xr:uid="{965BE804-8E32-437F-B6F1-47DA040A2BD3}"/>
    <cellStyle name="Separador de milhares 4" xfId="241" xr:uid="{F90DC0FE-B90E-424D-89CE-EAC9F5C802D7}"/>
    <cellStyle name="Separador de milhares 4 2" xfId="242" xr:uid="{FE8963E5-B270-45BE-AFF4-BACC2D84FD4E}"/>
    <cellStyle name="Separador de milhares 4 3" xfId="243" xr:uid="{2A37B79E-CB5D-42B8-97A7-15E2ABBFDAA8}"/>
    <cellStyle name="Separador de milhares 4 3 2" xfId="244" xr:uid="{8CBDE075-5542-4994-96E2-2B8A68195886}"/>
    <cellStyle name="Separador de milhares 4 3 2 2" xfId="452" xr:uid="{33E0AEA9-6EAE-48F7-8B84-104C2C4BBAC1}"/>
    <cellStyle name="Separador de milhares 4 3 3" xfId="453" xr:uid="{79E76EAE-07E5-45F6-B8E1-3CB76A84C18B}"/>
    <cellStyle name="Separador de milhares 5" xfId="245" xr:uid="{155B8CCC-12D8-4E95-B6BA-CD719D8BC20D}"/>
    <cellStyle name="Separador de milhares 5 2" xfId="246" xr:uid="{C0DF9D91-151C-48B6-BB67-56E52FDB63F4}"/>
    <cellStyle name="Separador de milhares 6" xfId="247" xr:uid="{24351642-2F20-4ABE-B758-54C0FF5A906E}"/>
    <cellStyle name="Separador de milhares 6 2" xfId="248" xr:uid="{BEB1C7A7-C24A-4937-A77A-A860855DCE78}"/>
    <cellStyle name="Vírgula 10" xfId="454" xr:uid="{1F4B3778-EE13-4655-9591-732BEF118A78}"/>
    <cellStyle name="Vírgula 10 2" xfId="455" xr:uid="{E0824676-B356-44E2-B0F1-9EED9F67B44E}"/>
    <cellStyle name="Vírgula 10 2 2" xfId="467" xr:uid="{29C4C8E5-F4B0-42BF-AE48-22F639842BE1}"/>
    <cellStyle name="Vírgula 11" xfId="471" xr:uid="{D0122BC2-C124-45DC-99C9-B4DF471FA9EA}"/>
    <cellStyle name="Vírgula 12" xfId="8" xr:uid="{E64CFD45-6758-42D3-930E-BABFF187A647}"/>
    <cellStyle name="Vírgula 2" xfId="6" xr:uid="{AD94CE4C-9D4F-E54D-B213-4EFBA1D11482}"/>
    <cellStyle name="Vírgula 2 2" xfId="249" xr:uid="{ABC47034-A0CE-4AFF-8EA8-065494C5B59A}"/>
    <cellStyle name="Vírgula 2 2 2" xfId="250" xr:uid="{7095013C-55A1-4A4E-92F5-AF9676947C6F}"/>
    <cellStyle name="Vírgula 2 2 2 2" xfId="456" xr:uid="{E1D2D92C-8BED-4F9D-8871-EB41FDFDFEE1}"/>
    <cellStyle name="Vírgula 2 3" xfId="277" xr:uid="{6C295799-1AFF-4112-B99F-6CA7301C7C52}"/>
    <cellStyle name="Vírgula 2 4" xfId="11" xr:uid="{DA953CAA-75B5-447B-90ED-8A553A5916CF}"/>
    <cellStyle name="Vírgula 3" xfId="3" xr:uid="{E3E58D59-7186-C445-9880-07CD8D6925DD}"/>
    <cellStyle name="Vírgula 3 2" xfId="30" xr:uid="{9384422F-AD19-4CB9-A22C-DF5055635286}"/>
    <cellStyle name="Vírgula 3 3" xfId="21" xr:uid="{D360E3B3-BCB8-4CB1-BBBD-B12F3340CD0B}"/>
    <cellStyle name="Vírgula 3 4" xfId="10" xr:uid="{6C71C37F-C2FF-4250-BF18-B5AD25FC4ABE}"/>
    <cellStyle name="Vírgula 4" xfId="23" xr:uid="{AC7B50B8-010E-4A51-907A-791DA876F314}"/>
    <cellStyle name="Vírgula 4 2" xfId="32" xr:uid="{336ED585-9D1E-4FE8-B8D6-410C3B0F1019}"/>
    <cellStyle name="Vírgula 4 2 2" xfId="457" xr:uid="{FA670457-521C-4BC6-9503-0FFB16BFF9DE}"/>
    <cellStyle name="Vírgula 4 3" xfId="251" xr:uid="{4A21B4F7-EA50-40EB-B19D-1F50341BC848}"/>
    <cellStyle name="Vírgula 4 4" xfId="278" xr:uid="{3BD9FC3C-ED4E-4BCE-999B-CD96EB6DAC70}"/>
    <cellStyle name="Vírgula 4 5" xfId="285" xr:uid="{486F5060-16F9-4DB0-BF42-76C847A9B5E9}"/>
    <cellStyle name="Vírgula 4 6" xfId="286" xr:uid="{DCAF9F16-74D2-4798-ADBE-876277EA6932}"/>
    <cellStyle name="Vírgula 4 7" xfId="483" xr:uid="{2D4C163B-28B3-3F45-BDFF-20282AECE819}"/>
    <cellStyle name="Vírgula 5" xfId="252" xr:uid="{900AA51C-0E23-4D9B-8166-71B2CC113D74}"/>
    <cellStyle name="Vírgula 5 2" xfId="458" xr:uid="{84A0DF36-555A-407C-B2C9-6BCFC9E92B88}"/>
    <cellStyle name="Vírgula 6" xfId="253" xr:uid="{5F812A07-609E-4A66-96B6-E4D94EEE97EA}"/>
    <cellStyle name="Vírgula 6 2" xfId="254" xr:uid="{9FDE9EF9-F53F-4C0B-89F3-FF77F0BA754B}"/>
    <cellStyle name="Vírgula 6 2 2" xfId="459" xr:uid="{53AC8EBF-7BE2-4CBE-A3DE-853F45664D2C}"/>
    <cellStyle name="Vírgula 6 3" xfId="376" xr:uid="{230445ED-B6F9-44AA-A460-F0FBC955717F}"/>
    <cellStyle name="Vírgula 7" xfId="255" xr:uid="{A08B2130-68B8-4D6A-801C-EF31A0098D78}"/>
    <cellStyle name="Vírgula 7 2" xfId="256" xr:uid="{7214753D-55E0-42E6-8A3F-078F19059AA0}"/>
    <cellStyle name="Vírgula 8" xfId="257" xr:uid="{D735B93F-E7D5-45FC-8CF1-DD4207BC6C40}"/>
    <cellStyle name="Vírgula 8 2" xfId="460" xr:uid="{3AA14A82-A2D6-44CF-A334-EA1CFCC0A84C}"/>
    <cellStyle name="Vírgula 9" xfId="258" xr:uid="{AF47CCF8-FECE-401C-BB12-9752C918CCDC}"/>
    <cellStyle name="Vírgula 9 2" xfId="279" xr:uid="{40372D4D-C31B-43DB-BB4F-AC9A10953001}"/>
    <cellStyle name="Vírgula 9 3" xfId="280" xr:uid="{C6381DAE-C5EC-46C6-81D8-B2921C4A2D4A}"/>
    <cellStyle name="Vírgula 9 3 2" xfId="264" xr:uid="{5FD68995-C807-44BF-A1E8-94E6150D7565}"/>
  </cellStyles>
  <dxfs count="3"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3" tint="9.9948118533890809E-2"/>
        </patternFill>
      </fill>
    </dxf>
    <dxf>
      <font>
        <color theme="0"/>
      </font>
      <fill>
        <patternFill>
          <bgColor theme="3" tint="9.9948118533890809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238125</xdr:colOff>
      <xdr:row>0</xdr:row>
      <xdr:rowOff>152400</xdr:rowOff>
    </xdr:from>
    <xdr:ext cx="1289050" cy="492125"/>
    <xdr:pic>
      <xdr:nvPicPr>
        <xdr:cNvPr id="2" name="Imagem 1">
          <a:extLst>
            <a:ext uri="{FF2B5EF4-FFF2-40B4-BE49-F238E27FC236}">
              <a16:creationId xmlns:a16="http://schemas.microsoft.com/office/drawing/2014/main" id="{29E0CDE6-3DEF-484A-B916-178C40EAF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238125" y="152400"/>
          <a:ext cx="1289050" cy="492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238125</xdr:colOff>
      <xdr:row>0</xdr:row>
      <xdr:rowOff>152400</xdr:rowOff>
    </xdr:from>
    <xdr:ext cx="1289050" cy="492125"/>
    <xdr:pic>
      <xdr:nvPicPr>
        <xdr:cNvPr id="3" name="Imagem 2">
          <a:extLst>
            <a:ext uri="{FF2B5EF4-FFF2-40B4-BE49-F238E27FC236}">
              <a16:creationId xmlns:a16="http://schemas.microsoft.com/office/drawing/2014/main" id="{BEC610A6-D446-4F22-9B0D-8F44A30D5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238125" y="152400"/>
          <a:ext cx="1289050" cy="492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238125</xdr:colOff>
      <xdr:row>0</xdr:row>
      <xdr:rowOff>152400</xdr:rowOff>
    </xdr:from>
    <xdr:ext cx="1289050" cy="492125"/>
    <xdr:pic>
      <xdr:nvPicPr>
        <xdr:cNvPr id="4" name="Imagem 3">
          <a:extLst>
            <a:ext uri="{FF2B5EF4-FFF2-40B4-BE49-F238E27FC236}">
              <a16:creationId xmlns:a16="http://schemas.microsoft.com/office/drawing/2014/main" id="{58CD2BC2-4E62-4EF4-88BF-7FD424EA1A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238125" y="152400"/>
          <a:ext cx="1289050" cy="492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238125</xdr:colOff>
      <xdr:row>0</xdr:row>
      <xdr:rowOff>152400</xdr:rowOff>
    </xdr:from>
    <xdr:ext cx="1289050" cy="492125"/>
    <xdr:pic>
      <xdr:nvPicPr>
        <xdr:cNvPr id="5" name="Imagem 4">
          <a:extLst>
            <a:ext uri="{FF2B5EF4-FFF2-40B4-BE49-F238E27FC236}">
              <a16:creationId xmlns:a16="http://schemas.microsoft.com/office/drawing/2014/main" id="{F96EE181-716E-477E-A2EA-CA384EFE6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238125" y="152400"/>
          <a:ext cx="1289050" cy="492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Documents%20and%20Settings\jank\My%20Documents\userdata\Legislation%20&amp;%20EHS\RG%20depots%20jaa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nnbrasil.sharepoint.com/ACSNA1/PROJETOS/MESA/Caixa/offshore/Curve%20Comparis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nnbrasil.sharepoint.com/Ntfmoh0/departments/IAS%20&amp;%20GAAP%20%20Reports/IAS%20&amp;%20GAAP%20YEAR%202002/2002%20Q3%20Consolidation%20Model/A%20Consolidation%20&amp;%20Reporting/GAAP%20&amp;%20IAS%20Group%20TB%20&amp;%20Reports%20Q3%2020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ELZA/BAND%20Projeto%20Especial%20Sabesp_22.08_vs%206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btfs/inte_mkt/Tabela%20de%20Pre&#231;os/03%20-%20TABELAS%20SBT%20POR%20ANO/2011/TABELAS_2011/TABELAS_NET/07%20-%20JULHO_2011/TABELA%20SBT_%20A%20PARTIR%20DE%2004_JULH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G Depots"/>
      <sheetName val="Launch and Maintenance"/>
      <sheetName val="PE1"/>
      <sheetName val="RS1"/>
      <sheetName val="SC1"/>
      <sheetName val="SP1"/>
      <sheetName val="BAU"/>
      <sheetName val="BH"/>
      <sheetName val="CAM"/>
      <sheetName val="CEE"/>
      <sheetName val="CUR"/>
      <sheetName val="DF"/>
      <sheetName val="PRP"/>
      <sheetName val="RIB"/>
      <sheetName val="RJ"/>
      <sheetName val="SAL"/>
      <sheetName val="SAN"/>
      <sheetName val="SCA"/>
      <sheetName val="SJC"/>
      <sheetName val="SJR"/>
      <sheetName val="SOR"/>
      <sheetName val="Meses"/>
      <sheetName val="ARdistr (2)"/>
      <sheetName val="Assumptions"/>
      <sheetName val="Validate List"/>
      <sheetName val="Agrega Spend Taxonomy"/>
      <sheetName val="HUB Structure"/>
      <sheetName val="Titles"/>
      <sheetName val="Backbone"/>
      <sheetName val="Validation"/>
      <sheetName val="lists"/>
      <sheetName val="Sheet3"/>
      <sheetName val="Hoja1"/>
      <sheetName val="Distribución D"/>
      <sheetName val="BASE"/>
      <sheetName val="source"/>
      <sheetName val="Status"/>
      <sheetName val="RG depots jaar"/>
      <sheetName val="Файл_список_ТМ_программ_сроков"/>
      <sheetName val="Back-up"/>
      <sheetName val="Tabelle1"/>
      <sheetName val="Datos por SKU-categoria 2011 Ac"/>
      <sheetName val="Datos"/>
      <sheetName val="Lista total"/>
      <sheetName val="Tablas"/>
      <sheetName val="Legend"/>
      <sheetName val="List"/>
      <sheetName val="Controls data"/>
      <sheetName val="Лист2"/>
      <sheetName val="МВЗ"/>
      <sheetName val="Лист5"/>
      <sheetName val="RG_Depots"/>
      <sheetName val="sourсe"/>
      <sheetName val="drop-downs"/>
      <sheetName val="Sheet2"/>
      <sheetName val="СКЮ"/>
      <sheetName val="ПОДСКАЗКА"/>
      <sheetName val="список SKU"/>
      <sheetName val="СЗ"/>
      <sheetName val="RG_Depots1"/>
      <sheetName val="Справочник"/>
      <sheetName val="ARdistr_(2)"/>
      <sheetName val="Launch_and_Maintenance"/>
      <sheetName val="Validate_List"/>
      <sheetName val="Agrega_Spend_Taxonomy"/>
      <sheetName val="HUB_Structure"/>
      <sheetName val="filt"/>
      <sheetName val="Price list"/>
      <sheetName val="Budget Summary"/>
      <sheetName val="Contract"/>
      <sheetName val="support"/>
      <sheetName val="BD"/>
      <sheetName val="Parametros"/>
      <sheetName val="RG_Depots2"/>
      <sheetName val="Distribución_D"/>
      <sheetName val="RG_depots_jaar"/>
      <sheetName val="Hoja2"/>
      <sheetName val="Monthly Updating&gt;&gt;&gt;"/>
      <sheetName val="Map"/>
      <sheetName val="DePara"/>
      <sheetName val="capex"/>
      <sheetName val="RG_Depots3"/>
      <sheetName val="ARdistr_(2)1"/>
      <sheetName val="Launch_and_Maintenance1"/>
      <sheetName val="Distribución_D1"/>
      <sheetName val="Validate_List1"/>
      <sheetName val="Agrega_Spend_Taxonomy1"/>
      <sheetName val="HUB_Structure1"/>
      <sheetName val="RG_depots_jaar1"/>
      <sheetName val="Datos_por_SKU-categoria_2011_Ac"/>
      <sheetName val="Lista_total"/>
      <sheetName val="Controls_data"/>
      <sheetName val="список_SKU"/>
      <sheetName val="Price_list"/>
      <sheetName val="Budget_Summary"/>
      <sheetName val="Monthly_Updating&gt;&gt;&gt;"/>
      <sheetName val="PLMM-R$"/>
      <sheetName val="Tables"/>
      <sheetName val="LE - Input"/>
      <sheetName val="Списки"/>
      <sheetName val="Лист1"/>
      <sheetName val="Drop down list"/>
      <sheetName val="Data"/>
      <sheetName val="NNS_BGT_ACT"/>
      <sheetName val="drop downs"/>
      <sheetName val="BASE LISTAS"/>
      <sheetName val="Misc"/>
      <sheetName val="Sheet1"/>
      <sheetName val="drop-down"/>
      <sheetName val="menu"/>
      <sheetName val="LookUp"/>
      <sheetName val="2 - KPIs Impacted "/>
      <sheetName val="Basetables"/>
      <sheetName val="FX lookup"/>
      <sheetName val="Drop Down Menus"/>
      <sheetName val="FX - Assumptions"/>
      <sheetName val="은행"/>
      <sheetName val="BU17 Summary"/>
      <sheetName val="LookUps"/>
      <sheetName val="COMPS"/>
      <sheetName val="Descriptions"/>
      <sheetName val="Financial info"/>
      <sheetName val="Completion Instructions"/>
      <sheetName val="CostModel"/>
      <sheetName val="Help"/>
      <sheetName val="Reference"/>
      <sheetName val="MappingBrands"/>
      <sheetName val="Tipos de iniciativas"/>
      <sheetName val="Supply Cost Centers"/>
      <sheetName val="RG_Depots4"/>
      <sheetName val="Launch_and_Maintenance2"/>
      <sheetName val="ARdistr_(2)2"/>
      <sheetName val="Distribución_D2"/>
      <sheetName val="Validate_List2"/>
      <sheetName val="Agrega_Spend_Taxonomy2"/>
      <sheetName val="HUB_Structure2"/>
      <sheetName val="RG_depots_jaar2"/>
      <sheetName val="Datos_por_SKU-categoria_2011_A1"/>
      <sheetName val="Lista_total1"/>
      <sheetName val="Controls_data1"/>
      <sheetName val="список_SKU1"/>
      <sheetName val="Budget_Summary1"/>
      <sheetName val="Price_list1"/>
      <sheetName val="Monthly_Updating&gt;&gt;&gt;1"/>
      <sheetName val="LE_-_Input"/>
      <sheetName val="Drop_down_list"/>
      <sheetName val="drop_downs"/>
      <sheetName val="2_-_KPIs_Impacted_"/>
      <sheetName val="FX_lookup"/>
      <sheetName val="Drop_Down_Menus"/>
      <sheetName val="VIC R&amp;O List"/>
      <sheetName val="Instruction"/>
      <sheetName val="Hide"/>
      <sheetName val="Sheet4"/>
      <sheetName val="Selection Lists"/>
      <sheetName val="LD"/>
      <sheetName val="DROP"/>
      <sheetName val="Referencia"/>
      <sheetName val="Master"/>
      <sheetName val="Sales Package Input"/>
      <sheetName val="GCOA_SUBP"/>
      <sheetName val="Overview"/>
      <sheetName val="RG%20depots%20jaar.XLS"/>
      <sheetName val="est.rev."/>
      <sheetName val="RG_Depots5"/>
      <sheetName val="Launch_and_Maintenance3"/>
      <sheetName val="ARdistr_(2)3"/>
      <sheetName val="Validate_List3"/>
      <sheetName val="Agrega_Spend_Taxonomy3"/>
      <sheetName val="HUB_Structure3"/>
      <sheetName val="Distribución_D3"/>
      <sheetName val="RG_depots_jaar3"/>
      <sheetName val="Datos_por_SKU-categoria_2011_A2"/>
      <sheetName val="Lista_total2"/>
      <sheetName val="Controls_data2"/>
      <sheetName val="список_SKU2"/>
      <sheetName val="Price_list2"/>
      <sheetName val="Budget_Summary2"/>
      <sheetName val="Monthly_Updating&gt;&gt;&gt;2"/>
      <sheetName val="BASE_LISTAS"/>
      <sheetName val="LE_-_Input1"/>
      <sheetName val="Drop_down_list1"/>
      <sheetName val="drop_downs1"/>
      <sheetName val="2_-_KPIs_Impacted_1"/>
      <sheetName val="FX_lookup1"/>
      <sheetName val="Drop_Down_Menus1"/>
      <sheetName val="FX_-_Assumptions"/>
      <sheetName val="BU17_Summary"/>
      <sheetName val="Financial_info"/>
      <sheetName val="Completion_Instructions"/>
      <sheetName val="Tipos_de_iniciativas"/>
      <sheetName val="Supply_Cost_Centers"/>
      <sheetName val="VIC_R&amp;O_List"/>
      <sheetName val="Selection_Lists"/>
      <sheetName val="LookUp2"/>
      <sheetName val="Info"/>
      <sheetName val="Assumption"/>
      <sheetName val="Key"/>
      <sheetName val="7월_공유용"/>
      <sheetName val="Other Listings"/>
      <sheetName val="Cuentas y CeCos"/>
      <sheetName val=""/>
      <sheetName val="Помощник"/>
      <sheetName val="Validacion #1"/>
      <sheetName val="1.2.1 OM"/>
      <sheetName val="Efeitos vs. ppto10"/>
      <sheetName val="Sales_Package_Input"/>
      <sheetName val="Basis"/>
      <sheetName val="Resumo"/>
      <sheetName val="P&amp;L_Operação"/>
      <sheetName val="DE PARA (N EXCLUIR)"/>
      <sheetName val="P&amp;L_Incentivo"/>
      <sheetName val="Premissas"/>
      <sheetName val="Base Canibalizacao Vol"/>
      <sheetName val="Isla"/>
      <sheetName val="R&amp;O List"/>
      <sheetName val="Apoio"/>
      <sheetName val="MasterData"/>
      <sheetName val="요일 테이블"/>
      <sheetName val="구분"/>
      <sheetName val="MD"/>
      <sheetName val="RG_Depots6"/>
      <sheetName val="Launch_and_Maintenance4"/>
      <sheetName val="ARdistr_(2)4"/>
      <sheetName val="Validate_List4"/>
      <sheetName val="Agrega_Spend_Taxonomy4"/>
      <sheetName val="HUB_Structure4"/>
      <sheetName val="Distribución_D4"/>
      <sheetName val="RG_depots_jaar4"/>
      <sheetName val="Datos_por_SKU-categoria_2011_A3"/>
      <sheetName val="Controls_data3"/>
      <sheetName val="Lista_total3"/>
      <sheetName val="список_SKU3"/>
      <sheetName val="Budget_Summary3"/>
      <sheetName val="Price_list3"/>
      <sheetName val="Monthly_Updating&gt;&gt;&gt;3"/>
      <sheetName val="LE_-_Input2"/>
      <sheetName val="drop_downs2"/>
      <sheetName val="Drop_down_list2"/>
      <sheetName val="2_-_KPIs_Impacted_2"/>
      <sheetName val="FX_lookup2"/>
      <sheetName val="Drop_Down_Menus2"/>
      <sheetName val="FX_-_Assumptions1"/>
      <sheetName val="BU17_Summary1"/>
      <sheetName val="Financial_info1"/>
      <sheetName val="Completion_Instructions1"/>
      <sheetName val="Tipos_de_iniciativas1"/>
      <sheetName val="Supply_Cost_Centers1"/>
      <sheetName val="VIC_R&amp;O_List1"/>
      <sheetName val="Selection_Lists1"/>
      <sheetName val="Sales_Package_Input1"/>
      <sheetName val="Other_Listings"/>
      <sheetName val="Cuentas_y_CeCos"/>
      <sheetName val="요일_테이블"/>
      <sheetName val="Validacion_#1"/>
      <sheetName val="Sheet1 (2)"/>
      <sheetName val="FAROL"/>
      <sheetName val="Dropdown list LATAM"/>
      <sheetName val="dep pre"/>
      <sheetName val="RG%20depots%20jaar_XLS"/>
      <sheetName val="Mapping"/>
      <sheetName val="Master_Data&amp;Mapping"/>
      <sheetName val="Munka1"/>
      <sheetName val="Department"/>
      <sheetName val="dados blp"/>
      <sheetName val="Settings"/>
      <sheetName val="Moedas"/>
      <sheetName val="share price 2002"/>
      <sheetName val="Inf"/>
      <sheetName val="BASE_LISTAS1"/>
      <sheetName val="est_rev_"/>
      <sheetName val="Efeitos_vs__ppto10"/>
      <sheetName val="1_2_1_OM"/>
      <sheetName val="Other_Listings1"/>
      <sheetName val="RG_Depots7"/>
      <sheetName val="Launch_and_Maintenance5"/>
      <sheetName val="ARdistr_(2)5"/>
      <sheetName val="Validate_List5"/>
      <sheetName val="Agrega_Spend_Taxonomy5"/>
      <sheetName val="HUB_Structure5"/>
      <sheetName val="Distribución_D5"/>
      <sheetName val="RG_depots_jaar5"/>
      <sheetName val="Lista_total4"/>
      <sheetName val="Datos_por_SKU-categoria_2011_A4"/>
      <sheetName val="Controls_data4"/>
      <sheetName val="список_SKU4"/>
      <sheetName val="Price_list4"/>
      <sheetName val="Budget_Summary4"/>
      <sheetName val="Monthly_Updating&gt;&gt;&gt;4"/>
      <sheetName val="LE_-_Input3"/>
      <sheetName val="drop_downs3"/>
      <sheetName val="Drop_down_list3"/>
      <sheetName val="2_-_KPIs_Impacted_3"/>
      <sheetName val="FX_lookup3"/>
      <sheetName val="Drop_Down_Menus3"/>
      <sheetName val="FX_-_Assumptions2"/>
      <sheetName val="BU17_Summary2"/>
      <sheetName val="Financial_info2"/>
      <sheetName val="Completion_Instructions2"/>
      <sheetName val="Tipos_de_iniciativas2"/>
      <sheetName val="Supply_Cost_Centers2"/>
      <sheetName val="VIC_R&amp;O_List2"/>
      <sheetName val="Selection_Lists2"/>
      <sheetName val="Sales_Package_Input2"/>
      <sheetName val="Validacion_#11"/>
      <sheetName val="R&amp;O_List"/>
      <sheetName val="Cuentas_y_CeCos1"/>
      <sheetName val="요일_테이블1"/>
      <sheetName val="Sheet1_(2)"/>
      <sheetName val="Reference tab"/>
      <sheetName val="Figures Report"/>
      <sheetName val="POC 등급_2020"/>
      <sheetName val="NR 정리"/>
      <sheetName val="Price Off 기준"/>
      <sheetName val="HE_판매증대활동 가이드_20년"/>
      <sheetName val="요약"/>
      <sheetName val="20, 2월 POCs"/>
      <sheetName val="년간 POCs Price Off"/>
      <sheetName val="POC수"/>
      <sheetName val="중복확인"/>
      <sheetName val="목록"/>
      <sheetName val="WS 코드"/>
      <sheetName val="차량운행일지 요일테이블 업뎃 완료"/>
      <sheetName val="FY-nonDGO"/>
      <sheetName val="销量预估"/>
      <sheetName val="Category-2"/>
      <sheetName val="Cur.Ex Rate"/>
      <sheetName val="Data Lists"/>
      <sheetName val="Other Performance"/>
      <sheetName val="Reference_tab"/>
      <sheetName val="Reference_tab1"/>
      <sheetName val="Reference_tab2"/>
      <sheetName val="R&amp;O_List1"/>
      <sheetName val="RG%20depots%20jaar_XLS1"/>
      <sheetName val="RG_Depots8"/>
      <sheetName val="Launch_and_Maintenance6"/>
      <sheetName val="ARdistr_(2)6"/>
      <sheetName val="Distribución_D6"/>
      <sheetName val="Validate_List6"/>
      <sheetName val="Agrega_Spend_Taxonomy6"/>
      <sheetName val="HUB_Structure6"/>
      <sheetName val="RG_depots_jaar6"/>
      <sheetName val="Datos_por_SKU-categoria_2011_A5"/>
      <sheetName val="Lista_total5"/>
      <sheetName val="Controls_data5"/>
      <sheetName val="список_SKU5"/>
      <sheetName val="Price_list5"/>
      <sheetName val="Budget_Summary5"/>
      <sheetName val="Monthly_Updating&gt;&gt;&gt;5"/>
      <sheetName val="LE_-_Input4"/>
      <sheetName val="drop_downs4"/>
      <sheetName val="Drop_down_list4"/>
      <sheetName val="2_-_KPIs_Impacted_4"/>
      <sheetName val="FX_lookup4"/>
      <sheetName val="Drop_Down_Menus4"/>
      <sheetName val="FX_-_Assumptions3"/>
      <sheetName val="BU17_Summary3"/>
      <sheetName val="Financial_info3"/>
      <sheetName val="Completion_Instructions3"/>
      <sheetName val="Tipos_de_iniciativas3"/>
      <sheetName val="Supply_Cost_Centers3"/>
      <sheetName val="VIC_R&amp;O_List3"/>
      <sheetName val="Selection_Lists3"/>
      <sheetName val="Sales_Package_Input3"/>
      <sheetName val="Reference_tab3"/>
      <sheetName val="Other_Listings2"/>
      <sheetName val="Validacion_#12"/>
      <sheetName val="BASE_LISTAS2"/>
      <sheetName val="R&amp;O_List2"/>
      <sheetName val="Cuentas_y_CeCos2"/>
      <sheetName val="RG%20depots%20jaar_XLS2"/>
      <sheetName val="SNs Meta_Categorias"/>
      <sheetName val="BUD"/>
      <sheetName val="Listas"/>
      <sheetName val="요일_테이블2"/>
      <sheetName val="Sheet1_(2)1"/>
      <sheetName val="DE_PARA_(N_EXCLUIR)"/>
      <sheetName val="Base_Canibalizacao_Vol"/>
      <sheetName val="Dropdown_list_LATAM"/>
      <sheetName val="dep_pre"/>
      <sheetName val="Figures_Report"/>
      <sheetName val="POC_등급_2020"/>
      <sheetName val="NR_정리"/>
      <sheetName val="Price_Off_기준"/>
      <sheetName val="HE_판매증대활동_가이드_20년"/>
      <sheetName val="20,_2월_POCs"/>
      <sheetName val="년간_POCs_Price_Off"/>
      <sheetName val="WS_코드"/>
      <sheetName val="차량운행일지_요일테이블_업뎃_완료"/>
      <sheetName val="Data_Lists"/>
      <sheetName val="dados_blp"/>
      <sheetName val="share_price_2002"/>
      <sheetName val="Cur_Ex_Rate"/>
      <sheetName val="FX"/>
      <sheetName val="规则"/>
      <sheetName val="经销商"/>
      <sheetName val="有效性"/>
      <sheetName val="SAP品牌"/>
      <sheetName val="销售组织"/>
      <sheetName val="MMR12活动类型"/>
      <sheetName val="Territory"/>
      <sheetName val="TRCode"/>
      <sheetName val="Distribución C"/>
      <sheetName val="MMR12"/>
      <sheetName val="Extract Loss"/>
      <sheetName val="RG_Depots9"/>
      <sheetName val="ARdistr_(2)7"/>
      <sheetName val="Launch_and_Maintenance7"/>
      <sheetName val="Distribución_D7"/>
      <sheetName val="Validate_List7"/>
      <sheetName val="Agrega_Spend_Taxonomy7"/>
      <sheetName val="HUB_Structure7"/>
      <sheetName val="RG_depots_jaar7"/>
      <sheetName val="Datos_por_SKU-categoria_2011_A6"/>
      <sheetName val="Lista_total6"/>
      <sheetName val="Controls_data6"/>
      <sheetName val="список_SKU6"/>
      <sheetName val="Price_list6"/>
      <sheetName val="Budget_Summary6"/>
      <sheetName val="Monthly_Updating&gt;&gt;&gt;6"/>
      <sheetName val="LE_-_Input5"/>
      <sheetName val="Drop_down_list5"/>
      <sheetName val="drop_downs5"/>
      <sheetName val="2_-_KPIs_Impacted_5"/>
      <sheetName val="FX_lookup5"/>
      <sheetName val="Drop_Down_Menus5"/>
      <sheetName val="FX_-_Assumptions4"/>
      <sheetName val="BU17_Summary4"/>
      <sheetName val="Financial_info4"/>
      <sheetName val="Completion_Instructions4"/>
      <sheetName val="Tipos_de_iniciativas4"/>
      <sheetName val="Supply_Cost_Centers4"/>
      <sheetName val="VIC_R&amp;O_List4"/>
      <sheetName val="Selection_Lists4"/>
      <sheetName val="Sales_Package_Input4"/>
      <sheetName val="Other_Listings3"/>
      <sheetName val="Cuentas_y_CeCos3"/>
      <sheetName val="BASE_LISTAS3"/>
      <sheetName val="Validacion_#13"/>
      <sheetName val="RG%20depots%20jaar_XLS3"/>
      <sheetName val="R&amp;O_List3"/>
      <sheetName val="DE_PARA_(N_EXCLUIR)1"/>
      <sheetName val="Base_Canibalizacao_Vol1"/>
      <sheetName val="요일_테이블3"/>
      <sheetName val="Sheet1_(2)2"/>
      <sheetName val="Dropdown_list_LATAM1"/>
      <sheetName val="dep_pre1"/>
      <sheetName val="dados_blp1"/>
      <sheetName val="share_price_20021"/>
      <sheetName val="Reference_tab4"/>
      <sheetName val="Figures_Report1"/>
      <sheetName val="POC_등급_20201"/>
      <sheetName val="NR_정리1"/>
      <sheetName val="Price_Off_기준1"/>
      <sheetName val="HE_판매증대활동_가이드_20년1"/>
      <sheetName val="20,_2월_POCs1"/>
      <sheetName val="년간_POCs_Price_Off1"/>
      <sheetName val="WS_코드1"/>
      <sheetName val="차량운행일지_요일테이블_업뎃_완료1"/>
      <sheetName val="Cur_Ex_Rate1"/>
      <sheetName val="Data_Lists1"/>
      <sheetName val="Other_Performance"/>
      <sheetName val="SNs_Meta_Categorias"/>
      <sheetName val="Distribución_C"/>
      <sheetName val="Extract_Loss"/>
      <sheetName val="Cambio - contas"/>
      <sheetName val="RG_Depots10"/>
      <sheetName val="Launch_and_Maintenance8"/>
      <sheetName val="ARdistr_(2)8"/>
      <sheetName val="Distribución_D8"/>
      <sheetName val="Validate_List8"/>
      <sheetName val="Agrega_Spend_Taxonomy8"/>
      <sheetName val="HUB_Structure8"/>
      <sheetName val="RG_depots_jaar8"/>
      <sheetName val="Datos_por_SKU-categoria_2011_A7"/>
      <sheetName val="Lista_total7"/>
      <sheetName val="Controls_data7"/>
      <sheetName val="список_SKU7"/>
      <sheetName val="Price_list7"/>
      <sheetName val="Budget_Summary7"/>
      <sheetName val="Monthly_Updating&gt;&gt;&gt;7"/>
      <sheetName val="LE_-_Input6"/>
      <sheetName val="Drop_Down_Menus6"/>
      <sheetName val="2_-_KPIs_Impacted_6"/>
      <sheetName val="drop_downs6"/>
      <sheetName val="Drop_down_list6"/>
      <sheetName val="FX_lookup6"/>
      <sheetName val="FX_-_Assumptions5"/>
      <sheetName val="BU17_Summary5"/>
      <sheetName val="Supply_Cost_Centers5"/>
      <sheetName val="Financial_info5"/>
      <sheetName val="Completion_Instructions5"/>
      <sheetName val="Tipos_de_iniciativas5"/>
      <sheetName val="VIC_R&amp;O_List5"/>
      <sheetName val="Selection_Lists5"/>
      <sheetName val="Sales_Package_Input5"/>
      <sheetName val="Other_Listings4"/>
      <sheetName val="Cuentas_y_CeCos4"/>
      <sheetName val="BASE_LISTAS4"/>
      <sheetName val="요일_테이블4"/>
      <sheetName val="Validacion_#14"/>
      <sheetName val="Sheet1_(2)3"/>
      <sheetName val="DE_PARA_(N_EXCLUIR)2"/>
      <sheetName val="Base_Canibalizacao_Vol2"/>
      <sheetName val="Figures_Report2"/>
      <sheetName val="POC_등급_20202"/>
      <sheetName val="NR_정리2"/>
      <sheetName val="Price_Off_기준2"/>
      <sheetName val="HE_판매증대활동_가이드_20년2"/>
      <sheetName val="20,_2월_POCs2"/>
      <sheetName val="년간_POCs_Price_Off2"/>
      <sheetName val="WS_코드2"/>
      <sheetName val="차량운행일지_요일테이블_업뎃_완료2"/>
      <sheetName val="Dropdown_list_LATAM2"/>
      <sheetName val="dep_pre2"/>
      <sheetName val="RG_Depots11"/>
      <sheetName val="Launch_and_Maintenance9"/>
      <sheetName val="ARdistr_(2)9"/>
      <sheetName val="Distribución_D9"/>
      <sheetName val="Validate_List9"/>
      <sheetName val="Agrega_Spend_Taxonomy9"/>
      <sheetName val="HUB_Structure9"/>
      <sheetName val="RG_depots_jaar9"/>
      <sheetName val="Datos_por_SKU-categoria_2011_A8"/>
      <sheetName val="Lista_total8"/>
      <sheetName val="Controls_data8"/>
      <sheetName val="список_SKU8"/>
      <sheetName val="Price_list8"/>
      <sheetName val="Budget_Summary8"/>
      <sheetName val="Monthly_Updating&gt;&gt;&gt;8"/>
      <sheetName val="LE_-_Input7"/>
      <sheetName val="Drop_Down_Menus7"/>
      <sheetName val="2_-_KPIs_Impacted_7"/>
      <sheetName val="drop_downs7"/>
      <sheetName val="Drop_down_list7"/>
      <sheetName val="FX_lookup7"/>
      <sheetName val="FX_-_Assumptions6"/>
      <sheetName val="BU17_Summary6"/>
      <sheetName val="Supply_Cost_Centers6"/>
      <sheetName val="Financial_info6"/>
      <sheetName val="Completion_Instructions6"/>
      <sheetName val="Tipos_de_iniciativas6"/>
      <sheetName val="VIC_R&amp;O_List6"/>
      <sheetName val="Selection_Lists6"/>
      <sheetName val="Sales_Package_Input6"/>
      <sheetName val="Other_Listings5"/>
      <sheetName val="Cuentas_y_CeCos5"/>
      <sheetName val="BASE_LISTAS5"/>
      <sheetName val="요일_테이블5"/>
      <sheetName val="Validacion_#15"/>
      <sheetName val="R&amp;O_List4"/>
      <sheetName val="RG%20depots%20jaar_XLS4"/>
      <sheetName val="Sheet1_(2)4"/>
      <sheetName val="DE_PARA_(N_EXCLUIR)3"/>
      <sheetName val="Base_Canibalizacao_Vol3"/>
      <sheetName val="Figures_Report3"/>
      <sheetName val="POC_등급_20203"/>
      <sheetName val="NR_정리3"/>
      <sheetName val="Price_Off_기준3"/>
      <sheetName val="HE_판매증대활동_가이드_20년3"/>
      <sheetName val="20,_2월_POCs3"/>
      <sheetName val="년간_POCs_Price_Off3"/>
      <sheetName val="WS_코드3"/>
      <sheetName val="차량운행일지_요일테이블_업뎃_완료3"/>
      <sheetName val="Dropdown_list_LATAM3"/>
      <sheetName val="dep_pre3"/>
      <sheetName val="Data_Lists2"/>
      <sheetName val="dados_blp2"/>
      <sheetName val="share_price_20022"/>
      <sheetName val="Cur_Ex_Rate2"/>
      <sheetName val="Distribución_C1"/>
      <sheetName val="Extract_Loss1"/>
      <sheetName val="G WPS"/>
      <sheetName val="G GFP"/>
      <sheetName val="G GL"/>
      <sheetName val="G LSA"/>
      <sheetName val="Data_Lists3"/>
      <sheetName val="dados_blp3"/>
      <sheetName val="share_price_20023"/>
      <sheetName val="Cur_Ex_Rate3"/>
      <sheetName val="Distribución_C2"/>
      <sheetName val="Extract_Loss2"/>
      <sheetName val="G_WPS"/>
      <sheetName val="G_GFP"/>
      <sheetName val="G_GL"/>
      <sheetName val="G_LSA"/>
      <sheetName val="BALANCE"/>
      <sheetName val="G_WPS1"/>
      <sheetName val="G_GFP1"/>
      <sheetName val="G_GL1"/>
      <sheetName val="G_LSA1"/>
      <sheetName val="est_rev_1"/>
      <sheetName val="SNs_Meta_Categorias1"/>
      <sheetName val="RG_Depots12"/>
      <sheetName val="ARdistr_(2)10"/>
      <sheetName val="Launch_and_Maintenance10"/>
      <sheetName val="Distribución_D10"/>
      <sheetName val="Validate_List10"/>
      <sheetName val="Agrega_Spend_Taxonomy10"/>
      <sheetName val="HUB_Structure10"/>
      <sheetName val="RG_depots_jaar10"/>
      <sheetName val="Datos_por_SKU-categoria_2011_A9"/>
      <sheetName val="Lista_total9"/>
      <sheetName val="Controls_data9"/>
      <sheetName val="список_SKU9"/>
      <sheetName val="Price_list9"/>
      <sheetName val="Budget_Summary9"/>
      <sheetName val="Monthly_Updating&gt;&gt;&gt;9"/>
      <sheetName val="LE_-_Input8"/>
      <sheetName val="drop_downs8"/>
      <sheetName val="Drop_down_list8"/>
      <sheetName val="2_-_KPIs_Impacted_8"/>
      <sheetName val="FX_lookup8"/>
      <sheetName val="Drop_Down_Menus8"/>
      <sheetName val="FX_-_Assumptions7"/>
      <sheetName val="BU17_Summary7"/>
      <sheetName val="Financial_info7"/>
      <sheetName val="Completion_Instructions7"/>
      <sheetName val="Tipos_de_iniciativas7"/>
      <sheetName val="Supply_Cost_Centers7"/>
      <sheetName val="VIC_R&amp;O_List7"/>
      <sheetName val="Selection_Lists7"/>
      <sheetName val="Sales_Package_Input7"/>
      <sheetName val="Validacion_#16"/>
      <sheetName val="Other_Listings6"/>
      <sheetName val="BASE_LISTAS6"/>
      <sheetName val="R&amp;O_List5"/>
      <sheetName val="Cuentas_y_CeCos6"/>
      <sheetName val="RG%20depots%20jaar_XLS5"/>
      <sheetName val="요일_테이블6"/>
      <sheetName val="Sheet1_(2)5"/>
      <sheetName val="DE_PARA_(N_EXCLUIR)4"/>
      <sheetName val="Base_Canibalizacao_Vol4"/>
      <sheetName val="Figures_Report4"/>
      <sheetName val="POC_등급_20204"/>
      <sheetName val="NR_정리4"/>
      <sheetName val="Price_Off_기준4"/>
      <sheetName val="HE_판매증대활동_가이드_20년4"/>
      <sheetName val="20,_2월_POCs4"/>
      <sheetName val="년간_POCs_Price_Off4"/>
      <sheetName val="WS_코드4"/>
      <sheetName val="차량운행일지_요일테이블_업뎃_완료4"/>
      <sheetName val="Dropdown_list_LATAM4"/>
      <sheetName val="dep_pre4"/>
      <sheetName val="Data_Lists4"/>
      <sheetName val="dados_blp4"/>
      <sheetName val="share_price_20024"/>
      <sheetName val="Cur_Ex_Rate4"/>
      <sheetName val="Distribución_C3"/>
      <sheetName val="Extract_Loss3"/>
      <sheetName val="G_WPS2"/>
      <sheetName val="G_GFP2"/>
      <sheetName val="G_GL2"/>
      <sheetName val="G_LSA2"/>
      <sheetName val="est_rev_2"/>
      <sheetName val="SNs_Meta_Categorias2"/>
      <sheetName val="ZAGREBAČKA PIVOVARA"/>
      <sheetName val="TIA PARTNER"/>
      <sheetName val="K PIVOVARI"/>
      <sheetName val="PEMO"/>
      <sheetName val="Parámetros"/>
      <sheetName val="tdBBDD"/>
      <sheetName val="ZAGREBAČKA_PIVOVARA1"/>
      <sheetName val="TIA_PARTNER1"/>
      <sheetName val="K_PIVOVARI1"/>
      <sheetName val="ZAGREBAČKA_PIVOVARA"/>
      <sheetName val="TIA_PARTNER"/>
      <sheetName val="K_PIVOVARI"/>
      <sheetName val="Munka2"/>
      <sheetName val="RG_Depots13"/>
      <sheetName val="ARdistr_(2)11"/>
      <sheetName val="Launch_and_Maintenance11"/>
      <sheetName val="Distribución_D11"/>
      <sheetName val="Validate_List11"/>
      <sheetName val="Agrega_Spend_Taxonomy11"/>
      <sheetName val="HUB_Structure11"/>
      <sheetName val="RG_depots_jaar11"/>
      <sheetName val="Datos_por_SKU-categoria_2011_10"/>
      <sheetName val="Lista_total10"/>
      <sheetName val="Controls_data10"/>
      <sheetName val="список_SKU10"/>
      <sheetName val="Price_list10"/>
      <sheetName val="Budget_Summary10"/>
      <sheetName val="Monthly_Updating&gt;&gt;&gt;10"/>
      <sheetName val="LE_-_Input9"/>
      <sheetName val="drop_downs9"/>
      <sheetName val="Drop_down_list9"/>
      <sheetName val="2_-_KPIs_Impacted_9"/>
      <sheetName val="FX_lookup9"/>
      <sheetName val="Drop_Down_Menus9"/>
      <sheetName val="FX_-_Assumptions8"/>
      <sheetName val="BU17_Summary8"/>
      <sheetName val="Financial_info8"/>
      <sheetName val="Completion_Instructions8"/>
      <sheetName val="Tipos_de_iniciativas8"/>
      <sheetName val="Supply_Cost_Centers8"/>
      <sheetName val="VIC_R&amp;O_List8"/>
      <sheetName val="Selection_Lists8"/>
      <sheetName val="Sales_Package_Input8"/>
      <sheetName val="Validacion_#17"/>
      <sheetName val="Other_Listings7"/>
      <sheetName val="BASE_LISTAS7"/>
      <sheetName val="R&amp;O_List6"/>
      <sheetName val="Cuentas_y_CeCos7"/>
      <sheetName val="RG%20depots%20jaar_XLS6"/>
      <sheetName val="요일_테이블7"/>
      <sheetName val="Sheet1_(2)6"/>
      <sheetName val="DE_PARA_(N_EXCLUIR)5"/>
      <sheetName val="Base_Canibalizacao_Vol5"/>
      <sheetName val="Reference_tab5"/>
      <sheetName val="Figures_Report5"/>
      <sheetName val="POC_등급_20205"/>
      <sheetName val="NR_정리5"/>
      <sheetName val="Price_Off_기준5"/>
      <sheetName val="HE_판매증대활동_가이드_20년5"/>
      <sheetName val="20,_2월_POCs5"/>
      <sheetName val="년간_POCs_Price_Off5"/>
      <sheetName val="WS_코드5"/>
      <sheetName val="차량운행일지_요일테이블_업뎃_완료5"/>
      <sheetName val="Dropdown_list_LATAM5"/>
      <sheetName val="dep_pre5"/>
      <sheetName val="Data_Lists5"/>
      <sheetName val="dados_blp5"/>
      <sheetName val="share_price_20025"/>
      <sheetName val="Cur_Ex_Rate5"/>
      <sheetName val="Distribución_C4"/>
      <sheetName val="Extract_Loss4"/>
      <sheetName val="G_WPS3"/>
      <sheetName val="G_GFP3"/>
      <sheetName val="G_GL3"/>
      <sheetName val="G_LSA3"/>
      <sheetName val="est_rev_3"/>
      <sheetName val="SNs_Meta_Categorias3"/>
      <sheetName val="ZAGREBAČKA_PIVOVARA2"/>
      <sheetName val="TIA_PARTNER2"/>
      <sheetName val="K_PIVOVARI2"/>
      <sheetName val="RG_Depots14"/>
      <sheetName val="Launch_and_Maintenance12"/>
      <sheetName val="ARdistr_(2)12"/>
      <sheetName val="Validate_List12"/>
      <sheetName val="Agrega_Spend_Taxonomy12"/>
      <sheetName val="HUB_Structure12"/>
      <sheetName val="Distribución_D12"/>
      <sheetName val="RG_depots_jaar12"/>
      <sheetName val="Lista_total11"/>
      <sheetName val="Datos_por_SKU-categoria_2011_11"/>
      <sheetName val="Controls_data11"/>
      <sheetName val="список_SKU11"/>
      <sheetName val="Price_list11"/>
      <sheetName val="Budget_Summary11"/>
      <sheetName val="Monthly_Updating&gt;&gt;&gt;11"/>
      <sheetName val="LE_-_Input10"/>
      <sheetName val="drop_downs10"/>
      <sheetName val="Drop_down_list10"/>
      <sheetName val="2_-_KPIs_Impacted_10"/>
      <sheetName val="FX_lookup10"/>
      <sheetName val="Drop_Down_Menus10"/>
      <sheetName val="FX_-_Assumptions9"/>
      <sheetName val="BU17_Summary9"/>
      <sheetName val="Financial_info9"/>
      <sheetName val="Completion_Instructions9"/>
      <sheetName val="Tipos_de_iniciativas9"/>
      <sheetName val="Supply_Cost_Centers9"/>
      <sheetName val="VIC_R&amp;O_List9"/>
      <sheetName val="Selection_Lists9"/>
      <sheetName val="Sales_Package_Input9"/>
      <sheetName val="Validacion_#18"/>
      <sheetName val="Other_Listings8"/>
      <sheetName val="BASE_LISTAS8"/>
      <sheetName val="R&amp;O_List7"/>
      <sheetName val="Cuentas_y_CeCos8"/>
      <sheetName val="RG%20depots%20jaar_XLS7"/>
      <sheetName val="요일_테이블8"/>
      <sheetName val="Sheet1_(2)7"/>
      <sheetName val="DE_PARA_(N_EXCLUIR)6"/>
      <sheetName val="Base_Canibalizacao_Vol6"/>
      <sheetName val="Reference_tab6"/>
      <sheetName val="Dropdown_list_LATAM6"/>
      <sheetName val="dep_pre6"/>
      <sheetName val="Figures_Report6"/>
      <sheetName val="POC_등급_20206"/>
      <sheetName val="NR_정리6"/>
      <sheetName val="Price_Off_기준6"/>
      <sheetName val="HE_판매증대활동_가이드_20년6"/>
      <sheetName val="20,_2월_POCs6"/>
      <sheetName val="년간_POCs_Price_Off6"/>
      <sheetName val="WS_코드6"/>
      <sheetName val="차량운행일지_요일테이블_업뎃_완료6"/>
      <sheetName val="Data_Lists6"/>
      <sheetName val="dados_blp6"/>
      <sheetName val="share_price_20026"/>
      <sheetName val="Cur_Ex_Rate6"/>
      <sheetName val="Distribución_C5"/>
      <sheetName val="Extract_Loss5"/>
      <sheetName val="G_WPS4"/>
      <sheetName val="G_GFP4"/>
      <sheetName val="G_GL4"/>
      <sheetName val="G_LSA4"/>
      <sheetName val="est_rev_4"/>
      <sheetName val="SNs_Meta_Categorias4"/>
      <sheetName val="ZAGREBAČKA_PIVOVARA3"/>
      <sheetName val="TIA_PARTNER3"/>
      <sheetName val="K_PIVOVARI3"/>
      <sheetName val="Other_Performance1"/>
      <sheetName val="RG_Depots15"/>
      <sheetName val="Launch_and_Maintenance13"/>
      <sheetName val="ARdistr_(2)13"/>
      <sheetName val="Validate_List13"/>
      <sheetName val="Agrega_Spend_Taxonomy13"/>
      <sheetName val="HUB_Structure13"/>
      <sheetName val="Distribución_D13"/>
      <sheetName val="RG_depots_jaar13"/>
      <sheetName val="Lista_total12"/>
      <sheetName val="Datos_por_SKU-categoria_2011_12"/>
      <sheetName val="Controls_data12"/>
      <sheetName val="список_SKU12"/>
      <sheetName val="Price_list12"/>
      <sheetName val="Budget_Summary12"/>
      <sheetName val="Monthly_Updating&gt;&gt;&gt;12"/>
      <sheetName val="LE_-_Input11"/>
      <sheetName val="drop_downs11"/>
      <sheetName val="Drop_down_list11"/>
      <sheetName val="2_-_KPIs_Impacted_11"/>
      <sheetName val="BU17_Summary10"/>
      <sheetName val="FX_lookup11"/>
      <sheetName val="Drop_Down_Menus11"/>
      <sheetName val="FX_-_Assumptions10"/>
      <sheetName val="Financial_info10"/>
      <sheetName val="Completion_Instructions10"/>
      <sheetName val="Tipos_de_iniciativas10"/>
      <sheetName val="Supply_Cost_Centers10"/>
      <sheetName val="VIC_R&amp;O_List10"/>
      <sheetName val="Selection_Lists10"/>
      <sheetName val="Sales_Package_Input10"/>
      <sheetName val="Other_Listings9"/>
      <sheetName val="Validacion_#19"/>
      <sheetName val="BASE_LISTAS9"/>
      <sheetName val="Cuentas_y_CeCos9"/>
      <sheetName val="R&amp;O_List8"/>
      <sheetName val="RG%20depots%20jaar_XLS8"/>
      <sheetName val="요일_테이블9"/>
      <sheetName val="Sheet1_(2)8"/>
      <sheetName val="DE_PARA_(N_EXCLUIR)7"/>
      <sheetName val="Base_Canibalizacao_Vol7"/>
      <sheetName val="Reference_tab7"/>
      <sheetName val="Dropdown_list_LATAM7"/>
      <sheetName val="dep_pre7"/>
      <sheetName val="Figures_Report7"/>
      <sheetName val="POC_등급_20207"/>
      <sheetName val="NR_정리7"/>
      <sheetName val="Price_Off_기준7"/>
      <sheetName val="HE_판매증대활동_가이드_20년7"/>
      <sheetName val="20,_2월_POCs7"/>
      <sheetName val="년간_POCs_Price_Off7"/>
      <sheetName val="WS_코드7"/>
      <sheetName val="차량운행일지_요일테이블_업뎃_완료7"/>
      <sheetName val="Data_Lists7"/>
      <sheetName val="dados_blp7"/>
      <sheetName val="share_price_20027"/>
      <sheetName val="Cur_Ex_Rate7"/>
      <sheetName val="Distribución_C6"/>
      <sheetName val="Extract_Loss6"/>
      <sheetName val="G_WPS5"/>
      <sheetName val="G_GFP5"/>
      <sheetName val="G_GL5"/>
      <sheetName val="G_LSA5"/>
      <sheetName val="est_rev_5"/>
      <sheetName val="SNs_Meta_Categorias5"/>
      <sheetName val="RG_Depots16"/>
      <sheetName val="Launch_and_Maintenance14"/>
      <sheetName val="ARdistr_(2)14"/>
      <sheetName val="Validate_List14"/>
      <sheetName val="Agrega_Spend_Taxonomy14"/>
      <sheetName val="HUB_Structure14"/>
      <sheetName val="Distribución_D14"/>
      <sheetName val="RG_depots_jaar14"/>
      <sheetName val="Lista_total13"/>
      <sheetName val="Datos_por_SKU-categoria_2011_13"/>
      <sheetName val="Controls_data13"/>
      <sheetName val="список_SKU13"/>
      <sheetName val="Price_list13"/>
      <sheetName val="Budget_Summary13"/>
      <sheetName val="Monthly_Updating&gt;&gt;&gt;13"/>
      <sheetName val="LE_-_Input12"/>
      <sheetName val="drop_downs12"/>
      <sheetName val="Drop_down_list12"/>
      <sheetName val="2_-_KPIs_Impacted_12"/>
      <sheetName val="FX_lookup12"/>
      <sheetName val="Drop_Down_Menus12"/>
      <sheetName val="FX_-_Assumptions11"/>
      <sheetName val="BU17_Summary11"/>
      <sheetName val="Financial_info11"/>
      <sheetName val="Completion_Instructions11"/>
      <sheetName val="Tipos_de_iniciativas11"/>
      <sheetName val="Supply_Cost_Centers11"/>
      <sheetName val="VIC_R&amp;O_List11"/>
      <sheetName val="Selection_Lists11"/>
      <sheetName val="Sales_Package_Input11"/>
      <sheetName val="Validacion_#110"/>
      <sheetName val="Other_Listings10"/>
      <sheetName val="BASE_LISTAS10"/>
      <sheetName val="R&amp;O_List9"/>
      <sheetName val="Cuentas_y_CeCos10"/>
      <sheetName val="RG%20depots%20jaar_XLS9"/>
      <sheetName val="요일_테이블10"/>
      <sheetName val="Sheet1_(2)9"/>
      <sheetName val="DE_PARA_(N_EXCLUIR)8"/>
      <sheetName val="Base_Canibalizacao_Vol8"/>
      <sheetName val="Reference_tab8"/>
      <sheetName val="Dropdown_list_LATAM8"/>
      <sheetName val="dep_pre8"/>
      <sheetName val="Figures_Report8"/>
      <sheetName val="POC_등급_20208"/>
      <sheetName val="NR_정리8"/>
      <sheetName val="Price_Off_기준8"/>
      <sheetName val="HE_판매증대활동_가이드_20년8"/>
      <sheetName val="20,_2월_POCs8"/>
      <sheetName val="년간_POCs_Price_Off8"/>
      <sheetName val="WS_코드8"/>
      <sheetName val="차량운행일지_요일테이블_업뎃_완료8"/>
      <sheetName val="Data_Lists8"/>
      <sheetName val="dados_blp8"/>
      <sheetName val="share_price_20028"/>
      <sheetName val="Cur_Ex_Rate8"/>
      <sheetName val="Distribución_C7"/>
      <sheetName val="Extract_Loss7"/>
      <sheetName val="G_WPS6"/>
      <sheetName val="G_GFP6"/>
      <sheetName val="G_GL6"/>
      <sheetName val="G_LSA6"/>
      <sheetName val="est_rev_6"/>
      <sheetName val="SNs_Meta_Categorias6"/>
      <sheetName val="ZAGREBAČKA_PIVOVARA4"/>
      <sheetName val="TIA_PARTNER4"/>
      <sheetName val="K_PIVOVARI4"/>
      <sheetName val="Other_Performance2"/>
      <sheetName val="RG_Depots17"/>
      <sheetName val="Launch_and_Maintenance15"/>
      <sheetName val="ARdistr_(2)15"/>
      <sheetName val="Validate_List15"/>
      <sheetName val="Agrega_Spend_Taxonomy15"/>
      <sheetName val="HUB_Structure15"/>
      <sheetName val="Distribución_D15"/>
      <sheetName val="RG_depots_jaar15"/>
      <sheetName val="Lista_total14"/>
      <sheetName val="Datos_por_SKU-categoria_2011_14"/>
      <sheetName val="Controls_data14"/>
      <sheetName val="список_SKU14"/>
      <sheetName val="Price_list14"/>
      <sheetName val="Budget_Summary14"/>
      <sheetName val="Monthly_Updating&gt;&gt;&gt;14"/>
      <sheetName val="LE_-_Input13"/>
      <sheetName val="drop_downs13"/>
      <sheetName val="Drop_down_list13"/>
      <sheetName val="2_-_KPIs_Impacted_13"/>
      <sheetName val="FX_lookup13"/>
      <sheetName val="Drop_Down_Menus13"/>
      <sheetName val="FX_-_Assumptions12"/>
      <sheetName val="BU17_Summary12"/>
      <sheetName val="Financial_info12"/>
      <sheetName val="Completion_Instructions12"/>
      <sheetName val="Tipos_de_iniciativas12"/>
      <sheetName val="Supply_Cost_Centers12"/>
      <sheetName val="VIC_R&amp;O_List12"/>
      <sheetName val="Selection_Lists12"/>
      <sheetName val="Sales_Package_Input12"/>
      <sheetName val="Validacion_#111"/>
      <sheetName val="Other_Listings11"/>
      <sheetName val="BASE_LISTAS11"/>
      <sheetName val="R&amp;O_List10"/>
      <sheetName val="Cuentas_y_CeCos11"/>
      <sheetName val="RG%20depots%20jaar_XLS10"/>
      <sheetName val="요일_테이블11"/>
      <sheetName val="Sheet1_(2)10"/>
      <sheetName val="DE_PARA_(N_EXCLUIR)9"/>
      <sheetName val="Base_Canibalizacao_Vol9"/>
      <sheetName val="Reference_tab9"/>
      <sheetName val="Dropdown_list_LATAM9"/>
      <sheetName val="dep_pre9"/>
      <sheetName val="Figures_Report9"/>
      <sheetName val="POC_등급_20209"/>
      <sheetName val="NR_정리9"/>
      <sheetName val="Price_Off_기준9"/>
      <sheetName val="HE_판매증대활동_가이드_20년9"/>
      <sheetName val="20,_2월_POCs9"/>
      <sheetName val="년간_POCs_Price_Off9"/>
      <sheetName val="WS_코드9"/>
      <sheetName val="차량운행일지_요일테이블_업뎃_완료9"/>
      <sheetName val="Data_Lists9"/>
      <sheetName val="dados_blp9"/>
      <sheetName val="share_price_20029"/>
      <sheetName val="Cur_Ex_Rate9"/>
      <sheetName val="Distribución_C8"/>
      <sheetName val="Extract_Loss8"/>
      <sheetName val="G_WPS7"/>
      <sheetName val="G_GFP7"/>
      <sheetName val="G_GL7"/>
      <sheetName val="G_LSA7"/>
      <sheetName val="est_rev_7"/>
      <sheetName val="SNs_Meta_Categorias7"/>
      <sheetName val="ZAGREBAČKA_PIVOVARA5"/>
      <sheetName val="TIA_PARTNER5"/>
      <sheetName val="K_PIVOVARI5"/>
      <sheetName val="Other_Performance3"/>
      <sheetName val="RG_Depots18"/>
      <sheetName val="Launch_and_Maintenance16"/>
      <sheetName val="ARdistr_(2)16"/>
      <sheetName val="Validate_List16"/>
      <sheetName val="Agrega_Spend_Taxonomy16"/>
      <sheetName val="HUB_Structure16"/>
      <sheetName val="Distribución_D16"/>
      <sheetName val="RG_depots_jaar16"/>
      <sheetName val="Lista_total15"/>
      <sheetName val="Datos_por_SKU-categoria_2011_15"/>
      <sheetName val="Controls_data15"/>
      <sheetName val="список_SKU15"/>
      <sheetName val="Price_list15"/>
      <sheetName val="Budget_Summary15"/>
      <sheetName val="Monthly_Updating&gt;&gt;&gt;15"/>
      <sheetName val="LE_-_Input14"/>
      <sheetName val="drop_downs14"/>
      <sheetName val="Drop_down_list14"/>
      <sheetName val="2_-_KPIs_Impacted_14"/>
      <sheetName val="FX_lookup14"/>
      <sheetName val="Drop_Down_Menus14"/>
      <sheetName val="FX_-_Assumptions13"/>
      <sheetName val="BU17_Summary13"/>
      <sheetName val="Financial_info13"/>
      <sheetName val="Completion_Instructions13"/>
      <sheetName val="Tipos_de_iniciativas13"/>
      <sheetName val="Supply_Cost_Centers13"/>
      <sheetName val="VIC_R&amp;O_List13"/>
      <sheetName val="Selection_Lists13"/>
      <sheetName val="Sales_Package_Input13"/>
      <sheetName val="Validacion_#112"/>
      <sheetName val="Other_Listings12"/>
      <sheetName val="BASE_LISTAS12"/>
      <sheetName val="R&amp;O_List11"/>
      <sheetName val="Cuentas_y_CeCos12"/>
      <sheetName val="RG%20depots%20jaar_XLS11"/>
      <sheetName val="요일_테이블12"/>
      <sheetName val="Sheet1_(2)11"/>
      <sheetName val="DE_PARA_(N_EXCLUIR)10"/>
      <sheetName val="Base_Canibalizacao_Vol10"/>
      <sheetName val="Reference_tab10"/>
      <sheetName val="Dropdown_list_LATAM10"/>
      <sheetName val="dep_pre10"/>
      <sheetName val="Figures_Report10"/>
      <sheetName val="POC_등급_202010"/>
      <sheetName val="NR_정리10"/>
      <sheetName val="Price_Off_기준10"/>
      <sheetName val="HE_판매증대활동_가이드_20년10"/>
      <sheetName val="20,_2월_POCs10"/>
      <sheetName val="년간_POCs_Price_Off10"/>
      <sheetName val="WS_코드10"/>
      <sheetName val="차량운행일지_요일테이블_업뎃_완료10"/>
      <sheetName val="Data_Lists10"/>
      <sheetName val="dados_blp10"/>
      <sheetName val="share_price_200210"/>
      <sheetName val="Cur_Ex_Rate10"/>
      <sheetName val="Distribución_C9"/>
      <sheetName val="Extract_Loss9"/>
      <sheetName val="G_WPS8"/>
      <sheetName val="G_GFP8"/>
      <sheetName val="G_GL8"/>
      <sheetName val="G_LSA8"/>
      <sheetName val="est_rev_8"/>
      <sheetName val="SNs_Meta_Categorias8"/>
      <sheetName val="ZAGREBAČKA_PIVOVARA6"/>
      <sheetName val="TIA_PARTNER6"/>
      <sheetName val="K_PIVOVARI6"/>
      <sheetName val="Other_Performance4"/>
      <sheetName val="RG_Depots19"/>
      <sheetName val="Launch_and_Maintenance17"/>
      <sheetName val="ARdistr_(2)17"/>
      <sheetName val="Validate_List17"/>
      <sheetName val="Agrega_Spend_Taxonomy17"/>
      <sheetName val="HUB_Structure17"/>
      <sheetName val="Distribución_D17"/>
      <sheetName val="RG_depots_jaar17"/>
      <sheetName val="Lista_total16"/>
      <sheetName val="Datos_por_SKU-categoria_2011_16"/>
      <sheetName val="Controls_data16"/>
      <sheetName val="список_SKU16"/>
      <sheetName val="Price_list16"/>
      <sheetName val="Budget_Summary16"/>
      <sheetName val="Monthly_Updating&gt;&gt;&gt;16"/>
      <sheetName val="LE_-_Input15"/>
      <sheetName val="drop_downs15"/>
      <sheetName val="Drop_down_list15"/>
      <sheetName val="2_-_KPIs_Impacted_15"/>
      <sheetName val="FX_lookup15"/>
      <sheetName val="Drop_Down_Menus15"/>
      <sheetName val="FX_-_Assumptions14"/>
      <sheetName val="BU17_Summary14"/>
      <sheetName val="Financial_info14"/>
      <sheetName val="Completion_Instructions14"/>
      <sheetName val="Tipos_de_iniciativas14"/>
      <sheetName val="Supply_Cost_Centers14"/>
      <sheetName val="VIC_R&amp;O_List14"/>
      <sheetName val="Selection_Lists14"/>
      <sheetName val="Sales_Package_Input14"/>
      <sheetName val="Validacion_#113"/>
      <sheetName val="Other_Listings13"/>
      <sheetName val="BASE_LISTAS13"/>
      <sheetName val="R&amp;O_List12"/>
      <sheetName val="Cuentas_y_CeCos13"/>
      <sheetName val="RG%20depots%20jaar_XLS12"/>
      <sheetName val="요일_테이블13"/>
      <sheetName val="Sheet1_(2)12"/>
      <sheetName val="DE_PARA_(N_EXCLUIR)11"/>
      <sheetName val="Base_Canibalizacao_Vol11"/>
      <sheetName val="Reference_tab11"/>
      <sheetName val="Figures_Report11"/>
      <sheetName val="POC_등급_202011"/>
      <sheetName val="NR_정리11"/>
      <sheetName val="Price_Off_기준11"/>
      <sheetName val="HE_판매증대활동_가이드_20년11"/>
      <sheetName val="20,_2월_POCs11"/>
      <sheetName val="년간_POCs_Price_Off11"/>
      <sheetName val="WS_코드11"/>
      <sheetName val="차량운행일지_요일테이블_업뎃_완료11"/>
      <sheetName val="Dropdown_list_LATAM11"/>
      <sheetName val="dep_pre11"/>
      <sheetName val="Data_Lists11"/>
      <sheetName val="dados_blp11"/>
      <sheetName val="share_price_200211"/>
      <sheetName val="Cur_Ex_Rate11"/>
      <sheetName val="Distribución_C10"/>
      <sheetName val="Extract_Loss10"/>
      <sheetName val="G_WPS9"/>
      <sheetName val="G_GFP9"/>
      <sheetName val="G_GL9"/>
      <sheetName val="G_LSA9"/>
      <sheetName val="est_rev_9"/>
      <sheetName val="SNs_Meta_Categorias9"/>
      <sheetName val="ZAGREBAČKA_PIVOVARA7"/>
      <sheetName val="TIA_PARTNER7"/>
      <sheetName val="K_PIVOVARI7"/>
      <sheetName val="Other_Performance5"/>
      <sheetName val="Cuota x Hl Global Brands"/>
      <sheetName val="Data validation"/>
      <sheetName val="BDPL"/>
      <sheetName val="Mex"/>
      <sheetName val="RG_Depots20"/>
      <sheetName val="Launch_and_Maintenance18"/>
      <sheetName val="ARdistr_(2)18"/>
      <sheetName val="Validate_List18"/>
      <sheetName val="Agrega_Spend_Taxonomy18"/>
      <sheetName val="HUB_Structure18"/>
      <sheetName val="Distribución_D18"/>
      <sheetName val="RG_depots_jaar18"/>
      <sheetName val="Datos_por_SKU-categoria_2011_17"/>
      <sheetName val="Lista_total17"/>
      <sheetName val="Controls_data17"/>
      <sheetName val="список_SKU17"/>
      <sheetName val="Price_list17"/>
      <sheetName val="Budget_Summary17"/>
      <sheetName val="Monthly_Updating&gt;&gt;&gt;17"/>
      <sheetName val="LE_-_Input16"/>
      <sheetName val="Drop_down_list16"/>
      <sheetName val="drop_downs16"/>
      <sheetName val="2_-_KPIs_Impacted_16"/>
      <sheetName val="Supply_Cost_Centers15"/>
      <sheetName val="FX_lookup16"/>
      <sheetName val="BU17_Summary15"/>
      <sheetName val="Drop_Down_Menus16"/>
      <sheetName val="FX_-_Assumptions15"/>
      <sheetName val="Financial_info15"/>
      <sheetName val="Completion_Instructions15"/>
      <sheetName val="Tipos_de_iniciativas15"/>
      <sheetName val="VIC_R&amp;O_List15"/>
      <sheetName val="Selection_Lists15"/>
      <sheetName val="Sales_Package_Input15"/>
      <sheetName val="Other_Listings14"/>
      <sheetName val="Validacion_#114"/>
      <sheetName val="BASE_LISTAS14"/>
      <sheetName val="R&amp;O_List13"/>
      <sheetName val="Cuentas_y_CeCos14"/>
      <sheetName val="RG%20depots%20jaar_XLS13"/>
      <sheetName val="요일_테이블14"/>
      <sheetName val="Sheet1_(2)13"/>
      <sheetName val="DE_PARA_(N_EXCLUIR)12"/>
      <sheetName val="Base_Canibalizacao_Vol12"/>
      <sheetName val="Reference_tab12"/>
      <sheetName val="Figures_Report12"/>
      <sheetName val="POC_등급_202012"/>
      <sheetName val="NR_정리12"/>
      <sheetName val="Price_Off_기준12"/>
      <sheetName val="HE_판매증대활동_가이드_20년12"/>
      <sheetName val="20,_2월_POCs12"/>
      <sheetName val="년간_POCs_Price_Off12"/>
      <sheetName val="WS_코드12"/>
      <sheetName val="차량운행일지_요일테이블_업뎃_완료12"/>
      <sheetName val="Dropdown_list_LATAM12"/>
      <sheetName val="dep_pre12"/>
      <sheetName val="Data_Lists12"/>
      <sheetName val="dados_blp12"/>
      <sheetName val="share_price_200212"/>
      <sheetName val="Cur_Ex_Rate12"/>
      <sheetName val="Distribución_C11"/>
      <sheetName val="Extract_Loss11"/>
      <sheetName val="G_WPS10"/>
      <sheetName val="G_GFP10"/>
      <sheetName val="G_GL10"/>
      <sheetName val="G_LSA10"/>
      <sheetName val="est_rev_10"/>
      <sheetName val="SNs_Meta_Categorias10"/>
      <sheetName val="ZAGREBAČKA_PIVOVARA8"/>
      <sheetName val="TIA_PARTNER8"/>
      <sheetName val="K_PIVOVARI8"/>
      <sheetName val="Other_Performance6"/>
      <sheetName val="Data_validation"/>
      <sheetName val="Cuota_x_Hl_Global_Brands"/>
      <sheetName val="Plan3"/>
      <sheetName val="REF"/>
      <sheetName val="NIELSEN_TOOL"/>
      <sheetName val="Données LMU"/>
      <sheetName val="eqpmad2"/>
      <sheetName val="Meta"/>
      <sheetName val="Data USA Adj US$"/>
      <sheetName val="Données_LMU"/>
      <sheetName val="1_Overview"/>
      <sheetName val="Setting"/>
      <sheetName val="AS"/>
      <sheetName val="10IM"/>
      <sheetName val="RAW AUS"/>
      <sheetName val="RAW NZP"/>
      <sheetName val="Cockpit"/>
      <sheetName val="Qs"/>
      <sheetName val="BLP"/>
      <sheetName val="Données_LMU1"/>
      <sheetName val="Data_USA_Adj_US$"/>
      <sheetName val="back MTD"/>
      <sheetName val="Back HK0010"/>
      <sheetName val="Données_LMU2"/>
      <sheetName val="Data_USA_Adj_US$1"/>
      <sheetName val="RAW_AUS"/>
      <sheetName val="RAW_NZP"/>
      <sheetName val="back_MTD"/>
      <sheetName val="Back_HK0010"/>
      <sheetName val="COLOR별 인쇄"/>
      <sheetName val="PROJECT LIST"/>
      <sheetName val="MACOMixData"/>
      <sheetName val="NRMixData"/>
      <sheetName val="NRMixData_YTD"/>
      <sheetName val="NRMixData_YTG"/>
      <sheetName val="Selection_Setting"/>
      <sheetName val="Brazil Sovereign"/>
      <sheetName val="RAW_AUS1"/>
      <sheetName val="RAW_NZP1"/>
      <sheetName val="Brazil_Sovereign"/>
      <sheetName val="Report-Daily"/>
      <sheetName val="GraphData"/>
      <sheetName val="PBO子渠道匹配"/>
      <sheetName val="LEGAL GUJ"/>
      <sheetName val="POWER ASSUMPTIONS"/>
      <sheetName val="Budget"/>
      <sheetName val="2019"/>
      <sheetName val="2020"/>
      <sheetName val="2021"/>
      <sheetName val="TARGETS BY MONTH"/>
      <sheetName val="2021 Customer Targets By Month"/>
      <sheetName val="Customer Data"/>
      <sheetName val="Targets"/>
      <sheetName val="Sheet5"/>
      <sheetName val="Total Sales"/>
      <sheetName val="Jan'21"/>
      <sheetName val="Mar'21"/>
      <sheetName val="April'21"/>
      <sheetName val="April'21 (2)"/>
      <sheetName val="May'21"/>
      <sheetName val="NEW"/>
      <sheetName val="JUNE"/>
      <sheetName val="July'21"/>
      <sheetName val="August'21"/>
      <sheetName val="September"/>
      <sheetName val="OCTOBER"/>
      <sheetName val="November"/>
      <sheetName val="December"/>
      <sheetName val="Sheet7"/>
      <sheetName val="Sheet6"/>
      <sheetName val="CLOSED OUT LETS _x0009_"/>
      <sheetName val="Swaziland_Data"/>
      <sheetName val="2019_Cases"/>
      <sheetName val="Sheet9"/>
      <sheetName val="perfil_fx_Hor"/>
      <sheetName val="Efeitos_vs__ppto101"/>
      <sheetName val="1_2_1_OM1"/>
    </sheetNames>
    <sheetDataSet>
      <sheetData sheetId="0" refreshError="1">
        <row r="42">
          <cell r="C42" t="str">
            <v>Centrum</v>
          </cell>
          <cell r="D42" t="str">
            <v>Sud</v>
          </cell>
          <cell r="E42" t="str">
            <v>België/Belgique</v>
          </cell>
        </row>
        <row r="43">
          <cell r="C43">
            <v>24.85</v>
          </cell>
          <cell r="D43">
            <v>38.06</v>
          </cell>
          <cell r="E43">
            <v>26.31</v>
          </cell>
        </row>
        <row r="44">
          <cell r="C44">
            <v>37.799999999999997</v>
          </cell>
          <cell r="D44">
            <v>38.479999999999997</v>
          </cell>
          <cell r="E44">
            <v>28.67</v>
          </cell>
        </row>
        <row r="45">
          <cell r="C45">
            <v>18.61</v>
          </cell>
          <cell r="D45">
            <v>34.11</v>
          </cell>
          <cell r="E45">
            <v>21.08</v>
          </cell>
        </row>
        <row r="46">
          <cell r="C46">
            <v>27.06</v>
          </cell>
          <cell r="D46">
            <v>23.95</v>
          </cell>
          <cell r="E46">
            <v>19.34</v>
          </cell>
        </row>
        <row r="48">
          <cell r="C48">
            <v>18</v>
          </cell>
          <cell r="D48">
            <v>18</v>
          </cell>
          <cell r="E48">
            <v>15.3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>
        <row r="42">
          <cell r="C42" t="str">
            <v>Centrum</v>
          </cell>
        </row>
      </sheetData>
      <sheetData sheetId="81">
        <row r="42">
          <cell r="C42" t="str">
            <v>Centrum</v>
          </cell>
        </row>
      </sheetData>
      <sheetData sheetId="82">
        <row r="42">
          <cell r="C42" t="str">
            <v>Centrum</v>
          </cell>
        </row>
      </sheetData>
      <sheetData sheetId="83">
        <row r="42">
          <cell r="C42" t="str">
            <v>Centrum</v>
          </cell>
        </row>
      </sheetData>
      <sheetData sheetId="84">
        <row r="42">
          <cell r="C42" t="str">
            <v>Centrum</v>
          </cell>
        </row>
      </sheetData>
      <sheetData sheetId="85">
        <row r="42">
          <cell r="C42" t="str">
            <v>Centrum</v>
          </cell>
        </row>
      </sheetData>
      <sheetData sheetId="86">
        <row r="42">
          <cell r="C42" t="str">
            <v>Centrum</v>
          </cell>
        </row>
      </sheetData>
      <sheetData sheetId="87">
        <row r="42">
          <cell r="C42" t="str">
            <v>Centrum</v>
          </cell>
        </row>
      </sheetData>
      <sheetData sheetId="88">
        <row r="42">
          <cell r="C42" t="str">
            <v>Centrum</v>
          </cell>
        </row>
      </sheetData>
      <sheetData sheetId="89">
        <row r="42">
          <cell r="C42" t="str">
            <v>Centrum</v>
          </cell>
        </row>
      </sheetData>
      <sheetData sheetId="90">
        <row r="42">
          <cell r="C42" t="str">
            <v>Centrum</v>
          </cell>
        </row>
      </sheetData>
      <sheetData sheetId="91">
        <row r="42">
          <cell r="C42" t="str">
            <v>Centrum</v>
          </cell>
        </row>
      </sheetData>
      <sheetData sheetId="92">
        <row r="42">
          <cell r="C42" t="str">
            <v>Centrum</v>
          </cell>
        </row>
      </sheetData>
      <sheetData sheetId="93">
        <row r="42">
          <cell r="C42" t="str">
            <v>Centrum</v>
          </cell>
        </row>
      </sheetData>
      <sheetData sheetId="94">
        <row r="42">
          <cell r="C42" t="str">
            <v>Centrum</v>
          </cell>
        </row>
      </sheetData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>
        <row r="42">
          <cell r="C42" t="str">
            <v>Centrum</v>
          </cell>
        </row>
      </sheetData>
      <sheetData sheetId="165">
        <row r="42">
          <cell r="C42" t="str">
            <v>Centrum</v>
          </cell>
        </row>
      </sheetData>
      <sheetData sheetId="166">
        <row r="42">
          <cell r="C42" t="str">
            <v>Centrum</v>
          </cell>
        </row>
      </sheetData>
      <sheetData sheetId="167">
        <row r="42">
          <cell r="C42" t="str">
            <v>Centrum</v>
          </cell>
        </row>
      </sheetData>
      <sheetData sheetId="168">
        <row r="42">
          <cell r="C42" t="str">
            <v>Centrum</v>
          </cell>
        </row>
      </sheetData>
      <sheetData sheetId="169">
        <row r="42">
          <cell r="C42" t="str">
            <v>Centrum</v>
          </cell>
        </row>
      </sheetData>
      <sheetData sheetId="170">
        <row r="42">
          <cell r="C42" t="str">
            <v>Centrum</v>
          </cell>
        </row>
      </sheetData>
      <sheetData sheetId="171">
        <row r="42">
          <cell r="C42" t="str">
            <v>Centrum</v>
          </cell>
        </row>
      </sheetData>
      <sheetData sheetId="172">
        <row r="42">
          <cell r="C42" t="str">
            <v>Centrum</v>
          </cell>
        </row>
      </sheetData>
      <sheetData sheetId="173">
        <row r="42">
          <cell r="C42" t="str">
            <v>Centrum</v>
          </cell>
        </row>
      </sheetData>
      <sheetData sheetId="174">
        <row r="42">
          <cell r="C42" t="str">
            <v>Centrum</v>
          </cell>
        </row>
      </sheetData>
      <sheetData sheetId="175">
        <row r="42">
          <cell r="C42" t="str">
            <v>Centrum</v>
          </cell>
        </row>
      </sheetData>
      <sheetData sheetId="176">
        <row r="42">
          <cell r="C42" t="str">
            <v>Centrum</v>
          </cell>
        </row>
      </sheetData>
      <sheetData sheetId="177">
        <row r="42">
          <cell r="C42" t="str">
            <v>Centrum</v>
          </cell>
        </row>
      </sheetData>
      <sheetData sheetId="178">
        <row r="42">
          <cell r="C42" t="str">
            <v>Centrum</v>
          </cell>
        </row>
      </sheetData>
      <sheetData sheetId="179">
        <row r="42">
          <cell r="C42" t="str">
            <v>Centrum</v>
          </cell>
        </row>
      </sheetData>
      <sheetData sheetId="180">
        <row r="42">
          <cell r="C42" t="str">
            <v>Centrum</v>
          </cell>
        </row>
      </sheetData>
      <sheetData sheetId="181">
        <row r="42">
          <cell r="C42" t="str">
            <v>Centrum</v>
          </cell>
        </row>
      </sheetData>
      <sheetData sheetId="182">
        <row r="42">
          <cell r="C42" t="str">
            <v>Centrum</v>
          </cell>
        </row>
      </sheetData>
      <sheetData sheetId="183">
        <row r="42">
          <cell r="C42" t="str">
            <v>Centrum</v>
          </cell>
        </row>
      </sheetData>
      <sheetData sheetId="184">
        <row r="42">
          <cell r="C42" t="str">
            <v>Centrum</v>
          </cell>
        </row>
      </sheetData>
      <sheetData sheetId="185">
        <row r="42">
          <cell r="C42" t="str">
            <v>Centrum</v>
          </cell>
        </row>
      </sheetData>
      <sheetData sheetId="186">
        <row r="42">
          <cell r="C42" t="str">
            <v>Centrum</v>
          </cell>
        </row>
      </sheetData>
      <sheetData sheetId="187">
        <row r="42">
          <cell r="C42" t="str">
            <v>Centrum</v>
          </cell>
        </row>
      </sheetData>
      <sheetData sheetId="188">
        <row r="42">
          <cell r="C42" t="str">
            <v>Centrum</v>
          </cell>
        </row>
      </sheetData>
      <sheetData sheetId="189"/>
      <sheetData sheetId="190"/>
      <sheetData sheetId="191">
        <row r="42">
          <cell r="C42" t="str">
            <v>Centrum</v>
          </cell>
        </row>
      </sheetData>
      <sheetData sheetId="192">
        <row r="42">
          <cell r="C42" t="str">
            <v>Centrum</v>
          </cell>
        </row>
      </sheetData>
      <sheetData sheetId="193">
        <row r="42">
          <cell r="C42" t="str">
            <v>Centrum</v>
          </cell>
        </row>
      </sheetData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 refreshError="1"/>
      <sheetData sheetId="208">
        <row r="42">
          <cell r="C42">
            <v>0</v>
          </cell>
        </row>
      </sheetData>
      <sheetData sheetId="209">
        <row r="42">
          <cell r="C42">
            <v>0</v>
          </cell>
        </row>
      </sheetData>
      <sheetData sheetId="210">
        <row r="42">
          <cell r="C42">
            <v>0</v>
          </cell>
        </row>
      </sheetData>
      <sheetData sheetId="211">
        <row r="42">
          <cell r="C42">
            <v>0</v>
          </cell>
        </row>
      </sheetData>
      <sheetData sheetId="212">
        <row r="42">
          <cell r="C42">
            <v>0</v>
          </cell>
        </row>
      </sheetData>
      <sheetData sheetId="213">
        <row r="42">
          <cell r="C42">
            <v>0</v>
          </cell>
        </row>
      </sheetData>
      <sheetData sheetId="214">
        <row r="42">
          <cell r="C42">
            <v>0</v>
          </cell>
        </row>
      </sheetData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>
        <row r="42">
          <cell r="C42" t="str">
            <v>Centrum</v>
          </cell>
        </row>
      </sheetData>
      <sheetData sheetId="222">
        <row r="42">
          <cell r="C42" t="str">
            <v>Centrum</v>
          </cell>
        </row>
      </sheetData>
      <sheetData sheetId="223">
        <row r="42">
          <cell r="C42" t="str">
            <v>Centrum</v>
          </cell>
        </row>
      </sheetData>
      <sheetData sheetId="224">
        <row r="42">
          <cell r="C42" t="str">
            <v>Centrum</v>
          </cell>
        </row>
      </sheetData>
      <sheetData sheetId="225">
        <row r="42">
          <cell r="C42" t="str">
            <v>Centrum</v>
          </cell>
        </row>
      </sheetData>
      <sheetData sheetId="226">
        <row r="42">
          <cell r="C42" t="str">
            <v>Centrum</v>
          </cell>
        </row>
      </sheetData>
      <sheetData sheetId="227">
        <row r="42">
          <cell r="C42" t="str">
            <v>Centrum</v>
          </cell>
        </row>
      </sheetData>
      <sheetData sheetId="228">
        <row r="42">
          <cell r="C42" t="str">
            <v>Centrum</v>
          </cell>
        </row>
      </sheetData>
      <sheetData sheetId="229">
        <row r="42">
          <cell r="C42" t="str">
            <v>Centrum</v>
          </cell>
        </row>
      </sheetData>
      <sheetData sheetId="230">
        <row r="42">
          <cell r="C42" t="str">
            <v>Centrum</v>
          </cell>
        </row>
      </sheetData>
      <sheetData sheetId="231">
        <row r="42">
          <cell r="C42" t="str">
            <v>Centrum</v>
          </cell>
        </row>
      </sheetData>
      <sheetData sheetId="232">
        <row r="42">
          <cell r="C42" t="str">
            <v>Centrum</v>
          </cell>
        </row>
      </sheetData>
      <sheetData sheetId="233">
        <row r="42">
          <cell r="C42" t="str">
            <v>Centrum</v>
          </cell>
        </row>
      </sheetData>
      <sheetData sheetId="234">
        <row r="42">
          <cell r="C42" t="str">
            <v>Centrum</v>
          </cell>
        </row>
      </sheetData>
      <sheetData sheetId="235">
        <row r="42">
          <cell r="C42" t="str">
            <v>Centrum</v>
          </cell>
        </row>
      </sheetData>
      <sheetData sheetId="236">
        <row r="42">
          <cell r="C42" t="str">
            <v>Centrum</v>
          </cell>
        </row>
      </sheetData>
      <sheetData sheetId="237">
        <row r="42">
          <cell r="C42" t="str">
            <v>Centrum</v>
          </cell>
        </row>
      </sheetData>
      <sheetData sheetId="238">
        <row r="42">
          <cell r="C42" t="str">
            <v>Centrum</v>
          </cell>
        </row>
      </sheetData>
      <sheetData sheetId="239">
        <row r="42">
          <cell r="C42" t="str">
            <v>Centrum</v>
          </cell>
        </row>
      </sheetData>
      <sheetData sheetId="240"/>
      <sheetData sheetId="241"/>
      <sheetData sheetId="242"/>
      <sheetData sheetId="243"/>
      <sheetData sheetId="244"/>
      <sheetData sheetId="245"/>
      <sheetData sheetId="246">
        <row r="42">
          <cell r="C42">
            <v>0</v>
          </cell>
        </row>
      </sheetData>
      <sheetData sheetId="247">
        <row r="42">
          <cell r="C42" t="str">
            <v>Centrum</v>
          </cell>
        </row>
      </sheetData>
      <sheetData sheetId="248">
        <row r="42">
          <cell r="C42">
            <v>0</v>
          </cell>
        </row>
      </sheetData>
      <sheetData sheetId="249">
        <row r="42">
          <cell r="C42">
            <v>0</v>
          </cell>
        </row>
      </sheetData>
      <sheetData sheetId="250">
        <row r="42">
          <cell r="C42">
            <v>0</v>
          </cell>
        </row>
      </sheetData>
      <sheetData sheetId="251">
        <row r="42">
          <cell r="C42" t="str">
            <v>Centrum</v>
          </cell>
        </row>
      </sheetData>
      <sheetData sheetId="252">
        <row r="42">
          <cell r="C42">
            <v>0</v>
          </cell>
        </row>
      </sheetData>
      <sheetData sheetId="253">
        <row r="42">
          <cell r="C42">
            <v>0</v>
          </cell>
        </row>
      </sheetData>
      <sheetData sheetId="254">
        <row r="42">
          <cell r="C42">
            <v>0</v>
          </cell>
        </row>
      </sheetData>
      <sheetData sheetId="255" refreshError="1"/>
      <sheetData sheetId="256" refreshError="1"/>
      <sheetData sheetId="257" refreshError="1"/>
      <sheetData sheetId="258" refreshError="1"/>
      <sheetData sheetId="259"/>
      <sheetData sheetId="260" refreshError="1"/>
      <sheetData sheetId="261" refreshError="1"/>
      <sheetData sheetId="262" refreshError="1"/>
      <sheetData sheetId="263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/>
      <sheetData sheetId="271"/>
      <sheetData sheetId="272"/>
      <sheetData sheetId="273"/>
      <sheetData sheetId="274">
        <row r="42">
          <cell r="C42" t="str">
            <v>Centrum</v>
          </cell>
        </row>
      </sheetData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>
        <row r="42">
          <cell r="C42" t="str">
            <v>Centrum</v>
          </cell>
        </row>
      </sheetData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 refreshError="1"/>
      <sheetData sheetId="310" refreshError="1"/>
      <sheetData sheetId="311"/>
      <sheetData sheetId="312"/>
      <sheetData sheetId="313"/>
      <sheetData sheetId="314"/>
      <sheetData sheetId="315"/>
      <sheetData sheetId="316"/>
      <sheetData sheetId="317"/>
      <sheetData sheetId="318">
        <row r="42">
          <cell r="C42" t="str">
            <v>서서울 West Seoul</v>
          </cell>
        </row>
      </sheetData>
      <sheetData sheetId="319">
        <row r="42">
          <cell r="C42" t="str">
            <v>서서울 West Seoul</v>
          </cell>
        </row>
      </sheetData>
      <sheetData sheetId="320">
        <row r="42">
          <cell r="C42" t="str">
            <v>일</v>
          </cell>
        </row>
      </sheetData>
      <sheetData sheetId="321">
        <row r="42">
          <cell r="C42" t="str">
            <v>서서울 West Seoul</v>
          </cell>
        </row>
      </sheetData>
      <sheetData sheetId="322">
        <row r="42">
          <cell r="C42" t="str">
            <v>일</v>
          </cell>
        </row>
      </sheetData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/>
      <sheetData sheetId="331"/>
      <sheetData sheetId="332"/>
      <sheetData sheetId="333"/>
      <sheetData sheetId="334">
        <row r="42">
          <cell r="C42" t="str">
            <v>Centrum</v>
          </cell>
        </row>
      </sheetData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 refreshError="1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 refreshError="1"/>
      <sheetData sheetId="573" refreshError="1"/>
      <sheetData sheetId="574" refreshError="1"/>
      <sheetData sheetId="575" refreshError="1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 refreshError="1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 refreshError="1"/>
      <sheetData sheetId="661" refreshError="1"/>
      <sheetData sheetId="662"/>
      <sheetData sheetId="663"/>
      <sheetData sheetId="664"/>
      <sheetData sheetId="665"/>
      <sheetData sheetId="666"/>
      <sheetData sheetId="667"/>
      <sheetData sheetId="668" refreshError="1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 refreshError="1"/>
      <sheetData sheetId="1141" refreshError="1"/>
      <sheetData sheetId="1142" refreshError="1"/>
      <sheetData sheetId="1143" refreshError="1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/>
      <sheetData sheetId="1232"/>
      <sheetData sheetId="1233" refreshError="1"/>
      <sheetData sheetId="1234" refreshError="1"/>
      <sheetData sheetId="1235"/>
      <sheetData sheetId="1236"/>
      <sheetData sheetId="1237"/>
      <sheetData sheetId="1238"/>
      <sheetData sheetId="1239"/>
      <sheetData sheetId="1240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/>
      <sheetData sheetId="1250"/>
      <sheetData sheetId="125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 refreshError="1"/>
      <sheetData sheetId="1287"/>
      <sheetData sheetId="128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zil Sovereign"/>
      <sheetName val="Desconto"/>
      <sheetName val="Yield Curve"/>
      <sheetName val="Yield Curve (2)"/>
      <sheetName val="dados"/>
      <sheetName val="Brazil Swap"/>
      <sheetName val="Sheet2"/>
      <sheetName val="Treasuries"/>
      <sheetName val="Industrials"/>
      <sheetName val="Price"/>
      <sheetName val="Price (2)"/>
      <sheetName val="Feriados"/>
      <sheetName val="Sheet1"/>
      <sheetName val="Dados Cash"/>
      <sheetName val="MOL"/>
      <sheetName val="Sig Cycles_Accts &amp; Processes"/>
      <sheetName val="ACA"/>
      <sheetName val="PackAppear. (2)"/>
      <sheetName val="DePara"/>
      <sheetName val="ASA"/>
      <sheetName val="BH"/>
      <sheetName val="Resu.Capex"/>
      <sheetName val="Capex"/>
      <sheetName val="CNQ"/>
      <sheetName val="CV"/>
      <sheetName val="Disp"/>
      <sheetName val="Efic"/>
      <sheetName val="Efic.Consumo"/>
      <sheetName val="Meta_Fábricas"/>
      <sheetName val="Graf"/>
      <sheetName val="ICD's"/>
      <sheetName val="Micro_Fisico_Index"/>
      <sheetName val="Indisp"/>
      <sheetName val="Key_Points"/>
      <sheetName val="Meta_Individuais"/>
      <sheetName val="NS"/>
      <sheetName val="OOO"/>
      <sheetName val="OOO (2)"/>
      <sheetName val="PackAppear."/>
      <sheetName val="Paineis"/>
      <sheetName val="PEF_Mes"/>
      <sheetName val="PQCM"/>
      <sheetName val="PQCM (2)"/>
      <sheetName val="PQRM"/>
      <sheetName val="PQRM (2)"/>
      <sheetName val="Prod"/>
      <sheetName val="Qualid"/>
      <sheetName val="Res.Executivo"/>
      <sheetName val="SAC"/>
      <sheetName val="TMA"/>
      <sheetName val="TO"/>
      <sheetName val="Vol"/>
      <sheetName val="2001.10 Cerv"/>
      <sheetName val="PLAN SAC Cerveja"/>
      <sheetName val="PLAN SAC RefrigeNanc"/>
      <sheetName val="BaseCerv"/>
      <sheetName val="BaseNanc"/>
      <sheetName val="2001.04 Cerv"/>
      <sheetName val="Farol SAC Cerveja"/>
      <sheetName val="2001.04 Nanc"/>
      <sheetName val="Farol SAC Refrigenanc"/>
      <sheetName val="Pleitos"/>
      <sheetName val="Data"/>
      <sheetName val="Calc 1"/>
      <sheetName val="Dotaciones"/>
      <sheetName val="Worksheet"/>
      <sheetName val="Tudo"/>
      <sheetName val="Yield_Curve"/>
      <sheetName val="Yield_Curve_(2)"/>
      <sheetName val="Brazil_Sovereign"/>
      <sheetName val="Brazil_Swap"/>
      <sheetName val="Price_(2)"/>
      <sheetName val="Dados_Cash"/>
      <sheetName val="Relatório"/>
      <sheetName val="Recon_Pivot"/>
      <sheetName val="3-column"/>
      <sheetName val="Lists"/>
      <sheetName val="Step2_Histogram"/>
      <sheetName val="Step2_Correlation"/>
      <sheetName val="FLOWCHART-03"/>
      <sheetName val="Yield_Curve1"/>
      <sheetName val="Yield_Curve_(2)1"/>
      <sheetName val="Brazil_Sovereign1"/>
      <sheetName val="Brazil_Swap1"/>
      <sheetName val="Price_(2)1"/>
      <sheetName val="Dados_Cash1"/>
      <sheetName val="PackAppear__(2)"/>
      <sheetName val="Resu_Capex"/>
      <sheetName val="Efic_Consumo"/>
      <sheetName val="OOO_(2)"/>
      <sheetName val="PackAppear_"/>
      <sheetName val="PQCM_(2)"/>
      <sheetName val="PQRM_(2)"/>
      <sheetName val="Res_Executivo"/>
      <sheetName val="2001_10_Cerv"/>
      <sheetName val="PLAN_SAC_Cerveja"/>
      <sheetName val="PLAN_SAC_RefrigeNanc"/>
      <sheetName val="2001_04_Cerv"/>
      <sheetName val="Farol_SAC_Cerveja"/>
      <sheetName val="2001_04_Nanc"/>
      <sheetName val="Farol_SAC_Refrigenanc"/>
      <sheetName val="Sig_Cycles_Accts_&amp;_Processes"/>
      <sheetName val="Calc_1"/>
      <sheetName val="WF China_YTD"/>
      <sheetName val="Parameters"/>
      <sheetName val="Yield_Curve2"/>
      <sheetName val="Yield_Curve_(2)2"/>
      <sheetName val="Brazil_Sovereign2"/>
      <sheetName val="Brazil_Swap2"/>
      <sheetName val="Price_(2)2"/>
      <sheetName val="Dados_Cash2"/>
      <sheetName val="PackAppear__(2)1"/>
      <sheetName val="Resu_Capex1"/>
      <sheetName val="Efic_Consumo1"/>
      <sheetName val="OOO_(2)1"/>
      <sheetName val="PackAppear_1"/>
      <sheetName val="PQCM_(2)1"/>
      <sheetName val="PQRM_(2)1"/>
      <sheetName val="Res_Executivo1"/>
      <sheetName val="Sig_Cycles_Accts_&amp;_Processes1"/>
      <sheetName val="2001_10_Cerv1"/>
      <sheetName val="PLAN_SAC_Cerveja1"/>
      <sheetName val="PLAN_SAC_RefrigeNanc1"/>
      <sheetName val="2001_04_Cerv1"/>
      <sheetName val="Farol_SAC_Cerveja1"/>
      <sheetName val="2001_04_Nanc1"/>
      <sheetName val="Farol_SAC_Refrigenanc1"/>
      <sheetName val="Calc_11"/>
      <sheetName val="VOLUME"/>
      <sheetName val="Curve Comparisons"/>
      <sheetName val="bud99"/>
      <sheetName val="Riscos-Oport."/>
      <sheetName val="RET"/>
      <sheetName val="Parametrização"/>
      <sheetName val=""/>
      <sheetName val="[Curve Comp_x0000__x0000__x0000__x0000__x0000__x0000__x0000__x0000__x0000__x0000__x0000__x0000_Brazil S"/>
      <sheetName val="_Curve Comp"/>
      <sheetName val="Summary"/>
      <sheetName val="Hoja2"/>
      <sheetName val="Relatório SDG"/>
      <sheetName val="Reference"/>
      <sheetName val="Engine"/>
      <sheetName val="Assumptions"/>
      <sheetName val="Validate"/>
      <sheetName val="Financials"/>
      <sheetName val="EI Calc"/>
      <sheetName val="기간별 판매진척"/>
      <sheetName val="Table"/>
      <sheetName val="Graph"/>
      <sheetName val="요일 테이블"/>
      <sheetName val="기간별_판매진척"/>
      <sheetName val="Curve_Comparisons"/>
      <sheetName val="요일_테이블"/>
      <sheetName val="Controls"/>
      <sheetName val="LBO Model"/>
      <sheetName val="은행"/>
      <sheetName val="[Curve Comp????????????Brazil S"/>
      <sheetName val="Balance Fin ajust 2004"/>
      <sheetName val="Formulario"/>
      <sheetName val="bdic07"/>
      <sheetName val="EFECTIVO"/>
      <sheetName val="Bloomberg"/>
      <sheetName val="DATOS PARA INTERPOLACION"/>
      <sheetName val="DPN VALUE"/>
      <sheetName val="EVOLUMERCC"/>
      <sheetName val="PROM"/>
      <sheetName val="Tabla de amortización"/>
      <sheetName val="B-111"/>
      <sheetName val="Yield_Curve3"/>
      <sheetName val="Yield_Curve_(2)3"/>
      <sheetName val="Brazil_Sovereign3"/>
      <sheetName val="Brazil_Swap3"/>
      <sheetName val="Price_(2)3"/>
      <sheetName val="Dados_Cash3"/>
      <sheetName val="PackAppear__(2)2"/>
      <sheetName val="Resu_Capex2"/>
      <sheetName val="Efic_Consumo2"/>
      <sheetName val="OOO_(2)2"/>
      <sheetName val="PackAppear_2"/>
      <sheetName val="PQCM_(2)2"/>
      <sheetName val="PQRM_(2)2"/>
      <sheetName val="Res_Executivo2"/>
      <sheetName val="2001_10_Cerv2"/>
      <sheetName val="PLAN_SAC_Cerveja2"/>
      <sheetName val="PLAN_SAC_RefrigeNanc2"/>
      <sheetName val="2001_04_Cerv2"/>
      <sheetName val="Farol_SAC_Cerveja2"/>
      <sheetName val="2001_04_Nanc2"/>
      <sheetName val="Farol_SAC_Refrigenanc2"/>
      <sheetName val="Sig_Cycles_Accts_&amp;_Processes2"/>
      <sheetName val="Calc_12"/>
      <sheetName val="Riscos-Oport_"/>
      <sheetName val="WF_China_YTD"/>
      <sheetName val="Database"/>
      <sheetName val="MATRICES"/>
      <sheetName val="PE1"/>
      <sheetName val="RS1"/>
      <sheetName val="SC1"/>
      <sheetName val="SP1"/>
      <sheetName val="BAU"/>
      <sheetName val="CAM"/>
      <sheetName val="CEE"/>
      <sheetName val="CUR"/>
      <sheetName val="DF"/>
      <sheetName val="PRP"/>
      <sheetName val="RIB"/>
      <sheetName val="RJ"/>
      <sheetName val="SAL"/>
      <sheetName val="SAN"/>
      <sheetName val="SCA"/>
      <sheetName val="Curve%20Comparisons.xls"/>
      <sheetName val="SJC"/>
      <sheetName val="SJR"/>
      <sheetName val="SOR"/>
      <sheetName val="Yield_Curve4"/>
      <sheetName val="Yield_Curve_(2)4"/>
      <sheetName val="Brazil_Sovereign4"/>
      <sheetName val="Brazil_Swap4"/>
      <sheetName val="Price_(2)4"/>
      <sheetName val="Dados_Cash4"/>
      <sheetName val="PackAppear__(2)3"/>
      <sheetName val="Resu_Capex3"/>
      <sheetName val="Efic_Consumo3"/>
      <sheetName val="OOO_(2)3"/>
      <sheetName val="PackAppear_3"/>
      <sheetName val="PQCM_(2)3"/>
      <sheetName val="PQRM_(2)3"/>
      <sheetName val="Res_Executivo3"/>
      <sheetName val="2001_10_Cerv3"/>
      <sheetName val="PLAN_SAC_Cerveja3"/>
      <sheetName val="PLAN_SAC_RefrigeNanc3"/>
      <sheetName val="2001_04_Cerv3"/>
      <sheetName val="Farol_SAC_Cerveja3"/>
      <sheetName val="2001_04_Nanc3"/>
      <sheetName val="Farol_SAC_Refrigenanc3"/>
      <sheetName val="Sig_Cycles_Accts_&amp;_Processes3"/>
      <sheetName val="Calc_13"/>
      <sheetName val="WF_China_YTD1"/>
      <sheetName val="Curve_Comparisons1"/>
      <sheetName val="Riscos-Oport_1"/>
      <sheetName val="[Curve_CompBrazil_S"/>
      <sheetName val="_Curve_Comp"/>
      <sheetName val="Relatório_SDG"/>
      <sheetName val="기간별_판매진척1"/>
      <sheetName val="요일_테이블1"/>
      <sheetName val="EI_Calc"/>
      <sheetName val="LBO_Model"/>
      <sheetName val="[Curve_Comp????????????Brazil_S"/>
      <sheetName val="Balance_Fin_ajust_2004"/>
      <sheetName val="DATOS_PARA_INTERPOLACION"/>
      <sheetName val="DPN_VALUE"/>
      <sheetName val="Tabla_de_amortización"/>
      <sheetName val="Motivos"/>
      <sheetName val="Plan5"/>
      <sheetName val="Diária"/>
      <sheetName val="Plan2"/>
      <sheetName val="Plan3"/>
      <sheetName val="Coleta dados"/>
      <sheetName val="IV Confiabilidade"/>
      <sheetName val="IV Indisponibilidade"/>
      <sheetName val="Check R. Diária"/>
      <sheetName val="Histórico_Check R. Diária"/>
      <sheetName val="[Curve Comp_x005f_x0000__x005f_x0000__x0000"/>
      <sheetName val="_Curve Comp_x005f_x0000__x005f_x0000__x0000"/>
      <sheetName val="BaseDados"/>
      <sheetName val="Datos"/>
      <sheetName val="_Curve Comp____________Brazil S"/>
      <sheetName val="[Curve Comp"/>
      <sheetName val="Comparativo 99X00"/>
      <sheetName val="validaciones"/>
      <sheetName val="Tabela de Parâmetros"/>
      <sheetName val="Versao 1b ($=R$2,13)"/>
      <sheetName val="CRITERIOS"/>
      <sheetName val="BANCO"/>
      <sheetName val="2.주요계수총괄"/>
      <sheetName val="Pg 1"/>
      <sheetName val="STARTSHEET"/>
      <sheetName val="Vol-Mix x Seg AN"/>
      <sheetName val="Listas"/>
      <sheetName val="Fechamento Mês"/>
      <sheetName val="Recebimento"/>
      <sheetName val="Fechamento Diário"/>
      <sheetName val="High Light"/>
      <sheetName val="% Dispersão"/>
      <sheetName val="% Reprovação"/>
      <sheetName val="% Caco Limpo Unid."/>
      <sheetName val="Limpeza de Flint"/>
      <sheetName val="Recb. Coop."/>
      <sheetName val="Recb. Flint"/>
      <sheetName val="Apoio Material"/>
      <sheetName val="Apoio transp."/>
      <sheetName val="VLC_Packages"/>
      <sheetName val="BD"/>
      <sheetName val="Indice"/>
      <sheetName val="5.1"/>
      <sheetName val="INVESTMENTS EUR"/>
      <sheetName val="DIVESTMENTS EUR"/>
      <sheetName val="Empresas"/>
      <sheetName val="Price DB"/>
      <sheetName val="CostComponent"/>
      <sheetName val="source"/>
      <sheetName val="BLP"/>
      <sheetName val="_Curve Comp_x005f_x005f_x005f_x0000__x005f_x005f_"/>
      <sheetName val="[Curve Comp_x005f_x005f_x005f_x0000__x005f_x005f_"/>
      <sheetName val="1o_Sem"/>
      <sheetName val="2o_Sem"/>
      <sheetName val="ID_Ano"/>
      <sheetName val="Sistema"/>
      <sheetName val="Données LMU"/>
      <sheetName val="Pareto"/>
      <sheetName val="CONTADOR"/>
      <sheetName val="PGK-1610"/>
      <sheetName val="Passo2_Histograma"/>
      <sheetName val="Total CDD"/>
      <sheetName val="total list"/>
      <sheetName val="Tables"/>
      <sheetName val="Catalogo"/>
      <sheetName val="Setup"/>
      <sheetName val="producto"/>
      <sheetName val="_Curve_CompBrazil_S"/>
      <sheetName val="_Curve_Comp____________Brazil_S"/>
      <sheetName val="판매진척"/>
      <sheetName val="LISTA SUSPENSA"/>
      <sheetName val="Directrices de Metas 2017"/>
      <sheetName val="base"/>
      <sheetName val="Tabelas"/>
      <sheetName val="VICTEL ($R)"/>
      <sheetName val="PLMM-R$"/>
      <sheetName val="BC - Main model"/>
      <sheetName val="BEAT "/>
      <sheetName val="CIEL PURIFICADA "/>
      <sheetName val="FANTA "/>
      <sheetName val="FRESCA "/>
      <sheetName val="COCA-COLA EXPORT"/>
      <sheetName val="COCA-COLA LIGHT "/>
      <sheetName val="LIFT "/>
      <sheetName val="NESTEA "/>
      <sheetName val="POWERADE "/>
      <sheetName val="DISNEY "/>
      <sheetName val="SENZAO "/>
      <sheetName val="SPRITE"/>
      <sheetName val="TABELA DE PREÇOS"/>
      <sheetName val="COEFICIENTES"/>
      <sheetName val="Integração - Earned Value"/>
      <sheetName val="Lojas"/>
      <sheetName val="Yield_Curve6"/>
      <sheetName val="Yield_Curve_(2)6"/>
      <sheetName val="Brazil_Sovereign6"/>
      <sheetName val="Brazil_Swap6"/>
      <sheetName val="Price_(2)6"/>
      <sheetName val="Dados_Cash6"/>
      <sheetName val="기간별_판매진척3"/>
      <sheetName val="Curve_Comparisons3"/>
      <sheetName val="요일_테이블3"/>
      <sheetName val="PackAppear__(2)5"/>
      <sheetName val="Resu_Capex5"/>
      <sheetName val="Efic_Consumo5"/>
      <sheetName val="OOO_(2)5"/>
      <sheetName val="PackAppear_5"/>
      <sheetName val="PQCM_(2)5"/>
      <sheetName val="PQRM_(2)5"/>
      <sheetName val="Res_Executivo5"/>
      <sheetName val="2001_10_Cerv5"/>
      <sheetName val="PLAN_SAC_Cerveja5"/>
      <sheetName val="PLAN_SAC_RefrigeNanc5"/>
      <sheetName val="2001_04_Cerv5"/>
      <sheetName val="Farol_SAC_Cerveja5"/>
      <sheetName val="2001_04_Nanc5"/>
      <sheetName val="Farol_SAC_Refrigenanc5"/>
      <sheetName val="Sig_Cycles_Accts_&amp;_Processes5"/>
      <sheetName val="Calc_15"/>
      <sheetName val="_Curve_Comp2"/>
      <sheetName val="WF_China_YTD3"/>
      <sheetName val="Riscos-Oport_3"/>
      <sheetName val="Relatório_SDG2"/>
      <sheetName val="EI_Calc2"/>
      <sheetName val="LBO_Model2"/>
      <sheetName val="[Curve_Comp????????????Brazil_2"/>
      <sheetName val="Balance_Fin_ajust_20042"/>
      <sheetName val="DATOS_PARA_INTERPOLACION2"/>
      <sheetName val="DPN_VALUE2"/>
      <sheetName val="Tabla_de_amortización2"/>
      <sheetName val="Coleta_dados1"/>
      <sheetName val="IV_Confiabilidade1"/>
      <sheetName val="IV_Indisponibilidade1"/>
      <sheetName val="Check_R__Diária1"/>
      <sheetName val="Histórico_Check_R__Diária1"/>
      <sheetName val="[Curve_Comp_x005f_x0000__x005f_x0000__x0001"/>
      <sheetName val="_Curve_Comp_x005f_x0000__x005f_x0000__x0001"/>
      <sheetName val="_Curve_Comp____________Brazil_1"/>
      <sheetName val="2_주요계수총괄1"/>
      <sheetName val="[Curve_Comp1"/>
      <sheetName val="Comparativo_99X001"/>
      <sheetName val="Tabela_de_Parâmetros1"/>
      <sheetName val="Versao_1b_($=R$2,13)1"/>
      <sheetName val="Pg_11"/>
      <sheetName val="Vol-Mix_x_Seg_AN1"/>
      <sheetName val="Fechamento_Mês1"/>
      <sheetName val="Fechamento_Diário1"/>
      <sheetName val="High_Light1"/>
      <sheetName val="%_Dispersão1"/>
      <sheetName val="%_Reprovação1"/>
      <sheetName val="%_Caco_Limpo_Unid_1"/>
      <sheetName val="Limpeza_de_Flint1"/>
      <sheetName val="Recb__Coop_1"/>
      <sheetName val="Recb__Flint1"/>
      <sheetName val="Apoio_Material1"/>
      <sheetName val="Apoio_transp_1"/>
      <sheetName val="INVESTMENTS_EUR"/>
      <sheetName val="DIVESTMENTS_EUR"/>
      <sheetName val="5_1"/>
      <sheetName val="Price_DB"/>
      <sheetName val="_Curve_Comp_x005f_x005f_x005f_x0000__x005f_x005f_"/>
      <sheetName val="[Curve_Comp_x005f_x005f_x005f_x0000__x005f_x005f_"/>
      <sheetName val="Données_LMU"/>
      <sheetName val="total_list"/>
      <sheetName val="Yield_Curve5"/>
      <sheetName val="Yield_Curve_(2)5"/>
      <sheetName val="Brazil_Sovereign5"/>
      <sheetName val="Brazil_Swap5"/>
      <sheetName val="Price_(2)5"/>
      <sheetName val="Dados_Cash5"/>
      <sheetName val="기간별_판매진척2"/>
      <sheetName val="Curve_Comparisons2"/>
      <sheetName val="요일_테이블2"/>
      <sheetName val="PackAppear__(2)4"/>
      <sheetName val="Resu_Capex4"/>
      <sheetName val="Efic_Consumo4"/>
      <sheetName val="OOO_(2)4"/>
      <sheetName val="PackAppear_4"/>
      <sheetName val="PQCM_(2)4"/>
      <sheetName val="PQRM_(2)4"/>
      <sheetName val="Res_Executivo4"/>
      <sheetName val="2001_10_Cerv4"/>
      <sheetName val="PLAN_SAC_Cerveja4"/>
      <sheetName val="PLAN_SAC_RefrigeNanc4"/>
      <sheetName val="2001_04_Cerv4"/>
      <sheetName val="Farol_SAC_Cerveja4"/>
      <sheetName val="2001_04_Nanc4"/>
      <sheetName val="Farol_SAC_Refrigenanc4"/>
      <sheetName val="Sig_Cycles_Accts_&amp;_Processes4"/>
      <sheetName val="Calc_14"/>
      <sheetName val="_Curve_Comp1"/>
      <sheetName val="WF_China_YTD2"/>
      <sheetName val="Riscos-Oport_2"/>
      <sheetName val="Relatório_SDG1"/>
      <sheetName val="EI_Calc1"/>
      <sheetName val="LBO_Model1"/>
      <sheetName val="[Curve_Comp????????????Brazil_1"/>
      <sheetName val="Balance_Fin_ajust_20041"/>
      <sheetName val="DATOS_PARA_INTERPOLACION1"/>
      <sheetName val="DPN_VALUE1"/>
      <sheetName val="Tabla_de_amortización1"/>
      <sheetName val="Coleta_dados"/>
      <sheetName val="IV_Confiabilidade"/>
      <sheetName val="IV_Indisponibilidade"/>
      <sheetName val="Check_R__Diária"/>
      <sheetName val="Histórico_Check_R__Diária"/>
      <sheetName val="[Curve_Comp_x005f_x0000__x005f_x0000__x0000"/>
      <sheetName val="_Curve_Comp_x005f_x0000__x005f_x0000__x0000"/>
      <sheetName val="2_주요계수총괄"/>
      <sheetName val="[Curve_Comp"/>
      <sheetName val="Comparativo_99X00"/>
      <sheetName val="Tabela_de_Parâmetros"/>
      <sheetName val="Versao_1b_($=R$2,13)"/>
      <sheetName val="Pg_1"/>
      <sheetName val="Vol-Mix_x_Seg_AN"/>
      <sheetName val="Fechamento_Mês"/>
      <sheetName val="Fechamento_Diário"/>
      <sheetName val="High_Light"/>
      <sheetName val="%_Dispersão"/>
      <sheetName val="%_Reprovação"/>
      <sheetName val="%_Caco_Limpo_Unid_"/>
      <sheetName val="Limpeza_de_Flint"/>
      <sheetName val="Recb__Coop_"/>
      <sheetName val="Recb__Flint"/>
      <sheetName val="Apoio_Material"/>
      <sheetName val="Apoio_transp_"/>
      <sheetName val="코드"/>
      <sheetName val="_Curve Comp_x0000__x0000__x0000"/>
      <sheetName val="_Curve Comp_x005f_x0000__"/>
      <sheetName val="CausasProblemasFolios"/>
      <sheetName val="Base de datos"/>
      <sheetName val="TOP KPIs MTM"/>
      <sheetName val="Total_CDD"/>
      <sheetName val="Data Validation"/>
      <sheetName val="PozoPivot"/>
      <sheetName val="InyeccionPivot"/>
      <sheetName val="RG Depots"/>
      <sheetName val="plamarc"/>
      <sheetName val="Outubro 2018"/>
      <sheetName val="Datos Cta Balance"/>
      <sheetName val="IMMATREN"/>
      <sheetName val="prog. tv aberta ca"/>
      <sheetName val="prog. tv aberta fox"/>
      <sheetName val="TABELA_DE_PREÇOS"/>
      <sheetName val="Yield_Curve7"/>
      <sheetName val="Yield_Curve_(2)7"/>
      <sheetName val="Brazil_Sovereign7"/>
      <sheetName val="Brazil_Swap7"/>
      <sheetName val="Price_(2)7"/>
      <sheetName val="Dados_Cash7"/>
      <sheetName val="Sig_Cycles_Accts_&amp;_Processes6"/>
      <sheetName val="PackAppear__(2)6"/>
      <sheetName val="Resu_Capex6"/>
      <sheetName val="Efic_Consumo6"/>
      <sheetName val="OOO_(2)6"/>
      <sheetName val="PackAppear_6"/>
      <sheetName val="PQCM_(2)6"/>
      <sheetName val="PQRM_(2)6"/>
      <sheetName val="Res_Executivo6"/>
      <sheetName val="2001_10_Cerv6"/>
      <sheetName val="PLAN_SAC_Cerveja6"/>
      <sheetName val="PLAN_SAC_RefrigeNanc6"/>
      <sheetName val="2001_04_Cerv6"/>
      <sheetName val="Farol_SAC_Cerveja6"/>
      <sheetName val="2001_04_Nanc6"/>
      <sheetName val="Farol_SAC_Refrigenanc6"/>
      <sheetName val="Calc_16"/>
      <sheetName val="WF_China_YTD4"/>
      <sheetName val="Curve_Comparisons4"/>
      <sheetName val="Riscos-Oport_4"/>
      <sheetName val="_Curve_Comp3"/>
      <sheetName val="Relatório_SDG3"/>
      <sheetName val="EI_Calc3"/>
      <sheetName val="기간별_판매진척4"/>
      <sheetName val="요일_테이블4"/>
      <sheetName val="LBO_Model3"/>
      <sheetName val="[Curve_Comp????????????Brazil_3"/>
      <sheetName val="Balance_Fin_ajust_20043"/>
      <sheetName val="DATOS_PARA_INTERPOLACION3"/>
      <sheetName val="DPN_VALUE3"/>
      <sheetName val="Tabla_de_amortización3"/>
      <sheetName val="Curve%20Comparisons_xls"/>
      <sheetName val="Coleta_dados2"/>
      <sheetName val="IV_Confiabilidade2"/>
      <sheetName val="IV_Indisponibilidade2"/>
      <sheetName val="Check_R__Diária2"/>
      <sheetName val="Histórico_Check_R__Diária2"/>
      <sheetName val="[Curve_Comp_x005f_x0000__x005f_x0000__x0002"/>
      <sheetName val="_Curve_Comp_x005f_x0000__x005f_x0000__x0002"/>
      <sheetName val="_Curve_Comp____________Brazil_2"/>
      <sheetName val="[Curve_Comp2"/>
      <sheetName val="Comparativo_99X002"/>
      <sheetName val="Tabela_de_Parâmetros2"/>
      <sheetName val="Versao_1b_($=R$2,13)2"/>
      <sheetName val="2_주요계수총괄2"/>
      <sheetName val="Pg_12"/>
      <sheetName val="Vol-Mix_x_Seg_AN2"/>
      <sheetName val="Fechamento_Mês2"/>
      <sheetName val="Fechamento_Diário2"/>
      <sheetName val="High_Light2"/>
      <sheetName val="%_Dispersão2"/>
      <sheetName val="%_Reprovação2"/>
      <sheetName val="%_Caco_Limpo_Unid_2"/>
      <sheetName val="Limpeza_de_Flint2"/>
      <sheetName val="Recb__Coop_2"/>
      <sheetName val="Recb__Flint2"/>
      <sheetName val="Apoio_Material2"/>
      <sheetName val="Apoio_transp_2"/>
      <sheetName val="5_11"/>
      <sheetName val="INVESTMENTS_EUR1"/>
      <sheetName val="DIVESTMENTS_EUR1"/>
      <sheetName val="Price_DB1"/>
      <sheetName val="_Curve_Comp_x005f_x005f_x005f_x0000__x005f1"/>
      <sheetName val="[Curve_Comp_x005f_x005f_x005f_x0000__x005f1"/>
      <sheetName val="Données_LMU1"/>
      <sheetName val="Total_CDD1"/>
      <sheetName val="total_list1"/>
      <sheetName val="LISTA_SUSPENSA"/>
      <sheetName val="Directrices_de_Metas_2017"/>
      <sheetName val="VICTEL_($R)"/>
      <sheetName val="BC_-_Main_model"/>
      <sheetName val="Integração_-_Earned_Value"/>
      <sheetName val="BEAT_"/>
      <sheetName val="CIEL_PURIFICADA_"/>
      <sheetName val="DISNEY_"/>
      <sheetName val="FANTA_"/>
      <sheetName val="FRESCA_"/>
      <sheetName val="COCA-COLA_EXPORT"/>
      <sheetName val="COCA-COLA_LIGHT_"/>
      <sheetName val="LIFT_"/>
      <sheetName val="NESTEA_"/>
      <sheetName val="POWERADE_"/>
      <sheetName val="SENZAO_"/>
      <sheetName val="_Curve_Comp_x0000"/>
      <sheetName val="_Curve_Comp_x005f_x0000__"/>
      <sheetName val="Base_de_datos"/>
      <sheetName val="TOP_KPIs_MTM"/>
      <sheetName val="Data_Validation"/>
      <sheetName val="RG_Depots"/>
      <sheetName val="Outubro_2018"/>
      <sheetName val="prog__tv_aberta_ca"/>
      <sheetName val="prog__tv_aberta_fox"/>
      <sheetName val="TABELA_DE_PREÇOS1"/>
      <sheetName val="Yield_Curve8"/>
      <sheetName val="Yield_Curve_(2)8"/>
      <sheetName val="Brazil_Sovereign8"/>
      <sheetName val="Brazil_Swap8"/>
      <sheetName val="Price_(2)8"/>
      <sheetName val="Dados_Cash8"/>
      <sheetName val="Sig_Cycles_Accts_&amp;_Processes7"/>
      <sheetName val="PackAppear__(2)7"/>
      <sheetName val="Resu_Capex7"/>
      <sheetName val="Efic_Consumo7"/>
      <sheetName val="OOO_(2)7"/>
      <sheetName val="PackAppear_7"/>
      <sheetName val="PQCM_(2)7"/>
      <sheetName val="PQRM_(2)7"/>
      <sheetName val="Res_Executivo7"/>
      <sheetName val="2001_10_Cerv7"/>
      <sheetName val="PLAN_SAC_Cerveja7"/>
      <sheetName val="PLAN_SAC_RefrigeNanc7"/>
      <sheetName val="2001_04_Cerv7"/>
      <sheetName val="Farol_SAC_Cerveja7"/>
      <sheetName val="2001_04_Nanc7"/>
      <sheetName val="Farol_SAC_Refrigenanc7"/>
      <sheetName val="Calc_17"/>
      <sheetName val="WF_China_YTD5"/>
      <sheetName val="Curve_Comparisons5"/>
      <sheetName val="Riscos-Oport_5"/>
      <sheetName val="_Curve_Comp4"/>
      <sheetName val="Relatório_SDG4"/>
      <sheetName val="EI_Calc4"/>
      <sheetName val="기간별_판매진척5"/>
      <sheetName val="요일_테이블5"/>
      <sheetName val="LBO_Model4"/>
      <sheetName val="[Curve_Comp????????????Brazil_4"/>
      <sheetName val="Balance_Fin_ajust_20044"/>
      <sheetName val="DATOS_PARA_INTERPOLACION4"/>
      <sheetName val="DPN_VALUE4"/>
      <sheetName val="Tabla_de_amortización4"/>
      <sheetName val="Curve%20Comparisons_xls1"/>
      <sheetName val="Coleta_dados3"/>
      <sheetName val="IV_Confiabilidade3"/>
      <sheetName val="IV_Indisponibilidade3"/>
      <sheetName val="Check_R__Diária3"/>
      <sheetName val="Histórico_Check_R__Diária3"/>
      <sheetName val="[Curve_Comp_x005f_x0000__x005f_x0000__x0003"/>
      <sheetName val="_Curve_Comp_x005f_x0000__x005f_x0000__x0003"/>
      <sheetName val="_Curve_Comp____________Brazil_3"/>
      <sheetName val="[Curve_Comp3"/>
      <sheetName val="Comparativo_99X003"/>
      <sheetName val="Tabela_de_Parâmetros3"/>
      <sheetName val="Versao_1b_($=R$2,13)3"/>
      <sheetName val="2_주요계수총괄3"/>
      <sheetName val="Pg_13"/>
      <sheetName val="Vol-Mix_x_Seg_AN3"/>
      <sheetName val="Fechamento_Mês3"/>
      <sheetName val="Fechamento_Diário3"/>
      <sheetName val="High_Light3"/>
      <sheetName val="%_Dispersão3"/>
      <sheetName val="%_Reprovação3"/>
      <sheetName val="%_Caco_Limpo_Unid_3"/>
      <sheetName val="Limpeza_de_Flint3"/>
      <sheetName val="Recb__Coop_3"/>
      <sheetName val="Recb__Flint3"/>
      <sheetName val="Apoio_Material3"/>
      <sheetName val="Apoio_transp_3"/>
      <sheetName val="5_12"/>
      <sheetName val="INVESTMENTS_EUR2"/>
      <sheetName val="DIVESTMENTS_EUR2"/>
      <sheetName val="Price_DB2"/>
      <sheetName val="_Curve_Comp_x005f_x005f_x005f_x0000__x005f2"/>
      <sheetName val="[Curve_Comp_x005f_x005f_x005f_x0000__x005f2"/>
      <sheetName val="Données_LMU2"/>
      <sheetName val="Total_CDD2"/>
      <sheetName val="total_list2"/>
      <sheetName val="LISTA_SUSPENSA1"/>
      <sheetName val="Directrices_de_Metas_20171"/>
      <sheetName val="VICTEL_($R)1"/>
      <sheetName val="BC_-_Main_model1"/>
      <sheetName val="Integração_-_Earned_Value1"/>
      <sheetName val="BEAT_1"/>
      <sheetName val="CIEL_PURIFICADA_1"/>
      <sheetName val="DISNEY_1"/>
      <sheetName val="FANTA_1"/>
      <sheetName val="FRESCA_1"/>
      <sheetName val="COCA-COLA_EXPORT1"/>
      <sheetName val="COCA-COLA_LIGHT_1"/>
      <sheetName val="LIFT_1"/>
      <sheetName val="NESTEA_1"/>
      <sheetName val="POWERADE_1"/>
      <sheetName val="SENZAO_1"/>
      <sheetName val="_Curve_Comp_x005f_x0000__1"/>
      <sheetName val="Base_de_datos1"/>
      <sheetName val="TOP_KPIs_MTM1"/>
      <sheetName val="Data_Validation1"/>
      <sheetName val="RG_Depots1"/>
      <sheetName val="Outubro_20181"/>
      <sheetName val="prog__tv_aberta_ca1"/>
      <sheetName val="prog__tv_aberta_fox1"/>
      <sheetName val="distr.outdoor"/>
      <sheetName val="Datos_Cta_Bal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 refreshError="1"/>
      <sheetData sheetId="69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are Price 2002"/>
      <sheetName val="Group Comparative GAAP"/>
      <sheetName val="Group Comparative IAS"/>
      <sheetName val="R-U IAS History"/>
      <sheetName val="Cash Flow Working"/>
      <sheetName val="REPO"/>
      <sheetName val="TB GAAP"/>
      <sheetName val="TB IAS"/>
      <sheetName val="Income Statement"/>
      <sheetName val="Balance Sheet"/>
      <sheetName val="Cash Flow"/>
      <sheetName val="G-I-F Total"/>
      <sheetName val="G-I-F (RU)"/>
      <sheetName val="G-I-F (UA)"/>
      <sheetName val="FLash IAS"/>
      <sheetName val="Loans"/>
      <sheetName val="Cash Flow support"/>
      <sheetName val="Income Statement Russia and Ukr"/>
      <sheetName val="Class A Shares Outstanding"/>
      <sheetName val="Class B Shares Outstanding"/>
      <sheetName val="Dilutive Shares Outstanding"/>
      <sheetName val="EPS Working"/>
      <sheetName val="RE Working"/>
      <sheetName val="Change of Equity"/>
      <sheetName val="Sheet1"/>
      <sheetName val="Sheet2"/>
      <sheetName val="Sheet3"/>
      <sheetName val="Dados BLP"/>
      <sheetName val="Brazil Sovereign"/>
      <sheetName val="COTAÇÕES"/>
      <sheetName val="BLP"/>
      <sheetName val="bud99"/>
      <sheetName val="Par"/>
      <sheetName val="Reference"/>
      <sheetName val="Ventas"/>
      <sheetName val="Parameters"/>
      <sheetName val="Lists"/>
      <sheetName val="FR"/>
      <sheetName val="Library"/>
      <sheetName val="Cover &amp; Parameters"/>
      <sheetName val="XLR_NoRangeSheet"/>
      <sheetName val="GAAP &amp; IAS Group TB &amp; Reports Q"/>
      <sheetName val="STARTSHEET"/>
      <sheetName val="REALxMETA - CERVEJA"/>
      <sheetName val="Unidades SAC-REVENDA"/>
      <sheetName val="FX-Rates"/>
      <sheetName val="Menu"/>
      <sheetName val="Data"/>
      <sheetName val="Setting"/>
      <sheetName val="dep pre"/>
      <sheetName val="Front"/>
      <sheetName val="Версия"/>
      <sheetName val="Инструкция"/>
      <sheetName val="Расчет цикла"/>
      <sheetName val="Диаграмма"/>
      <sheetName val="Главный лист"/>
      <sheetName val="Факт"/>
      <sheetName val="Уборки"/>
      <sheetName val="Рецепты партий"/>
      <sheetName val="Рецепты"/>
      <sheetName val="Переменные"/>
      <sheetName val="Тоннаж из графика"/>
      <sheetName val="Операции"/>
      <sheetName val="Количество"/>
      <sheetName val="Прод-ть"/>
      <sheetName val="POCE"/>
      <sheetName val="MOL"/>
      <sheetName val="Empresas"/>
      <sheetName val="Participantes"/>
      <sheetName val="Tabelas"/>
      <sheetName val="FLOWCHART-03"/>
      <sheetName val="Plan1"/>
      <sheetName val="brand definitions"/>
      <sheetName val="plant"/>
      <sheetName val="PREMISAS"/>
      <sheetName val="Controls"/>
      <sheetName val="LBO Model"/>
      <sheetName val="Calc 1"/>
      <sheetName val="Eviews_Suporte"/>
      <sheetName val="WIP"/>
      <sheetName val="Validation"/>
      <sheetName val="Selection Lists"/>
      <sheetName val="progr"/>
      <sheetName val="Group_Comparative_GAAP"/>
      <sheetName val="Group_Comparative_IAS"/>
      <sheetName val="R-U_IAS_History"/>
      <sheetName val="Cash_Flow_Working"/>
      <sheetName val="TB_GAAP"/>
      <sheetName val="TB_IAS"/>
      <sheetName val="Income_Statement"/>
      <sheetName val="Balance_Sheet"/>
      <sheetName val="Cash_Flow"/>
      <sheetName val="G-I-F_Total"/>
      <sheetName val="G-I-F_(RU)"/>
      <sheetName val="G-I-F_(UA)"/>
      <sheetName val="FLash_IAS"/>
      <sheetName val="Cash_Flow_support"/>
      <sheetName val="Income_Statement_Russia_and_Ukr"/>
      <sheetName val="Class_A_Shares_Outstanding"/>
      <sheetName val="Class_B_Shares_Outstanding"/>
      <sheetName val="Dilutive_Shares_Outstanding"/>
      <sheetName val="EPS_Working"/>
      <sheetName val="Share_Price_2002"/>
      <sheetName val="RE_Working"/>
      <sheetName val="Change_of_Equity"/>
      <sheetName val="Dados_BLP"/>
      <sheetName val="Brazil_Sovereign"/>
      <sheetName val="Cover_&amp;_Parameters"/>
      <sheetName val="REALxMETA_-_CERVEJA"/>
      <sheetName val="Unidades_SAC-REVENDA"/>
      <sheetName val="GAAP_&amp;_IAS_Group_TB_&amp;_Reports_Q"/>
      <sheetName val="dep_pre"/>
      <sheetName val="Расчет_цикла"/>
      <sheetName val="Главный_лист"/>
      <sheetName val="Рецепты_партий"/>
      <sheetName val="Тоннаж_из_графика"/>
      <sheetName val="brand_definitions"/>
      <sheetName val="Group_Comparative_GAAP1"/>
      <sheetName val="Group_Comparative_IAS1"/>
      <sheetName val="R-U_IAS_History1"/>
      <sheetName val="Cash_Flow_Working1"/>
      <sheetName val="TB_GAAP1"/>
      <sheetName val="TB_IAS1"/>
      <sheetName val="Income_Statement1"/>
      <sheetName val="Balance_Sheet1"/>
      <sheetName val="Cash_Flow1"/>
      <sheetName val="G-I-F_Total1"/>
      <sheetName val="G-I-F_(RU)1"/>
      <sheetName val="G-I-F_(UA)1"/>
      <sheetName val="FLash_IAS1"/>
      <sheetName val="Cash_Flow_support1"/>
      <sheetName val="Income_Statement_Russia_and_Uk1"/>
      <sheetName val="Class_A_Shares_Outstanding1"/>
      <sheetName val="Class_B_Shares_Outstanding1"/>
      <sheetName val="Dilutive_Shares_Outstanding1"/>
      <sheetName val="EPS_Working1"/>
      <sheetName val="Share_Price_20021"/>
      <sheetName val="RE_Working1"/>
      <sheetName val="Change_of_Equity1"/>
      <sheetName val="Dados_BLP1"/>
      <sheetName val="Brazil_Sovereign1"/>
      <sheetName val="Cover_&amp;_Parameters1"/>
      <sheetName val="REALxMETA_-_CERVEJA1"/>
      <sheetName val="Unidades_SAC-REVENDA1"/>
      <sheetName val="GAAP_&amp;_IAS_Group_TB_&amp;_Reports_1"/>
      <sheetName val="dep_pre1"/>
      <sheetName val="Расчет_цикла1"/>
      <sheetName val="Главный_лист1"/>
      <sheetName val="Рецепты_партий1"/>
      <sheetName val="Тоннаж_из_графика1"/>
      <sheetName val="brand_definitions1"/>
      <sheetName val="Step2_Correlation"/>
      <sheetName val="Step2_Histogram"/>
      <sheetName val="C90_NET"/>
      <sheetName val="Data Input Sheet"/>
      <sheetName val="Volume per Region"/>
      <sheetName val="db"/>
      <sheetName val="Assum"/>
      <sheetName val="ProjectList"/>
      <sheetName val="Group_Comparative_GAAP2"/>
      <sheetName val="Group_Comparative_IAS2"/>
      <sheetName val="R-U_IAS_History2"/>
      <sheetName val="Cash_Flow_Working2"/>
      <sheetName val="TB_GAAP2"/>
      <sheetName val="TB_IAS2"/>
      <sheetName val="Income_Statement2"/>
      <sheetName val="Balance_Sheet2"/>
      <sheetName val="Cash_Flow2"/>
      <sheetName val="G-I-F_Total2"/>
      <sheetName val="G-I-F_(RU)2"/>
      <sheetName val="G-I-F_(UA)2"/>
      <sheetName val="FLash_IAS2"/>
      <sheetName val="Cash_Flow_support2"/>
      <sheetName val="Income_Statement_Russia_and_Uk2"/>
      <sheetName val="Class_A_Shares_Outstanding2"/>
      <sheetName val="Class_B_Shares_Outstanding2"/>
      <sheetName val="Dilutive_Shares_Outstanding2"/>
      <sheetName val="EPS_Working2"/>
      <sheetName val="Share_Price_20022"/>
      <sheetName val="RE_Working2"/>
      <sheetName val="Change_of_Equity2"/>
      <sheetName val="Dados_BLP2"/>
      <sheetName val="Brazil_Sovereign2"/>
      <sheetName val="Cover_&amp;_Parameters2"/>
      <sheetName val="GAAP_&amp;_IAS_Group_TB_&amp;_Reports_2"/>
      <sheetName val="REALxMETA_-_CERVEJA2"/>
      <sheetName val="Unidades_SAC-REVENDA2"/>
      <sheetName val="dep_pre2"/>
      <sheetName val="Расчет_цикла2"/>
      <sheetName val="Главный_лист2"/>
      <sheetName val="Рецепты_партий2"/>
      <sheetName val="Тоннаж_из_графика2"/>
      <sheetName val="brand_definitions2"/>
      <sheetName val="LBO_Model"/>
      <sheetName val="Calc_1"/>
      <sheetName val="Selection_Lists"/>
      <sheetName val="Data_Input_Sheet"/>
      <sheetName val="Data USA Cdn$"/>
      <sheetName val="Data USA US$"/>
      <sheetName val="FC-Bav"/>
      <sheetName val="Load Data"/>
      <sheetName val="вспом"/>
      <sheetName val="Setup"/>
      <sheetName val="UNIDADES"/>
      <sheetName val="BNR_2012 в ящике"/>
      <sheetName val="Group_Comparative_GAAP3"/>
      <sheetName val="Group_Comparative_IAS3"/>
      <sheetName val="R-U_IAS_History3"/>
      <sheetName val="Cash_Flow_Working3"/>
      <sheetName val="TB_GAAP3"/>
      <sheetName val="TB_IAS3"/>
      <sheetName val="Income_Statement3"/>
      <sheetName val="Balance_Sheet3"/>
      <sheetName val="Cash_Flow3"/>
      <sheetName val="G-I-F_Total3"/>
      <sheetName val="G-I-F_(RU)3"/>
      <sheetName val="G-I-F_(UA)3"/>
      <sheetName val="FLash_IAS3"/>
      <sheetName val="Cash_Flow_support3"/>
      <sheetName val="Income_Statement_Russia_and_Uk3"/>
      <sheetName val="Class_A_Shares_Outstanding3"/>
      <sheetName val="Class_B_Shares_Outstanding3"/>
      <sheetName val="Dilutive_Shares_Outstanding3"/>
      <sheetName val="EPS_Working3"/>
      <sheetName val="Share_Price_20023"/>
      <sheetName val="RE_Working3"/>
      <sheetName val="Change_of_Equity3"/>
      <sheetName val="Dados_BLP3"/>
      <sheetName val="Brazil_Sovereign3"/>
      <sheetName val="Cover_&amp;_Parameters3"/>
      <sheetName val="REALxMETA_-_CERVEJA3"/>
      <sheetName val="Unidades_SAC-REVENDA3"/>
      <sheetName val="GAAP_&amp;_IAS_Group_TB_&amp;_Reports_3"/>
      <sheetName val="dep_pre3"/>
      <sheetName val="Расчет_цикла3"/>
      <sheetName val="Главный_лист3"/>
      <sheetName val="Рецепты_партий3"/>
      <sheetName val="Тоннаж_из_графика3"/>
      <sheetName val="brand_definitions3"/>
      <sheetName val="LBO_Model1"/>
      <sheetName val="Calc_11"/>
      <sheetName val="Selection_Lists1"/>
      <sheetName val="Data_Input_Sheet1"/>
      <sheetName val="Volume_per_Region"/>
      <sheetName val="Data_USA_Cdn$"/>
      <sheetName val="Data_USA_US$"/>
      <sheetName val="Load_Data"/>
      <sheetName val="BNR_2012_в_ящике"/>
      <sheetName val="TGU"/>
      <sheetName val="Group_Comparative_GAAP4"/>
      <sheetName val="Group_Comparative_IAS4"/>
      <sheetName val="R-U_IAS_History4"/>
      <sheetName val="Cash_Flow_Working4"/>
      <sheetName val="TB_GAAP4"/>
      <sheetName val="TB_IAS4"/>
      <sheetName val="Income_Statement4"/>
      <sheetName val="Balance_Sheet4"/>
      <sheetName val="Cash_Flow4"/>
      <sheetName val="G-I-F_Total4"/>
      <sheetName val="G-I-F_(RU)4"/>
      <sheetName val="G-I-F_(UA)4"/>
      <sheetName val="FLash_IAS4"/>
      <sheetName val="Cash_Flow_support4"/>
      <sheetName val="Income_Statement_Russia_and_Uk4"/>
      <sheetName val="Class_A_Shares_Outstanding4"/>
      <sheetName val="Class_B_Shares_Outstanding4"/>
      <sheetName val="Dilutive_Shares_Outstanding4"/>
      <sheetName val="EPS_Working4"/>
      <sheetName val="Share_Price_20024"/>
      <sheetName val="RE_Working4"/>
      <sheetName val="Change_of_Equity4"/>
      <sheetName val="Dados_BLP4"/>
      <sheetName val="Brazil_Sovereign4"/>
      <sheetName val="Cover_&amp;_Parameters4"/>
      <sheetName val="REALxMETA_-_CERVEJA4"/>
      <sheetName val="Unidades_SAC-REVENDA4"/>
      <sheetName val="GAAP_&amp;_IAS_Group_TB_&amp;_Reports_4"/>
      <sheetName val="dep_pre4"/>
      <sheetName val="Расчет_цикла4"/>
      <sheetName val="Главный_лист4"/>
      <sheetName val="Рецепты_партий4"/>
      <sheetName val="Тоннаж_из_графика4"/>
      <sheetName val="brand_definitions4"/>
      <sheetName val="LBO_Model2"/>
      <sheetName val="Calc_12"/>
      <sheetName val="Selection_Lists2"/>
      <sheetName val="Data_Input_Sheet2"/>
      <sheetName val="Volume_per_Region1"/>
      <sheetName val="Data_USA_Cdn$1"/>
      <sheetName val="Data_USA_US$1"/>
      <sheetName val="Load_Data1"/>
      <sheetName val="BNR_2012_в_ящике1"/>
      <sheetName val="Dub. L+L"/>
      <sheetName val="Diaria"/>
      <sheetName val="ТехЛинии"/>
      <sheetName val="DATVAR"/>
      <sheetName val="#BEZUG"/>
      <sheetName val="Group_Comparative_GAAP5"/>
      <sheetName val="Group_Comparative_IAS5"/>
      <sheetName val="R-U_IAS_History5"/>
      <sheetName val="Cash_Flow_Working5"/>
      <sheetName val="TB_GAAP5"/>
      <sheetName val="TB_IAS5"/>
      <sheetName val="Income_Statement5"/>
      <sheetName val="Balance_Sheet5"/>
      <sheetName val="Cash_Flow5"/>
      <sheetName val="G-I-F_Total5"/>
      <sheetName val="G-I-F_(RU)5"/>
      <sheetName val="G-I-F_(UA)5"/>
      <sheetName val="FLash_IAS5"/>
      <sheetName val="Cash_Flow_support5"/>
      <sheetName val="Income_Statement_Russia_and_Uk5"/>
      <sheetName val="Class_A_Shares_Outstanding5"/>
      <sheetName val="Class_B_Shares_Outstanding5"/>
      <sheetName val="Dilutive_Shares_Outstanding5"/>
      <sheetName val="EPS_Working5"/>
      <sheetName val="Share_Price_20025"/>
      <sheetName val="RE_Working5"/>
      <sheetName val="Change_of_Equity5"/>
      <sheetName val="Dados_BLP5"/>
      <sheetName val="Brazil_Sovereign5"/>
      <sheetName val="Cover_&amp;_Parameters5"/>
      <sheetName val="REALxMETA_-_CERVEJA5"/>
      <sheetName val="Unidades_SAC-REVENDA5"/>
      <sheetName val="GAAP_&amp;_IAS_Group_TB_&amp;_Reports_5"/>
      <sheetName val="dep_pre5"/>
      <sheetName val="Расчет_цикла5"/>
      <sheetName val="Главный_лист5"/>
      <sheetName val="Рецепты_партий5"/>
      <sheetName val="Тоннаж_из_графика5"/>
      <sheetName val="brand_definitions5"/>
      <sheetName val="LBO_Model3"/>
      <sheetName val="Calc_13"/>
      <sheetName val="Selection_Lists3"/>
      <sheetName val="Data_Input_Sheet3"/>
      <sheetName val="Volume_per_Region2"/>
      <sheetName val="Data_USA_Cdn$2"/>
      <sheetName val="Data_USA_US$2"/>
      <sheetName val="Load_Data2"/>
      <sheetName val="BNR_2012_в_ящике2"/>
      <sheetName val="Dub__L+L"/>
      <sheetName val="Mapping"/>
      <sheetName val="Database"/>
      <sheetName val="Changes made Zone DB (Nikhil)"/>
      <sheetName val="Changes made Cat DForm (Nikhil)"/>
      <sheetName val="DForm Database"/>
      <sheetName val="Changes made FX DForm (Nikhil)"/>
      <sheetName val="FX"/>
      <sheetName val="Country table"/>
      <sheetName val="Consol"/>
      <sheetName val="Manual Corrections"/>
      <sheetName val="Summary"/>
      <sheetName val="Instructions"/>
      <sheetName val="Subreason code"/>
      <sheetName val="Remarks"/>
      <sheetName val="Cover"/>
      <sheetName val="2ITW"/>
      <sheetName val="2ITW (excl BASS)"/>
      <sheetName val="X1AME"/>
      <sheetName val="X2BU"/>
      <sheetName val="X2CA"/>
      <sheetName val="X2US"/>
      <sheetName val="X1WEU"/>
      <sheetName val="X2BE"/>
      <sheetName val="X2FR"/>
      <sheetName val="X2NL"/>
      <sheetName val="X2LU"/>
      <sheetName val="X2MA"/>
      <sheetName val="X2GB"/>
      <sheetName val="X2IT"/>
      <sheetName val="X2ES"/>
      <sheetName val="X2DE"/>
      <sheetName val="X1CEU"/>
      <sheetName val="X2BG"/>
      <sheetName val="X2BH"/>
      <sheetName val="X2CR"/>
      <sheetName val="X2CZ"/>
      <sheetName val="X2HU"/>
      <sheetName val="X2MO"/>
      <sheetName val="X2RO"/>
      <sheetName val="X2SL"/>
      <sheetName val="X1EEU"/>
      <sheetName val="X2RU"/>
      <sheetName val="X2UA"/>
      <sheetName val="X1ASI"/>
      <sheetName val="X2CN"/>
      <sheetName val="X2KR"/>
      <sheetName val="PARE"/>
      <sheetName val="X1UK"/>
      <sheetName val="INTE"/>
      <sheetName val="SD"/>
      <sheetName val="Check Zones"/>
      <sheetName val="Check Countries"/>
      <sheetName val="Overview check"/>
      <sheetName val="LUSA"/>
      <sheetName val="BNA"/>
      <sheetName val="BASSUS"/>
      <sheetName val="DB2002"/>
      <sheetName val="Changes_made_Zone_DB_(Nikhil)"/>
      <sheetName val="Changes_made_Cat_DForm_(Nikhil)"/>
      <sheetName val="DForm_Database"/>
      <sheetName val="Changes_made_FX_DForm_(Nikhil)"/>
      <sheetName val="Country_table"/>
      <sheetName val="Manual_Corrections"/>
      <sheetName val="은행"/>
      <sheetName val="6 - Analítico"/>
      <sheetName val=""/>
      <sheetName val="Group_Comparative_GAAP6"/>
      <sheetName val="Group_Comparative_IAS6"/>
      <sheetName val="R-U_IAS_History6"/>
      <sheetName val="Cash_Flow_Working6"/>
      <sheetName val="TB_GAAP6"/>
      <sheetName val="TB_IAS6"/>
      <sheetName val="Income_Statement6"/>
      <sheetName val="Balance_Sheet6"/>
      <sheetName val="Cash_Flow6"/>
      <sheetName val="G-I-F_Total6"/>
      <sheetName val="G-I-F_(RU)6"/>
      <sheetName val="G-I-F_(UA)6"/>
      <sheetName val="FLash_IAS6"/>
      <sheetName val="Cash_Flow_support6"/>
      <sheetName val="Income_Statement_Russia_and_Uk6"/>
      <sheetName val="Class_A_Shares_Outstanding6"/>
      <sheetName val="Class_B_Shares_Outstanding6"/>
      <sheetName val="Dilutive_Shares_Outstanding6"/>
      <sheetName val="EPS_Working6"/>
      <sheetName val="Share_Price_20026"/>
      <sheetName val="RE_Working6"/>
      <sheetName val="Change_of_Equity6"/>
      <sheetName val="Dados_BLP6"/>
      <sheetName val="Brazil_Sovereign6"/>
      <sheetName val="Cover_&amp;_Parameters6"/>
      <sheetName val="GAAP_&amp;_IAS_Group_TB_&amp;_Reports_6"/>
      <sheetName val="REALxMETA_-_CERVEJA6"/>
      <sheetName val="Unidades_SAC-REVENDA6"/>
      <sheetName val="dep_pre6"/>
      <sheetName val="Расчет_цикла6"/>
      <sheetName val="Главный_лист6"/>
      <sheetName val="Рецепты_партий6"/>
      <sheetName val="Тоннаж_из_графика6"/>
      <sheetName val="brand_definitions6"/>
      <sheetName val="LBO_Model4"/>
      <sheetName val="Calc_14"/>
      <sheetName val="Selection_Lists4"/>
      <sheetName val="Data_Input_Sheet4"/>
      <sheetName val="Volume_per_Region3"/>
      <sheetName val="Data_USA_Cdn$3"/>
      <sheetName val="Data_USA_US$3"/>
      <sheetName val="Load_Data3"/>
      <sheetName val="BNR_2012_в_ящике3"/>
      <sheetName val="Dub__L+L1"/>
      <sheetName val="Group_Comparative_GAAP7"/>
      <sheetName val="Group_Comparative_IAS7"/>
      <sheetName val="R-U_IAS_History7"/>
      <sheetName val="Cash_Flow_Working7"/>
      <sheetName val="TB_GAAP7"/>
      <sheetName val="TB_IAS7"/>
      <sheetName val="Income_Statement7"/>
      <sheetName val="Balance_Sheet7"/>
      <sheetName val="Cash_Flow7"/>
      <sheetName val="G-I-F_Total7"/>
      <sheetName val="G-I-F_(RU)7"/>
      <sheetName val="G-I-F_(UA)7"/>
      <sheetName val="FLash_IAS7"/>
      <sheetName val="Cash_Flow_support7"/>
      <sheetName val="Income_Statement_Russia_and_Uk7"/>
      <sheetName val="Class_A_Shares_Outstanding7"/>
      <sheetName val="Class_B_Shares_Outstanding7"/>
      <sheetName val="Dilutive_Shares_Outstanding7"/>
      <sheetName val="EPS_Working7"/>
      <sheetName val="Share_Price_20027"/>
      <sheetName val="RE_Working7"/>
      <sheetName val="Change_of_Equity7"/>
      <sheetName val="Dados_BLP7"/>
      <sheetName val="Brazil_Sovereign7"/>
      <sheetName val="Cover_&amp;_Parameters7"/>
      <sheetName val="GAAP_&amp;_IAS_Group_TB_&amp;_Reports_7"/>
      <sheetName val="REALxMETA_-_CERVEJA7"/>
      <sheetName val="Unidades_SAC-REVENDA7"/>
      <sheetName val="dep_pre7"/>
      <sheetName val="Расчет_цикла7"/>
      <sheetName val="Главный_лист7"/>
      <sheetName val="Рецепты_партий7"/>
      <sheetName val="Тоннаж_из_графика7"/>
      <sheetName val="brand_definitions7"/>
      <sheetName val="LBO_Model5"/>
      <sheetName val="Calc_15"/>
      <sheetName val="Selection_Lists5"/>
      <sheetName val="Data_Input_Sheet5"/>
      <sheetName val="Volume_per_Region4"/>
      <sheetName val="Data_USA_Cdn$4"/>
      <sheetName val="Data_USA_US$4"/>
      <sheetName val="Load_Data4"/>
      <sheetName val="BNR_2012_в_ящике4"/>
      <sheetName val="Dub__L+L2"/>
      <sheetName val="References"/>
      <sheetName val="SysCategory"/>
      <sheetName val="2ITW_(excl_BASS)"/>
      <sheetName val="Check_Zones"/>
      <sheetName val="Check_Countries"/>
      <sheetName val="Overview_check"/>
      <sheetName val="Data USA Adj US$"/>
      <sheetName val="BU16 FX"/>
      <sheetName val="Valsum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 refreshError="1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/>
      <sheetData sheetId="400"/>
      <sheetData sheetId="401"/>
      <sheetData sheetId="402"/>
      <sheetData sheetId="403"/>
      <sheetData sheetId="404" refreshError="1"/>
      <sheetData sheetId="405" refreshError="1"/>
      <sheetData sheetId="406" refreshError="1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 refreshError="1"/>
      <sheetData sheetId="496" refreshError="1"/>
      <sheetData sheetId="497"/>
      <sheetData sheetId="498"/>
      <sheetData sheetId="499"/>
      <sheetData sheetId="500"/>
      <sheetData sheetId="501" refreshError="1"/>
      <sheetData sheetId="502" refreshError="1"/>
      <sheetData sheetId="50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CAL MERCHAN"/>
      <sheetName val="Proposta Comercial"/>
      <sheetName val="base TV"/>
      <sheetName val="Proposta Comercial-Projeto"/>
      <sheetName val="PLANOS COMERCIAIS SEMANA"/>
      <sheetName val="SABESP"/>
      <sheetName val="BRANDED CONTENT"/>
      <sheetName val="BAND REDE"/>
      <sheetName val="Conversão-Mercha"/>
      <sheetName val="base radio"/>
      <sheetName val="Tabela Vibra"/>
      <sheetName val="Simulcast"/>
      <sheetName val="Impressões_Simulcast"/>
      <sheetName val="base paytv"/>
      <sheetName val="GRADE TV"/>
      <sheetName val="TABELA NET"/>
      <sheetName val="TABELA LOCAL"/>
      <sheetName val="Pesquisa TV"/>
      <sheetName val="Ranking de adequação"/>
      <sheetName val="calculo rk"/>
    </sheetNames>
    <sheetDataSet>
      <sheetData sheetId="0" refreshError="1"/>
      <sheetData sheetId="1" refreshError="1"/>
      <sheetData sheetId="2">
        <row r="2">
          <cell r="D2" t="str">
            <v>NACIONAL</v>
          </cell>
          <cell r="M2" t="str">
            <v>SÃO PAULO</v>
          </cell>
          <cell r="N2" t="str">
            <v>PRESIDENTE PRUDENTE</v>
          </cell>
          <cell r="O2" t="str">
            <v>CAMPINAS</v>
          </cell>
          <cell r="P2" t="str">
            <v>TAUBATÉ</v>
          </cell>
          <cell r="Q2" t="str">
            <v>RIBEIRÃO PRETO</v>
          </cell>
          <cell r="R2" t="str">
            <v>SANTOS</v>
          </cell>
          <cell r="S2" t="str">
            <v>RIO DE JANEIRO</v>
          </cell>
          <cell r="T2" t="str">
            <v>BARRA MANSA</v>
          </cell>
          <cell r="U2" t="str">
            <v>BELO HORIZONTE</v>
          </cell>
          <cell r="V2" t="str">
            <v>UBERABA</v>
          </cell>
          <cell r="W2" t="str">
            <v>VITÓRIA</v>
          </cell>
          <cell r="X2" t="str">
            <v>CURITIBA</v>
          </cell>
          <cell r="Y2" t="str">
            <v>CASCAVEL</v>
          </cell>
          <cell r="Z2" t="str">
            <v>MARINGÁ</v>
          </cell>
          <cell r="AA2" t="str">
            <v>LONDRINA</v>
          </cell>
          <cell r="AB2" t="str">
            <v>PORTO ALEGRE</v>
          </cell>
          <cell r="AC2" t="str">
            <v>FLORIANÓPOLIS</v>
          </cell>
          <cell r="AD2" t="str">
            <v>BRASÍLIA</v>
          </cell>
          <cell r="AE2" t="str">
            <v>GOIÂNIA</v>
          </cell>
          <cell r="AF2" t="str">
            <v>RIO VERDE</v>
          </cell>
          <cell r="AG2" t="str">
            <v>CUIABÁ</v>
          </cell>
          <cell r="AH2" t="str">
            <v>CÁCERES</v>
          </cell>
          <cell r="AI2" t="str">
            <v>NOVA MUTUM</v>
          </cell>
          <cell r="AJ2" t="str">
            <v>CAMPO GRANDE</v>
          </cell>
          <cell r="AK2" t="str">
            <v>SALVADOR</v>
          </cell>
          <cell r="AL2" t="str">
            <v>ARACAJU</v>
          </cell>
          <cell r="AM2" t="str">
            <v>RECIFE</v>
          </cell>
          <cell r="AN2" t="str">
            <v>NATAL</v>
          </cell>
          <cell r="AO2" t="str">
            <v>MACEIÓ</v>
          </cell>
          <cell r="AP2" t="str">
            <v>FORTALEZA</v>
          </cell>
          <cell r="AQ2" t="str">
            <v>JOÃO PESSOA</v>
          </cell>
          <cell r="AR2" t="str">
            <v>TERESINA</v>
          </cell>
          <cell r="AS2" t="str">
            <v>SÃO LUÍS</v>
          </cell>
          <cell r="AT2" t="str">
            <v>IMPERATRIZ</v>
          </cell>
          <cell r="AU2" t="str">
            <v>BELÉM</v>
          </cell>
          <cell r="AV2" t="str">
            <v>MARABÁ</v>
          </cell>
          <cell r="AW2" t="str">
            <v>SANTARÉM</v>
          </cell>
          <cell r="AX2" t="str">
            <v>MANAUS</v>
          </cell>
          <cell r="AY2" t="str">
            <v>PORTO VELHO</v>
          </cell>
          <cell r="AZ2" t="str">
            <v>RIO BRANCO</v>
          </cell>
          <cell r="BA2" t="str">
            <v>GURUPI</v>
          </cell>
          <cell r="BB2" t="str">
            <v>ARAGUAÍNA</v>
          </cell>
          <cell r="BC2" t="str">
            <v>BOA VISTA</v>
          </cell>
          <cell r="BD2" t="str">
            <v>MACAPÁ</v>
          </cell>
        </row>
        <row r="3">
          <cell r="M3" t="str">
            <v>SAO</v>
          </cell>
          <cell r="N3" t="str">
            <v>PPB</v>
          </cell>
          <cell r="O3" t="str">
            <v>CPQ</v>
          </cell>
          <cell r="P3" t="str">
            <v>TAU</v>
          </cell>
          <cell r="Q3" t="str">
            <v>RAO</v>
          </cell>
          <cell r="R3" t="str">
            <v>SAN</v>
          </cell>
          <cell r="S3" t="str">
            <v>RIO</v>
          </cell>
          <cell r="T3" t="str">
            <v>BAM</v>
          </cell>
          <cell r="U3" t="str">
            <v>BHZ</v>
          </cell>
          <cell r="V3" t="str">
            <v>UBA</v>
          </cell>
          <cell r="W3" t="str">
            <v>VIX</v>
          </cell>
          <cell r="X3" t="str">
            <v>CWB</v>
          </cell>
          <cell r="Y3" t="str">
            <v>CAC</v>
          </cell>
          <cell r="Z3" t="str">
            <v>MGF</v>
          </cell>
          <cell r="AA3" t="str">
            <v>LDB</v>
          </cell>
          <cell r="AB3" t="str">
            <v>POA</v>
          </cell>
          <cell r="AC3" t="str">
            <v>FLN</v>
          </cell>
          <cell r="AD3" t="str">
            <v>BSB</v>
          </cell>
          <cell r="AE3" t="str">
            <v>GYN</v>
          </cell>
          <cell r="AF3" t="str">
            <v>RVD</v>
          </cell>
          <cell r="AG3" t="str">
            <v>CGB</v>
          </cell>
          <cell r="AH3" t="str">
            <v>CCR</v>
          </cell>
          <cell r="AI3" t="str">
            <v>MTU</v>
          </cell>
          <cell r="AJ3" t="str">
            <v>CGR</v>
          </cell>
          <cell r="AK3" t="str">
            <v>SSA</v>
          </cell>
          <cell r="AL3" t="str">
            <v>AJU</v>
          </cell>
          <cell r="AM3" t="str">
            <v>REC</v>
          </cell>
          <cell r="AN3" t="str">
            <v>NAT</v>
          </cell>
          <cell r="AO3" t="str">
            <v>MCZ</v>
          </cell>
          <cell r="AP3" t="str">
            <v>FOR</v>
          </cell>
          <cell r="AQ3" t="str">
            <v>JPA</v>
          </cell>
          <cell r="AR3" t="str">
            <v>THE</v>
          </cell>
          <cell r="AS3" t="str">
            <v>SLZ</v>
          </cell>
          <cell r="AT3" t="str">
            <v>IMP</v>
          </cell>
          <cell r="AU3" t="str">
            <v>BEL</v>
          </cell>
          <cell r="AV3" t="str">
            <v>MAB</v>
          </cell>
          <cell r="AW3" t="str">
            <v>STM</v>
          </cell>
          <cell r="AX3" t="str">
            <v>MAO</v>
          </cell>
          <cell r="AY3" t="str">
            <v>PVH</v>
          </cell>
          <cell r="AZ3" t="str">
            <v>RBR</v>
          </cell>
          <cell r="BA3" t="str">
            <v>GRP</v>
          </cell>
          <cell r="BB3" t="str">
            <v>AUX</v>
          </cell>
          <cell r="BC3" t="str">
            <v>BVB</v>
          </cell>
          <cell r="BD3" t="str">
            <v>MCP</v>
          </cell>
        </row>
        <row r="4">
          <cell r="M4" t="str">
            <v>SP1</v>
          </cell>
          <cell r="N4" t="str">
            <v>SP2</v>
          </cell>
          <cell r="O4" t="str">
            <v>SP3</v>
          </cell>
          <cell r="P4" t="str">
            <v>SP4</v>
          </cell>
          <cell r="Q4" t="str">
            <v xml:space="preserve">  SP5</v>
          </cell>
          <cell r="R4" t="str">
            <v>SP7</v>
          </cell>
          <cell r="S4" t="str">
            <v>RJ1</v>
          </cell>
          <cell r="T4" t="str">
            <v>RJ2</v>
          </cell>
          <cell r="U4" t="str">
            <v>MG1</v>
          </cell>
          <cell r="V4" t="str">
            <v>MG2</v>
          </cell>
          <cell r="W4" t="str">
            <v>VIT</v>
          </cell>
          <cell r="X4" t="str">
            <v>PR1</v>
          </cell>
          <cell r="Y4" t="str">
            <v>PR2</v>
          </cell>
          <cell r="Z4" t="str">
            <v>PR3</v>
          </cell>
          <cell r="AA4" t="str">
            <v>PR4</v>
          </cell>
          <cell r="AB4" t="str">
            <v>RS1</v>
          </cell>
          <cell r="AC4" t="str">
            <v>SC1</v>
          </cell>
          <cell r="AD4" t="str">
            <v>BRA</v>
          </cell>
          <cell r="AE4" t="str">
            <v>GOI</v>
          </cell>
          <cell r="AF4" t="str">
            <v>GO2</v>
          </cell>
          <cell r="AG4" t="str">
            <v>MT1</v>
          </cell>
          <cell r="AH4" t="str">
            <v>MT2</v>
          </cell>
          <cell r="AI4" t="str">
            <v>MT3</v>
          </cell>
          <cell r="AJ4" t="str">
            <v>CGR</v>
          </cell>
          <cell r="AK4" t="str">
            <v>SAL</v>
          </cell>
          <cell r="AL4" t="str">
            <v>AJU</v>
          </cell>
          <cell r="AM4" t="str">
            <v>REC</v>
          </cell>
          <cell r="AN4" t="str">
            <v>NAT</v>
          </cell>
          <cell r="AO4" t="str">
            <v>MAC</v>
          </cell>
          <cell r="AP4" t="str">
            <v>CE1</v>
          </cell>
          <cell r="AQ4" t="str">
            <v>JPE</v>
          </cell>
          <cell r="AR4" t="str">
            <v>PI1</v>
          </cell>
          <cell r="AS4" t="str">
            <v>MA1</v>
          </cell>
          <cell r="AT4" t="str">
            <v>MA4</v>
          </cell>
          <cell r="AU4" t="str">
            <v>BEL</v>
          </cell>
          <cell r="AV4" t="str">
            <v>PA2</v>
          </cell>
          <cell r="AW4" t="str">
            <v>PA3</v>
          </cell>
          <cell r="AX4" t="str">
            <v>MAN</v>
          </cell>
          <cell r="AY4" t="str">
            <v>POV</v>
          </cell>
          <cell r="AZ4" t="str">
            <v>RBR</v>
          </cell>
          <cell r="BA4" t="str">
            <v>TO2</v>
          </cell>
          <cell r="BB4" t="str">
            <v>TO3</v>
          </cell>
          <cell r="BC4" t="str">
            <v>BVT</v>
          </cell>
          <cell r="BD4" t="str">
            <v>MCP</v>
          </cell>
        </row>
        <row r="5">
          <cell r="G5" t="str">
            <v>-Selecionar-</v>
          </cell>
        </row>
        <row r="6">
          <cell r="G6" t="str">
            <v>AGRO BAND</v>
          </cell>
        </row>
        <row r="7">
          <cell r="G7" t="str">
            <v>APITO FINAL</v>
          </cell>
        </row>
        <row r="8">
          <cell r="G8" t="str">
            <v>ALMA DE GIGANTE</v>
          </cell>
        </row>
        <row r="9">
          <cell r="G9" t="str">
            <v>BAND ESPORTE CLUBE</v>
          </cell>
        </row>
        <row r="10">
          <cell r="G10" t="str">
            <v>BAND ESPORTE</v>
          </cell>
        </row>
        <row r="11">
          <cell r="G11" t="str">
            <v>BORA BRASIL</v>
          </cell>
        </row>
        <row r="12">
          <cell r="G12" t="str">
            <v>BRASIL URGENTE</v>
          </cell>
        </row>
        <row r="13">
          <cell r="G13" t="str">
            <v>BWF LUTA LIVRE</v>
          </cell>
        </row>
        <row r="14">
          <cell r="G14" t="str">
            <v>CAFÉ COM AROMA DE MULHER</v>
          </cell>
        </row>
        <row r="15">
          <cell r="G15" t="str">
            <v>CAMPEONATO SAUDITA</v>
          </cell>
        </row>
        <row r="16">
          <cell r="G16" t="str">
            <v>CANAL LIVRE</v>
          </cell>
        </row>
        <row r="17">
          <cell r="G17" t="str">
            <v>CINE CLUBE</v>
          </cell>
        </row>
        <row r="18">
          <cell r="G18" t="str">
            <v>PAPO COM SABOR - REAPRESENTAÇÃO</v>
          </cell>
        </row>
        <row r="19">
          <cell r="G19" t="str">
            <v>CINE PRIVÉ</v>
          </cell>
        </row>
        <row r="20">
          <cell r="G20" t="str">
            <v>CHAMA NO PRIVÉ</v>
          </cell>
        </row>
        <row r="21">
          <cell r="G21" t="str">
            <v>CINEMA NA MADRUGADA</v>
          </cell>
        </row>
        <row r="22">
          <cell r="G22" t="str">
            <v>COPA TRUCK</v>
          </cell>
        </row>
        <row r="23">
          <cell r="G23" t="str">
            <v>DESTINOS</v>
          </cell>
        </row>
        <row r="24">
          <cell r="G24" t="str">
            <v>DE ONDE VEM</v>
          </cell>
        </row>
        <row r="25">
          <cell r="G25" t="str">
            <v>DO LEVAIN AO PÃO</v>
          </cell>
        </row>
        <row r="26">
          <cell r="G26" t="str">
            <v xml:space="preserve">DOCUMENTO BAND </v>
          </cell>
        </row>
        <row r="27">
          <cell r="G27" t="str">
            <v>DOMINGO NO CINEMA</v>
          </cell>
        </row>
        <row r="28">
          <cell r="G28" t="str">
            <v>ECONOMIA PRA VOCÊ</v>
          </cell>
        </row>
        <row r="29">
          <cell r="G29" t="str">
            <v>EUROPA LEAGUE</v>
          </cell>
        </row>
        <row r="30">
          <cell r="G30" t="str">
            <v>ESPORTE TOTAL</v>
          </cell>
        </row>
        <row r="31">
          <cell r="G31" t="str">
            <v>ESTILO ARTE1</v>
          </cell>
        </row>
        <row r="32">
          <cell r="G32" t="str">
            <v>ESTAÇÃO CINEMA</v>
          </cell>
        </row>
        <row r="33">
          <cell r="G33" t="str">
            <v>FÓRMULA 1</v>
          </cell>
        </row>
        <row r="34">
          <cell r="G34" t="str">
            <v>FÓRMULA 1 - TREINO CLASSIFICATÓRIO</v>
          </cell>
        </row>
        <row r="35">
          <cell r="G35" t="str">
            <v>FÓRMULA 2</v>
          </cell>
        </row>
        <row r="36">
          <cell r="G36" t="str">
            <v>FÓRMULA 3</v>
          </cell>
        </row>
        <row r="37">
          <cell r="G37" t="str">
            <v>FÓRMULA E</v>
          </cell>
        </row>
        <row r="38">
          <cell r="G38" t="str">
            <v>FÓRMULA BAND</v>
          </cell>
        </row>
        <row r="39">
          <cell r="G39" t="str">
            <v>FÓRMULA 1 - COMPACTO</v>
          </cell>
        </row>
        <row r="40">
          <cell r="G40" t="str">
            <v>GALVÃO &amp; AMIGOS</v>
          </cell>
        </row>
        <row r="41">
          <cell r="G41" t="str">
            <v>GAME SHOW BANDBET</v>
          </cell>
        </row>
        <row r="42">
          <cell r="G42" t="str">
            <v>LARGADOS E PELADOS</v>
          </cell>
        </row>
        <row r="43">
          <cell r="G43" t="str">
            <v>O MUNDO SEGUNDO OS BRASILEIROS - EM DEFINIÇÃO</v>
          </cell>
        </row>
        <row r="44">
          <cell r="G44" t="str">
            <v>JANTAR O QUÊ</v>
          </cell>
        </row>
        <row r="45">
          <cell r="G45" t="str">
            <v>JOGO ABERTO</v>
          </cell>
        </row>
        <row r="46">
          <cell r="G46" t="str">
            <v>JORNAL BANDNEWS - GIRO DE NOTÍCIAS</v>
          </cell>
        </row>
        <row r="47">
          <cell r="G47" t="str">
            <v>JORNAL DA BAND</v>
          </cell>
        </row>
        <row r="48">
          <cell r="G48" t="str">
            <v>JORNAL DA BAND - REAPRESENTAÇÃO</v>
          </cell>
        </row>
        <row r="49">
          <cell r="G49" t="str">
            <v>JORNAL DA NOITE</v>
          </cell>
        </row>
        <row r="50">
          <cell r="G50" t="str">
            <v>LADIES CUP FINAL</v>
          </cell>
        </row>
        <row r="51">
          <cell r="G51" t="str">
            <v>LÁ NO MERCADÃO</v>
          </cell>
        </row>
        <row r="52">
          <cell r="G52" t="str">
            <v xml:space="preserve">DO SIMPLES AO ESPETACULAR </v>
          </cell>
        </row>
        <row r="53">
          <cell r="G53" t="str">
            <v xml:space="preserve">DIRETO NA BRASA </v>
          </cell>
        </row>
        <row r="54">
          <cell r="G54" t="str">
            <v>SABORES DE SP</v>
          </cell>
        </row>
        <row r="55">
          <cell r="G55" t="str">
            <v>LINHA DE COMBATE - REAPRESENTAÇÃO</v>
          </cell>
        </row>
        <row r="56">
          <cell r="G56" t="str">
            <v>MASTERCHEF AMADORES</v>
          </cell>
        </row>
        <row r="57">
          <cell r="G57" t="str">
            <v>MASTERCHEF AMADORES - REAPRESENTAÇÃO</v>
          </cell>
        </row>
        <row r="58">
          <cell r="G58" t="str">
            <v>MASTERCHEF A PRÉVIA</v>
          </cell>
        </row>
        <row r="59">
          <cell r="G59" t="str">
            <v>MELHOR DA NOITE</v>
          </cell>
        </row>
        <row r="60">
          <cell r="G60" t="str">
            <v>MELHOR DA TARDE</v>
          </cell>
        </row>
        <row r="61">
          <cell r="G61" t="str">
            <v>MESTRE DO DRYWALL</v>
          </cell>
        </row>
        <row r="62">
          <cell r="G62" t="str">
            <v>NA COZINHA DA HELÔ</v>
          </cell>
        </row>
        <row r="63">
          <cell r="G63" t="str">
            <v>ORIGENS DO SABOR</v>
          </cell>
        </row>
        <row r="64">
          <cell r="G64" t="str">
            <v>O MELHOR DO UFC</v>
          </cell>
        </row>
        <row r="65">
          <cell r="G65" t="str">
            <v>O MELHOR PRATO</v>
          </cell>
        </row>
        <row r="66">
          <cell r="G66" t="str">
            <v>PAPO COM SABOR - REAPRESENTAÇÃO</v>
          </cell>
        </row>
        <row r="67">
          <cell r="G67" t="str">
            <v>PERRENGUE DO DIA</v>
          </cell>
        </row>
        <row r="68">
          <cell r="G68" t="str">
            <v>PERRENGUE NA BAND</v>
          </cell>
        </row>
        <row r="69">
          <cell r="G69" t="str">
            <v xml:space="preserve">PESADELO NA COZINHA </v>
          </cell>
        </row>
        <row r="70">
          <cell r="G70" t="str">
            <v xml:space="preserve">PLANETA SELVAGEM </v>
          </cell>
        </row>
        <row r="71">
          <cell r="G71" t="str">
            <v>PLANETA SELVAGEM</v>
          </cell>
        </row>
        <row r="72">
          <cell r="G72" t="str">
            <v>PORSCHE CUP</v>
          </cell>
        </row>
        <row r="73">
          <cell r="G73" t="str">
            <v>PURA PESCA</v>
          </cell>
        </row>
        <row r="74">
          <cell r="G74" t="str">
            <v xml:space="preserve">REMO E RUMOS </v>
          </cell>
        </row>
        <row r="75">
          <cell r="G75" t="str">
            <v>RESENHA DO GALINHO</v>
          </cell>
        </row>
        <row r="76">
          <cell r="G76" t="str">
            <v>SABADÃO DE TODOS</v>
          </cell>
        </row>
        <row r="77">
          <cell r="G77" t="str">
            <v>SESSÃO ESPECIAL</v>
          </cell>
        </row>
        <row r="78">
          <cell r="G78" t="str">
            <v xml:space="preserve">SESSÃO ESPECIAL </v>
          </cell>
        </row>
        <row r="79">
          <cell r="G79" t="str">
            <v>SEX PRIVÉ CLUBE</v>
          </cell>
        </row>
        <row r="80">
          <cell r="G80" t="str">
            <v>CHAMA NO PRIVÊ</v>
          </cell>
        </row>
        <row r="81">
          <cell r="G81" t="str">
            <v>SFT</v>
          </cell>
        </row>
        <row r="82">
          <cell r="G82" t="str">
            <v>SHOW DO ESPORTE</v>
          </cell>
        </row>
        <row r="83">
          <cell r="G83" t="str">
            <v>STOCK CAR</v>
          </cell>
        </row>
        <row r="84">
          <cell r="G84" t="str">
            <v>NOVELA I</v>
          </cell>
        </row>
        <row r="85">
          <cell r="G85" t="str">
            <v>VIDA DE MERENDEIRA</v>
          </cell>
        </row>
        <row r="86">
          <cell r="G86" t="str">
            <v>DESAFIO EM DOSE DUPLA</v>
          </cell>
        </row>
        <row r="87">
          <cell r="G87" t="str">
            <v>THE BLACKLIST</v>
          </cell>
        </row>
        <row r="88">
          <cell r="G88" t="str">
            <v>TOP CINE</v>
          </cell>
        </row>
        <row r="89">
          <cell r="G89" t="str">
            <v>UFC</v>
          </cell>
        </row>
        <row r="90">
          <cell r="G90" t="str">
            <v>WEC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B2" t="str">
            <v xml:space="preserve"> -FORMATOS- (Selecionar)</v>
          </cell>
        </row>
        <row r="57">
          <cell r="B57" t="str">
            <v>CACHE</v>
          </cell>
          <cell r="C57" t="str">
            <v>APRESENTADOR</v>
          </cell>
        </row>
        <row r="58">
          <cell r="B58" t="str">
            <v>PROGRAMA</v>
          </cell>
          <cell r="C58" t="str">
            <v>COD.</v>
          </cell>
          <cell r="D58" t="str">
            <v>Selecionar</v>
          </cell>
          <cell r="F58" t="str">
            <v>Porcentagem</v>
          </cell>
          <cell r="G58" t="str">
            <v>Mínimo</v>
          </cell>
          <cell r="H58" t="str">
            <v>Adicional</v>
          </cell>
        </row>
        <row r="59">
          <cell r="A59" t="str">
            <v>0</v>
          </cell>
          <cell r="B59" t="str">
            <v>APRESENTADOR COMERCIAL</v>
          </cell>
          <cell r="D59" t="str">
            <v xml:space="preserve"> Felipe Fonseca</v>
          </cell>
          <cell r="G59">
            <v>250</v>
          </cell>
          <cell r="I59" t="str">
            <v>Felipe Fonseca - Testemunhal / Ação diferenciada é negociado o valor</v>
          </cell>
          <cell r="M59" t="str">
            <v>--Selecionar--</v>
          </cell>
          <cell r="N59" t="str">
            <v>--Selecionar--</v>
          </cell>
          <cell r="O59" t="str">
            <v>--Selecionar--</v>
          </cell>
          <cell r="P59" t="str">
            <v>--Selecionar--</v>
          </cell>
          <cell r="Q59" t="str">
            <v>--Selecionar--</v>
          </cell>
          <cell r="R59" t="str">
            <v>--Selecionar--</v>
          </cell>
          <cell r="S59" t="str">
            <v>--Selecionar--</v>
          </cell>
          <cell r="T59" t="str">
            <v>--Selecionar--</v>
          </cell>
          <cell r="U59" t="str">
            <v>--Selecionar--</v>
          </cell>
          <cell r="V59" t="str">
            <v>--Selecionar--</v>
          </cell>
        </row>
        <row r="60">
          <cell r="A60" t="str">
            <v>APIT1</v>
          </cell>
          <cell r="B60" t="str">
            <v>APITO FINAL</v>
          </cell>
          <cell r="C60" t="str">
            <v>APIT</v>
          </cell>
          <cell r="D60" t="str">
            <v xml:space="preserve"> Neto</v>
          </cell>
          <cell r="F60">
            <v>0.1</v>
          </cell>
          <cell r="G60">
            <v>3000</v>
          </cell>
          <cell r="I60" t="str">
            <v>Neto - 10% do líquido - por ação / Ação Especial valor sob consulta</v>
          </cell>
          <cell r="M60" t="str">
            <v/>
          </cell>
          <cell r="N60" t="str">
            <v/>
          </cell>
          <cell r="O60" t="str">
            <v/>
          </cell>
          <cell r="P60" t="str">
            <v/>
          </cell>
          <cell r="Q60" t="str">
            <v/>
          </cell>
          <cell r="R60" t="str">
            <v/>
          </cell>
          <cell r="S60" t="str">
            <v/>
          </cell>
          <cell r="T60" t="str">
            <v/>
          </cell>
          <cell r="U60" t="str">
            <v/>
          </cell>
          <cell r="V60" t="str">
            <v/>
          </cell>
        </row>
        <row r="61">
          <cell r="A61" t="str">
            <v>FOLB1</v>
          </cell>
          <cell r="B61" t="str">
            <v>BAND FOLIA</v>
          </cell>
          <cell r="C61" t="str">
            <v>FOLB</v>
          </cell>
          <cell r="D61" t="str">
            <v xml:space="preserve"> Betinho</v>
          </cell>
          <cell r="F61">
            <v>0.1</v>
          </cell>
          <cell r="G61">
            <v>2000</v>
          </cell>
          <cell r="I61" t="str">
            <v>Betinho - 10% do líquido - por ação / Ação Especial valor sob consulta</v>
          </cell>
          <cell r="M61" t="str">
            <v/>
          </cell>
          <cell r="N61" t="str">
            <v/>
          </cell>
          <cell r="O61" t="str">
            <v/>
          </cell>
          <cell r="P61" t="str">
            <v/>
          </cell>
          <cell r="Q61" t="str">
            <v/>
          </cell>
          <cell r="R61" t="str">
            <v/>
          </cell>
          <cell r="S61" t="str">
            <v/>
          </cell>
          <cell r="T61" t="str">
            <v/>
          </cell>
          <cell r="U61" t="str">
            <v/>
          </cell>
          <cell r="V61" t="str">
            <v/>
          </cell>
        </row>
        <row r="62">
          <cell r="A62" t="str">
            <v>CLUS1</v>
          </cell>
          <cell r="B62" t="str">
            <v>BAND ESPORTE CLUBE</v>
          </cell>
          <cell r="C62" t="str">
            <v>CLUS</v>
          </cell>
          <cell r="D62" t="str">
            <v xml:space="preserve"> Kalinka Schutel</v>
          </cell>
          <cell r="F62">
            <v>0.1</v>
          </cell>
          <cell r="G62">
            <v>1500</v>
          </cell>
          <cell r="I62" t="str">
            <v>Kalinka Schutel - 10% do líquido - por ação / Ação Especial valor sob consulta</v>
          </cell>
          <cell r="M62" t="str">
            <v/>
          </cell>
          <cell r="N62" t="str">
            <v/>
          </cell>
          <cell r="O62" t="str">
            <v/>
          </cell>
          <cell r="P62" t="str">
            <v/>
          </cell>
          <cell r="Q62" t="str">
            <v/>
          </cell>
          <cell r="R62" t="str">
            <v/>
          </cell>
          <cell r="S62" t="str">
            <v/>
          </cell>
          <cell r="T62" t="str">
            <v/>
          </cell>
          <cell r="U62" t="str">
            <v/>
          </cell>
          <cell r="V62" t="str">
            <v/>
          </cell>
        </row>
        <row r="63">
          <cell r="A63" t="str">
            <v>BECL1</v>
          </cell>
          <cell r="B63" t="str">
            <v xml:space="preserve">BAND ESPORTE CLUBE - LOCAL </v>
          </cell>
          <cell r="C63" t="str">
            <v>BECL</v>
          </cell>
          <cell r="D63" t="str">
            <v xml:space="preserve"> Kalinka Schutel</v>
          </cell>
          <cell r="F63">
            <v>0.1</v>
          </cell>
          <cell r="G63">
            <v>1500</v>
          </cell>
          <cell r="I63" t="str">
            <v>Kalinka Schutel - 10% do líquido - por ação / Ação Especial valor sob consulta</v>
          </cell>
        </row>
        <row r="64">
          <cell r="A64" t="str">
            <v>BOBR1</v>
          </cell>
          <cell r="B64" t="str">
            <v>BORA BRASIL</v>
          </cell>
          <cell r="C64" t="str">
            <v>BOBR</v>
          </cell>
          <cell r="D64" t="str">
            <v xml:space="preserve"> Cynthia de Paula da S Martins</v>
          </cell>
          <cell r="F64">
            <v>0.1</v>
          </cell>
          <cell r="G64">
            <v>2000</v>
          </cell>
          <cell r="I64" t="str">
            <v>Cynthia de Paula da S Martins - 10% do líquido - por ação / Ação Especial valor sob consulta</v>
          </cell>
          <cell r="M64" t="str">
            <v/>
          </cell>
          <cell r="N64" t="str">
            <v/>
          </cell>
          <cell r="O64" t="str">
            <v/>
          </cell>
          <cell r="P64" t="str">
            <v/>
          </cell>
          <cell r="Q64" t="str">
            <v/>
          </cell>
          <cell r="R64" t="str">
            <v/>
          </cell>
          <cell r="S64" t="str">
            <v/>
          </cell>
          <cell r="T64" t="str">
            <v/>
          </cell>
          <cell r="U64" t="str">
            <v/>
          </cell>
          <cell r="V64" t="str">
            <v/>
          </cell>
        </row>
        <row r="65">
          <cell r="A65" t="str">
            <v>BOBR2</v>
          </cell>
          <cell r="B65" t="str">
            <v>BORA BRASIL</v>
          </cell>
          <cell r="C65" t="str">
            <v>BOBR</v>
          </cell>
          <cell r="D65" t="str">
            <v xml:space="preserve"> Rodrigo Nascimento Alvarez</v>
          </cell>
          <cell r="F65">
            <v>0.1</v>
          </cell>
          <cell r="G65">
            <v>2000</v>
          </cell>
          <cell r="I65" t="str">
            <v>Rodrigo Nascimento Alvarez - 10% do líquido - por ação / Ação Especial valor sob consulta</v>
          </cell>
          <cell r="M65" t="str">
            <v/>
          </cell>
          <cell r="N65" t="str">
            <v/>
          </cell>
          <cell r="O65" t="str">
            <v/>
          </cell>
          <cell r="P65" t="str">
            <v/>
          </cell>
          <cell r="Q65" t="str">
            <v/>
          </cell>
          <cell r="R65" t="str">
            <v/>
          </cell>
          <cell r="S65" t="str">
            <v/>
          </cell>
          <cell r="T65" t="str">
            <v/>
          </cell>
          <cell r="U65" t="str">
            <v/>
          </cell>
          <cell r="V65" t="str">
            <v/>
          </cell>
        </row>
        <row r="66">
          <cell r="A66" t="str">
            <v>BOBR3</v>
          </cell>
          <cell r="B66" t="str">
            <v>BORA BRASIL</v>
          </cell>
          <cell r="C66" t="str">
            <v>BOBR</v>
          </cell>
          <cell r="D66" t="str">
            <v xml:space="preserve">Patricia Rocha </v>
          </cell>
          <cell r="F66">
            <v>0.1</v>
          </cell>
          <cell r="G66">
            <v>2000</v>
          </cell>
          <cell r="I66" t="str">
            <v>Rodrigo Nascimento Alvarez - 10% do líquido - por ação / Ação Especial valor sob consulta</v>
          </cell>
          <cell r="M66" t="str">
            <v/>
          </cell>
          <cell r="N66" t="str">
            <v/>
          </cell>
          <cell r="O66" t="str">
            <v/>
          </cell>
          <cell r="P66" t="str">
            <v/>
          </cell>
          <cell r="Q66" t="str">
            <v/>
          </cell>
          <cell r="R66" t="str">
            <v/>
          </cell>
          <cell r="S66" t="str">
            <v/>
          </cell>
          <cell r="T66" t="str">
            <v/>
          </cell>
          <cell r="U66" t="str">
            <v/>
          </cell>
          <cell r="V66" t="str">
            <v/>
          </cell>
        </row>
        <row r="67">
          <cell r="A67" t="str">
            <v>BRUR1</v>
          </cell>
          <cell r="B67" t="str">
            <v>BRASIL URGENTE</v>
          </cell>
          <cell r="C67" t="str">
            <v>BRUR</v>
          </cell>
          <cell r="D67" t="str">
            <v xml:space="preserve"> Joel Datena</v>
          </cell>
          <cell r="F67">
            <v>0.15</v>
          </cell>
          <cell r="G67">
            <v>3000</v>
          </cell>
          <cell r="I67" t="str">
            <v>Joel Datena - 15% do líquido - por ação / Ação Especial valor sob consulta</v>
          </cell>
          <cell r="M67" t="str">
            <v/>
          </cell>
          <cell r="N67" t="str">
            <v/>
          </cell>
          <cell r="O67" t="str">
            <v/>
          </cell>
          <cell r="P67" t="str">
            <v/>
          </cell>
          <cell r="Q67" t="str">
            <v/>
          </cell>
          <cell r="R67" t="str">
            <v/>
          </cell>
          <cell r="S67" t="str">
            <v/>
          </cell>
          <cell r="T67" t="str">
            <v/>
          </cell>
          <cell r="U67" t="str">
            <v/>
          </cell>
          <cell r="V67" t="str">
            <v/>
          </cell>
        </row>
        <row r="68">
          <cell r="A68" t="str">
            <v>BRLO1</v>
          </cell>
          <cell r="B68" t="str">
            <v>BRASIL URGENTE LOCAL</v>
          </cell>
          <cell r="C68" t="str">
            <v>BRLO</v>
          </cell>
          <cell r="D68" t="str">
            <v xml:space="preserve"> Joel Datena</v>
          </cell>
          <cell r="F68">
            <v>0.15</v>
          </cell>
          <cell r="G68">
            <v>2500</v>
          </cell>
          <cell r="I68" t="str">
            <v>Joel Datena - 15% do líquido - por ação / Ação Especial valor sob consulta</v>
          </cell>
          <cell r="M68" t="str">
            <v/>
          </cell>
          <cell r="N68" t="str">
            <v/>
          </cell>
          <cell r="O68" t="str">
            <v/>
          </cell>
          <cell r="P68" t="str">
            <v/>
          </cell>
          <cell r="Q68" t="str">
            <v/>
          </cell>
          <cell r="R68" t="str">
            <v/>
          </cell>
          <cell r="S68" t="str">
            <v/>
          </cell>
          <cell r="T68" t="str">
            <v/>
          </cell>
          <cell r="U68" t="str">
            <v/>
          </cell>
          <cell r="V68" t="str">
            <v/>
          </cell>
        </row>
        <row r="69">
          <cell r="A69" t="str">
            <v>BRUR2</v>
          </cell>
          <cell r="B69" t="str">
            <v>BRASIL URGENTE</v>
          </cell>
          <cell r="C69" t="str">
            <v>BRUR</v>
          </cell>
          <cell r="D69" t="str">
            <v xml:space="preserve"> Felipe Garrafa Fernandes</v>
          </cell>
          <cell r="F69">
            <v>0.1</v>
          </cell>
          <cell r="G69">
            <v>1000</v>
          </cell>
          <cell r="I69" t="str">
            <v>Felipe Garrafa Fernandes - 10% do líquido - por ação / Ação Especial valor sob consulta</v>
          </cell>
          <cell r="M69" t="str">
            <v/>
          </cell>
          <cell r="N69" t="str">
            <v/>
          </cell>
          <cell r="O69" t="str">
            <v/>
          </cell>
          <cell r="P69" t="str">
            <v/>
          </cell>
          <cell r="Q69" t="str">
            <v/>
          </cell>
          <cell r="R69" t="str">
            <v/>
          </cell>
          <cell r="S69" t="str">
            <v/>
          </cell>
          <cell r="T69" t="str">
            <v/>
          </cell>
          <cell r="U69" t="str">
            <v/>
          </cell>
          <cell r="V69" t="str">
            <v/>
          </cell>
        </row>
        <row r="70">
          <cell r="A70" t="str">
            <v>CARI1</v>
          </cell>
          <cell r="B70" t="str">
            <v>CAMPEONATO CARIOCA</v>
          </cell>
          <cell r="C70" t="str">
            <v>CARI</v>
          </cell>
          <cell r="D70" t="str">
            <v xml:space="preserve"> Athirson Mazolli</v>
          </cell>
          <cell r="F70">
            <v>0.1</v>
          </cell>
          <cell r="I70" t="str">
            <v>Athirson Mazolli - 10% do líquido negociado - por ação / Ação Especial valor sob consulta</v>
          </cell>
          <cell r="M70" t="str">
            <v/>
          </cell>
          <cell r="N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  <cell r="T70" t="str">
            <v/>
          </cell>
          <cell r="U70" t="str">
            <v/>
          </cell>
          <cell r="V70" t="str">
            <v/>
          </cell>
        </row>
        <row r="71">
          <cell r="A71" t="str">
            <v>CARI2</v>
          </cell>
          <cell r="B71" t="str">
            <v>CAMPEONATO CARIOCA</v>
          </cell>
          <cell r="C71" t="str">
            <v>CARI</v>
          </cell>
          <cell r="D71" t="str">
            <v xml:space="preserve"> Washington Cerqueira</v>
          </cell>
          <cell r="F71">
            <v>0.1</v>
          </cell>
          <cell r="I71" t="str">
            <v>Washington Cerqueira - 10% do líquido negociado - por ação / Ação Especial valor sob consulta</v>
          </cell>
          <cell r="M71" t="str">
            <v/>
          </cell>
          <cell r="N71" t="str">
            <v/>
          </cell>
          <cell r="O71" t="str">
            <v/>
          </cell>
          <cell r="P71" t="str">
            <v/>
          </cell>
          <cell r="Q71" t="str">
            <v/>
          </cell>
          <cell r="R71" t="str">
            <v/>
          </cell>
          <cell r="S71" t="str">
            <v/>
          </cell>
          <cell r="T71" t="str">
            <v/>
          </cell>
          <cell r="U71" t="str">
            <v/>
          </cell>
          <cell r="V71" t="str">
            <v/>
          </cell>
        </row>
        <row r="72">
          <cell r="A72" t="str">
            <v>FUTB1</v>
          </cell>
          <cell r="B72" t="str">
            <v>ESPORTE TOTAL</v>
          </cell>
          <cell r="C72" t="str">
            <v>FUTB</v>
          </cell>
          <cell r="D72" t="str">
            <v xml:space="preserve"> Fernando Fernandes</v>
          </cell>
          <cell r="F72">
            <v>0.1</v>
          </cell>
          <cell r="G72">
            <v>2000</v>
          </cell>
          <cell r="I72" t="str">
            <v>Fernando Fernandes - 10% do líquido - por ação / Ação Especial valor sob consulta</v>
          </cell>
          <cell r="M72" t="str">
            <v/>
          </cell>
          <cell r="N72" t="str">
            <v/>
          </cell>
          <cell r="O72" t="str">
            <v/>
          </cell>
          <cell r="P72" t="str">
            <v/>
          </cell>
          <cell r="Q72" t="str">
            <v/>
          </cell>
          <cell r="R72" t="str">
            <v/>
          </cell>
          <cell r="S72" t="str">
            <v/>
          </cell>
          <cell r="T72" t="str">
            <v/>
          </cell>
          <cell r="U72" t="str">
            <v/>
          </cell>
          <cell r="V72" t="str">
            <v/>
          </cell>
        </row>
        <row r="73">
          <cell r="A73" t="str">
            <v>FOR11</v>
          </cell>
          <cell r="B73" t="str">
            <v>FORMULA 1</v>
          </cell>
          <cell r="C73" t="str">
            <v>FOR1</v>
          </cell>
          <cell r="D73" t="str">
            <v xml:space="preserve"> Felipe Giaffone</v>
          </cell>
          <cell r="F73">
            <v>0.1</v>
          </cell>
          <cell r="I73" t="str">
            <v>Felipe Giaffone - 10% do líquido negociado - por ação / Ação Especial valor sob consulta</v>
          </cell>
        </row>
        <row r="74">
          <cell r="A74" t="str">
            <v>FOR12</v>
          </cell>
          <cell r="B74" t="str">
            <v>FORMULA 1</v>
          </cell>
          <cell r="C74" t="str">
            <v>FOR1</v>
          </cell>
          <cell r="D74" t="str">
            <v xml:space="preserve"> Max Wilson</v>
          </cell>
          <cell r="F74">
            <v>0.1</v>
          </cell>
          <cell r="I74" t="str">
            <v>Max Wilson - 10% do líquido negociado - por ação / Ação Especial valor sob consulta</v>
          </cell>
        </row>
        <row r="75">
          <cell r="A75" t="str">
            <v>FOR13</v>
          </cell>
          <cell r="B75" t="str">
            <v>FORMULA 1</v>
          </cell>
          <cell r="C75" t="str">
            <v>FOR1</v>
          </cell>
          <cell r="D75" t="str">
            <v xml:space="preserve"> Sérgio Maurício</v>
          </cell>
          <cell r="F75">
            <v>0.1</v>
          </cell>
          <cell r="I75" t="str">
            <v>Sergio Maurício - 10% do líquido negociado - por ação / Ação Especial valor sob consulta</v>
          </cell>
        </row>
        <row r="76">
          <cell r="A76" t="str">
            <v>FOR14</v>
          </cell>
          <cell r="B76" t="str">
            <v>FORMULA 1</v>
          </cell>
          <cell r="C76" t="str">
            <v>FOR1</v>
          </cell>
          <cell r="D76" t="str">
            <v xml:space="preserve"> Tiago Mendonça</v>
          </cell>
          <cell r="F76">
            <v>0.1</v>
          </cell>
          <cell r="I76" t="str">
            <v>Tiago Mendonça - 10% do líquido negociado - por ação / Ação Especial valor sob consulta</v>
          </cell>
        </row>
        <row r="77">
          <cell r="A77" t="str">
            <v>GALV1</v>
          </cell>
          <cell r="B77" t="str">
            <v>GALVÃO &amp; AMIGOS</v>
          </cell>
          <cell r="C77" t="str">
            <v>GALV</v>
          </cell>
          <cell r="D77" t="str">
            <v xml:space="preserve"> Galvão Bueno</v>
          </cell>
          <cell r="G77">
            <v>35000</v>
          </cell>
          <cell r="I77" t="str">
            <v>Ação Diferencia valor sob consulta</v>
          </cell>
        </row>
        <row r="78">
          <cell r="A78" t="str">
            <v>GALV2</v>
          </cell>
          <cell r="B78" t="str">
            <v>GALVÃO &amp; AMIGOS</v>
          </cell>
          <cell r="C78" t="str">
            <v>GALV</v>
          </cell>
          <cell r="D78" t="str">
            <v xml:space="preserve"> Mauro Naves</v>
          </cell>
          <cell r="F78">
            <v>0.1</v>
          </cell>
          <cell r="I78" t="str">
            <v>Mauro Naves - 10% do líquido negociado - por ação / Ação Especial valor sob consulta</v>
          </cell>
        </row>
        <row r="79">
          <cell r="A79" t="str">
            <v>GALV3</v>
          </cell>
          <cell r="B79" t="str">
            <v>GALVÃO &amp; AMIGOS</v>
          </cell>
          <cell r="C79" t="str">
            <v>GALV</v>
          </cell>
          <cell r="D79" t="str">
            <v xml:space="preserve"> Walter Casagrande</v>
          </cell>
          <cell r="F79">
            <v>0.1</v>
          </cell>
          <cell r="I79" t="str">
            <v>Casagrande - 10% do líquido negociado - por ação / Ação Especial valor sob consulta</v>
          </cell>
        </row>
        <row r="80">
          <cell r="A80" t="str">
            <v>JGAB1</v>
          </cell>
          <cell r="B80" t="str">
            <v>JOGO ABERTO</v>
          </cell>
          <cell r="C80" t="str">
            <v>JGAB</v>
          </cell>
          <cell r="D80" t="str">
            <v xml:space="preserve"> Renata Fan</v>
          </cell>
          <cell r="F80">
            <v>0.15</v>
          </cell>
          <cell r="G80">
            <v>2500</v>
          </cell>
          <cell r="I80" t="str">
            <v>Renata Fan - 15% do líquido - por ação / Ação Especial valor sob consulta</v>
          </cell>
        </row>
        <row r="81">
          <cell r="A81" t="str">
            <v>JGAB2</v>
          </cell>
          <cell r="B81" t="str">
            <v>JOGO ABERTO</v>
          </cell>
          <cell r="C81" t="str">
            <v>JGAB</v>
          </cell>
          <cell r="D81" t="str">
            <v xml:space="preserve"> Cícelo João de Césare</v>
          </cell>
          <cell r="F81">
            <v>0.1</v>
          </cell>
          <cell r="G81">
            <v>2000</v>
          </cell>
          <cell r="I81" t="str">
            <v>Cícero João de Césare - 10% do líquido - por ação / Ação Especial valor sob consulta</v>
          </cell>
        </row>
        <row r="82">
          <cell r="A82" t="str">
            <v>JGAB3</v>
          </cell>
          <cell r="B82" t="str">
            <v>JOGO ABERTO</v>
          </cell>
          <cell r="C82" t="str">
            <v>JGAB</v>
          </cell>
          <cell r="D82" t="str">
            <v xml:space="preserve"> Eduardo Luiz Abronízio de Souza</v>
          </cell>
          <cell r="F82">
            <v>0.1</v>
          </cell>
          <cell r="G82">
            <v>1500</v>
          </cell>
          <cell r="I82" t="str">
            <v>Eduardo Luiz Abrozínio de Souza - 10% do líquido - por ação / Ação Especial valor sob consulta</v>
          </cell>
        </row>
        <row r="83">
          <cell r="A83" t="str">
            <v>JGAB4</v>
          </cell>
          <cell r="B83" t="str">
            <v>JOGO ABERTO</v>
          </cell>
          <cell r="C83" t="str">
            <v>JGAB</v>
          </cell>
          <cell r="D83" t="str">
            <v xml:space="preserve"> Francisco Garcia Borges</v>
          </cell>
          <cell r="F83">
            <v>0.1</v>
          </cell>
          <cell r="G83">
            <v>1000</v>
          </cell>
          <cell r="I83" t="str">
            <v>Francisco Garcia Borges - 10% do líquido - por ação / Ação Especial valor sob consulta</v>
          </cell>
        </row>
        <row r="84">
          <cell r="A84" t="str">
            <v>JGAB5</v>
          </cell>
          <cell r="B84" t="str">
            <v>JOGO ABERTO</v>
          </cell>
          <cell r="C84" t="str">
            <v>JGAB</v>
          </cell>
          <cell r="D84" t="str">
            <v xml:space="preserve"> João Paulo Haddad Cappellanes</v>
          </cell>
          <cell r="F84">
            <v>0.2</v>
          </cell>
          <cell r="I84" t="str">
            <v>João Paulo Haddad Cappellanes - 20% do líquido c/ Repasse de 10% - por ação / Ação Especial valor sob consulta</v>
          </cell>
        </row>
        <row r="85">
          <cell r="A85" t="str">
            <v>JGAB6</v>
          </cell>
          <cell r="B85" t="str">
            <v>JOGO ABERTO</v>
          </cell>
          <cell r="C85" t="str">
            <v>JGAB</v>
          </cell>
          <cell r="D85" t="str">
            <v xml:space="preserve"> João Pedro Reis Sgarbi</v>
          </cell>
          <cell r="F85">
            <v>0.1</v>
          </cell>
          <cell r="G85">
            <v>1000</v>
          </cell>
          <cell r="I85" t="str">
            <v>João Pedro Sgarbi - 10% do líquido - por ação / Ação Especial valor sob consulta</v>
          </cell>
        </row>
        <row r="86">
          <cell r="A86" t="str">
            <v>JGAB7</v>
          </cell>
          <cell r="B86" t="str">
            <v>JOGO ABERTO</v>
          </cell>
          <cell r="C86" t="str">
            <v>JGAB</v>
          </cell>
          <cell r="D86" t="str">
            <v xml:space="preserve"> Marco Aurélio de Almeida Cunha</v>
          </cell>
          <cell r="F86">
            <v>0.1</v>
          </cell>
          <cell r="I86" t="str">
            <v>Marco Aurélio de Almeida Cunha - 10% do líquido negociado - por ação / Ação Especial valor sob consulta</v>
          </cell>
        </row>
        <row r="87">
          <cell r="A87" t="str">
            <v>JGAB8</v>
          </cell>
          <cell r="B87" t="str">
            <v>JOGO ABERTO</v>
          </cell>
          <cell r="C87" t="str">
            <v>JGAB</v>
          </cell>
          <cell r="D87" t="str">
            <v xml:space="preserve"> Ronaldo Soares Giovaneli</v>
          </cell>
          <cell r="F87">
            <v>0.1</v>
          </cell>
          <cell r="G87">
            <v>2000</v>
          </cell>
          <cell r="I87" t="str">
            <v>Ronaldo Soares Giovaneli - 10% do líquido - por ação / Ação Especial valor sob consulta</v>
          </cell>
        </row>
        <row r="88">
          <cell r="A88" t="str">
            <v>JGAB9</v>
          </cell>
          <cell r="B88" t="str">
            <v>JOGO ABERTO</v>
          </cell>
          <cell r="C88" t="str">
            <v>JGAB</v>
          </cell>
          <cell r="D88" t="str">
            <v xml:space="preserve"> Ulisses Chiaveli Costa </v>
          </cell>
          <cell r="F88">
            <v>0.1</v>
          </cell>
          <cell r="G88">
            <v>2000</v>
          </cell>
          <cell r="I88" t="str">
            <v>Ulisses Chiaveli Costa - 10% do líquido - por ação / Ação Especial valor sob consulta</v>
          </cell>
        </row>
        <row r="89">
          <cell r="A89" t="str">
            <v>MENO1</v>
          </cell>
          <cell r="B89" t="str">
            <v>MELHOR DA NOITE</v>
          </cell>
          <cell r="C89" t="str">
            <v>MENO</v>
          </cell>
          <cell r="D89" t="str">
            <v xml:space="preserve"> Otaviano Costa</v>
          </cell>
          <cell r="F89">
            <v>0.2</v>
          </cell>
          <cell r="G89">
            <v>6000</v>
          </cell>
          <cell r="I89" t="str">
            <v>Otaviano Costa - 20% do líquido - por ação / Ação Especial valor sob consulta</v>
          </cell>
        </row>
        <row r="90">
          <cell r="A90" t="str">
            <v>MENO2</v>
          </cell>
          <cell r="B90" t="str">
            <v>MELHOR DA NOITE</v>
          </cell>
          <cell r="C90" t="str">
            <v>MENO</v>
          </cell>
          <cell r="D90" t="str">
            <v xml:space="preserve"> Altair Gonçalves (Thaíde)</v>
          </cell>
          <cell r="F90">
            <v>0.1</v>
          </cell>
          <cell r="G90">
            <v>2000</v>
          </cell>
          <cell r="I90" t="str">
            <v>Thaíde - 10% do líquido - por ação / Ação Especial valor sob consulta</v>
          </cell>
        </row>
        <row r="91">
          <cell r="A91" t="str">
            <v>MENO3</v>
          </cell>
          <cell r="B91" t="str">
            <v>MELHOR DA NOITE</v>
          </cell>
          <cell r="C91" t="str">
            <v>MENO</v>
          </cell>
          <cell r="D91" t="str">
            <v xml:space="preserve"> Catia Damasceno Ferreira</v>
          </cell>
          <cell r="F91">
            <v>0.1</v>
          </cell>
          <cell r="I91" t="str">
            <v>Catia Damasceno Ferreira - 10% do líquido - por ação / Ação Especial valor sob consulta</v>
          </cell>
        </row>
        <row r="92">
          <cell r="A92" t="str">
            <v>MENO4</v>
          </cell>
          <cell r="B92" t="str">
            <v>MELHOR DA NOITE</v>
          </cell>
          <cell r="C92" t="str">
            <v>MENO</v>
          </cell>
          <cell r="D92" t="str">
            <v xml:space="preserve"> Panela Lucciola do Valle Nunes</v>
          </cell>
          <cell r="F92">
            <v>0.1</v>
          </cell>
          <cell r="G92">
            <v>2000</v>
          </cell>
          <cell r="I92" t="str">
            <v>Pamela Lucciola do Valle Nunes - 10% do líquido - por ação / Ação Especial valor sob consulta</v>
          </cell>
        </row>
        <row r="93">
          <cell r="A93" t="str">
            <v>MENO5</v>
          </cell>
          <cell r="B93" t="str">
            <v>MELHOR DA NOITE</v>
          </cell>
          <cell r="C93" t="str">
            <v>MENO</v>
          </cell>
          <cell r="D93" t="str">
            <v xml:space="preserve"> Viviane Graciela Gusciora</v>
          </cell>
          <cell r="F93">
            <v>0.1</v>
          </cell>
          <cell r="I93" t="str">
            <v>Viviane Graciela Gusciora - 10% do líquido - por ação / Ação Especial valor sob consulta</v>
          </cell>
        </row>
        <row r="94">
          <cell r="A94" t="str">
            <v>MELH1</v>
          </cell>
          <cell r="B94" t="str">
            <v>MELHOR DA TARDE</v>
          </cell>
          <cell r="C94" t="str">
            <v>MELH</v>
          </cell>
          <cell r="D94" t="str">
            <v>Pâmela Lucciola do Valle Nunes</v>
          </cell>
          <cell r="F94">
            <v>0.1</v>
          </cell>
          <cell r="G94">
            <v>2000</v>
          </cell>
          <cell r="I94" t="str">
            <v>Pâmela Lucciola do Valle Nunes - 10% do líquido por ação com o valor mínimo de R$ 2.000,00.</v>
          </cell>
        </row>
        <row r="95">
          <cell r="A95" t="str">
            <v>MELH2</v>
          </cell>
          <cell r="B95" t="str">
            <v>MELHOR DA TARDE</v>
          </cell>
          <cell r="C95" t="str">
            <v>MELH</v>
          </cell>
          <cell r="D95" t="str">
            <v>Bruno Hashimoto</v>
          </cell>
          <cell r="F95">
            <v>0.1</v>
          </cell>
          <cell r="G95">
            <v>800</v>
          </cell>
          <cell r="I95" t="str">
            <v>Bruno Hashimoto  - 10% do líquido  por ação com o valor mínimo de R$ 800,00 - Chef de Cozinha do Programa. Cachê Ação Receita com a Pamela</v>
          </cell>
        </row>
        <row r="96">
          <cell r="A96" t="str">
            <v>MCAM1</v>
          </cell>
          <cell r="B96" t="str">
            <v>MASTERCHEF AMADORES</v>
          </cell>
          <cell r="C96" t="str">
            <v>MCAM</v>
          </cell>
          <cell r="D96" t="str">
            <v xml:space="preserve"> Erick Jacquin  Ação Integrada (Prova)</v>
          </cell>
          <cell r="G96">
            <v>9000</v>
          </cell>
          <cell r="I96" t="str">
            <v>Tabela Masterchef 2025 - Erick Jacquin</v>
          </cell>
        </row>
        <row r="97">
          <cell r="A97" t="str">
            <v>MCAM2</v>
          </cell>
          <cell r="B97" t="str">
            <v>MASTERCHEF AMADORES</v>
          </cell>
          <cell r="C97" t="str">
            <v>MCAM</v>
          </cell>
          <cell r="D97" t="str">
            <v xml:space="preserve"> Erick Jacquin  Ação Especial (Estúdio / Externa)</v>
          </cell>
          <cell r="G97">
            <v>26000</v>
          </cell>
          <cell r="I97" t="str">
            <v>Tabela Masterchef 2025 - Erick Jacquin</v>
          </cell>
        </row>
        <row r="98">
          <cell r="A98" t="str">
            <v>MCAM3</v>
          </cell>
          <cell r="B98" t="str">
            <v>MASTERCHEF AMADORES</v>
          </cell>
          <cell r="C98" t="str">
            <v>MCAM</v>
          </cell>
          <cell r="D98" t="str">
            <v xml:space="preserve"> Erick Jacquin  Merchanbreak (Estúdio / Externa)</v>
          </cell>
          <cell r="G98">
            <v>26000</v>
          </cell>
          <cell r="I98" t="str">
            <v>Tabela Masterchef 2025 - Erick Jacquin</v>
          </cell>
        </row>
        <row r="99">
          <cell r="A99" t="str">
            <v>MCAM4</v>
          </cell>
          <cell r="B99" t="str">
            <v>MASTERCHEF AMADORES</v>
          </cell>
          <cell r="C99" t="str">
            <v>MCAM</v>
          </cell>
          <cell r="D99" t="str">
            <v xml:space="preserve"> Helena / Fogaça  Ação Integrada (Prova)</v>
          </cell>
          <cell r="G99">
            <v>9000</v>
          </cell>
          <cell r="I99" t="str">
            <v>Tabela Masterchef 2025 - Valor unitário para Helena Rizzo / Valor unitário para Fogaça</v>
          </cell>
        </row>
        <row r="100">
          <cell r="A100" t="str">
            <v>MCAM5</v>
          </cell>
          <cell r="B100" t="str">
            <v>MASTERCHEF AMADORES</v>
          </cell>
          <cell r="C100" t="str">
            <v>MCAM</v>
          </cell>
          <cell r="D100" t="str">
            <v xml:space="preserve"> Helena / Fogaça  Ação Especial (Estúdio)</v>
          </cell>
          <cell r="G100">
            <v>10901.47</v>
          </cell>
          <cell r="I100" t="str">
            <v>Tabela Masterchef 2025 - Valor unitário para Helena Rizzo / Valor unitário para Fogaça</v>
          </cell>
        </row>
        <row r="101">
          <cell r="A101" t="str">
            <v>MCAM6</v>
          </cell>
          <cell r="B101" t="str">
            <v>MASTERCHEF AMADORES</v>
          </cell>
          <cell r="C101" t="str">
            <v>MCAM</v>
          </cell>
          <cell r="D101" t="str">
            <v xml:space="preserve"> Helena / Fogaça  Ação Especial (Externa)</v>
          </cell>
          <cell r="G101">
            <v>21796.18</v>
          </cell>
          <cell r="I101" t="str">
            <v>Tabela Masterchef 2025 - Valor unitário para Helena Rizzo / Valor unitário para Fogaça</v>
          </cell>
        </row>
        <row r="102">
          <cell r="A102" t="str">
            <v>MCAM7</v>
          </cell>
          <cell r="B102" t="str">
            <v>MASTERCHEF AMADORES</v>
          </cell>
          <cell r="C102" t="str">
            <v>MCAM</v>
          </cell>
          <cell r="D102" t="str">
            <v xml:space="preserve"> Helena / Fogaça  Merchanbreak (Estúdio)</v>
          </cell>
          <cell r="G102">
            <v>8176.09</v>
          </cell>
          <cell r="I102" t="str">
            <v>Tabela Masterchef 2025 - Valor unitário para Helena Rizzo / Valor unitário para Fogaça</v>
          </cell>
        </row>
        <row r="103">
          <cell r="A103" t="str">
            <v>MCAM8</v>
          </cell>
          <cell r="B103" t="str">
            <v>MASTERCHEF AMADORES</v>
          </cell>
          <cell r="C103" t="str">
            <v>MCAM</v>
          </cell>
          <cell r="D103" t="str">
            <v xml:space="preserve"> Helena / Fogaça  Merchanbreak (Externa)</v>
          </cell>
          <cell r="G103">
            <v>16352.18</v>
          </cell>
          <cell r="I103" t="str">
            <v>Tabela Masterchef 2025 - Valor unitário para Helena Rizzo / Valor unitário para Fogaça</v>
          </cell>
        </row>
        <row r="104">
          <cell r="A104" t="str">
            <v>MCHP1</v>
          </cell>
          <cell r="B104" t="str">
            <v>MASTERCHEF A PRÉVIA</v>
          </cell>
          <cell r="C104" t="str">
            <v>MCHP</v>
          </cell>
          <cell r="D104" t="str">
            <v xml:space="preserve"> Otaviano Costa</v>
          </cell>
          <cell r="F104">
            <v>0.2</v>
          </cell>
          <cell r="G104">
            <v>6000</v>
          </cell>
          <cell r="I104" t="str">
            <v>Otaviano Costa - 20% do líquido - por ação / Ação Especial valor sob consulta</v>
          </cell>
        </row>
        <row r="105">
          <cell r="A105" t="str">
            <v>DONO1</v>
          </cell>
          <cell r="B105" t="str">
            <v xml:space="preserve">OS DONOS DA BOLA </v>
          </cell>
          <cell r="C105" t="str">
            <v>DONO</v>
          </cell>
          <cell r="D105" t="str">
            <v xml:space="preserve"> José Ferreira (Neto)</v>
          </cell>
          <cell r="F105">
            <v>0.1</v>
          </cell>
          <cell r="G105">
            <v>2500</v>
          </cell>
          <cell r="I105" t="str">
            <v>Neto - 10% do líquido negociado - por ação / Ação Especial valor sob consulta</v>
          </cell>
        </row>
        <row r="106">
          <cell r="A106" t="str">
            <v>DONO2</v>
          </cell>
          <cell r="B106" t="str">
            <v>OS DONOS DA BOLA</v>
          </cell>
          <cell r="C106" t="str">
            <v>DONO</v>
          </cell>
          <cell r="D106" t="str">
            <v xml:space="preserve"> Wagner Fernando (Veloso)</v>
          </cell>
          <cell r="F106">
            <v>0.1</v>
          </cell>
          <cell r="G106">
            <v>2000</v>
          </cell>
          <cell r="I106" t="str">
            <v>Veloso - 10% do líquido negociado - por ação / Ação Especial valor sob consulta</v>
          </cell>
        </row>
        <row r="107">
          <cell r="A107" t="str">
            <v>DONO3</v>
          </cell>
          <cell r="B107" t="str">
            <v>OS DONOS DA BOLA</v>
          </cell>
          <cell r="C107" t="str">
            <v>DONO</v>
          </cell>
          <cell r="D107" t="str">
            <v xml:space="preserve"> Willamis de Souza Silva</v>
          </cell>
          <cell r="F107">
            <v>0.1</v>
          </cell>
          <cell r="G107">
            <v>2000</v>
          </cell>
          <cell r="I107" t="str">
            <v>Willamis - 10% do líquido - por ação / Ação Especial valor sob consulta</v>
          </cell>
        </row>
        <row r="108">
          <cell r="A108" t="str">
            <v>PER1</v>
          </cell>
          <cell r="B108" t="str">
            <v>PERRENGUE</v>
          </cell>
          <cell r="C108" t="str">
            <v>PER</v>
          </cell>
          <cell r="D108" t="str">
            <v xml:space="preserve"> Elenco</v>
          </cell>
          <cell r="F108">
            <v>0.15</v>
          </cell>
          <cell r="G108">
            <v>2000</v>
          </cell>
          <cell r="I108" t="str">
            <v>Tatola, Angêlo, Denis, Ricardo - 15% do líquido negociado - por ação / Ação Especial valor sob consulta</v>
          </cell>
        </row>
        <row r="109">
          <cell r="A109" t="str">
            <v>PECO1</v>
          </cell>
          <cell r="B109" t="str">
            <v>PESADELO NA COZINHA</v>
          </cell>
          <cell r="C109" t="str">
            <v>PECO</v>
          </cell>
          <cell r="D109" t="str">
            <v xml:space="preserve"> Erick Jacquin</v>
          </cell>
          <cell r="I109" t="str">
            <v>Tabela Pesadelo na Cozinha 2025 - Sob Consulta</v>
          </cell>
        </row>
        <row r="110">
          <cell r="A110" t="str">
            <v>JOAO1</v>
          </cell>
          <cell r="B110" t="str">
            <v>PROGRAMA DO JOÃO</v>
          </cell>
          <cell r="C110" t="str">
            <v>JOAO</v>
          </cell>
          <cell r="D110" t="str">
            <v xml:space="preserve"> João Guilherme</v>
          </cell>
          <cell r="F110">
            <v>0.2</v>
          </cell>
          <cell r="G110">
            <v>5000</v>
          </cell>
          <cell r="I110" t="str">
            <v>João Guilherme - 20% do líquido da mídia e mínimo de R$ 5.000,00 / Ação Especial valor sob consulta</v>
          </cell>
        </row>
        <row r="111">
          <cell r="A111" t="str">
            <v>SHOE1</v>
          </cell>
          <cell r="B111" t="str">
            <v>SHOW DO ESPORTE</v>
          </cell>
          <cell r="C111" t="str">
            <v>SHOE</v>
          </cell>
          <cell r="D111" t="str">
            <v xml:space="preserve"> Glenda dos Reis Kozlowski</v>
          </cell>
          <cell r="F111">
            <v>0.1</v>
          </cell>
          <cell r="G111">
            <v>4000</v>
          </cell>
          <cell r="I111" t="str">
            <v>Glenda Kozlowski - 10% do líquido negociado - por ação / Ação Especial valor sob consulta</v>
          </cell>
        </row>
        <row r="112">
          <cell r="A112" t="str">
            <v>SHOE2</v>
          </cell>
          <cell r="B112" t="str">
            <v>SHOW DO ESPORTE</v>
          </cell>
          <cell r="C112" t="str">
            <v>SHOE</v>
          </cell>
          <cell r="D112" t="str">
            <v xml:space="preserve"> José Elia Junior</v>
          </cell>
          <cell r="F112">
            <v>0.1</v>
          </cell>
          <cell r="G112">
            <v>4000</v>
          </cell>
          <cell r="I112" t="str">
            <v>Elia Junior - 10% do líquido negociado - por ação / Ação Especial valor sob consulta</v>
          </cell>
        </row>
        <row r="119">
          <cell r="B119" t="str">
            <v>EXIBIÇÕES</v>
          </cell>
        </row>
        <row r="120">
          <cell r="B120" t="str">
            <v>MÊS PADRÃO</v>
          </cell>
        </row>
        <row r="121">
          <cell r="B121" t="str">
            <v>JANEIRO</v>
          </cell>
        </row>
        <row r="122">
          <cell r="B122" t="str">
            <v>FEVEREIRO</v>
          </cell>
        </row>
        <row r="123">
          <cell r="B123" t="str">
            <v>MARÇO</v>
          </cell>
        </row>
        <row r="124">
          <cell r="B124" t="str">
            <v>ABRIL</v>
          </cell>
        </row>
        <row r="125">
          <cell r="B125" t="str">
            <v>MAIO</v>
          </cell>
        </row>
        <row r="126">
          <cell r="B126" t="str">
            <v>JUNHO</v>
          </cell>
        </row>
        <row r="127">
          <cell r="B127" t="str">
            <v>JULHO</v>
          </cell>
        </row>
        <row r="128">
          <cell r="B128" t="str">
            <v>AGOSTO</v>
          </cell>
        </row>
        <row r="129">
          <cell r="B129" t="str">
            <v>SETEMBRO</v>
          </cell>
        </row>
        <row r="130">
          <cell r="B130" t="str">
            <v>OUTUBRO</v>
          </cell>
        </row>
        <row r="131">
          <cell r="B131" t="str">
            <v>NOVEMBRO</v>
          </cell>
        </row>
        <row r="132">
          <cell r="B132" t="str">
            <v>DEZEMBRO</v>
          </cell>
        </row>
        <row r="241">
          <cell r="B241" t="str">
            <v>-</v>
          </cell>
        </row>
        <row r="242">
          <cell r="B242" t="str">
            <v>30"</v>
          </cell>
        </row>
        <row r="243">
          <cell r="B243" t="str">
            <v>5"</v>
          </cell>
        </row>
        <row r="244">
          <cell r="B244" t="str">
            <v>10"</v>
          </cell>
        </row>
        <row r="245">
          <cell r="B245" t="str">
            <v>15"</v>
          </cell>
        </row>
        <row r="246">
          <cell r="B246" t="str">
            <v>45"</v>
          </cell>
        </row>
        <row r="247">
          <cell r="B247" t="str">
            <v>60"</v>
          </cell>
        </row>
        <row r="248">
          <cell r="B248" t="str">
            <v>75"</v>
          </cell>
        </row>
        <row r="249">
          <cell r="B249" t="str">
            <v>90"</v>
          </cell>
        </row>
        <row r="250">
          <cell r="B250" t="str">
            <v>105"</v>
          </cell>
        </row>
        <row r="251">
          <cell r="B251" t="str">
            <v>120"</v>
          </cell>
        </row>
        <row r="252">
          <cell r="B252" t="str">
            <v>135"</v>
          </cell>
        </row>
        <row r="253">
          <cell r="B253" t="str">
            <v>150"</v>
          </cell>
        </row>
        <row r="254">
          <cell r="B254" t="str">
            <v>175"</v>
          </cell>
        </row>
        <row r="255">
          <cell r="B255" t="str">
            <v>180"</v>
          </cell>
        </row>
        <row r="256">
          <cell r="B256" t="str">
            <v>195"</v>
          </cell>
        </row>
        <row r="257">
          <cell r="B257" t="str">
            <v>210"</v>
          </cell>
        </row>
        <row r="258">
          <cell r="B258" t="str">
            <v>225"</v>
          </cell>
        </row>
        <row r="259">
          <cell r="B259" t="str">
            <v>240"</v>
          </cell>
        </row>
        <row r="260">
          <cell r="B260" t="str">
            <v>300"</v>
          </cell>
        </row>
      </sheetData>
      <sheetData sheetId="9">
        <row r="1">
          <cell r="C1" t="str">
            <v>Selecionar</v>
          </cell>
        </row>
      </sheetData>
      <sheetData sheetId="10">
        <row r="1">
          <cell r="A1" t="str">
            <v>CONCATENAR</v>
          </cell>
        </row>
      </sheetData>
      <sheetData sheetId="11">
        <row r="1">
          <cell r="B1">
            <v>0.1</v>
          </cell>
        </row>
      </sheetData>
      <sheetData sheetId="12" refreshError="1"/>
      <sheetData sheetId="13">
        <row r="1">
          <cell r="B1" t="str">
            <v>Selecionar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RAÇÃO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49205-5700-4E94-8C69-2261083F2724}">
  <dimension ref="A3:CS86"/>
  <sheetViews>
    <sheetView showGridLines="0" tabSelected="1" zoomScale="59" zoomScaleNormal="46" zoomScaleSheetLayoutView="45" workbookViewId="0">
      <pane xSplit="4" ySplit="11" topLeftCell="E33" activePane="bottomRight" state="frozen"/>
      <selection activeCell="BT14" sqref="BT14"/>
      <selection pane="topRight" activeCell="BT14" sqref="BT14"/>
      <selection pane="bottomLeft" activeCell="BT14" sqref="BT14"/>
      <selection pane="bottomRight" activeCell="CT1" sqref="CT1:DR1048576"/>
    </sheetView>
  </sheetViews>
  <sheetFormatPr defaultColWidth="8.875" defaultRowHeight="12.75" x14ac:dyDescent="0.2"/>
  <cols>
    <col min="1" max="1" width="4" style="15" customWidth="1"/>
    <col min="2" max="2" width="29.625" style="15" customWidth="1"/>
    <col min="3" max="3" width="26.375" style="15" customWidth="1"/>
    <col min="4" max="4" width="27.625" style="15" customWidth="1"/>
    <col min="5" max="5" width="20.625" style="15" bestFit="1" customWidth="1"/>
    <col min="6" max="6" width="17.375" style="15" customWidth="1"/>
    <col min="7" max="22" width="4.5" style="15" hidden="1" customWidth="1"/>
    <col min="23" max="24" width="5" style="15" hidden="1" customWidth="1"/>
    <col min="25" max="25" width="4.5" style="15" hidden="1" customWidth="1"/>
    <col min="26" max="32" width="4.5" style="15" customWidth="1"/>
    <col min="33" max="33" width="4.875" style="15" customWidth="1"/>
    <col min="34" max="53" width="4.5" style="15" customWidth="1"/>
    <col min="54" max="55" width="5" style="15" customWidth="1"/>
    <col min="56" max="63" width="4.5" style="15" customWidth="1"/>
    <col min="64" max="64" width="4.875" style="15" customWidth="1"/>
    <col min="65" max="84" width="4.5" style="15" customWidth="1"/>
    <col min="85" max="86" width="5" style="15" customWidth="1"/>
    <col min="87" max="94" width="4.5" style="15" customWidth="1"/>
    <col min="95" max="95" width="4.875" style="15" customWidth="1"/>
    <col min="96" max="96" width="4.5" style="15" customWidth="1"/>
    <col min="97" max="97" width="8.375" style="67" customWidth="1"/>
    <col min="98" max="16384" width="8.875" style="15"/>
  </cols>
  <sheetData>
    <row r="3" spans="1:97" x14ac:dyDescent="0.2">
      <c r="A3" s="1"/>
      <c r="B3" s="25"/>
      <c r="C3" s="25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6"/>
    </row>
    <row r="4" spans="1:97" x14ac:dyDescent="0.2">
      <c r="A4" s="1"/>
      <c r="B4" s="25"/>
      <c r="C4" s="2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6"/>
    </row>
    <row r="5" spans="1:97" x14ac:dyDescent="0.2">
      <c r="A5" s="1"/>
      <c r="B5" s="3" t="s">
        <v>0</v>
      </c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6"/>
    </row>
    <row r="6" spans="1:97" x14ac:dyDescent="0.2">
      <c r="A6" s="1"/>
      <c r="B6" s="4" t="s">
        <v>54</v>
      </c>
      <c r="C6" s="4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16"/>
    </row>
    <row r="7" spans="1:97" x14ac:dyDescent="0.2">
      <c r="A7" s="1"/>
      <c r="B7" s="26"/>
      <c r="C7" s="26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16"/>
    </row>
    <row r="8" spans="1:97" ht="15.6" customHeight="1" x14ac:dyDescent="0.2">
      <c r="A8" s="1"/>
      <c r="B8" s="27" t="s">
        <v>17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68"/>
    </row>
    <row r="9" spans="1:97" s="1" customFormat="1" ht="15.95" customHeight="1" x14ac:dyDescent="0.15">
      <c r="A9" s="5"/>
      <c r="B9" s="74" t="s">
        <v>1</v>
      </c>
      <c r="C9" s="74" t="s">
        <v>2</v>
      </c>
      <c r="D9" s="74" t="s">
        <v>45</v>
      </c>
      <c r="E9" s="73" t="s">
        <v>9</v>
      </c>
      <c r="F9" s="76" t="s">
        <v>19</v>
      </c>
      <c r="G9" s="71" t="s">
        <v>48</v>
      </c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2"/>
      <c r="AL9" s="71" t="s">
        <v>49</v>
      </c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1"/>
      <c r="BL9" s="71"/>
      <c r="BM9" s="71"/>
      <c r="BN9" s="71"/>
      <c r="BO9" s="71"/>
      <c r="BP9" s="72"/>
      <c r="BQ9" s="71" t="s">
        <v>50</v>
      </c>
      <c r="BR9" s="71"/>
      <c r="BS9" s="71"/>
      <c r="BT9" s="71"/>
      <c r="BU9" s="71"/>
      <c r="BV9" s="71"/>
      <c r="BW9" s="71"/>
      <c r="BX9" s="71"/>
      <c r="BY9" s="71"/>
      <c r="BZ9" s="71"/>
      <c r="CA9" s="71"/>
      <c r="CB9" s="71"/>
      <c r="CC9" s="71"/>
      <c r="CD9" s="71"/>
      <c r="CE9" s="71"/>
      <c r="CF9" s="71"/>
      <c r="CG9" s="71"/>
      <c r="CH9" s="71"/>
      <c r="CI9" s="71"/>
      <c r="CJ9" s="71"/>
      <c r="CK9" s="71"/>
      <c r="CL9" s="71"/>
      <c r="CM9" s="71"/>
      <c r="CN9" s="71"/>
      <c r="CO9" s="71"/>
      <c r="CP9" s="71"/>
      <c r="CQ9" s="71"/>
      <c r="CR9" s="71"/>
      <c r="CS9" s="77" t="s">
        <v>3</v>
      </c>
    </row>
    <row r="10" spans="1:97" s="1" customFormat="1" ht="15.95" customHeight="1" x14ac:dyDescent="0.15">
      <c r="A10" s="5"/>
      <c r="B10" s="74"/>
      <c r="C10" s="74"/>
      <c r="D10" s="74"/>
      <c r="E10" s="73"/>
      <c r="F10" s="76"/>
      <c r="G10" s="6" t="s">
        <v>8</v>
      </c>
      <c r="H10" s="6" t="s">
        <v>4</v>
      </c>
      <c r="I10" s="6" t="s">
        <v>5</v>
      </c>
      <c r="J10" s="6" t="s">
        <v>4</v>
      </c>
      <c r="K10" s="6" t="s">
        <v>6</v>
      </c>
      <c r="L10" s="7" t="s">
        <v>7</v>
      </c>
      <c r="M10" s="7" t="s">
        <v>7</v>
      </c>
      <c r="N10" s="6" t="s">
        <v>8</v>
      </c>
      <c r="O10" s="6" t="s">
        <v>4</v>
      </c>
      <c r="P10" s="6" t="s">
        <v>5</v>
      </c>
      <c r="Q10" s="6" t="s">
        <v>4</v>
      </c>
      <c r="R10" s="6" t="s">
        <v>6</v>
      </c>
      <c r="S10" s="7" t="s">
        <v>7</v>
      </c>
      <c r="T10" s="7" t="s">
        <v>7</v>
      </c>
      <c r="U10" s="6" t="s">
        <v>8</v>
      </c>
      <c r="V10" s="6" t="s">
        <v>4</v>
      </c>
      <c r="W10" s="6" t="s">
        <v>5</v>
      </c>
      <c r="X10" s="6" t="s">
        <v>4</v>
      </c>
      <c r="Y10" s="6" t="s">
        <v>6</v>
      </c>
      <c r="Z10" s="7" t="s">
        <v>7</v>
      </c>
      <c r="AA10" s="7" t="s">
        <v>7</v>
      </c>
      <c r="AB10" s="6" t="s">
        <v>8</v>
      </c>
      <c r="AC10" s="6" t="s">
        <v>4</v>
      </c>
      <c r="AD10" s="6" t="s">
        <v>5</v>
      </c>
      <c r="AE10" s="6" t="s">
        <v>4</v>
      </c>
      <c r="AF10" s="6" t="s">
        <v>6</v>
      </c>
      <c r="AG10" s="7" t="s">
        <v>7</v>
      </c>
      <c r="AH10" s="7" t="s">
        <v>7</v>
      </c>
      <c r="AI10" s="6" t="s">
        <v>8</v>
      </c>
      <c r="AJ10" s="6" t="s">
        <v>4</v>
      </c>
      <c r="AK10" s="6" t="s">
        <v>5</v>
      </c>
      <c r="AL10" s="6" t="s">
        <v>4</v>
      </c>
      <c r="AM10" s="6" t="s">
        <v>6</v>
      </c>
      <c r="AN10" s="7" t="s">
        <v>7</v>
      </c>
      <c r="AO10" s="7" t="s">
        <v>7</v>
      </c>
      <c r="AP10" s="6" t="s">
        <v>8</v>
      </c>
      <c r="AQ10" s="6" t="s">
        <v>4</v>
      </c>
      <c r="AR10" s="6" t="s">
        <v>5</v>
      </c>
      <c r="AS10" s="6" t="s">
        <v>4</v>
      </c>
      <c r="AT10" s="6" t="s">
        <v>6</v>
      </c>
      <c r="AU10" s="7" t="s">
        <v>7</v>
      </c>
      <c r="AV10" s="7" t="s">
        <v>7</v>
      </c>
      <c r="AW10" s="6" t="s">
        <v>8</v>
      </c>
      <c r="AX10" s="6" t="s">
        <v>4</v>
      </c>
      <c r="AY10" s="6" t="s">
        <v>5</v>
      </c>
      <c r="AZ10" s="6" t="s">
        <v>4</v>
      </c>
      <c r="BA10" s="6" t="s">
        <v>6</v>
      </c>
      <c r="BB10" s="7" t="s">
        <v>7</v>
      </c>
      <c r="BC10" s="7" t="s">
        <v>7</v>
      </c>
      <c r="BD10" s="6" t="s">
        <v>8</v>
      </c>
      <c r="BE10" s="6" t="s">
        <v>4</v>
      </c>
      <c r="BF10" s="6" t="s">
        <v>5</v>
      </c>
      <c r="BG10" s="6" t="s">
        <v>4</v>
      </c>
      <c r="BH10" s="6" t="s">
        <v>6</v>
      </c>
      <c r="BI10" s="7" t="s">
        <v>7</v>
      </c>
      <c r="BJ10" s="7" t="s">
        <v>7</v>
      </c>
      <c r="BK10" s="6" t="s">
        <v>8</v>
      </c>
      <c r="BL10" s="6" t="s">
        <v>4</v>
      </c>
      <c r="BM10" s="6" t="s">
        <v>5</v>
      </c>
      <c r="BN10" s="6" t="s">
        <v>4</v>
      </c>
      <c r="BO10" s="6" t="s">
        <v>6</v>
      </c>
      <c r="BP10" s="7" t="s">
        <v>7</v>
      </c>
      <c r="BQ10" s="7" t="s">
        <v>7</v>
      </c>
      <c r="BR10" s="6" t="s">
        <v>8</v>
      </c>
      <c r="BS10" s="6" t="s">
        <v>4</v>
      </c>
      <c r="BT10" s="6" t="s">
        <v>5</v>
      </c>
      <c r="BU10" s="6" t="s">
        <v>4</v>
      </c>
      <c r="BV10" s="6" t="s">
        <v>6</v>
      </c>
      <c r="BW10" s="7" t="s">
        <v>7</v>
      </c>
      <c r="BX10" s="7" t="s">
        <v>7</v>
      </c>
      <c r="BY10" s="6" t="s">
        <v>8</v>
      </c>
      <c r="BZ10" s="6" t="s">
        <v>4</v>
      </c>
      <c r="CA10" s="6" t="s">
        <v>5</v>
      </c>
      <c r="CB10" s="6" t="s">
        <v>4</v>
      </c>
      <c r="CC10" s="6" t="s">
        <v>6</v>
      </c>
      <c r="CD10" s="7" t="s">
        <v>7</v>
      </c>
      <c r="CE10" s="7" t="s">
        <v>7</v>
      </c>
      <c r="CF10" s="6" t="s">
        <v>8</v>
      </c>
      <c r="CG10" s="6" t="s">
        <v>4</v>
      </c>
      <c r="CH10" s="6" t="s">
        <v>5</v>
      </c>
      <c r="CI10" s="6" t="s">
        <v>4</v>
      </c>
      <c r="CJ10" s="6" t="s">
        <v>6</v>
      </c>
      <c r="CK10" s="7" t="s">
        <v>7</v>
      </c>
      <c r="CL10" s="7" t="s">
        <v>7</v>
      </c>
      <c r="CM10" s="6" t="s">
        <v>8</v>
      </c>
      <c r="CN10" s="6" t="s">
        <v>4</v>
      </c>
      <c r="CO10" s="6" t="s">
        <v>5</v>
      </c>
      <c r="CP10" s="6" t="s">
        <v>4</v>
      </c>
      <c r="CQ10" s="6" t="s">
        <v>6</v>
      </c>
      <c r="CR10" s="7" t="s">
        <v>7</v>
      </c>
      <c r="CS10" s="77"/>
    </row>
    <row r="11" spans="1:97" s="1" customFormat="1" ht="15.95" customHeight="1" x14ac:dyDescent="0.15">
      <c r="A11" s="5"/>
      <c r="B11" s="74"/>
      <c r="C11" s="74"/>
      <c r="D11" s="74"/>
      <c r="E11" s="73"/>
      <c r="F11" s="76"/>
      <c r="G11" s="6">
        <v>1</v>
      </c>
      <c r="H11" s="6">
        <v>2</v>
      </c>
      <c r="I11" s="6">
        <v>3</v>
      </c>
      <c r="J11" s="6">
        <v>4</v>
      </c>
      <c r="K11" s="6">
        <v>5</v>
      </c>
      <c r="L11" s="7">
        <v>6</v>
      </c>
      <c r="M11" s="7">
        <v>7</v>
      </c>
      <c r="N11" s="6">
        <v>8</v>
      </c>
      <c r="O11" s="6">
        <v>9</v>
      </c>
      <c r="P11" s="6">
        <v>10</v>
      </c>
      <c r="Q11" s="6">
        <v>11</v>
      </c>
      <c r="R11" s="6">
        <v>12</v>
      </c>
      <c r="S11" s="7">
        <v>13</v>
      </c>
      <c r="T11" s="7">
        <v>14</v>
      </c>
      <c r="U11" s="6">
        <v>15</v>
      </c>
      <c r="V11" s="6">
        <v>16</v>
      </c>
      <c r="W11" s="6">
        <v>17</v>
      </c>
      <c r="X11" s="6">
        <v>18</v>
      </c>
      <c r="Y11" s="6">
        <v>19</v>
      </c>
      <c r="Z11" s="7">
        <v>20</v>
      </c>
      <c r="AA11" s="7">
        <v>21</v>
      </c>
      <c r="AB11" s="6">
        <v>22</v>
      </c>
      <c r="AC11" s="6">
        <v>23</v>
      </c>
      <c r="AD11" s="6">
        <v>24</v>
      </c>
      <c r="AE11" s="7">
        <v>25</v>
      </c>
      <c r="AF11" s="6">
        <v>26</v>
      </c>
      <c r="AG11" s="7">
        <v>27</v>
      </c>
      <c r="AH11" s="7">
        <v>28</v>
      </c>
      <c r="AI11" s="6">
        <v>29</v>
      </c>
      <c r="AJ11" s="6">
        <v>30</v>
      </c>
      <c r="AK11" s="6">
        <v>31</v>
      </c>
      <c r="AL11" s="6">
        <v>1</v>
      </c>
      <c r="AM11" s="6">
        <v>2</v>
      </c>
      <c r="AN11" s="7">
        <v>3</v>
      </c>
      <c r="AO11" s="7">
        <v>4</v>
      </c>
      <c r="AP11" s="6">
        <v>5</v>
      </c>
      <c r="AQ11" s="6">
        <v>6</v>
      </c>
      <c r="AR11" s="6">
        <v>7</v>
      </c>
      <c r="AS11" s="6">
        <v>8</v>
      </c>
      <c r="AT11" s="6">
        <v>9</v>
      </c>
      <c r="AU11" s="7">
        <f>AT11+1</f>
        <v>10</v>
      </c>
      <c r="AV11" s="7">
        <f t="shared" ref="AV11:BP11" si="0">AU11+1</f>
        <v>11</v>
      </c>
      <c r="AW11" s="6">
        <f t="shared" si="0"/>
        <v>12</v>
      </c>
      <c r="AX11" s="6">
        <f t="shared" si="0"/>
        <v>13</v>
      </c>
      <c r="AY11" s="6">
        <f t="shared" si="0"/>
        <v>14</v>
      </c>
      <c r="AZ11" s="6">
        <f t="shared" si="0"/>
        <v>15</v>
      </c>
      <c r="BA11" s="6">
        <f t="shared" si="0"/>
        <v>16</v>
      </c>
      <c r="BB11" s="7">
        <f t="shared" si="0"/>
        <v>17</v>
      </c>
      <c r="BC11" s="7">
        <f t="shared" si="0"/>
        <v>18</v>
      </c>
      <c r="BD11" s="6">
        <f t="shared" si="0"/>
        <v>19</v>
      </c>
      <c r="BE11" s="6">
        <f t="shared" si="0"/>
        <v>20</v>
      </c>
      <c r="BF11" s="6">
        <f t="shared" si="0"/>
        <v>21</v>
      </c>
      <c r="BG11" s="6">
        <f t="shared" si="0"/>
        <v>22</v>
      </c>
      <c r="BH11" s="6">
        <f t="shared" si="0"/>
        <v>23</v>
      </c>
      <c r="BI11" s="7">
        <f t="shared" si="0"/>
        <v>24</v>
      </c>
      <c r="BJ11" s="7">
        <f t="shared" si="0"/>
        <v>25</v>
      </c>
      <c r="BK11" s="6">
        <f t="shared" si="0"/>
        <v>26</v>
      </c>
      <c r="BL11" s="6">
        <f t="shared" si="0"/>
        <v>27</v>
      </c>
      <c r="BM11" s="6">
        <f t="shared" si="0"/>
        <v>28</v>
      </c>
      <c r="BN11" s="6">
        <f t="shared" si="0"/>
        <v>29</v>
      </c>
      <c r="BO11" s="6">
        <f t="shared" si="0"/>
        <v>30</v>
      </c>
      <c r="BP11" s="7">
        <f t="shared" si="0"/>
        <v>31</v>
      </c>
      <c r="BQ11" s="7">
        <v>1</v>
      </c>
      <c r="BR11" s="6">
        <f>BQ11+1</f>
        <v>2</v>
      </c>
      <c r="BS11" s="6">
        <f t="shared" ref="BS11:CR11" si="1">BR11+1</f>
        <v>3</v>
      </c>
      <c r="BT11" s="6">
        <f t="shared" si="1"/>
        <v>4</v>
      </c>
      <c r="BU11" s="6">
        <f t="shared" si="1"/>
        <v>5</v>
      </c>
      <c r="BV11" s="6">
        <f t="shared" si="1"/>
        <v>6</v>
      </c>
      <c r="BW11" s="7">
        <f t="shared" si="1"/>
        <v>7</v>
      </c>
      <c r="BX11" s="7">
        <f t="shared" si="1"/>
        <v>8</v>
      </c>
      <c r="BY11" s="6">
        <f t="shared" si="1"/>
        <v>9</v>
      </c>
      <c r="BZ11" s="6">
        <f t="shared" si="1"/>
        <v>10</v>
      </c>
      <c r="CA11" s="6">
        <f t="shared" si="1"/>
        <v>11</v>
      </c>
      <c r="CB11" s="6">
        <f t="shared" si="1"/>
        <v>12</v>
      </c>
      <c r="CC11" s="6">
        <f t="shared" si="1"/>
        <v>13</v>
      </c>
      <c r="CD11" s="7">
        <f t="shared" si="1"/>
        <v>14</v>
      </c>
      <c r="CE11" s="7">
        <f t="shared" si="1"/>
        <v>15</v>
      </c>
      <c r="CF11" s="6">
        <f t="shared" si="1"/>
        <v>16</v>
      </c>
      <c r="CG11" s="6">
        <f t="shared" si="1"/>
        <v>17</v>
      </c>
      <c r="CH11" s="6">
        <f t="shared" si="1"/>
        <v>18</v>
      </c>
      <c r="CI11" s="6">
        <f t="shared" si="1"/>
        <v>19</v>
      </c>
      <c r="CJ11" s="6">
        <f t="shared" si="1"/>
        <v>20</v>
      </c>
      <c r="CK11" s="7">
        <f t="shared" si="1"/>
        <v>21</v>
      </c>
      <c r="CL11" s="7">
        <f t="shared" si="1"/>
        <v>22</v>
      </c>
      <c r="CM11" s="6">
        <f t="shared" si="1"/>
        <v>23</v>
      </c>
      <c r="CN11" s="6">
        <f t="shared" si="1"/>
        <v>24</v>
      </c>
      <c r="CO11" s="6">
        <f t="shared" si="1"/>
        <v>25</v>
      </c>
      <c r="CP11" s="6">
        <f t="shared" si="1"/>
        <v>26</v>
      </c>
      <c r="CQ11" s="6">
        <f t="shared" si="1"/>
        <v>27</v>
      </c>
      <c r="CR11" s="7">
        <f t="shared" si="1"/>
        <v>28</v>
      </c>
      <c r="CS11" s="77"/>
    </row>
    <row r="12" spans="1:97" ht="15.95" customHeight="1" x14ac:dyDescent="0.2">
      <c r="A12" s="5"/>
      <c r="B12" s="21"/>
      <c r="C12" s="21"/>
      <c r="D12" s="21"/>
      <c r="E12" s="28"/>
      <c r="F12" s="28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69"/>
    </row>
    <row r="13" spans="1:97" s="47" customFormat="1" ht="15.95" customHeight="1" x14ac:dyDescent="0.25">
      <c r="A13" s="19"/>
      <c r="B13" s="42"/>
      <c r="C13" s="43"/>
      <c r="D13" s="43"/>
      <c r="E13" s="44"/>
      <c r="F13" s="45"/>
      <c r="G13" s="22"/>
      <c r="H13" s="22"/>
      <c r="I13" s="22"/>
      <c r="J13" s="22"/>
      <c r="K13" s="22"/>
      <c r="L13" s="29"/>
      <c r="M13" s="29"/>
      <c r="N13" s="22"/>
      <c r="O13" s="22"/>
      <c r="P13" s="22"/>
      <c r="Q13" s="22"/>
      <c r="R13" s="22"/>
      <c r="S13" s="29"/>
      <c r="T13" s="29"/>
      <c r="U13" s="22"/>
      <c r="V13" s="22"/>
      <c r="W13" s="22"/>
      <c r="X13" s="22"/>
      <c r="Y13" s="22"/>
      <c r="Z13" s="29"/>
      <c r="AA13" s="29"/>
      <c r="AB13" s="22"/>
      <c r="AC13" s="22"/>
      <c r="AD13" s="22"/>
      <c r="AE13" s="22"/>
      <c r="AF13" s="22"/>
      <c r="AG13" s="29"/>
      <c r="AH13" s="29"/>
      <c r="AI13" s="22"/>
      <c r="AJ13" s="22"/>
      <c r="AK13" s="62"/>
      <c r="AL13" s="49"/>
      <c r="AM13" s="22"/>
      <c r="AN13" s="29"/>
      <c r="AO13" s="29"/>
      <c r="AP13" s="22"/>
      <c r="AQ13" s="22"/>
      <c r="AR13" s="22"/>
      <c r="AS13" s="22"/>
      <c r="AT13" s="22"/>
      <c r="AU13" s="29"/>
      <c r="AV13" s="29"/>
      <c r="AW13" s="22"/>
      <c r="AX13" s="22"/>
      <c r="AY13" s="22"/>
      <c r="AZ13" s="22"/>
      <c r="BA13" s="22"/>
      <c r="BB13" s="29"/>
      <c r="BC13" s="29"/>
      <c r="BD13" s="22"/>
      <c r="BE13" s="22"/>
      <c r="BF13" s="22"/>
      <c r="BG13" s="22"/>
      <c r="BH13" s="22"/>
      <c r="BI13" s="29"/>
      <c r="BJ13" s="29"/>
      <c r="BK13" s="22"/>
      <c r="BL13" s="22"/>
      <c r="BM13" s="22"/>
      <c r="BN13" s="22"/>
      <c r="BO13" s="22"/>
      <c r="BP13" s="63"/>
      <c r="BQ13" s="51"/>
      <c r="BR13" s="22"/>
      <c r="BS13" s="22"/>
      <c r="BT13" s="22"/>
      <c r="BU13" s="22"/>
      <c r="BV13" s="22"/>
      <c r="BW13" s="29"/>
      <c r="BX13" s="29"/>
      <c r="BY13" s="22"/>
      <c r="BZ13" s="22"/>
      <c r="CA13" s="22"/>
      <c r="CB13" s="22"/>
      <c r="CC13" s="22"/>
      <c r="CD13" s="29"/>
      <c r="CE13" s="29"/>
      <c r="CF13" s="22"/>
      <c r="CG13" s="22"/>
      <c r="CH13" s="22"/>
      <c r="CI13" s="22"/>
      <c r="CJ13" s="22"/>
      <c r="CK13" s="29"/>
      <c r="CL13" s="29"/>
      <c r="CM13" s="22"/>
      <c r="CN13" s="22"/>
      <c r="CO13" s="22"/>
      <c r="CP13" s="22"/>
      <c r="CQ13" s="22"/>
      <c r="CR13" s="29"/>
      <c r="CS13" s="30"/>
    </row>
    <row r="14" spans="1:97" ht="15.95" customHeight="1" x14ac:dyDescent="0.2">
      <c r="A14" s="5"/>
      <c r="B14" s="75" t="s">
        <v>21</v>
      </c>
      <c r="C14" s="31" t="s">
        <v>22</v>
      </c>
      <c r="D14" s="31" t="s">
        <v>18</v>
      </c>
      <c r="E14" s="12" t="s">
        <v>23</v>
      </c>
      <c r="F14" s="11" t="s">
        <v>16</v>
      </c>
      <c r="G14" s="22"/>
      <c r="H14" s="22"/>
      <c r="I14" s="22"/>
      <c r="J14" s="22"/>
      <c r="K14" s="22"/>
      <c r="L14" s="29"/>
      <c r="M14" s="29"/>
      <c r="N14" s="22"/>
      <c r="O14" s="22"/>
      <c r="P14" s="22"/>
      <c r="Q14" s="22"/>
      <c r="R14" s="22"/>
      <c r="S14" s="29"/>
      <c r="T14" s="29"/>
      <c r="U14" s="22"/>
      <c r="V14" s="22"/>
      <c r="W14" s="22"/>
      <c r="X14" s="22"/>
      <c r="Y14" s="22"/>
      <c r="Z14" s="29"/>
      <c r="AA14" s="29"/>
      <c r="AB14" s="22">
        <v>5</v>
      </c>
      <c r="AC14" s="22">
        <v>5</v>
      </c>
      <c r="AD14" s="22">
        <v>5</v>
      </c>
      <c r="AE14" s="22">
        <v>5</v>
      </c>
      <c r="AF14" s="22">
        <v>5</v>
      </c>
      <c r="AG14" s="10">
        <v>5</v>
      </c>
      <c r="AH14" s="10">
        <v>5</v>
      </c>
      <c r="AI14" s="9">
        <v>5</v>
      </c>
      <c r="AJ14" s="9">
        <v>5</v>
      </c>
      <c r="AK14" s="59">
        <v>5</v>
      </c>
      <c r="AL14" s="65">
        <v>5</v>
      </c>
      <c r="AM14" s="8">
        <v>5</v>
      </c>
      <c r="AN14" s="10">
        <v>5</v>
      </c>
      <c r="AO14" s="10">
        <v>5</v>
      </c>
      <c r="AP14" s="8">
        <v>5</v>
      </c>
      <c r="AQ14" s="9">
        <v>5</v>
      </c>
      <c r="AR14" s="9">
        <v>5</v>
      </c>
      <c r="AS14" s="9">
        <v>5</v>
      </c>
      <c r="AT14" s="8">
        <v>5</v>
      </c>
      <c r="AU14" s="10">
        <v>5</v>
      </c>
      <c r="AV14" s="10">
        <v>5</v>
      </c>
      <c r="AW14" s="8">
        <v>5</v>
      </c>
      <c r="AX14" s="9">
        <v>5</v>
      </c>
      <c r="AY14" s="9">
        <v>5</v>
      </c>
      <c r="AZ14" s="9">
        <v>5</v>
      </c>
      <c r="BA14" s="8">
        <v>5</v>
      </c>
      <c r="BB14" s="10">
        <v>5</v>
      </c>
      <c r="BC14" s="10">
        <v>5</v>
      </c>
      <c r="BD14" s="8">
        <v>5</v>
      </c>
      <c r="BE14" s="9">
        <v>5</v>
      </c>
      <c r="BF14" s="9">
        <v>5</v>
      </c>
      <c r="BG14" s="9">
        <v>5</v>
      </c>
      <c r="BH14" s="8">
        <v>5</v>
      </c>
      <c r="BI14" s="10">
        <v>5</v>
      </c>
      <c r="BJ14" s="10">
        <v>5</v>
      </c>
      <c r="BK14" s="8">
        <v>5</v>
      </c>
      <c r="BL14" s="9">
        <v>5</v>
      </c>
      <c r="BM14" s="9">
        <v>5</v>
      </c>
      <c r="BN14" s="9">
        <v>5</v>
      </c>
      <c r="BO14" s="8">
        <v>5</v>
      </c>
      <c r="BP14" s="58">
        <v>5</v>
      </c>
      <c r="BQ14" s="64">
        <v>5</v>
      </c>
      <c r="BR14" s="8">
        <v>5</v>
      </c>
      <c r="BS14" s="9">
        <v>5</v>
      </c>
      <c r="BT14" s="9">
        <v>5</v>
      </c>
      <c r="BU14" s="9">
        <v>5</v>
      </c>
      <c r="BV14" s="8">
        <v>5</v>
      </c>
      <c r="BW14" s="10">
        <v>5</v>
      </c>
      <c r="BX14" s="10">
        <v>5</v>
      </c>
      <c r="BY14" s="8">
        <v>5</v>
      </c>
      <c r="BZ14" s="9">
        <v>5</v>
      </c>
      <c r="CA14" s="9">
        <v>5</v>
      </c>
      <c r="CB14" s="9">
        <v>5</v>
      </c>
      <c r="CC14" s="8">
        <v>5</v>
      </c>
      <c r="CD14" s="10">
        <v>5</v>
      </c>
      <c r="CE14" s="10">
        <v>5</v>
      </c>
      <c r="CF14" s="8">
        <v>5</v>
      </c>
      <c r="CG14" s="9">
        <v>5</v>
      </c>
      <c r="CH14" s="9"/>
      <c r="CI14" s="9"/>
      <c r="CJ14" s="9"/>
      <c r="CK14" s="10"/>
      <c r="CL14" s="10"/>
      <c r="CM14" s="22"/>
      <c r="CN14" s="22"/>
      <c r="CO14" s="22"/>
      <c r="CP14" s="22"/>
      <c r="CQ14" s="22"/>
      <c r="CR14" s="29"/>
      <c r="CS14" s="32">
        <f>SUM(Z14:CR14)</f>
        <v>290</v>
      </c>
    </row>
    <row r="15" spans="1:97" ht="15.95" customHeight="1" x14ac:dyDescent="0.2">
      <c r="A15" s="5"/>
      <c r="B15" s="75"/>
      <c r="C15" s="37" t="s">
        <v>24</v>
      </c>
      <c r="D15" s="37"/>
      <c r="E15" s="12"/>
      <c r="F15" s="11"/>
      <c r="G15" s="22"/>
      <c r="H15" s="22"/>
      <c r="I15" s="22"/>
      <c r="J15" s="22"/>
      <c r="K15" s="22"/>
      <c r="L15" s="29"/>
      <c r="M15" s="29"/>
      <c r="N15" s="22"/>
      <c r="O15" s="22"/>
      <c r="P15" s="22"/>
      <c r="Q15" s="22"/>
      <c r="R15" s="22"/>
      <c r="S15" s="29"/>
      <c r="T15" s="29"/>
      <c r="U15" s="22"/>
      <c r="V15" s="22"/>
      <c r="W15" s="22"/>
      <c r="X15" s="22"/>
      <c r="Y15" s="22"/>
      <c r="Z15" s="29"/>
      <c r="AA15" s="29"/>
      <c r="AB15" s="22"/>
      <c r="AC15" s="22"/>
      <c r="AD15" s="22"/>
      <c r="AE15" s="22"/>
      <c r="AF15" s="22"/>
      <c r="AG15" s="29"/>
      <c r="AH15" s="29"/>
      <c r="AI15" s="22"/>
      <c r="AJ15" s="22"/>
      <c r="AK15" s="62"/>
      <c r="AL15" s="49"/>
      <c r="AM15" s="22"/>
      <c r="AN15" s="29"/>
      <c r="AO15" s="29"/>
      <c r="AP15" s="22"/>
      <c r="AQ15" s="22"/>
      <c r="AR15" s="22"/>
      <c r="AS15" s="22"/>
      <c r="AT15" s="22"/>
      <c r="AU15" s="29"/>
      <c r="AV15" s="29"/>
      <c r="AW15" s="22"/>
      <c r="AX15" s="22"/>
      <c r="AY15" s="22"/>
      <c r="AZ15" s="22"/>
      <c r="BA15" s="22"/>
      <c r="BB15" s="29"/>
      <c r="BC15" s="29"/>
      <c r="BD15" s="22"/>
      <c r="BE15" s="22"/>
      <c r="BF15" s="22"/>
      <c r="BG15" s="22"/>
      <c r="BH15" s="22"/>
      <c r="BI15" s="29"/>
      <c r="BJ15" s="29"/>
      <c r="BK15" s="22"/>
      <c r="BL15" s="22"/>
      <c r="BM15" s="22"/>
      <c r="BN15" s="22"/>
      <c r="BO15" s="22"/>
      <c r="BP15" s="63"/>
      <c r="BQ15" s="51"/>
      <c r="BR15" s="22"/>
      <c r="BS15" s="22"/>
      <c r="BT15" s="22"/>
      <c r="BU15" s="22"/>
      <c r="BV15" s="22"/>
      <c r="BW15" s="29"/>
      <c r="BX15" s="29"/>
      <c r="BY15" s="22"/>
      <c r="BZ15" s="22"/>
      <c r="CA15" s="22"/>
      <c r="CB15" s="22"/>
      <c r="CC15" s="22"/>
      <c r="CD15" s="29"/>
      <c r="CE15" s="29"/>
      <c r="CF15" s="22"/>
      <c r="CG15" s="22"/>
      <c r="CH15" s="22"/>
      <c r="CI15" s="22"/>
      <c r="CJ15" s="22"/>
      <c r="CK15" s="29"/>
      <c r="CL15" s="29"/>
      <c r="CM15" s="22"/>
      <c r="CN15" s="22"/>
      <c r="CO15" s="22"/>
      <c r="CP15" s="22"/>
      <c r="CQ15" s="22"/>
      <c r="CR15" s="29"/>
      <c r="CS15" s="40">
        <f>SUM(Z15:CR15)</f>
        <v>0</v>
      </c>
    </row>
    <row r="16" spans="1:97" ht="15.95" customHeight="1" x14ac:dyDescent="0.2">
      <c r="A16" s="5"/>
      <c r="B16" s="35"/>
      <c r="C16" s="12"/>
      <c r="D16" s="12"/>
      <c r="E16" s="12"/>
      <c r="F16" s="11"/>
      <c r="G16" s="22"/>
      <c r="H16" s="22"/>
      <c r="I16" s="22"/>
      <c r="J16" s="22"/>
      <c r="K16" s="22"/>
      <c r="L16" s="29"/>
      <c r="M16" s="29"/>
      <c r="N16" s="22"/>
      <c r="O16" s="22"/>
      <c r="P16" s="22"/>
      <c r="Q16" s="22"/>
      <c r="R16" s="22"/>
      <c r="S16" s="29"/>
      <c r="T16" s="29"/>
      <c r="U16" s="22"/>
      <c r="V16" s="22"/>
      <c r="W16" s="22"/>
      <c r="X16" s="22"/>
      <c r="Y16" s="22"/>
      <c r="Z16" s="29"/>
      <c r="AA16" s="29"/>
      <c r="AB16" s="22"/>
      <c r="AC16" s="22"/>
      <c r="AD16" s="22"/>
      <c r="AE16" s="22"/>
      <c r="AF16" s="22"/>
      <c r="AG16" s="29"/>
      <c r="AH16" s="29"/>
      <c r="AI16" s="22"/>
      <c r="AJ16" s="22"/>
      <c r="AK16" s="62"/>
      <c r="AL16" s="49"/>
      <c r="AM16" s="22"/>
      <c r="AN16" s="29"/>
      <c r="AO16" s="29"/>
      <c r="AP16" s="22"/>
      <c r="AQ16" s="22"/>
      <c r="AR16" s="22"/>
      <c r="AS16" s="22"/>
      <c r="AT16" s="22"/>
      <c r="AU16" s="29"/>
      <c r="AV16" s="29"/>
      <c r="AW16" s="22"/>
      <c r="AX16" s="22"/>
      <c r="AY16" s="22"/>
      <c r="AZ16" s="22"/>
      <c r="BA16" s="22"/>
      <c r="BB16" s="29"/>
      <c r="BC16" s="29"/>
      <c r="BD16" s="22"/>
      <c r="BE16" s="22"/>
      <c r="BF16" s="22"/>
      <c r="BG16" s="22"/>
      <c r="BH16" s="22"/>
      <c r="BI16" s="29"/>
      <c r="BJ16" s="29"/>
      <c r="BK16" s="22"/>
      <c r="BL16" s="22"/>
      <c r="BM16" s="22"/>
      <c r="BN16" s="22"/>
      <c r="BO16" s="22"/>
      <c r="BP16" s="63"/>
      <c r="BQ16" s="51"/>
      <c r="BR16" s="22"/>
      <c r="BS16" s="22"/>
      <c r="BT16" s="22"/>
      <c r="BU16" s="22"/>
      <c r="BV16" s="22"/>
      <c r="BW16" s="29"/>
      <c r="BX16" s="29"/>
      <c r="BY16" s="22"/>
      <c r="BZ16" s="22"/>
      <c r="CA16" s="22"/>
      <c r="CB16" s="22"/>
      <c r="CC16" s="22"/>
      <c r="CD16" s="29"/>
      <c r="CE16" s="29"/>
      <c r="CF16" s="22"/>
      <c r="CG16" s="22"/>
      <c r="CH16" s="22"/>
      <c r="CI16" s="22"/>
      <c r="CJ16" s="22"/>
      <c r="CK16" s="29"/>
      <c r="CL16" s="29"/>
      <c r="CM16" s="22"/>
      <c r="CN16" s="22"/>
      <c r="CO16" s="22"/>
      <c r="CP16" s="22"/>
      <c r="CQ16" s="22"/>
      <c r="CR16" s="29"/>
      <c r="CS16" s="30"/>
    </row>
    <row r="17" spans="1:97" s="47" customFormat="1" ht="15.95" customHeight="1" x14ac:dyDescent="0.25">
      <c r="A17" s="19"/>
      <c r="B17" s="35"/>
      <c r="C17" s="31" t="s">
        <v>25</v>
      </c>
      <c r="D17" s="31" t="s">
        <v>18</v>
      </c>
      <c r="E17" s="12" t="s">
        <v>23</v>
      </c>
      <c r="F17" s="11" t="s">
        <v>16</v>
      </c>
      <c r="G17" s="22"/>
      <c r="H17" s="22"/>
      <c r="I17" s="22"/>
      <c r="J17" s="22"/>
      <c r="K17" s="22"/>
      <c r="L17" s="29"/>
      <c r="M17" s="29"/>
      <c r="N17" s="22"/>
      <c r="O17" s="22"/>
      <c r="P17" s="22"/>
      <c r="Q17" s="22"/>
      <c r="R17" s="22"/>
      <c r="S17" s="29"/>
      <c r="T17" s="29"/>
      <c r="U17" s="22"/>
      <c r="V17" s="22"/>
      <c r="W17" s="22"/>
      <c r="X17" s="22"/>
      <c r="Y17" s="22"/>
      <c r="Z17" s="29"/>
      <c r="AA17" s="29"/>
      <c r="AB17" s="22">
        <v>4</v>
      </c>
      <c r="AC17" s="22">
        <v>4</v>
      </c>
      <c r="AD17" s="22">
        <v>4</v>
      </c>
      <c r="AE17" s="22">
        <v>4</v>
      </c>
      <c r="AF17" s="22">
        <v>4</v>
      </c>
      <c r="AG17" s="29">
        <v>4</v>
      </c>
      <c r="AH17" s="29">
        <v>4</v>
      </c>
      <c r="AI17" s="22">
        <v>4</v>
      </c>
      <c r="AJ17" s="22">
        <v>4</v>
      </c>
      <c r="AK17" s="62">
        <v>4</v>
      </c>
      <c r="AL17" s="49">
        <v>4</v>
      </c>
      <c r="AM17" s="22">
        <v>4</v>
      </c>
      <c r="AN17" s="29">
        <v>4</v>
      </c>
      <c r="AO17" s="29">
        <v>4</v>
      </c>
      <c r="AP17" s="22">
        <v>4</v>
      </c>
      <c r="AQ17" s="22">
        <v>4</v>
      </c>
      <c r="AR17" s="22">
        <v>4</v>
      </c>
      <c r="AS17" s="22">
        <v>4</v>
      </c>
      <c r="AT17" s="22">
        <v>4</v>
      </c>
      <c r="AU17" s="29">
        <v>4</v>
      </c>
      <c r="AV17" s="29">
        <v>4</v>
      </c>
      <c r="AW17" s="22">
        <v>4</v>
      </c>
      <c r="AX17" s="22">
        <v>4</v>
      </c>
      <c r="AY17" s="22">
        <v>4</v>
      </c>
      <c r="AZ17" s="22">
        <v>4</v>
      </c>
      <c r="BA17" s="22">
        <v>4</v>
      </c>
      <c r="BB17" s="29">
        <v>4</v>
      </c>
      <c r="BC17" s="29">
        <v>4</v>
      </c>
      <c r="BD17" s="22">
        <v>4</v>
      </c>
      <c r="BE17" s="22">
        <v>4</v>
      </c>
      <c r="BF17" s="22">
        <v>4</v>
      </c>
      <c r="BG17" s="22">
        <v>4</v>
      </c>
      <c r="BH17" s="22">
        <v>4</v>
      </c>
      <c r="BI17" s="29">
        <v>4</v>
      </c>
      <c r="BJ17" s="29">
        <v>4</v>
      </c>
      <c r="BK17" s="22">
        <v>4</v>
      </c>
      <c r="BL17" s="22">
        <v>4</v>
      </c>
      <c r="BM17" s="22">
        <v>4</v>
      </c>
      <c r="BN17" s="22">
        <v>4</v>
      </c>
      <c r="BO17" s="22">
        <v>4</v>
      </c>
      <c r="BP17" s="63">
        <v>4</v>
      </c>
      <c r="BQ17" s="51">
        <v>4</v>
      </c>
      <c r="BR17" s="22">
        <v>4</v>
      </c>
      <c r="BS17" s="22">
        <v>4</v>
      </c>
      <c r="BT17" s="22">
        <v>4</v>
      </c>
      <c r="BU17" s="22">
        <v>4</v>
      </c>
      <c r="BV17" s="22">
        <v>4</v>
      </c>
      <c r="BW17" s="29">
        <v>4</v>
      </c>
      <c r="BX17" s="29">
        <v>4</v>
      </c>
      <c r="BY17" s="22">
        <v>4</v>
      </c>
      <c r="BZ17" s="22">
        <v>4</v>
      </c>
      <c r="CA17" s="22">
        <v>4</v>
      </c>
      <c r="CB17" s="22">
        <v>4</v>
      </c>
      <c r="CC17" s="22">
        <v>4</v>
      </c>
      <c r="CD17" s="29">
        <v>4</v>
      </c>
      <c r="CE17" s="29">
        <v>4</v>
      </c>
      <c r="CF17" s="22">
        <v>4</v>
      </c>
      <c r="CG17" s="22">
        <v>4</v>
      </c>
      <c r="CH17" s="22">
        <v>4</v>
      </c>
      <c r="CI17" s="22">
        <v>4</v>
      </c>
      <c r="CJ17" s="22">
        <v>4</v>
      </c>
      <c r="CK17" s="29">
        <v>4</v>
      </c>
      <c r="CL17" s="29"/>
      <c r="CM17" s="22"/>
      <c r="CN17" s="22"/>
      <c r="CO17" s="22"/>
      <c r="CP17" s="22"/>
      <c r="CQ17" s="22"/>
      <c r="CR17" s="29"/>
      <c r="CS17" s="32">
        <f>SUM(Z17:CR17)</f>
        <v>248</v>
      </c>
    </row>
    <row r="18" spans="1:97" ht="15.95" customHeight="1" x14ac:dyDescent="0.2">
      <c r="A18" s="5"/>
      <c r="B18" s="35"/>
      <c r="C18" s="37" t="s">
        <v>26</v>
      </c>
      <c r="D18" s="37"/>
      <c r="E18" s="12"/>
      <c r="F18" s="11"/>
      <c r="G18" s="22"/>
      <c r="H18" s="22"/>
      <c r="I18" s="22"/>
      <c r="J18" s="22"/>
      <c r="K18" s="22"/>
      <c r="L18" s="29"/>
      <c r="M18" s="29"/>
      <c r="N18" s="22"/>
      <c r="O18" s="22"/>
      <c r="P18" s="22"/>
      <c r="Q18" s="22"/>
      <c r="R18" s="22"/>
      <c r="S18" s="29"/>
      <c r="T18" s="29"/>
      <c r="U18" s="22"/>
      <c r="V18" s="22"/>
      <c r="W18" s="22"/>
      <c r="X18" s="22"/>
      <c r="Y18" s="22"/>
      <c r="Z18" s="29"/>
      <c r="AA18" s="29"/>
      <c r="AB18" s="22"/>
      <c r="AC18" s="22"/>
      <c r="AD18" s="22"/>
      <c r="AE18" s="22"/>
      <c r="AF18" s="22"/>
      <c r="AG18" s="29"/>
      <c r="AH18" s="29"/>
      <c r="AI18" s="22"/>
      <c r="AJ18" s="22"/>
      <c r="AK18" s="62"/>
      <c r="AL18" s="49"/>
      <c r="AM18" s="22"/>
      <c r="AN18" s="29"/>
      <c r="AO18" s="29"/>
      <c r="AP18" s="22"/>
      <c r="AQ18" s="22"/>
      <c r="AR18" s="22"/>
      <c r="AS18" s="22"/>
      <c r="AT18" s="22"/>
      <c r="AU18" s="29"/>
      <c r="AV18" s="29"/>
      <c r="AW18" s="22"/>
      <c r="AX18" s="22"/>
      <c r="AY18" s="22"/>
      <c r="AZ18" s="22"/>
      <c r="BA18" s="22"/>
      <c r="BB18" s="29"/>
      <c r="BC18" s="29"/>
      <c r="BD18" s="22"/>
      <c r="BE18" s="22"/>
      <c r="BF18" s="22"/>
      <c r="BG18" s="22"/>
      <c r="BH18" s="22"/>
      <c r="BI18" s="29"/>
      <c r="BJ18" s="29"/>
      <c r="BK18" s="22"/>
      <c r="BL18" s="22"/>
      <c r="BM18" s="22"/>
      <c r="BN18" s="22"/>
      <c r="BO18" s="22"/>
      <c r="BP18" s="63"/>
      <c r="BQ18" s="51"/>
      <c r="BR18" s="22"/>
      <c r="BS18" s="22"/>
      <c r="BT18" s="22"/>
      <c r="BU18" s="22"/>
      <c r="BV18" s="22"/>
      <c r="BW18" s="29"/>
      <c r="BX18" s="29"/>
      <c r="BY18" s="22"/>
      <c r="BZ18" s="22"/>
      <c r="CA18" s="22"/>
      <c r="CB18" s="22"/>
      <c r="CC18" s="22"/>
      <c r="CD18" s="29"/>
      <c r="CE18" s="29"/>
      <c r="CF18" s="22"/>
      <c r="CG18" s="22"/>
      <c r="CH18" s="22"/>
      <c r="CI18" s="22"/>
      <c r="CJ18" s="22"/>
      <c r="CK18" s="29"/>
      <c r="CL18" s="29"/>
      <c r="CM18" s="22"/>
      <c r="CN18" s="22"/>
      <c r="CO18" s="22"/>
      <c r="CP18" s="22"/>
      <c r="CQ18" s="22"/>
      <c r="CR18" s="29"/>
      <c r="CS18" s="40">
        <f>SUM(Z18:CR18)</f>
        <v>0</v>
      </c>
    </row>
    <row r="19" spans="1:97" ht="15.95" customHeight="1" x14ac:dyDescent="0.2">
      <c r="A19" s="5"/>
      <c r="B19" s="35"/>
      <c r="C19" s="12"/>
      <c r="D19" s="12"/>
      <c r="E19" s="12"/>
      <c r="F19" s="11"/>
      <c r="G19" s="22"/>
      <c r="H19" s="22"/>
      <c r="I19" s="22"/>
      <c r="J19" s="22"/>
      <c r="K19" s="22"/>
      <c r="L19" s="29"/>
      <c r="M19" s="29"/>
      <c r="N19" s="22"/>
      <c r="O19" s="22"/>
      <c r="P19" s="22"/>
      <c r="Q19" s="22"/>
      <c r="R19" s="22"/>
      <c r="S19" s="29"/>
      <c r="T19" s="29"/>
      <c r="U19" s="22"/>
      <c r="V19" s="22"/>
      <c r="W19" s="22"/>
      <c r="X19" s="22"/>
      <c r="Y19" s="22"/>
      <c r="Z19" s="29"/>
      <c r="AA19" s="29"/>
      <c r="AB19" s="22"/>
      <c r="AC19" s="22"/>
      <c r="AD19" s="22"/>
      <c r="AE19" s="22"/>
      <c r="AF19" s="22"/>
      <c r="AG19" s="29"/>
      <c r="AH19" s="29"/>
      <c r="AI19" s="22"/>
      <c r="AJ19" s="22"/>
      <c r="AK19" s="62"/>
      <c r="AL19" s="49"/>
      <c r="AM19" s="22"/>
      <c r="AN19" s="29"/>
      <c r="AO19" s="29"/>
      <c r="AP19" s="22"/>
      <c r="AQ19" s="22"/>
      <c r="AR19" s="22"/>
      <c r="AS19" s="22"/>
      <c r="AT19" s="22"/>
      <c r="AU19" s="29"/>
      <c r="AV19" s="29"/>
      <c r="AW19" s="22"/>
      <c r="AX19" s="22"/>
      <c r="AY19" s="22"/>
      <c r="AZ19" s="22"/>
      <c r="BA19" s="22"/>
      <c r="BB19" s="29"/>
      <c r="BC19" s="29"/>
      <c r="BD19" s="22"/>
      <c r="BE19" s="22"/>
      <c r="BF19" s="22"/>
      <c r="BG19" s="22"/>
      <c r="BH19" s="22"/>
      <c r="BI19" s="29"/>
      <c r="BJ19" s="29"/>
      <c r="BK19" s="22"/>
      <c r="BL19" s="22"/>
      <c r="BM19" s="22"/>
      <c r="BN19" s="22"/>
      <c r="BO19" s="22"/>
      <c r="BP19" s="63"/>
      <c r="BQ19" s="51"/>
      <c r="BR19" s="22"/>
      <c r="BS19" s="22"/>
      <c r="BT19" s="22"/>
      <c r="BU19" s="22"/>
      <c r="BV19" s="22"/>
      <c r="BW19" s="29"/>
      <c r="BX19" s="29"/>
      <c r="BY19" s="22"/>
      <c r="BZ19" s="22"/>
      <c r="CA19" s="22"/>
      <c r="CB19" s="22"/>
      <c r="CC19" s="22"/>
      <c r="CD19" s="29"/>
      <c r="CE19" s="29"/>
      <c r="CF19" s="22"/>
      <c r="CG19" s="22"/>
      <c r="CH19" s="22"/>
      <c r="CI19" s="22"/>
      <c r="CJ19" s="22"/>
      <c r="CK19" s="29"/>
      <c r="CL19" s="29"/>
      <c r="CM19" s="22"/>
      <c r="CN19" s="22"/>
      <c r="CO19" s="22"/>
      <c r="CP19" s="22"/>
      <c r="CQ19" s="22"/>
      <c r="CR19" s="29"/>
      <c r="CS19" s="30"/>
    </row>
    <row r="20" spans="1:97" ht="15.95" customHeight="1" x14ac:dyDescent="0.2">
      <c r="A20" s="5"/>
      <c r="B20" s="35"/>
      <c r="C20" s="31" t="s">
        <v>10</v>
      </c>
      <c r="D20" s="31" t="s">
        <v>18</v>
      </c>
      <c r="E20" s="12" t="s">
        <v>23</v>
      </c>
      <c r="F20" s="11" t="s">
        <v>16</v>
      </c>
      <c r="G20" s="22"/>
      <c r="H20" s="22"/>
      <c r="I20" s="22"/>
      <c r="J20" s="22"/>
      <c r="K20" s="22"/>
      <c r="L20" s="29"/>
      <c r="M20" s="29"/>
      <c r="N20" s="22"/>
      <c r="O20" s="22"/>
      <c r="P20" s="22"/>
      <c r="Q20" s="22"/>
      <c r="R20" s="22"/>
      <c r="S20" s="29"/>
      <c r="T20" s="29"/>
      <c r="U20" s="22"/>
      <c r="V20" s="22"/>
      <c r="W20" s="22"/>
      <c r="X20" s="22"/>
      <c r="Y20" s="22"/>
      <c r="Z20" s="29"/>
      <c r="AA20" s="29"/>
      <c r="AB20" s="22"/>
      <c r="AC20" s="22"/>
      <c r="AD20" s="22"/>
      <c r="AE20" s="22"/>
      <c r="AF20" s="22"/>
      <c r="AG20" s="29"/>
      <c r="AH20" s="29"/>
      <c r="AI20" s="22"/>
      <c r="AJ20" s="22"/>
      <c r="AK20" s="62"/>
      <c r="AL20" s="65"/>
      <c r="AM20" s="9"/>
      <c r="AN20" s="10"/>
      <c r="AO20" s="10"/>
      <c r="AP20" s="8"/>
      <c r="AQ20" s="9"/>
      <c r="AR20" s="9"/>
      <c r="AS20" s="9"/>
      <c r="AT20" s="8"/>
      <c r="AU20" s="10"/>
      <c r="AV20" s="10"/>
      <c r="AW20" s="8"/>
      <c r="AX20" s="9"/>
      <c r="AY20" s="9"/>
      <c r="AZ20" s="9"/>
      <c r="BA20" s="8"/>
      <c r="BB20" s="10"/>
      <c r="BC20" s="10"/>
      <c r="BD20" s="8"/>
      <c r="BE20" s="9"/>
      <c r="BF20" s="9"/>
      <c r="BG20" s="9"/>
      <c r="BH20" s="8"/>
      <c r="BI20" s="10"/>
      <c r="BJ20" s="10"/>
      <c r="BK20" s="8"/>
      <c r="BL20" s="9"/>
      <c r="BM20" s="9"/>
      <c r="BN20" s="9"/>
      <c r="BO20" s="8"/>
      <c r="BP20" s="63"/>
      <c r="BQ20" s="51"/>
      <c r="BR20" s="22"/>
      <c r="BS20" s="22"/>
      <c r="BT20" s="22"/>
      <c r="BU20" s="22"/>
      <c r="BV20" s="22"/>
      <c r="BW20" s="29"/>
      <c r="BX20" s="29"/>
      <c r="BY20" s="22"/>
      <c r="BZ20" s="22"/>
      <c r="CA20" s="22"/>
      <c r="CB20" s="22"/>
      <c r="CC20" s="22"/>
      <c r="CD20" s="29"/>
      <c r="CE20" s="29"/>
      <c r="CF20" s="22"/>
      <c r="CG20" s="22"/>
      <c r="CH20" s="22"/>
      <c r="CI20" s="22"/>
      <c r="CJ20" s="22"/>
      <c r="CK20" s="29"/>
      <c r="CL20" s="29"/>
      <c r="CM20" s="22"/>
      <c r="CN20" s="22"/>
      <c r="CO20" s="22"/>
      <c r="CP20" s="22"/>
      <c r="CQ20" s="22"/>
      <c r="CR20" s="29"/>
      <c r="CS20" s="41">
        <f t="shared" ref="CS20:CS21" si="2">SUM(Z20:CR20)</f>
        <v>0</v>
      </c>
    </row>
    <row r="21" spans="1:97" ht="15.95" customHeight="1" x14ac:dyDescent="0.2">
      <c r="A21" s="5"/>
      <c r="B21" s="35"/>
      <c r="C21" s="37" t="s">
        <v>27</v>
      </c>
      <c r="D21" s="37"/>
      <c r="E21" s="12"/>
      <c r="F21" s="11"/>
      <c r="G21" s="22"/>
      <c r="H21" s="22"/>
      <c r="I21" s="22"/>
      <c r="J21" s="22"/>
      <c r="K21" s="22"/>
      <c r="L21" s="29"/>
      <c r="M21" s="29"/>
      <c r="N21" s="22"/>
      <c r="O21" s="22"/>
      <c r="P21" s="22"/>
      <c r="Q21" s="22"/>
      <c r="R21" s="22"/>
      <c r="S21" s="29"/>
      <c r="T21" s="29"/>
      <c r="U21" s="22"/>
      <c r="V21" s="22"/>
      <c r="W21" s="22"/>
      <c r="X21" s="22"/>
      <c r="Y21" s="22"/>
      <c r="Z21" s="29"/>
      <c r="AA21" s="29"/>
      <c r="AB21" s="9">
        <v>3</v>
      </c>
      <c r="AC21" s="9">
        <v>3</v>
      </c>
      <c r="AD21" s="8">
        <v>3</v>
      </c>
      <c r="AE21" s="10">
        <v>3</v>
      </c>
      <c r="AF21" s="10">
        <v>3</v>
      </c>
      <c r="AG21" s="8">
        <v>3</v>
      </c>
      <c r="AH21" s="9">
        <v>3</v>
      </c>
      <c r="AI21" s="9">
        <v>3</v>
      </c>
      <c r="AJ21" s="9">
        <v>3</v>
      </c>
      <c r="AK21" s="8">
        <v>3</v>
      </c>
      <c r="AL21" s="65">
        <v>4</v>
      </c>
      <c r="AM21" s="9">
        <v>4</v>
      </c>
      <c r="AN21" s="10">
        <v>4</v>
      </c>
      <c r="AO21" s="10">
        <v>4</v>
      </c>
      <c r="AP21" s="8">
        <v>4</v>
      </c>
      <c r="AQ21" s="9">
        <v>4</v>
      </c>
      <c r="AR21" s="9">
        <v>4</v>
      </c>
      <c r="AS21" s="9">
        <v>4</v>
      </c>
      <c r="AT21" s="8">
        <v>4</v>
      </c>
      <c r="AU21" s="10">
        <v>4</v>
      </c>
      <c r="AV21" s="10">
        <v>3</v>
      </c>
      <c r="AW21" s="8">
        <v>3</v>
      </c>
      <c r="AX21" s="9">
        <v>3</v>
      </c>
      <c r="AY21" s="9">
        <v>3</v>
      </c>
      <c r="AZ21" s="9">
        <v>3</v>
      </c>
      <c r="BA21" s="8">
        <v>3</v>
      </c>
      <c r="BB21" s="10">
        <v>3</v>
      </c>
      <c r="BC21" s="10">
        <v>3</v>
      </c>
      <c r="BD21" s="8">
        <v>3</v>
      </c>
      <c r="BE21" s="9">
        <v>3</v>
      </c>
      <c r="BF21" s="9"/>
      <c r="BG21" s="9"/>
      <c r="BH21" s="8"/>
      <c r="BI21" s="10"/>
      <c r="BJ21" s="10"/>
      <c r="BK21" s="8"/>
      <c r="BL21" s="9"/>
      <c r="BM21" s="9"/>
      <c r="BN21" s="9"/>
      <c r="BO21" s="8"/>
      <c r="BP21" s="63"/>
      <c r="BQ21" s="51"/>
      <c r="BR21" s="22"/>
      <c r="BS21" s="22"/>
      <c r="BT21" s="22"/>
      <c r="BU21" s="22"/>
      <c r="BV21" s="22"/>
      <c r="BW21" s="29"/>
      <c r="BX21" s="29"/>
      <c r="BY21" s="22"/>
      <c r="BZ21" s="22"/>
      <c r="CA21" s="22"/>
      <c r="CB21" s="22"/>
      <c r="CC21" s="22"/>
      <c r="CD21" s="29"/>
      <c r="CE21" s="29"/>
      <c r="CF21" s="22"/>
      <c r="CG21" s="22"/>
      <c r="CH21" s="22"/>
      <c r="CI21" s="22"/>
      <c r="CJ21" s="22"/>
      <c r="CK21" s="29"/>
      <c r="CL21" s="29"/>
      <c r="CM21" s="22"/>
      <c r="CN21" s="22"/>
      <c r="CO21" s="22"/>
      <c r="CP21" s="22"/>
      <c r="CQ21" s="22"/>
      <c r="CR21" s="29"/>
      <c r="CS21" s="40">
        <f t="shared" si="2"/>
        <v>100</v>
      </c>
    </row>
    <row r="22" spans="1:97" ht="15.95" customHeight="1" x14ac:dyDescent="0.2">
      <c r="A22" s="5"/>
      <c r="B22" s="35"/>
      <c r="C22" s="12"/>
      <c r="D22" s="12"/>
      <c r="E22" s="12"/>
      <c r="F22" s="11"/>
      <c r="G22" s="22"/>
      <c r="H22" s="22"/>
      <c r="I22" s="22"/>
      <c r="J22" s="22"/>
      <c r="K22" s="22"/>
      <c r="L22" s="29"/>
      <c r="M22" s="29"/>
      <c r="N22" s="22"/>
      <c r="O22" s="22"/>
      <c r="P22" s="22"/>
      <c r="Q22" s="22"/>
      <c r="R22" s="22"/>
      <c r="S22" s="29"/>
      <c r="T22" s="29"/>
      <c r="U22" s="22"/>
      <c r="V22" s="22"/>
      <c r="W22" s="22"/>
      <c r="X22" s="22"/>
      <c r="Y22" s="22"/>
      <c r="Z22" s="29"/>
      <c r="AA22" s="29"/>
      <c r="AB22" s="22"/>
      <c r="AC22" s="22"/>
      <c r="AD22" s="22"/>
      <c r="AE22" s="22"/>
      <c r="AF22" s="22"/>
      <c r="AG22" s="29"/>
      <c r="AH22" s="29"/>
      <c r="AI22" s="22"/>
      <c r="AJ22" s="22"/>
      <c r="AK22" s="62"/>
      <c r="AL22" s="49"/>
      <c r="AM22" s="22"/>
      <c r="AN22" s="29"/>
      <c r="AO22" s="29"/>
      <c r="AP22" s="22"/>
      <c r="AQ22" s="22"/>
      <c r="AR22" s="22"/>
      <c r="AS22" s="22"/>
      <c r="AT22" s="22"/>
      <c r="AU22" s="29"/>
      <c r="AV22" s="29"/>
      <c r="AW22" s="22"/>
      <c r="AX22" s="22"/>
      <c r="AY22" s="22"/>
      <c r="AZ22" s="22"/>
      <c r="BA22" s="22"/>
      <c r="BB22" s="29"/>
      <c r="BC22" s="29"/>
      <c r="BD22" s="22"/>
      <c r="BE22" s="22"/>
      <c r="BF22" s="22"/>
      <c r="BG22" s="22"/>
      <c r="BH22" s="22"/>
      <c r="BI22" s="29"/>
      <c r="BJ22" s="29"/>
      <c r="BK22" s="22"/>
      <c r="BL22" s="22"/>
      <c r="BM22" s="22"/>
      <c r="BN22" s="22"/>
      <c r="BO22" s="22"/>
      <c r="BP22" s="63"/>
      <c r="BQ22" s="51"/>
      <c r="BR22" s="22"/>
      <c r="BS22" s="22"/>
      <c r="BT22" s="22"/>
      <c r="BU22" s="22"/>
      <c r="BV22" s="22"/>
      <c r="BW22" s="29"/>
      <c r="BX22" s="29"/>
      <c r="BY22" s="22"/>
      <c r="BZ22" s="22"/>
      <c r="CA22" s="22"/>
      <c r="CB22" s="22"/>
      <c r="CC22" s="22"/>
      <c r="CD22" s="29"/>
      <c r="CE22" s="29"/>
      <c r="CF22" s="22"/>
      <c r="CG22" s="22"/>
      <c r="CH22" s="22"/>
      <c r="CI22" s="22"/>
      <c r="CJ22" s="22"/>
      <c r="CK22" s="29"/>
      <c r="CL22" s="29"/>
      <c r="CM22" s="22"/>
      <c r="CN22" s="22"/>
      <c r="CO22" s="22"/>
      <c r="CP22" s="22"/>
      <c r="CQ22" s="22"/>
      <c r="CR22" s="29"/>
      <c r="CS22" s="30"/>
    </row>
    <row r="23" spans="1:97" ht="15.95" customHeight="1" x14ac:dyDescent="0.2">
      <c r="A23" s="5"/>
      <c r="B23" s="35"/>
      <c r="C23" s="31" t="s">
        <v>14</v>
      </c>
      <c r="D23" s="31" t="s">
        <v>18</v>
      </c>
      <c r="E23" s="12" t="s">
        <v>23</v>
      </c>
      <c r="F23" s="11" t="s">
        <v>16</v>
      </c>
      <c r="G23" s="22"/>
      <c r="H23" s="22"/>
      <c r="I23" s="22"/>
      <c r="J23" s="22"/>
      <c r="K23" s="22"/>
      <c r="L23" s="29"/>
      <c r="M23" s="29"/>
      <c r="N23" s="22"/>
      <c r="O23" s="22"/>
      <c r="P23" s="22"/>
      <c r="Q23" s="22"/>
      <c r="R23" s="22"/>
      <c r="S23" s="29"/>
      <c r="T23" s="29"/>
      <c r="U23" s="22"/>
      <c r="V23" s="22"/>
      <c r="W23" s="22"/>
      <c r="X23" s="22"/>
      <c r="Y23" s="22"/>
      <c r="Z23" s="29"/>
      <c r="AA23" s="29"/>
      <c r="AB23" s="22">
        <v>4</v>
      </c>
      <c r="AC23" s="22">
        <v>4</v>
      </c>
      <c r="AD23" s="22">
        <v>4</v>
      </c>
      <c r="AE23" s="22">
        <v>4</v>
      </c>
      <c r="AF23" s="22">
        <v>4</v>
      </c>
      <c r="AG23" s="29">
        <v>4</v>
      </c>
      <c r="AH23" s="29">
        <v>4</v>
      </c>
      <c r="AI23" s="22">
        <v>4</v>
      </c>
      <c r="AJ23" s="22">
        <v>4</v>
      </c>
      <c r="AK23" s="62">
        <v>4</v>
      </c>
      <c r="AL23" s="49">
        <v>4</v>
      </c>
      <c r="AM23" s="22">
        <v>4</v>
      </c>
      <c r="AN23" s="29">
        <v>4</v>
      </c>
      <c r="AO23" s="29">
        <v>4</v>
      </c>
      <c r="AP23" s="22">
        <v>4</v>
      </c>
      <c r="AQ23" s="22">
        <v>4</v>
      </c>
      <c r="AR23" s="22">
        <v>4</v>
      </c>
      <c r="AS23" s="22">
        <v>4</v>
      </c>
      <c r="AT23" s="22">
        <v>4</v>
      </c>
      <c r="AU23" s="29">
        <v>4</v>
      </c>
      <c r="AV23" s="29">
        <v>4</v>
      </c>
      <c r="AW23" s="22">
        <v>4</v>
      </c>
      <c r="AX23" s="22">
        <v>4</v>
      </c>
      <c r="AY23" s="22">
        <v>4</v>
      </c>
      <c r="AZ23" s="22">
        <v>4</v>
      </c>
      <c r="BA23" s="22">
        <v>4</v>
      </c>
      <c r="BB23" s="29">
        <v>4</v>
      </c>
      <c r="BC23" s="29">
        <v>4</v>
      </c>
      <c r="BD23" s="22">
        <v>4</v>
      </c>
      <c r="BE23" s="22">
        <v>4</v>
      </c>
      <c r="BF23" s="22">
        <v>4</v>
      </c>
      <c r="BG23" s="22">
        <v>4</v>
      </c>
      <c r="BH23" s="22">
        <v>4</v>
      </c>
      <c r="BI23" s="29">
        <v>4</v>
      </c>
      <c r="BJ23" s="29">
        <v>4</v>
      </c>
      <c r="BK23" s="22">
        <v>4</v>
      </c>
      <c r="BL23" s="22">
        <v>4</v>
      </c>
      <c r="BM23" s="22">
        <v>4</v>
      </c>
      <c r="BN23" s="22">
        <v>4</v>
      </c>
      <c r="BO23" s="22">
        <v>4</v>
      </c>
      <c r="BP23" s="63">
        <v>4</v>
      </c>
      <c r="BQ23" s="51">
        <v>4</v>
      </c>
      <c r="BR23" s="22">
        <v>4</v>
      </c>
      <c r="BS23" s="22">
        <v>4</v>
      </c>
      <c r="BT23" s="22">
        <v>4</v>
      </c>
      <c r="BU23" s="22">
        <v>4</v>
      </c>
      <c r="BV23" s="22">
        <v>4</v>
      </c>
      <c r="BW23" s="29">
        <v>4</v>
      </c>
      <c r="BX23" s="29">
        <v>4</v>
      </c>
      <c r="BY23" s="22">
        <v>4</v>
      </c>
      <c r="BZ23" s="22">
        <v>4</v>
      </c>
      <c r="CA23" s="22">
        <v>4</v>
      </c>
      <c r="CB23" s="22">
        <v>4</v>
      </c>
      <c r="CC23" s="22">
        <v>4</v>
      </c>
      <c r="CD23" s="29">
        <v>4</v>
      </c>
      <c r="CE23" s="29">
        <v>4</v>
      </c>
      <c r="CF23" s="22">
        <v>4</v>
      </c>
      <c r="CG23" s="22">
        <v>4</v>
      </c>
      <c r="CH23" s="22">
        <v>4</v>
      </c>
      <c r="CI23" s="22">
        <v>4</v>
      </c>
      <c r="CJ23" s="22">
        <v>4</v>
      </c>
      <c r="CK23" s="29">
        <v>4</v>
      </c>
      <c r="CL23" s="29"/>
      <c r="CM23" s="22"/>
      <c r="CN23" s="22"/>
      <c r="CO23" s="22"/>
      <c r="CP23" s="22"/>
      <c r="CQ23" s="22"/>
      <c r="CR23" s="29"/>
      <c r="CS23" s="32">
        <f>SUM(Z23:CR23)</f>
        <v>248</v>
      </c>
    </row>
    <row r="24" spans="1:97" ht="15.95" customHeight="1" x14ac:dyDescent="0.2">
      <c r="A24" s="5"/>
      <c r="B24" s="35"/>
      <c r="C24" s="37" t="s">
        <v>28</v>
      </c>
      <c r="D24" s="37"/>
      <c r="E24" s="12"/>
      <c r="F24" s="11"/>
      <c r="G24" s="22"/>
      <c r="H24" s="22"/>
      <c r="I24" s="22"/>
      <c r="J24" s="22"/>
      <c r="K24" s="22"/>
      <c r="L24" s="29"/>
      <c r="M24" s="29"/>
      <c r="N24" s="22"/>
      <c r="O24" s="22"/>
      <c r="P24" s="22"/>
      <c r="Q24" s="22"/>
      <c r="R24" s="22"/>
      <c r="S24" s="29"/>
      <c r="T24" s="29"/>
      <c r="U24" s="22"/>
      <c r="V24" s="22"/>
      <c r="W24" s="22"/>
      <c r="X24" s="22"/>
      <c r="Y24" s="22"/>
      <c r="Z24" s="29"/>
      <c r="AA24" s="29"/>
      <c r="AB24" s="22"/>
      <c r="AC24" s="22"/>
      <c r="AD24" s="22"/>
      <c r="AE24" s="22"/>
      <c r="AF24" s="22"/>
      <c r="AG24" s="29"/>
      <c r="AH24" s="29"/>
      <c r="AI24" s="22"/>
      <c r="AJ24" s="22"/>
      <c r="AK24" s="62"/>
      <c r="AL24" s="49"/>
      <c r="AM24" s="22"/>
      <c r="AN24" s="29"/>
      <c r="AO24" s="29"/>
      <c r="AP24" s="22"/>
      <c r="AQ24" s="22"/>
      <c r="AR24" s="22"/>
      <c r="AS24" s="22"/>
      <c r="AT24" s="22"/>
      <c r="AU24" s="29"/>
      <c r="AV24" s="29"/>
      <c r="AW24" s="22"/>
      <c r="AX24" s="22"/>
      <c r="AY24" s="22"/>
      <c r="AZ24" s="22"/>
      <c r="BA24" s="22"/>
      <c r="BB24" s="29"/>
      <c r="BC24" s="29"/>
      <c r="BD24" s="22"/>
      <c r="BE24" s="22"/>
      <c r="BF24" s="22"/>
      <c r="BG24" s="22"/>
      <c r="BH24" s="22"/>
      <c r="BI24" s="29"/>
      <c r="BJ24" s="29"/>
      <c r="BK24" s="22"/>
      <c r="BL24" s="22"/>
      <c r="BM24" s="22"/>
      <c r="BN24" s="22"/>
      <c r="BO24" s="22"/>
      <c r="BP24" s="63"/>
      <c r="BQ24" s="51"/>
      <c r="BR24" s="22"/>
      <c r="BS24" s="22"/>
      <c r="BT24" s="22"/>
      <c r="BU24" s="22"/>
      <c r="BV24" s="22"/>
      <c r="BW24" s="29"/>
      <c r="BX24" s="29"/>
      <c r="BY24" s="22"/>
      <c r="BZ24" s="22"/>
      <c r="CA24" s="22"/>
      <c r="CB24" s="22"/>
      <c r="CC24" s="22"/>
      <c r="CD24" s="29"/>
      <c r="CE24" s="29"/>
      <c r="CF24" s="22"/>
      <c r="CG24" s="22"/>
      <c r="CH24" s="22"/>
      <c r="CI24" s="22"/>
      <c r="CJ24" s="22"/>
      <c r="CK24" s="29"/>
      <c r="CL24" s="29"/>
      <c r="CM24" s="22"/>
      <c r="CN24" s="22"/>
      <c r="CO24" s="22"/>
      <c r="CP24" s="22"/>
      <c r="CQ24" s="22"/>
      <c r="CR24" s="29"/>
      <c r="CS24" s="40">
        <f>SUM(Z24:CR24)</f>
        <v>0</v>
      </c>
    </row>
    <row r="25" spans="1:97" ht="15.95" customHeight="1" x14ac:dyDescent="0.2">
      <c r="A25" s="5"/>
      <c r="B25" s="35"/>
      <c r="C25" s="12"/>
      <c r="D25" s="12"/>
      <c r="E25" s="12"/>
      <c r="F25" s="11"/>
      <c r="G25" s="22"/>
      <c r="H25" s="22"/>
      <c r="I25" s="22"/>
      <c r="J25" s="22"/>
      <c r="K25" s="22"/>
      <c r="L25" s="29"/>
      <c r="M25" s="29"/>
      <c r="N25" s="22"/>
      <c r="O25" s="22"/>
      <c r="P25" s="22"/>
      <c r="Q25" s="22"/>
      <c r="R25" s="22"/>
      <c r="S25" s="29"/>
      <c r="T25" s="29"/>
      <c r="U25" s="22"/>
      <c r="V25" s="22"/>
      <c r="W25" s="22"/>
      <c r="X25" s="22"/>
      <c r="Y25" s="22"/>
      <c r="Z25" s="29"/>
      <c r="AA25" s="29"/>
      <c r="AB25" s="22"/>
      <c r="AC25" s="22"/>
      <c r="AD25" s="22"/>
      <c r="AE25" s="22"/>
      <c r="AF25" s="22"/>
      <c r="AG25" s="29"/>
      <c r="AH25" s="29"/>
      <c r="AI25" s="22"/>
      <c r="AJ25" s="22"/>
      <c r="AK25" s="62"/>
      <c r="AL25" s="49"/>
      <c r="AM25" s="22"/>
      <c r="AN25" s="29"/>
      <c r="AO25" s="29"/>
      <c r="AP25" s="22"/>
      <c r="AQ25" s="22"/>
      <c r="AR25" s="22"/>
      <c r="AS25" s="22"/>
      <c r="AT25" s="22"/>
      <c r="AU25" s="29"/>
      <c r="AV25" s="29"/>
      <c r="AW25" s="22"/>
      <c r="AX25" s="22"/>
      <c r="AY25" s="22"/>
      <c r="AZ25" s="22"/>
      <c r="BA25" s="22"/>
      <c r="BB25" s="29"/>
      <c r="BC25" s="29"/>
      <c r="BD25" s="22"/>
      <c r="BE25" s="22"/>
      <c r="BF25" s="22"/>
      <c r="BG25" s="22"/>
      <c r="BH25" s="22"/>
      <c r="BI25" s="29"/>
      <c r="BJ25" s="29"/>
      <c r="BK25" s="22"/>
      <c r="BL25" s="22"/>
      <c r="BM25" s="22"/>
      <c r="BN25" s="22"/>
      <c r="BO25" s="22"/>
      <c r="BP25" s="63"/>
      <c r="BQ25" s="51"/>
      <c r="BR25" s="22"/>
      <c r="BS25" s="22"/>
      <c r="BT25" s="22"/>
      <c r="BU25" s="22"/>
      <c r="BV25" s="22"/>
      <c r="BW25" s="29"/>
      <c r="BX25" s="29"/>
      <c r="BY25" s="22"/>
      <c r="BZ25" s="22"/>
      <c r="CA25" s="22"/>
      <c r="CB25" s="22"/>
      <c r="CC25" s="22"/>
      <c r="CD25" s="29"/>
      <c r="CE25" s="29"/>
      <c r="CF25" s="22"/>
      <c r="CG25" s="22"/>
      <c r="CH25" s="22"/>
      <c r="CI25" s="22"/>
      <c r="CJ25" s="22"/>
      <c r="CK25" s="29"/>
      <c r="CL25" s="29"/>
      <c r="CM25" s="22"/>
      <c r="CN25" s="22"/>
      <c r="CO25" s="22"/>
      <c r="CP25" s="22"/>
      <c r="CQ25" s="22"/>
      <c r="CR25" s="29"/>
      <c r="CS25" s="30"/>
    </row>
    <row r="26" spans="1:97" ht="15.95" customHeight="1" x14ac:dyDescent="0.2">
      <c r="A26" s="5"/>
      <c r="B26" s="35"/>
      <c r="C26" s="31" t="s">
        <v>29</v>
      </c>
      <c r="D26" s="31" t="s">
        <v>18</v>
      </c>
      <c r="E26" s="12" t="s">
        <v>23</v>
      </c>
      <c r="F26" s="11" t="s">
        <v>16</v>
      </c>
      <c r="G26" s="22"/>
      <c r="H26" s="22"/>
      <c r="I26" s="22"/>
      <c r="J26" s="22"/>
      <c r="K26" s="22"/>
      <c r="L26" s="29"/>
      <c r="M26" s="29"/>
      <c r="N26" s="22"/>
      <c r="O26" s="22"/>
      <c r="P26" s="22"/>
      <c r="Q26" s="22"/>
      <c r="R26" s="22"/>
      <c r="S26" s="29"/>
      <c r="T26" s="29"/>
      <c r="U26" s="22"/>
      <c r="V26" s="22"/>
      <c r="W26" s="22"/>
      <c r="X26" s="22"/>
      <c r="Y26" s="22"/>
      <c r="Z26" s="29"/>
      <c r="AA26" s="29"/>
      <c r="AB26" s="22"/>
      <c r="AC26" s="22"/>
      <c r="AD26" s="22"/>
      <c r="AE26" s="22"/>
      <c r="AF26" s="22"/>
      <c r="AG26" s="29"/>
      <c r="AH26" s="29"/>
      <c r="AI26" s="22"/>
      <c r="AJ26" s="22"/>
      <c r="AK26" s="62"/>
      <c r="AL26" s="49"/>
      <c r="AM26" s="22"/>
      <c r="AN26" s="29"/>
      <c r="AO26" s="29"/>
      <c r="AP26" s="22"/>
      <c r="AQ26" s="22"/>
      <c r="AR26" s="22"/>
      <c r="AS26" s="22"/>
      <c r="AT26" s="22"/>
      <c r="AU26" s="29"/>
      <c r="AV26" s="29"/>
      <c r="AW26" s="22"/>
      <c r="AX26" s="22"/>
      <c r="AY26" s="22"/>
      <c r="AZ26" s="22"/>
      <c r="BA26" s="22"/>
      <c r="BB26" s="29"/>
      <c r="BC26" s="29"/>
      <c r="BD26" s="22"/>
      <c r="BE26" s="22"/>
      <c r="BF26" s="22"/>
      <c r="BG26" s="22"/>
      <c r="BH26" s="22"/>
      <c r="BI26" s="29"/>
      <c r="BJ26" s="29"/>
      <c r="BK26" s="22"/>
      <c r="BL26" s="22"/>
      <c r="BM26" s="22"/>
      <c r="BN26" s="22"/>
      <c r="BO26" s="22"/>
      <c r="BP26" s="63"/>
      <c r="BQ26" s="51"/>
      <c r="BR26" s="22"/>
      <c r="BS26" s="22"/>
      <c r="BT26" s="22"/>
      <c r="BU26" s="22"/>
      <c r="BV26" s="22"/>
      <c r="BW26" s="29"/>
      <c r="BX26" s="29"/>
      <c r="BY26" s="22"/>
      <c r="BZ26" s="22"/>
      <c r="CA26" s="22"/>
      <c r="CB26" s="22"/>
      <c r="CC26" s="22"/>
      <c r="CD26" s="29"/>
      <c r="CE26" s="29"/>
      <c r="CF26" s="22"/>
      <c r="CG26" s="22"/>
      <c r="CH26" s="22"/>
      <c r="CI26" s="22"/>
      <c r="CJ26" s="22"/>
      <c r="CK26" s="29"/>
      <c r="CL26" s="29"/>
      <c r="CM26" s="22"/>
      <c r="CN26" s="22"/>
      <c r="CO26" s="22"/>
      <c r="CP26" s="22"/>
      <c r="CQ26" s="22"/>
      <c r="CR26" s="29"/>
      <c r="CS26" s="41">
        <f t="shared" ref="CS26" si="3">SUM(Z26:CR26)</f>
        <v>0</v>
      </c>
    </row>
    <row r="27" spans="1:97" ht="15.95" customHeight="1" x14ac:dyDescent="0.2">
      <c r="A27" s="5"/>
      <c r="B27" s="35"/>
      <c r="C27" s="37" t="s">
        <v>24</v>
      </c>
      <c r="D27" s="37"/>
      <c r="E27" s="12"/>
      <c r="F27" s="11"/>
      <c r="G27" s="22"/>
      <c r="H27" s="22"/>
      <c r="I27" s="22"/>
      <c r="J27" s="22"/>
      <c r="K27" s="22"/>
      <c r="L27" s="29"/>
      <c r="M27" s="29"/>
      <c r="N27" s="22"/>
      <c r="O27" s="22"/>
      <c r="P27" s="22"/>
      <c r="Q27" s="22"/>
      <c r="R27" s="22"/>
      <c r="S27" s="29"/>
      <c r="T27" s="29"/>
      <c r="U27" s="22"/>
      <c r="V27" s="22"/>
      <c r="W27" s="22"/>
      <c r="X27" s="22"/>
      <c r="Y27" s="22"/>
      <c r="Z27" s="29"/>
      <c r="AA27" s="29"/>
      <c r="AB27" s="8">
        <v>3</v>
      </c>
      <c r="AC27" s="8">
        <v>3</v>
      </c>
      <c r="AD27" s="8">
        <v>3</v>
      </c>
      <c r="AE27" s="8">
        <v>3</v>
      </c>
      <c r="AF27" s="8">
        <v>3</v>
      </c>
      <c r="AG27" s="10">
        <v>3</v>
      </c>
      <c r="AH27" s="10">
        <v>3</v>
      </c>
      <c r="AI27" s="8">
        <v>3</v>
      </c>
      <c r="AJ27" s="8">
        <v>3</v>
      </c>
      <c r="AK27" s="8">
        <v>3</v>
      </c>
      <c r="AL27" s="8">
        <v>3</v>
      </c>
      <c r="AM27" s="8">
        <v>3</v>
      </c>
      <c r="AN27" s="10">
        <v>3</v>
      </c>
      <c r="AO27" s="10">
        <v>3</v>
      </c>
      <c r="AP27" s="8">
        <v>3</v>
      </c>
      <c r="AQ27" s="8">
        <v>3</v>
      </c>
      <c r="AR27" s="8">
        <v>3</v>
      </c>
      <c r="AS27" s="8">
        <v>3</v>
      </c>
      <c r="AT27" s="8">
        <v>3</v>
      </c>
      <c r="AU27" s="10">
        <v>3</v>
      </c>
      <c r="AV27" s="10">
        <v>3</v>
      </c>
      <c r="AW27" s="8">
        <v>3</v>
      </c>
      <c r="AX27" s="8">
        <v>3</v>
      </c>
      <c r="AY27" s="8">
        <v>3</v>
      </c>
      <c r="AZ27" s="8">
        <v>3</v>
      </c>
      <c r="BA27" s="8">
        <v>3</v>
      </c>
      <c r="BB27" s="10">
        <v>3</v>
      </c>
      <c r="BC27" s="10">
        <v>3</v>
      </c>
      <c r="BD27" s="8">
        <v>3</v>
      </c>
      <c r="BE27" s="8">
        <v>3</v>
      </c>
      <c r="BF27" s="8">
        <v>3</v>
      </c>
      <c r="BG27" s="8">
        <v>3</v>
      </c>
      <c r="BH27" s="8">
        <v>3</v>
      </c>
      <c r="BI27" s="10">
        <v>3</v>
      </c>
      <c r="BJ27" s="10">
        <v>3</v>
      </c>
      <c r="BK27" s="8">
        <v>3</v>
      </c>
      <c r="BL27" s="8">
        <v>3</v>
      </c>
      <c r="BM27" s="8">
        <v>3</v>
      </c>
      <c r="BN27" s="8">
        <v>3</v>
      </c>
      <c r="BO27" s="8">
        <v>3</v>
      </c>
      <c r="BP27" s="58">
        <v>3</v>
      </c>
      <c r="BQ27" s="64">
        <v>3</v>
      </c>
      <c r="BR27" s="8"/>
      <c r="BS27" s="8"/>
      <c r="BT27" s="8"/>
      <c r="BU27" s="8"/>
      <c r="BV27" s="8"/>
      <c r="BW27" s="10"/>
      <c r="BX27" s="10"/>
      <c r="BY27" s="8"/>
      <c r="BZ27" s="8"/>
      <c r="CA27" s="8"/>
      <c r="CB27" s="8"/>
      <c r="CC27" s="8"/>
      <c r="CD27" s="10"/>
      <c r="CE27" s="10"/>
      <c r="CF27" s="8"/>
      <c r="CG27" s="8"/>
      <c r="CH27" s="8"/>
      <c r="CI27" s="22"/>
      <c r="CJ27" s="22"/>
      <c r="CK27" s="29"/>
      <c r="CL27" s="29"/>
      <c r="CM27" s="22"/>
      <c r="CN27" s="22"/>
      <c r="CO27" s="22"/>
      <c r="CP27" s="22"/>
      <c r="CQ27" s="22"/>
      <c r="CR27" s="29"/>
      <c r="CS27" s="41">
        <f>SUM(Z27:CR27)</f>
        <v>126</v>
      </c>
    </row>
    <row r="28" spans="1:97" ht="13.5" thickBot="1" x14ac:dyDescent="0.25">
      <c r="A28" s="5"/>
      <c r="B28" s="13" t="s">
        <v>30</v>
      </c>
      <c r="C28" s="13"/>
      <c r="D28" s="39"/>
      <c r="E28" s="39"/>
      <c r="F28" s="39"/>
      <c r="G28" s="24">
        <f t="shared" ref="G28:AB28" si="4">SUM(G13:G27)</f>
        <v>0</v>
      </c>
      <c r="H28" s="24">
        <f t="shared" si="4"/>
        <v>0</v>
      </c>
      <c r="I28" s="24">
        <f t="shared" si="4"/>
        <v>0</v>
      </c>
      <c r="J28" s="24">
        <f t="shared" si="4"/>
        <v>0</v>
      </c>
      <c r="K28" s="24">
        <f t="shared" si="4"/>
        <v>0</v>
      </c>
      <c r="L28" s="24">
        <f t="shared" si="4"/>
        <v>0</v>
      </c>
      <c r="M28" s="24">
        <f t="shared" si="4"/>
        <v>0</v>
      </c>
      <c r="N28" s="24">
        <f t="shared" si="4"/>
        <v>0</v>
      </c>
      <c r="O28" s="24">
        <f t="shared" si="4"/>
        <v>0</v>
      </c>
      <c r="P28" s="24">
        <f t="shared" si="4"/>
        <v>0</v>
      </c>
      <c r="Q28" s="24">
        <f t="shared" si="4"/>
        <v>0</v>
      </c>
      <c r="R28" s="24">
        <f t="shared" si="4"/>
        <v>0</v>
      </c>
      <c r="S28" s="24">
        <f t="shared" si="4"/>
        <v>0</v>
      </c>
      <c r="T28" s="24">
        <f t="shared" si="4"/>
        <v>0</v>
      </c>
      <c r="U28" s="24">
        <f t="shared" si="4"/>
        <v>0</v>
      </c>
      <c r="V28" s="24">
        <f t="shared" si="4"/>
        <v>0</v>
      </c>
      <c r="W28" s="24">
        <f t="shared" si="4"/>
        <v>0</v>
      </c>
      <c r="X28" s="24">
        <f t="shared" si="4"/>
        <v>0</v>
      </c>
      <c r="Y28" s="24">
        <f t="shared" si="4"/>
        <v>0</v>
      </c>
      <c r="Z28" s="24">
        <f t="shared" si="4"/>
        <v>0</v>
      </c>
      <c r="AA28" s="24">
        <f t="shared" si="4"/>
        <v>0</v>
      </c>
      <c r="AB28" s="24">
        <f t="shared" si="4"/>
        <v>19</v>
      </c>
      <c r="AC28" s="24">
        <f>SUM(AC13:AC27)</f>
        <v>19</v>
      </c>
      <c r="AD28" s="24">
        <f t="shared" ref="AD28:CO28" si="5">SUM(AD13:AD27)</f>
        <v>19</v>
      </c>
      <c r="AE28" s="24">
        <f t="shared" si="5"/>
        <v>19</v>
      </c>
      <c r="AF28" s="24">
        <f t="shared" si="5"/>
        <v>19</v>
      </c>
      <c r="AG28" s="24">
        <f t="shared" si="5"/>
        <v>19</v>
      </c>
      <c r="AH28" s="24">
        <f t="shared" si="5"/>
        <v>19</v>
      </c>
      <c r="AI28" s="24">
        <f t="shared" si="5"/>
        <v>19</v>
      </c>
      <c r="AJ28" s="24">
        <f t="shared" si="5"/>
        <v>19</v>
      </c>
      <c r="AK28" s="24">
        <f t="shared" si="5"/>
        <v>19</v>
      </c>
      <c r="AL28" s="24">
        <f t="shared" si="5"/>
        <v>20</v>
      </c>
      <c r="AM28" s="24">
        <f t="shared" si="5"/>
        <v>20</v>
      </c>
      <c r="AN28" s="24">
        <f t="shared" si="5"/>
        <v>20</v>
      </c>
      <c r="AO28" s="24">
        <f t="shared" si="5"/>
        <v>20</v>
      </c>
      <c r="AP28" s="24">
        <f t="shared" si="5"/>
        <v>20</v>
      </c>
      <c r="AQ28" s="24">
        <f t="shared" si="5"/>
        <v>20</v>
      </c>
      <c r="AR28" s="24">
        <f t="shared" si="5"/>
        <v>20</v>
      </c>
      <c r="AS28" s="24">
        <f t="shared" si="5"/>
        <v>20</v>
      </c>
      <c r="AT28" s="24">
        <f t="shared" si="5"/>
        <v>20</v>
      </c>
      <c r="AU28" s="24">
        <f t="shared" si="5"/>
        <v>20</v>
      </c>
      <c r="AV28" s="24">
        <f t="shared" si="5"/>
        <v>19</v>
      </c>
      <c r="AW28" s="24">
        <f t="shared" si="5"/>
        <v>19</v>
      </c>
      <c r="AX28" s="24">
        <f t="shared" si="5"/>
        <v>19</v>
      </c>
      <c r="AY28" s="24">
        <f t="shared" si="5"/>
        <v>19</v>
      </c>
      <c r="AZ28" s="24">
        <f t="shared" si="5"/>
        <v>19</v>
      </c>
      <c r="BA28" s="24">
        <f t="shared" si="5"/>
        <v>19</v>
      </c>
      <c r="BB28" s="24">
        <f t="shared" si="5"/>
        <v>19</v>
      </c>
      <c r="BC28" s="24">
        <f t="shared" si="5"/>
        <v>19</v>
      </c>
      <c r="BD28" s="24">
        <f t="shared" si="5"/>
        <v>19</v>
      </c>
      <c r="BE28" s="24">
        <f t="shared" si="5"/>
        <v>19</v>
      </c>
      <c r="BF28" s="24">
        <f t="shared" si="5"/>
        <v>16</v>
      </c>
      <c r="BG28" s="24">
        <f t="shared" si="5"/>
        <v>16</v>
      </c>
      <c r="BH28" s="24">
        <f t="shared" si="5"/>
        <v>16</v>
      </c>
      <c r="BI28" s="24">
        <f t="shared" si="5"/>
        <v>16</v>
      </c>
      <c r="BJ28" s="24">
        <f t="shared" si="5"/>
        <v>16</v>
      </c>
      <c r="BK28" s="24">
        <f t="shared" si="5"/>
        <v>16</v>
      </c>
      <c r="BL28" s="24">
        <f t="shared" si="5"/>
        <v>16</v>
      </c>
      <c r="BM28" s="24">
        <f t="shared" si="5"/>
        <v>16</v>
      </c>
      <c r="BN28" s="24">
        <f t="shared" si="5"/>
        <v>16</v>
      </c>
      <c r="BO28" s="24">
        <f t="shared" si="5"/>
        <v>16</v>
      </c>
      <c r="BP28" s="24">
        <f t="shared" si="5"/>
        <v>16</v>
      </c>
      <c r="BQ28" s="24">
        <f t="shared" si="5"/>
        <v>16</v>
      </c>
      <c r="BR28" s="24">
        <f t="shared" si="5"/>
        <v>13</v>
      </c>
      <c r="BS28" s="24">
        <f t="shared" si="5"/>
        <v>13</v>
      </c>
      <c r="BT28" s="24">
        <f t="shared" si="5"/>
        <v>13</v>
      </c>
      <c r="BU28" s="24">
        <f t="shared" si="5"/>
        <v>13</v>
      </c>
      <c r="BV28" s="24">
        <f t="shared" si="5"/>
        <v>13</v>
      </c>
      <c r="BW28" s="24">
        <f t="shared" si="5"/>
        <v>13</v>
      </c>
      <c r="BX28" s="24">
        <f t="shared" si="5"/>
        <v>13</v>
      </c>
      <c r="BY28" s="24">
        <f t="shared" si="5"/>
        <v>13</v>
      </c>
      <c r="BZ28" s="24">
        <f t="shared" si="5"/>
        <v>13</v>
      </c>
      <c r="CA28" s="24">
        <f t="shared" si="5"/>
        <v>13</v>
      </c>
      <c r="CB28" s="24">
        <f t="shared" si="5"/>
        <v>13</v>
      </c>
      <c r="CC28" s="24">
        <f t="shared" si="5"/>
        <v>13</v>
      </c>
      <c r="CD28" s="24">
        <f t="shared" si="5"/>
        <v>13</v>
      </c>
      <c r="CE28" s="24">
        <f t="shared" si="5"/>
        <v>13</v>
      </c>
      <c r="CF28" s="24">
        <f t="shared" si="5"/>
        <v>13</v>
      </c>
      <c r="CG28" s="24">
        <f t="shared" si="5"/>
        <v>13</v>
      </c>
      <c r="CH28" s="24">
        <f t="shared" si="5"/>
        <v>8</v>
      </c>
      <c r="CI28" s="24">
        <f t="shared" si="5"/>
        <v>8</v>
      </c>
      <c r="CJ28" s="24">
        <f t="shared" si="5"/>
        <v>8</v>
      </c>
      <c r="CK28" s="24">
        <f t="shared" si="5"/>
        <v>8</v>
      </c>
      <c r="CL28" s="24">
        <f t="shared" si="5"/>
        <v>0</v>
      </c>
      <c r="CM28" s="24">
        <f t="shared" si="5"/>
        <v>0</v>
      </c>
      <c r="CN28" s="24">
        <f t="shared" si="5"/>
        <v>0</v>
      </c>
      <c r="CO28" s="24">
        <f t="shared" si="5"/>
        <v>0</v>
      </c>
      <c r="CP28" s="24">
        <f t="shared" ref="CP28:CR28" si="6">SUM(CP13:CP27)</f>
        <v>0</v>
      </c>
      <c r="CQ28" s="24">
        <f t="shared" si="6"/>
        <v>0</v>
      </c>
      <c r="CR28" s="24">
        <f t="shared" si="6"/>
        <v>0</v>
      </c>
      <c r="CS28" s="17">
        <f>SUM(CS13:CS27)</f>
        <v>1012</v>
      </c>
    </row>
    <row r="29" spans="1:97" s="47" customFormat="1" ht="15.95" customHeight="1" x14ac:dyDescent="0.25">
      <c r="A29" s="19"/>
      <c r="B29" s="42"/>
      <c r="C29" s="42"/>
      <c r="D29" s="43"/>
      <c r="E29" s="44"/>
      <c r="F29" s="45"/>
      <c r="G29" s="53"/>
      <c r="H29" s="53"/>
      <c r="I29" s="53"/>
      <c r="J29" s="53"/>
      <c r="K29" s="53"/>
      <c r="L29" s="54"/>
      <c r="M29" s="54"/>
      <c r="N29" s="53"/>
      <c r="O29" s="53"/>
      <c r="P29" s="53"/>
      <c r="Q29" s="53"/>
      <c r="R29" s="53"/>
      <c r="S29" s="54"/>
      <c r="T29" s="54"/>
      <c r="U29" s="53"/>
      <c r="V29" s="53"/>
      <c r="W29" s="53"/>
      <c r="X29" s="53"/>
      <c r="Y29" s="53"/>
      <c r="Z29" s="54"/>
      <c r="AA29" s="54"/>
      <c r="AB29" s="53"/>
      <c r="AC29" s="53"/>
      <c r="AD29" s="53"/>
      <c r="AE29" s="53"/>
      <c r="AF29" s="53"/>
      <c r="AG29" s="54"/>
      <c r="AH29" s="54"/>
      <c r="AI29" s="53"/>
      <c r="AJ29" s="53"/>
      <c r="AK29" s="61"/>
      <c r="AL29" s="52"/>
      <c r="AM29" s="53"/>
      <c r="AN29" s="54"/>
      <c r="AO29" s="54"/>
      <c r="AP29" s="53"/>
      <c r="AQ29" s="55"/>
      <c r="AR29" s="55"/>
      <c r="AS29" s="53"/>
      <c r="AT29" s="53"/>
      <c r="AU29" s="54"/>
      <c r="AV29" s="54"/>
      <c r="AW29" s="53"/>
      <c r="AX29" s="55"/>
      <c r="AY29" s="55"/>
      <c r="AZ29" s="53"/>
      <c r="BA29" s="53"/>
      <c r="BB29" s="54"/>
      <c r="BC29" s="54"/>
      <c r="BD29" s="53"/>
      <c r="BE29" s="55"/>
      <c r="BF29" s="55"/>
      <c r="BG29" s="53"/>
      <c r="BH29" s="53"/>
      <c r="BI29" s="54"/>
      <c r="BJ29" s="54"/>
      <c r="BK29" s="53"/>
      <c r="BL29" s="55"/>
      <c r="BM29" s="55"/>
      <c r="BN29" s="53"/>
      <c r="BO29" s="53"/>
      <c r="BP29" s="56"/>
      <c r="BQ29" s="57"/>
      <c r="BR29" s="53"/>
      <c r="BS29" s="53"/>
      <c r="BT29" s="53"/>
      <c r="BU29" s="53"/>
      <c r="BV29" s="55"/>
      <c r="BW29" s="54"/>
      <c r="BX29" s="54"/>
      <c r="BY29" s="53"/>
      <c r="BZ29" s="53"/>
      <c r="CA29" s="53"/>
      <c r="CB29" s="53"/>
      <c r="CC29" s="55"/>
      <c r="CD29" s="54"/>
      <c r="CE29" s="54"/>
      <c r="CF29" s="53"/>
      <c r="CG29" s="53"/>
      <c r="CH29" s="53"/>
      <c r="CI29" s="53"/>
      <c r="CJ29" s="55"/>
      <c r="CK29" s="54"/>
      <c r="CL29" s="54"/>
      <c r="CM29" s="53"/>
      <c r="CN29" s="53"/>
      <c r="CO29" s="53"/>
      <c r="CP29" s="53"/>
      <c r="CQ29" s="55"/>
      <c r="CR29" s="54"/>
      <c r="CS29" s="70"/>
    </row>
    <row r="30" spans="1:97" ht="15.95" customHeight="1" x14ac:dyDescent="0.2">
      <c r="A30" s="5"/>
      <c r="B30" s="33" t="s">
        <v>31</v>
      </c>
      <c r="C30" s="31" t="s">
        <v>11</v>
      </c>
      <c r="D30" s="31" t="s">
        <v>18</v>
      </c>
      <c r="E30" s="12" t="s">
        <v>46</v>
      </c>
      <c r="F30" s="11" t="s">
        <v>16</v>
      </c>
      <c r="G30" s="22"/>
      <c r="H30" s="22"/>
      <c r="I30" s="22"/>
      <c r="J30" s="22"/>
      <c r="K30" s="22"/>
      <c r="L30" s="29"/>
      <c r="M30" s="29"/>
      <c r="N30" s="22"/>
      <c r="O30" s="22"/>
      <c r="P30" s="22"/>
      <c r="Q30" s="22"/>
      <c r="R30" s="22"/>
      <c r="S30" s="29"/>
      <c r="T30" s="29"/>
      <c r="U30" s="22"/>
      <c r="V30" s="22"/>
      <c r="W30" s="22"/>
      <c r="X30" s="22"/>
      <c r="Y30" s="22"/>
      <c r="Z30" s="29"/>
      <c r="AA30" s="29"/>
      <c r="AB30" s="22">
        <v>4</v>
      </c>
      <c r="AC30" s="22">
        <v>4</v>
      </c>
      <c r="AD30" s="22">
        <v>4</v>
      </c>
      <c r="AE30" s="22">
        <v>4</v>
      </c>
      <c r="AF30" s="22">
        <v>4</v>
      </c>
      <c r="AG30" s="29">
        <v>4</v>
      </c>
      <c r="AH30" s="29">
        <v>4</v>
      </c>
      <c r="AI30" s="22">
        <v>4</v>
      </c>
      <c r="AJ30" s="22">
        <v>4</v>
      </c>
      <c r="AK30" s="62">
        <v>4</v>
      </c>
      <c r="AL30" s="49">
        <v>4</v>
      </c>
      <c r="AM30" s="22">
        <v>4</v>
      </c>
      <c r="AN30" s="29">
        <v>4</v>
      </c>
      <c r="AO30" s="29">
        <v>4</v>
      </c>
      <c r="AP30" s="22">
        <v>4</v>
      </c>
      <c r="AQ30" s="22">
        <v>4</v>
      </c>
      <c r="AR30" s="22">
        <v>4</v>
      </c>
      <c r="AS30" s="22">
        <v>4</v>
      </c>
      <c r="AT30" s="22">
        <v>4</v>
      </c>
      <c r="AU30" s="29">
        <v>4</v>
      </c>
      <c r="AV30" s="29">
        <v>4</v>
      </c>
      <c r="AW30" s="22">
        <v>4</v>
      </c>
      <c r="AX30" s="22">
        <v>4</v>
      </c>
      <c r="AY30" s="22">
        <v>4</v>
      </c>
      <c r="AZ30" s="22">
        <v>4</v>
      </c>
      <c r="BA30" s="22">
        <v>4</v>
      </c>
      <c r="BB30" s="29">
        <v>3</v>
      </c>
      <c r="BC30" s="29">
        <v>3</v>
      </c>
      <c r="BD30" s="22">
        <v>3</v>
      </c>
      <c r="BE30" s="22">
        <v>3</v>
      </c>
      <c r="BF30" s="22">
        <v>3</v>
      </c>
      <c r="BG30" s="22">
        <v>3</v>
      </c>
      <c r="BH30" s="22">
        <v>3</v>
      </c>
      <c r="BI30" s="29">
        <v>3</v>
      </c>
      <c r="BJ30" s="29">
        <v>3</v>
      </c>
      <c r="BK30" s="22">
        <v>3</v>
      </c>
      <c r="BL30" s="22">
        <v>3</v>
      </c>
      <c r="BM30" s="22">
        <v>3</v>
      </c>
      <c r="BN30" s="22">
        <v>3</v>
      </c>
      <c r="BO30" s="22">
        <v>3</v>
      </c>
      <c r="BP30" s="63">
        <v>3</v>
      </c>
      <c r="BQ30" s="51">
        <v>4</v>
      </c>
      <c r="BR30" s="22">
        <v>4</v>
      </c>
      <c r="BS30" s="22">
        <v>4</v>
      </c>
      <c r="BT30" s="22">
        <v>4</v>
      </c>
      <c r="BU30" s="22">
        <v>4</v>
      </c>
      <c r="BV30" s="22">
        <v>4</v>
      </c>
      <c r="BW30" s="29">
        <v>4</v>
      </c>
      <c r="BX30" s="29">
        <v>4</v>
      </c>
      <c r="BY30" s="22">
        <v>4</v>
      </c>
      <c r="BZ30" s="22">
        <v>4</v>
      </c>
      <c r="CA30" s="22">
        <v>4</v>
      </c>
      <c r="CB30" s="22">
        <v>4</v>
      </c>
      <c r="CC30" s="22">
        <v>4</v>
      </c>
      <c r="CD30" s="29">
        <v>4</v>
      </c>
      <c r="CE30" s="29">
        <v>4</v>
      </c>
      <c r="CF30" s="22">
        <v>4</v>
      </c>
      <c r="CG30" s="22">
        <v>4</v>
      </c>
      <c r="CH30" s="22">
        <v>4</v>
      </c>
      <c r="CI30" s="22">
        <v>4</v>
      </c>
      <c r="CJ30" s="22">
        <v>4</v>
      </c>
      <c r="CK30" s="29">
        <v>4</v>
      </c>
      <c r="CL30" s="29"/>
      <c r="CM30" s="22"/>
      <c r="CN30" s="22"/>
      <c r="CO30" s="22"/>
      <c r="CP30" s="22"/>
      <c r="CQ30" s="22"/>
      <c r="CR30" s="29"/>
      <c r="CS30" s="32">
        <f>SUM(Z30:CR30)</f>
        <v>233</v>
      </c>
    </row>
    <row r="31" spans="1:97" ht="15.95" customHeight="1" x14ac:dyDescent="0.2">
      <c r="A31" s="5"/>
      <c r="B31" s="35"/>
      <c r="C31" s="12"/>
      <c r="D31" s="12"/>
      <c r="E31" s="12"/>
      <c r="F31" s="11"/>
      <c r="G31" s="22"/>
      <c r="H31" s="22"/>
      <c r="I31" s="22"/>
      <c r="J31" s="22"/>
      <c r="K31" s="22"/>
      <c r="L31" s="29"/>
      <c r="M31" s="29"/>
      <c r="N31" s="22"/>
      <c r="O31" s="22"/>
      <c r="P31" s="22"/>
      <c r="Q31" s="22"/>
      <c r="R31" s="22"/>
      <c r="S31" s="29"/>
      <c r="T31" s="29"/>
      <c r="U31" s="22"/>
      <c r="V31" s="22"/>
      <c r="W31" s="22"/>
      <c r="X31" s="22"/>
      <c r="Y31" s="22"/>
      <c r="Z31" s="29"/>
      <c r="AA31" s="29"/>
      <c r="AB31" s="22"/>
      <c r="AC31" s="22"/>
      <c r="AD31" s="22"/>
      <c r="AE31" s="22"/>
      <c r="AF31" s="22"/>
      <c r="AG31" s="29"/>
      <c r="AH31" s="29"/>
      <c r="AI31" s="22"/>
      <c r="AJ31" s="22"/>
      <c r="AK31" s="62"/>
      <c r="AL31" s="49"/>
      <c r="AM31" s="22"/>
      <c r="AN31" s="29"/>
      <c r="AO31" s="29"/>
      <c r="AP31" s="22"/>
      <c r="AQ31" s="23"/>
      <c r="AR31" s="23"/>
      <c r="AS31" s="22"/>
      <c r="AT31" s="22"/>
      <c r="AU31" s="29"/>
      <c r="AV31" s="29"/>
      <c r="AW31" s="22"/>
      <c r="AX31" s="23"/>
      <c r="AY31" s="23"/>
      <c r="AZ31" s="22"/>
      <c r="BA31" s="22"/>
      <c r="BB31" s="29"/>
      <c r="BC31" s="29"/>
      <c r="BD31" s="22"/>
      <c r="BE31" s="23"/>
      <c r="BF31" s="23"/>
      <c r="BG31" s="22"/>
      <c r="BH31" s="22"/>
      <c r="BI31" s="29"/>
      <c r="BJ31" s="29"/>
      <c r="BK31" s="22"/>
      <c r="BL31" s="23"/>
      <c r="BM31" s="23"/>
      <c r="BN31" s="22"/>
      <c r="BO31" s="22"/>
      <c r="BP31" s="50"/>
      <c r="BQ31" s="51"/>
      <c r="BR31" s="22"/>
      <c r="BS31" s="22"/>
      <c r="BT31" s="22"/>
      <c r="BU31" s="22"/>
      <c r="BV31" s="23"/>
      <c r="BW31" s="29"/>
      <c r="BX31" s="29"/>
      <c r="BY31" s="22"/>
      <c r="BZ31" s="22"/>
      <c r="CA31" s="22"/>
      <c r="CB31" s="22"/>
      <c r="CC31" s="23"/>
      <c r="CD31" s="29"/>
      <c r="CE31" s="29"/>
      <c r="CF31" s="22"/>
      <c r="CG31" s="22"/>
      <c r="CH31" s="22"/>
      <c r="CI31" s="22"/>
      <c r="CJ31" s="23"/>
      <c r="CK31" s="29"/>
      <c r="CL31" s="29"/>
      <c r="CM31" s="22"/>
      <c r="CN31" s="22"/>
      <c r="CO31" s="22"/>
      <c r="CP31" s="22"/>
      <c r="CQ31" s="23"/>
      <c r="CR31" s="29"/>
      <c r="CS31" s="32">
        <f>SUM(Z31:CR31)</f>
        <v>0</v>
      </c>
    </row>
    <row r="32" spans="1:97" ht="15.95" customHeight="1" x14ac:dyDescent="0.2">
      <c r="A32" s="5"/>
      <c r="B32" s="36"/>
      <c r="C32" s="34"/>
      <c r="D32" s="34"/>
      <c r="E32" s="18"/>
      <c r="F32" s="38"/>
      <c r="G32" s="22"/>
      <c r="H32" s="22"/>
      <c r="I32" s="22"/>
      <c r="J32" s="22"/>
      <c r="K32" s="22"/>
      <c r="L32" s="29"/>
      <c r="M32" s="29"/>
      <c r="N32" s="22"/>
      <c r="O32" s="22"/>
      <c r="P32" s="22"/>
      <c r="Q32" s="22"/>
      <c r="R32" s="22"/>
      <c r="S32" s="29"/>
      <c r="T32" s="29"/>
      <c r="U32" s="22"/>
      <c r="V32" s="22"/>
      <c r="W32" s="22"/>
      <c r="X32" s="22"/>
      <c r="Y32" s="22"/>
      <c r="Z32" s="29"/>
      <c r="AA32" s="29"/>
      <c r="AB32" s="22"/>
      <c r="AC32" s="22"/>
      <c r="AD32" s="22"/>
      <c r="AE32" s="22"/>
      <c r="AF32" s="22"/>
      <c r="AG32" s="29"/>
      <c r="AH32" s="29"/>
      <c r="AI32" s="22"/>
      <c r="AJ32" s="22"/>
      <c r="AK32" s="62"/>
      <c r="AL32" s="49"/>
      <c r="AM32" s="22"/>
      <c r="AN32" s="29"/>
      <c r="AO32" s="29"/>
      <c r="AP32" s="22"/>
      <c r="AQ32" s="23"/>
      <c r="AR32" s="23"/>
      <c r="AS32" s="22"/>
      <c r="AT32" s="22"/>
      <c r="AU32" s="29"/>
      <c r="AV32" s="29"/>
      <c r="AW32" s="22"/>
      <c r="AX32" s="23"/>
      <c r="AY32" s="23"/>
      <c r="AZ32" s="22"/>
      <c r="BA32" s="22"/>
      <c r="BB32" s="29"/>
      <c r="BC32" s="29"/>
      <c r="BD32" s="22"/>
      <c r="BE32" s="23"/>
      <c r="BF32" s="23"/>
      <c r="BG32" s="22"/>
      <c r="BH32" s="22"/>
      <c r="BI32" s="29"/>
      <c r="BJ32" s="29"/>
      <c r="BK32" s="22"/>
      <c r="BL32" s="23"/>
      <c r="BM32" s="23"/>
      <c r="BN32" s="22"/>
      <c r="BO32" s="22"/>
      <c r="BP32" s="50"/>
      <c r="BQ32" s="51"/>
      <c r="BR32" s="22"/>
      <c r="BS32" s="22"/>
      <c r="BT32" s="22"/>
      <c r="BU32" s="22"/>
      <c r="BV32" s="23"/>
      <c r="BW32" s="29"/>
      <c r="BX32" s="29"/>
      <c r="BY32" s="22"/>
      <c r="BZ32" s="22"/>
      <c r="CA32" s="22"/>
      <c r="CB32" s="22"/>
      <c r="CC32" s="23"/>
      <c r="CD32" s="29"/>
      <c r="CE32" s="29"/>
      <c r="CF32" s="22"/>
      <c r="CG32" s="22"/>
      <c r="CH32" s="22"/>
      <c r="CI32" s="22"/>
      <c r="CJ32" s="23"/>
      <c r="CK32" s="29"/>
      <c r="CL32" s="29"/>
      <c r="CM32" s="22"/>
      <c r="CN32" s="22"/>
      <c r="CO32" s="22"/>
      <c r="CP32" s="22"/>
      <c r="CQ32" s="23"/>
      <c r="CR32" s="29"/>
      <c r="CS32" s="70"/>
    </row>
    <row r="33" spans="1:97" ht="15.95" customHeight="1" x14ac:dyDescent="0.2">
      <c r="A33" s="5"/>
      <c r="B33" s="36"/>
      <c r="C33" s="31" t="s">
        <v>32</v>
      </c>
      <c r="D33" s="31" t="s">
        <v>18</v>
      </c>
      <c r="E33" s="12" t="s">
        <v>47</v>
      </c>
      <c r="F33" s="11" t="s">
        <v>16</v>
      </c>
      <c r="G33" s="22"/>
      <c r="H33" s="22"/>
      <c r="I33" s="22"/>
      <c r="J33" s="22"/>
      <c r="K33" s="22"/>
      <c r="L33" s="29"/>
      <c r="M33" s="29"/>
      <c r="N33" s="22"/>
      <c r="O33" s="22"/>
      <c r="P33" s="22"/>
      <c r="Q33" s="22"/>
      <c r="R33" s="22"/>
      <c r="S33" s="29"/>
      <c r="T33" s="29"/>
      <c r="U33" s="22"/>
      <c r="V33" s="22"/>
      <c r="W33" s="22"/>
      <c r="X33" s="22"/>
      <c r="Y33" s="22"/>
      <c r="Z33" s="29"/>
      <c r="AA33" s="29"/>
      <c r="AB33" s="23">
        <v>4</v>
      </c>
      <c r="AC33" s="22">
        <v>4</v>
      </c>
      <c r="AD33" s="22">
        <v>4</v>
      </c>
      <c r="AE33" s="29">
        <v>4</v>
      </c>
      <c r="AF33" s="29">
        <v>4</v>
      </c>
      <c r="AG33" s="22">
        <v>4</v>
      </c>
      <c r="AH33" s="23">
        <v>4</v>
      </c>
      <c r="AI33" s="23">
        <v>4</v>
      </c>
      <c r="AJ33" s="22">
        <v>4</v>
      </c>
      <c r="AK33" s="22">
        <v>4</v>
      </c>
      <c r="AL33" s="50">
        <v>4</v>
      </c>
      <c r="AM33" s="22">
        <v>4</v>
      </c>
      <c r="AN33" s="29">
        <v>4</v>
      </c>
      <c r="AO33" s="29">
        <v>4</v>
      </c>
      <c r="AP33" s="22">
        <v>4</v>
      </c>
      <c r="AQ33" s="23">
        <v>4</v>
      </c>
      <c r="AR33" s="23">
        <v>4</v>
      </c>
      <c r="AS33" s="22">
        <v>4</v>
      </c>
      <c r="AT33" s="22">
        <v>4</v>
      </c>
      <c r="AU33" s="29">
        <v>4</v>
      </c>
      <c r="AV33" s="29">
        <v>4</v>
      </c>
      <c r="AW33" s="22">
        <v>4</v>
      </c>
      <c r="AX33" s="23">
        <v>4</v>
      </c>
      <c r="AY33" s="23">
        <v>4</v>
      </c>
      <c r="AZ33" s="22">
        <v>4</v>
      </c>
      <c r="BA33" s="22">
        <v>4</v>
      </c>
      <c r="BB33" s="29">
        <v>4</v>
      </c>
      <c r="BC33" s="29">
        <v>4</v>
      </c>
      <c r="BD33" s="22">
        <v>4</v>
      </c>
      <c r="BE33" s="23">
        <v>4</v>
      </c>
      <c r="BF33" s="23">
        <v>4</v>
      </c>
      <c r="BG33" s="22">
        <v>4</v>
      </c>
      <c r="BH33" s="22">
        <v>4</v>
      </c>
      <c r="BI33" s="29">
        <v>4</v>
      </c>
      <c r="BJ33" s="29">
        <v>4</v>
      </c>
      <c r="BK33" s="22">
        <v>4</v>
      </c>
      <c r="BL33" s="23">
        <v>4</v>
      </c>
      <c r="BM33" s="23">
        <v>2</v>
      </c>
      <c r="BN33" s="22"/>
      <c r="BO33" s="22"/>
      <c r="BP33" s="50"/>
      <c r="BQ33" s="51"/>
      <c r="BR33" s="22"/>
      <c r="BS33" s="22"/>
      <c r="BT33" s="22"/>
      <c r="BU33" s="22"/>
      <c r="BV33" s="23"/>
      <c r="BW33" s="29"/>
      <c r="BX33" s="29"/>
      <c r="BY33" s="22"/>
      <c r="BZ33" s="22"/>
      <c r="CA33" s="22"/>
      <c r="CB33" s="22"/>
      <c r="CC33" s="23"/>
      <c r="CD33" s="29"/>
      <c r="CE33" s="29"/>
      <c r="CF33" s="22"/>
      <c r="CG33" s="22"/>
      <c r="CH33" s="22"/>
      <c r="CI33" s="22"/>
      <c r="CJ33" s="23"/>
      <c r="CK33" s="29"/>
      <c r="CL33" s="29"/>
      <c r="CM33" s="22"/>
      <c r="CN33" s="22"/>
      <c r="CO33" s="22"/>
      <c r="CP33" s="22"/>
      <c r="CQ33" s="23"/>
      <c r="CR33" s="29"/>
      <c r="CS33" s="32">
        <f>SUM(Z33:CR33)</f>
        <v>150</v>
      </c>
    </row>
    <row r="34" spans="1:97" ht="15.95" customHeight="1" x14ac:dyDescent="0.2">
      <c r="A34" s="5"/>
      <c r="B34" s="36"/>
      <c r="C34" s="12"/>
      <c r="D34" s="12"/>
      <c r="E34" s="12"/>
      <c r="F34" s="11"/>
      <c r="G34" s="22"/>
      <c r="H34" s="22"/>
      <c r="I34" s="22"/>
      <c r="J34" s="22"/>
      <c r="K34" s="22"/>
      <c r="L34" s="29"/>
      <c r="M34" s="29"/>
      <c r="N34" s="22"/>
      <c r="O34" s="22"/>
      <c r="P34" s="22"/>
      <c r="Q34" s="22"/>
      <c r="R34" s="22"/>
      <c r="S34" s="29"/>
      <c r="T34" s="29"/>
      <c r="U34" s="22"/>
      <c r="V34" s="22"/>
      <c r="W34" s="22"/>
      <c r="X34" s="22"/>
      <c r="Y34" s="22"/>
      <c r="Z34" s="29"/>
      <c r="AA34" s="29"/>
      <c r="AB34" s="22"/>
      <c r="AC34" s="22"/>
      <c r="AD34" s="22"/>
      <c r="AE34" s="22"/>
      <c r="AF34" s="22"/>
      <c r="AG34" s="29"/>
      <c r="AH34" s="29"/>
      <c r="AI34" s="22"/>
      <c r="AJ34" s="22"/>
      <c r="AK34" s="62"/>
      <c r="AL34" s="49"/>
      <c r="AM34" s="22"/>
      <c r="AN34" s="29"/>
      <c r="AO34" s="29"/>
      <c r="AP34" s="22"/>
      <c r="AQ34" s="23"/>
      <c r="AR34" s="23"/>
      <c r="AS34" s="22"/>
      <c r="AT34" s="22"/>
      <c r="AU34" s="29"/>
      <c r="AV34" s="29"/>
      <c r="AW34" s="22"/>
      <c r="AX34" s="23"/>
      <c r="AY34" s="23"/>
      <c r="AZ34" s="22"/>
      <c r="BA34" s="22"/>
      <c r="BB34" s="29"/>
      <c r="BC34" s="29"/>
      <c r="BD34" s="22"/>
      <c r="BE34" s="23"/>
      <c r="BF34" s="23"/>
      <c r="BG34" s="22"/>
      <c r="BH34" s="22"/>
      <c r="BI34" s="29"/>
      <c r="BJ34" s="29"/>
      <c r="BK34" s="22"/>
      <c r="BL34" s="23"/>
      <c r="BM34" s="23"/>
      <c r="BN34" s="22"/>
      <c r="BO34" s="22"/>
      <c r="BP34" s="50"/>
      <c r="BQ34" s="51"/>
      <c r="BR34" s="22"/>
      <c r="BS34" s="22"/>
      <c r="BT34" s="22"/>
      <c r="BU34" s="22"/>
      <c r="BV34" s="23"/>
      <c r="BW34" s="29"/>
      <c r="BX34" s="29"/>
      <c r="BY34" s="22"/>
      <c r="BZ34" s="22"/>
      <c r="CA34" s="22"/>
      <c r="CB34" s="22"/>
      <c r="CC34" s="23"/>
      <c r="CD34" s="29"/>
      <c r="CE34" s="29"/>
      <c r="CF34" s="22"/>
      <c r="CG34" s="22"/>
      <c r="CH34" s="22"/>
      <c r="CI34" s="22"/>
      <c r="CJ34" s="23"/>
      <c r="CK34" s="29"/>
      <c r="CL34" s="29"/>
      <c r="CM34" s="22"/>
      <c r="CN34" s="22"/>
      <c r="CO34" s="22"/>
      <c r="CP34" s="22"/>
      <c r="CQ34" s="23"/>
      <c r="CR34" s="29"/>
      <c r="CS34" s="32">
        <f>SUM(Z34:CR34)</f>
        <v>0</v>
      </c>
    </row>
    <row r="35" spans="1:97" ht="15.95" customHeight="1" x14ac:dyDescent="0.2">
      <c r="A35" s="5"/>
      <c r="B35" s="36"/>
      <c r="C35" s="34"/>
      <c r="D35" s="34"/>
      <c r="E35" s="18"/>
      <c r="F35" s="38"/>
      <c r="G35" s="22"/>
      <c r="H35" s="22"/>
      <c r="I35" s="22"/>
      <c r="J35" s="22"/>
      <c r="K35" s="22"/>
      <c r="L35" s="29"/>
      <c r="M35" s="29"/>
      <c r="N35" s="22"/>
      <c r="O35" s="22"/>
      <c r="P35" s="22"/>
      <c r="Q35" s="22"/>
      <c r="R35" s="22"/>
      <c r="S35" s="29"/>
      <c r="T35" s="29"/>
      <c r="U35" s="22"/>
      <c r="V35" s="22"/>
      <c r="W35" s="22"/>
      <c r="X35" s="22"/>
      <c r="Y35" s="22"/>
      <c r="Z35" s="29"/>
      <c r="AA35" s="29"/>
      <c r="AB35" s="22"/>
      <c r="AC35" s="22"/>
      <c r="AD35" s="22"/>
      <c r="AE35" s="22"/>
      <c r="AF35" s="22"/>
      <c r="AG35" s="29"/>
      <c r="AH35" s="29"/>
      <c r="AI35" s="22"/>
      <c r="AJ35" s="22"/>
      <c r="AK35" s="62"/>
      <c r="AL35" s="49"/>
      <c r="AM35" s="22"/>
      <c r="AN35" s="29"/>
      <c r="AO35" s="29"/>
      <c r="AP35" s="22"/>
      <c r="AQ35" s="23"/>
      <c r="AR35" s="23"/>
      <c r="AS35" s="22"/>
      <c r="AT35" s="22"/>
      <c r="AU35" s="29"/>
      <c r="AV35" s="29"/>
      <c r="AW35" s="22"/>
      <c r="AX35" s="23"/>
      <c r="AY35" s="23"/>
      <c r="AZ35" s="22"/>
      <c r="BA35" s="22"/>
      <c r="BB35" s="29"/>
      <c r="BC35" s="29"/>
      <c r="BD35" s="22"/>
      <c r="BE35" s="23"/>
      <c r="BF35" s="23"/>
      <c r="BG35" s="22"/>
      <c r="BH35" s="22"/>
      <c r="BI35" s="29"/>
      <c r="BJ35" s="29"/>
      <c r="BK35" s="22"/>
      <c r="BL35" s="23"/>
      <c r="BM35" s="23"/>
      <c r="BN35" s="22"/>
      <c r="BO35" s="22"/>
      <c r="BP35" s="50"/>
      <c r="BQ35" s="51"/>
      <c r="BR35" s="22"/>
      <c r="BS35" s="22"/>
      <c r="BT35" s="22"/>
      <c r="BU35" s="22"/>
      <c r="BV35" s="23"/>
      <c r="BW35" s="29"/>
      <c r="BX35" s="29"/>
      <c r="BY35" s="22"/>
      <c r="BZ35" s="22"/>
      <c r="CA35" s="22"/>
      <c r="CB35" s="22"/>
      <c r="CC35" s="23"/>
      <c r="CD35" s="29"/>
      <c r="CE35" s="29"/>
      <c r="CF35" s="22"/>
      <c r="CG35" s="22"/>
      <c r="CH35" s="22"/>
      <c r="CI35" s="22"/>
      <c r="CJ35" s="23"/>
      <c r="CK35" s="29"/>
      <c r="CL35" s="29"/>
      <c r="CM35" s="22"/>
      <c r="CN35" s="22"/>
      <c r="CO35" s="22"/>
      <c r="CP35" s="22"/>
      <c r="CQ35" s="23"/>
      <c r="CR35" s="29"/>
      <c r="CS35" s="70"/>
    </row>
    <row r="36" spans="1:97" ht="15.95" customHeight="1" x14ac:dyDescent="0.2">
      <c r="A36" s="5"/>
      <c r="B36" s="36"/>
      <c r="C36" s="31" t="s">
        <v>12</v>
      </c>
      <c r="D36" s="31" t="s">
        <v>18</v>
      </c>
      <c r="E36" s="12" t="s">
        <v>47</v>
      </c>
      <c r="F36" s="11" t="s">
        <v>16</v>
      </c>
      <c r="G36" s="22"/>
      <c r="H36" s="22"/>
      <c r="I36" s="22"/>
      <c r="J36" s="22"/>
      <c r="K36" s="22"/>
      <c r="L36" s="29"/>
      <c r="M36" s="29"/>
      <c r="N36" s="22"/>
      <c r="O36" s="22"/>
      <c r="P36" s="22"/>
      <c r="Q36" s="22"/>
      <c r="R36" s="22"/>
      <c r="S36" s="29"/>
      <c r="T36" s="29"/>
      <c r="U36" s="22"/>
      <c r="V36" s="22"/>
      <c r="W36" s="22"/>
      <c r="X36" s="22"/>
      <c r="Y36" s="22"/>
      <c r="Z36" s="29"/>
      <c r="AA36" s="29"/>
      <c r="AB36" s="29">
        <v>4</v>
      </c>
      <c r="AC36" s="29">
        <v>4</v>
      </c>
      <c r="AD36" s="22">
        <v>4</v>
      </c>
      <c r="AE36" s="22">
        <v>4</v>
      </c>
      <c r="AF36" s="22">
        <v>4</v>
      </c>
      <c r="AG36" s="22">
        <v>4</v>
      </c>
      <c r="AH36" s="23">
        <v>4</v>
      </c>
      <c r="AI36" s="22">
        <v>4</v>
      </c>
      <c r="AJ36" s="22">
        <v>4</v>
      </c>
      <c r="AK36" s="62">
        <v>4</v>
      </c>
      <c r="AL36" s="49">
        <v>4</v>
      </c>
      <c r="AM36" s="22">
        <v>4</v>
      </c>
      <c r="AN36" s="29">
        <v>4</v>
      </c>
      <c r="AO36" s="29">
        <v>4</v>
      </c>
      <c r="AP36" s="22">
        <v>4</v>
      </c>
      <c r="AQ36" s="23">
        <v>4</v>
      </c>
      <c r="AR36" s="23">
        <v>4</v>
      </c>
      <c r="AS36" s="22">
        <v>4</v>
      </c>
      <c r="AT36" s="22">
        <v>4</v>
      </c>
      <c r="AU36" s="29">
        <v>4</v>
      </c>
      <c r="AV36" s="29">
        <v>3</v>
      </c>
      <c r="AW36" s="22">
        <v>3</v>
      </c>
      <c r="AX36" s="23">
        <v>3</v>
      </c>
      <c r="AY36" s="23">
        <v>3</v>
      </c>
      <c r="AZ36" s="22">
        <v>3</v>
      </c>
      <c r="BA36" s="22">
        <v>3</v>
      </c>
      <c r="BB36" s="29">
        <v>3</v>
      </c>
      <c r="BC36" s="29">
        <v>3</v>
      </c>
      <c r="BD36" s="22">
        <v>3</v>
      </c>
      <c r="BE36" s="23">
        <v>3</v>
      </c>
      <c r="BF36" s="23">
        <v>3</v>
      </c>
      <c r="BG36" s="22">
        <v>3</v>
      </c>
      <c r="BH36" s="22">
        <v>3</v>
      </c>
      <c r="BI36" s="29">
        <v>3</v>
      </c>
      <c r="BJ36" s="29">
        <v>3</v>
      </c>
      <c r="BK36" s="22">
        <v>3</v>
      </c>
      <c r="BL36" s="23">
        <v>3</v>
      </c>
      <c r="BM36" s="23">
        <v>3</v>
      </c>
      <c r="BN36" s="22">
        <v>3</v>
      </c>
      <c r="BO36" s="22">
        <v>3</v>
      </c>
      <c r="BP36" s="50">
        <v>3</v>
      </c>
      <c r="BQ36" s="51">
        <v>4</v>
      </c>
      <c r="BR36" s="22">
        <v>4</v>
      </c>
      <c r="BS36" s="22">
        <v>4</v>
      </c>
      <c r="BT36" s="22">
        <v>4</v>
      </c>
      <c r="BU36" s="22">
        <v>4</v>
      </c>
      <c r="BV36" s="23">
        <v>4</v>
      </c>
      <c r="BW36" s="29">
        <v>4</v>
      </c>
      <c r="BX36" s="29">
        <v>4</v>
      </c>
      <c r="BY36" s="22">
        <v>4</v>
      </c>
      <c r="BZ36" s="22">
        <v>4</v>
      </c>
      <c r="CA36" s="22">
        <v>4</v>
      </c>
      <c r="CB36" s="22">
        <v>4</v>
      </c>
      <c r="CC36" s="23">
        <v>4</v>
      </c>
      <c r="CD36" s="29"/>
      <c r="CE36" s="29"/>
      <c r="CF36" s="22"/>
      <c r="CG36" s="22"/>
      <c r="CH36" s="22"/>
      <c r="CI36" s="22"/>
      <c r="CJ36" s="23"/>
      <c r="CK36" s="29"/>
      <c r="CL36" s="29"/>
      <c r="CM36" s="22"/>
      <c r="CN36" s="22"/>
      <c r="CO36" s="22"/>
      <c r="CP36" s="22"/>
      <c r="CQ36" s="23"/>
      <c r="CR36" s="29"/>
      <c r="CS36" s="32">
        <f>SUM(Z36:CR36)</f>
        <v>195</v>
      </c>
    </row>
    <row r="37" spans="1:97" ht="15.95" customHeight="1" x14ac:dyDescent="0.2">
      <c r="A37" s="5"/>
      <c r="B37" s="36"/>
      <c r="C37" s="12"/>
      <c r="D37" s="12"/>
      <c r="E37" s="12"/>
      <c r="F37" s="11"/>
      <c r="G37" s="22"/>
      <c r="H37" s="22"/>
      <c r="I37" s="22"/>
      <c r="J37" s="22"/>
      <c r="K37" s="22"/>
      <c r="L37" s="29"/>
      <c r="M37" s="29"/>
      <c r="N37" s="22"/>
      <c r="O37" s="22"/>
      <c r="P37" s="22"/>
      <c r="Q37" s="22"/>
      <c r="R37" s="22"/>
      <c r="S37" s="29"/>
      <c r="T37" s="29"/>
      <c r="U37" s="22"/>
      <c r="V37" s="22"/>
      <c r="W37" s="22"/>
      <c r="X37" s="22"/>
      <c r="Y37" s="22"/>
      <c r="Z37" s="29"/>
      <c r="AA37" s="29"/>
      <c r="AB37" s="22"/>
      <c r="AC37" s="22"/>
      <c r="AD37" s="22"/>
      <c r="AE37" s="22"/>
      <c r="AF37" s="22"/>
      <c r="AG37" s="29"/>
      <c r="AH37" s="29"/>
      <c r="AI37" s="22"/>
      <c r="AJ37" s="22"/>
      <c r="AK37" s="62"/>
      <c r="AL37" s="49"/>
      <c r="AM37" s="22"/>
      <c r="AN37" s="29"/>
      <c r="AO37" s="29"/>
      <c r="AP37" s="22"/>
      <c r="AQ37" s="23"/>
      <c r="AR37" s="23"/>
      <c r="AS37" s="22"/>
      <c r="AT37" s="22"/>
      <c r="AU37" s="29"/>
      <c r="AV37" s="29"/>
      <c r="AW37" s="22"/>
      <c r="AX37" s="23"/>
      <c r="AY37" s="23"/>
      <c r="AZ37" s="22"/>
      <c r="BA37" s="22"/>
      <c r="BB37" s="29"/>
      <c r="BC37" s="29"/>
      <c r="BD37" s="22"/>
      <c r="BE37" s="23"/>
      <c r="BF37" s="23"/>
      <c r="BG37" s="22"/>
      <c r="BH37" s="22"/>
      <c r="BI37" s="29"/>
      <c r="BJ37" s="29"/>
      <c r="BK37" s="22"/>
      <c r="BL37" s="23"/>
      <c r="BM37" s="23"/>
      <c r="BN37" s="22"/>
      <c r="BO37" s="22"/>
      <c r="BP37" s="50"/>
      <c r="BQ37" s="51"/>
      <c r="BR37" s="22"/>
      <c r="BS37" s="22"/>
      <c r="BT37" s="22"/>
      <c r="BU37" s="22"/>
      <c r="BV37" s="23"/>
      <c r="BW37" s="29"/>
      <c r="BX37" s="29"/>
      <c r="BY37" s="22"/>
      <c r="BZ37" s="22"/>
      <c r="CA37" s="22"/>
      <c r="CB37" s="22"/>
      <c r="CC37" s="23"/>
      <c r="CD37" s="29"/>
      <c r="CE37" s="29"/>
      <c r="CF37" s="22"/>
      <c r="CG37" s="22"/>
      <c r="CH37" s="22"/>
      <c r="CI37" s="22"/>
      <c r="CJ37" s="23"/>
      <c r="CK37" s="29"/>
      <c r="CL37" s="29"/>
      <c r="CM37" s="22"/>
      <c r="CN37" s="22"/>
      <c r="CO37" s="22"/>
      <c r="CP37" s="22"/>
      <c r="CQ37" s="23"/>
      <c r="CR37" s="29"/>
      <c r="CS37" s="48">
        <f>SUM(Z37:CR37)</f>
        <v>0</v>
      </c>
    </row>
    <row r="38" spans="1:97" ht="15.95" customHeight="1" x14ac:dyDescent="0.2">
      <c r="A38" s="5"/>
      <c r="B38" s="36"/>
      <c r="C38" s="12"/>
      <c r="D38" s="12"/>
      <c r="E38" s="12"/>
      <c r="F38" s="11"/>
      <c r="G38" s="22"/>
      <c r="H38" s="22"/>
      <c r="I38" s="22"/>
      <c r="J38" s="22"/>
      <c r="K38" s="22"/>
      <c r="L38" s="29"/>
      <c r="M38" s="29"/>
      <c r="N38" s="22"/>
      <c r="O38" s="22"/>
      <c r="P38" s="22"/>
      <c r="Q38" s="22"/>
      <c r="R38" s="22"/>
      <c r="S38" s="29"/>
      <c r="T38" s="29"/>
      <c r="U38" s="22"/>
      <c r="V38" s="22"/>
      <c r="W38" s="22"/>
      <c r="X38" s="22"/>
      <c r="Y38" s="22"/>
      <c r="Z38" s="29"/>
      <c r="AA38" s="29"/>
      <c r="AB38" s="22"/>
      <c r="AC38" s="22"/>
      <c r="AD38" s="22"/>
      <c r="AE38" s="22"/>
      <c r="AF38" s="22"/>
      <c r="AG38" s="29"/>
      <c r="AH38" s="29"/>
      <c r="AI38" s="22"/>
      <c r="AJ38" s="22"/>
      <c r="AK38" s="62"/>
      <c r="AL38" s="49"/>
      <c r="AM38" s="22"/>
      <c r="AN38" s="29"/>
      <c r="AO38" s="29"/>
      <c r="AP38" s="22"/>
      <c r="AQ38" s="23"/>
      <c r="AR38" s="23"/>
      <c r="AS38" s="22"/>
      <c r="AT38" s="22"/>
      <c r="AU38" s="29"/>
      <c r="AV38" s="29"/>
      <c r="AW38" s="22"/>
      <c r="AX38" s="23"/>
      <c r="AY38" s="23"/>
      <c r="AZ38" s="22"/>
      <c r="BA38" s="22"/>
      <c r="BB38" s="29"/>
      <c r="BC38" s="29"/>
      <c r="BD38" s="22"/>
      <c r="BE38" s="23"/>
      <c r="BF38" s="23"/>
      <c r="BG38" s="22"/>
      <c r="BH38" s="22"/>
      <c r="BI38" s="29"/>
      <c r="BJ38" s="29"/>
      <c r="BK38" s="22"/>
      <c r="BL38" s="23"/>
      <c r="BM38" s="23"/>
      <c r="BN38" s="22"/>
      <c r="BO38" s="22"/>
      <c r="BP38" s="50"/>
      <c r="BQ38" s="51"/>
      <c r="BR38" s="22"/>
      <c r="BS38" s="22"/>
      <c r="BT38" s="22"/>
      <c r="BU38" s="22"/>
      <c r="BV38" s="23"/>
      <c r="BW38" s="29"/>
      <c r="BX38" s="29"/>
      <c r="BY38" s="22"/>
      <c r="BZ38" s="22"/>
      <c r="CA38" s="22"/>
      <c r="CB38" s="22"/>
      <c r="CC38" s="23"/>
      <c r="CD38" s="29"/>
      <c r="CE38" s="29"/>
      <c r="CF38" s="22"/>
      <c r="CG38" s="22"/>
      <c r="CH38" s="22"/>
      <c r="CI38" s="22"/>
      <c r="CJ38" s="23"/>
      <c r="CK38" s="29"/>
      <c r="CL38" s="29"/>
      <c r="CM38" s="22"/>
      <c r="CN38" s="22"/>
      <c r="CO38" s="22"/>
      <c r="CP38" s="22"/>
      <c r="CQ38" s="23"/>
      <c r="CR38" s="29"/>
      <c r="CS38" s="70"/>
    </row>
    <row r="39" spans="1:97" ht="15.95" customHeight="1" x14ac:dyDescent="0.2">
      <c r="A39" s="5"/>
      <c r="B39" s="36"/>
      <c r="C39" s="12" t="s">
        <v>33</v>
      </c>
      <c r="D39" s="31" t="s">
        <v>18</v>
      </c>
      <c r="E39" s="12" t="s">
        <v>47</v>
      </c>
      <c r="F39" s="11" t="s">
        <v>16</v>
      </c>
      <c r="G39" s="22"/>
      <c r="H39" s="22"/>
      <c r="I39" s="22"/>
      <c r="J39" s="22"/>
      <c r="K39" s="22"/>
      <c r="L39" s="29"/>
      <c r="M39" s="29"/>
      <c r="N39" s="22"/>
      <c r="O39" s="22"/>
      <c r="P39" s="22"/>
      <c r="Q39" s="22"/>
      <c r="R39" s="22"/>
      <c r="S39" s="29"/>
      <c r="T39" s="29"/>
      <c r="U39" s="22"/>
      <c r="V39" s="22"/>
      <c r="W39" s="22"/>
      <c r="X39" s="22"/>
      <c r="Y39" s="22"/>
      <c r="Z39" s="29"/>
      <c r="AA39" s="29"/>
      <c r="AB39" s="22"/>
      <c r="AC39" s="22"/>
      <c r="AD39" s="22"/>
      <c r="AE39" s="22"/>
      <c r="AF39" s="22"/>
      <c r="AG39" s="29"/>
      <c r="AH39" s="29"/>
      <c r="AI39" s="22"/>
      <c r="AJ39" s="22"/>
      <c r="AK39" s="62"/>
      <c r="AL39" s="49"/>
      <c r="AM39" s="22"/>
      <c r="AN39" s="29"/>
      <c r="AO39" s="29"/>
      <c r="AP39" s="22"/>
      <c r="AQ39" s="22"/>
      <c r="AR39" s="22"/>
      <c r="AS39" s="22"/>
      <c r="AT39" s="22"/>
      <c r="AU39" s="29"/>
      <c r="AV39" s="29"/>
      <c r="AW39" s="22"/>
      <c r="AX39" s="22"/>
      <c r="AY39" s="22"/>
      <c r="AZ39" s="22"/>
      <c r="BA39" s="22"/>
      <c r="BB39" s="29"/>
      <c r="BC39" s="29"/>
      <c r="BD39" s="22"/>
      <c r="BE39" s="22"/>
      <c r="BF39" s="22"/>
      <c r="BG39" s="22"/>
      <c r="BH39" s="22"/>
      <c r="BI39" s="29"/>
      <c r="BJ39" s="29"/>
      <c r="BK39" s="22"/>
      <c r="BL39" s="22"/>
      <c r="BM39" s="22"/>
      <c r="BN39" s="22"/>
      <c r="BO39" s="22"/>
      <c r="BP39" s="63"/>
      <c r="BQ39" s="51"/>
      <c r="BR39" s="22"/>
      <c r="BS39" s="22"/>
      <c r="BT39" s="22"/>
      <c r="BU39" s="22"/>
      <c r="BV39" s="23"/>
      <c r="BW39" s="29"/>
      <c r="BX39" s="29"/>
      <c r="BY39" s="22"/>
      <c r="BZ39" s="22"/>
      <c r="CA39" s="22"/>
      <c r="CB39" s="22"/>
      <c r="CC39" s="23"/>
      <c r="CD39" s="29"/>
      <c r="CE39" s="29"/>
      <c r="CF39" s="22"/>
      <c r="CG39" s="22"/>
      <c r="CH39" s="22"/>
      <c r="CI39" s="22"/>
      <c r="CJ39" s="23"/>
      <c r="CK39" s="29"/>
      <c r="CL39" s="29"/>
      <c r="CM39" s="22"/>
      <c r="CN39" s="22"/>
      <c r="CO39" s="22"/>
      <c r="CP39" s="22"/>
      <c r="CQ39" s="23"/>
      <c r="CR39" s="29"/>
      <c r="CS39" s="32">
        <f>SUM(Z39:CR39)</f>
        <v>0</v>
      </c>
    </row>
    <row r="40" spans="1:97" ht="15.95" customHeight="1" x14ac:dyDescent="0.2">
      <c r="A40" s="5"/>
      <c r="B40" s="36"/>
      <c r="C40" s="12"/>
      <c r="D40" s="12"/>
      <c r="E40" s="12"/>
      <c r="F40" s="11"/>
      <c r="G40" s="22"/>
      <c r="H40" s="22"/>
      <c r="I40" s="22"/>
      <c r="J40" s="22"/>
      <c r="K40" s="22"/>
      <c r="L40" s="29"/>
      <c r="M40" s="29"/>
      <c r="N40" s="22"/>
      <c r="O40" s="22"/>
      <c r="P40" s="22"/>
      <c r="Q40" s="22"/>
      <c r="R40" s="22"/>
      <c r="S40" s="29"/>
      <c r="T40" s="29"/>
      <c r="U40" s="22"/>
      <c r="V40" s="22"/>
      <c r="W40" s="22"/>
      <c r="X40" s="22"/>
      <c r="Y40" s="22"/>
      <c r="Z40" s="29"/>
      <c r="AA40" s="29"/>
      <c r="AB40" s="22"/>
      <c r="AC40" s="22"/>
      <c r="AD40" s="22"/>
      <c r="AE40" s="22"/>
      <c r="AF40" s="22"/>
      <c r="AG40" s="29"/>
      <c r="AH40" s="29"/>
      <c r="AI40" s="22"/>
      <c r="AJ40" s="22"/>
      <c r="AK40" s="62"/>
      <c r="AL40" s="49"/>
      <c r="AM40" s="22"/>
      <c r="AN40" s="29"/>
      <c r="AO40" s="29"/>
      <c r="AP40" s="22"/>
      <c r="AQ40" s="23"/>
      <c r="AR40" s="23"/>
      <c r="AS40" s="22"/>
      <c r="AT40" s="22"/>
      <c r="AU40" s="29"/>
      <c r="AV40" s="29"/>
      <c r="AW40" s="22"/>
      <c r="AX40" s="23"/>
      <c r="AY40" s="23"/>
      <c r="AZ40" s="22"/>
      <c r="BA40" s="22"/>
      <c r="BB40" s="29"/>
      <c r="BC40" s="29"/>
      <c r="BD40" s="22"/>
      <c r="BE40" s="23"/>
      <c r="BF40" s="23"/>
      <c r="BG40" s="22"/>
      <c r="BH40" s="22"/>
      <c r="BI40" s="29"/>
      <c r="BJ40" s="29"/>
      <c r="BK40" s="22"/>
      <c r="BL40" s="23"/>
      <c r="BM40" s="23"/>
      <c r="BN40" s="22"/>
      <c r="BO40" s="22"/>
      <c r="BP40" s="50"/>
      <c r="BQ40" s="51"/>
      <c r="BR40" s="22"/>
      <c r="BS40" s="9">
        <v>2</v>
      </c>
      <c r="BT40" s="9">
        <v>2</v>
      </c>
      <c r="BU40" s="9">
        <v>2</v>
      </c>
      <c r="BV40" s="8">
        <v>2</v>
      </c>
      <c r="BW40" s="10">
        <v>2</v>
      </c>
      <c r="BX40" s="10">
        <v>2</v>
      </c>
      <c r="BY40" s="8">
        <v>2</v>
      </c>
      <c r="BZ40" s="9">
        <v>2</v>
      </c>
      <c r="CA40" s="9">
        <v>2</v>
      </c>
      <c r="CB40" s="9">
        <v>2</v>
      </c>
      <c r="CC40" s="8">
        <v>2</v>
      </c>
      <c r="CD40" s="10">
        <v>2</v>
      </c>
      <c r="CE40" s="10">
        <v>2</v>
      </c>
      <c r="CF40" s="8">
        <v>2</v>
      </c>
      <c r="CG40" s="9">
        <v>2</v>
      </c>
      <c r="CH40" s="22"/>
      <c r="CI40" s="22"/>
      <c r="CJ40" s="23"/>
      <c r="CK40" s="29"/>
      <c r="CL40" s="29"/>
      <c r="CM40" s="22"/>
      <c r="CN40" s="22"/>
      <c r="CO40" s="22"/>
      <c r="CP40" s="22"/>
      <c r="CQ40" s="23"/>
      <c r="CR40" s="29"/>
      <c r="CS40" s="48">
        <f>SUM(Z40:CR40)</f>
        <v>30</v>
      </c>
    </row>
    <row r="41" spans="1:97" ht="15.95" customHeight="1" x14ac:dyDescent="0.2">
      <c r="A41" s="5"/>
      <c r="B41" s="36"/>
      <c r="C41" s="12"/>
      <c r="D41" s="12"/>
      <c r="E41" s="12"/>
      <c r="F41" s="11"/>
      <c r="G41" s="22"/>
      <c r="H41" s="22"/>
      <c r="I41" s="22"/>
      <c r="J41" s="22"/>
      <c r="K41" s="22"/>
      <c r="L41" s="29"/>
      <c r="M41" s="29"/>
      <c r="N41" s="22"/>
      <c r="O41" s="22"/>
      <c r="P41" s="22"/>
      <c r="Q41" s="22"/>
      <c r="R41" s="22"/>
      <c r="S41" s="29"/>
      <c r="T41" s="29"/>
      <c r="U41" s="22"/>
      <c r="V41" s="22"/>
      <c r="W41" s="22"/>
      <c r="X41" s="22"/>
      <c r="Y41" s="22"/>
      <c r="Z41" s="29"/>
      <c r="AA41" s="29"/>
      <c r="AB41" s="22"/>
      <c r="AC41" s="22"/>
      <c r="AD41" s="22"/>
      <c r="AE41" s="22"/>
      <c r="AF41" s="22"/>
      <c r="AG41" s="29"/>
      <c r="AH41" s="29"/>
      <c r="AI41" s="22"/>
      <c r="AJ41" s="22"/>
      <c r="AK41" s="62"/>
      <c r="AL41" s="49"/>
      <c r="AM41" s="22"/>
      <c r="AN41" s="29"/>
      <c r="AO41" s="29"/>
      <c r="AP41" s="22"/>
      <c r="AQ41" s="23"/>
      <c r="AR41" s="23"/>
      <c r="AS41" s="22"/>
      <c r="AT41" s="22"/>
      <c r="AU41" s="29"/>
      <c r="AV41" s="29"/>
      <c r="AW41" s="22"/>
      <c r="AX41" s="23"/>
      <c r="AY41" s="23"/>
      <c r="AZ41" s="22"/>
      <c r="BA41" s="22"/>
      <c r="BB41" s="29"/>
      <c r="BC41" s="29"/>
      <c r="BD41" s="22"/>
      <c r="BE41" s="23"/>
      <c r="BF41" s="23"/>
      <c r="BG41" s="22"/>
      <c r="BH41" s="22"/>
      <c r="BI41" s="29"/>
      <c r="BJ41" s="29"/>
      <c r="BK41" s="22"/>
      <c r="BL41" s="23"/>
      <c r="BM41" s="23"/>
      <c r="BN41" s="22"/>
      <c r="BO41" s="22"/>
      <c r="BP41" s="50"/>
      <c r="BQ41" s="51"/>
      <c r="BR41" s="22"/>
      <c r="BS41" s="22"/>
      <c r="BT41" s="22"/>
      <c r="BU41" s="22"/>
      <c r="BV41" s="23"/>
      <c r="BW41" s="29"/>
      <c r="BX41" s="29"/>
      <c r="BY41" s="22"/>
      <c r="BZ41" s="22"/>
      <c r="CA41" s="22"/>
      <c r="CB41" s="22"/>
      <c r="CC41" s="23"/>
      <c r="CD41" s="29"/>
      <c r="CE41" s="29"/>
      <c r="CF41" s="22"/>
      <c r="CG41" s="22"/>
      <c r="CH41" s="22"/>
      <c r="CI41" s="22"/>
      <c r="CJ41" s="23"/>
      <c r="CK41" s="29"/>
      <c r="CL41" s="29"/>
      <c r="CM41" s="22"/>
      <c r="CN41" s="22"/>
      <c r="CO41" s="22"/>
      <c r="CP41" s="22"/>
      <c r="CQ41" s="23"/>
      <c r="CR41" s="29"/>
      <c r="CS41" s="32"/>
    </row>
    <row r="42" spans="1:97" ht="15.95" customHeight="1" x14ac:dyDescent="0.2">
      <c r="A42" s="5"/>
      <c r="B42" s="36"/>
      <c r="C42" s="12" t="s">
        <v>34</v>
      </c>
      <c r="D42" s="31" t="s">
        <v>18</v>
      </c>
      <c r="E42" s="12" t="s">
        <v>47</v>
      </c>
      <c r="F42" s="11" t="s">
        <v>16</v>
      </c>
      <c r="G42" s="22"/>
      <c r="H42" s="22"/>
      <c r="I42" s="22"/>
      <c r="J42" s="22"/>
      <c r="K42" s="22"/>
      <c r="L42" s="29"/>
      <c r="M42" s="29"/>
      <c r="N42" s="22"/>
      <c r="O42" s="22"/>
      <c r="P42" s="22"/>
      <c r="Q42" s="22"/>
      <c r="R42" s="22"/>
      <c r="S42" s="29"/>
      <c r="T42" s="29"/>
      <c r="U42" s="22"/>
      <c r="V42" s="22"/>
      <c r="W42" s="22"/>
      <c r="X42" s="22"/>
      <c r="Y42" s="22"/>
      <c r="Z42" s="29"/>
      <c r="AA42" s="29"/>
      <c r="AB42" s="22">
        <v>3</v>
      </c>
      <c r="AC42" s="22">
        <v>3</v>
      </c>
      <c r="AD42" s="22">
        <v>3</v>
      </c>
      <c r="AE42" s="22">
        <v>3</v>
      </c>
      <c r="AF42" s="22">
        <v>3</v>
      </c>
      <c r="AG42" s="29">
        <v>3</v>
      </c>
      <c r="AH42" s="29">
        <v>3</v>
      </c>
      <c r="AI42" s="22">
        <v>3</v>
      </c>
      <c r="AJ42" s="22">
        <v>3</v>
      </c>
      <c r="AK42" s="62">
        <v>3</v>
      </c>
      <c r="AL42" s="49">
        <v>3</v>
      </c>
      <c r="AM42" s="22">
        <v>3</v>
      </c>
      <c r="AN42" s="29">
        <v>3</v>
      </c>
      <c r="AO42" s="29">
        <v>3</v>
      </c>
      <c r="AP42" s="22">
        <v>3</v>
      </c>
      <c r="AQ42" s="22">
        <v>3</v>
      </c>
      <c r="AR42" s="22">
        <v>3</v>
      </c>
      <c r="AS42" s="22">
        <v>3</v>
      </c>
      <c r="AT42" s="22">
        <v>3</v>
      </c>
      <c r="AU42" s="29">
        <v>3</v>
      </c>
      <c r="AV42" s="29">
        <v>3</v>
      </c>
      <c r="AW42" s="22">
        <v>3</v>
      </c>
      <c r="AX42" s="22">
        <v>3</v>
      </c>
      <c r="AY42" s="22">
        <v>3</v>
      </c>
      <c r="AZ42" s="22">
        <v>3</v>
      </c>
      <c r="BA42" s="22">
        <v>3</v>
      </c>
      <c r="BB42" s="29">
        <v>3</v>
      </c>
      <c r="BC42" s="29">
        <v>3</v>
      </c>
      <c r="BD42" s="22">
        <v>3</v>
      </c>
      <c r="BE42" s="22">
        <v>3</v>
      </c>
      <c r="BF42" s="22">
        <v>3</v>
      </c>
      <c r="BG42" s="22">
        <v>3</v>
      </c>
      <c r="BH42" s="22">
        <v>3</v>
      </c>
      <c r="BI42" s="29">
        <v>3</v>
      </c>
      <c r="BJ42" s="29">
        <v>3</v>
      </c>
      <c r="BK42" s="22">
        <v>3</v>
      </c>
      <c r="BL42" s="22">
        <v>3</v>
      </c>
      <c r="BM42" s="22">
        <v>3</v>
      </c>
      <c r="BN42" s="22">
        <v>3</v>
      </c>
      <c r="BO42" s="22">
        <v>3</v>
      </c>
      <c r="BP42" s="63">
        <v>3</v>
      </c>
      <c r="BQ42" s="51">
        <v>3</v>
      </c>
      <c r="BR42" s="22">
        <v>3</v>
      </c>
      <c r="BS42" s="22">
        <v>3</v>
      </c>
      <c r="BT42" s="22">
        <v>3</v>
      </c>
      <c r="BU42" s="22">
        <v>3</v>
      </c>
      <c r="BV42" s="22">
        <v>3</v>
      </c>
      <c r="BW42" s="29">
        <v>3</v>
      </c>
      <c r="BX42" s="29">
        <v>3</v>
      </c>
      <c r="BY42" s="22">
        <v>3</v>
      </c>
      <c r="BZ42" s="22">
        <v>3</v>
      </c>
      <c r="CA42" s="22">
        <v>3</v>
      </c>
      <c r="CB42" s="22">
        <v>3</v>
      </c>
      <c r="CC42" s="22">
        <v>3</v>
      </c>
      <c r="CD42" s="29">
        <v>3</v>
      </c>
      <c r="CE42" s="29">
        <v>3</v>
      </c>
      <c r="CF42" s="22">
        <v>3</v>
      </c>
      <c r="CG42" s="22">
        <v>3</v>
      </c>
      <c r="CH42" s="22">
        <v>3</v>
      </c>
      <c r="CI42" s="22">
        <v>3</v>
      </c>
      <c r="CJ42" s="22">
        <v>3</v>
      </c>
      <c r="CK42" s="29">
        <v>3</v>
      </c>
      <c r="CL42" s="29"/>
      <c r="CM42" s="22"/>
      <c r="CN42" s="22"/>
      <c r="CO42" s="22"/>
      <c r="CP42" s="22"/>
      <c r="CQ42" s="23"/>
      <c r="CR42" s="29"/>
      <c r="CS42" s="32">
        <f>SUM(Z42:CR42)</f>
        <v>186</v>
      </c>
    </row>
    <row r="43" spans="1:97" ht="15.95" customHeight="1" x14ac:dyDescent="0.2">
      <c r="A43" s="5"/>
      <c r="B43" s="36"/>
      <c r="C43" s="12"/>
      <c r="D43" s="12"/>
      <c r="E43" s="12"/>
      <c r="F43" s="11"/>
      <c r="G43" s="22"/>
      <c r="H43" s="22"/>
      <c r="I43" s="22"/>
      <c r="J43" s="22"/>
      <c r="K43" s="22"/>
      <c r="L43" s="29"/>
      <c r="M43" s="29"/>
      <c r="N43" s="22"/>
      <c r="O43" s="22"/>
      <c r="P43" s="22"/>
      <c r="Q43" s="22"/>
      <c r="R43" s="22"/>
      <c r="S43" s="29"/>
      <c r="T43" s="29"/>
      <c r="U43" s="22"/>
      <c r="V43" s="22"/>
      <c r="W43" s="22"/>
      <c r="X43" s="22"/>
      <c r="Y43" s="22"/>
      <c r="Z43" s="29"/>
      <c r="AA43" s="29"/>
      <c r="AB43" s="22"/>
      <c r="AC43" s="22"/>
      <c r="AD43" s="22"/>
      <c r="AE43" s="22"/>
      <c r="AF43" s="22"/>
      <c r="AG43" s="29"/>
      <c r="AH43" s="29"/>
      <c r="AI43" s="22"/>
      <c r="AJ43" s="22"/>
      <c r="AK43" s="62"/>
      <c r="AL43" s="49"/>
      <c r="AM43" s="22"/>
      <c r="AN43" s="29"/>
      <c r="AO43" s="29"/>
      <c r="AP43" s="22"/>
      <c r="AQ43" s="23"/>
      <c r="AR43" s="23"/>
      <c r="AS43" s="22"/>
      <c r="AT43" s="22"/>
      <c r="AU43" s="29"/>
      <c r="AV43" s="29"/>
      <c r="AW43" s="22"/>
      <c r="AX43" s="23"/>
      <c r="AY43" s="23"/>
      <c r="AZ43" s="22"/>
      <c r="BA43" s="22"/>
      <c r="BB43" s="29"/>
      <c r="BC43" s="29"/>
      <c r="BD43" s="22"/>
      <c r="BE43" s="23"/>
      <c r="BF43" s="23"/>
      <c r="BG43" s="22"/>
      <c r="BH43" s="22"/>
      <c r="BI43" s="29"/>
      <c r="BJ43" s="29"/>
      <c r="BK43" s="22"/>
      <c r="BL43" s="23"/>
      <c r="BM43" s="23"/>
      <c r="BN43" s="22"/>
      <c r="BO43" s="22"/>
      <c r="BP43" s="50"/>
      <c r="BQ43" s="51"/>
      <c r="BR43" s="22"/>
      <c r="BS43" s="22"/>
      <c r="BT43" s="22"/>
      <c r="BU43" s="22"/>
      <c r="BV43" s="23"/>
      <c r="BW43" s="29"/>
      <c r="BX43" s="29"/>
      <c r="BY43" s="22"/>
      <c r="BZ43" s="22"/>
      <c r="CA43" s="22"/>
      <c r="CB43" s="22"/>
      <c r="CC43" s="23"/>
      <c r="CD43" s="29"/>
      <c r="CE43" s="29"/>
      <c r="CF43" s="22"/>
      <c r="CG43" s="22"/>
      <c r="CH43" s="22"/>
      <c r="CI43" s="22"/>
      <c r="CJ43" s="23"/>
      <c r="CK43" s="29"/>
      <c r="CL43" s="29"/>
      <c r="CM43" s="22"/>
      <c r="CN43" s="22"/>
      <c r="CO43" s="22"/>
      <c r="CP43" s="22"/>
      <c r="CQ43" s="23"/>
      <c r="CR43" s="29"/>
      <c r="CS43" s="48">
        <f>SUM(Z43:CR43)</f>
        <v>0</v>
      </c>
    </row>
    <row r="44" spans="1:97" ht="15.95" customHeight="1" x14ac:dyDescent="0.2">
      <c r="A44" s="5"/>
      <c r="B44" s="36"/>
      <c r="C44" s="12"/>
      <c r="D44" s="12"/>
      <c r="E44" s="12"/>
      <c r="F44" s="11"/>
      <c r="G44" s="22"/>
      <c r="H44" s="22"/>
      <c r="I44" s="22"/>
      <c r="J44" s="22"/>
      <c r="K44" s="22"/>
      <c r="L44" s="29"/>
      <c r="M44" s="29"/>
      <c r="N44" s="22"/>
      <c r="O44" s="22"/>
      <c r="P44" s="22"/>
      <c r="Q44" s="22"/>
      <c r="R44" s="22"/>
      <c r="S44" s="29"/>
      <c r="T44" s="29"/>
      <c r="U44" s="22"/>
      <c r="V44" s="22"/>
      <c r="W44" s="22"/>
      <c r="X44" s="22"/>
      <c r="Y44" s="22"/>
      <c r="Z44" s="29"/>
      <c r="AA44" s="29"/>
      <c r="AB44" s="22"/>
      <c r="AC44" s="22"/>
      <c r="AD44" s="22"/>
      <c r="AE44" s="22"/>
      <c r="AF44" s="22"/>
      <c r="AG44" s="29"/>
      <c r="AH44" s="29"/>
      <c r="AI44" s="22"/>
      <c r="AJ44" s="22"/>
      <c r="AK44" s="62"/>
      <c r="AL44" s="49"/>
      <c r="AM44" s="22"/>
      <c r="AN44" s="29"/>
      <c r="AO44" s="29"/>
      <c r="AP44" s="22"/>
      <c r="AQ44" s="23"/>
      <c r="AR44" s="23"/>
      <c r="AS44" s="22"/>
      <c r="AT44" s="22"/>
      <c r="AU44" s="29"/>
      <c r="AV44" s="29"/>
      <c r="AW44" s="22"/>
      <c r="AX44" s="23"/>
      <c r="AY44" s="23"/>
      <c r="AZ44" s="22"/>
      <c r="BA44" s="22"/>
      <c r="BB44" s="29"/>
      <c r="BC44" s="29"/>
      <c r="BD44" s="22"/>
      <c r="BE44" s="23"/>
      <c r="BF44" s="23"/>
      <c r="BG44" s="22"/>
      <c r="BH44" s="22"/>
      <c r="BI44" s="29"/>
      <c r="BJ44" s="29"/>
      <c r="BK44" s="22"/>
      <c r="BL44" s="23"/>
      <c r="BM44" s="23"/>
      <c r="BN44" s="22"/>
      <c r="BO44" s="22"/>
      <c r="BP44" s="50"/>
      <c r="BQ44" s="51"/>
      <c r="BR44" s="22"/>
      <c r="BS44" s="22"/>
      <c r="BT44" s="22"/>
      <c r="BU44" s="22"/>
      <c r="BV44" s="23"/>
      <c r="BW44" s="29"/>
      <c r="BX44" s="29"/>
      <c r="BY44" s="22"/>
      <c r="BZ44" s="22"/>
      <c r="CA44" s="22"/>
      <c r="CB44" s="22"/>
      <c r="CC44" s="23"/>
      <c r="CD44" s="29"/>
      <c r="CE44" s="29"/>
      <c r="CF44" s="22"/>
      <c r="CG44" s="22"/>
      <c r="CH44" s="22"/>
      <c r="CI44" s="22"/>
      <c r="CJ44" s="23"/>
      <c r="CK44" s="29"/>
      <c r="CL44" s="29"/>
      <c r="CM44" s="22"/>
      <c r="CN44" s="22"/>
      <c r="CO44" s="22"/>
      <c r="CP44" s="22"/>
      <c r="CQ44" s="23"/>
      <c r="CR44" s="29"/>
      <c r="CS44" s="70"/>
    </row>
    <row r="45" spans="1:97" ht="15.95" customHeight="1" x14ac:dyDescent="0.2">
      <c r="A45" s="5"/>
      <c r="B45" s="36"/>
      <c r="C45" s="12" t="s">
        <v>35</v>
      </c>
      <c r="D45" s="31" t="s">
        <v>18</v>
      </c>
      <c r="E45" s="12" t="s">
        <v>47</v>
      </c>
      <c r="F45" s="11" t="s">
        <v>16</v>
      </c>
      <c r="G45" s="22"/>
      <c r="H45" s="22"/>
      <c r="I45" s="22"/>
      <c r="J45" s="22"/>
      <c r="K45" s="22"/>
      <c r="L45" s="29"/>
      <c r="M45" s="29"/>
      <c r="N45" s="22"/>
      <c r="O45" s="22"/>
      <c r="P45" s="22"/>
      <c r="Q45" s="22"/>
      <c r="R45" s="22"/>
      <c r="S45" s="29"/>
      <c r="T45" s="29"/>
      <c r="U45" s="22"/>
      <c r="V45" s="22"/>
      <c r="W45" s="22"/>
      <c r="X45" s="22"/>
      <c r="Y45" s="22"/>
      <c r="Z45" s="29"/>
      <c r="AA45" s="29"/>
      <c r="AB45" s="22">
        <v>3</v>
      </c>
      <c r="AC45" s="22">
        <v>3</v>
      </c>
      <c r="AD45" s="22">
        <v>3</v>
      </c>
      <c r="AE45" s="22">
        <v>3</v>
      </c>
      <c r="AF45" s="22">
        <v>3</v>
      </c>
      <c r="AG45" s="29">
        <v>3</v>
      </c>
      <c r="AH45" s="29">
        <v>3</v>
      </c>
      <c r="AI45" s="22">
        <v>3</v>
      </c>
      <c r="AJ45" s="22">
        <v>3</v>
      </c>
      <c r="AK45" s="62">
        <v>3</v>
      </c>
      <c r="AL45" s="49">
        <v>3</v>
      </c>
      <c r="AM45" s="22">
        <v>3</v>
      </c>
      <c r="AN45" s="29">
        <v>3</v>
      </c>
      <c r="AO45" s="29">
        <v>3</v>
      </c>
      <c r="AP45" s="22">
        <v>3</v>
      </c>
      <c r="AQ45" s="22">
        <v>3</v>
      </c>
      <c r="AR45" s="22">
        <v>3</v>
      </c>
      <c r="AS45" s="22">
        <v>3</v>
      </c>
      <c r="AT45" s="22">
        <v>3</v>
      </c>
      <c r="AU45" s="29">
        <v>3</v>
      </c>
      <c r="AV45" s="29">
        <v>3</v>
      </c>
      <c r="AW45" s="22">
        <v>3</v>
      </c>
      <c r="AX45" s="22">
        <v>3</v>
      </c>
      <c r="AY45" s="22">
        <v>3</v>
      </c>
      <c r="AZ45" s="22">
        <v>3</v>
      </c>
      <c r="BA45" s="22">
        <v>3</v>
      </c>
      <c r="BB45" s="29">
        <v>3</v>
      </c>
      <c r="BC45" s="29">
        <v>3</v>
      </c>
      <c r="BD45" s="22">
        <v>3</v>
      </c>
      <c r="BE45" s="22">
        <v>3</v>
      </c>
      <c r="BF45" s="22">
        <v>3</v>
      </c>
      <c r="BG45" s="22">
        <v>3</v>
      </c>
      <c r="BH45" s="22">
        <v>3</v>
      </c>
      <c r="BI45" s="29">
        <v>3</v>
      </c>
      <c r="BJ45" s="29">
        <v>3</v>
      </c>
      <c r="BK45" s="22">
        <v>3</v>
      </c>
      <c r="BL45" s="22">
        <v>3</v>
      </c>
      <c r="BM45" s="22">
        <v>3</v>
      </c>
      <c r="BN45" s="22">
        <v>3</v>
      </c>
      <c r="BO45" s="22">
        <v>3</v>
      </c>
      <c r="BP45" s="63">
        <v>3</v>
      </c>
      <c r="BQ45" s="51">
        <v>3</v>
      </c>
      <c r="BR45" s="22">
        <v>3</v>
      </c>
      <c r="BS45" s="22">
        <v>3</v>
      </c>
      <c r="BT45" s="22">
        <v>3</v>
      </c>
      <c r="BU45" s="22">
        <v>3</v>
      </c>
      <c r="BV45" s="22">
        <v>3</v>
      </c>
      <c r="BW45" s="29">
        <v>3</v>
      </c>
      <c r="BX45" s="29">
        <v>3</v>
      </c>
      <c r="BY45" s="22">
        <v>3</v>
      </c>
      <c r="BZ45" s="22">
        <v>3</v>
      </c>
      <c r="CA45" s="22">
        <v>3</v>
      </c>
      <c r="CB45" s="22">
        <v>3</v>
      </c>
      <c r="CC45" s="22">
        <v>3</v>
      </c>
      <c r="CD45" s="29">
        <v>3</v>
      </c>
      <c r="CE45" s="29">
        <v>3</v>
      </c>
      <c r="CF45" s="22">
        <v>3</v>
      </c>
      <c r="CG45" s="22">
        <v>3</v>
      </c>
      <c r="CH45" s="22">
        <v>3</v>
      </c>
      <c r="CI45" s="22">
        <v>3</v>
      </c>
      <c r="CJ45" s="22">
        <v>3</v>
      </c>
      <c r="CK45" s="29">
        <v>3</v>
      </c>
      <c r="CL45" s="29"/>
      <c r="CM45" s="22"/>
      <c r="CN45" s="22"/>
      <c r="CO45" s="22"/>
      <c r="CP45" s="22"/>
      <c r="CQ45" s="23"/>
      <c r="CR45" s="29"/>
      <c r="CS45" s="32">
        <f>SUM(Z45:CR45)</f>
        <v>186</v>
      </c>
    </row>
    <row r="46" spans="1:97" ht="15.95" customHeight="1" x14ac:dyDescent="0.2">
      <c r="A46" s="5"/>
      <c r="B46" s="36"/>
      <c r="C46" s="12"/>
      <c r="D46" s="12"/>
      <c r="E46" s="12"/>
      <c r="F46" s="11"/>
      <c r="G46" s="22"/>
      <c r="H46" s="22"/>
      <c r="I46" s="22"/>
      <c r="J46" s="22"/>
      <c r="K46" s="22"/>
      <c r="L46" s="29"/>
      <c r="M46" s="29"/>
      <c r="N46" s="22"/>
      <c r="O46" s="22"/>
      <c r="P46" s="22"/>
      <c r="Q46" s="22"/>
      <c r="R46" s="22"/>
      <c r="S46" s="29"/>
      <c r="T46" s="29"/>
      <c r="U46" s="22"/>
      <c r="V46" s="22"/>
      <c r="W46" s="22"/>
      <c r="X46" s="22"/>
      <c r="Y46" s="22"/>
      <c r="Z46" s="29"/>
      <c r="AA46" s="29"/>
      <c r="AB46" s="22"/>
      <c r="AC46" s="22"/>
      <c r="AD46" s="22"/>
      <c r="AE46" s="22"/>
      <c r="AF46" s="22"/>
      <c r="AG46" s="29"/>
      <c r="AH46" s="29"/>
      <c r="AI46" s="22"/>
      <c r="AJ46" s="22"/>
      <c r="AK46" s="62"/>
      <c r="AL46" s="49"/>
      <c r="AM46" s="22"/>
      <c r="AN46" s="29"/>
      <c r="AO46" s="29"/>
      <c r="AP46" s="22"/>
      <c r="AQ46" s="23"/>
      <c r="AR46" s="23"/>
      <c r="AS46" s="22"/>
      <c r="AT46" s="22"/>
      <c r="AU46" s="29"/>
      <c r="AV46" s="29"/>
      <c r="AW46" s="22"/>
      <c r="AX46" s="23"/>
      <c r="AY46" s="23"/>
      <c r="AZ46" s="22"/>
      <c r="BA46" s="22"/>
      <c r="BB46" s="29"/>
      <c r="BC46" s="29"/>
      <c r="BD46" s="22"/>
      <c r="BE46" s="23"/>
      <c r="BF46" s="23"/>
      <c r="BG46" s="22"/>
      <c r="BH46" s="22"/>
      <c r="BI46" s="29"/>
      <c r="BJ46" s="29"/>
      <c r="BK46" s="22"/>
      <c r="BL46" s="23"/>
      <c r="BM46" s="23"/>
      <c r="BN46" s="22"/>
      <c r="BO46" s="22"/>
      <c r="BP46" s="50"/>
      <c r="BQ46" s="51"/>
      <c r="BR46" s="22"/>
      <c r="BS46" s="22"/>
      <c r="BT46" s="22"/>
      <c r="BU46" s="22"/>
      <c r="BV46" s="23"/>
      <c r="BW46" s="29"/>
      <c r="BX46" s="29"/>
      <c r="BY46" s="22"/>
      <c r="BZ46" s="22"/>
      <c r="CA46" s="22"/>
      <c r="CB46" s="22"/>
      <c r="CC46" s="23"/>
      <c r="CD46" s="29"/>
      <c r="CE46" s="29"/>
      <c r="CF46" s="22"/>
      <c r="CG46" s="22"/>
      <c r="CH46" s="22"/>
      <c r="CI46" s="22"/>
      <c r="CJ46" s="23"/>
      <c r="CK46" s="29"/>
      <c r="CL46" s="29"/>
      <c r="CM46" s="22"/>
      <c r="CN46" s="22"/>
      <c r="CO46" s="22"/>
      <c r="CP46" s="22"/>
      <c r="CQ46" s="23"/>
      <c r="CR46" s="29"/>
      <c r="CS46" s="48">
        <f>SUM(Z46:CR46)</f>
        <v>0</v>
      </c>
    </row>
    <row r="47" spans="1:97" ht="15.95" customHeight="1" x14ac:dyDescent="0.2">
      <c r="A47" s="5"/>
      <c r="B47" s="36"/>
      <c r="C47" s="12"/>
      <c r="D47" s="12"/>
      <c r="E47" s="12"/>
      <c r="F47" s="11"/>
      <c r="G47" s="22"/>
      <c r="H47" s="22"/>
      <c r="I47" s="22"/>
      <c r="J47" s="22"/>
      <c r="K47" s="22"/>
      <c r="L47" s="29"/>
      <c r="M47" s="29"/>
      <c r="N47" s="22"/>
      <c r="O47" s="22"/>
      <c r="P47" s="22"/>
      <c r="Q47" s="22"/>
      <c r="R47" s="22"/>
      <c r="S47" s="29"/>
      <c r="T47" s="29"/>
      <c r="U47" s="22"/>
      <c r="V47" s="22"/>
      <c r="W47" s="22"/>
      <c r="X47" s="22"/>
      <c r="Y47" s="22"/>
      <c r="Z47" s="29"/>
      <c r="AA47" s="29"/>
      <c r="AB47" s="22"/>
      <c r="AC47" s="22"/>
      <c r="AD47" s="22"/>
      <c r="AE47" s="22"/>
      <c r="AF47" s="22"/>
      <c r="AG47" s="29"/>
      <c r="AH47" s="29"/>
      <c r="AI47" s="22"/>
      <c r="AJ47" s="22"/>
      <c r="AK47" s="62"/>
      <c r="AL47" s="49"/>
      <c r="AM47" s="22"/>
      <c r="AN47" s="29"/>
      <c r="AO47" s="29"/>
      <c r="AP47" s="22"/>
      <c r="AQ47" s="23"/>
      <c r="AR47" s="23"/>
      <c r="AS47" s="22"/>
      <c r="AT47" s="22"/>
      <c r="AU47" s="29"/>
      <c r="AV47" s="29"/>
      <c r="AW47" s="22"/>
      <c r="AX47" s="23"/>
      <c r="AY47" s="23"/>
      <c r="AZ47" s="22"/>
      <c r="BA47" s="22"/>
      <c r="BB47" s="29"/>
      <c r="BC47" s="29"/>
      <c r="BD47" s="22"/>
      <c r="BE47" s="23"/>
      <c r="BF47" s="23"/>
      <c r="BG47" s="22"/>
      <c r="BH47" s="22"/>
      <c r="BI47" s="29"/>
      <c r="BJ47" s="29"/>
      <c r="BK47" s="22"/>
      <c r="BL47" s="23"/>
      <c r="BM47" s="23"/>
      <c r="BN47" s="22"/>
      <c r="BO47" s="22"/>
      <c r="BP47" s="50"/>
      <c r="BQ47" s="51"/>
      <c r="BR47" s="22"/>
      <c r="BS47" s="22"/>
      <c r="BT47" s="22"/>
      <c r="BU47" s="22"/>
      <c r="BV47" s="23"/>
      <c r="BW47" s="29"/>
      <c r="BX47" s="29"/>
      <c r="BY47" s="22"/>
      <c r="BZ47" s="22"/>
      <c r="CA47" s="22"/>
      <c r="CB47" s="22"/>
      <c r="CC47" s="23"/>
      <c r="CD47" s="29"/>
      <c r="CE47" s="29"/>
      <c r="CF47" s="22"/>
      <c r="CG47" s="22"/>
      <c r="CH47" s="22"/>
      <c r="CI47" s="22"/>
      <c r="CJ47" s="23"/>
      <c r="CK47" s="29"/>
      <c r="CL47" s="29"/>
      <c r="CM47" s="22"/>
      <c r="CN47" s="22"/>
      <c r="CO47" s="22"/>
      <c r="CP47" s="22"/>
      <c r="CQ47" s="23"/>
      <c r="CR47" s="29"/>
      <c r="CS47" s="70"/>
    </row>
    <row r="48" spans="1:97" ht="15.95" customHeight="1" x14ac:dyDescent="0.2">
      <c r="A48" s="5"/>
      <c r="B48" s="36"/>
      <c r="C48" s="12" t="s">
        <v>36</v>
      </c>
      <c r="D48" s="31" t="s">
        <v>18</v>
      </c>
      <c r="E48" s="12" t="s">
        <v>47</v>
      </c>
      <c r="F48" s="11" t="s">
        <v>16</v>
      </c>
      <c r="G48" s="22"/>
      <c r="H48" s="22"/>
      <c r="I48" s="22"/>
      <c r="J48" s="22"/>
      <c r="K48" s="22"/>
      <c r="L48" s="29"/>
      <c r="M48" s="29"/>
      <c r="N48" s="22"/>
      <c r="O48" s="22"/>
      <c r="P48" s="22"/>
      <c r="Q48" s="22"/>
      <c r="R48" s="22"/>
      <c r="S48" s="29"/>
      <c r="T48" s="29"/>
      <c r="U48" s="22"/>
      <c r="V48" s="22"/>
      <c r="W48" s="22"/>
      <c r="X48" s="22"/>
      <c r="Y48" s="22"/>
      <c r="Z48" s="29"/>
      <c r="AA48" s="29"/>
      <c r="AB48" s="22">
        <v>3</v>
      </c>
      <c r="AC48" s="22">
        <v>4</v>
      </c>
      <c r="AD48" s="22">
        <v>4</v>
      </c>
      <c r="AE48" s="22">
        <v>4</v>
      </c>
      <c r="AF48" s="22">
        <v>4</v>
      </c>
      <c r="AG48" s="29">
        <v>4</v>
      </c>
      <c r="AH48" s="29">
        <v>4</v>
      </c>
      <c r="AI48" s="22">
        <v>4</v>
      </c>
      <c r="AJ48" s="22">
        <v>4</v>
      </c>
      <c r="AK48" s="62">
        <v>4</v>
      </c>
      <c r="AL48" s="49">
        <v>4</v>
      </c>
      <c r="AM48" s="22">
        <v>4</v>
      </c>
      <c r="AN48" s="29">
        <v>4</v>
      </c>
      <c r="AO48" s="29">
        <v>4</v>
      </c>
      <c r="AP48" s="22">
        <v>4</v>
      </c>
      <c r="AQ48" s="22">
        <v>4</v>
      </c>
      <c r="AR48" s="22">
        <v>4</v>
      </c>
      <c r="AS48" s="22">
        <v>4</v>
      </c>
      <c r="AT48" s="22">
        <v>4</v>
      </c>
      <c r="AU48" s="29">
        <v>4</v>
      </c>
      <c r="AV48" s="29">
        <v>4</v>
      </c>
      <c r="AW48" s="22">
        <v>4</v>
      </c>
      <c r="AX48" s="22">
        <v>4</v>
      </c>
      <c r="AY48" s="22">
        <v>4</v>
      </c>
      <c r="AZ48" s="22">
        <v>4</v>
      </c>
      <c r="BA48" s="22">
        <v>4</v>
      </c>
      <c r="BB48" s="29">
        <v>4</v>
      </c>
      <c r="BC48" s="29">
        <v>4</v>
      </c>
      <c r="BD48" s="22">
        <v>4</v>
      </c>
      <c r="BE48" s="22">
        <v>4</v>
      </c>
      <c r="BF48" s="22">
        <v>4</v>
      </c>
      <c r="BG48" s="22">
        <v>4</v>
      </c>
      <c r="BH48" s="22">
        <v>4</v>
      </c>
      <c r="BI48" s="29">
        <v>3</v>
      </c>
      <c r="BJ48" s="29">
        <v>3</v>
      </c>
      <c r="BK48" s="22">
        <v>3</v>
      </c>
      <c r="BL48" s="22">
        <v>3</v>
      </c>
      <c r="BM48" s="22">
        <v>3</v>
      </c>
      <c r="BN48" s="22">
        <v>3</v>
      </c>
      <c r="BO48" s="22">
        <v>3</v>
      </c>
      <c r="BP48" s="63">
        <v>3</v>
      </c>
      <c r="BQ48" s="51">
        <v>3</v>
      </c>
      <c r="BR48" s="22">
        <v>3</v>
      </c>
      <c r="BS48" s="22">
        <v>3</v>
      </c>
      <c r="BT48" s="22">
        <v>3</v>
      </c>
      <c r="BU48" s="22">
        <v>3</v>
      </c>
      <c r="BV48" s="22">
        <v>3</v>
      </c>
      <c r="BW48" s="29">
        <v>3</v>
      </c>
      <c r="BX48" s="29">
        <v>3</v>
      </c>
      <c r="BY48" s="22">
        <v>4</v>
      </c>
      <c r="BZ48" s="22">
        <v>4</v>
      </c>
      <c r="CA48" s="22">
        <v>4</v>
      </c>
      <c r="CB48" s="22">
        <v>4</v>
      </c>
      <c r="CC48" s="22">
        <v>4</v>
      </c>
      <c r="CD48" s="29">
        <v>4</v>
      </c>
      <c r="CE48" s="29">
        <v>4</v>
      </c>
      <c r="CF48" s="22">
        <v>4</v>
      </c>
      <c r="CG48" s="22">
        <v>4</v>
      </c>
      <c r="CH48" s="22">
        <v>4</v>
      </c>
      <c r="CI48" s="22">
        <v>3</v>
      </c>
      <c r="CJ48" s="22">
        <v>3</v>
      </c>
      <c r="CK48" s="29">
        <v>3</v>
      </c>
      <c r="CL48" s="29"/>
      <c r="CM48" s="22"/>
      <c r="CN48" s="22"/>
      <c r="CO48" s="22"/>
      <c r="CP48" s="22"/>
      <c r="CQ48" s="23"/>
      <c r="CR48" s="29"/>
      <c r="CS48" s="32">
        <f>SUM(Z48:CR48)</f>
        <v>228</v>
      </c>
    </row>
    <row r="49" spans="1:97" ht="15.95" customHeight="1" x14ac:dyDescent="0.2">
      <c r="A49" s="5"/>
      <c r="B49" s="36"/>
      <c r="C49" s="12"/>
      <c r="D49" s="12"/>
      <c r="E49" s="12"/>
      <c r="F49" s="11"/>
      <c r="G49" s="22"/>
      <c r="H49" s="22"/>
      <c r="I49" s="22"/>
      <c r="J49" s="22"/>
      <c r="K49" s="22"/>
      <c r="L49" s="29"/>
      <c r="M49" s="29"/>
      <c r="N49" s="22"/>
      <c r="O49" s="22"/>
      <c r="P49" s="22"/>
      <c r="Q49" s="22"/>
      <c r="R49" s="22"/>
      <c r="S49" s="29"/>
      <c r="T49" s="29"/>
      <c r="U49" s="22"/>
      <c r="V49" s="22"/>
      <c r="W49" s="22"/>
      <c r="X49" s="22"/>
      <c r="Y49" s="22"/>
      <c r="Z49" s="29"/>
      <c r="AA49" s="29"/>
      <c r="AB49" s="22"/>
      <c r="AC49" s="22"/>
      <c r="AD49" s="22"/>
      <c r="AE49" s="22"/>
      <c r="AF49" s="22"/>
      <c r="AG49" s="29"/>
      <c r="AH49" s="29"/>
      <c r="AI49" s="22"/>
      <c r="AJ49" s="22"/>
      <c r="AK49" s="62"/>
      <c r="AL49" s="49"/>
      <c r="AM49" s="22"/>
      <c r="AN49" s="29"/>
      <c r="AO49" s="29"/>
      <c r="AP49" s="22"/>
      <c r="AQ49" s="23"/>
      <c r="AR49" s="23"/>
      <c r="AS49" s="22"/>
      <c r="AT49" s="22"/>
      <c r="AU49" s="29"/>
      <c r="AV49" s="29"/>
      <c r="AW49" s="22"/>
      <c r="AX49" s="23"/>
      <c r="AY49" s="23"/>
      <c r="AZ49" s="22"/>
      <c r="BA49" s="22"/>
      <c r="BB49" s="29"/>
      <c r="BC49" s="29"/>
      <c r="BD49" s="22"/>
      <c r="BE49" s="23"/>
      <c r="BF49" s="23"/>
      <c r="BG49" s="22"/>
      <c r="BH49" s="22"/>
      <c r="BI49" s="29"/>
      <c r="BJ49" s="29"/>
      <c r="BK49" s="22"/>
      <c r="BL49" s="23"/>
      <c r="BM49" s="23"/>
      <c r="BN49" s="22"/>
      <c r="BO49" s="22"/>
      <c r="BP49" s="50"/>
      <c r="BQ49" s="51"/>
      <c r="BR49" s="22"/>
      <c r="BS49" s="22"/>
      <c r="BT49" s="22"/>
      <c r="BU49" s="22"/>
      <c r="BV49" s="23"/>
      <c r="BW49" s="29"/>
      <c r="BX49" s="29"/>
      <c r="BY49" s="22"/>
      <c r="BZ49" s="22"/>
      <c r="CA49" s="22"/>
      <c r="CB49" s="22"/>
      <c r="CC49" s="23"/>
      <c r="CD49" s="29"/>
      <c r="CE49" s="29"/>
      <c r="CF49" s="22"/>
      <c r="CG49" s="22"/>
      <c r="CH49" s="22"/>
      <c r="CI49" s="22"/>
      <c r="CJ49" s="23"/>
      <c r="CK49" s="29"/>
      <c r="CL49" s="29"/>
      <c r="CM49" s="22"/>
      <c r="CN49" s="22"/>
      <c r="CO49" s="22"/>
      <c r="CP49" s="22"/>
      <c r="CQ49" s="23"/>
      <c r="CR49" s="29"/>
      <c r="CS49" s="48">
        <f>SUM(Z49:CR49)</f>
        <v>0</v>
      </c>
    </row>
    <row r="50" spans="1:97" ht="15.95" customHeight="1" x14ac:dyDescent="0.2">
      <c r="A50" s="5"/>
      <c r="B50" s="36"/>
      <c r="C50" s="12"/>
      <c r="D50" s="12"/>
      <c r="E50" s="12"/>
      <c r="F50" s="11"/>
      <c r="G50" s="22"/>
      <c r="H50" s="22"/>
      <c r="I50" s="22"/>
      <c r="J50" s="22"/>
      <c r="K50" s="22"/>
      <c r="L50" s="29"/>
      <c r="M50" s="29"/>
      <c r="N50" s="22"/>
      <c r="O50" s="22"/>
      <c r="P50" s="22"/>
      <c r="Q50" s="22"/>
      <c r="R50" s="22"/>
      <c r="S50" s="29"/>
      <c r="T50" s="29"/>
      <c r="U50" s="22"/>
      <c r="V50" s="22"/>
      <c r="W50" s="22"/>
      <c r="X50" s="22"/>
      <c r="Y50" s="22"/>
      <c r="Z50" s="29"/>
      <c r="AA50" s="29"/>
      <c r="AB50" s="22"/>
      <c r="AC50" s="22"/>
      <c r="AD50" s="22"/>
      <c r="AE50" s="22"/>
      <c r="AF50" s="22"/>
      <c r="AG50" s="29"/>
      <c r="AH50" s="29"/>
      <c r="AI50" s="22"/>
      <c r="AJ50" s="22"/>
      <c r="AK50" s="62"/>
      <c r="AL50" s="49"/>
      <c r="AM50" s="22"/>
      <c r="AN50" s="29"/>
      <c r="AO50" s="29"/>
      <c r="AP50" s="22"/>
      <c r="AQ50" s="23"/>
      <c r="AR50" s="23"/>
      <c r="AS50" s="22"/>
      <c r="AT50" s="22"/>
      <c r="AU50" s="29"/>
      <c r="AV50" s="29"/>
      <c r="AW50" s="22"/>
      <c r="AX50" s="23"/>
      <c r="AY50" s="23"/>
      <c r="AZ50" s="22"/>
      <c r="BA50" s="22"/>
      <c r="BB50" s="29"/>
      <c r="BC50" s="29"/>
      <c r="BD50" s="22"/>
      <c r="BE50" s="23"/>
      <c r="BF50" s="23"/>
      <c r="BG50" s="22"/>
      <c r="BH50" s="22"/>
      <c r="BI50" s="29"/>
      <c r="BJ50" s="29"/>
      <c r="BK50" s="22"/>
      <c r="BL50" s="23"/>
      <c r="BM50" s="23"/>
      <c r="BN50" s="22"/>
      <c r="BO50" s="22"/>
      <c r="BP50" s="50"/>
      <c r="BQ50" s="51"/>
      <c r="BR50" s="22"/>
      <c r="BS50" s="22"/>
      <c r="BT50" s="22"/>
      <c r="BU50" s="22"/>
      <c r="BV50" s="23"/>
      <c r="BW50" s="29"/>
      <c r="BX50" s="29"/>
      <c r="BY50" s="22"/>
      <c r="BZ50" s="22"/>
      <c r="CA50" s="22"/>
      <c r="CB50" s="22"/>
      <c r="CC50" s="23"/>
      <c r="CD50" s="29"/>
      <c r="CE50" s="29"/>
      <c r="CF50" s="22"/>
      <c r="CG50" s="22"/>
      <c r="CH50" s="22"/>
      <c r="CI50" s="22"/>
      <c r="CJ50" s="23"/>
      <c r="CK50" s="29"/>
      <c r="CL50" s="29"/>
      <c r="CM50" s="22"/>
      <c r="CN50" s="22"/>
      <c r="CO50" s="22"/>
      <c r="CP50" s="22"/>
      <c r="CQ50" s="23"/>
      <c r="CR50" s="29"/>
      <c r="CS50" s="70"/>
    </row>
    <row r="51" spans="1:97" ht="15.95" customHeight="1" x14ac:dyDescent="0.2">
      <c r="A51" s="5"/>
      <c r="B51" s="36"/>
      <c r="C51" s="12" t="s">
        <v>13</v>
      </c>
      <c r="D51" s="31" t="s">
        <v>18</v>
      </c>
      <c r="E51" s="12" t="s">
        <v>47</v>
      </c>
      <c r="F51" s="11" t="s">
        <v>16</v>
      </c>
      <c r="G51" s="22"/>
      <c r="H51" s="22"/>
      <c r="I51" s="22"/>
      <c r="J51" s="22"/>
      <c r="K51" s="22"/>
      <c r="L51" s="29"/>
      <c r="M51" s="29"/>
      <c r="N51" s="22"/>
      <c r="O51" s="22"/>
      <c r="P51" s="22"/>
      <c r="Q51" s="22"/>
      <c r="R51" s="22"/>
      <c r="S51" s="29"/>
      <c r="T51" s="29"/>
      <c r="U51" s="22"/>
      <c r="V51" s="22"/>
      <c r="W51" s="22"/>
      <c r="X51" s="22"/>
      <c r="Y51" s="22"/>
      <c r="Z51" s="29"/>
      <c r="AA51" s="29"/>
      <c r="AB51" s="22">
        <v>4</v>
      </c>
      <c r="AC51" s="22">
        <v>4</v>
      </c>
      <c r="AD51" s="22">
        <v>4</v>
      </c>
      <c r="AE51" s="22">
        <v>4</v>
      </c>
      <c r="AF51" s="22">
        <v>4</v>
      </c>
      <c r="AG51" s="22">
        <v>4</v>
      </c>
      <c r="AH51" s="22">
        <v>4</v>
      </c>
      <c r="AI51" s="22">
        <v>4</v>
      </c>
      <c r="AJ51" s="22">
        <v>4</v>
      </c>
      <c r="AK51" s="22">
        <v>4</v>
      </c>
      <c r="AL51" s="22">
        <v>4</v>
      </c>
      <c r="AM51" s="22">
        <v>4</v>
      </c>
      <c r="AN51" s="22">
        <v>4</v>
      </c>
      <c r="AO51" s="22">
        <v>4</v>
      </c>
      <c r="AP51" s="22">
        <v>4</v>
      </c>
      <c r="AQ51" s="22">
        <v>4</v>
      </c>
      <c r="AR51" s="22">
        <v>4</v>
      </c>
      <c r="AS51" s="22">
        <v>4</v>
      </c>
      <c r="AT51" s="22">
        <v>4</v>
      </c>
      <c r="AU51" s="22">
        <v>4</v>
      </c>
      <c r="AV51" s="22">
        <v>4</v>
      </c>
      <c r="AW51" s="22">
        <v>4</v>
      </c>
      <c r="AX51" s="22">
        <v>4</v>
      </c>
      <c r="AY51" s="22">
        <v>4</v>
      </c>
      <c r="AZ51" s="22">
        <v>4</v>
      </c>
      <c r="BA51" s="22">
        <v>4</v>
      </c>
      <c r="BB51" s="22">
        <v>4</v>
      </c>
      <c r="BC51" s="22">
        <v>4</v>
      </c>
      <c r="BD51" s="22">
        <v>4</v>
      </c>
      <c r="BE51" s="22">
        <v>4</v>
      </c>
      <c r="BF51" s="22">
        <v>4</v>
      </c>
      <c r="BG51" s="22">
        <v>4</v>
      </c>
      <c r="BH51" s="22">
        <v>4</v>
      </c>
      <c r="BI51" s="22">
        <v>4</v>
      </c>
      <c r="BJ51" s="22">
        <v>4</v>
      </c>
      <c r="BK51" s="22">
        <v>4</v>
      </c>
      <c r="BL51" s="22">
        <v>4</v>
      </c>
      <c r="BM51" s="22">
        <v>4</v>
      </c>
      <c r="BN51" s="22">
        <v>4</v>
      </c>
      <c r="BO51" s="22">
        <v>4</v>
      </c>
      <c r="BP51" s="22">
        <v>4</v>
      </c>
      <c r="BQ51" s="22">
        <v>4</v>
      </c>
      <c r="BR51" s="22">
        <v>4</v>
      </c>
      <c r="BS51" s="22">
        <v>4</v>
      </c>
      <c r="BT51" s="22">
        <v>4</v>
      </c>
      <c r="BU51" s="22">
        <v>4</v>
      </c>
      <c r="BV51" s="22">
        <v>4</v>
      </c>
      <c r="BW51" s="22">
        <v>4</v>
      </c>
      <c r="BX51" s="22">
        <v>4</v>
      </c>
      <c r="BY51" s="22">
        <v>4</v>
      </c>
      <c r="BZ51" s="22">
        <v>4</v>
      </c>
      <c r="CA51" s="22">
        <v>4</v>
      </c>
      <c r="CB51" s="22">
        <v>4</v>
      </c>
      <c r="CC51" s="22">
        <v>4</v>
      </c>
      <c r="CD51" s="22">
        <v>4</v>
      </c>
      <c r="CE51" s="22">
        <v>4</v>
      </c>
      <c r="CF51" s="22">
        <v>4</v>
      </c>
      <c r="CG51" s="22">
        <v>4</v>
      </c>
      <c r="CH51" s="22">
        <v>4</v>
      </c>
      <c r="CI51" s="22">
        <v>4</v>
      </c>
      <c r="CJ51" s="22">
        <v>4</v>
      </c>
      <c r="CK51" s="22">
        <v>4</v>
      </c>
      <c r="CL51" s="22"/>
      <c r="CM51" s="22"/>
      <c r="CN51" s="22"/>
      <c r="CO51" s="22"/>
      <c r="CP51" s="22"/>
      <c r="CQ51" s="23"/>
      <c r="CR51" s="29"/>
      <c r="CS51" s="32">
        <f>SUM(Z51:CR51)</f>
        <v>248</v>
      </c>
    </row>
    <row r="52" spans="1:97" ht="15.95" customHeight="1" x14ac:dyDescent="0.2">
      <c r="A52" s="5"/>
      <c r="B52" s="36"/>
      <c r="C52" s="36"/>
      <c r="D52" s="12"/>
      <c r="E52" s="12"/>
      <c r="F52" s="11"/>
      <c r="G52" s="22"/>
      <c r="H52" s="22"/>
      <c r="I52" s="22"/>
      <c r="J52" s="22"/>
      <c r="K52" s="22"/>
      <c r="L52" s="29"/>
      <c r="M52" s="29"/>
      <c r="N52" s="22"/>
      <c r="O52" s="22"/>
      <c r="P52" s="22"/>
      <c r="Q52" s="22"/>
      <c r="R52" s="22"/>
      <c r="S52" s="29"/>
      <c r="T52" s="29"/>
      <c r="U52" s="22"/>
      <c r="V52" s="22"/>
      <c r="W52" s="22"/>
      <c r="X52" s="22"/>
      <c r="Y52" s="22"/>
      <c r="Z52" s="29"/>
      <c r="AA52" s="29"/>
      <c r="AB52" s="22"/>
      <c r="AC52" s="22"/>
      <c r="AD52" s="22"/>
      <c r="AE52" s="22"/>
      <c r="AF52" s="22"/>
      <c r="AG52" s="29"/>
      <c r="AH52" s="29"/>
      <c r="AI52" s="22"/>
      <c r="AJ52" s="22"/>
      <c r="AK52" s="62"/>
      <c r="AL52" s="49"/>
      <c r="AM52" s="22"/>
      <c r="AN52" s="29"/>
      <c r="AO52" s="29"/>
      <c r="AP52" s="22"/>
      <c r="AQ52" s="23"/>
      <c r="AR52" s="23"/>
      <c r="AS52" s="22"/>
      <c r="AT52" s="22"/>
      <c r="AU52" s="29"/>
      <c r="AV52" s="29"/>
      <c r="AW52" s="22"/>
      <c r="AX52" s="23"/>
      <c r="AY52" s="23"/>
      <c r="AZ52" s="22"/>
      <c r="BA52" s="22"/>
      <c r="BB52" s="29"/>
      <c r="BC52" s="29"/>
      <c r="BD52" s="22"/>
      <c r="BE52" s="23"/>
      <c r="BF52" s="23"/>
      <c r="BG52" s="22"/>
      <c r="BH52" s="22"/>
      <c r="BI52" s="29"/>
      <c r="BJ52" s="29"/>
      <c r="BK52" s="22"/>
      <c r="BL52" s="23"/>
      <c r="BM52" s="23"/>
      <c r="BN52" s="22"/>
      <c r="BO52" s="22"/>
      <c r="BP52" s="50"/>
      <c r="BQ52" s="51"/>
      <c r="BR52" s="22"/>
      <c r="BS52" s="22"/>
      <c r="BT52" s="22"/>
      <c r="BU52" s="22"/>
      <c r="BV52" s="23"/>
      <c r="BW52" s="29"/>
      <c r="BX52" s="29"/>
      <c r="BY52" s="22"/>
      <c r="BZ52" s="22"/>
      <c r="CA52" s="22"/>
      <c r="CB52" s="22"/>
      <c r="CC52" s="23"/>
      <c r="CD52" s="29"/>
      <c r="CE52" s="29"/>
      <c r="CF52" s="22"/>
      <c r="CG52" s="22"/>
      <c r="CH52" s="22"/>
      <c r="CI52" s="22"/>
      <c r="CJ52" s="23"/>
      <c r="CK52" s="29"/>
      <c r="CL52" s="29"/>
      <c r="CM52" s="22"/>
      <c r="CN52" s="22"/>
      <c r="CO52" s="22"/>
      <c r="CP52" s="22"/>
      <c r="CQ52" s="23"/>
      <c r="CR52" s="29"/>
      <c r="CS52" s="48">
        <f>SUM(Z52:CR52)</f>
        <v>0</v>
      </c>
    </row>
    <row r="53" spans="1:97" ht="15.95" customHeight="1" x14ac:dyDescent="0.2">
      <c r="A53" s="5"/>
      <c r="B53" s="13" t="s">
        <v>37</v>
      </c>
      <c r="C53" s="13"/>
      <c r="D53" s="39"/>
      <c r="E53" s="39"/>
      <c r="F53" s="39"/>
      <c r="G53" s="20">
        <f t="shared" ref="G53:AL53" si="7">SUM(G29:G52)</f>
        <v>0</v>
      </c>
      <c r="H53" s="20">
        <f t="shared" si="7"/>
        <v>0</v>
      </c>
      <c r="I53" s="20">
        <f t="shared" si="7"/>
        <v>0</v>
      </c>
      <c r="J53" s="20">
        <f t="shared" si="7"/>
        <v>0</v>
      </c>
      <c r="K53" s="20">
        <f t="shared" si="7"/>
        <v>0</v>
      </c>
      <c r="L53" s="20">
        <f t="shared" si="7"/>
        <v>0</v>
      </c>
      <c r="M53" s="20">
        <f t="shared" si="7"/>
        <v>0</v>
      </c>
      <c r="N53" s="20">
        <f t="shared" si="7"/>
        <v>0</v>
      </c>
      <c r="O53" s="20">
        <f t="shared" si="7"/>
        <v>0</v>
      </c>
      <c r="P53" s="20">
        <f t="shared" si="7"/>
        <v>0</v>
      </c>
      <c r="Q53" s="20">
        <f t="shared" si="7"/>
        <v>0</v>
      </c>
      <c r="R53" s="20">
        <f t="shared" si="7"/>
        <v>0</v>
      </c>
      <c r="S53" s="20">
        <f t="shared" si="7"/>
        <v>0</v>
      </c>
      <c r="T53" s="20">
        <f t="shared" si="7"/>
        <v>0</v>
      </c>
      <c r="U53" s="20">
        <f t="shared" si="7"/>
        <v>0</v>
      </c>
      <c r="V53" s="20">
        <f t="shared" si="7"/>
        <v>0</v>
      </c>
      <c r="W53" s="20">
        <f t="shared" si="7"/>
        <v>0</v>
      </c>
      <c r="X53" s="20">
        <f t="shared" si="7"/>
        <v>0</v>
      </c>
      <c r="Y53" s="20">
        <f t="shared" si="7"/>
        <v>0</v>
      </c>
      <c r="Z53" s="20">
        <f t="shared" si="7"/>
        <v>0</v>
      </c>
      <c r="AA53" s="20">
        <f t="shared" si="7"/>
        <v>0</v>
      </c>
      <c r="AB53" s="20">
        <f t="shared" si="7"/>
        <v>25</v>
      </c>
      <c r="AC53" s="20">
        <f t="shared" si="7"/>
        <v>26</v>
      </c>
      <c r="AD53" s="20">
        <f t="shared" si="7"/>
        <v>26</v>
      </c>
      <c r="AE53" s="20">
        <f t="shared" si="7"/>
        <v>26</v>
      </c>
      <c r="AF53" s="20">
        <f t="shared" si="7"/>
        <v>26</v>
      </c>
      <c r="AG53" s="20">
        <f t="shared" si="7"/>
        <v>26</v>
      </c>
      <c r="AH53" s="20">
        <f t="shared" si="7"/>
        <v>26</v>
      </c>
      <c r="AI53" s="20">
        <f t="shared" si="7"/>
        <v>26</v>
      </c>
      <c r="AJ53" s="20">
        <f t="shared" si="7"/>
        <v>26</v>
      </c>
      <c r="AK53" s="20">
        <f t="shared" si="7"/>
        <v>26</v>
      </c>
      <c r="AL53" s="20">
        <f t="shared" si="7"/>
        <v>26</v>
      </c>
      <c r="AM53" s="20">
        <f t="shared" ref="AM53:BR53" si="8">SUM(AM29:AM52)</f>
        <v>26</v>
      </c>
      <c r="AN53" s="20">
        <f t="shared" si="8"/>
        <v>26</v>
      </c>
      <c r="AO53" s="20">
        <f t="shared" si="8"/>
        <v>26</v>
      </c>
      <c r="AP53" s="20">
        <f t="shared" si="8"/>
        <v>26</v>
      </c>
      <c r="AQ53" s="20">
        <f t="shared" si="8"/>
        <v>26</v>
      </c>
      <c r="AR53" s="20">
        <f t="shared" si="8"/>
        <v>26</v>
      </c>
      <c r="AS53" s="20">
        <f t="shared" si="8"/>
        <v>26</v>
      </c>
      <c r="AT53" s="20">
        <f t="shared" si="8"/>
        <v>26</v>
      </c>
      <c r="AU53" s="20">
        <f t="shared" si="8"/>
        <v>26</v>
      </c>
      <c r="AV53" s="20">
        <f t="shared" si="8"/>
        <v>25</v>
      </c>
      <c r="AW53" s="20">
        <f t="shared" si="8"/>
        <v>25</v>
      </c>
      <c r="AX53" s="20">
        <f t="shared" si="8"/>
        <v>25</v>
      </c>
      <c r="AY53" s="20">
        <f t="shared" si="8"/>
        <v>25</v>
      </c>
      <c r="AZ53" s="20">
        <f t="shared" si="8"/>
        <v>25</v>
      </c>
      <c r="BA53" s="20">
        <f t="shared" si="8"/>
        <v>25</v>
      </c>
      <c r="BB53" s="20">
        <f t="shared" si="8"/>
        <v>24</v>
      </c>
      <c r="BC53" s="20">
        <f t="shared" si="8"/>
        <v>24</v>
      </c>
      <c r="BD53" s="20">
        <f t="shared" si="8"/>
        <v>24</v>
      </c>
      <c r="BE53" s="20">
        <f t="shared" si="8"/>
        <v>24</v>
      </c>
      <c r="BF53" s="20">
        <f t="shared" si="8"/>
        <v>24</v>
      </c>
      <c r="BG53" s="20">
        <f t="shared" si="8"/>
        <v>24</v>
      </c>
      <c r="BH53" s="20">
        <f t="shared" si="8"/>
        <v>24</v>
      </c>
      <c r="BI53" s="20">
        <f t="shared" si="8"/>
        <v>23</v>
      </c>
      <c r="BJ53" s="20">
        <f t="shared" si="8"/>
        <v>23</v>
      </c>
      <c r="BK53" s="20">
        <f t="shared" si="8"/>
        <v>23</v>
      </c>
      <c r="BL53" s="20">
        <f t="shared" si="8"/>
        <v>23</v>
      </c>
      <c r="BM53" s="20">
        <f t="shared" si="8"/>
        <v>21</v>
      </c>
      <c r="BN53" s="20">
        <f t="shared" si="8"/>
        <v>19</v>
      </c>
      <c r="BO53" s="20">
        <f t="shared" si="8"/>
        <v>19</v>
      </c>
      <c r="BP53" s="20">
        <f t="shared" si="8"/>
        <v>19</v>
      </c>
      <c r="BQ53" s="20">
        <f t="shared" si="8"/>
        <v>21</v>
      </c>
      <c r="BR53" s="20">
        <f t="shared" si="8"/>
        <v>21</v>
      </c>
      <c r="BS53" s="20">
        <f t="shared" ref="BS53:CS53" si="9">SUM(BS29:BS52)</f>
        <v>23</v>
      </c>
      <c r="BT53" s="20">
        <f t="shared" si="9"/>
        <v>23</v>
      </c>
      <c r="BU53" s="20">
        <f t="shared" si="9"/>
        <v>23</v>
      </c>
      <c r="BV53" s="20">
        <f t="shared" si="9"/>
        <v>23</v>
      </c>
      <c r="BW53" s="20">
        <f t="shared" si="9"/>
        <v>23</v>
      </c>
      <c r="BX53" s="20">
        <f t="shared" si="9"/>
        <v>23</v>
      </c>
      <c r="BY53" s="20">
        <f t="shared" si="9"/>
        <v>24</v>
      </c>
      <c r="BZ53" s="20">
        <f t="shared" si="9"/>
        <v>24</v>
      </c>
      <c r="CA53" s="20">
        <f t="shared" si="9"/>
        <v>24</v>
      </c>
      <c r="CB53" s="20">
        <f t="shared" si="9"/>
        <v>24</v>
      </c>
      <c r="CC53" s="20">
        <f t="shared" si="9"/>
        <v>24</v>
      </c>
      <c r="CD53" s="20">
        <f t="shared" si="9"/>
        <v>20</v>
      </c>
      <c r="CE53" s="20">
        <f t="shared" si="9"/>
        <v>20</v>
      </c>
      <c r="CF53" s="20">
        <f t="shared" si="9"/>
        <v>20</v>
      </c>
      <c r="CG53" s="20">
        <f t="shared" si="9"/>
        <v>20</v>
      </c>
      <c r="CH53" s="20">
        <f t="shared" si="9"/>
        <v>18</v>
      </c>
      <c r="CI53" s="20">
        <f t="shared" si="9"/>
        <v>17</v>
      </c>
      <c r="CJ53" s="20">
        <f t="shared" si="9"/>
        <v>17</v>
      </c>
      <c r="CK53" s="20">
        <f t="shared" si="9"/>
        <v>17</v>
      </c>
      <c r="CL53" s="20">
        <f t="shared" si="9"/>
        <v>0</v>
      </c>
      <c r="CM53" s="20">
        <f t="shared" si="9"/>
        <v>0</v>
      </c>
      <c r="CN53" s="20">
        <f t="shared" si="9"/>
        <v>0</v>
      </c>
      <c r="CO53" s="20">
        <f t="shared" si="9"/>
        <v>0</v>
      </c>
      <c r="CP53" s="20">
        <f t="shared" si="9"/>
        <v>0</v>
      </c>
      <c r="CQ53" s="20">
        <f t="shared" si="9"/>
        <v>0</v>
      </c>
      <c r="CR53" s="20">
        <f t="shared" si="9"/>
        <v>0</v>
      </c>
      <c r="CS53" s="17">
        <f t="shared" si="9"/>
        <v>1456</v>
      </c>
    </row>
    <row r="54" spans="1:97" ht="15.95" customHeight="1" x14ac:dyDescent="0.2">
      <c r="A54" s="5"/>
      <c r="B54" s="46"/>
      <c r="C54" s="46"/>
      <c r="D54" s="37"/>
      <c r="E54" s="12"/>
      <c r="F54" s="11"/>
      <c r="G54" s="22"/>
      <c r="H54" s="22"/>
      <c r="I54" s="22"/>
      <c r="J54" s="22"/>
      <c r="K54" s="22"/>
      <c r="L54" s="29"/>
      <c r="M54" s="29"/>
      <c r="N54" s="22"/>
      <c r="O54" s="22"/>
      <c r="P54" s="22"/>
      <c r="Q54" s="22"/>
      <c r="R54" s="22"/>
      <c r="S54" s="29"/>
      <c r="T54" s="29"/>
      <c r="U54" s="22"/>
      <c r="V54" s="22"/>
      <c r="W54" s="22"/>
      <c r="X54" s="22"/>
      <c r="Y54" s="22"/>
      <c r="Z54" s="29"/>
      <c r="AA54" s="29"/>
      <c r="AB54" s="22"/>
      <c r="AC54" s="22"/>
      <c r="AD54" s="22"/>
      <c r="AE54" s="22"/>
      <c r="AF54" s="22"/>
      <c r="AG54" s="29"/>
      <c r="AH54" s="29"/>
      <c r="AI54" s="22"/>
      <c r="AJ54" s="22"/>
      <c r="AK54" s="62"/>
      <c r="AL54" s="49"/>
      <c r="AM54" s="22"/>
      <c r="AN54" s="29"/>
      <c r="AO54" s="29"/>
      <c r="AP54" s="22"/>
      <c r="AQ54" s="23"/>
      <c r="AR54" s="23"/>
      <c r="AS54" s="22"/>
      <c r="AT54" s="22"/>
      <c r="AU54" s="29"/>
      <c r="AV54" s="29"/>
      <c r="AW54" s="22"/>
      <c r="AX54" s="23"/>
      <c r="AY54" s="23"/>
      <c r="AZ54" s="22"/>
      <c r="BA54" s="22"/>
      <c r="BB54" s="29"/>
      <c r="BC54" s="29"/>
      <c r="BD54" s="22"/>
      <c r="BE54" s="23"/>
      <c r="BF54" s="23"/>
      <c r="BG54" s="22"/>
      <c r="BH54" s="22"/>
      <c r="BI54" s="29"/>
      <c r="BJ54" s="29"/>
      <c r="BK54" s="22"/>
      <c r="BL54" s="23"/>
      <c r="BM54" s="23"/>
      <c r="BN54" s="22"/>
      <c r="BO54" s="22"/>
      <c r="BP54" s="50"/>
      <c r="BQ54" s="51"/>
      <c r="BR54" s="22"/>
      <c r="BS54" s="22"/>
      <c r="BT54" s="22"/>
      <c r="BU54" s="22"/>
      <c r="BV54" s="23"/>
      <c r="BW54" s="29"/>
      <c r="BX54" s="29"/>
      <c r="BY54" s="22"/>
      <c r="BZ54" s="22"/>
      <c r="CA54" s="22"/>
      <c r="CB54" s="22"/>
      <c r="CC54" s="23"/>
      <c r="CD54" s="29"/>
      <c r="CE54" s="29"/>
      <c r="CF54" s="22"/>
      <c r="CG54" s="22"/>
      <c r="CH54" s="22"/>
      <c r="CI54" s="22"/>
      <c r="CJ54" s="23"/>
      <c r="CK54" s="29"/>
      <c r="CL54" s="29"/>
      <c r="CM54" s="22"/>
      <c r="CN54" s="22"/>
      <c r="CO54" s="22"/>
      <c r="CP54" s="22"/>
      <c r="CQ54" s="23"/>
      <c r="CR54" s="29"/>
      <c r="CS54" s="70"/>
    </row>
    <row r="55" spans="1:97" ht="15.95" customHeight="1" x14ac:dyDescent="0.2">
      <c r="A55" s="5"/>
      <c r="B55" s="33" t="s">
        <v>53</v>
      </c>
      <c r="C55" s="31" t="s">
        <v>15</v>
      </c>
      <c r="D55" s="31" t="s">
        <v>18</v>
      </c>
      <c r="E55" s="12" t="s">
        <v>23</v>
      </c>
      <c r="F55" s="11" t="s">
        <v>16</v>
      </c>
      <c r="G55" s="22"/>
      <c r="H55" s="22"/>
      <c r="I55" s="22"/>
      <c r="J55" s="22"/>
      <c r="K55" s="22"/>
      <c r="L55" s="29"/>
      <c r="M55" s="29"/>
      <c r="N55" s="22"/>
      <c r="O55" s="22"/>
      <c r="P55" s="22"/>
      <c r="Q55" s="22"/>
      <c r="R55" s="22"/>
      <c r="S55" s="29"/>
      <c r="T55" s="29"/>
      <c r="U55" s="22"/>
      <c r="V55" s="22"/>
      <c r="W55" s="22"/>
      <c r="X55" s="22"/>
      <c r="Y55" s="22"/>
      <c r="Z55" s="29"/>
      <c r="AA55" s="29"/>
      <c r="AB55" s="8">
        <v>5</v>
      </c>
      <c r="AC55" s="9">
        <v>5</v>
      </c>
      <c r="AD55" s="9">
        <v>5</v>
      </c>
      <c r="AE55" s="9">
        <v>5</v>
      </c>
      <c r="AF55" s="8">
        <v>5</v>
      </c>
      <c r="AG55" s="10">
        <v>5</v>
      </c>
      <c r="AH55" s="10">
        <v>5</v>
      </c>
      <c r="AI55" s="9">
        <v>5</v>
      </c>
      <c r="AJ55" s="9">
        <v>5</v>
      </c>
      <c r="AK55" s="59">
        <v>5</v>
      </c>
      <c r="AL55" s="65">
        <v>5</v>
      </c>
      <c r="AM55" s="8">
        <v>5</v>
      </c>
      <c r="AN55" s="10">
        <v>5</v>
      </c>
      <c r="AO55" s="10">
        <v>5</v>
      </c>
      <c r="AP55" s="8">
        <v>5</v>
      </c>
      <c r="AQ55" s="9">
        <v>5</v>
      </c>
      <c r="AR55" s="9">
        <v>5</v>
      </c>
      <c r="AS55" s="9">
        <v>5</v>
      </c>
      <c r="AT55" s="8">
        <v>5</v>
      </c>
      <c r="AU55" s="10">
        <v>5</v>
      </c>
      <c r="AV55" s="10">
        <v>5</v>
      </c>
      <c r="AW55" s="9">
        <v>5</v>
      </c>
      <c r="AX55" s="9">
        <v>5</v>
      </c>
      <c r="AY55" s="9">
        <v>5</v>
      </c>
      <c r="AZ55" s="9">
        <v>5</v>
      </c>
      <c r="BA55" s="9">
        <v>5</v>
      </c>
      <c r="BB55" s="10">
        <v>5</v>
      </c>
      <c r="BC55" s="10">
        <v>5</v>
      </c>
      <c r="BD55" s="9">
        <v>5</v>
      </c>
      <c r="BE55" s="9">
        <v>5</v>
      </c>
      <c r="BF55" s="9">
        <v>5</v>
      </c>
      <c r="BG55" s="9">
        <v>5</v>
      </c>
      <c r="BH55" s="9">
        <v>5</v>
      </c>
      <c r="BI55" s="10">
        <v>5</v>
      </c>
      <c r="BJ55" s="10">
        <v>5</v>
      </c>
      <c r="BK55" s="9">
        <v>5</v>
      </c>
      <c r="BL55" s="9">
        <v>5</v>
      </c>
      <c r="BM55" s="9">
        <v>5</v>
      </c>
      <c r="BN55" s="9">
        <v>5</v>
      </c>
      <c r="BO55" s="9">
        <v>5</v>
      </c>
      <c r="BP55" s="10">
        <v>5</v>
      </c>
      <c r="BQ55" s="10">
        <v>5</v>
      </c>
      <c r="BR55" s="9">
        <v>5</v>
      </c>
      <c r="BS55" s="9">
        <v>5</v>
      </c>
      <c r="BT55" s="9">
        <v>5</v>
      </c>
      <c r="BU55" s="9">
        <v>5</v>
      </c>
      <c r="BV55" s="9">
        <v>5</v>
      </c>
      <c r="BW55" s="10">
        <v>5</v>
      </c>
      <c r="BX55" s="10">
        <v>5</v>
      </c>
      <c r="BY55" s="9">
        <v>5</v>
      </c>
      <c r="BZ55" s="9">
        <v>5</v>
      </c>
      <c r="CA55" s="9">
        <v>5</v>
      </c>
      <c r="CB55" s="9">
        <v>5</v>
      </c>
      <c r="CC55" s="9">
        <v>5</v>
      </c>
      <c r="CD55" s="10">
        <v>5</v>
      </c>
      <c r="CE55" s="10">
        <v>5</v>
      </c>
      <c r="CF55" s="8">
        <v>5</v>
      </c>
      <c r="CG55" s="9">
        <v>5</v>
      </c>
      <c r="CH55" s="9">
        <v>5</v>
      </c>
      <c r="CI55" s="9">
        <v>5</v>
      </c>
      <c r="CJ55" s="8"/>
      <c r="CK55" s="29"/>
      <c r="CL55" s="29"/>
      <c r="CM55" s="22"/>
      <c r="CN55" s="22"/>
      <c r="CO55" s="22"/>
      <c r="CP55" s="22"/>
      <c r="CQ55" s="23"/>
      <c r="CR55" s="29"/>
      <c r="CS55" s="32">
        <f>SUM(Z55:CR55)</f>
        <v>300</v>
      </c>
    </row>
    <row r="56" spans="1:97" ht="15.95" customHeight="1" x14ac:dyDescent="0.2">
      <c r="A56" s="5"/>
      <c r="B56" s="60" t="s">
        <v>52</v>
      </c>
      <c r="C56" s="37" t="s">
        <v>38</v>
      </c>
      <c r="D56" s="37"/>
      <c r="E56" s="18"/>
      <c r="F56" s="38"/>
      <c r="G56" s="22"/>
      <c r="H56" s="22"/>
      <c r="I56" s="22"/>
      <c r="J56" s="22"/>
      <c r="K56" s="22"/>
      <c r="L56" s="29"/>
      <c r="M56" s="29"/>
      <c r="N56" s="22"/>
      <c r="O56" s="22"/>
      <c r="P56" s="22"/>
      <c r="Q56" s="22"/>
      <c r="R56" s="22"/>
      <c r="S56" s="29"/>
      <c r="T56" s="29"/>
      <c r="U56" s="22"/>
      <c r="V56" s="22"/>
      <c r="W56" s="22"/>
      <c r="X56" s="22"/>
      <c r="Y56" s="22"/>
      <c r="Z56" s="29"/>
      <c r="AA56" s="29"/>
      <c r="AB56" s="22"/>
      <c r="AC56" s="22"/>
      <c r="AD56" s="22"/>
      <c r="AE56" s="22"/>
      <c r="AF56" s="22"/>
      <c r="AG56" s="29"/>
      <c r="AH56" s="29"/>
      <c r="AI56" s="22"/>
      <c r="AJ56" s="22"/>
      <c r="AK56" s="62"/>
      <c r="AL56" s="49"/>
      <c r="AM56" s="22"/>
      <c r="AN56" s="29"/>
      <c r="AO56" s="29"/>
      <c r="AP56" s="22"/>
      <c r="AQ56" s="23"/>
      <c r="AR56" s="23"/>
      <c r="AS56" s="22"/>
      <c r="AT56" s="22"/>
      <c r="AU56" s="29"/>
      <c r="AV56" s="29"/>
      <c r="AW56" s="23"/>
      <c r="AX56" s="23"/>
      <c r="AY56" s="23"/>
      <c r="AZ56" s="23"/>
      <c r="BA56" s="23"/>
      <c r="BB56" s="29"/>
      <c r="BC56" s="29"/>
      <c r="BD56" s="23"/>
      <c r="BE56" s="23"/>
      <c r="BF56" s="23"/>
      <c r="BG56" s="23"/>
      <c r="BH56" s="23"/>
      <c r="BI56" s="29"/>
      <c r="BJ56" s="29"/>
      <c r="BK56" s="23"/>
      <c r="BL56" s="23"/>
      <c r="BM56" s="23"/>
      <c r="BN56" s="23"/>
      <c r="BO56" s="23"/>
      <c r="BP56" s="50"/>
      <c r="BQ56" s="51"/>
      <c r="BR56" s="23"/>
      <c r="BS56" s="23"/>
      <c r="BT56" s="23"/>
      <c r="BU56" s="23"/>
      <c r="BV56" s="23"/>
      <c r="BW56" s="29"/>
      <c r="BX56" s="29"/>
      <c r="BY56" s="23"/>
      <c r="BZ56" s="23"/>
      <c r="CA56" s="23"/>
      <c r="CB56" s="23"/>
      <c r="CC56" s="23"/>
      <c r="CD56" s="29"/>
      <c r="CE56" s="29"/>
      <c r="CF56" s="22"/>
      <c r="CG56" s="22"/>
      <c r="CH56" s="22"/>
      <c r="CI56" s="22"/>
      <c r="CJ56" s="23"/>
      <c r="CK56" s="29"/>
      <c r="CL56" s="29"/>
      <c r="CM56" s="22"/>
      <c r="CN56" s="22"/>
      <c r="CO56" s="22"/>
      <c r="CP56" s="22"/>
      <c r="CQ56" s="23"/>
      <c r="CR56" s="29"/>
      <c r="CS56" s="32">
        <f>SUM(Z56:CR56)</f>
        <v>0</v>
      </c>
    </row>
    <row r="57" spans="1:97" ht="15.95" customHeight="1" x14ac:dyDescent="0.2">
      <c r="A57" s="5"/>
      <c r="B57" s="46"/>
      <c r="C57" s="31"/>
      <c r="D57" s="31"/>
      <c r="E57" s="12"/>
      <c r="F57" s="11"/>
      <c r="G57" s="22"/>
      <c r="H57" s="22"/>
      <c r="I57" s="22"/>
      <c r="J57" s="22"/>
      <c r="K57" s="22"/>
      <c r="L57" s="29"/>
      <c r="M57" s="29"/>
      <c r="N57" s="22"/>
      <c r="O57" s="22"/>
      <c r="P57" s="22"/>
      <c r="Q57" s="22"/>
      <c r="R57" s="22"/>
      <c r="S57" s="29"/>
      <c r="T57" s="29"/>
      <c r="U57" s="22"/>
      <c r="V57" s="22"/>
      <c r="W57" s="22"/>
      <c r="X57" s="22"/>
      <c r="Y57" s="22"/>
      <c r="Z57" s="29"/>
      <c r="AA57" s="29"/>
      <c r="AB57" s="22"/>
      <c r="AC57" s="22"/>
      <c r="AD57" s="22"/>
      <c r="AE57" s="22"/>
      <c r="AF57" s="22"/>
      <c r="AG57" s="29"/>
      <c r="AH57" s="29"/>
      <c r="AI57" s="22"/>
      <c r="AJ57" s="22"/>
      <c r="AK57" s="62"/>
      <c r="AL57" s="49"/>
      <c r="AM57" s="22"/>
      <c r="AN57" s="29"/>
      <c r="AO57" s="29"/>
      <c r="AP57" s="22"/>
      <c r="AQ57" s="23"/>
      <c r="AR57" s="23"/>
      <c r="AS57" s="22"/>
      <c r="AT57" s="22"/>
      <c r="AU57" s="29"/>
      <c r="AV57" s="29"/>
      <c r="AW57" s="23"/>
      <c r="AX57" s="23"/>
      <c r="AY57" s="23"/>
      <c r="AZ57" s="23"/>
      <c r="BA57" s="23"/>
      <c r="BB57" s="29"/>
      <c r="BC57" s="29"/>
      <c r="BD57" s="23"/>
      <c r="BE57" s="23"/>
      <c r="BF57" s="23"/>
      <c r="BG57" s="23"/>
      <c r="BH57" s="23"/>
      <c r="BI57" s="29"/>
      <c r="BJ57" s="29"/>
      <c r="BK57" s="23"/>
      <c r="BL57" s="23"/>
      <c r="BM57" s="23"/>
      <c r="BN57" s="23"/>
      <c r="BO57" s="23"/>
      <c r="BP57" s="50"/>
      <c r="BQ57" s="51"/>
      <c r="BR57" s="23"/>
      <c r="BS57" s="23"/>
      <c r="BT57" s="23"/>
      <c r="BU57" s="23"/>
      <c r="BV57" s="23"/>
      <c r="BW57" s="29"/>
      <c r="BX57" s="29"/>
      <c r="BY57" s="23"/>
      <c r="BZ57" s="23"/>
      <c r="CA57" s="23"/>
      <c r="CB57" s="23"/>
      <c r="CC57" s="23"/>
      <c r="CD57" s="29"/>
      <c r="CE57" s="29"/>
      <c r="CF57" s="22"/>
      <c r="CG57" s="22"/>
      <c r="CH57" s="22"/>
      <c r="CI57" s="22"/>
      <c r="CJ57" s="23"/>
      <c r="CK57" s="29"/>
      <c r="CL57" s="29"/>
      <c r="CM57" s="22"/>
      <c r="CN57" s="22"/>
      <c r="CO57" s="22"/>
      <c r="CP57" s="22"/>
      <c r="CQ57" s="23"/>
      <c r="CR57" s="29"/>
      <c r="CS57" s="70"/>
    </row>
    <row r="58" spans="1:97" ht="15.95" customHeight="1" x14ac:dyDescent="0.2">
      <c r="A58" s="5"/>
      <c r="B58" s="46"/>
      <c r="C58" s="31" t="s">
        <v>39</v>
      </c>
      <c r="D58" s="31" t="s">
        <v>18</v>
      </c>
      <c r="E58" s="12" t="s">
        <v>23</v>
      </c>
      <c r="F58" s="11" t="s">
        <v>16</v>
      </c>
      <c r="G58" s="22"/>
      <c r="H58" s="22"/>
      <c r="I58" s="22"/>
      <c r="J58" s="22"/>
      <c r="K58" s="22"/>
      <c r="L58" s="29"/>
      <c r="M58" s="29"/>
      <c r="N58" s="22"/>
      <c r="O58" s="22"/>
      <c r="P58" s="22"/>
      <c r="Q58" s="22"/>
      <c r="R58" s="22"/>
      <c r="S58" s="29"/>
      <c r="T58" s="29"/>
      <c r="U58" s="22"/>
      <c r="V58" s="22"/>
      <c r="W58" s="22"/>
      <c r="X58" s="22"/>
      <c r="Y58" s="22"/>
      <c r="Z58" s="29"/>
      <c r="AA58" s="29"/>
      <c r="AB58" s="8">
        <v>5</v>
      </c>
      <c r="AC58" s="9">
        <v>5</v>
      </c>
      <c r="AD58" s="9">
        <v>5</v>
      </c>
      <c r="AE58" s="9">
        <v>5</v>
      </c>
      <c r="AF58" s="8">
        <v>5</v>
      </c>
      <c r="AG58" s="10">
        <v>5</v>
      </c>
      <c r="AH58" s="10">
        <v>5</v>
      </c>
      <c r="AI58" s="9">
        <v>5</v>
      </c>
      <c r="AJ58" s="9">
        <v>5</v>
      </c>
      <c r="AK58" s="59">
        <v>5</v>
      </c>
      <c r="AL58" s="65">
        <v>5</v>
      </c>
      <c r="AM58" s="8">
        <v>5</v>
      </c>
      <c r="AN58" s="10">
        <v>5</v>
      </c>
      <c r="AO58" s="10">
        <v>5</v>
      </c>
      <c r="AP58" s="8">
        <v>5</v>
      </c>
      <c r="AQ58" s="9">
        <v>5</v>
      </c>
      <c r="AR58" s="9">
        <v>5</v>
      </c>
      <c r="AS58" s="9">
        <v>5</v>
      </c>
      <c r="AT58" s="8">
        <v>5</v>
      </c>
      <c r="AU58" s="10">
        <v>5</v>
      </c>
      <c r="AV58" s="10">
        <v>5</v>
      </c>
      <c r="AW58" s="9">
        <v>5</v>
      </c>
      <c r="AX58" s="9">
        <v>5</v>
      </c>
      <c r="AY58" s="9">
        <v>5</v>
      </c>
      <c r="AZ58" s="9">
        <v>5</v>
      </c>
      <c r="BA58" s="9">
        <v>5</v>
      </c>
      <c r="BB58" s="10">
        <v>5</v>
      </c>
      <c r="BC58" s="10">
        <v>5</v>
      </c>
      <c r="BD58" s="9">
        <v>5</v>
      </c>
      <c r="BE58" s="9">
        <v>5</v>
      </c>
      <c r="BF58" s="9">
        <v>5</v>
      </c>
      <c r="BG58" s="9">
        <v>5</v>
      </c>
      <c r="BH58" s="9">
        <v>5</v>
      </c>
      <c r="BI58" s="10">
        <v>5</v>
      </c>
      <c r="BJ58" s="10">
        <v>5</v>
      </c>
      <c r="BK58" s="9">
        <v>5</v>
      </c>
      <c r="BL58" s="9">
        <v>5</v>
      </c>
      <c r="BM58" s="9">
        <v>5</v>
      </c>
      <c r="BN58" s="9">
        <v>5</v>
      </c>
      <c r="BO58" s="9">
        <v>5</v>
      </c>
      <c r="BP58" s="10">
        <v>5</v>
      </c>
      <c r="BQ58" s="10">
        <v>5</v>
      </c>
      <c r="BR58" s="9">
        <v>5</v>
      </c>
      <c r="BS58" s="9">
        <v>5</v>
      </c>
      <c r="BT58" s="9">
        <v>5</v>
      </c>
      <c r="BU58" s="9">
        <v>5</v>
      </c>
      <c r="BV58" s="9">
        <v>5</v>
      </c>
      <c r="BW58" s="10">
        <v>5</v>
      </c>
      <c r="BX58" s="10">
        <v>5</v>
      </c>
      <c r="BY58" s="9">
        <v>5</v>
      </c>
      <c r="BZ58" s="9">
        <v>5</v>
      </c>
      <c r="CA58" s="9">
        <v>5</v>
      </c>
      <c r="CB58" s="9">
        <v>5</v>
      </c>
      <c r="CC58" s="9">
        <v>5</v>
      </c>
      <c r="CD58" s="10">
        <v>5</v>
      </c>
      <c r="CE58" s="10">
        <v>5</v>
      </c>
      <c r="CF58" s="8">
        <v>5</v>
      </c>
      <c r="CG58" s="9">
        <v>5</v>
      </c>
      <c r="CH58" s="9">
        <v>5</v>
      </c>
      <c r="CI58" s="9">
        <v>5</v>
      </c>
      <c r="CJ58" s="8"/>
      <c r="CK58" s="29"/>
      <c r="CL58" s="29"/>
      <c r="CM58" s="22"/>
      <c r="CN58" s="22"/>
      <c r="CO58" s="22"/>
      <c r="CP58" s="22"/>
      <c r="CQ58" s="23"/>
      <c r="CR58" s="29"/>
      <c r="CS58" s="32">
        <f>SUM(Z58:CR58)</f>
        <v>300</v>
      </c>
    </row>
    <row r="59" spans="1:97" ht="15.95" customHeight="1" x14ac:dyDescent="0.2">
      <c r="A59" s="5"/>
      <c r="B59" s="46"/>
      <c r="C59" s="37" t="s">
        <v>38</v>
      </c>
      <c r="D59" s="37"/>
      <c r="E59" s="18"/>
      <c r="F59" s="38"/>
      <c r="G59" s="22"/>
      <c r="H59" s="22"/>
      <c r="I59" s="22"/>
      <c r="J59" s="22"/>
      <c r="K59" s="22"/>
      <c r="L59" s="29"/>
      <c r="M59" s="29"/>
      <c r="N59" s="22"/>
      <c r="O59" s="22"/>
      <c r="P59" s="22"/>
      <c r="Q59" s="22"/>
      <c r="R59" s="22"/>
      <c r="S59" s="29"/>
      <c r="T59" s="29"/>
      <c r="U59" s="22"/>
      <c r="V59" s="22"/>
      <c r="W59" s="22"/>
      <c r="X59" s="22"/>
      <c r="Y59" s="22"/>
      <c r="Z59" s="29"/>
      <c r="AA59" s="29"/>
      <c r="AB59" s="22"/>
      <c r="AC59" s="22"/>
      <c r="AD59" s="22"/>
      <c r="AE59" s="22"/>
      <c r="AF59" s="22"/>
      <c r="AG59" s="29"/>
      <c r="AH59" s="29"/>
      <c r="AI59" s="22"/>
      <c r="AJ59" s="22"/>
      <c r="AK59" s="62"/>
      <c r="AL59" s="49"/>
      <c r="AM59" s="22"/>
      <c r="AN59" s="29"/>
      <c r="AO59" s="29"/>
      <c r="AP59" s="22"/>
      <c r="AQ59" s="23"/>
      <c r="AR59" s="23"/>
      <c r="AS59" s="22"/>
      <c r="AT59" s="22"/>
      <c r="AU59" s="29"/>
      <c r="AV59" s="29"/>
      <c r="AW59" s="23"/>
      <c r="AX59" s="23"/>
      <c r="AY59" s="23"/>
      <c r="AZ59" s="23"/>
      <c r="BA59" s="23"/>
      <c r="BB59" s="29"/>
      <c r="BC59" s="29"/>
      <c r="BD59" s="23"/>
      <c r="BE59" s="23"/>
      <c r="BF59" s="23"/>
      <c r="BG59" s="23"/>
      <c r="BH59" s="23"/>
      <c r="BI59" s="29"/>
      <c r="BJ59" s="29"/>
      <c r="BK59" s="23"/>
      <c r="BL59" s="23"/>
      <c r="BM59" s="23"/>
      <c r="BN59" s="23"/>
      <c r="BO59" s="23"/>
      <c r="BP59" s="50"/>
      <c r="BQ59" s="51"/>
      <c r="BR59" s="23"/>
      <c r="BS59" s="23"/>
      <c r="BT59" s="23"/>
      <c r="BU59" s="23"/>
      <c r="BV59" s="23"/>
      <c r="BW59" s="29"/>
      <c r="BX59" s="29"/>
      <c r="BY59" s="23"/>
      <c r="BZ59" s="23"/>
      <c r="CA59" s="23"/>
      <c r="CB59" s="23"/>
      <c r="CC59" s="23"/>
      <c r="CD59" s="29"/>
      <c r="CE59" s="29"/>
      <c r="CF59" s="22"/>
      <c r="CG59" s="22"/>
      <c r="CH59" s="22"/>
      <c r="CI59" s="22"/>
      <c r="CJ59" s="23"/>
      <c r="CK59" s="29"/>
      <c r="CL59" s="29"/>
      <c r="CM59" s="22"/>
      <c r="CN59" s="22"/>
      <c r="CO59" s="22"/>
      <c r="CP59" s="22"/>
      <c r="CQ59" s="23"/>
      <c r="CR59" s="29"/>
      <c r="CS59" s="32">
        <f>SUM(Z59:CR59)</f>
        <v>0</v>
      </c>
    </row>
    <row r="60" spans="1:97" ht="15.95" customHeight="1" x14ac:dyDescent="0.2">
      <c r="A60" s="5"/>
      <c r="B60" s="46"/>
      <c r="C60" s="31"/>
      <c r="D60" s="31"/>
      <c r="E60" s="12"/>
      <c r="F60" s="11"/>
      <c r="G60" s="22"/>
      <c r="H60" s="22"/>
      <c r="I60" s="22"/>
      <c r="J60" s="22"/>
      <c r="K60" s="22"/>
      <c r="L60" s="29"/>
      <c r="M60" s="29"/>
      <c r="N60" s="22"/>
      <c r="O60" s="22"/>
      <c r="P60" s="22"/>
      <c r="Q60" s="22"/>
      <c r="R60" s="22"/>
      <c r="S60" s="29"/>
      <c r="T60" s="29"/>
      <c r="U60" s="22"/>
      <c r="V60" s="22"/>
      <c r="W60" s="22"/>
      <c r="X60" s="22"/>
      <c r="Y60" s="22"/>
      <c r="Z60" s="29"/>
      <c r="AA60" s="29"/>
      <c r="AB60" s="22"/>
      <c r="AC60" s="22"/>
      <c r="AD60" s="22"/>
      <c r="AE60" s="22"/>
      <c r="AF60" s="22"/>
      <c r="AG60" s="29"/>
      <c r="AH60" s="29"/>
      <c r="AI60" s="22"/>
      <c r="AJ60" s="22"/>
      <c r="AK60" s="62"/>
      <c r="AL60" s="49"/>
      <c r="AM60" s="22"/>
      <c r="AN60" s="29"/>
      <c r="AO60" s="29"/>
      <c r="AP60" s="22"/>
      <c r="AQ60" s="23"/>
      <c r="AR60" s="23"/>
      <c r="AS60" s="22"/>
      <c r="AT60" s="22"/>
      <c r="AU60" s="29"/>
      <c r="AV60" s="29"/>
      <c r="AW60" s="23"/>
      <c r="AX60" s="23"/>
      <c r="AY60" s="23"/>
      <c r="AZ60" s="23"/>
      <c r="BA60" s="23"/>
      <c r="BB60" s="29"/>
      <c r="BC60" s="29"/>
      <c r="BD60" s="23"/>
      <c r="BE60" s="23"/>
      <c r="BF60" s="23"/>
      <c r="BG60" s="23"/>
      <c r="BH60" s="23"/>
      <c r="BI60" s="29"/>
      <c r="BJ60" s="29"/>
      <c r="BK60" s="23"/>
      <c r="BL60" s="23"/>
      <c r="BM60" s="23"/>
      <c r="BN60" s="23"/>
      <c r="BO60" s="23"/>
      <c r="BP60" s="50"/>
      <c r="BQ60" s="51"/>
      <c r="BR60" s="23"/>
      <c r="BS60" s="23"/>
      <c r="BT60" s="23"/>
      <c r="BU60" s="23"/>
      <c r="BV60" s="23"/>
      <c r="BW60" s="29"/>
      <c r="BX60" s="29"/>
      <c r="BY60" s="23"/>
      <c r="BZ60" s="23"/>
      <c r="CA60" s="23"/>
      <c r="CB60" s="23"/>
      <c r="CC60" s="23"/>
      <c r="CD60" s="29"/>
      <c r="CE60" s="29"/>
      <c r="CF60" s="22"/>
      <c r="CG60" s="22"/>
      <c r="CH60" s="22"/>
      <c r="CI60" s="22"/>
      <c r="CJ60" s="23"/>
      <c r="CK60" s="29"/>
      <c r="CL60" s="29"/>
      <c r="CM60" s="22"/>
      <c r="CN60" s="22"/>
      <c r="CO60" s="22"/>
      <c r="CP60" s="22"/>
      <c r="CQ60" s="23"/>
      <c r="CR60" s="29"/>
      <c r="CS60" s="70"/>
    </row>
    <row r="61" spans="1:97" ht="15.95" customHeight="1" x14ac:dyDescent="0.2">
      <c r="A61" s="5"/>
      <c r="B61" s="46"/>
      <c r="C61" s="31" t="s">
        <v>20</v>
      </c>
      <c r="D61" s="31" t="s">
        <v>18</v>
      </c>
      <c r="E61" s="12" t="s">
        <v>23</v>
      </c>
      <c r="F61" s="11" t="s">
        <v>16</v>
      </c>
      <c r="G61" s="22"/>
      <c r="H61" s="22"/>
      <c r="I61" s="22"/>
      <c r="J61" s="22"/>
      <c r="K61" s="22"/>
      <c r="L61" s="29"/>
      <c r="M61" s="29"/>
      <c r="N61" s="22"/>
      <c r="O61" s="22"/>
      <c r="P61" s="22"/>
      <c r="Q61" s="22"/>
      <c r="R61" s="22"/>
      <c r="S61" s="29"/>
      <c r="T61" s="29"/>
      <c r="U61" s="22"/>
      <c r="V61" s="22"/>
      <c r="W61" s="22"/>
      <c r="X61" s="22"/>
      <c r="Y61" s="22"/>
      <c r="Z61" s="29"/>
      <c r="AA61" s="29"/>
      <c r="AB61" s="8">
        <v>5</v>
      </c>
      <c r="AC61" s="9">
        <v>5</v>
      </c>
      <c r="AD61" s="9">
        <v>5</v>
      </c>
      <c r="AE61" s="9">
        <v>5</v>
      </c>
      <c r="AF61" s="8">
        <v>5</v>
      </c>
      <c r="AG61" s="10">
        <v>5</v>
      </c>
      <c r="AH61" s="10">
        <v>5</v>
      </c>
      <c r="AI61" s="9">
        <v>5</v>
      </c>
      <c r="AJ61" s="9">
        <v>5</v>
      </c>
      <c r="AK61" s="59">
        <v>5</v>
      </c>
      <c r="AL61" s="65">
        <v>5</v>
      </c>
      <c r="AM61" s="8">
        <v>5</v>
      </c>
      <c r="AN61" s="10">
        <v>5</v>
      </c>
      <c r="AO61" s="10">
        <v>5</v>
      </c>
      <c r="AP61" s="8">
        <v>5</v>
      </c>
      <c r="AQ61" s="9">
        <v>5</v>
      </c>
      <c r="AR61" s="9">
        <v>5</v>
      </c>
      <c r="AS61" s="9">
        <v>5</v>
      </c>
      <c r="AT61" s="8">
        <v>5</v>
      </c>
      <c r="AU61" s="10">
        <v>5</v>
      </c>
      <c r="AV61" s="10">
        <v>5</v>
      </c>
      <c r="AW61" s="9">
        <v>5</v>
      </c>
      <c r="AX61" s="9">
        <v>5</v>
      </c>
      <c r="AY61" s="9">
        <v>5</v>
      </c>
      <c r="AZ61" s="9">
        <v>5</v>
      </c>
      <c r="BA61" s="9">
        <v>5</v>
      </c>
      <c r="BB61" s="10">
        <v>5</v>
      </c>
      <c r="BC61" s="10">
        <v>5</v>
      </c>
      <c r="BD61" s="9">
        <v>5</v>
      </c>
      <c r="BE61" s="9">
        <v>5</v>
      </c>
      <c r="BF61" s="9">
        <v>5</v>
      </c>
      <c r="BG61" s="9">
        <v>5</v>
      </c>
      <c r="BH61" s="9">
        <v>5</v>
      </c>
      <c r="BI61" s="10">
        <v>5</v>
      </c>
      <c r="BJ61" s="10">
        <v>5</v>
      </c>
      <c r="BK61" s="9">
        <v>5</v>
      </c>
      <c r="BL61" s="9">
        <v>5</v>
      </c>
      <c r="BM61" s="9">
        <v>5</v>
      </c>
      <c r="BN61" s="9">
        <v>5</v>
      </c>
      <c r="BO61" s="9">
        <v>5</v>
      </c>
      <c r="BP61" s="10">
        <v>5</v>
      </c>
      <c r="BQ61" s="10">
        <v>5</v>
      </c>
      <c r="BR61" s="9">
        <v>5</v>
      </c>
      <c r="BS61" s="9">
        <v>5</v>
      </c>
      <c r="BT61" s="9">
        <v>5</v>
      </c>
      <c r="BU61" s="9">
        <v>5</v>
      </c>
      <c r="BV61" s="9">
        <v>5</v>
      </c>
      <c r="BW61" s="10">
        <v>5</v>
      </c>
      <c r="BX61" s="10">
        <v>5</v>
      </c>
      <c r="BY61" s="9">
        <v>5</v>
      </c>
      <c r="BZ61" s="9">
        <v>5</v>
      </c>
      <c r="CA61" s="9">
        <v>5</v>
      </c>
      <c r="CB61" s="9">
        <v>5</v>
      </c>
      <c r="CC61" s="9">
        <v>5</v>
      </c>
      <c r="CD61" s="10">
        <v>5</v>
      </c>
      <c r="CE61" s="10">
        <v>5</v>
      </c>
      <c r="CF61" s="8">
        <v>5</v>
      </c>
      <c r="CG61" s="9">
        <v>5</v>
      </c>
      <c r="CH61" s="9">
        <v>5</v>
      </c>
      <c r="CI61" s="9">
        <v>5</v>
      </c>
      <c r="CJ61" s="8"/>
      <c r="CK61" s="29"/>
      <c r="CL61" s="29"/>
      <c r="CM61" s="22"/>
      <c r="CN61" s="22"/>
      <c r="CO61" s="22"/>
      <c r="CP61" s="22"/>
      <c r="CQ61" s="23"/>
      <c r="CR61" s="29"/>
      <c r="CS61" s="32">
        <f>SUM(Z61:CR61)</f>
        <v>300</v>
      </c>
    </row>
    <row r="62" spans="1:97" ht="15.95" customHeight="1" x14ac:dyDescent="0.2">
      <c r="A62" s="5"/>
      <c r="B62" s="46"/>
      <c r="C62" s="37" t="s">
        <v>38</v>
      </c>
      <c r="D62" s="37"/>
      <c r="E62" s="18"/>
      <c r="F62" s="38"/>
      <c r="G62" s="22"/>
      <c r="H62" s="22"/>
      <c r="I62" s="22"/>
      <c r="J62" s="22"/>
      <c r="K62" s="22"/>
      <c r="L62" s="29"/>
      <c r="M62" s="29"/>
      <c r="N62" s="22"/>
      <c r="O62" s="22"/>
      <c r="P62" s="22"/>
      <c r="Q62" s="22"/>
      <c r="R62" s="22"/>
      <c r="S62" s="29"/>
      <c r="T62" s="29"/>
      <c r="U62" s="22"/>
      <c r="V62" s="22"/>
      <c r="W62" s="22"/>
      <c r="X62" s="22"/>
      <c r="Y62" s="22"/>
      <c r="Z62" s="29"/>
      <c r="AA62" s="29"/>
      <c r="AB62" s="22"/>
      <c r="AC62" s="22"/>
      <c r="AD62" s="22"/>
      <c r="AE62" s="22"/>
      <c r="AF62" s="22"/>
      <c r="AG62" s="29"/>
      <c r="AH62" s="29"/>
      <c r="AI62" s="22"/>
      <c r="AJ62" s="22"/>
      <c r="AK62" s="62"/>
      <c r="AL62" s="49"/>
      <c r="AM62" s="22"/>
      <c r="AN62" s="29"/>
      <c r="AO62" s="29"/>
      <c r="AP62" s="22"/>
      <c r="AQ62" s="23"/>
      <c r="AR62" s="23"/>
      <c r="AS62" s="22"/>
      <c r="AT62" s="22"/>
      <c r="AU62" s="29"/>
      <c r="AV62" s="29"/>
      <c r="AW62" s="23"/>
      <c r="AX62" s="23"/>
      <c r="AY62" s="23"/>
      <c r="AZ62" s="23"/>
      <c r="BA62" s="23"/>
      <c r="BB62" s="29"/>
      <c r="BC62" s="29"/>
      <c r="BD62" s="23"/>
      <c r="BE62" s="23"/>
      <c r="BF62" s="23"/>
      <c r="BG62" s="23"/>
      <c r="BH62" s="23"/>
      <c r="BI62" s="29"/>
      <c r="BJ62" s="29"/>
      <c r="BK62" s="23"/>
      <c r="BL62" s="23"/>
      <c r="BM62" s="23"/>
      <c r="BN62" s="23"/>
      <c r="BO62" s="23"/>
      <c r="BP62" s="50"/>
      <c r="BQ62" s="51"/>
      <c r="BR62" s="23"/>
      <c r="BS62" s="23"/>
      <c r="BT62" s="23"/>
      <c r="BU62" s="23"/>
      <c r="BV62" s="23"/>
      <c r="BW62" s="29"/>
      <c r="BX62" s="29"/>
      <c r="BY62" s="23"/>
      <c r="BZ62" s="23"/>
      <c r="CA62" s="23"/>
      <c r="CB62" s="23"/>
      <c r="CC62" s="23"/>
      <c r="CD62" s="29"/>
      <c r="CE62" s="29"/>
      <c r="CF62" s="22"/>
      <c r="CG62" s="22"/>
      <c r="CH62" s="22"/>
      <c r="CI62" s="22"/>
      <c r="CJ62" s="23"/>
      <c r="CK62" s="29"/>
      <c r="CL62" s="29"/>
      <c r="CM62" s="22"/>
      <c r="CN62" s="22"/>
      <c r="CO62" s="22"/>
      <c r="CP62" s="22"/>
      <c r="CQ62" s="23"/>
      <c r="CR62" s="29"/>
      <c r="CS62" s="32">
        <f>SUM(Z62:CR62)</f>
        <v>0</v>
      </c>
    </row>
    <row r="63" spans="1:97" ht="15.95" customHeight="1" x14ac:dyDescent="0.2">
      <c r="A63" s="5"/>
      <c r="B63" s="46"/>
      <c r="C63" s="31"/>
      <c r="D63" s="31"/>
      <c r="E63" s="12"/>
      <c r="F63" s="11"/>
      <c r="G63" s="22"/>
      <c r="H63" s="22"/>
      <c r="I63" s="22"/>
      <c r="J63" s="22"/>
      <c r="K63" s="22"/>
      <c r="L63" s="29"/>
      <c r="M63" s="29"/>
      <c r="N63" s="22"/>
      <c r="O63" s="22"/>
      <c r="P63" s="22"/>
      <c r="Q63" s="22"/>
      <c r="R63" s="22"/>
      <c r="S63" s="29"/>
      <c r="T63" s="29"/>
      <c r="U63" s="22"/>
      <c r="V63" s="22"/>
      <c r="W63" s="22"/>
      <c r="X63" s="22"/>
      <c r="Y63" s="22"/>
      <c r="Z63" s="29"/>
      <c r="AA63" s="29"/>
      <c r="AB63" s="22"/>
      <c r="AC63" s="22"/>
      <c r="AD63" s="22"/>
      <c r="AE63" s="22"/>
      <c r="AF63" s="22"/>
      <c r="AG63" s="29"/>
      <c r="AH63" s="29"/>
      <c r="AI63" s="22"/>
      <c r="AJ63" s="22"/>
      <c r="AK63" s="62"/>
      <c r="AL63" s="49"/>
      <c r="AM63" s="22"/>
      <c r="AN63" s="29"/>
      <c r="AO63" s="29"/>
      <c r="AP63" s="22"/>
      <c r="AQ63" s="23"/>
      <c r="AR63" s="23"/>
      <c r="AS63" s="22"/>
      <c r="AT63" s="22"/>
      <c r="AU63" s="29"/>
      <c r="AV63" s="29"/>
      <c r="AW63" s="23"/>
      <c r="AX63" s="23"/>
      <c r="AY63" s="23"/>
      <c r="AZ63" s="23"/>
      <c r="BA63" s="23"/>
      <c r="BB63" s="29"/>
      <c r="BC63" s="29"/>
      <c r="BD63" s="23"/>
      <c r="BE63" s="23"/>
      <c r="BF63" s="23"/>
      <c r="BG63" s="23"/>
      <c r="BH63" s="23"/>
      <c r="BI63" s="29"/>
      <c r="BJ63" s="29"/>
      <c r="BK63" s="23"/>
      <c r="BL63" s="23"/>
      <c r="BM63" s="23"/>
      <c r="BN63" s="23"/>
      <c r="BO63" s="23"/>
      <c r="BP63" s="50"/>
      <c r="BQ63" s="51"/>
      <c r="BR63" s="23"/>
      <c r="BS63" s="23"/>
      <c r="BT63" s="23"/>
      <c r="BU63" s="23"/>
      <c r="BV63" s="23"/>
      <c r="BW63" s="29"/>
      <c r="BX63" s="29"/>
      <c r="BY63" s="23"/>
      <c r="BZ63" s="23"/>
      <c r="CA63" s="23"/>
      <c r="CB63" s="23"/>
      <c r="CC63" s="23"/>
      <c r="CD63" s="29"/>
      <c r="CE63" s="29"/>
      <c r="CF63" s="22"/>
      <c r="CG63" s="22"/>
      <c r="CH63" s="22"/>
      <c r="CI63" s="22"/>
      <c r="CJ63" s="23"/>
      <c r="CK63" s="29"/>
      <c r="CL63" s="29"/>
      <c r="CM63" s="22"/>
      <c r="CN63" s="22"/>
      <c r="CO63" s="22"/>
      <c r="CP63" s="22"/>
      <c r="CQ63" s="23"/>
      <c r="CR63" s="29"/>
      <c r="CS63" s="70"/>
    </row>
    <row r="64" spans="1:97" ht="15.95" customHeight="1" x14ac:dyDescent="0.2">
      <c r="A64" s="5"/>
      <c r="B64" s="46"/>
      <c r="C64" s="31" t="s">
        <v>40</v>
      </c>
      <c r="D64" s="31" t="s">
        <v>18</v>
      </c>
      <c r="E64" s="12" t="s">
        <v>23</v>
      </c>
      <c r="F64" s="11" t="s">
        <v>16</v>
      </c>
      <c r="G64" s="22"/>
      <c r="H64" s="22"/>
      <c r="I64" s="22"/>
      <c r="J64" s="22"/>
      <c r="K64" s="22"/>
      <c r="L64" s="29"/>
      <c r="M64" s="29"/>
      <c r="N64" s="22"/>
      <c r="O64" s="22"/>
      <c r="P64" s="22"/>
      <c r="Q64" s="22"/>
      <c r="R64" s="22"/>
      <c r="S64" s="29"/>
      <c r="T64" s="29"/>
      <c r="U64" s="22"/>
      <c r="V64" s="22"/>
      <c r="W64" s="22"/>
      <c r="X64" s="22"/>
      <c r="Y64" s="22"/>
      <c r="Z64" s="29"/>
      <c r="AA64" s="29"/>
      <c r="AB64" s="22">
        <v>4</v>
      </c>
      <c r="AC64" s="22">
        <v>4</v>
      </c>
      <c r="AD64" s="22">
        <v>4</v>
      </c>
      <c r="AE64" s="22">
        <v>4</v>
      </c>
      <c r="AF64" s="22">
        <v>4</v>
      </c>
      <c r="AG64" s="29">
        <v>4</v>
      </c>
      <c r="AH64" s="29">
        <v>4</v>
      </c>
      <c r="AI64" s="22">
        <v>4</v>
      </c>
      <c r="AJ64" s="22">
        <v>4</v>
      </c>
      <c r="AK64" s="62">
        <v>4</v>
      </c>
      <c r="AL64" s="49">
        <v>4</v>
      </c>
      <c r="AM64" s="22">
        <v>4</v>
      </c>
      <c r="AN64" s="29">
        <v>4</v>
      </c>
      <c r="AO64" s="29">
        <v>4</v>
      </c>
      <c r="AP64" s="22">
        <v>4</v>
      </c>
      <c r="AQ64" s="22">
        <v>4</v>
      </c>
      <c r="AR64" s="22">
        <v>4</v>
      </c>
      <c r="AS64" s="22">
        <v>4</v>
      </c>
      <c r="AT64" s="22">
        <v>4</v>
      </c>
      <c r="AU64" s="29">
        <v>4</v>
      </c>
      <c r="AV64" s="29">
        <v>4</v>
      </c>
      <c r="AW64" s="22">
        <v>4</v>
      </c>
      <c r="AX64" s="22">
        <v>4</v>
      </c>
      <c r="AY64" s="22">
        <v>4</v>
      </c>
      <c r="AZ64" s="22">
        <v>4</v>
      </c>
      <c r="BA64" s="22">
        <v>4</v>
      </c>
      <c r="BB64" s="29">
        <v>4</v>
      </c>
      <c r="BC64" s="29">
        <v>4</v>
      </c>
      <c r="BD64" s="22">
        <v>4</v>
      </c>
      <c r="BE64" s="22">
        <v>4</v>
      </c>
      <c r="BF64" s="22">
        <v>4</v>
      </c>
      <c r="BG64" s="22">
        <v>4</v>
      </c>
      <c r="BH64" s="22">
        <v>4</v>
      </c>
      <c r="BI64" s="29">
        <v>4</v>
      </c>
      <c r="BJ64" s="29">
        <v>4</v>
      </c>
      <c r="BK64" s="22">
        <v>4</v>
      </c>
      <c r="BL64" s="22">
        <v>4</v>
      </c>
      <c r="BM64" s="22">
        <v>4</v>
      </c>
      <c r="BN64" s="22">
        <v>4</v>
      </c>
      <c r="BO64" s="22">
        <v>4</v>
      </c>
      <c r="BP64" s="63">
        <v>4</v>
      </c>
      <c r="BQ64" s="51">
        <v>4</v>
      </c>
      <c r="BR64" s="22">
        <v>4</v>
      </c>
      <c r="BS64" s="22">
        <v>4</v>
      </c>
      <c r="BT64" s="22">
        <v>4</v>
      </c>
      <c r="BU64" s="22">
        <v>4</v>
      </c>
      <c r="BV64" s="22">
        <v>4</v>
      </c>
      <c r="BW64" s="29">
        <v>4</v>
      </c>
      <c r="BX64" s="29">
        <v>4</v>
      </c>
      <c r="BY64" s="22">
        <v>4</v>
      </c>
      <c r="BZ64" s="22">
        <v>4</v>
      </c>
      <c r="CA64" s="22">
        <v>4</v>
      </c>
      <c r="CB64" s="22">
        <v>4</v>
      </c>
      <c r="CC64" s="22">
        <v>4</v>
      </c>
      <c r="CD64" s="29">
        <v>4</v>
      </c>
      <c r="CE64" s="29">
        <v>4</v>
      </c>
      <c r="CF64" s="22">
        <v>4</v>
      </c>
      <c r="CG64" s="22">
        <v>4</v>
      </c>
      <c r="CH64" s="22">
        <v>4</v>
      </c>
      <c r="CI64" s="22">
        <v>4</v>
      </c>
      <c r="CJ64" s="22">
        <v>4</v>
      </c>
      <c r="CK64" s="29">
        <v>4</v>
      </c>
      <c r="CL64" s="29"/>
      <c r="CM64" s="22"/>
      <c r="CN64" s="22"/>
      <c r="CO64" s="22"/>
      <c r="CP64" s="22"/>
      <c r="CQ64" s="23"/>
      <c r="CR64" s="29"/>
      <c r="CS64" s="32">
        <f>SUM(Z64:CR64)</f>
        <v>248</v>
      </c>
    </row>
    <row r="65" spans="1:97" ht="15.95" customHeight="1" x14ac:dyDescent="0.2">
      <c r="A65" s="5"/>
      <c r="B65" s="46"/>
      <c r="C65" s="37" t="s">
        <v>38</v>
      </c>
      <c r="D65" s="37"/>
      <c r="E65" s="18"/>
      <c r="F65" s="38"/>
      <c r="G65" s="22"/>
      <c r="H65" s="22"/>
      <c r="I65" s="22"/>
      <c r="J65" s="22"/>
      <c r="K65" s="22"/>
      <c r="L65" s="29"/>
      <c r="M65" s="29"/>
      <c r="N65" s="22"/>
      <c r="O65" s="22"/>
      <c r="P65" s="22"/>
      <c r="Q65" s="22"/>
      <c r="R65" s="22"/>
      <c r="S65" s="29"/>
      <c r="T65" s="29"/>
      <c r="U65" s="22"/>
      <c r="V65" s="22"/>
      <c r="W65" s="22"/>
      <c r="X65" s="22"/>
      <c r="Y65" s="22"/>
      <c r="Z65" s="29"/>
      <c r="AA65" s="29"/>
      <c r="AB65" s="22"/>
      <c r="AC65" s="22"/>
      <c r="AD65" s="22"/>
      <c r="AE65" s="22"/>
      <c r="AF65" s="22"/>
      <c r="AG65" s="29"/>
      <c r="AH65" s="29"/>
      <c r="AI65" s="22"/>
      <c r="AJ65" s="22"/>
      <c r="AK65" s="62"/>
      <c r="AL65" s="49"/>
      <c r="AM65" s="22"/>
      <c r="AN65" s="29"/>
      <c r="AO65" s="29"/>
      <c r="AP65" s="22"/>
      <c r="AQ65" s="23"/>
      <c r="AR65" s="23"/>
      <c r="AS65" s="22"/>
      <c r="AT65" s="22"/>
      <c r="AU65" s="29"/>
      <c r="AV65" s="29"/>
      <c r="AW65" s="22"/>
      <c r="AX65" s="23"/>
      <c r="AY65" s="23"/>
      <c r="AZ65" s="22"/>
      <c r="BA65" s="22"/>
      <c r="BB65" s="29"/>
      <c r="BC65" s="29"/>
      <c r="BD65" s="22"/>
      <c r="BE65" s="23"/>
      <c r="BF65" s="23"/>
      <c r="BG65" s="22"/>
      <c r="BH65" s="22"/>
      <c r="BI65" s="29"/>
      <c r="BJ65" s="29"/>
      <c r="BK65" s="23"/>
      <c r="BL65" s="23"/>
      <c r="BM65" s="23"/>
      <c r="BN65" s="23"/>
      <c r="BO65" s="23"/>
      <c r="BP65" s="50"/>
      <c r="BQ65" s="51"/>
      <c r="BR65" s="22"/>
      <c r="BS65" s="22"/>
      <c r="BT65" s="22"/>
      <c r="BU65" s="22"/>
      <c r="BV65" s="23"/>
      <c r="BW65" s="29"/>
      <c r="BX65" s="29"/>
      <c r="BY65" s="22"/>
      <c r="BZ65" s="22"/>
      <c r="CA65" s="22"/>
      <c r="CB65" s="22"/>
      <c r="CC65" s="23"/>
      <c r="CD65" s="29"/>
      <c r="CE65" s="29"/>
      <c r="CF65" s="22"/>
      <c r="CG65" s="22"/>
      <c r="CH65" s="22"/>
      <c r="CI65" s="22"/>
      <c r="CJ65" s="23"/>
      <c r="CK65" s="29"/>
      <c r="CL65" s="29"/>
      <c r="CM65" s="22"/>
      <c r="CN65" s="22"/>
      <c r="CO65" s="22"/>
      <c r="CP65" s="22"/>
      <c r="CQ65" s="23"/>
      <c r="CR65" s="29"/>
      <c r="CS65" s="32">
        <f>SUM(Z65:CR65)</f>
        <v>0</v>
      </c>
    </row>
    <row r="66" spans="1:97" ht="15.95" customHeight="1" x14ac:dyDescent="0.2">
      <c r="A66" s="5"/>
      <c r="B66" s="46"/>
      <c r="C66" s="31"/>
      <c r="D66" s="31"/>
      <c r="E66" s="12"/>
      <c r="F66" s="11"/>
      <c r="G66" s="22"/>
      <c r="H66" s="22"/>
      <c r="I66" s="22"/>
      <c r="J66" s="22"/>
      <c r="K66" s="22"/>
      <c r="L66" s="29"/>
      <c r="M66" s="29"/>
      <c r="N66" s="22"/>
      <c r="O66" s="22"/>
      <c r="P66" s="22"/>
      <c r="Q66" s="22"/>
      <c r="R66" s="22"/>
      <c r="S66" s="29"/>
      <c r="T66" s="29"/>
      <c r="U66" s="22"/>
      <c r="V66" s="22"/>
      <c r="W66" s="22"/>
      <c r="X66" s="22"/>
      <c r="Y66" s="22"/>
      <c r="Z66" s="29"/>
      <c r="AA66" s="29"/>
      <c r="AB66" s="22"/>
      <c r="AC66" s="22"/>
      <c r="AD66" s="22"/>
      <c r="AE66" s="22"/>
      <c r="AF66" s="22"/>
      <c r="AG66" s="29"/>
      <c r="AH66" s="29"/>
      <c r="AI66" s="22"/>
      <c r="AJ66" s="22"/>
      <c r="AK66" s="62"/>
      <c r="AL66" s="49"/>
      <c r="AM66" s="22"/>
      <c r="AN66" s="29"/>
      <c r="AO66" s="29"/>
      <c r="AP66" s="22"/>
      <c r="AQ66" s="23"/>
      <c r="AR66" s="23"/>
      <c r="AS66" s="22"/>
      <c r="AT66" s="22"/>
      <c r="AU66" s="29"/>
      <c r="AV66" s="29"/>
      <c r="AW66" s="22"/>
      <c r="AX66" s="23"/>
      <c r="AY66" s="23"/>
      <c r="AZ66" s="22"/>
      <c r="BA66" s="22"/>
      <c r="BB66" s="29"/>
      <c r="BC66" s="29"/>
      <c r="BD66" s="22"/>
      <c r="BE66" s="23"/>
      <c r="BF66" s="23"/>
      <c r="BG66" s="22"/>
      <c r="BH66" s="22"/>
      <c r="BI66" s="29"/>
      <c r="BJ66" s="29"/>
      <c r="BK66" s="22"/>
      <c r="BL66" s="23"/>
      <c r="BM66" s="23"/>
      <c r="BN66" s="22"/>
      <c r="BO66" s="22"/>
      <c r="BP66" s="50"/>
      <c r="BQ66" s="51"/>
      <c r="BR66" s="22"/>
      <c r="BS66" s="22"/>
      <c r="BT66" s="22"/>
      <c r="BU66" s="22"/>
      <c r="BV66" s="23"/>
      <c r="BW66" s="29"/>
      <c r="BX66" s="29"/>
      <c r="BY66" s="22"/>
      <c r="BZ66" s="22"/>
      <c r="CA66" s="22"/>
      <c r="CB66" s="22"/>
      <c r="CC66" s="23"/>
      <c r="CD66" s="29"/>
      <c r="CE66" s="29"/>
      <c r="CF66" s="22"/>
      <c r="CG66" s="22"/>
      <c r="CH66" s="22"/>
      <c r="CI66" s="22"/>
      <c r="CJ66" s="23"/>
      <c r="CK66" s="29"/>
      <c r="CL66" s="29"/>
      <c r="CM66" s="22"/>
      <c r="CN66" s="22"/>
      <c r="CO66" s="22"/>
      <c r="CP66" s="22"/>
      <c r="CQ66" s="23"/>
      <c r="CR66" s="29"/>
      <c r="CS66" s="70"/>
    </row>
    <row r="67" spans="1:97" ht="15.95" customHeight="1" x14ac:dyDescent="0.2">
      <c r="A67" s="5"/>
      <c r="B67" s="46"/>
      <c r="C67" s="31" t="s">
        <v>41</v>
      </c>
      <c r="D67" s="31" t="s">
        <v>18</v>
      </c>
      <c r="E67" s="12" t="s">
        <v>23</v>
      </c>
      <c r="F67" s="11" t="s">
        <v>16</v>
      </c>
      <c r="G67" s="22"/>
      <c r="H67" s="22"/>
      <c r="I67" s="22"/>
      <c r="J67" s="22"/>
      <c r="K67" s="22"/>
      <c r="L67" s="29"/>
      <c r="M67" s="29"/>
      <c r="N67" s="22"/>
      <c r="O67" s="22"/>
      <c r="P67" s="22"/>
      <c r="Q67" s="22"/>
      <c r="R67" s="22"/>
      <c r="S67" s="29"/>
      <c r="T67" s="29"/>
      <c r="U67" s="22"/>
      <c r="V67" s="22"/>
      <c r="W67" s="22"/>
      <c r="X67" s="22"/>
      <c r="Y67" s="22"/>
      <c r="Z67" s="29"/>
      <c r="AA67" s="29"/>
      <c r="AB67" s="22">
        <v>4</v>
      </c>
      <c r="AC67" s="22">
        <v>4</v>
      </c>
      <c r="AD67" s="22">
        <v>4</v>
      </c>
      <c r="AE67" s="22">
        <v>4</v>
      </c>
      <c r="AF67" s="22">
        <v>4</v>
      </c>
      <c r="AG67" s="29">
        <v>4</v>
      </c>
      <c r="AH67" s="29">
        <v>4</v>
      </c>
      <c r="AI67" s="22">
        <v>4</v>
      </c>
      <c r="AJ67" s="22">
        <v>4</v>
      </c>
      <c r="AK67" s="62">
        <v>4</v>
      </c>
      <c r="AL67" s="49">
        <v>4</v>
      </c>
      <c r="AM67" s="22">
        <v>4</v>
      </c>
      <c r="AN67" s="29">
        <v>4</v>
      </c>
      <c r="AO67" s="29">
        <v>4</v>
      </c>
      <c r="AP67" s="22">
        <v>4</v>
      </c>
      <c r="AQ67" s="22">
        <v>4</v>
      </c>
      <c r="AR67" s="22">
        <v>4</v>
      </c>
      <c r="AS67" s="22">
        <v>4</v>
      </c>
      <c r="AT67" s="22">
        <v>4</v>
      </c>
      <c r="AU67" s="29">
        <v>4</v>
      </c>
      <c r="AV67" s="29">
        <v>4</v>
      </c>
      <c r="AW67" s="22">
        <v>4</v>
      </c>
      <c r="AX67" s="22">
        <v>4</v>
      </c>
      <c r="AY67" s="22">
        <v>4</v>
      </c>
      <c r="AZ67" s="22">
        <v>4</v>
      </c>
      <c r="BA67" s="22">
        <v>4</v>
      </c>
      <c r="BB67" s="29">
        <v>4</v>
      </c>
      <c r="BC67" s="29">
        <v>4</v>
      </c>
      <c r="BD67" s="22">
        <v>4</v>
      </c>
      <c r="BE67" s="22">
        <v>4</v>
      </c>
      <c r="BF67" s="22">
        <v>4</v>
      </c>
      <c r="BG67" s="22">
        <v>4</v>
      </c>
      <c r="BH67" s="22">
        <v>4</v>
      </c>
      <c r="BI67" s="29">
        <v>4</v>
      </c>
      <c r="BJ67" s="29">
        <v>4</v>
      </c>
      <c r="BK67" s="22">
        <v>4</v>
      </c>
      <c r="BL67" s="22">
        <v>4</v>
      </c>
      <c r="BM67" s="22">
        <v>4</v>
      </c>
      <c r="BN67" s="22">
        <v>4</v>
      </c>
      <c r="BO67" s="22">
        <v>4</v>
      </c>
      <c r="BP67" s="63">
        <v>4</v>
      </c>
      <c r="BQ67" s="51">
        <v>4</v>
      </c>
      <c r="BR67" s="22">
        <v>4</v>
      </c>
      <c r="BS67" s="22">
        <v>4</v>
      </c>
      <c r="BT67" s="22">
        <v>4</v>
      </c>
      <c r="BU67" s="22">
        <v>4</v>
      </c>
      <c r="BV67" s="22">
        <v>4</v>
      </c>
      <c r="BW67" s="29">
        <v>4</v>
      </c>
      <c r="BX67" s="29">
        <v>4</v>
      </c>
      <c r="BY67" s="22">
        <v>4</v>
      </c>
      <c r="BZ67" s="22">
        <v>4</v>
      </c>
      <c r="CA67" s="22">
        <v>4</v>
      </c>
      <c r="CB67" s="22">
        <v>4</v>
      </c>
      <c r="CC67" s="22">
        <v>4</v>
      </c>
      <c r="CD67" s="29">
        <v>4</v>
      </c>
      <c r="CE67" s="29">
        <v>4</v>
      </c>
      <c r="CF67" s="22">
        <v>4</v>
      </c>
      <c r="CG67" s="22">
        <v>4</v>
      </c>
      <c r="CH67" s="22">
        <v>4</v>
      </c>
      <c r="CI67" s="22">
        <v>4</v>
      </c>
      <c r="CJ67" s="22">
        <v>4</v>
      </c>
      <c r="CK67" s="29">
        <v>4</v>
      </c>
      <c r="CL67" s="29"/>
      <c r="CM67" s="22"/>
      <c r="CN67" s="22"/>
      <c r="CO67" s="22"/>
      <c r="CP67" s="22"/>
      <c r="CQ67" s="23"/>
      <c r="CR67" s="29"/>
      <c r="CS67" s="32">
        <f>SUM(Z67:CR67)</f>
        <v>248</v>
      </c>
    </row>
    <row r="68" spans="1:97" ht="15.95" customHeight="1" x14ac:dyDescent="0.2">
      <c r="A68" s="5"/>
      <c r="B68" s="46"/>
      <c r="C68" s="37" t="s">
        <v>38</v>
      </c>
      <c r="D68" s="37"/>
      <c r="E68" s="18"/>
      <c r="F68" s="38"/>
      <c r="G68" s="22"/>
      <c r="H68" s="22"/>
      <c r="I68" s="22"/>
      <c r="J68" s="22"/>
      <c r="K68" s="22"/>
      <c r="L68" s="29"/>
      <c r="M68" s="29"/>
      <c r="N68" s="22"/>
      <c r="O68" s="22"/>
      <c r="P68" s="22"/>
      <c r="Q68" s="22"/>
      <c r="R68" s="22"/>
      <c r="S68" s="29"/>
      <c r="T68" s="29"/>
      <c r="U68" s="22"/>
      <c r="V68" s="22"/>
      <c r="W68" s="22"/>
      <c r="X68" s="22"/>
      <c r="Y68" s="22"/>
      <c r="Z68" s="29"/>
      <c r="AA68" s="29"/>
      <c r="AB68" s="22"/>
      <c r="AC68" s="22"/>
      <c r="AD68" s="22"/>
      <c r="AE68" s="22"/>
      <c r="AF68" s="22"/>
      <c r="AG68" s="29"/>
      <c r="AH68" s="29"/>
      <c r="AI68" s="22"/>
      <c r="AJ68" s="22"/>
      <c r="AK68" s="62"/>
      <c r="AL68" s="49"/>
      <c r="AM68" s="22"/>
      <c r="AN68" s="29"/>
      <c r="AO68" s="29"/>
      <c r="AP68" s="22"/>
      <c r="AQ68" s="23"/>
      <c r="AR68" s="23"/>
      <c r="AS68" s="22"/>
      <c r="AT68" s="22"/>
      <c r="AU68" s="29"/>
      <c r="AV68" s="29"/>
      <c r="AW68" s="22"/>
      <c r="AX68" s="23"/>
      <c r="AY68" s="23"/>
      <c r="AZ68" s="22"/>
      <c r="BA68" s="22"/>
      <c r="BB68" s="29"/>
      <c r="BC68" s="29"/>
      <c r="BD68" s="22"/>
      <c r="BE68" s="23"/>
      <c r="BF68" s="23"/>
      <c r="BG68" s="22"/>
      <c r="BH68" s="22"/>
      <c r="BI68" s="29"/>
      <c r="BJ68" s="29"/>
      <c r="BK68" s="22"/>
      <c r="BL68" s="23"/>
      <c r="BM68" s="23"/>
      <c r="BN68" s="22"/>
      <c r="BO68" s="22"/>
      <c r="BP68" s="50"/>
      <c r="BQ68" s="51"/>
      <c r="BR68" s="22"/>
      <c r="BS68" s="22"/>
      <c r="BT68" s="22"/>
      <c r="BU68" s="22"/>
      <c r="BV68" s="23"/>
      <c r="BW68" s="29"/>
      <c r="BX68" s="29"/>
      <c r="BY68" s="22"/>
      <c r="BZ68" s="22"/>
      <c r="CA68" s="22"/>
      <c r="CB68" s="22"/>
      <c r="CC68" s="23"/>
      <c r="CD68" s="29"/>
      <c r="CE68" s="29"/>
      <c r="CF68" s="22"/>
      <c r="CG68" s="22"/>
      <c r="CH68" s="22"/>
      <c r="CI68" s="22"/>
      <c r="CJ68" s="23"/>
      <c r="CK68" s="29"/>
      <c r="CL68" s="29"/>
      <c r="CM68" s="22"/>
      <c r="CN68" s="22"/>
      <c r="CO68" s="22"/>
      <c r="CP68" s="22"/>
      <c r="CQ68" s="23"/>
      <c r="CR68" s="29"/>
      <c r="CS68" s="32">
        <f>SUM(Z68:CR68)</f>
        <v>0</v>
      </c>
    </row>
    <row r="69" spans="1:97" ht="15.95" customHeight="1" x14ac:dyDescent="0.2">
      <c r="A69" s="5"/>
      <c r="B69" s="46"/>
      <c r="C69" s="31"/>
      <c r="D69" s="31"/>
      <c r="E69" s="12"/>
      <c r="F69" s="11"/>
      <c r="G69" s="22"/>
      <c r="H69" s="22"/>
      <c r="I69" s="22"/>
      <c r="J69" s="22"/>
      <c r="K69" s="22"/>
      <c r="L69" s="29"/>
      <c r="M69" s="29"/>
      <c r="N69" s="22"/>
      <c r="O69" s="22"/>
      <c r="P69" s="22"/>
      <c r="Q69" s="22"/>
      <c r="R69" s="22"/>
      <c r="S69" s="29"/>
      <c r="T69" s="29"/>
      <c r="U69" s="22"/>
      <c r="V69" s="22"/>
      <c r="W69" s="22"/>
      <c r="X69" s="22"/>
      <c r="Y69" s="22"/>
      <c r="Z69" s="29"/>
      <c r="AA69" s="29"/>
      <c r="AB69" s="22"/>
      <c r="AC69" s="22"/>
      <c r="AD69" s="22"/>
      <c r="AE69" s="22"/>
      <c r="AF69" s="22"/>
      <c r="AG69" s="29"/>
      <c r="AH69" s="29"/>
      <c r="AI69" s="22"/>
      <c r="AJ69" s="22"/>
      <c r="AK69" s="62"/>
      <c r="AL69" s="49"/>
      <c r="AM69" s="22"/>
      <c r="AN69" s="29"/>
      <c r="AO69" s="29"/>
      <c r="AP69" s="22"/>
      <c r="AQ69" s="23"/>
      <c r="AR69" s="23"/>
      <c r="AS69" s="22"/>
      <c r="AT69" s="22"/>
      <c r="AU69" s="29"/>
      <c r="AV69" s="29"/>
      <c r="AW69" s="22"/>
      <c r="AX69" s="23"/>
      <c r="AY69" s="23"/>
      <c r="AZ69" s="22"/>
      <c r="BA69" s="22"/>
      <c r="BB69" s="29"/>
      <c r="BC69" s="29"/>
      <c r="BD69" s="22"/>
      <c r="BE69" s="23"/>
      <c r="BF69" s="23"/>
      <c r="BG69" s="22"/>
      <c r="BH69" s="22"/>
      <c r="BI69" s="29"/>
      <c r="BJ69" s="29"/>
      <c r="BK69" s="22"/>
      <c r="BL69" s="23"/>
      <c r="BM69" s="23"/>
      <c r="BN69" s="22"/>
      <c r="BO69" s="22"/>
      <c r="BP69" s="50"/>
      <c r="BQ69" s="51"/>
      <c r="BR69" s="22"/>
      <c r="BS69" s="22"/>
      <c r="BT69" s="22"/>
      <c r="BU69" s="22"/>
      <c r="BV69" s="23"/>
      <c r="BW69" s="29"/>
      <c r="BX69" s="29"/>
      <c r="BY69" s="22"/>
      <c r="BZ69" s="22"/>
      <c r="CA69" s="22"/>
      <c r="CB69" s="22"/>
      <c r="CC69" s="23"/>
      <c r="CD69" s="29"/>
      <c r="CE69" s="29"/>
      <c r="CF69" s="22"/>
      <c r="CG69" s="22"/>
      <c r="CH69" s="22"/>
      <c r="CI69" s="22"/>
      <c r="CJ69" s="23"/>
      <c r="CK69" s="29"/>
      <c r="CL69" s="29"/>
      <c r="CM69" s="22"/>
      <c r="CN69" s="22"/>
      <c r="CO69" s="22"/>
      <c r="CP69" s="22"/>
      <c r="CQ69" s="23"/>
      <c r="CR69" s="29"/>
      <c r="CS69" s="70"/>
    </row>
    <row r="70" spans="1:97" ht="15.95" customHeight="1" x14ac:dyDescent="0.2">
      <c r="A70" s="5"/>
      <c r="B70" s="46"/>
      <c r="C70" s="31" t="s">
        <v>34</v>
      </c>
      <c r="D70" s="31" t="s">
        <v>18</v>
      </c>
      <c r="E70" s="12" t="s">
        <v>23</v>
      </c>
      <c r="F70" s="11" t="s">
        <v>16</v>
      </c>
      <c r="G70" s="22"/>
      <c r="H70" s="22"/>
      <c r="I70" s="22"/>
      <c r="J70" s="22"/>
      <c r="K70" s="22"/>
      <c r="L70" s="29"/>
      <c r="M70" s="29"/>
      <c r="N70" s="22"/>
      <c r="O70" s="22"/>
      <c r="P70" s="22"/>
      <c r="Q70" s="22"/>
      <c r="R70" s="22"/>
      <c r="S70" s="29"/>
      <c r="T70" s="29"/>
      <c r="U70" s="22"/>
      <c r="V70" s="22"/>
      <c r="W70" s="22"/>
      <c r="X70" s="22"/>
      <c r="Y70" s="22"/>
      <c r="Z70" s="29"/>
      <c r="AA70" s="29"/>
      <c r="AB70" s="22">
        <v>3</v>
      </c>
      <c r="AC70" s="22">
        <v>3</v>
      </c>
      <c r="AD70" s="22">
        <v>3</v>
      </c>
      <c r="AE70" s="22">
        <v>3</v>
      </c>
      <c r="AF70" s="22">
        <v>3</v>
      </c>
      <c r="AG70" s="29">
        <v>3</v>
      </c>
      <c r="AH70" s="29">
        <v>3</v>
      </c>
      <c r="AI70" s="22">
        <v>3</v>
      </c>
      <c r="AJ70" s="22">
        <v>3</v>
      </c>
      <c r="AK70" s="62">
        <v>3</v>
      </c>
      <c r="AL70" s="49">
        <v>3</v>
      </c>
      <c r="AM70" s="22">
        <v>3</v>
      </c>
      <c r="AN70" s="29">
        <v>3</v>
      </c>
      <c r="AO70" s="29">
        <v>3</v>
      </c>
      <c r="AP70" s="22">
        <v>3</v>
      </c>
      <c r="AQ70" s="22">
        <v>3</v>
      </c>
      <c r="AR70" s="22">
        <v>3</v>
      </c>
      <c r="AS70" s="22">
        <v>3</v>
      </c>
      <c r="AT70" s="22">
        <v>3</v>
      </c>
      <c r="AU70" s="29">
        <v>3</v>
      </c>
      <c r="AV70" s="29">
        <v>3</v>
      </c>
      <c r="AW70" s="22">
        <v>3</v>
      </c>
      <c r="AX70" s="22">
        <v>3</v>
      </c>
      <c r="AY70" s="22">
        <v>3</v>
      </c>
      <c r="AZ70" s="22">
        <v>3</v>
      </c>
      <c r="BA70" s="22">
        <v>3</v>
      </c>
      <c r="BB70" s="29">
        <v>3</v>
      </c>
      <c r="BC70" s="29">
        <v>3</v>
      </c>
      <c r="BD70" s="22">
        <v>3</v>
      </c>
      <c r="BE70" s="22">
        <v>3</v>
      </c>
      <c r="BF70" s="22">
        <v>3</v>
      </c>
      <c r="BG70" s="22">
        <v>3</v>
      </c>
      <c r="BH70" s="22">
        <v>3</v>
      </c>
      <c r="BI70" s="29">
        <v>3</v>
      </c>
      <c r="BJ70" s="29">
        <v>3</v>
      </c>
      <c r="BK70" s="22">
        <v>3</v>
      </c>
      <c r="BL70" s="22">
        <v>3</v>
      </c>
      <c r="BM70" s="22">
        <v>3</v>
      </c>
      <c r="BN70" s="22">
        <v>3</v>
      </c>
      <c r="BO70" s="22">
        <v>3</v>
      </c>
      <c r="BP70" s="63">
        <v>3</v>
      </c>
      <c r="BQ70" s="51">
        <v>3</v>
      </c>
      <c r="BR70" s="22">
        <v>3</v>
      </c>
      <c r="BS70" s="22">
        <v>3</v>
      </c>
      <c r="BT70" s="22">
        <v>3</v>
      </c>
      <c r="BU70" s="22">
        <v>3</v>
      </c>
      <c r="BV70" s="22">
        <v>3</v>
      </c>
      <c r="BW70" s="29">
        <v>3</v>
      </c>
      <c r="BX70" s="29">
        <v>3</v>
      </c>
      <c r="BY70" s="22">
        <v>3</v>
      </c>
      <c r="BZ70" s="22">
        <v>3</v>
      </c>
      <c r="CA70" s="22">
        <v>3</v>
      </c>
      <c r="CB70" s="22">
        <v>3</v>
      </c>
      <c r="CC70" s="22">
        <v>3</v>
      </c>
      <c r="CD70" s="29">
        <v>3</v>
      </c>
      <c r="CE70" s="29">
        <v>3</v>
      </c>
      <c r="CF70" s="22">
        <v>3</v>
      </c>
      <c r="CG70" s="22">
        <v>3</v>
      </c>
      <c r="CH70" s="22">
        <v>3</v>
      </c>
      <c r="CI70" s="22">
        <v>3</v>
      </c>
      <c r="CJ70" s="22">
        <v>3</v>
      </c>
      <c r="CK70" s="29">
        <v>3</v>
      </c>
      <c r="CL70" s="29"/>
      <c r="CM70" s="22"/>
      <c r="CN70" s="22"/>
      <c r="CO70" s="22"/>
      <c r="CP70" s="22"/>
      <c r="CQ70" s="23"/>
      <c r="CR70" s="29"/>
      <c r="CS70" s="32">
        <f>SUM(Z70:CR70)</f>
        <v>186</v>
      </c>
    </row>
    <row r="71" spans="1:97" ht="15.95" customHeight="1" x14ac:dyDescent="0.2">
      <c r="A71" s="5"/>
      <c r="B71" s="46"/>
      <c r="C71" s="37" t="s">
        <v>42</v>
      </c>
      <c r="D71" s="37"/>
      <c r="E71" s="18"/>
      <c r="F71" s="38"/>
      <c r="G71" s="22"/>
      <c r="H71" s="22"/>
      <c r="I71" s="22"/>
      <c r="J71" s="22"/>
      <c r="K71" s="22"/>
      <c r="L71" s="29"/>
      <c r="M71" s="29"/>
      <c r="N71" s="22"/>
      <c r="O71" s="22"/>
      <c r="P71" s="22"/>
      <c r="Q71" s="22"/>
      <c r="R71" s="22"/>
      <c r="S71" s="29"/>
      <c r="T71" s="29"/>
      <c r="U71" s="22"/>
      <c r="V71" s="22"/>
      <c r="W71" s="22"/>
      <c r="X71" s="22"/>
      <c r="Y71" s="22"/>
      <c r="Z71" s="29"/>
      <c r="AA71" s="29"/>
      <c r="AB71" s="22"/>
      <c r="AC71" s="22"/>
      <c r="AD71" s="22"/>
      <c r="AE71" s="22"/>
      <c r="AF71" s="22"/>
      <c r="AG71" s="29"/>
      <c r="AH71" s="29"/>
      <c r="AI71" s="22"/>
      <c r="AJ71" s="22"/>
      <c r="AK71" s="62"/>
      <c r="AL71" s="49"/>
      <c r="AM71" s="22"/>
      <c r="AN71" s="29"/>
      <c r="AO71" s="29"/>
      <c r="AP71" s="22"/>
      <c r="AQ71" s="23"/>
      <c r="AR71" s="23"/>
      <c r="AS71" s="22"/>
      <c r="AT71" s="22"/>
      <c r="AU71" s="29"/>
      <c r="AV71" s="29"/>
      <c r="AW71" s="22"/>
      <c r="AX71" s="23"/>
      <c r="AY71" s="23"/>
      <c r="AZ71" s="22"/>
      <c r="BA71" s="22"/>
      <c r="BB71" s="29"/>
      <c r="BC71" s="29"/>
      <c r="BD71" s="22"/>
      <c r="BE71" s="23"/>
      <c r="BF71" s="23"/>
      <c r="BG71" s="22"/>
      <c r="BH71" s="22"/>
      <c r="BI71" s="29"/>
      <c r="BJ71" s="29"/>
      <c r="BK71" s="22"/>
      <c r="BL71" s="23"/>
      <c r="BM71" s="23"/>
      <c r="BN71" s="22"/>
      <c r="BO71" s="22"/>
      <c r="BP71" s="50"/>
      <c r="BQ71" s="51"/>
      <c r="BR71" s="22"/>
      <c r="BS71" s="22"/>
      <c r="BT71" s="22"/>
      <c r="BU71" s="22"/>
      <c r="BV71" s="23"/>
      <c r="BW71" s="29"/>
      <c r="BX71" s="29"/>
      <c r="BY71" s="22"/>
      <c r="BZ71" s="22"/>
      <c r="CA71" s="22"/>
      <c r="CB71" s="22"/>
      <c r="CC71" s="23"/>
      <c r="CD71" s="29"/>
      <c r="CE71" s="29"/>
      <c r="CF71" s="22"/>
      <c r="CG71" s="22"/>
      <c r="CH71" s="22"/>
      <c r="CI71" s="22"/>
      <c r="CJ71" s="23"/>
      <c r="CK71" s="29"/>
      <c r="CL71" s="29"/>
      <c r="CM71" s="22"/>
      <c r="CN71" s="22"/>
      <c r="CO71" s="22"/>
      <c r="CP71" s="22"/>
      <c r="CQ71" s="23"/>
      <c r="CR71" s="29"/>
      <c r="CS71" s="32">
        <f>SUM(Z71:CR71)</f>
        <v>0</v>
      </c>
    </row>
    <row r="72" spans="1:97" ht="15.95" customHeight="1" x14ac:dyDescent="0.2">
      <c r="A72" s="5"/>
      <c r="B72" s="46"/>
      <c r="C72" s="31"/>
      <c r="D72" s="31"/>
      <c r="E72" s="12"/>
      <c r="F72" s="11"/>
      <c r="G72" s="22"/>
      <c r="H72" s="22"/>
      <c r="I72" s="22"/>
      <c r="J72" s="22"/>
      <c r="K72" s="22"/>
      <c r="L72" s="29"/>
      <c r="M72" s="29"/>
      <c r="N72" s="22"/>
      <c r="O72" s="22"/>
      <c r="P72" s="22"/>
      <c r="Q72" s="22"/>
      <c r="R72" s="22"/>
      <c r="S72" s="29"/>
      <c r="T72" s="29"/>
      <c r="U72" s="22"/>
      <c r="V72" s="22"/>
      <c r="W72" s="22"/>
      <c r="X72" s="22"/>
      <c r="Y72" s="22"/>
      <c r="Z72" s="29"/>
      <c r="AA72" s="29"/>
      <c r="AB72" s="22"/>
      <c r="AC72" s="22"/>
      <c r="AD72" s="22"/>
      <c r="AE72" s="22"/>
      <c r="AF72" s="22"/>
      <c r="AG72" s="29"/>
      <c r="AH72" s="29"/>
      <c r="AI72" s="22"/>
      <c r="AJ72" s="22"/>
      <c r="AK72" s="62"/>
      <c r="AL72" s="49"/>
      <c r="AM72" s="22"/>
      <c r="AN72" s="29"/>
      <c r="AO72" s="29"/>
      <c r="AP72" s="22"/>
      <c r="AQ72" s="23"/>
      <c r="AR72" s="23"/>
      <c r="AS72" s="22"/>
      <c r="AT72" s="22"/>
      <c r="AU72" s="29"/>
      <c r="AV72" s="29"/>
      <c r="AW72" s="22"/>
      <c r="AX72" s="23"/>
      <c r="AY72" s="23"/>
      <c r="AZ72" s="22"/>
      <c r="BA72" s="22"/>
      <c r="BB72" s="29"/>
      <c r="BC72" s="29"/>
      <c r="BD72" s="22"/>
      <c r="BE72" s="23"/>
      <c r="BF72" s="23"/>
      <c r="BG72" s="22"/>
      <c r="BH72" s="22"/>
      <c r="BI72" s="29"/>
      <c r="BJ72" s="29"/>
      <c r="BK72" s="22"/>
      <c r="BL72" s="23"/>
      <c r="BM72" s="23"/>
      <c r="BN72" s="22"/>
      <c r="BO72" s="22"/>
      <c r="BP72" s="50"/>
      <c r="BQ72" s="51"/>
      <c r="BR72" s="22"/>
      <c r="BS72" s="22"/>
      <c r="BT72" s="22"/>
      <c r="BU72" s="22"/>
      <c r="BV72" s="23"/>
      <c r="BW72" s="29"/>
      <c r="BX72" s="29"/>
      <c r="BY72" s="22"/>
      <c r="BZ72" s="22"/>
      <c r="CA72" s="22"/>
      <c r="CB72" s="22"/>
      <c r="CC72" s="23"/>
      <c r="CD72" s="29"/>
      <c r="CE72" s="29"/>
      <c r="CF72" s="22"/>
      <c r="CG72" s="22"/>
      <c r="CH72" s="22"/>
      <c r="CI72" s="22"/>
      <c r="CJ72" s="23"/>
      <c r="CK72" s="29"/>
      <c r="CL72" s="29"/>
      <c r="CM72" s="22"/>
      <c r="CN72" s="22"/>
      <c r="CO72" s="22"/>
      <c r="CP72" s="22"/>
      <c r="CQ72" s="23"/>
      <c r="CR72" s="29"/>
      <c r="CS72" s="70"/>
    </row>
    <row r="73" spans="1:97" ht="15.95" customHeight="1" x14ac:dyDescent="0.2">
      <c r="A73" s="5"/>
      <c r="B73" s="46"/>
      <c r="C73" s="31" t="s">
        <v>43</v>
      </c>
      <c r="D73" s="31" t="s">
        <v>18</v>
      </c>
      <c r="E73" s="12" t="s">
        <v>23</v>
      </c>
      <c r="F73" s="11" t="s">
        <v>16</v>
      </c>
      <c r="G73" s="22"/>
      <c r="H73" s="22"/>
      <c r="I73" s="22"/>
      <c r="J73" s="22"/>
      <c r="K73" s="22"/>
      <c r="L73" s="29"/>
      <c r="M73" s="29"/>
      <c r="N73" s="22"/>
      <c r="O73" s="22"/>
      <c r="P73" s="22"/>
      <c r="Q73" s="22"/>
      <c r="R73" s="22"/>
      <c r="S73" s="29"/>
      <c r="T73" s="29"/>
      <c r="U73" s="22"/>
      <c r="V73" s="22"/>
      <c r="W73" s="22"/>
      <c r="X73" s="22"/>
      <c r="Y73" s="22"/>
      <c r="Z73" s="29"/>
      <c r="AA73" s="29"/>
      <c r="AB73" s="22">
        <v>3</v>
      </c>
      <c r="AC73" s="22">
        <v>3</v>
      </c>
      <c r="AD73" s="22">
        <v>3</v>
      </c>
      <c r="AE73" s="22">
        <v>3</v>
      </c>
      <c r="AF73" s="22">
        <v>3</v>
      </c>
      <c r="AG73" s="29">
        <v>3</v>
      </c>
      <c r="AH73" s="29">
        <v>3</v>
      </c>
      <c r="AI73" s="22">
        <v>3</v>
      </c>
      <c r="AJ73" s="22">
        <v>3</v>
      </c>
      <c r="AK73" s="62">
        <v>3</v>
      </c>
      <c r="AL73" s="49">
        <v>3</v>
      </c>
      <c r="AM73" s="22">
        <v>3</v>
      </c>
      <c r="AN73" s="29">
        <v>3</v>
      </c>
      <c r="AO73" s="29">
        <v>3</v>
      </c>
      <c r="AP73" s="22">
        <v>3</v>
      </c>
      <c r="AQ73" s="22">
        <v>3</v>
      </c>
      <c r="AR73" s="22">
        <v>3</v>
      </c>
      <c r="AS73" s="22">
        <v>3</v>
      </c>
      <c r="AT73" s="22">
        <v>3</v>
      </c>
      <c r="AU73" s="29">
        <v>3</v>
      </c>
      <c r="AV73" s="29">
        <v>3</v>
      </c>
      <c r="AW73" s="22">
        <v>3</v>
      </c>
      <c r="AX73" s="22">
        <v>3</v>
      </c>
      <c r="AY73" s="22">
        <v>3</v>
      </c>
      <c r="AZ73" s="22">
        <v>3</v>
      </c>
      <c r="BA73" s="22">
        <v>3</v>
      </c>
      <c r="BB73" s="29">
        <v>3</v>
      </c>
      <c r="BC73" s="29">
        <v>3</v>
      </c>
      <c r="BD73" s="22">
        <v>3</v>
      </c>
      <c r="BE73" s="22">
        <v>3</v>
      </c>
      <c r="BF73" s="22">
        <v>3</v>
      </c>
      <c r="BG73" s="22">
        <v>3</v>
      </c>
      <c r="BH73" s="22">
        <v>3</v>
      </c>
      <c r="BI73" s="29">
        <v>3</v>
      </c>
      <c r="BJ73" s="29">
        <v>3</v>
      </c>
      <c r="BK73" s="22">
        <v>3</v>
      </c>
      <c r="BL73" s="22">
        <v>3</v>
      </c>
      <c r="BM73" s="22">
        <v>3</v>
      </c>
      <c r="BN73" s="22">
        <v>3</v>
      </c>
      <c r="BO73" s="22">
        <v>3</v>
      </c>
      <c r="BP73" s="63">
        <v>3</v>
      </c>
      <c r="BQ73" s="51">
        <v>3</v>
      </c>
      <c r="BR73" s="22">
        <v>3</v>
      </c>
      <c r="BS73" s="22">
        <v>3</v>
      </c>
      <c r="BT73" s="22">
        <v>3</v>
      </c>
      <c r="BU73" s="22">
        <v>3</v>
      </c>
      <c r="BV73" s="22">
        <v>3</v>
      </c>
      <c r="BW73" s="29">
        <v>3</v>
      </c>
      <c r="BX73" s="29">
        <v>3</v>
      </c>
      <c r="BY73" s="22">
        <v>3</v>
      </c>
      <c r="BZ73" s="22">
        <v>3</v>
      </c>
      <c r="CA73" s="22">
        <v>3</v>
      </c>
      <c r="CB73" s="22">
        <v>3</v>
      </c>
      <c r="CC73" s="22">
        <v>3</v>
      </c>
      <c r="CD73" s="29">
        <v>3</v>
      </c>
      <c r="CE73" s="29">
        <v>3</v>
      </c>
      <c r="CF73" s="22">
        <v>3</v>
      </c>
      <c r="CG73" s="22">
        <v>3</v>
      </c>
      <c r="CH73" s="22">
        <v>3</v>
      </c>
      <c r="CI73" s="22">
        <v>3</v>
      </c>
      <c r="CJ73" s="22">
        <v>3</v>
      </c>
      <c r="CK73" s="29">
        <v>3</v>
      </c>
      <c r="CL73" s="29"/>
      <c r="CM73" s="22"/>
      <c r="CN73" s="22"/>
      <c r="CO73" s="22"/>
      <c r="CP73" s="22"/>
      <c r="CQ73" s="23"/>
      <c r="CR73" s="29"/>
      <c r="CS73" s="32">
        <f>SUM(Z73:CR73)</f>
        <v>186</v>
      </c>
    </row>
    <row r="74" spans="1:97" ht="15.95" customHeight="1" x14ac:dyDescent="0.2">
      <c r="A74" s="5"/>
      <c r="B74" s="46"/>
      <c r="C74" s="37" t="s">
        <v>38</v>
      </c>
      <c r="D74" s="37"/>
      <c r="E74" s="18"/>
      <c r="F74" s="38"/>
      <c r="G74" s="22"/>
      <c r="H74" s="22"/>
      <c r="I74" s="22"/>
      <c r="J74" s="22"/>
      <c r="K74" s="22"/>
      <c r="L74" s="29"/>
      <c r="M74" s="29"/>
      <c r="N74" s="22"/>
      <c r="O74" s="22"/>
      <c r="P74" s="22"/>
      <c r="Q74" s="22"/>
      <c r="R74" s="22"/>
      <c r="S74" s="29"/>
      <c r="T74" s="29"/>
      <c r="U74" s="22"/>
      <c r="V74" s="22"/>
      <c r="W74" s="22"/>
      <c r="X74" s="22"/>
      <c r="Y74" s="22"/>
      <c r="Z74" s="29"/>
      <c r="AA74" s="29"/>
      <c r="AB74" s="22"/>
      <c r="AC74" s="22"/>
      <c r="AD74" s="22"/>
      <c r="AE74" s="22"/>
      <c r="AF74" s="22"/>
      <c r="AG74" s="29"/>
      <c r="AH74" s="29"/>
      <c r="AI74" s="22"/>
      <c r="AJ74" s="22"/>
      <c r="AK74" s="62"/>
      <c r="AL74" s="49"/>
      <c r="AM74" s="22"/>
      <c r="AN74" s="29"/>
      <c r="AO74" s="29"/>
      <c r="AP74" s="22"/>
      <c r="AQ74" s="23"/>
      <c r="AR74" s="23"/>
      <c r="AS74" s="22"/>
      <c r="AT74" s="22"/>
      <c r="AU74" s="29"/>
      <c r="AV74" s="29"/>
      <c r="AW74" s="22"/>
      <c r="AX74" s="23"/>
      <c r="AY74" s="23"/>
      <c r="AZ74" s="22"/>
      <c r="BA74" s="22"/>
      <c r="BB74" s="29"/>
      <c r="BC74" s="29"/>
      <c r="BD74" s="22"/>
      <c r="BE74" s="23"/>
      <c r="BF74" s="23"/>
      <c r="BG74" s="22"/>
      <c r="BH74" s="22"/>
      <c r="BI74" s="29"/>
      <c r="BJ74" s="29"/>
      <c r="BK74" s="22"/>
      <c r="BL74" s="23"/>
      <c r="BM74" s="23"/>
      <c r="BN74" s="22"/>
      <c r="BO74" s="22"/>
      <c r="BP74" s="50"/>
      <c r="BQ74" s="51"/>
      <c r="BR74" s="22"/>
      <c r="BS74" s="22"/>
      <c r="BT74" s="22"/>
      <c r="BU74" s="22"/>
      <c r="BV74" s="23"/>
      <c r="BW74" s="29"/>
      <c r="BX74" s="29"/>
      <c r="BY74" s="22"/>
      <c r="BZ74" s="22"/>
      <c r="CA74" s="22"/>
      <c r="CB74" s="22"/>
      <c r="CC74" s="23"/>
      <c r="CD74" s="29"/>
      <c r="CE74" s="29"/>
      <c r="CF74" s="22"/>
      <c r="CG74" s="22"/>
      <c r="CH74" s="22"/>
      <c r="CI74" s="22"/>
      <c r="CJ74" s="23"/>
      <c r="CK74" s="29"/>
      <c r="CL74" s="29"/>
      <c r="CM74" s="22"/>
      <c r="CN74" s="22"/>
      <c r="CO74" s="22"/>
      <c r="CP74" s="22"/>
      <c r="CQ74" s="23"/>
      <c r="CR74" s="29"/>
      <c r="CS74" s="32">
        <f>SUM(Z74:CR74)</f>
        <v>0</v>
      </c>
    </row>
    <row r="75" spans="1:97" ht="15.95" customHeight="1" x14ac:dyDescent="0.2">
      <c r="A75" s="5"/>
      <c r="B75" s="46"/>
      <c r="C75" s="31"/>
      <c r="D75" s="31"/>
      <c r="E75" s="12"/>
      <c r="F75" s="11"/>
      <c r="G75" s="22"/>
      <c r="H75" s="22"/>
      <c r="I75" s="22"/>
      <c r="J75" s="22"/>
      <c r="K75" s="22"/>
      <c r="L75" s="29"/>
      <c r="M75" s="29"/>
      <c r="N75" s="22"/>
      <c r="O75" s="22"/>
      <c r="P75" s="22"/>
      <c r="Q75" s="22"/>
      <c r="R75" s="22"/>
      <c r="S75" s="29"/>
      <c r="T75" s="29"/>
      <c r="U75" s="22"/>
      <c r="V75" s="22"/>
      <c r="W75" s="22"/>
      <c r="X75" s="22"/>
      <c r="Y75" s="22"/>
      <c r="Z75" s="29"/>
      <c r="AA75" s="29"/>
      <c r="AB75" s="22"/>
      <c r="AC75" s="22"/>
      <c r="AD75" s="22"/>
      <c r="AE75" s="22"/>
      <c r="AF75" s="22"/>
      <c r="AG75" s="29"/>
      <c r="AH75" s="29"/>
      <c r="AI75" s="22"/>
      <c r="AJ75" s="22"/>
      <c r="AK75" s="62"/>
      <c r="AL75" s="49"/>
      <c r="AM75" s="22"/>
      <c r="AN75" s="29"/>
      <c r="AO75" s="29"/>
      <c r="AP75" s="22"/>
      <c r="AQ75" s="23"/>
      <c r="AR75" s="23"/>
      <c r="AS75" s="22"/>
      <c r="AT75" s="22"/>
      <c r="AU75" s="29"/>
      <c r="AV75" s="29"/>
      <c r="AW75" s="22"/>
      <c r="AX75" s="23"/>
      <c r="AY75" s="23"/>
      <c r="AZ75" s="22"/>
      <c r="BA75" s="22"/>
      <c r="BB75" s="29"/>
      <c r="BC75" s="29"/>
      <c r="BD75" s="22"/>
      <c r="BE75" s="23"/>
      <c r="BF75" s="23"/>
      <c r="BG75" s="22"/>
      <c r="BH75" s="22"/>
      <c r="BI75" s="29"/>
      <c r="BJ75" s="29"/>
      <c r="BK75" s="22"/>
      <c r="BL75" s="23"/>
      <c r="BM75" s="23"/>
      <c r="BN75" s="22"/>
      <c r="BO75" s="22"/>
      <c r="BP75" s="50"/>
      <c r="BQ75" s="51"/>
      <c r="BR75" s="22"/>
      <c r="BS75" s="22"/>
      <c r="BT75" s="22"/>
      <c r="BU75" s="22"/>
      <c r="BV75" s="23"/>
      <c r="BW75" s="29"/>
      <c r="BX75" s="29"/>
      <c r="BY75" s="22"/>
      <c r="BZ75" s="22"/>
      <c r="CA75" s="22"/>
      <c r="CB75" s="22"/>
      <c r="CC75" s="23"/>
      <c r="CD75" s="29"/>
      <c r="CE75" s="29"/>
      <c r="CF75" s="22"/>
      <c r="CG75" s="22"/>
      <c r="CH75" s="22"/>
      <c r="CI75" s="22"/>
      <c r="CJ75" s="23"/>
      <c r="CK75" s="29"/>
      <c r="CL75" s="29"/>
      <c r="CM75" s="22"/>
      <c r="CN75" s="22"/>
      <c r="CO75" s="22"/>
      <c r="CP75" s="22"/>
      <c r="CQ75" s="23"/>
      <c r="CR75" s="29"/>
      <c r="CS75" s="70"/>
    </row>
    <row r="76" spans="1:97" ht="15.95" customHeight="1" x14ac:dyDescent="0.2">
      <c r="A76" s="5"/>
      <c r="B76" s="46"/>
      <c r="C76" s="31" t="s">
        <v>35</v>
      </c>
      <c r="D76" s="31" t="s">
        <v>18</v>
      </c>
      <c r="E76" s="12" t="s">
        <v>23</v>
      </c>
      <c r="F76" s="11" t="s">
        <v>16</v>
      </c>
      <c r="G76" s="22"/>
      <c r="H76" s="22"/>
      <c r="I76" s="22"/>
      <c r="J76" s="22"/>
      <c r="K76" s="22"/>
      <c r="L76" s="29"/>
      <c r="M76" s="29"/>
      <c r="N76" s="22"/>
      <c r="O76" s="22"/>
      <c r="P76" s="22"/>
      <c r="Q76" s="22"/>
      <c r="R76" s="22"/>
      <c r="S76" s="29"/>
      <c r="T76" s="29"/>
      <c r="U76" s="22"/>
      <c r="V76" s="22"/>
      <c r="W76" s="22"/>
      <c r="X76" s="22"/>
      <c r="Y76" s="22"/>
      <c r="Z76" s="29"/>
      <c r="AA76" s="29"/>
      <c r="AB76" s="22">
        <v>3</v>
      </c>
      <c r="AC76" s="22">
        <v>3</v>
      </c>
      <c r="AD76" s="22">
        <v>3</v>
      </c>
      <c r="AE76" s="22">
        <v>3</v>
      </c>
      <c r="AF76" s="22">
        <v>3</v>
      </c>
      <c r="AG76" s="29">
        <v>3</v>
      </c>
      <c r="AH76" s="29">
        <v>3</v>
      </c>
      <c r="AI76" s="22">
        <v>3</v>
      </c>
      <c r="AJ76" s="22">
        <v>3</v>
      </c>
      <c r="AK76" s="62">
        <v>3</v>
      </c>
      <c r="AL76" s="49">
        <v>3</v>
      </c>
      <c r="AM76" s="22">
        <v>3</v>
      </c>
      <c r="AN76" s="29">
        <v>3</v>
      </c>
      <c r="AO76" s="29">
        <v>3</v>
      </c>
      <c r="AP76" s="22">
        <v>3</v>
      </c>
      <c r="AQ76" s="22">
        <v>3</v>
      </c>
      <c r="AR76" s="22">
        <v>3</v>
      </c>
      <c r="AS76" s="22">
        <v>3</v>
      </c>
      <c r="AT76" s="22">
        <v>3</v>
      </c>
      <c r="AU76" s="29">
        <v>3</v>
      </c>
      <c r="AV76" s="29">
        <v>3</v>
      </c>
      <c r="AW76" s="22">
        <v>3</v>
      </c>
      <c r="AX76" s="22">
        <v>3</v>
      </c>
      <c r="AY76" s="22">
        <v>3</v>
      </c>
      <c r="AZ76" s="22">
        <v>3</v>
      </c>
      <c r="BA76" s="22">
        <v>3</v>
      </c>
      <c r="BB76" s="29">
        <v>3</v>
      </c>
      <c r="BC76" s="29">
        <v>3</v>
      </c>
      <c r="BD76" s="22">
        <v>3</v>
      </c>
      <c r="BE76" s="22">
        <v>3</v>
      </c>
      <c r="BF76" s="22">
        <v>3</v>
      </c>
      <c r="BG76" s="22">
        <v>3</v>
      </c>
      <c r="BH76" s="22">
        <v>3</v>
      </c>
      <c r="BI76" s="29">
        <v>3</v>
      </c>
      <c r="BJ76" s="29">
        <v>3</v>
      </c>
      <c r="BK76" s="22">
        <v>3</v>
      </c>
      <c r="BL76" s="22">
        <v>3</v>
      </c>
      <c r="BM76" s="22">
        <v>3</v>
      </c>
      <c r="BN76" s="22">
        <v>3</v>
      </c>
      <c r="BO76" s="22">
        <v>3</v>
      </c>
      <c r="BP76" s="63">
        <v>3</v>
      </c>
      <c r="BQ76" s="51">
        <v>3</v>
      </c>
      <c r="BR76" s="22">
        <v>3</v>
      </c>
      <c r="BS76" s="22">
        <v>3</v>
      </c>
      <c r="BT76" s="22">
        <v>3</v>
      </c>
      <c r="BU76" s="22">
        <v>3</v>
      </c>
      <c r="BV76" s="22">
        <v>3</v>
      </c>
      <c r="BW76" s="29">
        <v>3</v>
      </c>
      <c r="BX76" s="29">
        <v>3</v>
      </c>
      <c r="BY76" s="22">
        <v>3</v>
      </c>
      <c r="BZ76" s="22">
        <v>3</v>
      </c>
      <c r="CA76" s="22">
        <v>3</v>
      </c>
      <c r="CB76" s="22">
        <v>3</v>
      </c>
      <c r="CC76" s="22">
        <v>3</v>
      </c>
      <c r="CD76" s="29">
        <v>3</v>
      </c>
      <c r="CE76" s="29">
        <v>3</v>
      </c>
      <c r="CF76" s="22">
        <v>3</v>
      </c>
      <c r="CG76" s="22">
        <v>3</v>
      </c>
      <c r="CH76" s="22">
        <v>3</v>
      </c>
      <c r="CI76" s="22">
        <v>3</v>
      </c>
      <c r="CJ76" s="22">
        <v>3</v>
      </c>
      <c r="CK76" s="29">
        <v>3</v>
      </c>
      <c r="CL76" s="29"/>
      <c r="CM76" s="22"/>
      <c r="CN76" s="22"/>
      <c r="CO76" s="22"/>
      <c r="CP76" s="22"/>
      <c r="CQ76" s="23"/>
      <c r="CR76" s="29"/>
      <c r="CS76" s="32">
        <f>SUM(Z76:CR76)</f>
        <v>186</v>
      </c>
    </row>
    <row r="77" spans="1:97" ht="15.95" customHeight="1" x14ac:dyDescent="0.2">
      <c r="A77" s="5"/>
      <c r="B77" s="46"/>
      <c r="C77" s="37" t="s">
        <v>38</v>
      </c>
      <c r="D77" s="37"/>
      <c r="E77" s="18"/>
      <c r="F77" s="38"/>
      <c r="G77" s="22"/>
      <c r="H77" s="22"/>
      <c r="I77" s="22"/>
      <c r="J77" s="22"/>
      <c r="K77" s="22"/>
      <c r="L77" s="29"/>
      <c r="M77" s="29"/>
      <c r="N77" s="22"/>
      <c r="O77" s="22"/>
      <c r="P77" s="22"/>
      <c r="Q77" s="22"/>
      <c r="R77" s="22"/>
      <c r="S77" s="29"/>
      <c r="T77" s="29"/>
      <c r="U77" s="22"/>
      <c r="V77" s="22"/>
      <c r="W77" s="22"/>
      <c r="X77" s="22"/>
      <c r="Y77" s="22"/>
      <c r="Z77" s="29"/>
      <c r="AA77" s="29"/>
      <c r="AB77" s="22"/>
      <c r="AC77" s="22"/>
      <c r="AD77" s="22"/>
      <c r="AE77" s="22"/>
      <c r="AF77" s="22"/>
      <c r="AG77" s="29"/>
      <c r="AH77" s="29"/>
      <c r="AI77" s="22"/>
      <c r="AJ77" s="22"/>
      <c r="AK77" s="62"/>
      <c r="AL77" s="49"/>
      <c r="AM77" s="22"/>
      <c r="AN77" s="29"/>
      <c r="AO77" s="29"/>
      <c r="AP77" s="22"/>
      <c r="AQ77" s="23"/>
      <c r="AR77" s="23"/>
      <c r="AS77" s="22"/>
      <c r="AT77" s="22"/>
      <c r="AU77" s="29"/>
      <c r="AV77" s="29"/>
      <c r="AW77" s="22"/>
      <c r="AX77" s="23"/>
      <c r="AY77" s="23"/>
      <c r="AZ77" s="22"/>
      <c r="BA77" s="22"/>
      <c r="BB77" s="29"/>
      <c r="BC77" s="29"/>
      <c r="BD77" s="22"/>
      <c r="BE77" s="23"/>
      <c r="BF77" s="23"/>
      <c r="BG77" s="22"/>
      <c r="BH77" s="22"/>
      <c r="BI77" s="29"/>
      <c r="BJ77" s="29"/>
      <c r="BK77" s="22"/>
      <c r="BL77" s="23"/>
      <c r="BM77" s="23"/>
      <c r="BN77" s="22"/>
      <c r="BO77" s="22"/>
      <c r="BP77" s="50"/>
      <c r="BQ77" s="51"/>
      <c r="BR77" s="22"/>
      <c r="BS77" s="22"/>
      <c r="BT77" s="22"/>
      <c r="BU77" s="22"/>
      <c r="BV77" s="23"/>
      <c r="BW77" s="29"/>
      <c r="BX77" s="29"/>
      <c r="BY77" s="22"/>
      <c r="BZ77" s="22"/>
      <c r="CA77" s="22"/>
      <c r="CB77" s="22"/>
      <c r="CC77" s="23"/>
      <c r="CD77" s="29"/>
      <c r="CE77" s="29"/>
      <c r="CF77" s="22"/>
      <c r="CG77" s="22"/>
      <c r="CH77" s="22"/>
      <c r="CI77" s="22"/>
      <c r="CJ77" s="23"/>
      <c r="CK77" s="29"/>
      <c r="CL77" s="29"/>
      <c r="CM77" s="22"/>
      <c r="CN77" s="22"/>
      <c r="CO77" s="22"/>
      <c r="CP77" s="22"/>
      <c r="CQ77" s="23"/>
      <c r="CR77" s="29"/>
      <c r="CS77" s="32">
        <f>SUM(Z77:CR77)</f>
        <v>0</v>
      </c>
    </row>
    <row r="78" spans="1:97" ht="15.95" customHeight="1" x14ac:dyDescent="0.2">
      <c r="A78" s="5"/>
      <c r="B78" s="13" t="s">
        <v>44</v>
      </c>
      <c r="C78" s="13"/>
      <c r="D78" s="39"/>
      <c r="E78" s="39"/>
      <c r="F78" s="39"/>
      <c r="G78" s="14">
        <f t="shared" ref="G78:AB78" si="10">SUM(G54:G77)</f>
        <v>0</v>
      </c>
      <c r="H78" s="14">
        <f t="shared" si="10"/>
        <v>0</v>
      </c>
      <c r="I78" s="14">
        <f t="shared" si="10"/>
        <v>0</v>
      </c>
      <c r="J78" s="14">
        <f t="shared" si="10"/>
        <v>0</v>
      </c>
      <c r="K78" s="14">
        <f t="shared" si="10"/>
        <v>0</v>
      </c>
      <c r="L78" s="14">
        <f t="shared" si="10"/>
        <v>0</v>
      </c>
      <c r="M78" s="14">
        <f t="shared" si="10"/>
        <v>0</v>
      </c>
      <c r="N78" s="14">
        <f t="shared" si="10"/>
        <v>0</v>
      </c>
      <c r="O78" s="14">
        <f t="shared" si="10"/>
        <v>0</v>
      </c>
      <c r="P78" s="14">
        <f t="shared" si="10"/>
        <v>0</v>
      </c>
      <c r="Q78" s="14">
        <f t="shared" si="10"/>
        <v>0</v>
      </c>
      <c r="R78" s="14">
        <f t="shared" si="10"/>
        <v>0</v>
      </c>
      <c r="S78" s="14">
        <f t="shared" si="10"/>
        <v>0</v>
      </c>
      <c r="T78" s="14">
        <f t="shared" si="10"/>
        <v>0</v>
      </c>
      <c r="U78" s="14">
        <f t="shared" si="10"/>
        <v>0</v>
      </c>
      <c r="V78" s="14">
        <f t="shared" si="10"/>
        <v>0</v>
      </c>
      <c r="W78" s="14">
        <f t="shared" si="10"/>
        <v>0</v>
      </c>
      <c r="X78" s="14">
        <f t="shared" si="10"/>
        <v>0</v>
      </c>
      <c r="Y78" s="14">
        <f t="shared" si="10"/>
        <v>0</v>
      </c>
      <c r="Z78" s="14">
        <f t="shared" si="10"/>
        <v>0</v>
      </c>
      <c r="AA78" s="14">
        <f t="shared" si="10"/>
        <v>0</v>
      </c>
      <c r="AB78" s="14">
        <f t="shared" si="10"/>
        <v>32</v>
      </c>
      <c r="AC78" s="14">
        <f>SUM(AC54:AC77)</f>
        <v>32</v>
      </c>
      <c r="AD78" s="14">
        <f t="shared" ref="AD78:CO78" si="11">SUM(AD54:AD77)</f>
        <v>32</v>
      </c>
      <c r="AE78" s="14">
        <f t="shared" si="11"/>
        <v>32</v>
      </c>
      <c r="AF78" s="14">
        <f t="shared" si="11"/>
        <v>32</v>
      </c>
      <c r="AG78" s="14">
        <f t="shared" si="11"/>
        <v>32</v>
      </c>
      <c r="AH78" s="14">
        <f t="shared" si="11"/>
        <v>32</v>
      </c>
      <c r="AI78" s="14">
        <f t="shared" si="11"/>
        <v>32</v>
      </c>
      <c r="AJ78" s="14">
        <f t="shared" si="11"/>
        <v>32</v>
      </c>
      <c r="AK78" s="14">
        <f t="shared" si="11"/>
        <v>32</v>
      </c>
      <c r="AL78" s="14">
        <f t="shared" si="11"/>
        <v>32</v>
      </c>
      <c r="AM78" s="14">
        <f t="shared" si="11"/>
        <v>32</v>
      </c>
      <c r="AN78" s="14">
        <f t="shared" si="11"/>
        <v>32</v>
      </c>
      <c r="AO78" s="14">
        <f t="shared" si="11"/>
        <v>32</v>
      </c>
      <c r="AP78" s="14">
        <f t="shared" si="11"/>
        <v>32</v>
      </c>
      <c r="AQ78" s="14">
        <f t="shared" si="11"/>
        <v>32</v>
      </c>
      <c r="AR78" s="14">
        <f t="shared" si="11"/>
        <v>32</v>
      </c>
      <c r="AS78" s="14">
        <f t="shared" si="11"/>
        <v>32</v>
      </c>
      <c r="AT78" s="14">
        <f t="shared" si="11"/>
        <v>32</v>
      </c>
      <c r="AU78" s="14">
        <f t="shared" si="11"/>
        <v>32</v>
      </c>
      <c r="AV78" s="14">
        <f t="shared" si="11"/>
        <v>32</v>
      </c>
      <c r="AW78" s="14">
        <f t="shared" si="11"/>
        <v>32</v>
      </c>
      <c r="AX78" s="14">
        <f t="shared" si="11"/>
        <v>32</v>
      </c>
      <c r="AY78" s="14">
        <f t="shared" si="11"/>
        <v>32</v>
      </c>
      <c r="AZ78" s="14">
        <f t="shared" si="11"/>
        <v>32</v>
      </c>
      <c r="BA78" s="14">
        <f t="shared" si="11"/>
        <v>32</v>
      </c>
      <c r="BB78" s="14">
        <f t="shared" si="11"/>
        <v>32</v>
      </c>
      <c r="BC78" s="14">
        <f t="shared" si="11"/>
        <v>32</v>
      </c>
      <c r="BD78" s="14">
        <f t="shared" si="11"/>
        <v>32</v>
      </c>
      <c r="BE78" s="14">
        <f t="shared" si="11"/>
        <v>32</v>
      </c>
      <c r="BF78" s="14">
        <f t="shared" si="11"/>
        <v>32</v>
      </c>
      <c r="BG78" s="14">
        <f t="shared" si="11"/>
        <v>32</v>
      </c>
      <c r="BH78" s="14">
        <f t="shared" si="11"/>
        <v>32</v>
      </c>
      <c r="BI78" s="14">
        <f t="shared" si="11"/>
        <v>32</v>
      </c>
      <c r="BJ78" s="14">
        <f t="shared" si="11"/>
        <v>32</v>
      </c>
      <c r="BK78" s="14">
        <f t="shared" si="11"/>
        <v>32</v>
      </c>
      <c r="BL78" s="14">
        <f t="shared" si="11"/>
        <v>32</v>
      </c>
      <c r="BM78" s="14">
        <f t="shared" si="11"/>
        <v>32</v>
      </c>
      <c r="BN78" s="14">
        <f t="shared" si="11"/>
        <v>32</v>
      </c>
      <c r="BO78" s="14">
        <f t="shared" si="11"/>
        <v>32</v>
      </c>
      <c r="BP78" s="14">
        <f t="shared" si="11"/>
        <v>32</v>
      </c>
      <c r="BQ78" s="14">
        <f t="shared" si="11"/>
        <v>32</v>
      </c>
      <c r="BR78" s="14">
        <f t="shared" si="11"/>
        <v>32</v>
      </c>
      <c r="BS78" s="14">
        <f t="shared" si="11"/>
        <v>32</v>
      </c>
      <c r="BT78" s="14">
        <f t="shared" si="11"/>
        <v>32</v>
      </c>
      <c r="BU78" s="14">
        <f t="shared" si="11"/>
        <v>32</v>
      </c>
      <c r="BV78" s="14">
        <f t="shared" si="11"/>
        <v>32</v>
      </c>
      <c r="BW78" s="14">
        <f t="shared" si="11"/>
        <v>32</v>
      </c>
      <c r="BX78" s="14">
        <f t="shared" si="11"/>
        <v>32</v>
      </c>
      <c r="BY78" s="14">
        <f t="shared" si="11"/>
        <v>32</v>
      </c>
      <c r="BZ78" s="14">
        <f t="shared" si="11"/>
        <v>32</v>
      </c>
      <c r="CA78" s="14">
        <f t="shared" si="11"/>
        <v>32</v>
      </c>
      <c r="CB78" s="14">
        <f t="shared" si="11"/>
        <v>32</v>
      </c>
      <c r="CC78" s="14">
        <f t="shared" si="11"/>
        <v>32</v>
      </c>
      <c r="CD78" s="14">
        <f t="shared" si="11"/>
        <v>32</v>
      </c>
      <c r="CE78" s="14">
        <f t="shared" si="11"/>
        <v>32</v>
      </c>
      <c r="CF78" s="14">
        <f t="shared" si="11"/>
        <v>32</v>
      </c>
      <c r="CG78" s="14">
        <f t="shared" si="11"/>
        <v>32</v>
      </c>
      <c r="CH78" s="14">
        <f t="shared" si="11"/>
        <v>32</v>
      </c>
      <c r="CI78" s="14">
        <f t="shared" si="11"/>
        <v>32</v>
      </c>
      <c r="CJ78" s="14">
        <f t="shared" si="11"/>
        <v>17</v>
      </c>
      <c r="CK78" s="14">
        <f t="shared" si="11"/>
        <v>17</v>
      </c>
      <c r="CL78" s="14">
        <f t="shared" si="11"/>
        <v>0</v>
      </c>
      <c r="CM78" s="14">
        <f t="shared" si="11"/>
        <v>0</v>
      </c>
      <c r="CN78" s="14">
        <f t="shared" si="11"/>
        <v>0</v>
      </c>
      <c r="CO78" s="14">
        <f t="shared" si="11"/>
        <v>0</v>
      </c>
      <c r="CP78" s="14">
        <f t="shared" ref="CP78:CR78" si="12">SUM(CP54:CP77)</f>
        <v>0</v>
      </c>
      <c r="CQ78" s="14">
        <f t="shared" si="12"/>
        <v>0</v>
      </c>
      <c r="CR78" s="14">
        <f t="shared" si="12"/>
        <v>0</v>
      </c>
      <c r="CS78" s="66">
        <f>SUM(CS54:CS77)</f>
        <v>1954</v>
      </c>
    </row>
    <row r="79" spans="1:97" ht="6.95" customHeight="1" x14ac:dyDescent="0.2">
      <c r="A79" s="5"/>
    </row>
    <row r="80" spans="1:97" s="47" customFormat="1" ht="15.95" customHeight="1" x14ac:dyDescent="0.25">
      <c r="A80" s="19"/>
      <c r="B80" s="13" t="s">
        <v>51</v>
      </c>
      <c r="C80" s="13"/>
      <c r="D80" s="39"/>
      <c r="E80" s="39"/>
      <c r="F80" s="39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7">
        <f>CS78+CS53+CS28</f>
        <v>4422</v>
      </c>
    </row>
    <row r="81" s="15" customFormat="1" ht="15.95" customHeight="1" x14ac:dyDescent="0.2"/>
    <row r="82" s="15" customFormat="1" x14ac:dyDescent="0.2"/>
    <row r="83" s="15" customFormat="1" x14ac:dyDescent="0.2"/>
    <row r="84" s="15" customFormat="1" x14ac:dyDescent="0.2"/>
    <row r="85" s="15" customFormat="1" x14ac:dyDescent="0.2"/>
    <row r="86" s="15" customFormat="1" x14ac:dyDescent="0.2"/>
  </sheetData>
  <mergeCells count="10">
    <mergeCell ref="CS9:CS11"/>
    <mergeCell ref="B14:B15"/>
    <mergeCell ref="AL9:BP9"/>
    <mergeCell ref="BQ9:CR9"/>
    <mergeCell ref="B9:B11"/>
    <mergeCell ref="C9:C11"/>
    <mergeCell ref="D9:D11"/>
    <mergeCell ref="E9:E11"/>
    <mergeCell ref="F9:F11"/>
    <mergeCell ref="G9:AK9"/>
  </mergeCells>
  <conditionalFormatting sqref="G13:CR27 G40:BR40 CH40:CR40 G41:CR52 G54:CR77">
    <cfRule type="notContainsBlanks" dxfId="2" priority="3">
      <formula>LEN(TRIM(G13))&gt;0</formula>
    </cfRule>
  </conditionalFormatting>
  <conditionalFormatting sqref="G29:CR39">
    <cfRule type="notContainsBlanks" dxfId="1" priority="1">
      <formula>LEN(TRIM(G29))&gt;0</formula>
    </cfRule>
  </conditionalFormatting>
  <conditionalFormatting sqref="BS40:CG40">
    <cfRule type="notContainsBlanks" dxfId="0" priority="2">
      <formula>LEN(TRIM(BS40))&gt;0</formula>
    </cfRule>
  </conditionalFormatting>
  <pageMargins left="0.25" right="0.25" top="0.75" bottom="0.75" header="0.3" footer="0.3"/>
  <pageSetup paperSize="9" scale="22" orientation="landscape" r:id="rId1"/>
  <headerFooter>
    <oddFooter>&amp;C_x000D_&amp;1#&amp;"Calibri"&amp;10&amp;K000000 Confidential - Not for Public Consumption or Distribution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RÁDIO </vt:lpstr>
      <vt:lpstr>'RÁDIO 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Gonzalez (Asia)</dc:creator>
  <cp:lastModifiedBy>marcio cardoso</cp:lastModifiedBy>
  <dcterms:created xsi:type="dcterms:W3CDTF">2025-08-13T19:25:45Z</dcterms:created>
  <dcterms:modified xsi:type="dcterms:W3CDTF">2026-02-05T13:45:16Z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19d756-792e-42a1-bcad-4cb9051ddd2d_Enabled">
    <vt:lpwstr>true</vt:lpwstr>
  </property>
  <property fmtid="{D5CDD505-2E9C-101B-9397-08002B2CF9AE}" pid="3" name="MSIP_Label_8e19d756-792e-42a1-bcad-4cb9051ddd2d_SetDate">
    <vt:lpwstr>2025-08-13T21:36:08Z</vt:lpwstr>
  </property>
  <property fmtid="{D5CDD505-2E9C-101B-9397-08002B2CF9AE}" pid="4" name="MSIP_Label_8e19d756-792e-42a1-bcad-4cb9051ddd2d_Method">
    <vt:lpwstr>Standard</vt:lpwstr>
  </property>
  <property fmtid="{D5CDD505-2E9C-101B-9397-08002B2CF9AE}" pid="5" name="MSIP_Label_8e19d756-792e-42a1-bcad-4cb9051ddd2d_Name">
    <vt:lpwstr>Confidential</vt:lpwstr>
  </property>
  <property fmtid="{D5CDD505-2E9C-101B-9397-08002B2CF9AE}" pid="6" name="MSIP_Label_8e19d756-792e-42a1-bcad-4cb9051ddd2d_SiteId">
    <vt:lpwstr>41eb501a-f671-4ce0-a5bf-b64168c3705f</vt:lpwstr>
  </property>
  <property fmtid="{D5CDD505-2E9C-101B-9397-08002B2CF9AE}" pid="7" name="MSIP_Label_8e19d756-792e-42a1-bcad-4cb9051ddd2d_ActionId">
    <vt:lpwstr>cbbf24c0-f924-4239-bf1b-4609b5cfa9a4</vt:lpwstr>
  </property>
  <property fmtid="{D5CDD505-2E9C-101B-9397-08002B2CF9AE}" pid="8" name="MSIP_Label_8e19d756-792e-42a1-bcad-4cb9051ddd2d_ContentBits">
    <vt:lpwstr>2</vt:lpwstr>
  </property>
  <property fmtid="{D5CDD505-2E9C-101B-9397-08002B2CF9AE}" pid="9" name="MSIP_Label_8e19d756-792e-42a1-bcad-4cb9051ddd2d_Tag">
    <vt:lpwstr>50, 3, 0, 1</vt:lpwstr>
  </property>
</Properties>
</file>