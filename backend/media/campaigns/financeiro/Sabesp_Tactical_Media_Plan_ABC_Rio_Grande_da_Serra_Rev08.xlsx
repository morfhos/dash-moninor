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Z:\Clientes\SABESP\MIDIA\16. Plano para Rio Grande da Serra\"/>
    </mc:Choice>
  </mc:AlternateContent>
  <xr:revisionPtr revIDLastSave="0" documentId="13_ncr:1_{3DBC379D-EB24-4F47-82A3-336200B5047A}" xr6:coauthVersionLast="47" xr6:coauthVersionMax="47" xr10:uidLastSave="{00000000-0000-0000-0000-000000000000}"/>
  <bookViews>
    <workbookView xWindow="19090" yWindow="-110" windowWidth="38620" windowHeight="21100" activeTab="2" xr2:uid="{4466EF26-B60B-4586-BBCA-C83BF03822DA}"/>
  </bookViews>
  <sheets>
    <sheet name="COVER" sheetId="4" r:id="rId1"/>
    <sheet name="RESUMO DE MEIOS" sheetId="3" r:id="rId2"/>
    <sheet name="JORNAL " sheetId="1" r:id="rId3"/>
    <sheet name="OPEN TV" sheetId="5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__o1" localSheetId="0" hidden="1">{"det (May)",#N/A,FALSE,"June";"sum (MAY YTD)",#N/A,FALSE,"June YTD"}</definedName>
    <definedName name="___o1" localSheetId="2" hidden="1">{"det (May)",#N/A,FALSE,"June";"sum (MAY YTD)",#N/A,FALSE,"June YTD"}</definedName>
    <definedName name="___o1" localSheetId="3" hidden="1">{"det (May)",#N/A,FALSE,"June";"sum (MAY YTD)",#N/A,FALSE,"June YTD"}</definedName>
    <definedName name="___o1" localSheetId="1" hidden="1">{"det (May)",#N/A,FALSE,"June";"sum (MAY YTD)",#N/A,FALSE,"June YTD"}</definedName>
    <definedName name="___o1" hidden="1">{"det (May)",#N/A,FALSE,"June";"sum (MAY YTD)",#N/A,FALSE,"June YTD"}</definedName>
    <definedName name="___rv1" localSheetId="0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rv1" localSheetId="2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rv1" localSheetId="3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rv1" localSheetId="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rv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123Graph_A" hidden="1">'[1]RG Depots'!$C$43:$E$43</definedName>
    <definedName name="__123Graph_AGRAF1" hidden="1">'[1]RG Depots'!$C$43:$E$43</definedName>
    <definedName name="__123Graph_B" hidden="1">'[1]RG Depots'!$C$44:$E$44</definedName>
    <definedName name="__123Graph_BGRAF1" hidden="1">'[1]RG Depots'!$C$44:$E$44</definedName>
    <definedName name="__123Graph_C" hidden="1">'[1]RG Depots'!$C$45:$E$45</definedName>
    <definedName name="__123Graph_CGRAF1" hidden="1">'[1]RG Depots'!$C$45:$E$45</definedName>
    <definedName name="__123Graph_D" hidden="1">'[1]RG Depots'!$C$46:$E$46</definedName>
    <definedName name="__123Graph_DGRAF1" hidden="1">'[1]RG Depots'!$C$46:$E$46</definedName>
    <definedName name="__123Graph_E" hidden="1">'[1]RG Depots'!$C$48:$E$48</definedName>
    <definedName name="__123Graph_EGRAF1" hidden="1">'[1]RG Depots'!$C$48:$E$48</definedName>
    <definedName name="__123Graph_X" hidden="1">'[1]RG Depots'!$C$42:$E$42</definedName>
    <definedName name="__123Graph_XGRAF1" hidden="1">'[1]RG Depots'!$C$42:$E$42</definedName>
    <definedName name="__IntlFixup" hidden="1">TRUE</definedName>
    <definedName name="__o1" localSheetId="0" hidden="1">{"det (May)",#N/A,FALSE,"June";"sum (MAY YTD)",#N/A,FALSE,"June YTD"}</definedName>
    <definedName name="__o1" localSheetId="2" hidden="1">{"det (May)",#N/A,FALSE,"June";"sum (MAY YTD)",#N/A,FALSE,"June YTD"}</definedName>
    <definedName name="__o1" localSheetId="3" hidden="1">{"det (May)",#N/A,FALSE,"June";"sum (MAY YTD)",#N/A,FALSE,"June YTD"}</definedName>
    <definedName name="__o1" localSheetId="1" hidden="1">{"det (May)",#N/A,FALSE,"June";"sum (MAY YTD)",#N/A,FALSE,"June YTD"}</definedName>
    <definedName name="__o1" hidden="1">{"det (May)",#N/A,FALSE,"June";"sum (MAY YTD)",#N/A,FALSE,"June YTD"}</definedName>
    <definedName name="__rv1" localSheetId="0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rv1" localSheetId="2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rv1" localSheetId="3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rv1" localSheetId="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rv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1">#REF!</definedName>
    <definedName name="_10">#REF!</definedName>
    <definedName name="_11">#REF!</definedName>
    <definedName name="_12">#REF!</definedName>
    <definedName name="_13">#REF!</definedName>
    <definedName name="_14">#REF!</definedName>
    <definedName name="_15">#REF!</definedName>
    <definedName name="_16">#REF!</definedName>
    <definedName name="_17">#REF!</definedName>
    <definedName name="_18">#REF!</definedName>
    <definedName name="_19">#REF!</definedName>
    <definedName name="_1Excel_BuiltIn__FilterDatabase_10_9_1">NA()</definedName>
    <definedName name="_2">#REF!</definedName>
    <definedName name="_20">#REF!</definedName>
    <definedName name="_21">#REF!</definedName>
    <definedName name="_22">#REF!</definedName>
    <definedName name="_23">#REF!</definedName>
    <definedName name="_24">#REF!</definedName>
    <definedName name="_25">#REF!</definedName>
    <definedName name="_26">#REF!</definedName>
    <definedName name="_27">#REF!</definedName>
    <definedName name="_28">#REF!</definedName>
    <definedName name="_29">#REF!</definedName>
    <definedName name="_3">#REF!</definedName>
    <definedName name="_30">#REF!</definedName>
    <definedName name="_31">#REF!</definedName>
    <definedName name="_4">#REF!</definedName>
    <definedName name="_5">#REF!</definedName>
    <definedName name="_6">#REF!</definedName>
    <definedName name="_7">#REF!</definedName>
    <definedName name="_8">#REF!</definedName>
    <definedName name="_9">#REF!</definedName>
    <definedName name="_xlnm._FilterDatabase" localSheetId="3" hidden="1">'OPEN TV'!$A$13:$DN$13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Key3" localSheetId="0" hidden="1">#REF!</definedName>
    <definedName name="_Key3" hidden="1">#REF!</definedName>
    <definedName name="_key99" localSheetId="0" hidden="1">#REF!</definedName>
    <definedName name="_key99" hidden="1">#REF!</definedName>
    <definedName name="_M">#REF!</definedName>
    <definedName name="_O">#REF!</definedName>
    <definedName name="_o1" localSheetId="0" hidden="1">{"det (May)",#N/A,FALSE,"June";"sum (MAY YTD)",#N/A,FALSE,"June YTD"}</definedName>
    <definedName name="_o1" localSheetId="2" hidden="1">{"det (May)",#N/A,FALSE,"June";"sum (MAY YTD)",#N/A,FALSE,"June YTD"}</definedName>
    <definedName name="_o1" localSheetId="3" hidden="1">{"det (May)",#N/A,FALSE,"June";"sum (MAY YTD)",#N/A,FALSE,"June YTD"}</definedName>
    <definedName name="_o1" localSheetId="1" hidden="1">{"det (May)",#N/A,FALSE,"June";"sum (MAY YTD)",#N/A,FALSE,"June YTD"}</definedName>
    <definedName name="_o1" hidden="1">{"det (May)",#N/A,FALSE,"June";"sum (MAY YTD)",#N/A,FALSE,"June YTD"}</definedName>
    <definedName name="_Order1" hidden="1">255</definedName>
    <definedName name="_Order2" hidden="1">0</definedName>
    <definedName name="_rv1" localSheetId="0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rv1" localSheetId="2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rv1" localSheetId="3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rv1" localSheetId="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rv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Sort" localSheetId="0" hidden="1">#REF!</definedName>
    <definedName name="_Sort" hidden="1">#REF!</definedName>
    <definedName name="_sort1" localSheetId="0" hidden="1">#REF!</definedName>
    <definedName name="_sort1" hidden="1">#REF!</definedName>
    <definedName name="_Table2_Out" hidden="1">#REF!</definedName>
    <definedName name="a" localSheetId="0" hidden="1">{"'Janeiro'!$A$1:$I$153"}</definedName>
    <definedName name="a" localSheetId="2" hidden="1">{"'Janeiro'!$A$1:$I$153"}</definedName>
    <definedName name="a" localSheetId="3" hidden="1">{"'Janeiro'!$A$1:$I$153"}</definedName>
    <definedName name="a" localSheetId="1" hidden="1">{"'Janeiro'!$A$1:$I$153"}</definedName>
    <definedName name="a" hidden="1">{"'Janeiro'!$A$1:$I$153"}</definedName>
    <definedName name="aaaa" localSheetId="0" hidden="1">{"det (May)",#N/A,FALSE,"June";"sum (MAY YTD)",#N/A,FALSE,"June YTD"}</definedName>
    <definedName name="aaaa" localSheetId="2" hidden="1">{"det (May)",#N/A,FALSE,"June";"sum (MAY YTD)",#N/A,FALSE,"June YTD"}</definedName>
    <definedName name="aaaa" localSheetId="3" hidden="1">{"det (May)",#N/A,FALSE,"June";"sum (MAY YTD)",#N/A,FALSE,"June YTD"}</definedName>
    <definedName name="aaaa" localSheetId="1" hidden="1">{"det (May)",#N/A,FALSE,"June";"sum (MAY YTD)",#N/A,FALSE,"June YTD"}</definedName>
    <definedName name="aaaa" hidden="1">{"det (May)",#N/A,FALSE,"June";"sum (MAY YTD)",#N/A,FALSE,"June YTD"}</definedName>
    <definedName name="aaaaa" localSheetId="0" hidden="1">{"det (May)",#N/A,FALSE,"June";"sum (MAY YTD)",#N/A,FALSE,"June YTD"}</definedName>
    <definedName name="aaaaa" localSheetId="2" hidden="1">{"det (May)",#N/A,FALSE,"June";"sum (MAY YTD)",#N/A,FALSE,"June YTD"}</definedName>
    <definedName name="aaaaa" localSheetId="3" hidden="1">{"det (May)",#N/A,FALSE,"June";"sum (MAY YTD)",#N/A,FALSE,"June YTD"}</definedName>
    <definedName name="aaaaa" localSheetId="1" hidden="1">{"det (May)",#N/A,FALSE,"June";"sum (MAY YTD)",#N/A,FALSE,"June YTD"}</definedName>
    <definedName name="aaaaa" hidden="1">{"det (May)",#N/A,FALSE,"June";"sum (MAY YTD)",#N/A,FALSE,"June YTD"}</definedName>
    <definedName name="ANNA" localSheetId="0" hidden="1">{"det (May)",#N/A,FALSE,"June";"sum (MAY YTD)",#N/A,FALSE,"June YTD"}</definedName>
    <definedName name="ANNA" localSheetId="2" hidden="1">{"det (May)",#N/A,FALSE,"June";"sum (MAY YTD)",#N/A,FALSE,"June YTD"}</definedName>
    <definedName name="ANNA" localSheetId="3" hidden="1">{"det (May)",#N/A,FALSE,"June";"sum (MAY YTD)",#N/A,FALSE,"June YTD"}</definedName>
    <definedName name="ANNA" localSheetId="1" hidden="1">{"det (May)",#N/A,FALSE,"June";"sum (MAY YTD)",#N/A,FALSE,"June YTD"}</definedName>
    <definedName name="ANNA" hidden="1">{"det (May)",#N/A,FALSE,"June";"sum (MAY YTD)",#N/A,FALSE,"June YTD"}</definedName>
    <definedName name="anscount" hidden="1">1</definedName>
    <definedName name="_xlnm.Print_Area" localSheetId="0">COVER!$A$1:$M$36</definedName>
    <definedName name="AS2DocOpenMode" hidden="1">"AS2DocumentBrowse"</definedName>
    <definedName name="aSa" localSheetId="0" hidden="1">#REF!</definedName>
    <definedName name="aSa" hidden="1">#REF!</definedName>
    <definedName name="asasdasd" localSheetId="0" hidden="1">#REF!</definedName>
    <definedName name="asasdasd" hidden="1">#REF!</definedName>
    <definedName name="asd" localSheetId="0" hidden="1">#REF!</definedName>
    <definedName name="asd" hidden="1">#REF!</definedName>
    <definedName name="B" localSheetId="0" hidden="1">#REF!</definedName>
    <definedName name="B" hidden="1">#REF!</definedName>
    <definedName name="B.IV.r" localSheetId="0" hidden="1">{"det (May)",#N/A,FALSE,"June";"sum (MAY YTD)",#N/A,FALSE,"June YTD"}</definedName>
    <definedName name="B.IV.r" localSheetId="2" hidden="1">{"det (May)",#N/A,FALSE,"June";"sum (MAY YTD)",#N/A,FALSE,"June YTD"}</definedName>
    <definedName name="B.IV.r" localSheetId="3" hidden="1">{"det (May)",#N/A,FALSE,"June";"sum (MAY YTD)",#N/A,FALSE,"June YTD"}</definedName>
    <definedName name="B.IV.r" localSheetId="1" hidden="1">{"det (May)",#N/A,FALSE,"June";"sum (MAY YTD)",#N/A,FALSE,"June YTD"}</definedName>
    <definedName name="B.IV.r" hidden="1">{"det (May)",#N/A,FALSE,"June";"sum (MAY YTD)",#N/A,FALSE,"June YTD"}</definedName>
    <definedName name="B.IV.r.SBC" localSheetId="0" hidden="1">{"det (May)",#N/A,FALSE,"June";"sum (MAY YTD)",#N/A,FALSE,"June YTD"}</definedName>
    <definedName name="B.IV.r.SBC" localSheetId="2" hidden="1">{"det (May)",#N/A,FALSE,"June";"sum (MAY YTD)",#N/A,FALSE,"June YTD"}</definedName>
    <definedName name="B.IV.r.SBC" localSheetId="3" hidden="1">{"det (May)",#N/A,FALSE,"June";"sum (MAY YTD)",#N/A,FALSE,"June YTD"}</definedName>
    <definedName name="B.IV.r.SBC" localSheetId="1" hidden="1">{"det (May)",#N/A,FALSE,"June";"sum (MAY YTD)",#N/A,FALSE,"June YTD"}</definedName>
    <definedName name="B.IV.r.SBC" hidden="1">{"det (May)",#N/A,FALSE,"June";"sum (MAY YTD)",#N/A,FALSE,"June YTD"}</definedName>
    <definedName name="bhub" localSheetId="0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bhub" localSheetId="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bhub" localSheetId="3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bhub" localSheetId="1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bhub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bi" localSheetId="0" hidden="1">#REF!</definedName>
    <definedName name="bi" hidden="1">#REF!</definedName>
    <definedName name="blb" localSheetId="0" hidden="1">{"det (May)",#N/A,FALSE,"June";"sum (MAY YTD)",#N/A,FALSE,"June YTD"}</definedName>
    <definedName name="blb" localSheetId="2" hidden="1">{"det (May)",#N/A,FALSE,"June";"sum (MAY YTD)",#N/A,FALSE,"June YTD"}</definedName>
    <definedName name="blb" localSheetId="3" hidden="1">{"det (May)",#N/A,FALSE,"June";"sum (MAY YTD)",#N/A,FALSE,"June YTD"}</definedName>
    <definedName name="blb" localSheetId="1" hidden="1">{"det (May)",#N/A,FALSE,"June";"sum (MAY YTD)",#N/A,FALSE,"June YTD"}</definedName>
    <definedName name="blb" hidden="1">{"det (May)",#N/A,FALSE,"June";"sum (MAY YTD)",#N/A,FALSE,"June YTD"}</definedName>
    <definedName name="BLPH1" hidden="1">'[2]Brazil Sovereign'!#REF!</definedName>
    <definedName name="BLPH2" hidden="1">'[3]Share Price 2002'!#REF!</definedName>
    <definedName name="BLPH3" hidden="1">#REF!</definedName>
    <definedName name="book" localSheetId="0" hidden="1">{"det (May)",#N/A,FALSE,"June";"sum (MAY YTD)",#N/A,FALSE,"June YTD"}</definedName>
    <definedName name="book" localSheetId="2" hidden="1">{"det (May)",#N/A,FALSE,"June";"sum (MAY YTD)",#N/A,FALSE,"June YTD"}</definedName>
    <definedName name="book" localSheetId="3" hidden="1">{"det (May)",#N/A,FALSE,"June";"sum (MAY YTD)",#N/A,FALSE,"June YTD"}</definedName>
    <definedName name="book" localSheetId="1" hidden="1">{"det (May)",#N/A,FALSE,"June";"sum (MAY YTD)",#N/A,FALSE,"June YTD"}</definedName>
    <definedName name="book" hidden="1">{"det (May)",#N/A,FALSE,"June";"sum (MAY YTD)",#N/A,FALSE,"June YTD"}</definedName>
    <definedName name="C_">#REF!</definedName>
    <definedName name="CACHE" localSheetId="1">'[4]Conversão-Mercha'!$A$57:$I$112</definedName>
    <definedName name="CACHE">'[5]Conversão-Mercha'!$A$57:$I$112</definedName>
    <definedName name="CACHESEL1" localSheetId="1">'[4]Conversão-Mercha'!$M$59:$M$72</definedName>
    <definedName name="CACHESEL1">'[5]Conversão-Mercha'!$M$59:$M$72</definedName>
    <definedName name="CACHESEL10" localSheetId="1">'[4]Conversão-Mercha'!$V$59:$V$72</definedName>
    <definedName name="CACHESEL10">'[5]Conversão-Mercha'!$V$59:$V$72</definedName>
    <definedName name="CACHESEL2" localSheetId="1">'[4]Conversão-Mercha'!$N$59:$N$72</definedName>
    <definedName name="CACHESEL2">'[5]Conversão-Mercha'!$N$59:$N$72</definedName>
    <definedName name="CACHESEL3" localSheetId="1">'[4]Conversão-Mercha'!$O$59:$O$72</definedName>
    <definedName name="CACHESEL3">'[5]Conversão-Mercha'!$O$59:$O$72</definedName>
    <definedName name="CACHESEL4" localSheetId="1">'[4]Conversão-Mercha'!$P$59:$P$72</definedName>
    <definedName name="CACHESEL4">'[5]Conversão-Mercha'!$P$59:$P$72</definedName>
    <definedName name="CACHESEL5" localSheetId="1">'[4]Conversão-Mercha'!$Q$59:$Q$72</definedName>
    <definedName name="CACHESEL5">'[5]Conversão-Mercha'!$Q$59:$Q$72</definedName>
    <definedName name="CACHESEL6" localSheetId="1">'[4]Conversão-Mercha'!$R$59:$R$72</definedName>
    <definedName name="CACHESEL6">'[5]Conversão-Mercha'!$R$59:$R$72</definedName>
    <definedName name="CACHESEL7" localSheetId="1">'[4]Conversão-Mercha'!$S$59:$S$72</definedName>
    <definedName name="CACHESEL7">'[5]Conversão-Mercha'!$S$59:$S$72</definedName>
    <definedName name="CACHESEL8" localSheetId="1">'[4]Conversão-Mercha'!$T$59:$T$72</definedName>
    <definedName name="CACHESEL8">'[5]Conversão-Mercha'!$T$59:$T$72</definedName>
    <definedName name="CACHESEL9" localSheetId="1">'[4]Conversão-Mercha'!$U$59:$U$72</definedName>
    <definedName name="CACHESEL9">'[5]Conversão-Mercha'!$U$59:$U$72</definedName>
    <definedName name="CALENDARIO" localSheetId="1">'[4]Conversão-Mercha'!$B$119:$B$132</definedName>
    <definedName name="CALENDARIO">'[5]Conversão-Mercha'!$B$119:$B$132</definedName>
    <definedName name="CAMP">#REF!</definedName>
    <definedName name="Capa" hidden="1">#REF!</definedName>
    <definedName name="Capanova" localSheetId="0" hidden="1">#REF!</definedName>
    <definedName name="Capanova" hidden="1">#REF!</definedName>
    <definedName name="CAPTURA2" localSheetId="0" hidden="1">{"'171'!$A$1:$Z$50"}</definedName>
    <definedName name="CAPTURA2" localSheetId="2" hidden="1">{"'171'!$A$1:$Z$50"}</definedName>
    <definedName name="CAPTURA2" localSheetId="3" hidden="1">{"'171'!$A$1:$Z$50"}</definedName>
    <definedName name="CAPTURA2" localSheetId="1" hidden="1">{"'171'!$A$1:$Z$50"}</definedName>
    <definedName name="CAPTURA2" hidden="1">{"'171'!$A$1:$Z$50"}</definedName>
    <definedName name="CAX" localSheetId="1">'[4]base TV'!#REF!</definedName>
    <definedName name="CAX">'[5]base TV'!#REF!</definedName>
    <definedName name="cc" localSheetId="0" hidden="1">#REF!</definedName>
    <definedName name="cc" hidden="1">#REF!</definedName>
    <definedName name="cf" localSheetId="0" hidden="1">{#N/A,#N/A,FALSE,"TOTAL"}</definedName>
    <definedName name="cf" localSheetId="2" hidden="1">{#N/A,#N/A,FALSE,"TOTAL"}</definedName>
    <definedName name="cf" localSheetId="3" hidden="1">{#N/A,#N/A,FALSE,"TOTAL"}</definedName>
    <definedName name="cf" localSheetId="1" hidden="1">{#N/A,#N/A,FALSE,"TOTAL"}</definedName>
    <definedName name="cf" hidden="1">{#N/A,#N/A,FALSE,"TOTAL"}</definedName>
    <definedName name="cinema" hidden="1">#REF!</definedName>
    <definedName name="CLIENTE">#REF!</definedName>
    <definedName name="crono" localSheetId="0" hidden="1">{"'crono'!$U$12:$W$20"}</definedName>
    <definedName name="crono" localSheetId="2" hidden="1">{"'crono'!$U$12:$W$20"}</definedName>
    <definedName name="crono" localSheetId="3" hidden="1">{"'crono'!$U$12:$W$20"}</definedName>
    <definedName name="crono" localSheetId="1" hidden="1">{"'crono'!$U$12:$W$20"}</definedName>
    <definedName name="crono" hidden="1">{"'crono'!$U$12:$W$20"}</definedName>
    <definedName name="CURVA2" localSheetId="0" hidden="1">{"'171'!$A$1:$Z$50"}</definedName>
    <definedName name="CURVA2" localSheetId="2" hidden="1">{"'171'!$A$1:$Z$50"}</definedName>
    <definedName name="CURVA2" localSheetId="3" hidden="1">{"'171'!$A$1:$Z$50"}</definedName>
    <definedName name="CURVA2" localSheetId="1" hidden="1">{"'171'!$A$1:$Z$50"}</definedName>
    <definedName name="CURVA2" hidden="1">{"'171'!$A$1:$Z$50"}</definedName>
    <definedName name="DocumentDate">#N/A</definedName>
    <definedName name="DocumentYear">#N/A</definedName>
    <definedName name="DONO" localSheetId="1">'[4]Conversão-Mercha'!#REF!</definedName>
    <definedName name="DONO">'[5]Conversão-Mercha'!#REF!</definedName>
    <definedName name="dsds" localSheetId="0" hidden="1">#REF!</definedName>
    <definedName name="dsds" hidden="1">#REF!</definedName>
    <definedName name="DZVVDS" hidden="1">#REF!</definedName>
    <definedName name="ee" localSheetId="0" hidden="1">{"det (May)",#N/A,FALSE,"June";"sum (MAY YTD)",#N/A,FALSE,"June YTD"}</definedName>
    <definedName name="ee" localSheetId="2" hidden="1">{"det (May)",#N/A,FALSE,"June";"sum (MAY YTD)",#N/A,FALSE,"June YTD"}</definedName>
    <definedName name="ee" localSheetId="3" hidden="1">{"det (May)",#N/A,FALSE,"June";"sum (MAY YTD)",#N/A,FALSE,"June YTD"}</definedName>
    <definedName name="ee" localSheetId="1" hidden="1">{"det (May)",#N/A,FALSE,"June";"sum (MAY YTD)",#N/A,FALSE,"June YTD"}</definedName>
    <definedName name="ee" hidden="1">{"det (May)",#N/A,FALSE,"June";"sum (MAY YTD)",#N/A,FALSE,"June YTD"}</definedName>
    <definedName name="ef" hidden="1">#REF!</definedName>
    <definedName name="Equatorial" localSheetId="0" hidden="1">{#N/A,#N/A,FALSE,"TOTAL"}</definedName>
    <definedName name="Equatorial" localSheetId="2" hidden="1">{#N/A,#N/A,FALSE,"TOTAL"}</definedName>
    <definedName name="Equatorial" localSheetId="3" hidden="1">{#N/A,#N/A,FALSE,"TOTAL"}</definedName>
    <definedName name="Equatorial" localSheetId="1" hidden="1">{#N/A,#N/A,FALSE,"TOTAL"}</definedName>
    <definedName name="Equatorial" hidden="1">{#N/A,#N/A,FALSE,"TOTAL"}</definedName>
    <definedName name="er" hidden="1">#REF!</definedName>
    <definedName name="erbg" hidden="1">#REF!</definedName>
    <definedName name="ergb" hidden="1">#REF!</definedName>
    <definedName name="Excel_BuiltIn__FilterDatabase_10" localSheetId="1">[6]GERAÇÃO!#REF!</definedName>
    <definedName name="Excel_BuiltIn__FilterDatabase_10">[7]GERAÇÃO!#REF!</definedName>
    <definedName name="Excel_BuiltIn__FilterDatabase_10_1">NA()</definedName>
    <definedName name="Excel_BuiltIn__FilterDatabase_10_10">#REF!</definedName>
    <definedName name="Excel_BuiltIn__FilterDatabase_10_10_1">NA()</definedName>
    <definedName name="Excel_BuiltIn__FilterDatabase_10_10_2">NA()</definedName>
    <definedName name="Excel_BuiltIn__FilterDatabase_10_10_2_1">NA()</definedName>
    <definedName name="Excel_BuiltIn__FilterDatabase_10_10_9">NA()</definedName>
    <definedName name="Excel_BuiltIn__FilterDatabase_10_13">#N/A</definedName>
    <definedName name="Excel_BuiltIn__FilterDatabase_10_13_1">NA()</definedName>
    <definedName name="Excel_BuiltIn__FilterDatabase_10_13_2">NA()</definedName>
    <definedName name="Excel_BuiltIn__FilterDatabase_10_9">#REF!</definedName>
    <definedName name="Excel_BuiltIn__FilterDatabase_10_9_1">NA()</definedName>
    <definedName name="Excel_BuiltIn__FilterDatabase_10_9_1_1">NA()</definedName>
    <definedName name="Excel_BuiltIn__FilterDatabase_10_9_1_1_1">NA()</definedName>
    <definedName name="Excel_BuiltIn__FilterDatabase_10_9_9">NA()</definedName>
    <definedName name="Excel_BuiltIn__FilterDatabase_4">#REF!</definedName>
    <definedName name="Excel_BuiltIn__FilterDatabase_5">#REF!</definedName>
    <definedName name="Excel_BuiltIn__FilterDatabase_6">#REF!</definedName>
    <definedName name="Excel_BuiltIn__FilterDatabase_7">#REF!</definedName>
    <definedName name="Excel_BuiltIn__FilterDatabase_8">#REF!</definedName>
    <definedName name="Excel_BuiltIn_Print_Area_6_1">#REF!</definedName>
    <definedName name="Excel_BuiltIn_Print_Area_8_1">#REF!</definedName>
    <definedName name="F" localSheetId="0" hidden="1">#REF!</definedName>
    <definedName name="F" hidden="1">#REF!</definedName>
    <definedName name="fd" hidden="1">#REF!</definedName>
    <definedName name="fdhgxd" localSheetId="0" hidden="1">#REF!</definedName>
    <definedName name="fdhgxd" hidden="1">#REF!</definedName>
    <definedName name="FEVEREIRO" localSheetId="0" hidden="1">{"'crono'!$U$12:$W$20"}</definedName>
    <definedName name="FEVEREIRO" localSheetId="2" hidden="1">{"'crono'!$U$12:$W$20"}</definedName>
    <definedName name="FEVEREIRO" localSheetId="3" hidden="1">{"'crono'!$U$12:$W$20"}</definedName>
    <definedName name="FEVEREIRO" localSheetId="1" hidden="1">{"'crono'!$U$12:$W$20"}</definedName>
    <definedName name="FEVEREIRO" hidden="1">{"'crono'!$U$12:$W$20"}</definedName>
    <definedName name="fffffff" localSheetId="0" hidden="1">{"'Janeiro'!$A$1:$I$153"}</definedName>
    <definedName name="fffffff" localSheetId="2" hidden="1">{"'Janeiro'!$A$1:$I$153"}</definedName>
    <definedName name="fffffff" localSheetId="3" hidden="1">{"'Janeiro'!$A$1:$I$153"}</definedName>
    <definedName name="fffffff" localSheetId="1" hidden="1">{"'Janeiro'!$A$1:$I$153"}</definedName>
    <definedName name="fffffff" hidden="1">{"'Janeiro'!$A$1:$I$153"}</definedName>
    <definedName name="Fig" localSheetId="0" hidden="1">{"det (May)",#N/A,FALSE,"June";"sum (MAY YTD)",#N/A,FALSE,"June YTD"}</definedName>
    <definedName name="Fig" localSheetId="2" hidden="1">{"det (May)",#N/A,FALSE,"June";"sum (MAY YTD)",#N/A,FALSE,"June YTD"}</definedName>
    <definedName name="Fig" localSheetId="3" hidden="1">{"det (May)",#N/A,FALSE,"June";"sum (MAY YTD)",#N/A,FALSE,"June YTD"}</definedName>
    <definedName name="Fig" localSheetId="1" hidden="1">{"det (May)",#N/A,FALSE,"June";"sum (MAY YTD)",#N/A,FALSE,"June YTD"}</definedName>
    <definedName name="Fig" hidden="1">{"det (May)",#N/A,FALSE,"June";"sum (MAY YTD)",#N/A,FALSE,"June YTD"}</definedName>
    <definedName name="fk" hidden="1">#REF!</definedName>
    <definedName name="fkf" hidden="1">#REF!</definedName>
    <definedName name="fkhurf" hidden="1">#REF!</definedName>
    <definedName name="frgtgt" hidden="1">#REF!</definedName>
    <definedName name="G" localSheetId="0" hidden="1">#REF!</definedName>
    <definedName name="G" hidden="1">#REF!</definedName>
    <definedName name="gbe" hidden="1">#REF!</definedName>
    <definedName name="GFDGASD">#REF!</definedName>
    <definedName name="gfggfdgadfg" localSheetId="0" hidden="1">{"'Janeiro'!$A$1:$I$153"}</definedName>
    <definedName name="gfggfdgadfg" localSheetId="2" hidden="1">{"'Janeiro'!$A$1:$I$153"}</definedName>
    <definedName name="gfggfdgadfg" localSheetId="3" hidden="1">{"'Janeiro'!$A$1:$I$153"}</definedName>
    <definedName name="gfggfdgadfg" localSheetId="1" hidden="1">{"'Janeiro'!$A$1:$I$153"}</definedName>
    <definedName name="gfggfdgadfg" hidden="1">{"'Janeiro'!$A$1:$I$153"}</definedName>
    <definedName name="gfr" localSheetId="0" hidden="1">#REF!</definedName>
    <definedName name="gfr" hidden="1">#REF!</definedName>
    <definedName name="gg" localSheetId="0" hidden="1">#REF!</definedName>
    <definedName name="gg" hidden="1">#REF!</definedName>
    <definedName name="gggggggggggggggg" localSheetId="0" hidden="1">{"'Janeiro'!$A$1:$I$153"}</definedName>
    <definedName name="gggggggggggggggg" localSheetId="2" hidden="1">{"'Janeiro'!$A$1:$I$153"}</definedName>
    <definedName name="gggggggggggggggg" localSheetId="3" hidden="1">{"'Janeiro'!$A$1:$I$153"}</definedName>
    <definedName name="gggggggggggggggg" localSheetId="1" hidden="1">{"'Janeiro'!$A$1:$I$153"}</definedName>
    <definedName name="gggggggggggggggg" hidden="1">{"'Janeiro'!$A$1:$I$153"}</definedName>
    <definedName name="gtg" hidden="1">#REF!</definedName>
    <definedName name="hb" hidden="1">#REF!</definedName>
    <definedName name="hh" localSheetId="0" hidden="1">{"'Janeiro'!$A$1:$I$153"}</definedName>
    <definedName name="hh" localSheetId="2" hidden="1">{"'Janeiro'!$A$1:$I$153"}</definedName>
    <definedName name="hh" localSheetId="3" hidden="1">{"'Janeiro'!$A$1:$I$153"}</definedName>
    <definedName name="hh" localSheetId="1" hidden="1">{"'Janeiro'!$A$1:$I$153"}</definedName>
    <definedName name="hh" hidden="1">{"'Janeiro'!$A$1:$I$153"}</definedName>
    <definedName name="hj">#REF!</definedName>
    <definedName name="hjit" hidden="1">#REF!</definedName>
    <definedName name="htht" hidden="1">#REF!</definedName>
    <definedName name="hthth" hidden="1">#REF!</definedName>
    <definedName name="hthy" hidden="1">#REF!</definedName>
    <definedName name="HTML_CodePage" hidden="1">1252</definedName>
    <definedName name="HTML_Control" localSheetId="0" hidden="1">{"'Janeiro'!$A$1:$I$153"}</definedName>
    <definedName name="HTML_Control" localSheetId="2" hidden="1">{"'Janeiro'!$A$1:$I$153"}</definedName>
    <definedName name="HTML_Control" localSheetId="3" hidden="1">{"'Janeiro'!$A$1:$I$153"}</definedName>
    <definedName name="HTML_Control" localSheetId="1" hidden="1">{"'Janeiro'!$A$1:$I$153"}</definedName>
    <definedName name="HTML_Control" hidden="1">{"'Janeiro'!$A$1:$I$153"}</definedName>
    <definedName name="HTML_Control2" localSheetId="0" hidden="1">{"'171'!$A$1:$Z$50"}</definedName>
    <definedName name="HTML_Control2" localSheetId="2" hidden="1">{"'171'!$A$1:$Z$50"}</definedName>
    <definedName name="HTML_Control2" localSheetId="3" hidden="1">{"'171'!$A$1:$Z$50"}</definedName>
    <definedName name="HTML_Control2" localSheetId="1" hidden="1">{"'171'!$A$1:$Z$50"}</definedName>
    <definedName name="HTML_Control2" hidden="1">{"'171'!$A$1:$Z$50"}</definedName>
    <definedName name="HTML_Description" hidden="1">""</definedName>
    <definedName name="HTML_Email" hidden="1">""</definedName>
    <definedName name="HTML_Header" hidden="1">"Janeiro"</definedName>
    <definedName name="HTML_LastUpdate" hidden="1">"18/01/00"</definedName>
    <definedName name="HTML_LineAfter" hidden="1">FALSE</definedName>
    <definedName name="HTML_LineBefore" hidden="1">FALSE</definedName>
    <definedName name="HTML_Name" hidden="1">"Publicis Norton S.A."</definedName>
    <definedName name="HTML_OBDlg2" hidden="1">TRUE</definedName>
    <definedName name="HTML_OBDlg4" hidden="1">TRUE</definedName>
    <definedName name="HTML_OS" hidden="1">0</definedName>
    <definedName name="HTML_PathFile" hidden="1">"G:\Midia\WINJOB\NESTLE\Levant\PREFINGE\Prefin2000\MeuHTML.htm"</definedName>
    <definedName name="HTML_Title" hidden="1">"janeiro"</definedName>
    <definedName name="I">#REF!</definedName>
    <definedName name="jljl" localSheetId="0" hidden="1">{"det (May)",#N/A,FALSE,"June";"sum (MAY YTD)",#N/A,FALSE,"June YTD"}</definedName>
    <definedName name="jljl" localSheetId="2" hidden="1">{"det (May)",#N/A,FALSE,"June";"sum (MAY YTD)",#N/A,FALSE,"June YTD"}</definedName>
    <definedName name="jljl" localSheetId="3" hidden="1">{"det (May)",#N/A,FALSE,"June";"sum (MAY YTD)",#N/A,FALSE,"June YTD"}</definedName>
    <definedName name="jljl" localSheetId="1" hidden="1">{"det (May)",#N/A,FALSE,"June";"sum (MAY YTD)",#N/A,FALSE,"June YTD"}</definedName>
    <definedName name="jljl" hidden="1">{"det (May)",#N/A,FALSE,"June";"sum (MAY YTD)",#N/A,FALSE,"June YTD"}</definedName>
    <definedName name="jrescisão" localSheetId="0" hidden="1">{"'crono'!$U$12:$W$20"}</definedName>
    <definedName name="jrescisão" localSheetId="2" hidden="1">{"'crono'!$U$12:$W$20"}</definedName>
    <definedName name="jrescisão" localSheetId="3" hidden="1">{"'crono'!$U$12:$W$20"}</definedName>
    <definedName name="jrescisão" localSheetId="1" hidden="1">{"'crono'!$U$12:$W$20"}</definedName>
    <definedName name="jrescisão" hidden="1">{"'crono'!$U$12:$W$20"}</definedName>
    <definedName name="kegs" localSheetId="0" hidden="1">{"det (May)",#N/A,FALSE,"June";"sum (MAY YTD)",#N/A,FALSE,"June YTD"}</definedName>
    <definedName name="kegs" localSheetId="2" hidden="1">{"det (May)",#N/A,FALSE,"June";"sum (MAY YTD)",#N/A,FALSE,"June YTD"}</definedName>
    <definedName name="kegs" localSheetId="3" hidden="1">{"det (May)",#N/A,FALSE,"June";"sum (MAY YTD)",#N/A,FALSE,"June YTD"}</definedName>
    <definedName name="kegs" localSheetId="1" hidden="1">{"det (May)",#N/A,FALSE,"June";"sum (MAY YTD)",#N/A,FALSE,"June YTD"}</definedName>
    <definedName name="kegs" hidden="1">{"det (May)",#N/A,FALSE,"June";"sum (MAY YTD)",#N/A,FALSE,"June YTD"}</definedName>
    <definedName name="kf" localSheetId="0" hidden="1">#REF!</definedName>
    <definedName name="kf" hidden="1">#REF!</definedName>
    <definedName name="LAURA" localSheetId="0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LAURA" localSheetId="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LAURA" localSheetId="3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LAURA" localSheetId="1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LAURA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ld" localSheetId="0" hidden="1">#REF!</definedName>
    <definedName name="ld" hidden="1">#REF!</definedName>
    <definedName name="limcount" hidden="1">1</definedName>
    <definedName name="LOCPR" localSheetId="1">'[4]base TV'!$M$2:$BD$4</definedName>
    <definedName name="LOCPR">'[5]base TV'!$M$2:$BD$4</definedName>
    <definedName name="M">#REF!</definedName>
    <definedName name="MajorHeader">#N/A</definedName>
    <definedName name="MCN" localSheetId="1">'[4]base TV'!$G$5:$G$90</definedName>
    <definedName name="MCN">'[5]base TV'!$G$5:$G$90</definedName>
    <definedName name="MEDIO">#REF!</definedName>
    <definedName name="merchan" localSheetId="0" hidden="1">#REF!</definedName>
    <definedName name="merchan" hidden="1">#REF!</definedName>
    <definedName name="mmm" localSheetId="0" hidden="1">#REF!</definedName>
    <definedName name="mmm" hidden="1">#REF!</definedName>
    <definedName name="mn" localSheetId="0" hidden="1">{"'Janeiro'!$A$1:$I$153"}</definedName>
    <definedName name="mn" localSheetId="2" hidden="1">{"'Janeiro'!$A$1:$I$153"}</definedName>
    <definedName name="mn" localSheetId="3" hidden="1">{"'Janeiro'!$A$1:$I$153"}</definedName>
    <definedName name="mn" localSheetId="1" hidden="1">{"'Janeiro'!$A$1:$I$153"}</definedName>
    <definedName name="mn" hidden="1">{"'Janeiro'!$A$1:$I$153"}</definedName>
    <definedName name="N" localSheetId="0" hidden="1">#REF!</definedName>
    <definedName name="N" hidden="1">#REF!</definedName>
    <definedName name="nn" localSheetId="0" hidden="1">{"det (May)",#N/A,FALSE,"June";"sum (MAY YTD)",#N/A,FALSE,"June YTD"}</definedName>
    <definedName name="nn" localSheetId="2" hidden="1">{"det (May)",#N/A,FALSE,"June";"sum (MAY YTD)",#N/A,FALSE,"June YTD"}</definedName>
    <definedName name="nn" localSheetId="3" hidden="1">{"det (May)",#N/A,FALSE,"June";"sum (MAY YTD)",#N/A,FALSE,"June YTD"}</definedName>
    <definedName name="nn" localSheetId="1" hidden="1">{"det (May)",#N/A,FALSE,"June";"sum (MAY YTD)",#N/A,FALSE,"June YTD"}</definedName>
    <definedName name="nn" hidden="1">{"det (May)",#N/A,FALSE,"June";"sum (MAY YTD)",#N/A,FALSE,"June YTD"}</definedName>
    <definedName name="NOTA">#REF!</definedName>
    <definedName name="NOTAS">#REF!</definedName>
    <definedName name="novo" localSheetId="0" hidden="1">#REF!</definedName>
    <definedName name="novo" hidden="1">#REF!</definedName>
    <definedName name="ofk" hidden="1">#REF!</definedName>
    <definedName name="okf" hidden="1">#REF!</definedName>
    <definedName name="Orçamento" localSheetId="0" hidden="1">{#N/A,#N/A,FALSE,"TOTAL"}</definedName>
    <definedName name="Orçamento" localSheetId="2" hidden="1">{#N/A,#N/A,FALSE,"TOTAL"}</definedName>
    <definedName name="Orçamento" localSheetId="3" hidden="1">{#N/A,#N/A,FALSE,"TOTAL"}</definedName>
    <definedName name="Orçamento" localSheetId="1" hidden="1">{#N/A,#N/A,FALSE,"TOTAL"}</definedName>
    <definedName name="Orçamento" hidden="1">{#N/A,#N/A,FALSE,"TOTAL"}</definedName>
    <definedName name="P">#REF!</definedName>
    <definedName name="PERR" localSheetId="1">'[4]Conversão-Mercha'!#REF!</definedName>
    <definedName name="PERR">'[5]Conversão-Mercha'!#REF!</definedName>
    <definedName name="PJON" localSheetId="1">'[4]Conversão-Mercha'!#REF!</definedName>
    <definedName name="PJON">'[5]Conversão-Mercha'!#REF!</definedName>
    <definedName name="Plan_Media_2000" localSheetId="0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Plan_Media_2000" localSheetId="2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Plan_Media_2000" localSheetId="3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Plan_Media_2000" localSheetId="1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Plan_Media_2000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POA" localSheetId="0" hidden="1">{"det (May)",#N/A,FALSE,"June";"sum (MAY YTD)",#N/A,FALSE,"June YTD"}</definedName>
    <definedName name="POA" localSheetId="2" hidden="1">{"det (May)",#N/A,FALSE,"June";"sum (MAY YTD)",#N/A,FALSE,"June YTD"}</definedName>
    <definedName name="POA" localSheetId="3" hidden="1">{"det (May)",#N/A,FALSE,"June";"sum (MAY YTD)",#N/A,FALSE,"June YTD"}</definedName>
    <definedName name="POA" localSheetId="1" hidden="1">{"det (May)",#N/A,FALSE,"June";"sum (MAY YTD)",#N/A,FALSE,"June YTD"}</definedName>
    <definedName name="POA" hidden="1">{"det (May)",#N/A,FALSE,"June";"sum (MAY YTD)",#N/A,FALSE,"June YTD"}</definedName>
    <definedName name="PRO" localSheetId="0" hidden="1">{"det (May)",#N/A,FALSE,"June";"sum (MAY YTD)",#N/A,FALSE,"June YTD"}</definedName>
    <definedName name="PRO" localSheetId="2" hidden="1">{"det (May)",#N/A,FALSE,"June";"sum (MAY YTD)",#N/A,FALSE,"June YTD"}</definedName>
    <definedName name="PRO" localSheetId="3" hidden="1">{"det (May)",#N/A,FALSE,"June";"sum (MAY YTD)",#N/A,FALSE,"June YTD"}</definedName>
    <definedName name="PRO" localSheetId="1" hidden="1">{"det (May)",#N/A,FALSE,"June";"sum (MAY YTD)",#N/A,FALSE,"June YTD"}</definedName>
    <definedName name="PRO" hidden="1">{"det (May)",#N/A,FALSE,"June";"sum (MAY YTD)",#N/A,FALSE,"June YTD"}</definedName>
    <definedName name="PROD">#REF!</definedName>
    <definedName name="PRODUCTO">#REF!</definedName>
    <definedName name="Programação">#REF!</definedName>
    <definedName name="q" localSheetId="0" hidden="1">#REF!</definedName>
    <definedName name="q" hidden="1">#REF!</definedName>
    <definedName name="radio" hidden="1">#REF!</definedName>
    <definedName name="rádio" localSheetId="0" hidden="1">#REF!</definedName>
    <definedName name="rádio" hidden="1">#REF!</definedName>
    <definedName name="RADIO_SECUNDAGEM" localSheetId="1">'[4]Conversão-Mercha'!$B$241:$B$260</definedName>
    <definedName name="RADIO_SECUNDAGEM">'[5]Conversão-Mercha'!$B$241:$B$260</definedName>
    <definedName name="rb" hidden="1">#REF!</definedName>
    <definedName name="regb" hidden="1">#REF!</definedName>
    <definedName name="rev" localSheetId="0" hidden="1">#REF!</definedName>
    <definedName name="rev" hidden="1">#REF!</definedName>
    <definedName name="revisão" localSheetId="0" hidden="1">#REF!</definedName>
    <definedName name="revisão" hidden="1">#REF!</definedName>
    <definedName name="Revista" localSheetId="0" hidden="1">#REF!</definedName>
    <definedName name="Revista" hidden="1">#REF!</definedName>
    <definedName name="SA">#REF!</definedName>
    <definedName name="SAPBEXdnldView" hidden="1">"45AN0M0XM3X75HWY9J016QH9W"</definedName>
    <definedName name="SAPBEXsysID" hidden="1">"GWP"</definedName>
    <definedName name="SAT" localSheetId="1">'[4]base TV'!#REF!</definedName>
    <definedName name="SAT">'[5]base TV'!#REF!</definedName>
    <definedName name="Selecionar" localSheetId="1">'[4]Conversão-Mercha'!$D$58</definedName>
    <definedName name="Selecionar">'[5]Conversão-Mercha'!$D$58</definedName>
    <definedName name="sencount" hidden="1">1</definedName>
    <definedName name="serey" localSheetId="0" hidden="1">{#N/A,#N/A,FALSE,"TOTAL"}</definedName>
    <definedName name="serey" localSheetId="2" hidden="1">{#N/A,#N/A,FALSE,"TOTAL"}</definedName>
    <definedName name="serey" localSheetId="3" hidden="1">{#N/A,#N/A,FALSE,"TOTAL"}</definedName>
    <definedName name="serey" localSheetId="1" hidden="1">{#N/A,#N/A,FALSE,"TOTAL"}</definedName>
    <definedName name="serey" hidden="1">{#N/A,#N/A,FALSE,"TOTAL"}</definedName>
    <definedName name="sh" localSheetId="0" hidden="1">{#N/A,#N/A,FALSE,"TOTAL"}</definedName>
    <definedName name="sh" localSheetId="2" hidden="1">{#N/A,#N/A,FALSE,"TOTAL"}</definedName>
    <definedName name="sh" localSheetId="3" hidden="1">{#N/A,#N/A,FALSE,"TOTAL"}</definedName>
    <definedName name="sh" localSheetId="1" hidden="1">{#N/A,#N/A,FALSE,"TOTAL"}</definedName>
    <definedName name="sh" hidden="1">{#N/A,#N/A,FALSE,"TOTAL"}</definedName>
    <definedName name="slov" localSheetId="0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lov" localSheetId="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lov" localSheetId="3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lov" localSheetId="1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lov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oft" localSheetId="0" hidden="1">{"det (May)",#N/A,FALSE,"June";"sum (MAY YTD)",#N/A,FALSE,"June YTD"}</definedName>
    <definedName name="Soft" localSheetId="2" hidden="1">{"det (May)",#N/A,FALSE,"June";"sum (MAY YTD)",#N/A,FALSE,"June YTD"}</definedName>
    <definedName name="Soft" localSheetId="3" hidden="1">{"det (May)",#N/A,FALSE,"June";"sum (MAY YTD)",#N/A,FALSE,"June YTD"}</definedName>
    <definedName name="Soft" localSheetId="1" hidden="1">{"det (May)",#N/A,FALSE,"June";"sum (MAY YTD)",#N/A,FALSE,"June YTD"}</definedName>
    <definedName name="Soft" hidden="1">{"det (May)",#N/A,FALSE,"June";"sum (MAY YTD)",#N/A,FALSE,"June YTD"}</definedName>
    <definedName name="sol" localSheetId="0" hidden="1">#REF!</definedName>
    <definedName name="sol" hidden="1">#REF!</definedName>
    <definedName name="stella" localSheetId="0" hidden="1">{"det (May)",#N/A,FALSE,"June";"sum (MAY YTD)",#N/A,FALSE,"June YTD"}</definedName>
    <definedName name="stella" localSheetId="2" hidden="1">{"det (May)",#N/A,FALSE,"June";"sum (MAY YTD)",#N/A,FALSE,"June YTD"}</definedName>
    <definedName name="stella" localSheetId="3" hidden="1">{"det (May)",#N/A,FALSE,"June";"sum (MAY YTD)",#N/A,FALSE,"June YTD"}</definedName>
    <definedName name="stella" localSheetId="1" hidden="1">{"det (May)",#N/A,FALSE,"June";"sum (MAY YTD)",#N/A,FALSE,"June YTD"}</definedName>
    <definedName name="stella" hidden="1">{"det (May)",#N/A,FALSE,"June";"sum (MAY YTD)",#N/A,FALSE,"June YTD"}</definedName>
    <definedName name="t" hidden="1">#REF!</definedName>
    <definedName name="tb" hidden="1">#REF!</definedName>
    <definedName name="teste">#REF!</definedName>
    <definedName name="tets" hidden="1">#REF!</definedName>
    <definedName name="text" hidden="1">#REF!</definedName>
    <definedName name="thtyht" hidden="1">#REF!</definedName>
    <definedName name="thyhh" hidden="1">#REF!</definedName>
    <definedName name="TOTAL">#REF!</definedName>
    <definedName name="TOTAL13">#REF!</definedName>
    <definedName name="TOTAL2">#REF!</definedName>
    <definedName name="TOTAL4">#REF!</definedName>
    <definedName name="TTT" localSheetId="0" hidden="1">#REF!</definedName>
    <definedName name="TTT" hidden="1">#REF!</definedName>
    <definedName name="tyb" hidden="1">#REF!</definedName>
    <definedName name="tyh" hidden="1">#REF!</definedName>
    <definedName name="tyhth" hidden="1">#REF!</definedName>
    <definedName name="UNI" localSheetId="0" hidden="1">#REF!</definedName>
    <definedName name="UNI" hidden="1">#REF!</definedName>
    <definedName name="v" hidden="1">#REF!</definedName>
    <definedName name="VERSION">#REF!</definedName>
    <definedName name="VERSIÓN">#REF!</definedName>
    <definedName name="vfvr" hidden="1">#REF!</definedName>
    <definedName name="vr" hidden="1">#REF!</definedName>
    <definedName name="WeekNumbers">#N/A</definedName>
    <definedName name="wrn.ALL." localSheetId="0" hidden="1">{#N/A,#N/A,FALSE,"DCF";#N/A,#N/A,FALSE,"WACC";#N/A,#N/A,FALSE,"Sales_EBIT";#N/A,#N/A,FALSE,"Capex_Depreciation";#N/A,#N/A,FALSE,"WC";#N/A,#N/A,FALSE,"Interest";#N/A,#N/A,FALSE,"Assumptions"}</definedName>
    <definedName name="wrn.ALL." localSheetId="2" hidden="1">{#N/A,#N/A,FALSE,"DCF";#N/A,#N/A,FALSE,"WACC";#N/A,#N/A,FALSE,"Sales_EBIT";#N/A,#N/A,FALSE,"Capex_Depreciation";#N/A,#N/A,FALSE,"WC";#N/A,#N/A,FALSE,"Interest";#N/A,#N/A,FALSE,"Assumptions"}</definedName>
    <definedName name="wrn.ALL." localSheetId="3" hidden="1">{#N/A,#N/A,FALSE,"DCF";#N/A,#N/A,FALSE,"WACC";#N/A,#N/A,FALSE,"Sales_EBIT";#N/A,#N/A,FALSE,"Capex_Depreciation";#N/A,#N/A,FALSE,"WC";#N/A,#N/A,FALSE,"Interest";#N/A,#N/A,FALSE,"Assumptions"}</definedName>
    <definedName name="wrn.ALL." localSheetId="1" hidden="1">{#N/A,#N/A,FALSE,"DCF";#N/A,#N/A,FALSE,"WACC";#N/A,#N/A,FALSE,"Sales_EBIT";#N/A,#N/A,FALSE,"Capex_Depreciation";#N/A,#N/A,FALSE,"WC";#N/A,#N/A,FALSE,"Interest";#N/A,#N/A,FALSE,"Assumptions"}</definedName>
    <definedName name="wrn.ALL." hidden="1">{#N/A,#N/A,FALSE,"DCF";#N/A,#N/A,FALSE,"WACC";#N/A,#N/A,FALSE,"Sales_EBIT";#N/A,#N/A,FALSE,"Capex_Depreciation";#N/A,#N/A,FALSE,"WC";#N/A,#N/A,FALSE,"Interest";#N/A,#N/A,FALSE,"Assumptions"}</definedName>
    <definedName name="wrn.aug" localSheetId="0" hidden="1">{"det (May)",#N/A,FALSE,"June";"sum (MAY YTD)",#N/A,FALSE,"June YTD"}</definedName>
    <definedName name="wrn.aug" localSheetId="2" hidden="1">{"det (May)",#N/A,FALSE,"June";"sum (MAY YTD)",#N/A,FALSE,"June YTD"}</definedName>
    <definedName name="wrn.aug" localSheetId="3" hidden="1">{"det (May)",#N/A,FALSE,"June";"sum (MAY YTD)",#N/A,FALSE,"June YTD"}</definedName>
    <definedName name="wrn.aug" localSheetId="1" hidden="1">{"det (May)",#N/A,FALSE,"June";"sum (MAY YTD)",#N/A,FALSE,"June YTD"}</definedName>
    <definedName name="wrn.aug" hidden="1">{"det (May)",#N/A,FALSE,"June";"sum (MAY YTD)",#N/A,FALSE,"June YTD"}</definedName>
    <definedName name="wrn.augyt" localSheetId="0" hidden="1">{"det (May)",#N/A,FALSE,"June";"sum (MAY YTD)",#N/A,FALSE,"June YTD"}</definedName>
    <definedName name="wrn.augyt" localSheetId="2" hidden="1">{"det (May)",#N/A,FALSE,"June";"sum (MAY YTD)",#N/A,FALSE,"June YTD"}</definedName>
    <definedName name="wrn.augyt" localSheetId="3" hidden="1">{"det (May)",#N/A,FALSE,"June";"sum (MAY YTD)",#N/A,FALSE,"June YTD"}</definedName>
    <definedName name="wrn.augyt" localSheetId="1" hidden="1">{"det (May)",#N/A,FALSE,"June";"sum (MAY YTD)",#N/A,FALSE,"June YTD"}</definedName>
    <definedName name="wrn.augyt" hidden="1">{"det (May)",#N/A,FALSE,"June";"sum (MAY YTD)",#N/A,FALSE,"June YTD"}</definedName>
    <definedName name="wrn.augYTD" localSheetId="0" hidden="1">{"det (May)",#N/A,FALSE,"June";"sum (MAY YTD)",#N/A,FALSE,"June YTD"}</definedName>
    <definedName name="wrn.augYTD" localSheetId="2" hidden="1">{"det (May)",#N/A,FALSE,"June";"sum (MAY YTD)",#N/A,FALSE,"June YTD"}</definedName>
    <definedName name="wrn.augYTD" localSheetId="3" hidden="1">{"det (May)",#N/A,FALSE,"June";"sum (MAY YTD)",#N/A,FALSE,"June YTD"}</definedName>
    <definedName name="wrn.augYTD" localSheetId="1" hidden="1">{"det (May)",#N/A,FALSE,"June";"sum (MAY YTD)",#N/A,FALSE,"June YTD"}</definedName>
    <definedName name="wrn.augYTD" hidden="1">{"det (May)",#N/A,FALSE,"June";"sum (MAY YTD)",#N/A,FALSE,"June YTD"}</definedName>
    <definedName name="wrn.brol." localSheetId="0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.brol." localSheetId="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.brol." localSheetId="3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.brol." localSheetId="1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.brol.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.DCFEpervier." localSheetId="0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CFEpervier." localSheetId="2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CFEpervier." localSheetId="3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CFEpervier." localSheetId="1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CFEpervier.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HOR._.ESTAÇÕES._.L._.2._.até._.JUN98." localSheetId="0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wrn.DHOR._.ESTAÇÕES._.L._.2._.até._.JUN98." localSheetId="2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wrn.DHOR._.ESTAÇÕES._.L._.2._.até._.JUN98." localSheetId="3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wrn.DHOR._.ESTAÇÕES._.L._.2._.até._.JUN98." localSheetId="1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wrn.DHOR._.ESTAÇÕES._.L._.2._.até._.JUN98.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wrn.DHOR._.ESTAÇÕES._.L1._.até._.JUN98." localSheetId="0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wrn.DHOR._.ESTAÇÕES._.L1._.até._.JUN98." localSheetId="2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wrn.DHOR._.ESTAÇÕES._.L1._.até._.JUN98." localSheetId="3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wrn.DHOR._.ESTAÇÕES._.L1._.até._.JUN98." localSheetId="1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wrn.DHOR._.ESTAÇÕES._.L1._.até._.JUN98.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wrn.DhOut98." localSheetId="0" hidden="1">{"1DhPgAbs",#N/A,FALSE,"dHora";"2DhPgPerc",#N/A,FALSE,"dHora";"3DhPgAbsAcum",#N/A,FALSE,"dHora"}</definedName>
    <definedName name="wrn.DhOut98." localSheetId="2" hidden="1">{"1DhPgAbs",#N/A,FALSE,"dHora";"2DhPgPerc",#N/A,FALSE,"dHora";"3DhPgAbsAcum",#N/A,FALSE,"dHora"}</definedName>
    <definedName name="wrn.DhOut98." localSheetId="3" hidden="1">{"1DhPgAbs",#N/A,FALSE,"dHora";"2DhPgPerc",#N/A,FALSE,"dHora";"3DhPgAbsAcum",#N/A,FALSE,"dHora"}</definedName>
    <definedName name="wrn.DhOut98." localSheetId="1" hidden="1">{"1DhPgAbs",#N/A,FALSE,"dHora";"2DhPgPerc",#N/A,FALSE,"dHora";"3DhPgAbsAcum",#N/A,FALSE,"dHora"}</definedName>
    <definedName name="wrn.DhOut98." hidden="1">{"1DhPgAbs",#N/A,FALSE,"dHora";"2DhPgPerc",#N/A,FALSE,"dHora";"3DhPgAbsAcum",#N/A,FALSE,"dHora"}</definedName>
    <definedName name="wrn.June." localSheetId="0" hidden="1">{"det (May)",#N/A,FALSE,"June";"sum (MAY YTD)",#N/A,FALSE,"June YTD"}</definedName>
    <definedName name="wrn.June." localSheetId="2" hidden="1">{"det (May)",#N/A,FALSE,"June";"sum (MAY YTD)",#N/A,FALSE,"June YTD"}</definedName>
    <definedName name="wrn.June." localSheetId="3" hidden="1">{"det (May)",#N/A,FALSE,"June";"sum (MAY YTD)",#N/A,FALSE,"June YTD"}</definedName>
    <definedName name="wrn.June." localSheetId="1" hidden="1">{"det (May)",#N/A,FALSE,"June";"sum (MAY YTD)",#N/A,FALSE,"June YTD"}</definedName>
    <definedName name="wrn.June." hidden="1">{"det (May)",#N/A,FALSE,"June";"sum (MAY YTD)",#N/A,FALSE,"June YTD"}</definedName>
    <definedName name="wrn.total." localSheetId="0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wrn.total." localSheetId="2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wrn.total." localSheetId="3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wrn.total." localSheetId="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wrn.total.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wrn1.aug" localSheetId="0" hidden="1">{"det (May)",#N/A,FALSE,"June";"sum (MAY YTD)",#N/A,FALSE,"June YTD"}</definedName>
    <definedName name="wrn1.aug" localSheetId="2" hidden="1">{"det (May)",#N/A,FALSE,"June";"sum (MAY YTD)",#N/A,FALSE,"June YTD"}</definedName>
    <definedName name="wrn1.aug" localSheetId="3" hidden="1">{"det (May)",#N/A,FALSE,"June";"sum (MAY YTD)",#N/A,FALSE,"June YTD"}</definedName>
    <definedName name="wrn1.aug" localSheetId="1" hidden="1">{"det (May)",#N/A,FALSE,"June";"sum (MAY YTD)",#N/A,FALSE,"June YTD"}</definedName>
    <definedName name="wrn1.aug" hidden="1">{"det (May)",#N/A,FALSE,"June";"sum (MAY YTD)",#N/A,FALSE,"June YTD"}</definedName>
    <definedName name="wrn1.augtyd" localSheetId="0" hidden="1">{"det (May)",#N/A,FALSE,"June";"sum (MAY YTD)",#N/A,FALSE,"June YTD"}</definedName>
    <definedName name="wrn1.augtyd" localSheetId="2" hidden="1">{"det (May)",#N/A,FALSE,"June";"sum (MAY YTD)",#N/A,FALSE,"June YTD"}</definedName>
    <definedName name="wrn1.augtyd" localSheetId="3" hidden="1">{"det (May)",#N/A,FALSE,"June";"sum (MAY YTD)",#N/A,FALSE,"June YTD"}</definedName>
    <definedName name="wrn1.augtyd" localSheetId="1" hidden="1">{"det (May)",#N/A,FALSE,"June";"sum (MAY YTD)",#N/A,FALSE,"June YTD"}</definedName>
    <definedName name="wrn1.augtyd" hidden="1">{"det (May)",#N/A,FALSE,"June";"sum (MAY YTD)",#N/A,FALSE,"June YTD"}</definedName>
    <definedName name="wrn1.augyt" localSheetId="0" hidden="1">{"det (May)",#N/A,FALSE,"June";"sum (MAY YTD)",#N/A,FALSE,"June YTD"}</definedName>
    <definedName name="wrn1.augyt" localSheetId="2" hidden="1">{"det (May)",#N/A,FALSE,"June";"sum (MAY YTD)",#N/A,FALSE,"June YTD"}</definedName>
    <definedName name="wrn1.augyt" localSheetId="3" hidden="1">{"det (May)",#N/A,FALSE,"June";"sum (MAY YTD)",#N/A,FALSE,"June YTD"}</definedName>
    <definedName name="wrn1.augyt" localSheetId="1" hidden="1">{"det (May)",#N/A,FALSE,"June";"sum (MAY YTD)",#N/A,FALSE,"June YTD"}</definedName>
    <definedName name="wrn1.augyt" hidden="1">{"det (May)",#N/A,FALSE,"June";"sum (MAY YTD)",#N/A,FALSE,"June YTD"}</definedName>
    <definedName name="wrn1.brol" localSheetId="0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1.brol" localSheetId="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1.brol" localSheetId="3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1.brol" localSheetId="1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1.brol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1.june" localSheetId="0" hidden="1">{"det (May)",#N/A,FALSE,"June";"sum (MAY YTD)",#N/A,FALSE,"June YTD"}</definedName>
    <definedName name="wrn1.june" localSheetId="2" hidden="1">{"det (May)",#N/A,FALSE,"June";"sum (MAY YTD)",#N/A,FALSE,"June YTD"}</definedName>
    <definedName name="wrn1.june" localSheetId="3" hidden="1">{"det (May)",#N/A,FALSE,"June";"sum (MAY YTD)",#N/A,FALSE,"June YTD"}</definedName>
    <definedName name="wrn1.june" localSheetId="1" hidden="1">{"det (May)",#N/A,FALSE,"June";"sum (MAY YTD)",#N/A,FALSE,"June YTD"}</definedName>
    <definedName name="wrn1.june" hidden="1">{"det (May)",#N/A,FALSE,"June";"sum (MAY YTD)",#N/A,FALSE,"June YTD"}</definedName>
    <definedName name="wrn2.brol" localSheetId="0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2.brol" localSheetId="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2.brol" localSheetId="3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2.brol" localSheetId="1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2.brol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2.june" localSheetId="0" hidden="1">{"det (May)",#N/A,FALSE,"June";"sum (MAY YTD)",#N/A,FALSE,"June YTD"}</definedName>
    <definedName name="wrn2.june" localSheetId="2" hidden="1">{"det (May)",#N/A,FALSE,"June";"sum (MAY YTD)",#N/A,FALSE,"June YTD"}</definedName>
    <definedName name="wrn2.june" localSheetId="3" hidden="1">{"det (May)",#N/A,FALSE,"June";"sum (MAY YTD)",#N/A,FALSE,"June YTD"}</definedName>
    <definedName name="wrn2.june" localSheetId="1" hidden="1">{"det (May)",#N/A,FALSE,"June";"sum (MAY YTD)",#N/A,FALSE,"June YTD"}</definedName>
    <definedName name="wrn2.june" hidden="1">{"det (May)",#N/A,FALSE,"June";"sum (MAY YTD)",#N/A,FALSE,"June YTD"}</definedName>
    <definedName name="xxx" localSheetId="0" hidden="1">#REF!</definedName>
    <definedName name="xxx" hidden="1">#REF!</definedName>
    <definedName name="yhbhb" hidden="1">#REF!</definedName>
    <definedName name="zeljka" localSheetId="0" hidden="1">{"det (May)",#N/A,FALSE,"June";"sum (MAY YTD)",#N/A,FALSE,"June YTD"}</definedName>
    <definedName name="zeljka" localSheetId="2" hidden="1">{"det (May)",#N/A,FALSE,"June";"sum (MAY YTD)",#N/A,FALSE,"June YTD"}</definedName>
    <definedName name="zeljka" localSheetId="3" hidden="1">{"det (May)",#N/A,FALSE,"June";"sum (MAY YTD)",#N/A,FALSE,"June YTD"}</definedName>
    <definedName name="zeljka" localSheetId="1" hidden="1">{"det (May)",#N/A,FALSE,"June";"sum (MAY YTD)",#N/A,FALSE,"June YTD"}</definedName>
    <definedName name="zeljka" hidden="1">{"det (May)",#N/A,FALSE,"June";"sum (MAY YTD)",#N/A,FALSE,"June YTD"}</definedName>
    <definedName name="zeljka1" localSheetId="0" hidden="1">{"det (May)",#N/A,FALSE,"June";"sum (MAY YTD)",#N/A,FALSE,"June YTD"}</definedName>
    <definedName name="zeljka1" localSheetId="2" hidden="1">{"det (May)",#N/A,FALSE,"June";"sum (MAY YTD)",#N/A,FALSE,"June YTD"}</definedName>
    <definedName name="zeljka1" localSheetId="3" hidden="1">{"det (May)",#N/A,FALSE,"June";"sum (MAY YTD)",#N/A,FALSE,"June YTD"}</definedName>
    <definedName name="zeljka1" localSheetId="1" hidden="1">{"det (May)",#N/A,FALSE,"June";"sum (MAY YTD)",#N/A,FALSE,"June YTD"}</definedName>
    <definedName name="zeljka1" hidden="1">{"det (May)",#N/A,FALSE,"June";"sum (MAY YTD)",#N/A,FALSE,"June YTD"}</definedName>
    <definedName name="zeljka2" localSheetId="0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zeljka2" localSheetId="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zeljka2" localSheetId="3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zeljka2" localSheetId="1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zeljka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zeljka3" localSheetId="0" hidden="1">{"det (May)",#N/A,FALSE,"June";"sum (MAY YTD)",#N/A,FALSE,"June YTD"}</definedName>
    <definedName name="zeljka3" localSheetId="2" hidden="1">{"det (May)",#N/A,FALSE,"June";"sum (MAY YTD)",#N/A,FALSE,"June YTD"}</definedName>
    <definedName name="zeljka3" localSheetId="3" hidden="1">{"det (May)",#N/A,FALSE,"June";"sum (MAY YTD)",#N/A,FALSE,"June YTD"}</definedName>
    <definedName name="zeljka3" localSheetId="1" hidden="1">{"det (May)",#N/A,FALSE,"June";"sum (MAY YTD)",#N/A,FALSE,"June YTD"}</definedName>
    <definedName name="zeljka3" hidden="1">{"det (May)",#N/A,FALSE,"June";"sum (MAY YTD)",#N/A,FALSE,"June YTD"}</definedName>
    <definedName name="ааа" localSheetId="0" hidden="1">{"det (May)",#N/A,FALSE,"June";"sum (MAY YTD)",#N/A,FALSE,"June YTD"}</definedName>
    <definedName name="ааа" localSheetId="2" hidden="1">{"det (May)",#N/A,FALSE,"June";"sum (MAY YTD)",#N/A,FALSE,"June YTD"}</definedName>
    <definedName name="ааа" localSheetId="3" hidden="1">{"det (May)",#N/A,FALSE,"June";"sum (MAY YTD)",#N/A,FALSE,"June YTD"}</definedName>
    <definedName name="ааа" localSheetId="1" hidden="1">{"det (May)",#N/A,FALSE,"June";"sum (MAY YTD)",#N/A,FALSE,"June YTD"}</definedName>
    <definedName name="ааа" hidden="1">{"det (May)",#N/A,FALSE,"June";"sum (MAY YTD)",#N/A,FALSE,"June YTD"}</definedName>
    <definedName name="ввв" localSheetId="0" hidden="1">{"det (May)",#N/A,FALSE,"June";"sum (MAY YTD)",#N/A,FALSE,"June YTD"}</definedName>
    <definedName name="ввв" localSheetId="2" hidden="1">{"det (May)",#N/A,FALSE,"June";"sum (MAY YTD)",#N/A,FALSE,"June YTD"}</definedName>
    <definedName name="ввв" localSheetId="3" hidden="1">{"det (May)",#N/A,FALSE,"June";"sum (MAY YTD)",#N/A,FALSE,"June YTD"}</definedName>
    <definedName name="ввв" localSheetId="1" hidden="1">{"det (May)",#N/A,FALSE,"June";"sum (MAY YTD)",#N/A,FALSE,"June YTD"}</definedName>
    <definedName name="ввв" hidden="1">{"det (May)",#N/A,FALSE,"June";"sum (MAY YTD)",#N/A,FALSE,"June YTD"}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W16" i="5" l="1"/>
  <c r="CW15" i="5"/>
  <c r="CV16" i="5" l="1"/>
  <c r="CV15" i="5"/>
  <c r="CU19" i="5"/>
  <c r="CT19" i="5"/>
  <c r="CS19" i="5"/>
  <c r="CR19" i="5"/>
  <c r="CQ19" i="5"/>
  <c r="CP19" i="5"/>
  <c r="CO19" i="5"/>
  <c r="CN19" i="5"/>
  <c r="CM19" i="5"/>
  <c r="CL19" i="5"/>
  <c r="CK19" i="5"/>
  <c r="CJ19" i="5"/>
  <c r="CI19" i="5"/>
  <c r="CH19" i="5"/>
  <c r="CG19" i="5"/>
  <c r="CF19" i="5"/>
  <c r="CE19" i="5"/>
  <c r="CD19" i="5"/>
  <c r="CC19" i="5"/>
  <c r="CB19" i="5"/>
  <c r="CA19" i="5"/>
  <c r="BZ19" i="5"/>
  <c r="BY19" i="5"/>
  <c r="BX19" i="5"/>
  <c r="BW19" i="5"/>
  <c r="BV19" i="5"/>
  <c r="BU19" i="5"/>
  <c r="BT19" i="5"/>
  <c r="BS19" i="5"/>
  <c r="BR19" i="5"/>
  <c r="BQ19" i="5"/>
  <c r="BP19" i="5"/>
  <c r="BO19" i="5"/>
  <c r="BN19" i="5"/>
  <c r="BM19" i="5"/>
  <c r="BL19" i="5"/>
  <c r="BK19" i="5"/>
  <c r="BJ19" i="5"/>
  <c r="BI19" i="5"/>
  <c r="BH19" i="5"/>
  <c r="BG19" i="5"/>
  <c r="BF19" i="5"/>
  <c r="BE19" i="5"/>
  <c r="BD19" i="5"/>
  <c r="BC19" i="5"/>
  <c r="BB19" i="5"/>
  <c r="BA19" i="5"/>
  <c r="AZ19" i="5"/>
  <c r="AY19" i="5"/>
  <c r="AX19" i="5"/>
  <c r="AW19" i="5"/>
  <c r="AV19" i="5"/>
  <c r="AU19" i="5"/>
  <c r="AT19" i="5"/>
  <c r="AS19" i="5"/>
  <c r="AR19" i="5"/>
  <c r="AQ19" i="5"/>
  <c r="AP19" i="5"/>
  <c r="AO19" i="5"/>
  <c r="AN19" i="5"/>
  <c r="AM19" i="5"/>
  <c r="AL19" i="5"/>
  <c r="AK19" i="5"/>
  <c r="AJ19" i="5"/>
  <c r="AI19" i="5"/>
  <c r="AH19" i="5"/>
  <c r="AG19" i="5"/>
  <c r="AF19" i="5"/>
  <c r="AE19" i="5"/>
  <c r="AD19" i="5"/>
  <c r="AC19" i="5"/>
  <c r="AB19" i="5"/>
  <c r="AA19" i="5"/>
  <c r="Z19" i="5"/>
  <c r="Y19" i="5"/>
  <c r="X19" i="5"/>
  <c r="W19" i="5"/>
  <c r="V19" i="5"/>
  <c r="U19" i="5"/>
  <c r="T19" i="5"/>
  <c r="S19" i="5"/>
  <c r="R19" i="5"/>
  <c r="Q19" i="5"/>
  <c r="P19" i="5"/>
  <c r="O19" i="5"/>
  <c r="N19" i="5"/>
  <c r="M19" i="5"/>
  <c r="L19" i="5"/>
  <c r="K19" i="5"/>
  <c r="J19" i="5"/>
  <c r="I19" i="5"/>
  <c r="H19" i="5"/>
  <c r="J13" i="3"/>
  <c r="J22" i="3"/>
  <c r="J21" i="3"/>
  <c r="J20" i="3"/>
  <c r="J19" i="3"/>
  <c r="J18" i="3"/>
  <c r="J17" i="3"/>
  <c r="J16" i="3"/>
  <c r="J15" i="3"/>
  <c r="J14" i="3"/>
  <c r="I28" i="3"/>
  <c r="H28" i="3"/>
  <c r="F32" i="3"/>
  <c r="G22" i="3"/>
  <c r="G21" i="3"/>
  <c r="G20" i="3"/>
  <c r="G19" i="3"/>
  <c r="G18" i="3"/>
  <c r="G17" i="3"/>
  <c r="G16" i="3"/>
  <c r="G15" i="3"/>
  <c r="G14" i="3"/>
  <c r="G13" i="3"/>
  <c r="F25" i="3" a="1"/>
  <c r="F25" i="3" s="1"/>
  <c r="BV66" i="1"/>
  <c r="BW63" i="1"/>
  <c r="BX63" i="1" s="1"/>
  <c r="G26" i="3" s="1"/>
  <c r="J26" i="3" s="1"/>
  <c r="BV63" i="1"/>
  <c r="BU63" i="1"/>
  <c r="BW58" i="1"/>
  <c r="BX58" i="1" s="1"/>
  <c r="G25" i="3" s="1"/>
  <c r="J25" i="3" s="1"/>
  <c r="BV58" i="1"/>
  <c r="BU58" i="1"/>
  <c r="BX44" i="1"/>
  <c r="BW44" i="1"/>
  <c r="BV44" i="1"/>
  <c r="BU44" i="1"/>
  <c r="BV42" i="1"/>
  <c r="BW42" i="1"/>
  <c r="BU42" i="1"/>
  <c r="BW51" i="1"/>
  <c r="BX51" i="1" s="1"/>
  <c r="G23" i="3" s="1"/>
  <c r="J23" i="3" s="1"/>
  <c r="BV51" i="1"/>
  <c r="BU51" i="1"/>
  <c r="BW54" i="1"/>
  <c r="BX54" i="1" s="1"/>
  <c r="G24" i="3" s="1"/>
  <c r="J24" i="3" s="1"/>
  <c r="BV54" i="1"/>
  <c r="BU54" i="1"/>
  <c r="BU47" i="1"/>
  <c r="BU39" i="1"/>
  <c r="BU38" i="1"/>
  <c r="BU37" i="1"/>
  <c r="BU35" i="1"/>
  <c r="BU34" i="1"/>
  <c r="BU32" i="1"/>
  <c r="BU31" i="1"/>
  <c r="BU28" i="1"/>
  <c r="BU27" i="1"/>
  <c r="BU25" i="1"/>
  <c r="BU24" i="1"/>
  <c r="BU23" i="1"/>
  <c r="BU21" i="1"/>
  <c r="BU20" i="1"/>
  <c r="BU19" i="1"/>
  <c r="BU17" i="1"/>
  <c r="BU15" i="1"/>
  <c r="BU14" i="1"/>
  <c r="BM66" i="1"/>
  <c r="BL66" i="1"/>
  <c r="BK66" i="1"/>
  <c r="BJ66" i="1"/>
  <c r="BI66" i="1"/>
  <c r="BH66" i="1"/>
  <c r="BG66" i="1"/>
  <c r="BF66" i="1"/>
  <c r="BE66" i="1"/>
  <c r="BD66" i="1"/>
  <c r="BC66" i="1"/>
  <c r="BB66" i="1"/>
  <c r="BA66" i="1"/>
  <c r="AZ66" i="1"/>
  <c r="AY66" i="1"/>
  <c r="AX66" i="1"/>
  <c r="AW66" i="1"/>
  <c r="AV66" i="1"/>
  <c r="AU66" i="1"/>
  <c r="AT66" i="1"/>
  <c r="AS66" i="1"/>
  <c r="AR66" i="1"/>
  <c r="AQ66" i="1"/>
  <c r="AP66" i="1"/>
  <c r="AO66" i="1"/>
  <c r="AN66" i="1"/>
  <c r="AM66" i="1"/>
  <c r="AL66" i="1"/>
  <c r="AK66" i="1"/>
  <c r="AJ66" i="1"/>
  <c r="AI66" i="1"/>
  <c r="AH66" i="1"/>
  <c r="AG66" i="1"/>
  <c r="AF66" i="1"/>
  <c r="AE66" i="1"/>
  <c r="AD66" i="1"/>
  <c r="AC66" i="1"/>
  <c r="AB66" i="1"/>
  <c r="AA66" i="1"/>
  <c r="Z66" i="1"/>
  <c r="Y66" i="1"/>
  <c r="X66" i="1"/>
  <c r="W66" i="1"/>
  <c r="V66" i="1"/>
  <c r="U66" i="1"/>
  <c r="BW47" i="1"/>
  <c r="BW39" i="1"/>
  <c r="BW38" i="1"/>
  <c r="BW37" i="1"/>
  <c r="BW34" i="1"/>
  <c r="BW35" i="1"/>
  <c r="BW32" i="1"/>
  <c r="BW31" i="1"/>
  <c r="BW28" i="1"/>
  <c r="BW27" i="1"/>
  <c r="BW25" i="1"/>
  <c r="BW24" i="1"/>
  <c r="BW23" i="1"/>
  <c r="BW20" i="1"/>
  <c r="BW21" i="1"/>
  <c r="BW19" i="1"/>
  <c r="BW17" i="1"/>
  <c r="BX17" i="1" s="1"/>
  <c r="BW15" i="1"/>
  <c r="BW14" i="1"/>
  <c r="BX47" i="1"/>
  <c r="BQ63" i="1"/>
  <c r="BN63" i="1"/>
  <c r="BN58" i="1"/>
  <c r="BN55" i="1"/>
  <c r="BN54" i="1"/>
  <c r="BN50" i="1"/>
  <c r="BN46" i="1"/>
  <c r="BN44" i="1"/>
  <c r="BN42" i="1"/>
  <c r="BN40" i="1"/>
  <c r="BN39" i="1"/>
  <c r="BN38" i="1"/>
  <c r="BN37" i="1"/>
  <c r="BN35" i="1"/>
  <c r="BN34" i="1"/>
  <c r="BN32" i="1"/>
  <c r="BN31" i="1"/>
  <c r="BN29" i="1"/>
  <c r="BN28" i="1"/>
  <c r="BN27" i="1"/>
  <c r="BN25" i="1"/>
  <c r="BN24" i="1"/>
  <c r="BN23" i="1"/>
  <c r="BN21" i="1"/>
  <c r="BN20" i="1"/>
  <c r="BN19" i="1"/>
  <c r="BN17" i="1"/>
  <c r="BN16" i="1"/>
  <c r="BN15" i="1"/>
  <c r="BN14" i="1"/>
  <c r="DN16" i="5"/>
  <c r="DN15" i="5"/>
  <c r="DL16" i="5"/>
  <c r="DL15" i="5"/>
  <c r="DJ15" i="5"/>
  <c r="DJ16" i="5"/>
  <c r="BN66" i="1" l="1"/>
  <c r="CV19" i="5"/>
  <c r="BR63" i="1"/>
  <c r="BR66" i="1" s="1"/>
  <c r="DJ17" i="5"/>
  <c r="DJ19" i="5" s="1"/>
  <c r="G28" i="3"/>
  <c r="K25" i="3"/>
  <c r="DN17" i="5"/>
  <c r="DN19" i="5" s="1"/>
  <c r="DL17" i="5"/>
  <c r="DL19" i="5" s="1"/>
  <c r="BS63" i="1" l="1"/>
  <c r="DH17" i="5"/>
  <c r="DH16" i="5"/>
  <c r="CY16" i="5"/>
  <c r="DD16" i="5"/>
  <c r="DH15" i="5"/>
  <c r="CY15" i="5"/>
  <c r="BR58" i="1"/>
  <c r="BQ58" i="1" s="1"/>
  <c r="BO58" i="1" s="1"/>
  <c r="F26" i="3" a="1"/>
  <c r="F26" i="3" s="1"/>
  <c r="BQ51" i="1"/>
  <c r="BO42" i="1"/>
  <c r="BQ42" i="1" s="1"/>
  <c r="BQ54" i="1"/>
  <c r="BQ47" i="1"/>
  <c r="DK16" i="5" l="1"/>
  <c r="DM16" i="5"/>
  <c r="DO16" i="5"/>
  <c r="DM15" i="5"/>
  <c r="DO15" i="5"/>
  <c r="DK15" i="5"/>
  <c r="DK17" i="5" s="1"/>
  <c r="DD15" i="5"/>
  <c r="DI16" i="5"/>
  <c r="CZ16" i="5"/>
  <c r="DA16" i="5" s="1"/>
  <c r="DE16" i="5" s="1"/>
  <c r="CZ15" i="5"/>
  <c r="DI15" i="5"/>
  <c r="K26" i="3"/>
  <c r="BQ16" i="1"/>
  <c r="AJ11" i="1"/>
  <c r="AK11" i="1" s="1"/>
  <c r="AL11" i="1" s="1"/>
  <c r="AM11" i="1" s="1"/>
  <c r="AN11" i="1" s="1"/>
  <c r="AO11" i="1" s="1"/>
  <c r="AP11" i="1" s="1"/>
  <c r="AQ11" i="1" s="1"/>
  <c r="AR11" i="1" s="1"/>
  <c r="AS11" i="1" s="1"/>
  <c r="AT11" i="1" s="1"/>
  <c r="AU11" i="1" s="1"/>
  <c r="AV11" i="1" s="1"/>
  <c r="AW11" i="1" s="1"/>
  <c r="AX11" i="1" s="1"/>
  <c r="AY11" i="1" s="1"/>
  <c r="AZ11" i="1" s="1"/>
  <c r="BA11" i="1" s="1"/>
  <c r="BB11" i="1" s="1"/>
  <c r="BC11" i="1" s="1"/>
  <c r="BD11" i="1" s="1"/>
  <c r="BE11" i="1" s="1"/>
  <c r="BF11" i="1" s="1"/>
  <c r="BG11" i="1" s="1"/>
  <c r="BH11" i="1" s="1"/>
  <c r="BI11" i="1" s="1"/>
  <c r="BJ11" i="1" s="1"/>
  <c r="BK11" i="1" s="1"/>
  <c r="BL11" i="1" s="1"/>
  <c r="BM11" i="1" s="1"/>
  <c r="BS54" i="1"/>
  <c r="F24" i="3" s="1"/>
  <c r="BS50" i="1"/>
  <c r="F23" i="3" s="1"/>
  <c r="DO17" i="5" l="1"/>
  <c r="DO19" i="5" s="1"/>
  <c r="I30" i="3" s="1"/>
  <c r="I32" i="3" s="1"/>
  <c r="I34" i="3" s="1"/>
  <c r="DM17" i="5"/>
  <c r="DM19" i="5" s="1"/>
  <c r="H30" i="3" s="1"/>
  <c r="H32" i="3" s="1"/>
  <c r="H34" i="3" s="1"/>
  <c r="DK19" i="5"/>
  <c r="G30" i="3"/>
  <c r="CZ19" i="5"/>
  <c r="K24" i="3"/>
  <c r="K23" i="3"/>
  <c r="DA15" i="5"/>
  <c r="DA19" i="5" s="1"/>
  <c r="DI17" i="5"/>
  <c r="DH19" i="5"/>
  <c r="DD19" i="5"/>
  <c r="BR16" i="1"/>
  <c r="BS16" i="1" s="1"/>
  <c r="BS46" i="1"/>
  <c r="BV47" i="1" s="1"/>
  <c r="F22" i="3" s="1"/>
  <c r="BQ20" i="1"/>
  <c r="BX20" i="1" s="1"/>
  <c r="BQ24" i="1"/>
  <c r="BX24" i="1" s="1"/>
  <c r="BQ25" i="1"/>
  <c r="BX25" i="1" s="1"/>
  <c r="BQ44" i="1"/>
  <c r="BR44" i="1" s="1"/>
  <c r="BS44" i="1" s="1"/>
  <c r="F21" i="3" s="1"/>
  <c r="DO21" i="5" l="1"/>
  <c r="G32" i="3"/>
  <c r="G34" i="3" s="1"/>
  <c r="J30" i="3"/>
  <c r="K22" i="3"/>
  <c r="DE15" i="5"/>
  <c r="DE19" i="5"/>
  <c r="DI19" i="5"/>
  <c r="K21" i="3"/>
  <c r="BR24" i="1"/>
  <c r="BS24" i="1" s="1"/>
  <c r="BV25" i="1"/>
  <c r="BV24" i="1"/>
  <c r="BR25" i="1"/>
  <c r="BS25" i="1" s="1"/>
  <c r="BQ21" i="1"/>
  <c r="BX21" i="1" s="1"/>
  <c r="BQ19" i="1"/>
  <c r="BX19" i="1" s="1"/>
  <c r="BQ32" i="1"/>
  <c r="BX32" i="1" s="1"/>
  <c r="BQ38" i="1"/>
  <c r="BX38" i="1" s="1"/>
  <c r="BQ39" i="1"/>
  <c r="BX39" i="1" s="1"/>
  <c r="BQ15" i="1"/>
  <c r="BX15" i="1" s="1"/>
  <c r="BR20" i="1"/>
  <c r="K30" i="3" l="1"/>
  <c r="K32" i="3" s="1"/>
  <c r="N32" i="3" s="1"/>
  <c r="J32" i="3"/>
  <c r="BV19" i="1"/>
  <c r="BV32" i="1"/>
  <c r="BR32" i="1"/>
  <c r="BS32" i="1" s="1"/>
  <c r="BR39" i="1"/>
  <c r="BS39" i="1" s="1"/>
  <c r="BR38" i="1"/>
  <c r="BS38" i="1" s="1"/>
  <c r="BV39" i="1"/>
  <c r="BV38" i="1"/>
  <c r="BV21" i="1"/>
  <c r="BV20" i="1"/>
  <c r="BR21" i="1"/>
  <c r="BS21" i="1" s="1"/>
  <c r="BR19" i="1"/>
  <c r="BS19" i="1" s="1"/>
  <c r="BS20" i="1"/>
  <c r="BS42" i="1"/>
  <c r="F20" i="3" s="1"/>
  <c r="L30" i="3" l="1"/>
  <c r="F14" i="3"/>
  <c r="BQ35" i="1"/>
  <c r="BX35" i="1" s="1"/>
  <c r="BQ28" i="1"/>
  <c r="BX28" i="1" s="1"/>
  <c r="BQ37" i="1"/>
  <c r="BX37" i="1" s="1"/>
  <c r="BQ34" i="1"/>
  <c r="BX34" i="1" s="1"/>
  <c r="BQ31" i="1"/>
  <c r="BX31" i="1" s="1"/>
  <c r="K14" i="3" l="1"/>
  <c r="BV28" i="1"/>
  <c r="BR35" i="1"/>
  <c r="BS35" i="1" s="1"/>
  <c r="BV35" i="1"/>
  <c r="BR28" i="1"/>
  <c r="BS28" i="1" s="1"/>
  <c r="BV37" i="1"/>
  <c r="BR37" i="1"/>
  <c r="BS37" i="1" s="1"/>
  <c r="BR34" i="1"/>
  <c r="BS34" i="1" s="1"/>
  <c r="BV31" i="1"/>
  <c r="BV34" i="1"/>
  <c r="BR31" i="1"/>
  <c r="BS31" i="1" s="1"/>
  <c r="F17" i="3" l="1"/>
  <c r="K20" i="3"/>
  <c r="F19" i="3"/>
  <c r="F18" i="3"/>
  <c r="BR17" i="1"/>
  <c r="BS17" i="1" s="1"/>
  <c r="BV15" i="1"/>
  <c r="BQ14" i="1"/>
  <c r="T66" i="1"/>
  <c r="S66" i="1"/>
  <c r="R66" i="1"/>
  <c r="Q66" i="1"/>
  <c r="P66" i="1"/>
  <c r="O66" i="1"/>
  <c r="N66" i="1"/>
  <c r="M66" i="1"/>
  <c r="L66" i="1"/>
  <c r="K66" i="1"/>
  <c r="J66" i="1"/>
  <c r="I66" i="1"/>
  <c r="H66" i="1"/>
  <c r="G66" i="1"/>
  <c r="BQ27" i="1"/>
  <c r="BQ23" i="1"/>
  <c r="K18" i="3" l="1"/>
  <c r="K19" i="3"/>
  <c r="BV23" i="1"/>
  <c r="F15" i="3" s="1"/>
  <c r="BX23" i="1"/>
  <c r="BV27" i="1"/>
  <c r="F16" i="3" s="1"/>
  <c r="BX27" i="1"/>
  <c r="BV14" i="1"/>
  <c r="BR15" i="1"/>
  <c r="BS15" i="1" s="1"/>
  <c r="F13" i="3"/>
  <c r="BR27" i="1"/>
  <c r="BS27" i="1" s="1"/>
  <c r="BO17" i="1"/>
  <c r="BR14" i="1"/>
  <c r="BR23" i="1"/>
  <c r="K15" i="3" l="1"/>
  <c r="F28" i="3"/>
  <c r="F34" i="3" s="1"/>
  <c r="K13" i="3"/>
  <c r="K16" i="3"/>
  <c r="BS14" i="1"/>
  <c r="BS66" i="1" s="1"/>
  <c r="BS23" i="1"/>
  <c r="BV17" i="1"/>
  <c r="BU66" i="1"/>
  <c r="K17" i="3"/>
  <c r="J28" i="3"/>
  <c r="J34" i="3" s="1"/>
  <c r="I35" i="3" l="1"/>
  <c r="H35" i="3"/>
  <c r="G35" i="3"/>
  <c r="F35" i="3"/>
  <c r="K28" i="3"/>
  <c r="K34" i="3" s="1"/>
  <c r="K35" i="3" s="1"/>
  <c r="L13" i="3" l="1"/>
  <c r="M28" i="3"/>
  <c r="M32" i="3"/>
  <c r="L19" i="3"/>
  <c r="L25" i="3"/>
  <c r="L20" i="3"/>
  <c r="L22" i="3"/>
  <c r="L16" i="3"/>
  <c r="L26" i="3"/>
  <c r="L15" i="3"/>
  <c r="L24" i="3"/>
  <c r="L21" i="3"/>
  <c r="L14" i="3"/>
  <c r="L23" i="3"/>
  <c r="N28" i="3"/>
  <c r="L18" i="3"/>
  <c r="L17" i="3"/>
  <c r="M34" i="3" l="1"/>
  <c r="L32" i="3"/>
  <c r="L28" i="3"/>
  <c r="BX66" i="1"/>
  <c r="BX68" i="1" s="1"/>
  <c r="BX14" i="1"/>
  <c r="BW6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<sst xmlns="http://schemas.openxmlformats.org/spreadsheetml/2006/main" count="381" uniqueCount="144">
  <si>
    <t>CLIENT: SABESP</t>
  </si>
  <si>
    <t>MARKET</t>
  </si>
  <si>
    <t>CHANNEL</t>
  </si>
  <si>
    <t>FORMATO</t>
  </si>
  <si>
    <t>CIRCULAÇÃO / IMPRESSÕES</t>
  </si>
  <si>
    <t>FEVEREIRO</t>
  </si>
  <si>
    <t>INS.</t>
  </si>
  <si>
    <t>CUSTO TABELA UNITÁRIO (BRUTO)</t>
  </si>
  <si>
    <t>DESC. %</t>
  </si>
  <si>
    <t>CUSTO NEGOCIADO UNITÁRIO
(BRUTO)</t>
  </si>
  <si>
    <t>CUSTO TOTAL NEGOCIADO (BRUTO)</t>
  </si>
  <si>
    <t>CUSTO TOTAL DESEMBOLSO</t>
  </si>
  <si>
    <t>M</t>
  </si>
  <si>
    <t>T</t>
  </si>
  <si>
    <t>W</t>
  </si>
  <si>
    <t>F</t>
  </si>
  <si>
    <t>S</t>
  </si>
  <si>
    <t>INV. LIQUIDO</t>
  </si>
  <si>
    <t>ABC</t>
  </si>
  <si>
    <t>DIÁRIO DO GRANDE ABC</t>
  </si>
  <si>
    <t>TT JORNAL</t>
  </si>
  <si>
    <t>FOLHA DE RIBEIRÃO PIRES</t>
  </si>
  <si>
    <t>O GRANDE ABC</t>
  </si>
  <si>
    <t>ABC EM OFF</t>
  </si>
  <si>
    <t>DIÁRIO RP</t>
  </si>
  <si>
    <t>ABC AGORA</t>
  </si>
  <si>
    <t>JORNAL IMPRENSA ABC</t>
  </si>
  <si>
    <t>DIGITAL (ARROBA BANNER E SUPER BANNER)</t>
  </si>
  <si>
    <t>BANNER TOPO – IAB</t>
  </si>
  <si>
    <t>VÍDEOS PARA REDES SOCIAIS</t>
  </si>
  <si>
    <t>RESUMO DE MEIOS</t>
  </si>
  <si>
    <t>PRAÇA</t>
  </si>
  <si>
    <t>MEIO</t>
  </si>
  <si>
    <t>VEÍCULO</t>
  </si>
  <si>
    <t>TOTAL BRUTO</t>
  </si>
  <si>
    <t>VALOR DESEMBOLSO TT</t>
  </si>
  <si>
    <t>PART GERAL %</t>
  </si>
  <si>
    <t>TOTAL GERAL</t>
  </si>
  <si>
    <t>JORNAL</t>
  </si>
  <si>
    <t>DIARIO DO GRANDE ABC</t>
  </si>
  <si>
    <t>DIARIO RP</t>
  </si>
  <si>
    <t>O ABCD JORNAL</t>
  </si>
  <si>
    <t>ABC REPORTER</t>
  </si>
  <si>
    <t>DIGITAL - BILLBOARD (1170x269)</t>
  </si>
  <si>
    <t>ROS DESKTOP - SITE - SUPER BANNER, BANNER SINGLE, SUPER BANNER 1</t>
  </si>
  <si>
    <t>CAMPAING: ABC - RIO GRANDE DA SERRA</t>
  </si>
  <si>
    <t>Tactical Media Plan</t>
  </si>
  <si>
    <t>CONFIDENCIAL</t>
  </si>
  <si>
    <t>CLIENT:</t>
  </si>
  <si>
    <t>SABESP</t>
  </si>
  <si>
    <t>CAMPAING</t>
  </si>
  <si>
    <t>TARGET:</t>
  </si>
  <si>
    <t>AS ABCDE 25+</t>
  </si>
  <si>
    <t>VERSION</t>
  </si>
  <si>
    <t>UPDATE DATE</t>
  </si>
  <si>
    <t>UPDATES:</t>
  </si>
  <si>
    <t>ABC - RIO GRANDE DA SERRA</t>
  </si>
  <si>
    <t>INSTAGRAM (VÍDEO OU ESTÁTICO)</t>
  </si>
  <si>
    <t>VÍDEOS INSTAGRAM E FACEBOOK</t>
  </si>
  <si>
    <t xml:space="preserve">DIÁRIO </t>
  </si>
  <si>
    <t xml:space="preserve">TERÇA A SÁBADO </t>
  </si>
  <si>
    <t>DIÁRIO</t>
  </si>
  <si>
    <t>SÁBADO</t>
  </si>
  <si>
    <t>BANNER CABEÇALHO - 730x175CM</t>
  </si>
  <si>
    <t>FEED - FACEBOOK E INSTAGRAM</t>
  </si>
  <si>
    <t xml:space="preserve">BRANDED CONTENT - PRODUÇÃO DO BRIEFING EM 2 DIAS ÚTEIS </t>
  </si>
  <si>
    <t>INFORMAÇÕES</t>
  </si>
  <si>
    <t>ABC NEWS</t>
  </si>
  <si>
    <t>HOME SUPER BANNER TOPO - 970X250 (FIXO)</t>
  </si>
  <si>
    <t xml:space="preserve">PÁGINA SIMPLES ANÚNCIO (DIAS ÚTEIS) - IMPRESSO </t>
  </si>
  <si>
    <t>PÁGINA DE PUBLI EDITORIAL (DOMINGO) - IMPRESSO</t>
  </si>
  <si>
    <t>PÁGINA SIMPLES - 24,6X40CM - IMPRESSO</t>
  </si>
  <si>
    <t>PUBLIEDITORIAL - 24,6X40CM - IMPRESSO</t>
  </si>
  <si>
    <t xml:space="preserve">BRANDED CONTENT - DIGITAL </t>
  </si>
  <si>
    <t>BANNER TOPO OUTDOOR - DIGITAL</t>
  </si>
  <si>
    <t xml:space="preserve">PÁGINA SIMPLES (INDETERMINADA) - IMPRESSO </t>
  </si>
  <si>
    <t xml:space="preserve">BANNER QUADRO HOME - DIGITAL </t>
  </si>
  <si>
    <t xml:space="preserve">BRANDED CONTENT - DIGITAL - 1 PÁGINA </t>
  </si>
  <si>
    <t>REV01</t>
  </si>
  <si>
    <t>Inclusão das propostas de alguns veiculos que ainda não tinham enviado</t>
  </si>
  <si>
    <t>REV02</t>
  </si>
  <si>
    <t>Inclusão das ultimas propostas que faltavam</t>
  </si>
  <si>
    <t>PUBLIEDITORIAL NA HOME (ENTREGA AGÊNCIA) - DIGITAL</t>
  </si>
  <si>
    <t>NOVA GENTE</t>
  </si>
  <si>
    <t>RETÂNGULO FIXO NO TOPO DA PÁGINA - 960x164px</t>
  </si>
  <si>
    <t>BANNERS - 1024x1024px</t>
  </si>
  <si>
    <t>ENTREGA NO FACEBOOK - POST (60K IMPRESSÕES)</t>
  </si>
  <si>
    <t>JORNAL DIVULGAÇÃO EXATA</t>
  </si>
  <si>
    <t>SUPERBANNER CONTEÚDO PRINCIPAL - 945x150px</t>
  </si>
  <si>
    <t>BANNER ENTRE NOTICIAS - 300x250px</t>
  </si>
  <si>
    <t>RÁDIO WEB NOVA GENTE - SPOT 30''</t>
  </si>
  <si>
    <t>1 MENÇÃO ESPECIAL NO PROGRAMA MARCÃO DA GENTE NA RÁDIO - TEXTO 30''</t>
  </si>
  <si>
    <t>MARÇO</t>
  </si>
  <si>
    <t xml:space="preserve">PUBLIEDITORIAL - DIGITAL </t>
  </si>
  <si>
    <t>PRODUÇÃO PELA AGENCIA ATÉ 1000 CARACTERES + 1 IMAGEM + TÍTULO</t>
  </si>
  <si>
    <t>PRODUÇÃO PELA AGENCIA ATÉ 600 CARACTERES + 1 IMAGEM + TÍTULO</t>
  </si>
  <si>
    <t>PÁGINA DE PUBLI EDITORIAL (DOMINGO) - DIGITAL</t>
  </si>
  <si>
    <t xml:space="preserve"> - </t>
  </si>
  <si>
    <t>REV03</t>
  </si>
  <si>
    <t>Alteração na data de veiculação dos veiculos com exceção do Diario do Grande ABC</t>
  </si>
  <si>
    <t>Ajuste no custo do ABCD Jornal.</t>
  </si>
  <si>
    <t>REV04</t>
  </si>
  <si>
    <t>VIVA ABC</t>
  </si>
  <si>
    <t>7 DIAS COM LINK NA BIO DO VIVA ABC</t>
  </si>
  <si>
    <t>30 DIAS DESTAQUE PARCERIAS</t>
  </si>
  <si>
    <t xml:space="preserve">6 STORIES COM LINK CLICÁVEL </t>
  </si>
  <si>
    <t>REV05</t>
  </si>
  <si>
    <t>Aletração nas datas de veiculação dos veículos e inclusão do Viva ABC</t>
  </si>
  <si>
    <t>7 DIAS COM BANNER NO SITE - 900x100cm</t>
  </si>
  <si>
    <t>SEC</t>
  </si>
  <si>
    <t>PLANNED</t>
  </si>
  <si>
    <t>PROGRAMM</t>
  </si>
  <si>
    <t>START TIME</t>
  </si>
  <si>
    <t>END TIME</t>
  </si>
  <si>
    <t>DEZEMBRO</t>
  </si>
  <si>
    <t>CUSTO TOTAL DESEMBOLSO SABESP</t>
  </si>
  <si>
    <t>AUD. 
AS ABCDE 25+</t>
  </si>
  <si>
    <t>TRP</t>
  </si>
  <si>
    <t>CPP</t>
  </si>
  <si>
    <t>RESUMO</t>
  </si>
  <si>
    <t>PEÇA</t>
  </si>
  <si>
    <t>INS</t>
  </si>
  <si>
    <t>INVESTIMENTO $</t>
  </si>
  <si>
    <t>TT OPEN TV</t>
  </si>
  <si>
    <t>TT GERAL</t>
  </si>
  <si>
    <t>TT</t>
  </si>
  <si>
    <t>CAMPAING: ABC RIO GRANDE DA SERRA</t>
  </si>
  <si>
    <t>ABRIL</t>
  </si>
  <si>
    <t>MAIO</t>
  </si>
  <si>
    <t>CANAL ABC</t>
  </si>
  <si>
    <t>FAIXA 1</t>
  </si>
  <si>
    <t>FAIXA 2</t>
  </si>
  <si>
    <t>TT CANAL ABC</t>
  </si>
  <si>
    <t>FEVREIRO</t>
  </si>
  <si>
    <t>REPÓRTER DIÁRIO</t>
  </si>
  <si>
    <t>PUBLIEDITORIAL</t>
  </si>
  <si>
    <t>PRODUÇÃO DE TEXTO PELA AGÊNCIA SEM LIMITE DE CARACTERES + 4 IMAGENS</t>
  </si>
  <si>
    <t>TV ABERTA</t>
  </si>
  <si>
    <t>REV06</t>
  </si>
  <si>
    <t>Inclusão do Repórter Diário e o Canal ABC</t>
  </si>
  <si>
    <t>REV07</t>
  </si>
  <si>
    <t>Ajuste da data de inicio do Canal ABC e secundagem do filme para 60''.</t>
  </si>
  <si>
    <t>REV08</t>
  </si>
  <si>
    <t>Ajuste das datas de ínício de Jornal Divulgação Exata, Nova Gente e Viva 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</si>
</sst>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 &quot;* #,##0.00_);_(&quot;R$ &quot;* \(#,##0.00\);_(&quot;R$ &quot;* &quot;-&quot;??_);_(@_)"/>
    <numFmt numFmtId="165" formatCode="0.000000%"/>
    <numFmt numFmtId="166" formatCode="_-[$R$-416]\ * #,##0.00_-;\-[$R$-416]\ * #,##0.00_-;_-[$R$-416]\ * &quot;-&quot;??_-;_-@_-"/>
    <numFmt numFmtId="167" formatCode="0.0%"/>
    <numFmt numFmtId="168" formatCode="_(&quot;R$&quot;* #,##0.00_);_(&quot;R$&quot;* \(#,##0.00\);_(&quot;R$&quot;* &quot;-&quot;??_);_(@_)"/>
    <numFmt numFmtId="169" formatCode="_-* #,##0.0_-;\-* #,##0.0_-;_-* &quot;-&quot;??_-;_-@_-"/>
    <numFmt numFmtId="170" formatCode="_(&quot;R$&quot;* #,##0_);_(&quot;R$&quot;* \(#,##0\);_(&quot;R$&quot;* &quot;-&quot;??_);_(@_)"/>
    <numFmt numFmtId="171" formatCode="0.000"/>
    <numFmt numFmtId="172" formatCode="dd/mm/yy;@"/>
    <numFmt numFmtId="173" formatCode="0.0"/>
    <numFmt numFmtId="174" formatCode="_-&quot;R$&quot;\ * #,##0_-;\-&quot;R$&quot;\ * #,##0_-;_-&quot;R$&quot;\ * &quot;-&quot;??_-;_-@_-"/>
    <numFmt numFmtId="175" formatCode="_(* #,##0.00_);_(* \(#,##0.00\);_(* &quot;-&quot;??_);_(@_)"/>
    <numFmt numFmtId="176" formatCode="_(* #,##0_);_(* \(#,##0\);_(* &quot;-&quot;??_);_(@_)"/>
    <numFmt numFmtId="177" formatCode="_-[$R$-416]\ * #,##0_-;\-[$R$-416]\ * #,##0_-;_-[$R$-416]\ * &quot;-&quot;??_-;_-@_-"/>
  </numFmts>
  <fonts count="40" x14ac:knownFonts="1">
    <font>
      <sz val="12"/>
      <color theme="1"/>
      <name val="Aptos Narrow"/>
      <family val="2"/>
      <scheme val="minor"/>
    </font>
    <font>
      <sz val="10"/>
      <name val="Arial"/>
      <family val="2"/>
    </font>
    <font>
      <sz val="8"/>
      <name val="Tahoma"/>
      <family val="2"/>
    </font>
    <font>
      <b/>
      <u/>
      <sz val="8"/>
      <name val="Tahoma"/>
      <family val="2"/>
    </font>
    <font>
      <b/>
      <sz val="8"/>
      <name val="Tahoma"/>
      <family val="2"/>
    </font>
    <font>
      <sz val="12"/>
      <color theme="1"/>
      <name val="Aptos Narrow"/>
      <family val="2"/>
      <scheme val="minor"/>
    </font>
    <font>
      <b/>
      <sz val="8"/>
      <color theme="0" tint="-0.499984740745262"/>
      <name val="Tahoma"/>
      <family val="2"/>
    </font>
    <font>
      <b/>
      <sz val="8"/>
      <color rgb="FF808080"/>
      <name val="Tahoma"/>
      <family val="2"/>
    </font>
    <font>
      <b/>
      <sz val="11"/>
      <name val="Tahoma"/>
      <family val="2"/>
    </font>
    <font>
      <b/>
      <sz val="12"/>
      <name val="Tahoma"/>
      <family val="2"/>
    </font>
    <font>
      <b/>
      <u/>
      <sz val="8"/>
      <color theme="0"/>
      <name val="Tahoma"/>
      <family val="2"/>
    </font>
    <font>
      <b/>
      <sz val="8"/>
      <color theme="0"/>
      <name val="Tahoma"/>
      <family val="2"/>
    </font>
    <font>
      <sz val="11"/>
      <color indexed="8"/>
      <name val="Calibri"/>
      <family val="2"/>
    </font>
    <font>
      <b/>
      <sz val="9"/>
      <name val="Tahoma"/>
      <family val="2"/>
    </font>
    <font>
      <b/>
      <sz val="7"/>
      <name val="Tahoma"/>
      <family val="2"/>
    </font>
    <font>
      <b/>
      <sz val="7"/>
      <color rgb="FFC00000"/>
      <name val="Tahoma"/>
      <family val="2"/>
    </font>
    <font>
      <b/>
      <sz val="10"/>
      <name val="Arial"/>
      <family val="2"/>
    </font>
    <font>
      <b/>
      <sz val="16"/>
      <name val="Tahoma"/>
      <family val="2"/>
    </font>
    <font>
      <sz val="6"/>
      <color theme="1" tint="0.499984740745262"/>
      <name val="Tahoma"/>
      <family val="2"/>
    </font>
    <font>
      <sz val="8"/>
      <color theme="1"/>
      <name val="Tahoma"/>
      <family val="2"/>
    </font>
    <font>
      <b/>
      <sz val="8"/>
      <color theme="1"/>
      <name val="Tahoma"/>
      <family val="2"/>
    </font>
    <font>
      <sz val="8"/>
      <color theme="0"/>
      <name val="Tahoma"/>
      <family val="2"/>
    </font>
    <font>
      <sz val="12"/>
      <color theme="1"/>
      <name val="Tahoma"/>
      <family val="2"/>
    </font>
    <font>
      <sz val="8"/>
      <color theme="0" tint="-0.499984740745262"/>
      <name val="Tahoma"/>
      <family val="2"/>
    </font>
    <font>
      <b/>
      <sz val="9"/>
      <color theme="0"/>
      <name val="Tahoma"/>
      <family val="2"/>
    </font>
    <font>
      <b/>
      <sz val="8"/>
      <color rgb="FFFF0000"/>
      <name val="Tahoma"/>
      <family val="2"/>
    </font>
    <font>
      <sz val="11"/>
      <name val="Tahoma"/>
      <family val="2"/>
    </font>
    <font>
      <b/>
      <sz val="11"/>
      <color indexed="8"/>
      <name val="Tahoma"/>
      <family val="2"/>
    </font>
    <font>
      <b/>
      <sz val="11"/>
      <color indexed="9"/>
      <name val="Tahoma"/>
      <family val="2"/>
    </font>
    <font>
      <b/>
      <sz val="11"/>
      <color theme="1" tint="0.34998626667073579"/>
      <name val="Tahoma"/>
      <family val="2"/>
    </font>
    <font>
      <sz val="11"/>
      <color theme="1" tint="0.34998626667073579"/>
      <name val="Tahoma"/>
      <family val="2"/>
    </font>
    <font>
      <sz val="11"/>
      <color indexed="8"/>
      <name val="Tahoma"/>
      <family val="2"/>
    </font>
    <font>
      <sz val="11"/>
      <color theme="1"/>
      <name val="Tahoma"/>
      <family val="2"/>
    </font>
    <font>
      <sz val="8"/>
      <name val="Arial"/>
      <family val="2"/>
    </font>
    <font>
      <sz val="8"/>
      <color theme="1" tint="0.499984740745262"/>
      <name val="Tahoma"/>
      <family val="2"/>
    </font>
    <font>
      <sz val="5"/>
      <color theme="0" tint="-0.14999847407452621"/>
      <name val="Tahoma"/>
      <family val="2"/>
    </font>
    <font>
      <sz val="5"/>
      <color theme="0" tint="-4.9989318521683403E-2"/>
      <name val="Tahoma"/>
      <family val="2"/>
    </font>
    <font>
      <sz val="6"/>
      <color theme="2" tint="-0.499984740745262"/>
      <name val="Tahoma"/>
      <family val="2"/>
    </font>
    <font>
      <sz val="6"/>
      <color theme="1"/>
      <name val="Tahoma"/>
      <family val="2"/>
    </font>
    <font>
      <sz val="6"/>
      <color theme="0" tint="-0.499984740745262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theme="2" tint="-0.499984740745262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2"/>
      </left>
      <right/>
      <top/>
      <bottom/>
      <diagonal/>
    </border>
    <border>
      <left style="thin">
        <color theme="2"/>
      </left>
      <right/>
      <top style="thin">
        <color theme="2"/>
      </top>
      <bottom/>
      <diagonal/>
    </border>
    <border>
      <left/>
      <right/>
      <top style="thin">
        <color theme="0"/>
      </top>
      <bottom style="thin">
        <color indexed="64"/>
      </bottom>
      <diagonal/>
    </border>
    <border>
      <left style="thin">
        <color theme="2"/>
      </left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11">
    <xf numFmtId="0" fontId="0" fillId="0" borderId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1" fillId="0" borderId="0"/>
    <xf numFmtId="0" fontId="1" fillId="0" borderId="0"/>
    <xf numFmtId="9" fontId="5" fillId="0" borderId="0" applyFont="0" applyFill="0" applyBorder="0" applyAlignment="0" applyProtection="0"/>
    <xf numFmtId="43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5" fillId="0" borderId="0" applyFont="0" applyFill="0" applyBorder="0" applyAlignment="0" applyProtection="0"/>
    <xf numFmtId="175" fontId="1" fillId="0" borderId="0" applyFont="0" applyFill="0" applyBorder="0" applyAlignment="0" applyProtection="0"/>
  </cellStyleXfs>
  <cellXfs count="289">
    <xf numFmtId="0" fontId="0" fillId="0" borderId="0" xfId="0"/>
    <xf numFmtId="0" fontId="1" fillId="0" borderId="0" xfId="3"/>
    <xf numFmtId="0" fontId="1" fillId="0" borderId="0" xfId="4"/>
    <xf numFmtId="0" fontId="2" fillId="0" borderId="0" xfId="3" applyFont="1"/>
    <xf numFmtId="0" fontId="2" fillId="0" borderId="0" xfId="4" applyFont="1"/>
    <xf numFmtId="0" fontId="3" fillId="0" borderId="0" xfId="4" applyFont="1" applyAlignment="1">
      <alignment horizontal="center" vertical="center" wrapText="1"/>
    </xf>
    <xf numFmtId="0" fontId="4" fillId="0" borderId="0" xfId="3" applyFont="1" applyAlignment="1">
      <alignment horizontal="center" vertical="center"/>
    </xf>
    <xf numFmtId="43" fontId="2" fillId="0" borderId="0" xfId="3" applyNumberFormat="1" applyFont="1" applyAlignment="1">
      <alignment horizontal="center" vertical="center"/>
    </xf>
    <xf numFmtId="9" fontId="2" fillId="0" borderId="0" xfId="5" applyFont="1"/>
    <xf numFmtId="4" fontId="2" fillId="0" borderId="0" xfId="3" applyNumberFormat="1" applyFont="1"/>
    <xf numFmtId="0" fontId="2" fillId="0" borderId="0" xfId="3" applyFont="1" applyAlignment="1">
      <alignment horizontal="center" vertical="center"/>
    </xf>
    <xf numFmtId="0" fontId="6" fillId="2" borderId="0" xfId="3" applyFont="1" applyFill="1" applyAlignment="1">
      <alignment horizontal="left"/>
    </xf>
    <xf numFmtId="164" fontId="4" fillId="0" borderId="0" xfId="3" applyNumberFormat="1" applyFont="1" applyAlignment="1">
      <alignment horizontal="center" vertical="center"/>
    </xf>
    <xf numFmtId="43" fontId="2" fillId="0" borderId="0" xfId="3" applyNumberFormat="1" applyFont="1"/>
    <xf numFmtId="0" fontId="7" fillId="2" borderId="0" xfId="4" applyFont="1" applyFill="1" applyAlignment="1">
      <alignment horizontal="left"/>
    </xf>
    <xf numFmtId="0" fontId="8" fillId="0" borderId="0" xfId="4" applyFont="1" applyAlignment="1">
      <alignment horizontal="center" vertical="center"/>
    </xf>
    <xf numFmtId="0" fontId="4" fillId="0" borderId="0" xfId="4" applyFont="1" applyAlignment="1">
      <alignment horizontal="center" vertical="center"/>
    </xf>
    <xf numFmtId="43" fontId="4" fillId="0" borderId="0" xfId="3" applyNumberFormat="1" applyFont="1" applyAlignment="1">
      <alignment horizontal="center" vertical="center"/>
    </xf>
    <xf numFmtId="0" fontId="9" fillId="0" borderId="0" xfId="4" applyFont="1" applyAlignment="1">
      <alignment vertical="center"/>
    </xf>
    <xf numFmtId="165" fontId="4" fillId="0" borderId="0" xfId="5" applyNumberFormat="1" applyFont="1" applyAlignment="1">
      <alignment horizontal="center" vertical="center"/>
    </xf>
    <xf numFmtId="0" fontId="4" fillId="0" borderId="0" xfId="3" applyFont="1" applyAlignment="1">
      <alignment horizontal="center"/>
    </xf>
    <xf numFmtId="0" fontId="10" fillId="0" borderId="1" xfId="3" applyFont="1" applyBorder="1" applyAlignment="1">
      <alignment vertical="center" wrapText="1"/>
    </xf>
    <xf numFmtId="0" fontId="9" fillId="0" borderId="1" xfId="4" applyFont="1" applyBorder="1" applyAlignment="1">
      <alignment vertical="center"/>
    </xf>
    <xf numFmtId="0" fontId="4" fillId="0" borderId="0" xfId="3" applyFont="1" applyAlignment="1">
      <alignment vertical="center"/>
    </xf>
    <xf numFmtId="0" fontId="11" fillId="3" borderId="2" xfId="3" applyFont="1" applyFill="1" applyBorder="1" applyAlignment="1">
      <alignment horizontal="center" vertical="center"/>
    </xf>
    <xf numFmtId="0" fontId="11" fillId="4" borderId="2" xfId="3" applyFont="1" applyFill="1" applyBorder="1" applyAlignment="1">
      <alignment horizontal="center" vertical="center"/>
    </xf>
    <xf numFmtId="0" fontId="4" fillId="0" borderId="9" xfId="3" applyFont="1" applyBorder="1" applyAlignment="1">
      <alignment horizontal="center" vertical="center" wrapText="1"/>
    </xf>
    <xf numFmtId="0" fontId="2" fillId="0" borderId="9" xfId="3" applyFont="1" applyBorder="1" applyAlignment="1">
      <alignment horizontal="center" vertical="center" wrapText="1"/>
    </xf>
    <xf numFmtId="0" fontId="2" fillId="0" borderId="0" xfId="3" applyFont="1" applyAlignment="1">
      <alignment horizontal="center" vertical="center" wrapText="1"/>
    </xf>
    <xf numFmtId="164" fontId="2" fillId="0" borderId="10" xfId="7" applyFont="1" applyFill="1" applyBorder="1" applyAlignment="1">
      <alignment vertical="center" wrapText="1"/>
    </xf>
    <xf numFmtId="164" fontId="2" fillId="0" borderId="9" xfId="7" applyFont="1" applyFill="1" applyBorder="1" applyAlignment="1">
      <alignment vertical="center" wrapText="1"/>
    </xf>
    <xf numFmtId="0" fontId="11" fillId="3" borderId="9" xfId="3" applyFont="1" applyFill="1" applyBorder="1" applyAlignment="1">
      <alignment horizontal="center" vertical="center" wrapText="1"/>
    </xf>
    <xf numFmtId="0" fontId="4" fillId="0" borderId="11" xfId="3" applyFont="1" applyBorder="1" applyAlignment="1">
      <alignment vertical="center" wrapText="1"/>
    </xf>
    <xf numFmtId="0" fontId="2" fillId="0" borderId="12" xfId="3" applyFont="1" applyBorder="1" applyAlignment="1">
      <alignment horizontal="center" vertical="center"/>
    </xf>
    <xf numFmtId="0" fontId="2" fillId="0" borderId="11" xfId="3" applyFont="1" applyBorder="1" applyAlignment="1">
      <alignment horizontal="center" vertical="center" wrapText="1"/>
    </xf>
    <xf numFmtId="0" fontId="13" fillId="5" borderId="13" xfId="3" applyFont="1" applyFill="1" applyBorder="1" applyAlignment="1">
      <alignment horizontal="center" vertical="center" wrapText="1"/>
    </xf>
    <xf numFmtId="0" fontId="13" fillId="0" borderId="13" xfId="3" applyFont="1" applyBorder="1" applyAlignment="1">
      <alignment horizontal="center" vertical="center" wrapText="1"/>
    </xf>
    <xf numFmtId="0" fontId="13" fillId="6" borderId="13" xfId="3" applyFont="1" applyFill="1" applyBorder="1" applyAlignment="1">
      <alignment horizontal="center" vertical="center" wrapText="1"/>
    </xf>
    <xf numFmtId="164" fontId="2" fillId="0" borderId="11" xfId="7" applyFont="1" applyFill="1" applyBorder="1" applyAlignment="1">
      <alignment horizontal="center" vertical="center" wrapText="1"/>
    </xf>
    <xf numFmtId="9" fontId="2" fillId="0" borderId="11" xfId="8" applyFont="1" applyFill="1" applyBorder="1" applyAlignment="1">
      <alignment horizontal="center" vertical="center" wrapText="1"/>
    </xf>
    <xf numFmtId="164" fontId="2" fillId="0" borderId="11" xfId="7" applyFont="1" applyFill="1" applyBorder="1" applyAlignment="1">
      <alignment vertical="center" wrapText="1"/>
    </xf>
    <xf numFmtId="166" fontId="2" fillId="0" borderId="11" xfId="7" applyNumberFormat="1" applyFont="1" applyFill="1" applyBorder="1" applyAlignment="1">
      <alignment horizontal="center" vertical="center" wrapText="1"/>
    </xf>
    <xf numFmtId="0" fontId="4" fillId="0" borderId="14" xfId="3" applyFont="1" applyBorder="1" applyAlignment="1">
      <alignment horizontal="center" vertical="center" wrapText="1"/>
    </xf>
    <xf numFmtId="0" fontId="4" fillId="0" borderId="15" xfId="3" applyFont="1" applyBorder="1" applyAlignment="1">
      <alignment horizontal="center" vertical="center" wrapText="1"/>
    </xf>
    <xf numFmtId="0" fontId="4" fillId="0" borderId="14" xfId="3" applyFont="1" applyBorder="1" applyAlignment="1">
      <alignment horizontal="left" vertical="center" wrapText="1"/>
    </xf>
    <xf numFmtId="3" fontId="4" fillId="0" borderId="14" xfId="3" applyNumberFormat="1" applyFont="1" applyBorder="1" applyAlignment="1">
      <alignment horizontal="center" vertical="center" wrapText="1"/>
    </xf>
    <xf numFmtId="164" fontId="2" fillId="5" borderId="14" xfId="7" applyFont="1" applyFill="1" applyBorder="1" applyAlignment="1">
      <alignment horizontal="center" vertical="center" wrapText="1"/>
    </xf>
    <xf numFmtId="164" fontId="2" fillId="0" borderId="14" xfId="7" applyFont="1" applyFill="1" applyBorder="1" applyAlignment="1">
      <alignment horizontal="center" vertical="center" wrapText="1"/>
    </xf>
    <xf numFmtId="164" fontId="2" fillId="0" borderId="14" xfId="7" applyFont="1" applyFill="1" applyBorder="1" applyAlignment="1">
      <alignment vertical="center" wrapText="1"/>
    </xf>
    <xf numFmtId="166" fontId="2" fillId="5" borderId="14" xfId="7" applyNumberFormat="1" applyFont="1" applyFill="1" applyBorder="1" applyAlignment="1">
      <alignment horizontal="center" vertical="center" wrapText="1"/>
    </xf>
    <xf numFmtId="3" fontId="2" fillId="0" borderId="14" xfId="8" applyNumberFormat="1" applyFont="1" applyFill="1" applyBorder="1" applyAlignment="1">
      <alignment horizontal="center" vertical="center" wrapText="1"/>
    </xf>
    <xf numFmtId="164" fontId="2" fillId="5" borderId="14" xfId="7" quotePrefix="1" applyFont="1" applyFill="1" applyBorder="1" applyAlignment="1">
      <alignment horizontal="center" vertical="center" wrapText="1"/>
    </xf>
    <xf numFmtId="166" fontId="2" fillId="5" borderId="14" xfId="7" quotePrefix="1" applyNumberFormat="1" applyFont="1" applyFill="1" applyBorder="1" applyAlignment="1">
      <alignment horizontal="center" vertical="center" wrapText="1"/>
    </xf>
    <xf numFmtId="0" fontId="14" fillId="0" borderId="14" xfId="3" applyFont="1" applyBorder="1" applyAlignment="1">
      <alignment vertical="center" wrapText="1"/>
    </xf>
    <xf numFmtId="0" fontId="15" fillId="0" borderId="15" xfId="3" applyFont="1" applyBorder="1" applyAlignment="1">
      <alignment horizontal="center" vertical="center" wrapText="1"/>
    </xf>
    <xf numFmtId="0" fontId="4" fillId="0" borderId="18" xfId="3" applyFont="1" applyBorder="1" applyAlignment="1">
      <alignment horizontal="center" vertical="center" wrapText="1"/>
    </xf>
    <xf numFmtId="0" fontId="2" fillId="0" borderId="18" xfId="3" applyFont="1" applyBorder="1" applyAlignment="1">
      <alignment horizontal="center" vertical="center" wrapText="1"/>
    </xf>
    <xf numFmtId="0" fontId="13" fillId="5" borderId="18" xfId="3" applyFont="1" applyFill="1" applyBorder="1" applyAlignment="1">
      <alignment horizontal="center" vertical="center" wrapText="1"/>
    </xf>
    <xf numFmtId="164" fontId="2" fillId="0" borderId="18" xfId="7" applyFont="1" applyFill="1" applyBorder="1" applyAlignment="1">
      <alignment vertical="center" wrapText="1"/>
    </xf>
    <xf numFmtId="168" fontId="11" fillId="3" borderId="18" xfId="7" applyNumberFormat="1" applyFont="1" applyFill="1" applyBorder="1" applyAlignment="1">
      <alignment horizontal="left" vertical="center"/>
    </xf>
    <xf numFmtId="0" fontId="11" fillId="3" borderId="18" xfId="3" applyFont="1" applyFill="1" applyBorder="1" applyAlignment="1">
      <alignment horizontal="center" vertical="center"/>
    </xf>
    <xf numFmtId="168" fontId="11" fillId="3" borderId="18" xfId="7" applyNumberFormat="1" applyFont="1" applyFill="1" applyBorder="1" applyAlignment="1">
      <alignment horizontal="center" vertical="center"/>
    </xf>
    <xf numFmtId="170" fontId="16" fillId="0" borderId="0" xfId="3" applyNumberFormat="1" applyFont="1" applyAlignment="1">
      <alignment horizontal="center" wrapText="1"/>
    </xf>
    <xf numFmtId="167" fontId="17" fillId="0" borderId="0" xfId="5" applyNumberFormat="1" applyFont="1" applyFill="1" applyAlignment="1">
      <alignment horizontal="center" vertical="center"/>
    </xf>
    <xf numFmtId="0" fontId="18" fillId="0" borderId="0" xfId="3" applyFont="1" applyAlignment="1">
      <alignment vertical="center"/>
    </xf>
    <xf numFmtId="0" fontId="4" fillId="0" borderId="14" xfId="3" applyFont="1" applyBorder="1" applyAlignment="1">
      <alignment horizontal="left" vertical="center"/>
    </xf>
    <xf numFmtId="9" fontId="2" fillId="0" borderId="14" xfId="8" applyFont="1" applyFill="1" applyBorder="1" applyAlignment="1">
      <alignment horizontal="center" vertical="center" wrapText="1"/>
    </xf>
    <xf numFmtId="9" fontId="2" fillId="0" borderId="18" xfId="3" applyNumberFormat="1" applyFont="1" applyBorder="1" applyAlignment="1">
      <alignment horizontal="center" vertical="center" wrapText="1"/>
    </xf>
    <xf numFmtId="9" fontId="11" fillId="3" borderId="18" xfId="5" applyFont="1" applyFill="1" applyBorder="1" applyAlignment="1">
      <alignment horizontal="center" vertical="center"/>
    </xf>
    <xf numFmtId="9" fontId="1" fillId="0" borderId="0" xfId="3" applyNumberFormat="1"/>
    <xf numFmtId="9" fontId="2" fillId="0" borderId="0" xfId="3" applyNumberFormat="1" applyFont="1"/>
    <xf numFmtId="1" fontId="2" fillId="0" borderId="0" xfId="3" applyNumberFormat="1" applyFont="1" applyAlignment="1">
      <alignment horizontal="center" vertical="center"/>
    </xf>
    <xf numFmtId="171" fontId="4" fillId="0" borderId="0" xfId="3" applyNumberFormat="1" applyFont="1" applyAlignment="1">
      <alignment horizontal="center"/>
    </xf>
    <xf numFmtId="164" fontId="2" fillId="5" borderId="14" xfId="7" quotePrefix="1" applyFont="1" applyFill="1" applyBorder="1" applyAlignment="1">
      <alignment vertical="center" wrapText="1"/>
    </xf>
    <xf numFmtId="0" fontId="19" fillId="0" borderId="0" xfId="0" applyFont="1" applyAlignment="1">
      <alignment vertical="center"/>
    </xf>
    <xf numFmtId="0" fontId="19" fillId="0" borderId="0" xfId="0" applyFont="1" applyAlignment="1">
      <alignment horizontal="center" vertical="center"/>
    </xf>
    <xf numFmtId="0" fontId="6" fillId="2" borderId="0" xfId="3" applyFont="1" applyFill="1" applyAlignment="1">
      <alignment horizontal="left" vertical="center"/>
    </xf>
    <xf numFmtId="0" fontId="7" fillId="2" borderId="0" xfId="4" applyFont="1" applyFill="1" applyAlignment="1">
      <alignment horizontal="left" vertical="center"/>
    </xf>
    <xf numFmtId="0" fontId="20" fillId="0" borderId="0" xfId="0" applyFont="1" applyAlignment="1">
      <alignment vertical="center"/>
    </xf>
    <xf numFmtId="17" fontId="19" fillId="0" borderId="0" xfId="0" applyNumberFormat="1" applyFont="1" applyAlignment="1">
      <alignment vertical="center"/>
    </xf>
    <xf numFmtId="44" fontId="19" fillId="0" borderId="0" xfId="2" applyFont="1" applyAlignment="1">
      <alignment vertical="center"/>
    </xf>
    <xf numFmtId="44" fontId="19" fillId="0" borderId="0" xfId="0" applyNumberFormat="1" applyFont="1" applyAlignment="1">
      <alignment vertical="center"/>
    </xf>
    <xf numFmtId="44" fontId="19" fillId="5" borderId="0" xfId="0" applyNumberFormat="1" applyFont="1" applyFill="1" applyAlignment="1">
      <alignment vertical="center"/>
    </xf>
    <xf numFmtId="9" fontId="19" fillId="0" borderId="0" xfId="9" applyFont="1" applyAlignment="1">
      <alignment horizontal="center" vertical="center"/>
    </xf>
    <xf numFmtId="44" fontId="19" fillId="0" borderId="0" xfId="0" applyNumberFormat="1" applyFont="1" applyAlignment="1">
      <alignment horizontal="center" vertical="center"/>
    </xf>
    <xf numFmtId="0" fontId="21" fillId="3" borderId="0" xfId="0" applyFont="1" applyFill="1" applyAlignment="1">
      <alignment vertical="center"/>
    </xf>
    <xf numFmtId="0" fontId="19" fillId="3" borderId="0" xfId="0" applyFont="1" applyFill="1" applyAlignment="1">
      <alignment horizontal="center" vertical="center"/>
    </xf>
    <xf numFmtId="0" fontId="19" fillId="3" borderId="0" xfId="0" applyFont="1" applyFill="1" applyAlignment="1">
      <alignment vertical="center"/>
    </xf>
    <xf numFmtId="44" fontId="21" fillId="3" borderId="0" xfId="0" applyNumberFormat="1" applyFont="1" applyFill="1" applyAlignment="1">
      <alignment vertical="center"/>
    </xf>
    <xf numFmtId="9" fontId="21" fillId="3" borderId="0" xfId="0" applyNumberFormat="1" applyFont="1" applyFill="1" applyAlignment="1">
      <alignment horizontal="center" vertical="center"/>
    </xf>
    <xf numFmtId="9" fontId="21" fillId="3" borderId="0" xfId="9" applyFont="1" applyFill="1" applyAlignment="1">
      <alignment horizontal="center" vertical="center"/>
    </xf>
    <xf numFmtId="0" fontId="22" fillId="0" borderId="0" xfId="0" applyFont="1" applyAlignment="1">
      <alignment vertical="center"/>
    </xf>
    <xf numFmtId="166" fontId="19" fillId="0" borderId="0" xfId="0" applyNumberFormat="1" applyFont="1" applyAlignment="1">
      <alignment vertical="center"/>
    </xf>
    <xf numFmtId="166" fontId="23" fillId="0" borderId="0" xfId="0" applyNumberFormat="1" applyFont="1" applyAlignment="1">
      <alignment vertical="center"/>
    </xf>
    <xf numFmtId="0" fontId="19" fillId="5" borderId="0" xfId="0" applyFont="1" applyFill="1" applyAlignment="1">
      <alignment vertical="center"/>
    </xf>
    <xf numFmtId="166" fontId="22" fillId="0" borderId="0" xfId="0" applyNumberFormat="1" applyFont="1" applyAlignment="1">
      <alignment vertical="center"/>
    </xf>
    <xf numFmtId="0" fontId="2" fillId="0" borderId="0" xfId="3" applyFont="1" applyAlignment="1">
      <alignment vertical="center"/>
    </xf>
    <xf numFmtId="168" fontId="11" fillId="3" borderId="18" xfId="7" applyNumberFormat="1" applyFont="1" applyFill="1" applyBorder="1" applyAlignment="1">
      <alignment vertical="center"/>
    </xf>
    <xf numFmtId="166" fontId="11" fillId="3" borderId="18" xfId="7" applyNumberFormat="1" applyFont="1" applyFill="1" applyBorder="1" applyAlignment="1">
      <alignment horizontal="center" vertical="center"/>
    </xf>
    <xf numFmtId="3" fontId="2" fillId="0" borderId="11" xfId="8" applyNumberFormat="1" applyFont="1" applyFill="1" applyBorder="1" applyAlignment="1">
      <alignment horizontal="center" vertical="center" wrapText="1"/>
    </xf>
    <xf numFmtId="9" fontId="2" fillId="5" borderId="14" xfId="9" quotePrefix="1" applyFont="1" applyFill="1" applyBorder="1" applyAlignment="1">
      <alignment horizontal="center" vertical="center" wrapText="1"/>
    </xf>
    <xf numFmtId="3" fontId="2" fillId="0" borderId="10" xfId="8" applyNumberFormat="1" applyFont="1" applyFill="1" applyBorder="1" applyAlignment="1">
      <alignment horizontal="center" vertical="center" wrapText="1"/>
    </xf>
    <xf numFmtId="3" fontId="11" fillId="3" borderId="0" xfId="3" applyNumberFormat="1" applyFont="1" applyFill="1" applyAlignment="1">
      <alignment horizontal="center" vertical="center"/>
    </xf>
    <xf numFmtId="0" fontId="26" fillId="8" borderId="0" xfId="3" applyFont="1" applyFill="1" applyAlignment="1">
      <alignment vertical="center"/>
    </xf>
    <xf numFmtId="0" fontId="27" fillId="8" borderId="0" xfId="3" applyFont="1" applyFill="1" applyAlignment="1">
      <alignment vertical="center"/>
    </xf>
    <xf numFmtId="0" fontId="8" fillId="8" borderId="0" xfId="3" applyFont="1" applyFill="1" applyAlignment="1">
      <alignment vertical="center"/>
    </xf>
    <xf numFmtId="0" fontId="29" fillId="8" borderId="0" xfId="3" applyFont="1" applyFill="1" applyAlignment="1">
      <alignment vertical="center"/>
    </xf>
    <xf numFmtId="0" fontId="30" fillId="8" borderId="0" xfId="3" applyFont="1" applyFill="1" applyAlignment="1">
      <alignment vertical="center"/>
    </xf>
    <xf numFmtId="0" fontId="27" fillId="8" borderId="0" xfId="3" applyFont="1" applyFill="1" applyAlignment="1">
      <alignment horizontal="center" vertical="center"/>
    </xf>
    <xf numFmtId="0" fontId="26" fillId="8" borderId="0" xfId="3" applyFont="1" applyFill="1" applyAlignment="1">
      <alignment horizontal="center" vertical="center"/>
    </xf>
    <xf numFmtId="172" fontId="31" fillId="8" borderId="0" xfId="3" applyNumberFormat="1" applyFont="1" applyFill="1" applyAlignment="1">
      <alignment horizontal="center" vertical="center"/>
    </xf>
    <xf numFmtId="172" fontId="31" fillId="8" borderId="0" xfId="3" applyNumberFormat="1" applyFont="1" applyFill="1" applyAlignment="1">
      <alignment vertical="center"/>
    </xf>
    <xf numFmtId="0" fontId="31" fillId="0" borderId="0" xfId="3" applyFont="1" applyAlignment="1">
      <alignment vertical="center"/>
    </xf>
    <xf numFmtId="0" fontId="31" fillId="0" borderId="0" xfId="3" applyFont="1" applyAlignment="1">
      <alignment horizontal="center" vertical="center"/>
    </xf>
    <xf numFmtId="14" fontId="31" fillId="0" borderId="0" xfId="3" applyNumberFormat="1" applyFont="1" applyAlignment="1">
      <alignment horizontal="center" vertical="center"/>
    </xf>
    <xf numFmtId="0" fontId="13" fillId="0" borderId="19" xfId="3" applyFont="1" applyBorder="1" applyAlignment="1">
      <alignment horizontal="center" vertical="center" wrapText="1"/>
    </xf>
    <xf numFmtId="0" fontId="1" fillId="0" borderId="13" xfId="3" applyBorder="1"/>
    <xf numFmtId="0" fontId="4" fillId="0" borderId="0" xfId="3" applyFont="1" applyAlignment="1">
      <alignment horizontal="left" vertical="center" wrapText="1"/>
    </xf>
    <xf numFmtId="3" fontId="4" fillId="0" borderId="0" xfId="3" applyNumberFormat="1" applyFont="1" applyAlignment="1">
      <alignment horizontal="center" vertical="center" wrapText="1"/>
    </xf>
    <xf numFmtId="3" fontId="4" fillId="0" borderId="16" xfId="3" applyNumberFormat="1" applyFont="1" applyBorder="1" applyAlignment="1">
      <alignment horizontal="center" vertical="center" wrapText="1"/>
    </xf>
    <xf numFmtId="0" fontId="4" fillId="0" borderId="16" xfId="3" applyFont="1" applyBorder="1" applyAlignment="1">
      <alignment horizontal="left" vertical="center" wrapText="1"/>
    </xf>
    <xf numFmtId="0" fontId="4" fillId="0" borderId="20" xfId="3" applyFont="1" applyBorder="1" applyAlignment="1">
      <alignment horizontal="left" vertical="center" wrapText="1"/>
    </xf>
    <xf numFmtId="0" fontId="4" fillId="0" borderId="15" xfId="3" applyFont="1" applyBorder="1" applyAlignment="1">
      <alignment horizontal="left" vertical="center" wrapText="1"/>
    </xf>
    <xf numFmtId="0" fontId="13" fillId="0" borderId="15" xfId="3" applyFont="1" applyBorder="1" applyAlignment="1">
      <alignment horizontal="center" vertical="center" wrapText="1"/>
    </xf>
    <xf numFmtId="3" fontId="2" fillId="0" borderId="16" xfId="8" applyNumberFormat="1" applyFont="1" applyFill="1" applyBorder="1" applyAlignment="1">
      <alignment horizontal="center" vertical="center" wrapText="1"/>
    </xf>
    <xf numFmtId="3" fontId="2" fillId="0" borderId="20" xfId="8" applyNumberFormat="1" applyFont="1" applyFill="1" applyBorder="1" applyAlignment="1">
      <alignment horizontal="center" vertical="center" wrapText="1"/>
    </xf>
    <xf numFmtId="9" fontId="2" fillId="5" borderId="16" xfId="9" quotePrefix="1" applyFont="1" applyFill="1" applyBorder="1" applyAlignment="1">
      <alignment horizontal="center" vertical="center" wrapText="1"/>
    </xf>
    <xf numFmtId="9" fontId="2" fillId="5" borderId="20" xfId="9" quotePrefix="1" applyFont="1" applyFill="1" applyBorder="1" applyAlignment="1">
      <alignment horizontal="center" vertical="center" wrapText="1"/>
    </xf>
    <xf numFmtId="164" fontId="2" fillId="0" borderId="20" xfId="7" applyFont="1" applyFill="1" applyBorder="1" applyAlignment="1">
      <alignment horizontal="center" vertical="center" wrapText="1"/>
    </xf>
    <xf numFmtId="164" fontId="2" fillId="0" borderId="16" xfId="7" applyFont="1" applyFill="1" applyBorder="1" applyAlignment="1">
      <alignment vertical="center" wrapText="1"/>
    </xf>
    <xf numFmtId="164" fontId="2" fillId="0" borderId="20" xfId="7" applyFont="1" applyFill="1" applyBorder="1" applyAlignment="1">
      <alignment vertical="center" wrapText="1"/>
    </xf>
    <xf numFmtId="0" fontId="1" fillId="0" borderId="14" xfId="3" applyBorder="1"/>
    <xf numFmtId="1" fontId="31" fillId="8" borderId="0" xfId="1" applyNumberFormat="1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0" fontId="13" fillId="5" borderId="17" xfId="3" applyFont="1" applyFill="1" applyBorder="1" applyAlignment="1">
      <alignment vertical="center" wrapText="1"/>
    </xf>
    <xf numFmtId="0" fontId="13" fillId="0" borderId="17" xfId="3" applyFont="1" applyBorder="1" applyAlignment="1">
      <alignment vertical="center" wrapText="1"/>
    </xf>
    <xf numFmtId="3" fontId="13" fillId="6" borderId="18" xfId="3" applyNumberFormat="1" applyFont="1" applyFill="1" applyBorder="1" applyAlignment="1">
      <alignment vertical="center" wrapText="1"/>
    </xf>
    <xf numFmtId="0" fontId="11" fillId="3" borderId="4" xfId="3" applyFont="1" applyFill="1" applyBorder="1" applyAlignment="1">
      <alignment vertical="center"/>
    </xf>
    <xf numFmtId="3" fontId="13" fillId="0" borderId="19" xfId="3" applyNumberFormat="1" applyFont="1" applyBorder="1" applyAlignment="1">
      <alignment vertical="center" wrapText="1"/>
    </xf>
    <xf numFmtId="0" fontId="14" fillId="0" borderId="15" xfId="3" applyFont="1" applyBorder="1" applyAlignment="1">
      <alignment vertical="center" wrapText="1"/>
    </xf>
    <xf numFmtId="0" fontId="13" fillId="6" borderId="18" xfId="3" applyFont="1" applyFill="1" applyBorder="1" applyAlignment="1">
      <alignment horizontal="center" vertical="center" wrapText="1"/>
    </xf>
    <xf numFmtId="0" fontId="20" fillId="0" borderId="15" xfId="3" applyFont="1" applyBorder="1" applyAlignment="1">
      <alignment horizontal="center" vertical="center" wrapText="1"/>
    </xf>
    <xf numFmtId="0" fontId="4" fillId="0" borderId="16" xfId="3" applyFont="1" applyBorder="1" applyAlignment="1">
      <alignment horizontal="center" vertical="center" wrapText="1"/>
    </xf>
    <xf numFmtId="0" fontId="25" fillId="0" borderId="16" xfId="3" applyFont="1" applyBorder="1" applyAlignment="1">
      <alignment horizontal="center" vertical="center" wrapText="1"/>
    </xf>
    <xf numFmtId="0" fontId="20" fillId="0" borderId="0" xfId="3" applyFont="1" applyAlignment="1">
      <alignment horizontal="center" vertical="center" wrapText="1"/>
    </xf>
    <xf numFmtId="0" fontId="20" fillId="0" borderId="16" xfId="3" applyFont="1" applyBorder="1" applyAlignment="1">
      <alignment horizontal="center" vertical="center" wrapText="1"/>
    </xf>
    <xf numFmtId="0" fontId="11" fillId="3" borderId="3" xfId="3" applyFont="1" applyFill="1" applyBorder="1" applyAlignment="1">
      <alignment vertical="center"/>
    </xf>
    <xf numFmtId="0" fontId="4" fillId="0" borderId="21" xfId="3" applyFont="1" applyBorder="1" applyAlignment="1">
      <alignment horizontal="center" vertical="center" wrapText="1"/>
    </xf>
    <xf numFmtId="0" fontId="1" fillId="0" borderId="16" xfId="3" applyBorder="1"/>
    <xf numFmtId="0" fontId="25" fillId="5" borderId="10" xfId="3" applyFont="1" applyFill="1" applyBorder="1" applyAlignment="1">
      <alignment horizontal="center" vertical="center" wrapText="1"/>
    </xf>
    <xf numFmtId="166" fontId="2" fillId="5" borderId="10" xfId="7" applyNumberFormat="1" applyFont="1" applyFill="1" applyBorder="1" applyAlignment="1">
      <alignment vertical="center" wrapText="1"/>
    </xf>
    <xf numFmtId="0" fontId="1" fillId="0" borderId="0" xfId="4" applyAlignment="1">
      <alignment horizontal="center"/>
    </xf>
    <xf numFmtId="0" fontId="33" fillId="0" borderId="0" xfId="4" applyFont="1"/>
    <xf numFmtId="0" fontId="34" fillId="0" borderId="0" xfId="4" applyFont="1"/>
    <xf numFmtId="0" fontId="2" fillId="0" borderId="0" xfId="4" applyFont="1" applyAlignment="1">
      <alignment horizontal="center"/>
    </xf>
    <xf numFmtId="0" fontId="2" fillId="0" borderId="0" xfId="4" applyFont="1" applyAlignment="1">
      <alignment horizontal="center" vertical="center"/>
    </xf>
    <xf numFmtId="166" fontId="2" fillId="0" borderId="0" xfId="4" applyNumberFormat="1" applyFont="1"/>
    <xf numFmtId="44" fontId="1" fillId="0" borderId="0" xfId="4" applyNumberFormat="1" applyAlignment="1">
      <alignment horizontal="center"/>
    </xf>
    <xf numFmtId="43" fontId="4" fillId="0" borderId="0" xfId="4" applyNumberFormat="1" applyFont="1" applyAlignment="1">
      <alignment horizontal="center" vertical="center"/>
    </xf>
    <xf numFmtId="0" fontId="4" fillId="0" borderId="0" xfId="4" applyFont="1" applyAlignment="1">
      <alignment horizontal="center"/>
    </xf>
    <xf numFmtId="166" fontId="4" fillId="0" borderId="0" xfId="4" applyNumberFormat="1" applyFont="1" applyAlignment="1">
      <alignment horizontal="center"/>
    </xf>
    <xf numFmtId="164" fontId="4" fillId="0" borderId="0" xfId="4" applyNumberFormat="1" applyFont="1" applyAlignment="1">
      <alignment horizontal="center"/>
    </xf>
    <xf numFmtId="0" fontId="4" fillId="0" borderId="0" xfId="4" applyFont="1" applyAlignment="1">
      <alignment vertical="center"/>
    </xf>
    <xf numFmtId="0" fontId="11" fillId="3" borderId="2" xfId="4" applyFont="1" applyFill="1" applyBorder="1" applyAlignment="1">
      <alignment horizontal="center" vertical="center"/>
    </xf>
    <xf numFmtId="0" fontId="4" fillId="0" borderId="9" xfId="4" applyFont="1" applyBorder="1" applyAlignment="1">
      <alignment horizontal="center" vertical="center" wrapText="1"/>
    </xf>
    <xf numFmtId="0" fontId="2" fillId="0" borderId="9" xfId="4" applyFont="1" applyBorder="1" applyAlignment="1">
      <alignment horizontal="center" vertical="center" wrapText="1"/>
    </xf>
    <xf numFmtId="0" fontId="11" fillId="3" borderId="9" xfId="4" applyFont="1" applyFill="1" applyBorder="1" applyAlignment="1">
      <alignment horizontal="center" vertical="center" wrapText="1"/>
    </xf>
    <xf numFmtId="0" fontId="2" fillId="0" borderId="24" xfId="4" applyFont="1" applyBorder="1" applyAlignment="1">
      <alignment horizontal="center" vertical="center" wrapText="1"/>
    </xf>
    <xf numFmtId="0" fontId="21" fillId="0" borderId="24" xfId="4" applyFont="1" applyBorder="1" applyAlignment="1">
      <alignment horizontal="center" vertical="center" wrapText="1"/>
    </xf>
    <xf numFmtId="164" fontId="2" fillId="0" borderId="0" xfId="7" applyFont="1" applyFill="1" applyBorder="1" applyAlignment="1">
      <alignment vertical="center" wrapText="1"/>
    </xf>
    <xf numFmtId="0" fontId="4" fillId="0" borderId="11" xfId="4" applyFont="1" applyBorder="1" applyAlignment="1">
      <alignment vertical="center" wrapText="1"/>
    </xf>
    <xf numFmtId="0" fontId="2" fillId="0" borderId="11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 wrapText="1"/>
    </xf>
    <xf numFmtId="0" fontId="2" fillId="0" borderId="12" xfId="4" applyFont="1" applyBorder="1" applyAlignment="1">
      <alignment horizontal="center" vertical="center" wrapText="1"/>
    </xf>
    <xf numFmtId="0" fontId="2" fillId="0" borderId="11" xfId="8" applyNumberFormat="1" applyFont="1" applyFill="1" applyBorder="1" applyAlignment="1">
      <alignment horizontal="center" vertical="center" wrapText="1"/>
    </xf>
    <xf numFmtId="164" fontId="2" fillId="0" borderId="14" xfId="7" applyFont="1" applyBorder="1" applyAlignment="1">
      <alignment horizontal="center" vertical="center" wrapText="1"/>
    </xf>
    <xf numFmtId="173" fontId="2" fillId="0" borderId="11" xfId="7" applyNumberFormat="1" applyFont="1" applyFill="1" applyBorder="1" applyAlignment="1">
      <alignment horizontal="right" vertical="center" wrapText="1"/>
    </xf>
    <xf numFmtId="169" fontId="2" fillId="0" borderId="11" xfId="1" applyNumberFormat="1" applyFont="1" applyFill="1" applyBorder="1" applyAlignment="1">
      <alignment vertical="center" wrapText="1"/>
    </xf>
    <xf numFmtId="0" fontId="4" fillId="0" borderId="14" xfId="4" applyFont="1" applyBorder="1" applyAlignment="1">
      <alignment horizontal="center" vertical="distributed"/>
    </xf>
    <xf numFmtId="0" fontId="4" fillId="0" borderId="14" xfId="4" applyFont="1" applyBorder="1" applyAlignment="1">
      <alignment horizontal="center" vertical="center" wrapText="1"/>
    </xf>
    <xf numFmtId="0" fontId="4" fillId="0" borderId="0" xfId="4" applyFont="1" applyAlignment="1">
      <alignment horizontal="left" vertical="center" wrapText="1"/>
    </xf>
    <xf numFmtId="20" fontId="4" fillId="0" borderId="15" xfId="4" applyNumberFormat="1" applyFont="1" applyBorder="1" applyAlignment="1">
      <alignment horizontal="center" vertical="center" wrapText="1"/>
    </xf>
    <xf numFmtId="0" fontId="4" fillId="0" borderId="15" xfId="4" applyFont="1" applyBorder="1" applyAlignment="1">
      <alignment horizontal="center" vertical="center" wrapText="1"/>
    </xf>
    <xf numFmtId="0" fontId="2" fillId="0" borderId="14" xfId="8" applyNumberFormat="1" applyFont="1" applyBorder="1" applyAlignment="1">
      <alignment horizontal="center" vertical="center" wrapText="1"/>
    </xf>
    <xf numFmtId="173" fontId="2" fillId="0" borderId="14" xfId="7" applyNumberFormat="1" applyFont="1" applyFill="1" applyBorder="1" applyAlignment="1">
      <alignment horizontal="right" vertical="center" wrapText="1"/>
    </xf>
    <xf numFmtId="169" fontId="2" fillId="0" borderId="14" xfId="1" applyNumberFormat="1" applyFont="1" applyFill="1" applyBorder="1" applyAlignment="1">
      <alignment vertical="center" wrapText="1"/>
    </xf>
    <xf numFmtId="174" fontId="2" fillId="0" borderId="14" xfId="2" applyNumberFormat="1" applyFont="1" applyFill="1" applyBorder="1" applyAlignment="1">
      <alignment vertical="center" wrapText="1"/>
    </xf>
    <xf numFmtId="44" fontId="2" fillId="0" borderId="26" xfId="2" applyFont="1" applyFill="1" applyBorder="1" applyAlignment="1">
      <alignment horizontal="center"/>
    </xf>
    <xf numFmtId="1" fontId="2" fillId="0" borderId="27" xfId="2" applyNumberFormat="1" applyFont="1" applyFill="1" applyBorder="1" applyAlignment="1">
      <alignment horizontal="center"/>
    </xf>
    <xf numFmtId="44" fontId="2" fillId="0" borderId="27" xfId="2" applyFont="1" applyFill="1" applyBorder="1" applyAlignment="1">
      <alignment horizontal="center"/>
    </xf>
    <xf numFmtId="9" fontId="2" fillId="0" borderId="14" xfId="8" applyFont="1" applyBorder="1" applyAlignment="1">
      <alignment horizontal="center" vertical="center" wrapText="1"/>
    </xf>
    <xf numFmtId="0" fontId="4" fillId="5" borderId="15" xfId="4" applyFont="1" applyFill="1" applyBorder="1" applyAlignment="1">
      <alignment horizontal="center" vertical="center" wrapText="1"/>
    </xf>
    <xf numFmtId="0" fontId="1" fillId="0" borderId="0" xfId="4" applyAlignment="1">
      <alignment vertical="center"/>
    </xf>
    <xf numFmtId="0" fontId="2" fillId="0" borderId="0" xfId="4" applyFont="1" applyAlignment="1">
      <alignment vertical="center"/>
    </xf>
    <xf numFmtId="1" fontId="11" fillId="3" borderId="27" xfId="2" applyNumberFormat="1" applyFont="1" applyFill="1" applyBorder="1" applyAlignment="1">
      <alignment horizontal="center" vertical="center"/>
    </xf>
    <xf numFmtId="44" fontId="11" fillId="3" borderId="27" xfId="2" applyFont="1" applyFill="1" applyBorder="1" applyAlignment="1">
      <alignment horizontal="center" vertical="center"/>
    </xf>
    <xf numFmtId="20" fontId="4" fillId="5" borderId="15" xfId="4" applyNumberFormat="1" applyFont="1" applyFill="1" applyBorder="1" applyAlignment="1">
      <alignment horizontal="center" vertical="center" wrapText="1"/>
    </xf>
    <xf numFmtId="0" fontId="4" fillId="0" borderId="18" xfId="4" applyFont="1" applyBorder="1" applyAlignment="1">
      <alignment horizontal="center" vertical="center" wrapText="1"/>
    </xf>
    <xf numFmtId="0" fontId="2" fillId="0" borderId="18" xfId="4" applyFont="1" applyBorder="1" applyAlignment="1">
      <alignment horizontal="center" vertical="center" wrapText="1"/>
    </xf>
    <xf numFmtId="164" fontId="2" fillId="0" borderId="13" xfId="7" applyFont="1" applyFill="1" applyBorder="1" applyAlignment="1">
      <alignment vertical="center" wrapText="1"/>
    </xf>
    <xf numFmtId="174" fontId="1" fillId="0" borderId="0" xfId="2" applyNumberFormat="1" applyFont="1"/>
    <xf numFmtId="0" fontId="11" fillId="5" borderId="27" xfId="4" applyFont="1" applyFill="1" applyBorder="1" applyAlignment="1">
      <alignment horizontal="left"/>
    </xf>
    <xf numFmtId="1" fontId="11" fillId="5" borderId="27" xfId="2" applyNumberFormat="1" applyFont="1" applyFill="1" applyBorder="1" applyAlignment="1">
      <alignment horizontal="center"/>
    </xf>
    <xf numFmtId="44" fontId="11" fillId="5" borderId="27" xfId="2" applyFont="1" applyFill="1" applyBorder="1" applyAlignment="1">
      <alignment horizontal="center"/>
    </xf>
    <xf numFmtId="0" fontId="11" fillId="3" borderId="18" xfId="4" applyFont="1" applyFill="1" applyBorder="1" applyAlignment="1">
      <alignment horizontal="center" vertical="center"/>
    </xf>
    <xf numFmtId="44" fontId="2" fillId="5" borderId="0" xfId="4" applyNumberFormat="1" applyFont="1" applyFill="1" applyAlignment="1">
      <alignment horizontal="center" vertical="center"/>
    </xf>
    <xf numFmtId="166" fontId="1" fillId="0" borderId="0" xfId="4" applyNumberFormat="1"/>
    <xf numFmtId="44" fontId="33" fillId="0" borderId="0" xfId="2" applyFont="1"/>
    <xf numFmtId="0" fontId="11" fillId="3" borderId="0" xfId="4" applyFont="1" applyFill="1" applyAlignment="1">
      <alignment horizontal="center" vertical="center"/>
    </xf>
    <xf numFmtId="0" fontId="4" fillId="5" borderId="14" xfId="4" applyFont="1" applyFill="1" applyBorder="1" applyAlignment="1">
      <alignment horizontal="center" vertical="center" wrapText="1"/>
    </xf>
    <xf numFmtId="173" fontId="2" fillId="5" borderId="10" xfId="10" applyNumberFormat="1" applyFont="1" applyFill="1" applyBorder="1" applyAlignment="1">
      <alignment horizontal="center" vertical="center" wrapText="1"/>
    </xf>
    <xf numFmtId="169" fontId="2" fillId="0" borderId="10" xfId="1" applyNumberFormat="1" applyFont="1" applyBorder="1" applyAlignment="1">
      <alignment horizontal="center" vertical="center" wrapText="1"/>
    </xf>
    <xf numFmtId="174" fontId="2" fillId="0" borderId="10" xfId="2" applyNumberFormat="1" applyFont="1" applyBorder="1" applyAlignment="1">
      <alignment horizontal="center" vertical="center" wrapText="1"/>
    </xf>
    <xf numFmtId="0" fontId="1" fillId="0" borderId="0" xfId="4" applyAlignment="1">
      <alignment horizontal="center" vertical="center"/>
    </xf>
    <xf numFmtId="0" fontId="11" fillId="3" borderId="27" xfId="4" applyFont="1" applyFill="1" applyBorder="1" applyAlignment="1">
      <alignment horizontal="center" vertical="center"/>
    </xf>
    <xf numFmtId="166" fontId="11" fillId="3" borderId="27" xfId="2" applyNumberFormat="1" applyFont="1" applyFill="1" applyBorder="1" applyAlignment="1">
      <alignment horizontal="center" vertical="center"/>
    </xf>
    <xf numFmtId="170" fontId="11" fillId="3" borderId="18" xfId="7" applyNumberFormat="1" applyFont="1" applyFill="1" applyBorder="1" applyAlignment="1">
      <alignment vertical="center"/>
    </xf>
    <xf numFmtId="170" fontId="11" fillId="3" borderId="0" xfId="7" applyNumberFormat="1" applyFont="1" applyFill="1" applyBorder="1" applyAlignment="1">
      <alignment vertical="center"/>
    </xf>
    <xf numFmtId="176" fontId="11" fillId="3" borderId="0" xfId="10" applyNumberFormat="1" applyFont="1" applyFill="1" applyBorder="1" applyAlignment="1">
      <alignment vertical="center"/>
    </xf>
    <xf numFmtId="44" fontId="11" fillId="3" borderId="0" xfId="2" applyFont="1" applyFill="1" applyBorder="1" applyAlignment="1">
      <alignment vertical="center"/>
    </xf>
    <xf numFmtId="0" fontId="11" fillId="3" borderId="28" xfId="4" applyFont="1" applyFill="1" applyBorder="1" applyAlignment="1">
      <alignment horizontal="left" vertical="center"/>
    </xf>
    <xf numFmtId="1" fontId="11" fillId="3" borderId="28" xfId="2" applyNumberFormat="1" applyFont="1" applyFill="1" applyBorder="1" applyAlignment="1">
      <alignment horizontal="center" vertical="center"/>
    </xf>
    <xf numFmtId="44" fontId="11" fillId="3" borderId="28" xfId="2" applyFont="1" applyFill="1" applyBorder="1" applyAlignment="1">
      <alignment horizontal="center" vertical="center"/>
    </xf>
    <xf numFmtId="166" fontId="11" fillId="3" borderId="28" xfId="2" applyNumberFormat="1" applyFont="1" applyFill="1" applyBorder="1" applyAlignment="1">
      <alignment horizontal="center" vertical="center"/>
    </xf>
    <xf numFmtId="177" fontId="11" fillId="3" borderId="0" xfId="4" applyNumberFormat="1" applyFont="1" applyFill="1" applyAlignment="1">
      <alignment horizontal="center" vertical="center"/>
    </xf>
    <xf numFmtId="0" fontId="11" fillId="10" borderId="2" xfId="3" applyFont="1" applyFill="1" applyBorder="1" applyAlignment="1">
      <alignment horizontal="center" vertical="center"/>
    </xf>
    <xf numFmtId="3" fontId="11" fillId="3" borderId="18" xfId="3" applyNumberFormat="1" applyFont="1" applyFill="1" applyBorder="1" applyAlignment="1">
      <alignment horizontal="center" vertical="center"/>
    </xf>
    <xf numFmtId="0" fontId="11" fillId="3" borderId="0" xfId="3" applyFont="1" applyFill="1" applyAlignment="1">
      <alignment horizontal="center" vertical="center"/>
    </xf>
    <xf numFmtId="166" fontId="11" fillId="3" borderId="0" xfId="0" applyNumberFormat="1" applyFont="1" applyFill="1"/>
    <xf numFmtId="0" fontId="19" fillId="0" borderId="0" xfId="0" applyFont="1" applyAlignment="1">
      <alignment vertical="center" wrapText="1"/>
    </xf>
    <xf numFmtId="0" fontId="35" fillId="0" borderId="0" xfId="0" applyFont="1" applyAlignment="1">
      <alignment vertical="center"/>
    </xf>
    <xf numFmtId="0" fontId="36" fillId="0" borderId="0" xfId="0" applyFont="1" applyAlignment="1">
      <alignment vertical="center"/>
    </xf>
    <xf numFmtId="0" fontId="37" fillId="0" borderId="0" xfId="0" applyFont="1" applyAlignment="1">
      <alignment vertical="center"/>
    </xf>
    <xf numFmtId="0" fontId="38" fillId="0" borderId="0" xfId="0" applyFont="1" applyAlignment="1">
      <alignment vertical="center"/>
    </xf>
    <xf numFmtId="0" fontId="38" fillId="0" borderId="0" xfId="0" applyFont="1" applyAlignment="1">
      <alignment horizontal="center" vertical="center"/>
    </xf>
    <xf numFmtId="9" fontId="39" fillId="0" borderId="0" xfId="9" applyFont="1" applyAlignment="1">
      <alignment horizontal="center" vertical="center"/>
    </xf>
    <xf numFmtId="44" fontId="39" fillId="0" borderId="0" xfId="2" applyFont="1" applyAlignment="1">
      <alignment vertical="center"/>
    </xf>
    <xf numFmtId="0" fontId="13" fillId="5" borderId="13" xfId="3" quotePrefix="1" applyFont="1" applyFill="1" applyBorder="1" applyAlignment="1">
      <alignment horizontal="center" vertical="center" wrapText="1"/>
    </xf>
    <xf numFmtId="0" fontId="31" fillId="0" borderId="0" xfId="3" applyFont="1" applyAlignment="1">
      <alignment horizontal="left" vertical="center" wrapText="1"/>
    </xf>
    <xf numFmtId="0" fontId="27" fillId="8" borderId="0" xfId="3" applyFont="1" applyFill="1" applyAlignment="1">
      <alignment horizontal="left" vertical="center"/>
    </xf>
    <xf numFmtId="0" fontId="28" fillId="9" borderId="0" xfId="3" applyFont="1" applyFill="1" applyAlignment="1">
      <alignment horizontal="center" vertical="center"/>
    </xf>
    <xf numFmtId="0" fontId="29" fillId="8" borderId="0" xfId="3" applyFont="1" applyFill="1" applyAlignment="1">
      <alignment horizontal="left" vertical="center" wrapText="1"/>
    </xf>
    <xf numFmtId="0" fontId="31" fillId="8" borderId="0" xfId="3" applyFont="1" applyFill="1" applyAlignment="1">
      <alignment horizontal="center" vertical="center"/>
    </xf>
    <xf numFmtId="0" fontId="26" fillId="9" borderId="0" xfId="3" applyFont="1" applyFill="1" applyAlignment="1">
      <alignment horizontal="center" vertical="center"/>
    </xf>
    <xf numFmtId="0" fontId="32" fillId="0" borderId="0" xfId="0" applyFont="1" applyAlignment="1">
      <alignment horizontal="left" vertical="center" wrapText="1"/>
    </xf>
    <xf numFmtId="0" fontId="26" fillId="8" borderId="0" xfId="3" applyFont="1" applyFill="1" applyAlignment="1">
      <alignment horizontal="left" vertical="center"/>
    </xf>
    <xf numFmtId="0" fontId="26" fillId="8" borderId="0" xfId="3" applyFont="1" applyFill="1" applyAlignment="1">
      <alignment horizontal="left" vertical="center" wrapText="1"/>
    </xf>
    <xf numFmtId="0" fontId="11" fillId="3" borderId="0" xfId="0" applyFont="1" applyFill="1" applyAlignment="1">
      <alignment horizontal="center" vertical="center"/>
    </xf>
    <xf numFmtId="17" fontId="11" fillId="3" borderId="0" xfId="0" applyNumberFormat="1" applyFont="1" applyFill="1" applyAlignment="1">
      <alignment horizontal="center" vertical="center"/>
    </xf>
    <xf numFmtId="3" fontId="13" fillId="6" borderId="17" xfId="3" applyNumberFormat="1" applyFont="1" applyFill="1" applyBorder="1" applyAlignment="1">
      <alignment horizontal="center" vertical="center" wrapText="1"/>
    </xf>
    <xf numFmtId="3" fontId="13" fillId="6" borderId="18" xfId="3" applyNumberFormat="1" applyFont="1" applyFill="1" applyBorder="1" applyAlignment="1">
      <alignment horizontal="center" vertical="center" wrapText="1"/>
    </xf>
    <xf numFmtId="3" fontId="13" fillId="6" borderId="19" xfId="3" applyNumberFormat="1" applyFont="1" applyFill="1" applyBorder="1" applyAlignment="1">
      <alignment horizontal="center" vertical="center" wrapText="1"/>
    </xf>
    <xf numFmtId="0" fontId="11" fillId="3" borderId="2" xfId="3" applyFont="1" applyFill="1" applyBorder="1" applyAlignment="1">
      <alignment horizontal="center" vertical="center" wrapText="1"/>
    </xf>
    <xf numFmtId="0" fontId="11" fillId="3" borderId="2" xfId="3" applyFont="1" applyFill="1" applyBorder="1" applyAlignment="1">
      <alignment horizontal="center" vertical="center"/>
    </xf>
    <xf numFmtId="0" fontId="11" fillId="3" borderId="4" xfId="3" applyFont="1" applyFill="1" applyBorder="1" applyAlignment="1">
      <alignment horizontal="center" vertical="center"/>
    </xf>
    <xf numFmtId="0" fontId="11" fillId="3" borderId="5" xfId="3" applyFont="1" applyFill="1" applyBorder="1" applyAlignment="1">
      <alignment horizontal="center" vertical="center"/>
    </xf>
    <xf numFmtId="164" fontId="2" fillId="0" borderId="14" xfId="7" applyFont="1" applyFill="1" applyBorder="1" applyAlignment="1">
      <alignment horizontal="center" vertical="center" wrapText="1"/>
    </xf>
    <xf numFmtId="3" fontId="2" fillId="0" borderId="14" xfId="8" applyNumberFormat="1" applyFont="1" applyFill="1" applyBorder="1" applyAlignment="1">
      <alignment horizontal="center" vertical="center" wrapText="1"/>
    </xf>
    <xf numFmtId="0" fontId="13" fillId="7" borderId="17" xfId="3" applyFont="1" applyFill="1" applyBorder="1" applyAlignment="1">
      <alignment horizontal="center" vertical="center" wrapText="1"/>
    </xf>
    <xf numFmtId="0" fontId="13" fillId="7" borderId="18" xfId="3" applyFont="1" applyFill="1" applyBorder="1" applyAlignment="1">
      <alignment horizontal="center" vertical="center" wrapText="1"/>
    </xf>
    <xf numFmtId="0" fontId="13" fillId="7" borderId="19" xfId="3" applyFont="1" applyFill="1" applyBorder="1" applyAlignment="1">
      <alignment horizontal="center" vertical="center" wrapText="1"/>
    </xf>
    <xf numFmtId="3" fontId="13" fillId="7" borderId="17" xfId="3" applyNumberFormat="1" applyFont="1" applyFill="1" applyBorder="1" applyAlignment="1">
      <alignment horizontal="center" vertical="center" wrapText="1"/>
    </xf>
    <xf numFmtId="43" fontId="11" fillId="3" borderId="6" xfId="6" applyFont="1" applyFill="1" applyBorder="1" applyAlignment="1">
      <alignment horizontal="center" vertical="center" wrapText="1"/>
    </xf>
    <xf numFmtId="43" fontId="11" fillId="3" borderId="7" xfId="6" applyFont="1" applyFill="1" applyBorder="1" applyAlignment="1">
      <alignment horizontal="center" vertical="center" wrapText="1"/>
    </xf>
    <xf numFmtId="43" fontId="11" fillId="3" borderId="8" xfId="6" applyFont="1" applyFill="1" applyBorder="1" applyAlignment="1">
      <alignment horizontal="center" vertical="center" wrapText="1"/>
    </xf>
    <xf numFmtId="0" fontId="11" fillId="3" borderId="6" xfId="3" applyFont="1" applyFill="1" applyBorder="1" applyAlignment="1">
      <alignment horizontal="center" vertical="center" wrapText="1"/>
    </xf>
    <xf numFmtId="0" fontId="11" fillId="3" borderId="7" xfId="3" applyFont="1" applyFill="1" applyBorder="1" applyAlignment="1">
      <alignment horizontal="center" vertical="center" wrapText="1"/>
    </xf>
    <xf numFmtId="0" fontId="11" fillId="3" borderId="8" xfId="3" applyFont="1" applyFill="1" applyBorder="1" applyAlignment="1">
      <alignment horizontal="center" vertical="center" wrapText="1"/>
    </xf>
    <xf numFmtId="0" fontId="24" fillId="7" borderId="17" xfId="3" applyFont="1" applyFill="1" applyBorder="1" applyAlignment="1">
      <alignment horizontal="center" vertical="center" wrapText="1"/>
    </xf>
    <xf numFmtId="0" fontId="24" fillId="7" borderId="18" xfId="3" applyFont="1" applyFill="1" applyBorder="1" applyAlignment="1">
      <alignment horizontal="center" vertical="center" wrapText="1"/>
    </xf>
    <xf numFmtId="0" fontId="24" fillId="7" borderId="19" xfId="3" applyFont="1" applyFill="1" applyBorder="1" applyAlignment="1">
      <alignment horizontal="center" vertical="center" wrapText="1"/>
    </xf>
    <xf numFmtId="164" fontId="2" fillId="5" borderId="14" xfId="7" quotePrefix="1" applyFont="1" applyFill="1" applyBorder="1" applyAlignment="1">
      <alignment horizontal="center" vertical="center" wrapText="1"/>
    </xf>
    <xf numFmtId="9" fontId="2" fillId="5" borderId="14" xfId="9" quotePrefix="1" applyFont="1" applyFill="1" applyBorder="1" applyAlignment="1">
      <alignment horizontal="center" vertical="center" wrapText="1"/>
    </xf>
    <xf numFmtId="166" fontId="2" fillId="5" borderId="14" xfId="7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/>
    </xf>
    <xf numFmtId="0" fontId="11" fillId="3" borderId="2" xfId="4" applyFont="1" applyFill="1" applyBorder="1" applyAlignment="1">
      <alignment horizontal="center" vertical="center" wrapText="1"/>
    </xf>
    <xf numFmtId="0" fontId="11" fillId="3" borderId="2" xfId="4" applyFont="1" applyFill="1" applyBorder="1" applyAlignment="1">
      <alignment horizontal="center" vertical="center"/>
    </xf>
    <xf numFmtId="0" fontId="11" fillId="3" borderId="6" xfId="4" applyFont="1" applyFill="1" applyBorder="1" applyAlignment="1">
      <alignment horizontal="center" vertical="center"/>
    </xf>
    <xf numFmtId="0" fontId="11" fillId="3" borderId="7" xfId="4" applyFont="1" applyFill="1" applyBorder="1" applyAlignment="1">
      <alignment horizontal="center" vertical="center"/>
    </xf>
    <xf numFmtId="0" fontId="11" fillId="3" borderId="8" xfId="4" applyFont="1" applyFill="1" applyBorder="1" applyAlignment="1">
      <alignment horizontal="center" vertical="center"/>
    </xf>
    <xf numFmtId="0" fontId="11" fillId="3" borderId="6" xfId="4" applyFont="1" applyFill="1" applyBorder="1" applyAlignment="1">
      <alignment horizontal="center" vertical="center" wrapText="1"/>
    </xf>
    <xf numFmtId="0" fontId="11" fillId="3" borderId="7" xfId="4" applyFont="1" applyFill="1" applyBorder="1" applyAlignment="1">
      <alignment horizontal="center" vertical="center" wrapText="1"/>
    </xf>
    <xf numFmtId="0" fontId="11" fillId="3" borderId="8" xfId="4" applyFont="1" applyFill="1" applyBorder="1" applyAlignment="1">
      <alignment horizontal="center" vertical="center" wrapText="1"/>
    </xf>
    <xf numFmtId="0" fontId="11" fillId="3" borderId="3" xfId="3" applyFont="1" applyFill="1" applyBorder="1" applyAlignment="1">
      <alignment horizontal="center" vertical="center"/>
    </xf>
    <xf numFmtId="43" fontId="11" fillId="3" borderId="2" xfId="6" applyFont="1" applyFill="1" applyBorder="1" applyAlignment="1">
      <alignment horizontal="center" vertical="center" wrapText="1"/>
    </xf>
    <xf numFmtId="0" fontId="11" fillId="3" borderId="22" xfId="4" applyFont="1" applyFill="1" applyBorder="1" applyAlignment="1">
      <alignment horizontal="center" vertical="center"/>
    </xf>
    <xf numFmtId="0" fontId="11" fillId="3" borderId="0" xfId="4" applyFont="1" applyFill="1" applyAlignment="1">
      <alignment horizontal="center" vertical="center"/>
    </xf>
    <xf numFmtId="0" fontId="11" fillId="3" borderId="23" xfId="4" applyFont="1" applyFill="1" applyBorder="1" applyAlignment="1">
      <alignment horizontal="center" vertical="center"/>
    </xf>
    <xf numFmtId="0" fontId="11" fillId="3" borderId="25" xfId="4" applyFont="1" applyFill="1" applyBorder="1" applyAlignment="1">
      <alignment horizontal="center" vertical="center"/>
    </xf>
  </cellXfs>
  <cellStyles count="11">
    <cellStyle name="Moeda" xfId="2" builtinId="4"/>
    <cellStyle name="Moeda 3" xfId="7" xr:uid="{F12C9DC9-E761-4DE5-83EF-FE4718568F16}"/>
    <cellStyle name="Normal" xfId="0" builtinId="0"/>
    <cellStyle name="Normal 10 2 2 2" xfId="3" xr:uid="{8668ED2B-D87E-4875-B93B-C10C6B141D5B}"/>
    <cellStyle name="Normal 2" xfId="4" xr:uid="{A5AF1616-F5D0-425A-8C6B-4D58598EF379}"/>
    <cellStyle name="Porcentagem" xfId="9" builtinId="5"/>
    <cellStyle name="Porcentagem 2 2 4" xfId="5" xr:uid="{3BFA3623-58BC-4001-BBE2-EB18BFE3E271}"/>
    <cellStyle name="Porcentagem 3 2" xfId="8" xr:uid="{C558F8EB-E46D-4261-853C-FC6F4F03B395}"/>
    <cellStyle name="Vírgula" xfId="1" builtinId="3"/>
    <cellStyle name="Vírgula 2" xfId="10" xr:uid="{BF9ECF5A-B20A-437C-9ED8-F87064AFCB8C}"/>
    <cellStyle name="Vírgula 3" xfId="6" xr:uid="{F1CCF816-AF8A-490D-ADA5-5D9A535C6275}"/>
  </cellStyles>
  <dxfs count="16">
    <dxf>
      <font>
        <color theme="0"/>
      </font>
      <fill>
        <patternFill>
          <bgColor theme="3" tint="9.9948118533890809E-2"/>
        </patternFill>
      </fill>
    </dxf>
    <dxf>
      <font>
        <color theme="0"/>
      </font>
      <fill>
        <patternFill>
          <bgColor theme="3" tint="9.9948118533890809E-2"/>
        </patternFill>
      </fill>
    </dxf>
    <dxf>
      <font>
        <color theme="0"/>
      </font>
      <fill>
        <patternFill>
          <bgColor theme="3" tint="9.9948118533890809E-2"/>
        </patternFill>
      </fill>
    </dxf>
    <dxf>
      <font>
        <color theme="0"/>
      </font>
      <fill>
        <patternFill>
          <bgColor theme="3" tint="9.9948118533890809E-2"/>
        </patternFill>
      </fill>
    </dxf>
    <dxf>
      <font>
        <color theme="0"/>
      </font>
      <fill>
        <patternFill>
          <bgColor theme="3" tint="9.9948118533890809E-2"/>
        </patternFill>
      </fill>
    </dxf>
    <dxf>
      <font>
        <color theme="0"/>
      </font>
      <fill>
        <patternFill>
          <bgColor theme="3" tint="9.9948118533890809E-2"/>
        </patternFill>
      </fill>
    </dxf>
    <dxf>
      <font>
        <color theme="0"/>
      </font>
      <fill>
        <patternFill>
          <bgColor theme="3" tint="9.9948118533890809E-2"/>
        </patternFill>
      </fill>
    </dxf>
    <dxf>
      <font>
        <color theme="0"/>
      </font>
      <fill>
        <patternFill>
          <bgColor theme="3" tint="9.9948118533890809E-2"/>
        </patternFill>
      </fill>
    </dxf>
    <dxf>
      <font>
        <color theme="0"/>
      </font>
      <fill>
        <patternFill>
          <bgColor theme="3" tint="9.9948118533890809E-2"/>
        </patternFill>
      </fill>
    </dxf>
    <dxf>
      <font>
        <color theme="0"/>
      </font>
      <fill>
        <patternFill>
          <bgColor theme="3" tint="9.9948118533890809E-2"/>
        </patternFill>
      </fill>
    </dxf>
    <dxf>
      <font>
        <color theme="0"/>
      </font>
      <fill>
        <patternFill>
          <bgColor theme="3" tint="9.9948118533890809E-2"/>
        </patternFill>
      </fill>
    </dxf>
    <dxf>
      <font>
        <color theme="0"/>
      </font>
      <fill>
        <patternFill>
          <bgColor theme="3" tint="9.9948118533890809E-2"/>
        </patternFill>
      </fill>
    </dxf>
    <dxf>
      <font>
        <color theme="0"/>
      </font>
      <fill>
        <patternFill>
          <bgColor theme="3" tint="9.9948118533890809E-2"/>
        </patternFill>
      </fill>
    </dxf>
    <dxf>
      <font>
        <color theme="0"/>
      </font>
      <fill>
        <patternFill>
          <bgColor theme="3" tint="9.9948118533890809E-2"/>
        </patternFill>
      </fill>
    </dxf>
    <dxf>
      <font>
        <color theme="0"/>
      </font>
      <fill>
        <patternFill>
          <bgColor theme="3" tint="9.9948118533890809E-2"/>
        </patternFill>
      </fill>
    </dxf>
    <dxf>
      <font>
        <color theme="0"/>
      </font>
      <fill>
        <patternFill>
          <bgColor theme="3" tint="9.9948118533890809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sheetMetadata" Target="metadata.xml"/><Relationship Id="rId10" Type="http://schemas.openxmlformats.org/officeDocument/2006/relationships/externalLink" Target="externalLinks/externalLink6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142875</xdr:rowOff>
    </xdr:from>
    <xdr:ext cx="3047546" cy="1103539"/>
    <xdr:pic>
      <xdr:nvPicPr>
        <xdr:cNvPr id="2" name="Imagem 2">
          <a:extLst>
            <a:ext uri="{FF2B5EF4-FFF2-40B4-BE49-F238E27FC236}">
              <a16:creationId xmlns:a16="http://schemas.microsoft.com/office/drawing/2014/main" id="{4065ACB8-BAA2-4D74-BD15-13891F8BCE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99" t="37375" r="42307" b="40097"/>
        <a:stretch>
          <a:fillRect/>
        </a:stretch>
      </xdr:blipFill>
      <xdr:spPr bwMode="auto">
        <a:xfrm>
          <a:off x="38100" y="142875"/>
          <a:ext cx="3047546" cy="11035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158749</xdr:colOff>
      <xdr:row>1</xdr:row>
      <xdr:rowOff>6350</xdr:rowOff>
    </xdr:from>
    <xdr:to>
      <xdr:col>2</xdr:col>
      <xdr:colOff>364218</xdr:colOff>
      <xdr:row>4</xdr:row>
      <xdr:rowOff>129540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6059AAA-BB13-4CCC-9D58-0D407322C1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99" t="37375" r="42307" b="40097"/>
        <a:stretch>
          <a:fillRect/>
        </a:stretch>
      </xdr:blipFill>
      <xdr:spPr bwMode="auto">
        <a:xfrm>
          <a:off x="160654" y="170180"/>
          <a:ext cx="1538334" cy="6108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15330</xdr:colOff>
      <xdr:row>0</xdr:row>
      <xdr:rowOff>0</xdr:rowOff>
    </xdr:from>
    <xdr:ext cx="1435302" cy="533853"/>
    <xdr:pic>
      <xdr:nvPicPr>
        <xdr:cNvPr id="2" name="Imagem 1">
          <a:extLst>
            <a:ext uri="{FF2B5EF4-FFF2-40B4-BE49-F238E27FC236}">
              <a16:creationId xmlns:a16="http://schemas.microsoft.com/office/drawing/2014/main" id="{1D562705-7EC9-4128-B905-0A3D53F6B9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99" t="37375" r="42307" b="40097"/>
        <a:stretch>
          <a:fillRect/>
        </a:stretch>
      </xdr:blipFill>
      <xdr:spPr bwMode="auto">
        <a:xfrm>
          <a:off x="306372" y="0"/>
          <a:ext cx="1435302" cy="5338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238125</xdr:colOff>
      <xdr:row>0</xdr:row>
      <xdr:rowOff>152400</xdr:rowOff>
    </xdr:from>
    <xdr:to>
      <xdr:col>1</xdr:col>
      <xdr:colOff>1075878</xdr:colOff>
      <xdr:row>3</xdr:row>
      <xdr:rowOff>133350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BF4ECEC-A2D6-40B4-B2CA-16141A5652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99" t="37375" r="42307" b="40097"/>
        <a:stretch>
          <a:fillRect/>
        </a:stretch>
      </xdr:blipFill>
      <xdr:spPr bwMode="auto">
        <a:xfrm>
          <a:off x="238125" y="152400"/>
          <a:ext cx="1142553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238125</xdr:colOff>
      <xdr:row>0</xdr:row>
      <xdr:rowOff>152400</xdr:rowOff>
    </xdr:from>
    <xdr:to>
      <xdr:col>1</xdr:col>
      <xdr:colOff>1075878</xdr:colOff>
      <xdr:row>3</xdr:row>
      <xdr:rowOff>133350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5B714B3-385B-4282-A23E-C405A4D299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99" t="37375" r="42307" b="40097"/>
        <a:stretch>
          <a:fillRect/>
        </a:stretch>
      </xdr:blipFill>
      <xdr:spPr bwMode="auto">
        <a:xfrm>
          <a:off x="238125" y="152400"/>
          <a:ext cx="1142553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238125</xdr:colOff>
      <xdr:row>0</xdr:row>
      <xdr:rowOff>152400</xdr:rowOff>
    </xdr:from>
    <xdr:to>
      <xdr:col>1</xdr:col>
      <xdr:colOff>1075878</xdr:colOff>
      <xdr:row>3</xdr:row>
      <xdr:rowOff>133350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DEE5EC36-E713-4468-99C7-AE41BA37B3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99" t="37375" r="42307" b="40097"/>
        <a:stretch>
          <a:fillRect/>
        </a:stretch>
      </xdr:blipFill>
      <xdr:spPr bwMode="auto">
        <a:xfrm>
          <a:off x="238125" y="152400"/>
          <a:ext cx="1142553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238125</xdr:colOff>
      <xdr:row>0</xdr:row>
      <xdr:rowOff>152400</xdr:rowOff>
    </xdr:from>
    <xdr:to>
      <xdr:col>1</xdr:col>
      <xdr:colOff>1075878</xdr:colOff>
      <xdr:row>3</xdr:row>
      <xdr:rowOff>133350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FF0F87A6-F2AF-46B3-AFD5-652AAFCDB1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99" t="37375" r="42307" b="40097"/>
        <a:stretch>
          <a:fillRect/>
        </a:stretch>
      </xdr:blipFill>
      <xdr:spPr bwMode="auto">
        <a:xfrm>
          <a:off x="238125" y="152400"/>
          <a:ext cx="1142553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238125</xdr:colOff>
      <xdr:row>0</xdr:row>
      <xdr:rowOff>152400</xdr:rowOff>
    </xdr:from>
    <xdr:to>
      <xdr:col>1</xdr:col>
      <xdr:colOff>1075878</xdr:colOff>
      <xdr:row>3</xdr:row>
      <xdr:rowOff>133350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FA6073B1-F6F4-4331-BD2C-155B4899DD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99" t="37375" r="42307" b="40097"/>
        <a:stretch>
          <a:fillRect/>
        </a:stretch>
      </xdr:blipFill>
      <xdr:spPr bwMode="auto">
        <a:xfrm>
          <a:off x="238125" y="152400"/>
          <a:ext cx="1142553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238125</xdr:colOff>
      <xdr:row>0</xdr:row>
      <xdr:rowOff>152400</xdr:rowOff>
    </xdr:from>
    <xdr:to>
      <xdr:col>1</xdr:col>
      <xdr:colOff>1075878</xdr:colOff>
      <xdr:row>3</xdr:row>
      <xdr:rowOff>133350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69115429-D4D1-4EA0-B8D5-B397A248EA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99" t="37375" r="42307" b="40097"/>
        <a:stretch>
          <a:fillRect/>
        </a:stretch>
      </xdr:blipFill>
      <xdr:spPr bwMode="auto">
        <a:xfrm>
          <a:off x="238125" y="152400"/>
          <a:ext cx="1142553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Documents%20and%20Settings\jank\My%20Documents\userdata\Legislation%20&amp;%20EHS\RG%20depots%20jaar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nnbrasil.sharepoint.com/ACSNA1/PROJETOS/MESA/Caixa/offshore/Curve%20Comparison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nnbrasil.sharepoint.com/Ntfmoh0/departments/IAS%20&amp;%20GAAP%20%20Reports/IAS%20&amp;%20GAAP%20YEAR%202002/2002%20Q3%20Consolidation%20Model/A%20Consolidation%20&amp;%20Reporting/GAAP%20&amp;%20IAS%20Group%20TB%20&amp;%20Reports%20Q3%20200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dcase1-nas01.omc.oneds.com\DDB-AFRICA\Users\User\Desktop\ELZA\BAND%20Projeto%20Especial%20Sabesp_22.08_vs%206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esktop\ELZA\BAND%20Projeto%20Especial%20Sabesp_22.08_vs%206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dcase1-nas01.omc.oneds.com\DDB-AFRICA\sbtfs\inte_mkt\Tabela%20de%20Pre&#231;os\03%20-%20TABELAS%20SBT%20POR%20ANO\2011\TABELAS_2011\TABELAS_NET\07%20-%20JULHO_2011\TABELA%20SBT_%20A%20PARTIR%20DE%2004_JULHO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btfs\inte_mkt\Tabela%20de%20Pre&#231;os\03%20-%20TABELAS%20SBT%20POR%20ANO\2011\TABELAS_2011\TABELAS_NET\07%20-%20JULHO_2011\TABELA%20SBT_%20A%20PARTIR%20DE%2004_JULH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G Depots"/>
      <sheetName val="Launch and Maintenance"/>
      <sheetName val="PE1"/>
      <sheetName val="RS1"/>
      <sheetName val="SC1"/>
      <sheetName val="SP1"/>
      <sheetName val="BAU"/>
      <sheetName val="BH"/>
      <sheetName val="CAM"/>
      <sheetName val="CEE"/>
      <sheetName val="CUR"/>
      <sheetName val="DF"/>
      <sheetName val="PRP"/>
      <sheetName val="RIB"/>
      <sheetName val="RJ"/>
      <sheetName val="SAL"/>
      <sheetName val="SAN"/>
      <sheetName val="SCA"/>
      <sheetName val="SJC"/>
      <sheetName val="SJR"/>
      <sheetName val="SOR"/>
      <sheetName val="Meses"/>
      <sheetName val="ARdistr (2)"/>
      <sheetName val="Assumptions"/>
      <sheetName val="Validate List"/>
      <sheetName val="Agrega Spend Taxonomy"/>
      <sheetName val="HUB Structure"/>
      <sheetName val="Titles"/>
      <sheetName val="Backbone"/>
      <sheetName val="Validation"/>
      <sheetName val="lists"/>
      <sheetName val="Sheet3"/>
      <sheetName val="Hoja1"/>
      <sheetName val="Distribución D"/>
      <sheetName val="BASE"/>
      <sheetName val="source"/>
      <sheetName val="Status"/>
      <sheetName val="RG depots jaar"/>
      <sheetName val="Файл_список_ТМ_программ_сроков"/>
      <sheetName val="Back-up"/>
      <sheetName val="Tabelle1"/>
      <sheetName val="Datos por SKU-categoria 2011 Ac"/>
      <sheetName val="Datos"/>
      <sheetName val="Lista total"/>
      <sheetName val="Tablas"/>
      <sheetName val="Legend"/>
      <sheetName val="List"/>
      <sheetName val="Controls data"/>
      <sheetName val="Лист2"/>
      <sheetName val="МВЗ"/>
      <sheetName val="Лист5"/>
      <sheetName val="RG_Depots"/>
      <sheetName val="sourсe"/>
      <sheetName val="drop-downs"/>
      <sheetName val="Sheet2"/>
      <sheetName val="СКЮ"/>
      <sheetName val="ПОДСКАЗКА"/>
      <sheetName val="список SKU"/>
      <sheetName val="СЗ"/>
      <sheetName val="RG_Depots1"/>
      <sheetName val="Справочник"/>
      <sheetName val="ARdistr_(2)"/>
      <sheetName val="Launch_and_Maintenance"/>
      <sheetName val="Validate_List"/>
      <sheetName val="Agrega_Spend_Taxonomy"/>
      <sheetName val="HUB_Structure"/>
      <sheetName val="filt"/>
      <sheetName val="Price list"/>
      <sheetName val="Budget Summary"/>
      <sheetName val="Contract"/>
      <sheetName val="support"/>
      <sheetName val="BD"/>
      <sheetName val="Parametros"/>
      <sheetName val="RG_Depots2"/>
      <sheetName val="Distribución_D"/>
      <sheetName val="RG_depots_jaar"/>
      <sheetName val="Hoja2"/>
      <sheetName val="Monthly Updating&gt;&gt;&gt;"/>
      <sheetName val="Map"/>
      <sheetName val="DePara"/>
      <sheetName val="capex"/>
      <sheetName val="RG_Depots3"/>
      <sheetName val="ARdistr_(2)1"/>
      <sheetName val="Launch_and_Maintenance1"/>
      <sheetName val="Distribución_D1"/>
      <sheetName val="Validate_List1"/>
      <sheetName val="Agrega_Spend_Taxonomy1"/>
      <sheetName val="HUB_Structure1"/>
      <sheetName val="RG_depots_jaar1"/>
      <sheetName val="Datos_por_SKU-categoria_2011_Ac"/>
      <sheetName val="Lista_total"/>
      <sheetName val="Controls_data"/>
      <sheetName val="список_SKU"/>
      <sheetName val="Price_list"/>
      <sheetName val="Budget_Summary"/>
      <sheetName val="Monthly_Updating&gt;&gt;&gt;"/>
      <sheetName val="PLMM-R$"/>
      <sheetName val="Tables"/>
      <sheetName val="LE - Input"/>
      <sheetName val="Списки"/>
      <sheetName val="Лист1"/>
      <sheetName val="Drop down list"/>
      <sheetName val="Data"/>
      <sheetName val="NNS_BGT_ACT"/>
      <sheetName val="drop downs"/>
      <sheetName val="BASE LISTAS"/>
      <sheetName val="Misc"/>
      <sheetName val="Sheet1"/>
      <sheetName val="drop-down"/>
      <sheetName val="menu"/>
      <sheetName val="LookUp"/>
      <sheetName val="2 - KPIs Impacted "/>
      <sheetName val="Basetables"/>
      <sheetName val="FX lookup"/>
      <sheetName val="Drop Down Menus"/>
      <sheetName val="FX - Assumptions"/>
      <sheetName val="은행"/>
      <sheetName val="BU17 Summary"/>
      <sheetName val="LookUps"/>
      <sheetName val="COMPS"/>
      <sheetName val="Descriptions"/>
      <sheetName val="Financial info"/>
      <sheetName val="Completion Instructions"/>
      <sheetName val="CostModel"/>
      <sheetName val="Help"/>
      <sheetName val="Reference"/>
      <sheetName val="MappingBrands"/>
      <sheetName val="Tipos de iniciativas"/>
      <sheetName val="Supply Cost Centers"/>
      <sheetName val="RG_Depots4"/>
      <sheetName val="Launch_and_Maintenance2"/>
      <sheetName val="ARdistr_(2)2"/>
      <sheetName val="Distribución_D2"/>
      <sheetName val="Validate_List2"/>
      <sheetName val="Agrega_Spend_Taxonomy2"/>
      <sheetName val="HUB_Structure2"/>
      <sheetName val="RG_depots_jaar2"/>
      <sheetName val="Datos_por_SKU-categoria_2011_A1"/>
      <sheetName val="Lista_total1"/>
      <sheetName val="Controls_data1"/>
      <sheetName val="список_SKU1"/>
      <sheetName val="Budget_Summary1"/>
      <sheetName val="Price_list1"/>
      <sheetName val="Monthly_Updating&gt;&gt;&gt;1"/>
      <sheetName val="LE_-_Input"/>
      <sheetName val="Drop_down_list"/>
      <sheetName val="drop_downs"/>
      <sheetName val="2_-_KPIs_Impacted_"/>
      <sheetName val="FX_lookup"/>
      <sheetName val="Drop_Down_Menus"/>
      <sheetName val="VIC R&amp;O List"/>
      <sheetName val="Instruction"/>
      <sheetName val="Hide"/>
      <sheetName val="Sheet4"/>
      <sheetName val="Selection Lists"/>
      <sheetName val="LD"/>
      <sheetName val="DROP"/>
      <sheetName val="Referencia"/>
      <sheetName val="Master"/>
      <sheetName val="Sales Package Input"/>
      <sheetName val="GCOA_SUBP"/>
      <sheetName val="Overview"/>
      <sheetName val="RG%20depots%20jaar.XLS"/>
      <sheetName val="est.rev."/>
      <sheetName val="RG_Depots5"/>
      <sheetName val="Launch_and_Maintenance3"/>
      <sheetName val="ARdistr_(2)3"/>
      <sheetName val="Validate_List3"/>
      <sheetName val="Agrega_Spend_Taxonomy3"/>
      <sheetName val="HUB_Structure3"/>
      <sheetName val="Distribución_D3"/>
      <sheetName val="RG_depots_jaar3"/>
      <sheetName val="Datos_por_SKU-categoria_2011_A2"/>
      <sheetName val="Lista_total2"/>
      <sheetName val="Controls_data2"/>
      <sheetName val="список_SKU2"/>
      <sheetName val="Price_list2"/>
      <sheetName val="Budget_Summary2"/>
      <sheetName val="Monthly_Updating&gt;&gt;&gt;2"/>
      <sheetName val="BASE_LISTAS"/>
      <sheetName val="LE_-_Input1"/>
      <sheetName val="Drop_down_list1"/>
      <sheetName val="drop_downs1"/>
      <sheetName val="2_-_KPIs_Impacted_1"/>
      <sheetName val="FX_lookup1"/>
      <sheetName val="Drop_Down_Menus1"/>
      <sheetName val="FX_-_Assumptions"/>
      <sheetName val="BU17_Summary"/>
      <sheetName val="Financial_info"/>
      <sheetName val="Completion_Instructions"/>
      <sheetName val="Tipos_de_iniciativas"/>
      <sheetName val="Supply_Cost_Centers"/>
      <sheetName val="VIC_R&amp;O_List"/>
      <sheetName val="Selection_Lists"/>
      <sheetName val="LookUp2"/>
      <sheetName val="Info"/>
      <sheetName val="Assumption"/>
      <sheetName val="Key"/>
      <sheetName val="7월_공유용"/>
      <sheetName val="Other Listings"/>
      <sheetName val="Cuentas y CeCos"/>
      <sheetName val=""/>
      <sheetName val="Помощник"/>
      <sheetName val="Validacion #1"/>
      <sheetName val="1.2.1 OM"/>
      <sheetName val="Efeitos vs. ppto10"/>
      <sheetName val="Sales_Package_Input"/>
      <sheetName val="Basis"/>
      <sheetName val="Resumo"/>
      <sheetName val="P&amp;L_Operação"/>
      <sheetName val="DE PARA (N EXCLUIR)"/>
      <sheetName val="P&amp;L_Incentivo"/>
      <sheetName val="Premissas"/>
      <sheetName val="Base Canibalizacao Vol"/>
      <sheetName val="Isla"/>
      <sheetName val="R&amp;O List"/>
      <sheetName val="Apoio"/>
      <sheetName val="MasterData"/>
      <sheetName val="요일 테이블"/>
      <sheetName val="구분"/>
      <sheetName val="MD"/>
      <sheetName val="RG_Depots6"/>
      <sheetName val="Launch_and_Maintenance4"/>
      <sheetName val="ARdistr_(2)4"/>
      <sheetName val="Validate_List4"/>
      <sheetName val="Agrega_Spend_Taxonomy4"/>
      <sheetName val="HUB_Structure4"/>
      <sheetName val="Distribución_D4"/>
      <sheetName val="RG_depots_jaar4"/>
      <sheetName val="Datos_por_SKU-categoria_2011_A3"/>
      <sheetName val="Controls_data3"/>
      <sheetName val="Lista_total3"/>
      <sheetName val="список_SKU3"/>
      <sheetName val="Budget_Summary3"/>
      <sheetName val="Price_list3"/>
      <sheetName val="Monthly_Updating&gt;&gt;&gt;3"/>
      <sheetName val="LE_-_Input2"/>
      <sheetName val="drop_downs2"/>
      <sheetName val="Drop_down_list2"/>
      <sheetName val="2_-_KPIs_Impacted_2"/>
      <sheetName val="FX_lookup2"/>
      <sheetName val="Drop_Down_Menus2"/>
      <sheetName val="FX_-_Assumptions1"/>
      <sheetName val="BU17_Summary1"/>
      <sheetName val="Financial_info1"/>
      <sheetName val="Completion_Instructions1"/>
      <sheetName val="Tipos_de_iniciativas1"/>
      <sheetName val="Supply_Cost_Centers1"/>
      <sheetName val="VIC_R&amp;O_List1"/>
      <sheetName val="Selection_Lists1"/>
      <sheetName val="Sales_Package_Input1"/>
      <sheetName val="Other_Listings"/>
      <sheetName val="Cuentas_y_CeCos"/>
      <sheetName val="요일_테이블"/>
      <sheetName val="Validacion_#1"/>
      <sheetName val="Sheet1 (2)"/>
      <sheetName val="FAROL"/>
      <sheetName val="Dropdown list LATAM"/>
      <sheetName val="dep pre"/>
      <sheetName val="RG%20depots%20jaar_XLS"/>
      <sheetName val="Mapping"/>
      <sheetName val="Master_Data&amp;Mapping"/>
      <sheetName val="Munka1"/>
      <sheetName val="Department"/>
      <sheetName val="dados blp"/>
      <sheetName val="Settings"/>
      <sheetName val="Moedas"/>
      <sheetName val="share price 2002"/>
      <sheetName val="Inf"/>
      <sheetName val="BASE_LISTAS1"/>
      <sheetName val="est_rev_"/>
      <sheetName val="Efeitos_vs__ppto10"/>
      <sheetName val="1_2_1_OM"/>
      <sheetName val="Other_Listings1"/>
      <sheetName val="RG_Depots7"/>
      <sheetName val="Launch_and_Maintenance5"/>
      <sheetName val="ARdistr_(2)5"/>
      <sheetName val="Validate_List5"/>
      <sheetName val="Agrega_Spend_Taxonomy5"/>
      <sheetName val="HUB_Structure5"/>
      <sheetName val="Distribución_D5"/>
      <sheetName val="RG_depots_jaar5"/>
      <sheetName val="Lista_total4"/>
      <sheetName val="Datos_por_SKU-categoria_2011_A4"/>
      <sheetName val="Controls_data4"/>
      <sheetName val="список_SKU4"/>
      <sheetName val="Price_list4"/>
      <sheetName val="Budget_Summary4"/>
      <sheetName val="Monthly_Updating&gt;&gt;&gt;4"/>
      <sheetName val="LE_-_Input3"/>
      <sheetName val="drop_downs3"/>
      <sheetName val="Drop_down_list3"/>
      <sheetName val="2_-_KPIs_Impacted_3"/>
      <sheetName val="FX_lookup3"/>
      <sheetName val="Drop_Down_Menus3"/>
      <sheetName val="FX_-_Assumptions2"/>
      <sheetName val="BU17_Summary2"/>
      <sheetName val="Financial_info2"/>
      <sheetName val="Completion_Instructions2"/>
      <sheetName val="Tipos_de_iniciativas2"/>
      <sheetName val="Supply_Cost_Centers2"/>
      <sheetName val="VIC_R&amp;O_List2"/>
      <sheetName val="Selection_Lists2"/>
      <sheetName val="Sales_Package_Input2"/>
      <sheetName val="Validacion_#11"/>
      <sheetName val="R&amp;O_List"/>
      <sheetName val="Cuentas_y_CeCos1"/>
      <sheetName val="요일_테이블1"/>
      <sheetName val="Sheet1_(2)"/>
      <sheetName val="Reference tab"/>
      <sheetName val="Figures Report"/>
      <sheetName val="POC 등급_2020"/>
      <sheetName val="NR 정리"/>
      <sheetName val="Price Off 기준"/>
      <sheetName val="HE_판매증대활동 가이드_20년"/>
      <sheetName val="요약"/>
      <sheetName val="20, 2월 POCs"/>
      <sheetName val="년간 POCs Price Off"/>
      <sheetName val="POC수"/>
      <sheetName val="중복확인"/>
      <sheetName val="목록"/>
      <sheetName val="WS 코드"/>
      <sheetName val="차량운행일지 요일테이블 업뎃 완료"/>
      <sheetName val="FY-nonDGO"/>
      <sheetName val="销量预估"/>
      <sheetName val="Category-2"/>
      <sheetName val="Cur.Ex Rate"/>
      <sheetName val="Data Lists"/>
      <sheetName val="Other Performance"/>
      <sheetName val="Reference_tab"/>
      <sheetName val="Reference_tab1"/>
      <sheetName val="Reference_tab2"/>
      <sheetName val="R&amp;O_List1"/>
      <sheetName val="RG%20depots%20jaar_XLS1"/>
      <sheetName val="RG_Depots8"/>
      <sheetName val="Launch_and_Maintenance6"/>
      <sheetName val="ARdistr_(2)6"/>
      <sheetName val="Distribución_D6"/>
      <sheetName val="Validate_List6"/>
      <sheetName val="Agrega_Spend_Taxonomy6"/>
      <sheetName val="HUB_Structure6"/>
      <sheetName val="RG_depots_jaar6"/>
      <sheetName val="Datos_por_SKU-categoria_2011_A5"/>
      <sheetName val="Lista_total5"/>
      <sheetName val="Controls_data5"/>
      <sheetName val="список_SKU5"/>
      <sheetName val="Price_list5"/>
      <sheetName val="Budget_Summary5"/>
      <sheetName val="Monthly_Updating&gt;&gt;&gt;5"/>
      <sheetName val="LE_-_Input4"/>
      <sheetName val="drop_downs4"/>
      <sheetName val="Drop_down_list4"/>
      <sheetName val="2_-_KPIs_Impacted_4"/>
      <sheetName val="FX_lookup4"/>
      <sheetName val="Drop_Down_Menus4"/>
      <sheetName val="FX_-_Assumptions3"/>
      <sheetName val="BU17_Summary3"/>
      <sheetName val="Financial_info3"/>
      <sheetName val="Completion_Instructions3"/>
      <sheetName val="Tipos_de_iniciativas3"/>
      <sheetName val="Supply_Cost_Centers3"/>
      <sheetName val="VIC_R&amp;O_List3"/>
      <sheetName val="Selection_Lists3"/>
      <sheetName val="Sales_Package_Input3"/>
      <sheetName val="Reference_tab3"/>
      <sheetName val="Other_Listings2"/>
      <sheetName val="Validacion_#12"/>
      <sheetName val="BASE_LISTAS2"/>
      <sheetName val="R&amp;O_List2"/>
      <sheetName val="Cuentas_y_CeCos2"/>
      <sheetName val="RG%20depots%20jaar_XLS2"/>
      <sheetName val="SNs Meta_Categorias"/>
      <sheetName val="BUD"/>
      <sheetName val="Listas"/>
      <sheetName val="요일_테이블2"/>
      <sheetName val="Sheet1_(2)1"/>
      <sheetName val="DE_PARA_(N_EXCLUIR)"/>
      <sheetName val="Base_Canibalizacao_Vol"/>
      <sheetName val="Dropdown_list_LATAM"/>
      <sheetName val="dep_pre"/>
      <sheetName val="Figures_Report"/>
      <sheetName val="POC_등급_2020"/>
      <sheetName val="NR_정리"/>
      <sheetName val="Price_Off_기준"/>
      <sheetName val="HE_판매증대활동_가이드_20년"/>
      <sheetName val="20,_2월_POCs"/>
      <sheetName val="년간_POCs_Price_Off"/>
      <sheetName val="WS_코드"/>
      <sheetName val="차량운행일지_요일테이블_업뎃_완료"/>
      <sheetName val="Data_Lists"/>
      <sheetName val="dados_blp"/>
      <sheetName val="share_price_2002"/>
      <sheetName val="Cur_Ex_Rate"/>
      <sheetName val="FX"/>
      <sheetName val="规则"/>
      <sheetName val="经销商"/>
      <sheetName val="有效性"/>
      <sheetName val="SAP品牌"/>
      <sheetName val="销售组织"/>
      <sheetName val="MMR12活动类型"/>
      <sheetName val="Territory"/>
      <sheetName val="TRCode"/>
      <sheetName val="Distribución C"/>
      <sheetName val="MMR12"/>
      <sheetName val="Extract Loss"/>
      <sheetName val="RG_Depots9"/>
      <sheetName val="ARdistr_(2)7"/>
      <sheetName val="Launch_and_Maintenance7"/>
      <sheetName val="Distribución_D7"/>
      <sheetName val="Validate_List7"/>
      <sheetName val="Agrega_Spend_Taxonomy7"/>
      <sheetName val="HUB_Structure7"/>
      <sheetName val="RG_depots_jaar7"/>
      <sheetName val="Datos_por_SKU-categoria_2011_A6"/>
      <sheetName val="Lista_total6"/>
      <sheetName val="Controls_data6"/>
      <sheetName val="список_SKU6"/>
      <sheetName val="Price_list6"/>
      <sheetName val="Budget_Summary6"/>
      <sheetName val="Monthly_Updating&gt;&gt;&gt;6"/>
      <sheetName val="LE_-_Input5"/>
      <sheetName val="Drop_down_list5"/>
      <sheetName val="drop_downs5"/>
      <sheetName val="2_-_KPIs_Impacted_5"/>
      <sheetName val="FX_lookup5"/>
      <sheetName val="Drop_Down_Menus5"/>
      <sheetName val="FX_-_Assumptions4"/>
      <sheetName val="BU17_Summary4"/>
      <sheetName val="Financial_info4"/>
      <sheetName val="Completion_Instructions4"/>
      <sheetName val="Tipos_de_iniciativas4"/>
      <sheetName val="Supply_Cost_Centers4"/>
      <sheetName val="VIC_R&amp;O_List4"/>
      <sheetName val="Selection_Lists4"/>
      <sheetName val="Sales_Package_Input4"/>
      <sheetName val="Other_Listings3"/>
      <sheetName val="Cuentas_y_CeCos3"/>
      <sheetName val="BASE_LISTAS3"/>
      <sheetName val="Validacion_#13"/>
      <sheetName val="RG%20depots%20jaar_XLS3"/>
      <sheetName val="R&amp;O_List3"/>
      <sheetName val="DE_PARA_(N_EXCLUIR)1"/>
      <sheetName val="Base_Canibalizacao_Vol1"/>
      <sheetName val="요일_테이블3"/>
      <sheetName val="Sheet1_(2)2"/>
      <sheetName val="Dropdown_list_LATAM1"/>
      <sheetName val="dep_pre1"/>
      <sheetName val="dados_blp1"/>
      <sheetName val="share_price_20021"/>
      <sheetName val="Reference_tab4"/>
      <sheetName val="Figures_Report1"/>
      <sheetName val="POC_등급_20201"/>
      <sheetName val="NR_정리1"/>
      <sheetName val="Price_Off_기준1"/>
      <sheetName val="HE_판매증대활동_가이드_20년1"/>
      <sheetName val="20,_2월_POCs1"/>
      <sheetName val="년간_POCs_Price_Off1"/>
      <sheetName val="WS_코드1"/>
      <sheetName val="차량운행일지_요일테이블_업뎃_완료1"/>
      <sheetName val="Cur_Ex_Rate1"/>
      <sheetName val="Data_Lists1"/>
      <sheetName val="Other_Performance"/>
      <sheetName val="SNs_Meta_Categorias"/>
      <sheetName val="Distribución_C"/>
      <sheetName val="Extract_Loss"/>
      <sheetName val="Cambio - contas"/>
      <sheetName val="RG_Depots10"/>
      <sheetName val="Launch_and_Maintenance8"/>
      <sheetName val="ARdistr_(2)8"/>
      <sheetName val="Distribución_D8"/>
      <sheetName val="Validate_List8"/>
      <sheetName val="Agrega_Spend_Taxonomy8"/>
      <sheetName val="HUB_Structure8"/>
      <sheetName val="RG_depots_jaar8"/>
      <sheetName val="Datos_por_SKU-categoria_2011_A7"/>
      <sheetName val="Lista_total7"/>
      <sheetName val="Controls_data7"/>
      <sheetName val="список_SKU7"/>
      <sheetName val="Price_list7"/>
      <sheetName val="Budget_Summary7"/>
      <sheetName val="Monthly_Updating&gt;&gt;&gt;7"/>
      <sheetName val="LE_-_Input6"/>
      <sheetName val="Drop_Down_Menus6"/>
      <sheetName val="2_-_KPIs_Impacted_6"/>
      <sheetName val="drop_downs6"/>
      <sheetName val="Drop_down_list6"/>
      <sheetName val="FX_lookup6"/>
      <sheetName val="FX_-_Assumptions5"/>
      <sheetName val="BU17_Summary5"/>
      <sheetName val="Supply_Cost_Centers5"/>
      <sheetName val="Financial_info5"/>
      <sheetName val="Completion_Instructions5"/>
      <sheetName val="Tipos_de_iniciativas5"/>
      <sheetName val="VIC_R&amp;O_List5"/>
      <sheetName val="Selection_Lists5"/>
      <sheetName val="Sales_Package_Input5"/>
      <sheetName val="Other_Listings4"/>
      <sheetName val="Cuentas_y_CeCos4"/>
      <sheetName val="BASE_LISTAS4"/>
      <sheetName val="요일_테이블4"/>
      <sheetName val="Validacion_#14"/>
      <sheetName val="Sheet1_(2)3"/>
      <sheetName val="DE_PARA_(N_EXCLUIR)2"/>
      <sheetName val="Base_Canibalizacao_Vol2"/>
      <sheetName val="Figures_Report2"/>
      <sheetName val="POC_등급_20202"/>
      <sheetName val="NR_정리2"/>
      <sheetName val="Price_Off_기준2"/>
      <sheetName val="HE_판매증대활동_가이드_20년2"/>
      <sheetName val="20,_2월_POCs2"/>
      <sheetName val="년간_POCs_Price_Off2"/>
      <sheetName val="WS_코드2"/>
      <sheetName val="차량운행일지_요일테이블_업뎃_완료2"/>
      <sheetName val="Dropdown_list_LATAM2"/>
      <sheetName val="dep_pre2"/>
      <sheetName val="RG_Depots11"/>
      <sheetName val="Launch_and_Maintenance9"/>
      <sheetName val="ARdistr_(2)9"/>
      <sheetName val="Distribución_D9"/>
      <sheetName val="Validate_List9"/>
      <sheetName val="Agrega_Spend_Taxonomy9"/>
      <sheetName val="HUB_Structure9"/>
      <sheetName val="RG_depots_jaar9"/>
      <sheetName val="Datos_por_SKU-categoria_2011_A8"/>
      <sheetName val="Lista_total8"/>
      <sheetName val="Controls_data8"/>
      <sheetName val="список_SKU8"/>
      <sheetName val="Price_list8"/>
      <sheetName val="Budget_Summary8"/>
      <sheetName val="Monthly_Updating&gt;&gt;&gt;8"/>
      <sheetName val="LE_-_Input7"/>
      <sheetName val="Drop_Down_Menus7"/>
      <sheetName val="2_-_KPIs_Impacted_7"/>
      <sheetName val="drop_downs7"/>
      <sheetName val="Drop_down_list7"/>
      <sheetName val="FX_lookup7"/>
      <sheetName val="FX_-_Assumptions6"/>
      <sheetName val="BU17_Summary6"/>
      <sheetName val="Supply_Cost_Centers6"/>
      <sheetName val="Financial_info6"/>
      <sheetName val="Completion_Instructions6"/>
      <sheetName val="Tipos_de_iniciativas6"/>
      <sheetName val="VIC_R&amp;O_List6"/>
      <sheetName val="Selection_Lists6"/>
      <sheetName val="Sales_Package_Input6"/>
      <sheetName val="Other_Listings5"/>
      <sheetName val="Cuentas_y_CeCos5"/>
      <sheetName val="BASE_LISTAS5"/>
      <sheetName val="요일_테이블5"/>
      <sheetName val="Validacion_#15"/>
      <sheetName val="R&amp;O_List4"/>
      <sheetName val="RG%20depots%20jaar_XLS4"/>
      <sheetName val="Sheet1_(2)4"/>
      <sheetName val="DE_PARA_(N_EXCLUIR)3"/>
      <sheetName val="Base_Canibalizacao_Vol3"/>
      <sheetName val="Figures_Report3"/>
      <sheetName val="POC_등급_20203"/>
      <sheetName val="NR_정리3"/>
      <sheetName val="Price_Off_기준3"/>
      <sheetName val="HE_판매증대활동_가이드_20년3"/>
      <sheetName val="20,_2월_POCs3"/>
      <sheetName val="년간_POCs_Price_Off3"/>
      <sheetName val="WS_코드3"/>
      <sheetName val="차량운행일지_요일테이블_업뎃_완료3"/>
      <sheetName val="Dropdown_list_LATAM3"/>
      <sheetName val="dep_pre3"/>
      <sheetName val="Data_Lists2"/>
      <sheetName val="dados_blp2"/>
      <sheetName val="share_price_20022"/>
      <sheetName val="Cur_Ex_Rate2"/>
      <sheetName val="Distribución_C1"/>
      <sheetName val="Extract_Loss1"/>
      <sheetName val="G WPS"/>
      <sheetName val="G GFP"/>
      <sheetName val="G GL"/>
      <sheetName val="G LSA"/>
      <sheetName val="Data_Lists3"/>
      <sheetName val="dados_blp3"/>
      <sheetName val="share_price_20023"/>
      <sheetName val="Cur_Ex_Rate3"/>
      <sheetName val="Distribución_C2"/>
      <sheetName val="Extract_Loss2"/>
      <sheetName val="G_WPS"/>
      <sheetName val="G_GFP"/>
      <sheetName val="G_GL"/>
      <sheetName val="G_LSA"/>
      <sheetName val="BALANCE"/>
      <sheetName val="G_WPS1"/>
      <sheetName val="G_GFP1"/>
      <sheetName val="G_GL1"/>
      <sheetName val="G_LSA1"/>
      <sheetName val="est_rev_1"/>
      <sheetName val="SNs_Meta_Categorias1"/>
      <sheetName val="RG_Depots12"/>
      <sheetName val="ARdistr_(2)10"/>
      <sheetName val="Launch_and_Maintenance10"/>
      <sheetName val="Distribución_D10"/>
      <sheetName val="Validate_List10"/>
      <sheetName val="Agrega_Spend_Taxonomy10"/>
      <sheetName val="HUB_Structure10"/>
      <sheetName val="RG_depots_jaar10"/>
      <sheetName val="Datos_por_SKU-categoria_2011_A9"/>
      <sheetName val="Lista_total9"/>
      <sheetName val="Controls_data9"/>
      <sheetName val="список_SKU9"/>
      <sheetName val="Price_list9"/>
      <sheetName val="Budget_Summary9"/>
      <sheetName val="Monthly_Updating&gt;&gt;&gt;9"/>
      <sheetName val="LE_-_Input8"/>
      <sheetName val="drop_downs8"/>
      <sheetName val="Drop_down_list8"/>
      <sheetName val="2_-_KPIs_Impacted_8"/>
      <sheetName val="FX_lookup8"/>
      <sheetName val="Drop_Down_Menus8"/>
      <sheetName val="FX_-_Assumptions7"/>
      <sheetName val="BU17_Summary7"/>
      <sheetName val="Financial_info7"/>
      <sheetName val="Completion_Instructions7"/>
      <sheetName val="Tipos_de_iniciativas7"/>
      <sheetName val="Supply_Cost_Centers7"/>
      <sheetName val="VIC_R&amp;O_List7"/>
      <sheetName val="Selection_Lists7"/>
      <sheetName val="Sales_Package_Input7"/>
      <sheetName val="Validacion_#16"/>
      <sheetName val="Other_Listings6"/>
      <sheetName val="BASE_LISTAS6"/>
      <sheetName val="R&amp;O_List5"/>
      <sheetName val="Cuentas_y_CeCos6"/>
      <sheetName val="RG%20depots%20jaar_XLS5"/>
      <sheetName val="요일_테이블6"/>
      <sheetName val="Sheet1_(2)5"/>
      <sheetName val="DE_PARA_(N_EXCLUIR)4"/>
      <sheetName val="Base_Canibalizacao_Vol4"/>
      <sheetName val="Figures_Report4"/>
      <sheetName val="POC_등급_20204"/>
      <sheetName val="NR_정리4"/>
      <sheetName val="Price_Off_기준4"/>
      <sheetName val="HE_판매증대활동_가이드_20년4"/>
      <sheetName val="20,_2월_POCs4"/>
      <sheetName val="년간_POCs_Price_Off4"/>
      <sheetName val="WS_코드4"/>
      <sheetName val="차량운행일지_요일테이블_업뎃_완료4"/>
      <sheetName val="Dropdown_list_LATAM4"/>
      <sheetName val="dep_pre4"/>
      <sheetName val="Data_Lists4"/>
      <sheetName val="dados_blp4"/>
      <sheetName val="share_price_20024"/>
      <sheetName val="Cur_Ex_Rate4"/>
      <sheetName val="Distribución_C3"/>
      <sheetName val="Extract_Loss3"/>
      <sheetName val="G_WPS2"/>
      <sheetName val="G_GFP2"/>
      <sheetName val="G_GL2"/>
      <sheetName val="G_LSA2"/>
      <sheetName val="est_rev_2"/>
      <sheetName val="SNs_Meta_Categorias2"/>
      <sheetName val="ZAGREBAČKA PIVOVARA"/>
      <sheetName val="TIA PARTNER"/>
      <sheetName val="K PIVOVARI"/>
      <sheetName val="PEMO"/>
      <sheetName val="Parámetros"/>
      <sheetName val="tdBBDD"/>
      <sheetName val="ZAGREBAČKA_PIVOVARA1"/>
      <sheetName val="TIA_PARTNER1"/>
      <sheetName val="K_PIVOVARI1"/>
      <sheetName val="ZAGREBAČKA_PIVOVARA"/>
      <sheetName val="TIA_PARTNER"/>
      <sheetName val="K_PIVOVARI"/>
      <sheetName val="Munka2"/>
      <sheetName val="RG_Depots13"/>
      <sheetName val="ARdistr_(2)11"/>
      <sheetName val="Launch_and_Maintenance11"/>
      <sheetName val="Distribución_D11"/>
      <sheetName val="Validate_List11"/>
      <sheetName val="Agrega_Spend_Taxonomy11"/>
      <sheetName val="HUB_Structure11"/>
      <sheetName val="RG_depots_jaar11"/>
      <sheetName val="Datos_por_SKU-categoria_2011_10"/>
      <sheetName val="Lista_total10"/>
      <sheetName val="Controls_data10"/>
      <sheetName val="список_SKU10"/>
      <sheetName val="Price_list10"/>
      <sheetName val="Budget_Summary10"/>
      <sheetName val="Monthly_Updating&gt;&gt;&gt;10"/>
      <sheetName val="LE_-_Input9"/>
      <sheetName val="drop_downs9"/>
      <sheetName val="Drop_down_list9"/>
      <sheetName val="2_-_KPIs_Impacted_9"/>
      <sheetName val="FX_lookup9"/>
      <sheetName val="Drop_Down_Menus9"/>
      <sheetName val="FX_-_Assumptions8"/>
      <sheetName val="BU17_Summary8"/>
      <sheetName val="Financial_info8"/>
      <sheetName val="Completion_Instructions8"/>
      <sheetName val="Tipos_de_iniciativas8"/>
      <sheetName val="Supply_Cost_Centers8"/>
      <sheetName val="VIC_R&amp;O_List8"/>
      <sheetName val="Selection_Lists8"/>
      <sheetName val="Sales_Package_Input8"/>
      <sheetName val="Validacion_#17"/>
      <sheetName val="Other_Listings7"/>
      <sheetName val="BASE_LISTAS7"/>
      <sheetName val="R&amp;O_List6"/>
      <sheetName val="Cuentas_y_CeCos7"/>
      <sheetName val="RG%20depots%20jaar_XLS6"/>
      <sheetName val="요일_테이블7"/>
      <sheetName val="Sheet1_(2)6"/>
      <sheetName val="DE_PARA_(N_EXCLUIR)5"/>
      <sheetName val="Base_Canibalizacao_Vol5"/>
      <sheetName val="Reference_tab5"/>
      <sheetName val="Figures_Report5"/>
      <sheetName val="POC_등급_20205"/>
      <sheetName val="NR_정리5"/>
      <sheetName val="Price_Off_기준5"/>
      <sheetName val="HE_판매증대활동_가이드_20년5"/>
      <sheetName val="20,_2월_POCs5"/>
      <sheetName val="년간_POCs_Price_Off5"/>
      <sheetName val="WS_코드5"/>
      <sheetName val="차량운행일지_요일테이블_업뎃_완료5"/>
      <sheetName val="Dropdown_list_LATAM5"/>
      <sheetName val="dep_pre5"/>
      <sheetName val="Data_Lists5"/>
      <sheetName val="dados_blp5"/>
      <sheetName val="share_price_20025"/>
      <sheetName val="Cur_Ex_Rate5"/>
      <sheetName val="Distribución_C4"/>
      <sheetName val="Extract_Loss4"/>
      <sheetName val="G_WPS3"/>
      <sheetName val="G_GFP3"/>
      <sheetName val="G_GL3"/>
      <sheetName val="G_LSA3"/>
      <sheetName val="est_rev_3"/>
      <sheetName val="SNs_Meta_Categorias3"/>
      <sheetName val="ZAGREBAČKA_PIVOVARA2"/>
      <sheetName val="TIA_PARTNER2"/>
      <sheetName val="K_PIVOVARI2"/>
      <sheetName val="RG_Depots14"/>
      <sheetName val="Launch_and_Maintenance12"/>
      <sheetName val="ARdistr_(2)12"/>
      <sheetName val="Validate_List12"/>
      <sheetName val="Agrega_Spend_Taxonomy12"/>
      <sheetName val="HUB_Structure12"/>
      <sheetName val="Distribución_D12"/>
      <sheetName val="RG_depots_jaar12"/>
      <sheetName val="Lista_total11"/>
      <sheetName val="Datos_por_SKU-categoria_2011_11"/>
      <sheetName val="Controls_data11"/>
      <sheetName val="список_SKU11"/>
      <sheetName val="Price_list11"/>
      <sheetName val="Budget_Summary11"/>
      <sheetName val="Monthly_Updating&gt;&gt;&gt;11"/>
      <sheetName val="LE_-_Input10"/>
      <sheetName val="drop_downs10"/>
      <sheetName val="Drop_down_list10"/>
      <sheetName val="2_-_KPIs_Impacted_10"/>
      <sheetName val="FX_lookup10"/>
      <sheetName val="Drop_Down_Menus10"/>
      <sheetName val="FX_-_Assumptions9"/>
      <sheetName val="BU17_Summary9"/>
      <sheetName val="Financial_info9"/>
      <sheetName val="Completion_Instructions9"/>
      <sheetName val="Tipos_de_iniciativas9"/>
      <sheetName val="Supply_Cost_Centers9"/>
      <sheetName val="VIC_R&amp;O_List9"/>
      <sheetName val="Selection_Lists9"/>
      <sheetName val="Sales_Package_Input9"/>
      <sheetName val="Validacion_#18"/>
      <sheetName val="Other_Listings8"/>
      <sheetName val="BASE_LISTAS8"/>
      <sheetName val="R&amp;O_List7"/>
      <sheetName val="Cuentas_y_CeCos8"/>
      <sheetName val="RG%20depots%20jaar_XLS7"/>
      <sheetName val="요일_테이블8"/>
      <sheetName val="Sheet1_(2)7"/>
      <sheetName val="DE_PARA_(N_EXCLUIR)6"/>
      <sheetName val="Base_Canibalizacao_Vol6"/>
      <sheetName val="Reference_tab6"/>
      <sheetName val="Dropdown_list_LATAM6"/>
      <sheetName val="dep_pre6"/>
      <sheetName val="Figures_Report6"/>
      <sheetName val="POC_등급_20206"/>
      <sheetName val="NR_정리6"/>
      <sheetName val="Price_Off_기준6"/>
      <sheetName val="HE_판매증대활동_가이드_20년6"/>
      <sheetName val="20,_2월_POCs6"/>
      <sheetName val="년간_POCs_Price_Off6"/>
      <sheetName val="WS_코드6"/>
      <sheetName val="차량운행일지_요일테이블_업뎃_완료6"/>
      <sheetName val="Data_Lists6"/>
      <sheetName val="dados_blp6"/>
      <sheetName val="share_price_20026"/>
      <sheetName val="Cur_Ex_Rate6"/>
      <sheetName val="Distribución_C5"/>
      <sheetName val="Extract_Loss5"/>
      <sheetName val="G_WPS4"/>
      <sheetName val="G_GFP4"/>
      <sheetName val="G_GL4"/>
      <sheetName val="G_LSA4"/>
      <sheetName val="est_rev_4"/>
      <sheetName val="SNs_Meta_Categorias4"/>
      <sheetName val="ZAGREBAČKA_PIVOVARA3"/>
      <sheetName val="TIA_PARTNER3"/>
      <sheetName val="K_PIVOVARI3"/>
      <sheetName val="Other_Performance1"/>
      <sheetName val="RG_Depots15"/>
      <sheetName val="Launch_and_Maintenance13"/>
      <sheetName val="ARdistr_(2)13"/>
      <sheetName val="Validate_List13"/>
      <sheetName val="Agrega_Spend_Taxonomy13"/>
      <sheetName val="HUB_Structure13"/>
      <sheetName val="Distribución_D13"/>
      <sheetName val="RG_depots_jaar13"/>
      <sheetName val="Lista_total12"/>
      <sheetName val="Datos_por_SKU-categoria_2011_12"/>
      <sheetName val="Controls_data12"/>
      <sheetName val="список_SKU12"/>
      <sheetName val="Price_list12"/>
      <sheetName val="Budget_Summary12"/>
      <sheetName val="Monthly_Updating&gt;&gt;&gt;12"/>
      <sheetName val="LE_-_Input11"/>
      <sheetName val="drop_downs11"/>
      <sheetName val="Drop_down_list11"/>
      <sheetName val="2_-_KPIs_Impacted_11"/>
      <sheetName val="BU17_Summary10"/>
      <sheetName val="FX_lookup11"/>
      <sheetName val="Drop_Down_Menus11"/>
      <sheetName val="FX_-_Assumptions10"/>
      <sheetName val="Financial_info10"/>
      <sheetName val="Completion_Instructions10"/>
      <sheetName val="Tipos_de_iniciativas10"/>
      <sheetName val="Supply_Cost_Centers10"/>
      <sheetName val="VIC_R&amp;O_List10"/>
      <sheetName val="Selection_Lists10"/>
      <sheetName val="Sales_Package_Input10"/>
      <sheetName val="Other_Listings9"/>
      <sheetName val="Validacion_#19"/>
      <sheetName val="BASE_LISTAS9"/>
      <sheetName val="Cuentas_y_CeCos9"/>
      <sheetName val="R&amp;O_List8"/>
      <sheetName val="RG%20depots%20jaar_XLS8"/>
      <sheetName val="요일_테이블9"/>
      <sheetName val="Sheet1_(2)8"/>
      <sheetName val="DE_PARA_(N_EXCLUIR)7"/>
      <sheetName val="Base_Canibalizacao_Vol7"/>
      <sheetName val="Reference_tab7"/>
      <sheetName val="Dropdown_list_LATAM7"/>
      <sheetName val="dep_pre7"/>
      <sheetName val="Figures_Report7"/>
      <sheetName val="POC_등급_20207"/>
      <sheetName val="NR_정리7"/>
      <sheetName val="Price_Off_기준7"/>
      <sheetName val="HE_판매증대활동_가이드_20년7"/>
      <sheetName val="20,_2월_POCs7"/>
      <sheetName val="년간_POCs_Price_Off7"/>
      <sheetName val="WS_코드7"/>
      <sheetName val="차량운행일지_요일테이블_업뎃_완료7"/>
      <sheetName val="Data_Lists7"/>
      <sheetName val="dados_blp7"/>
      <sheetName val="share_price_20027"/>
      <sheetName val="Cur_Ex_Rate7"/>
      <sheetName val="Distribución_C6"/>
      <sheetName val="Extract_Loss6"/>
      <sheetName val="G_WPS5"/>
      <sheetName val="G_GFP5"/>
      <sheetName val="G_GL5"/>
      <sheetName val="G_LSA5"/>
      <sheetName val="est_rev_5"/>
      <sheetName val="SNs_Meta_Categorias5"/>
      <sheetName val="RG_Depots16"/>
      <sheetName val="Launch_and_Maintenance14"/>
      <sheetName val="ARdistr_(2)14"/>
      <sheetName val="Validate_List14"/>
      <sheetName val="Agrega_Spend_Taxonomy14"/>
      <sheetName val="HUB_Structure14"/>
      <sheetName val="Distribución_D14"/>
      <sheetName val="RG_depots_jaar14"/>
      <sheetName val="Lista_total13"/>
      <sheetName val="Datos_por_SKU-categoria_2011_13"/>
      <sheetName val="Controls_data13"/>
      <sheetName val="список_SKU13"/>
      <sheetName val="Price_list13"/>
      <sheetName val="Budget_Summary13"/>
      <sheetName val="Monthly_Updating&gt;&gt;&gt;13"/>
      <sheetName val="LE_-_Input12"/>
      <sheetName val="drop_downs12"/>
      <sheetName val="Drop_down_list12"/>
      <sheetName val="2_-_KPIs_Impacted_12"/>
      <sheetName val="FX_lookup12"/>
      <sheetName val="Drop_Down_Menus12"/>
      <sheetName val="FX_-_Assumptions11"/>
      <sheetName val="BU17_Summary11"/>
      <sheetName val="Financial_info11"/>
      <sheetName val="Completion_Instructions11"/>
      <sheetName val="Tipos_de_iniciativas11"/>
      <sheetName val="Supply_Cost_Centers11"/>
      <sheetName val="VIC_R&amp;O_List11"/>
      <sheetName val="Selection_Lists11"/>
      <sheetName val="Sales_Package_Input11"/>
      <sheetName val="Validacion_#110"/>
      <sheetName val="Other_Listings10"/>
      <sheetName val="BASE_LISTAS10"/>
      <sheetName val="R&amp;O_List9"/>
      <sheetName val="Cuentas_y_CeCos10"/>
      <sheetName val="RG%20depots%20jaar_XLS9"/>
      <sheetName val="요일_테이블10"/>
      <sheetName val="Sheet1_(2)9"/>
      <sheetName val="DE_PARA_(N_EXCLUIR)8"/>
      <sheetName val="Base_Canibalizacao_Vol8"/>
      <sheetName val="Reference_tab8"/>
      <sheetName val="Dropdown_list_LATAM8"/>
      <sheetName val="dep_pre8"/>
      <sheetName val="Figures_Report8"/>
      <sheetName val="POC_등급_20208"/>
      <sheetName val="NR_정리8"/>
      <sheetName val="Price_Off_기준8"/>
      <sheetName val="HE_판매증대활동_가이드_20년8"/>
      <sheetName val="20,_2월_POCs8"/>
      <sheetName val="년간_POCs_Price_Off8"/>
      <sheetName val="WS_코드8"/>
      <sheetName val="차량운행일지_요일테이블_업뎃_완료8"/>
      <sheetName val="Data_Lists8"/>
      <sheetName val="dados_blp8"/>
      <sheetName val="share_price_20028"/>
      <sheetName val="Cur_Ex_Rate8"/>
      <sheetName val="Distribución_C7"/>
      <sheetName val="Extract_Loss7"/>
      <sheetName val="G_WPS6"/>
      <sheetName val="G_GFP6"/>
      <sheetName val="G_GL6"/>
      <sheetName val="G_LSA6"/>
      <sheetName val="est_rev_6"/>
      <sheetName val="SNs_Meta_Categorias6"/>
      <sheetName val="ZAGREBAČKA_PIVOVARA4"/>
      <sheetName val="TIA_PARTNER4"/>
      <sheetName val="K_PIVOVARI4"/>
      <sheetName val="Other_Performance2"/>
      <sheetName val="RG_Depots17"/>
      <sheetName val="Launch_and_Maintenance15"/>
      <sheetName val="ARdistr_(2)15"/>
      <sheetName val="Validate_List15"/>
      <sheetName val="Agrega_Spend_Taxonomy15"/>
      <sheetName val="HUB_Structure15"/>
      <sheetName val="Distribución_D15"/>
      <sheetName val="RG_depots_jaar15"/>
      <sheetName val="Lista_total14"/>
      <sheetName val="Datos_por_SKU-categoria_2011_14"/>
      <sheetName val="Controls_data14"/>
      <sheetName val="список_SKU14"/>
      <sheetName val="Price_list14"/>
      <sheetName val="Budget_Summary14"/>
      <sheetName val="Monthly_Updating&gt;&gt;&gt;14"/>
      <sheetName val="LE_-_Input13"/>
      <sheetName val="drop_downs13"/>
      <sheetName val="Drop_down_list13"/>
      <sheetName val="2_-_KPIs_Impacted_13"/>
      <sheetName val="FX_lookup13"/>
      <sheetName val="Drop_Down_Menus13"/>
      <sheetName val="FX_-_Assumptions12"/>
      <sheetName val="BU17_Summary12"/>
      <sheetName val="Financial_info12"/>
      <sheetName val="Completion_Instructions12"/>
      <sheetName val="Tipos_de_iniciativas12"/>
      <sheetName val="Supply_Cost_Centers12"/>
      <sheetName val="VIC_R&amp;O_List12"/>
      <sheetName val="Selection_Lists12"/>
      <sheetName val="Sales_Package_Input12"/>
      <sheetName val="Validacion_#111"/>
      <sheetName val="Other_Listings11"/>
      <sheetName val="BASE_LISTAS11"/>
      <sheetName val="R&amp;O_List10"/>
      <sheetName val="Cuentas_y_CeCos11"/>
      <sheetName val="RG%20depots%20jaar_XLS10"/>
      <sheetName val="요일_테이블11"/>
      <sheetName val="Sheet1_(2)10"/>
      <sheetName val="DE_PARA_(N_EXCLUIR)9"/>
      <sheetName val="Base_Canibalizacao_Vol9"/>
      <sheetName val="Reference_tab9"/>
      <sheetName val="Dropdown_list_LATAM9"/>
      <sheetName val="dep_pre9"/>
      <sheetName val="Figures_Report9"/>
      <sheetName val="POC_등급_20209"/>
      <sheetName val="NR_정리9"/>
      <sheetName val="Price_Off_기준9"/>
      <sheetName val="HE_판매증대활동_가이드_20년9"/>
      <sheetName val="20,_2월_POCs9"/>
      <sheetName val="년간_POCs_Price_Off9"/>
      <sheetName val="WS_코드9"/>
      <sheetName val="차량운행일지_요일테이블_업뎃_완료9"/>
      <sheetName val="Data_Lists9"/>
      <sheetName val="dados_blp9"/>
      <sheetName val="share_price_20029"/>
      <sheetName val="Cur_Ex_Rate9"/>
      <sheetName val="Distribución_C8"/>
      <sheetName val="Extract_Loss8"/>
      <sheetName val="G_WPS7"/>
      <sheetName val="G_GFP7"/>
      <sheetName val="G_GL7"/>
      <sheetName val="G_LSA7"/>
      <sheetName val="est_rev_7"/>
      <sheetName val="SNs_Meta_Categorias7"/>
      <sheetName val="ZAGREBAČKA_PIVOVARA5"/>
      <sheetName val="TIA_PARTNER5"/>
      <sheetName val="K_PIVOVARI5"/>
      <sheetName val="Other_Performance3"/>
      <sheetName val="RG_Depots18"/>
      <sheetName val="Launch_and_Maintenance16"/>
      <sheetName val="ARdistr_(2)16"/>
      <sheetName val="Validate_List16"/>
      <sheetName val="Agrega_Spend_Taxonomy16"/>
      <sheetName val="HUB_Structure16"/>
      <sheetName val="Distribución_D16"/>
      <sheetName val="RG_depots_jaar16"/>
      <sheetName val="Lista_total15"/>
      <sheetName val="Datos_por_SKU-categoria_2011_15"/>
      <sheetName val="Controls_data15"/>
      <sheetName val="список_SKU15"/>
      <sheetName val="Price_list15"/>
      <sheetName val="Budget_Summary15"/>
      <sheetName val="Monthly_Updating&gt;&gt;&gt;15"/>
      <sheetName val="LE_-_Input14"/>
      <sheetName val="drop_downs14"/>
      <sheetName val="Drop_down_list14"/>
      <sheetName val="2_-_KPIs_Impacted_14"/>
      <sheetName val="FX_lookup14"/>
      <sheetName val="Drop_Down_Menus14"/>
      <sheetName val="FX_-_Assumptions13"/>
      <sheetName val="BU17_Summary13"/>
      <sheetName val="Financial_info13"/>
      <sheetName val="Completion_Instructions13"/>
      <sheetName val="Tipos_de_iniciativas13"/>
      <sheetName val="Supply_Cost_Centers13"/>
      <sheetName val="VIC_R&amp;O_List13"/>
      <sheetName val="Selection_Lists13"/>
      <sheetName val="Sales_Package_Input13"/>
      <sheetName val="Validacion_#112"/>
      <sheetName val="Other_Listings12"/>
      <sheetName val="BASE_LISTAS12"/>
      <sheetName val="R&amp;O_List11"/>
      <sheetName val="Cuentas_y_CeCos12"/>
      <sheetName val="RG%20depots%20jaar_XLS11"/>
      <sheetName val="요일_테이블12"/>
      <sheetName val="Sheet1_(2)11"/>
      <sheetName val="DE_PARA_(N_EXCLUIR)10"/>
      <sheetName val="Base_Canibalizacao_Vol10"/>
      <sheetName val="Reference_tab10"/>
      <sheetName val="Dropdown_list_LATAM10"/>
      <sheetName val="dep_pre10"/>
      <sheetName val="Figures_Report10"/>
      <sheetName val="POC_등급_202010"/>
      <sheetName val="NR_정리10"/>
      <sheetName val="Price_Off_기준10"/>
      <sheetName val="HE_판매증대활동_가이드_20년10"/>
      <sheetName val="20,_2월_POCs10"/>
      <sheetName val="년간_POCs_Price_Off10"/>
      <sheetName val="WS_코드10"/>
      <sheetName val="차량운행일지_요일테이블_업뎃_완료10"/>
      <sheetName val="Data_Lists10"/>
      <sheetName val="dados_blp10"/>
      <sheetName val="share_price_200210"/>
      <sheetName val="Cur_Ex_Rate10"/>
      <sheetName val="Distribución_C9"/>
      <sheetName val="Extract_Loss9"/>
      <sheetName val="G_WPS8"/>
      <sheetName val="G_GFP8"/>
      <sheetName val="G_GL8"/>
      <sheetName val="G_LSA8"/>
      <sheetName val="est_rev_8"/>
      <sheetName val="SNs_Meta_Categorias8"/>
      <sheetName val="ZAGREBAČKA_PIVOVARA6"/>
      <sheetName val="TIA_PARTNER6"/>
      <sheetName val="K_PIVOVARI6"/>
      <sheetName val="Other_Performance4"/>
      <sheetName val="RG_Depots19"/>
      <sheetName val="Launch_and_Maintenance17"/>
      <sheetName val="ARdistr_(2)17"/>
      <sheetName val="Validate_List17"/>
      <sheetName val="Agrega_Spend_Taxonomy17"/>
      <sheetName val="HUB_Structure17"/>
      <sheetName val="Distribución_D17"/>
      <sheetName val="RG_depots_jaar17"/>
      <sheetName val="Lista_total16"/>
      <sheetName val="Datos_por_SKU-categoria_2011_16"/>
      <sheetName val="Controls_data16"/>
      <sheetName val="список_SKU16"/>
      <sheetName val="Price_list16"/>
      <sheetName val="Budget_Summary16"/>
      <sheetName val="Monthly_Updating&gt;&gt;&gt;16"/>
      <sheetName val="LE_-_Input15"/>
      <sheetName val="drop_downs15"/>
      <sheetName val="Drop_down_list15"/>
      <sheetName val="2_-_KPIs_Impacted_15"/>
      <sheetName val="FX_lookup15"/>
      <sheetName val="Drop_Down_Menus15"/>
      <sheetName val="FX_-_Assumptions14"/>
      <sheetName val="BU17_Summary14"/>
      <sheetName val="Financial_info14"/>
      <sheetName val="Completion_Instructions14"/>
      <sheetName val="Tipos_de_iniciativas14"/>
      <sheetName val="Supply_Cost_Centers14"/>
      <sheetName val="VIC_R&amp;O_List14"/>
      <sheetName val="Selection_Lists14"/>
      <sheetName val="Sales_Package_Input14"/>
      <sheetName val="Validacion_#113"/>
      <sheetName val="Other_Listings13"/>
      <sheetName val="BASE_LISTAS13"/>
      <sheetName val="R&amp;O_List12"/>
      <sheetName val="Cuentas_y_CeCos13"/>
      <sheetName val="RG%20depots%20jaar_XLS12"/>
      <sheetName val="요일_테이블13"/>
      <sheetName val="Sheet1_(2)12"/>
      <sheetName val="DE_PARA_(N_EXCLUIR)11"/>
      <sheetName val="Base_Canibalizacao_Vol11"/>
      <sheetName val="Reference_tab11"/>
      <sheetName val="Figures_Report11"/>
      <sheetName val="POC_등급_202011"/>
      <sheetName val="NR_정리11"/>
      <sheetName val="Price_Off_기준11"/>
      <sheetName val="HE_판매증대활동_가이드_20년11"/>
      <sheetName val="20,_2월_POCs11"/>
      <sheetName val="년간_POCs_Price_Off11"/>
      <sheetName val="WS_코드11"/>
      <sheetName val="차량운행일지_요일테이블_업뎃_완료11"/>
      <sheetName val="Dropdown_list_LATAM11"/>
      <sheetName val="dep_pre11"/>
      <sheetName val="Data_Lists11"/>
      <sheetName val="dados_blp11"/>
      <sheetName val="share_price_200211"/>
      <sheetName val="Cur_Ex_Rate11"/>
      <sheetName val="Distribución_C10"/>
      <sheetName val="Extract_Loss10"/>
      <sheetName val="G_WPS9"/>
      <sheetName val="G_GFP9"/>
      <sheetName val="G_GL9"/>
      <sheetName val="G_LSA9"/>
      <sheetName val="est_rev_9"/>
      <sheetName val="SNs_Meta_Categorias9"/>
      <sheetName val="ZAGREBAČKA_PIVOVARA7"/>
      <sheetName val="TIA_PARTNER7"/>
      <sheetName val="K_PIVOVARI7"/>
      <sheetName val="Other_Performance5"/>
      <sheetName val="Cuota x Hl Global Brands"/>
      <sheetName val="Data validation"/>
      <sheetName val="BDPL"/>
      <sheetName val="Mex"/>
      <sheetName val="RG_Depots20"/>
      <sheetName val="Launch_and_Maintenance18"/>
      <sheetName val="ARdistr_(2)18"/>
      <sheetName val="Validate_List18"/>
      <sheetName val="Agrega_Spend_Taxonomy18"/>
      <sheetName val="HUB_Structure18"/>
      <sheetName val="Distribución_D18"/>
      <sheetName val="RG_depots_jaar18"/>
      <sheetName val="Datos_por_SKU-categoria_2011_17"/>
      <sheetName val="Lista_total17"/>
      <sheetName val="Controls_data17"/>
      <sheetName val="список_SKU17"/>
      <sheetName val="Price_list17"/>
      <sheetName val="Budget_Summary17"/>
      <sheetName val="Monthly_Updating&gt;&gt;&gt;17"/>
      <sheetName val="LE_-_Input16"/>
      <sheetName val="Drop_down_list16"/>
      <sheetName val="drop_downs16"/>
      <sheetName val="2_-_KPIs_Impacted_16"/>
      <sheetName val="Supply_Cost_Centers15"/>
      <sheetName val="FX_lookup16"/>
      <sheetName val="BU17_Summary15"/>
      <sheetName val="Drop_Down_Menus16"/>
      <sheetName val="FX_-_Assumptions15"/>
      <sheetName val="Financial_info15"/>
      <sheetName val="Completion_Instructions15"/>
      <sheetName val="Tipos_de_iniciativas15"/>
      <sheetName val="VIC_R&amp;O_List15"/>
      <sheetName val="Selection_Lists15"/>
      <sheetName val="Sales_Package_Input15"/>
      <sheetName val="Other_Listings14"/>
      <sheetName val="Validacion_#114"/>
      <sheetName val="BASE_LISTAS14"/>
      <sheetName val="R&amp;O_List13"/>
      <sheetName val="Cuentas_y_CeCos14"/>
      <sheetName val="RG%20depots%20jaar_XLS13"/>
      <sheetName val="요일_테이블14"/>
      <sheetName val="Sheet1_(2)13"/>
      <sheetName val="DE_PARA_(N_EXCLUIR)12"/>
      <sheetName val="Base_Canibalizacao_Vol12"/>
      <sheetName val="Reference_tab12"/>
      <sheetName val="Figures_Report12"/>
      <sheetName val="POC_등급_202012"/>
      <sheetName val="NR_정리12"/>
      <sheetName val="Price_Off_기준12"/>
      <sheetName val="HE_판매증대활동_가이드_20년12"/>
      <sheetName val="20,_2월_POCs12"/>
      <sheetName val="년간_POCs_Price_Off12"/>
      <sheetName val="WS_코드12"/>
      <sheetName val="차량운행일지_요일테이블_업뎃_완료12"/>
      <sheetName val="Dropdown_list_LATAM12"/>
      <sheetName val="dep_pre12"/>
      <sheetName val="Data_Lists12"/>
      <sheetName val="dados_blp12"/>
      <sheetName val="share_price_200212"/>
      <sheetName val="Cur_Ex_Rate12"/>
      <sheetName val="Distribución_C11"/>
      <sheetName val="Extract_Loss11"/>
      <sheetName val="G_WPS10"/>
      <sheetName val="G_GFP10"/>
      <sheetName val="G_GL10"/>
      <sheetName val="G_LSA10"/>
      <sheetName val="est_rev_10"/>
      <sheetName val="SNs_Meta_Categorias10"/>
      <sheetName val="ZAGREBAČKA_PIVOVARA8"/>
      <sheetName val="TIA_PARTNER8"/>
      <sheetName val="K_PIVOVARI8"/>
      <sheetName val="Other_Performance6"/>
      <sheetName val="Data_validation"/>
      <sheetName val="Cuota_x_Hl_Global_Brands"/>
      <sheetName val="Plan3"/>
      <sheetName val="REF"/>
      <sheetName val="NIELSEN_TOOL"/>
      <sheetName val="Données LMU"/>
      <sheetName val="eqpmad2"/>
      <sheetName val="Meta"/>
      <sheetName val="Data USA Adj US$"/>
      <sheetName val="Données_LMU"/>
      <sheetName val="1_Overview"/>
      <sheetName val="Setting"/>
      <sheetName val="AS"/>
      <sheetName val="10IM"/>
      <sheetName val="RAW AUS"/>
      <sheetName val="RAW NZP"/>
      <sheetName val="Cockpit"/>
      <sheetName val="Qs"/>
      <sheetName val="BLP"/>
      <sheetName val="Données_LMU1"/>
      <sheetName val="Data_USA_Adj_US$"/>
      <sheetName val="back MTD"/>
      <sheetName val="Back HK0010"/>
      <sheetName val="Données_LMU2"/>
      <sheetName val="Data_USA_Adj_US$1"/>
      <sheetName val="RAW_AUS"/>
      <sheetName val="RAW_NZP"/>
      <sheetName val="back_MTD"/>
      <sheetName val="Back_HK0010"/>
      <sheetName val="COLOR별 인쇄"/>
      <sheetName val="PROJECT LIST"/>
      <sheetName val="MACOMixData"/>
      <sheetName val="NRMixData"/>
      <sheetName val="NRMixData_YTD"/>
      <sheetName val="NRMixData_YTG"/>
      <sheetName val="Selection_Setting"/>
      <sheetName val="Brazil Sovereign"/>
      <sheetName val="RAW_AUS1"/>
      <sheetName val="RAW_NZP1"/>
      <sheetName val="Brazil_Sovereign"/>
      <sheetName val="Report-Daily"/>
      <sheetName val="GraphData"/>
      <sheetName val="PBO子渠道匹配"/>
      <sheetName val="LEGAL GUJ"/>
      <sheetName val="POWER ASSUMPTIONS"/>
      <sheetName val="Budget"/>
      <sheetName val="2019"/>
      <sheetName val="2020"/>
      <sheetName val="2021"/>
      <sheetName val="TARGETS BY MONTH"/>
      <sheetName val="2021 Customer Targets By Month"/>
      <sheetName val="Customer Data"/>
      <sheetName val="Targets"/>
      <sheetName val="Sheet5"/>
      <sheetName val="Total Sales"/>
      <sheetName val="Jan'21"/>
      <sheetName val="Mar'21"/>
      <sheetName val="April'21"/>
      <sheetName val="April'21 (2)"/>
      <sheetName val="May'21"/>
      <sheetName val="NEW"/>
      <sheetName val="JUNE"/>
      <sheetName val="July'21"/>
      <sheetName val="August'21"/>
      <sheetName val="September"/>
      <sheetName val="OCTOBER"/>
      <sheetName val="November"/>
      <sheetName val="December"/>
      <sheetName val="Sheet7"/>
      <sheetName val="Sheet6"/>
      <sheetName val="CLOSED OUT LETS _x0009_"/>
      <sheetName val="Swaziland_Data"/>
      <sheetName val="2019_Cases"/>
      <sheetName val="Sheet9"/>
      <sheetName val="perfil_fx_Hor"/>
      <sheetName val="Efeitos_vs__ppto101"/>
      <sheetName val="1_2_1_OM1"/>
    </sheetNames>
    <sheetDataSet>
      <sheetData sheetId="0" refreshError="1">
        <row r="42">
          <cell r="C42" t="str">
            <v>Centrum</v>
          </cell>
          <cell r="D42" t="str">
            <v>Sud</v>
          </cell>
          <cell r="E42" t="str">
            <v>België/Belgique</v>
          </cell>
        </row>
        <row r="43">
          <cell r="C43">
            <v>24.85</v>
          </cell>
          <cell r="D43">
            <v>38.06</v>
          </cell>
          <cell r="E43">
            <v>26.31</v>
          </cell>
        </row>
        <row r="44">
          <cell r="C44">
            <v>37.799999999999997</v>
          </cell>
          <cell r="D44">
            <v>38.479999999999997</v>
          </cell>
          <cell r="E44">
            <v>28.67</v>
          </cell>
        </row>
        <row r="45">
          <cell r="C45">
            <v>18.61</v>
          </cell>
          <cell r="D45">
            <v>34.11</v>
          </cell>
          <cell r="E45">
            <v>21.08</v>
          </cell>
        </row>
        <row r="46">
          <cell r="C46">
            <v>27.06</v>
          </cell>
          <cell r="D46">
            <v>23.95</v>
          </cell>
          <cell r="E46">
            <v>19.34</v>
          </cell>
        </row>
        <row r="48">
          <cell r="C48">
            <v>18</v>
          </cell>
          <cell r="D48">
            <v>18</v>
          </cell>
          <cell r="E48">
            <v>15.3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>
        <row r="42">
          <cell r="C42" t="str">
            <v>Centrum</v>
          </cell>
        </row>
      </sheetData>
      <sheetData sheetId="81">
        <row r="42">
          <cell r="C42" t="str">
            <v>Centrum</v>
          </cell>
        </row>
      </sheetData>
      <sheetData sheetId="82">
        <row r="42">
          <cell r="C42" t="str">
            <v>Centrum</v>
          </cell>
        </row>
      </sheetData>
      <sheetData sheetId="83">
        <row r="42">
          <cell r="C42" t="str">
            <v>Centrum</v>
          </cell>
        </row>
      </sheetData>
      <sheetData sheetId="84">
        <row r="42">
          <cell r="C42" t="str">
            <v>Centrum</v>
          </cell>
        </row>
      </sheetData>
      <sheetData sheetId="85">
        <row r="42">
          <cell r="C42" t="str">
            <v>Centrum</v>
          </cell>
        </row>
      </sheetData>
      <sheetData sheetId="86">
        <row r="42">
          <cell r="C42" t="str">
            <v>Centrum</v>
          </cell>
        </row>
      </sheetData>
      <sheetData sheetId="87">
        <row r="42">
          <cell r="C42" t="str">
            <v>Centrum</v>
          </cell>
        </row>
      </sheetData>
      <sheetData sheetId="88">
        <row r="42">
          <cell r="C42" t="str">
            <v>Centrum</v>
          </cell>
        </row>
      </sheetData>
      <sheetData sheetId="89">
        <row r="42">
          <cell r="C42" t="str">
            <v>Centrum</v>
          </cell>
        </row>
      </sheetData>
      <sheetData sheetId="90">
        <row r="42">
          <cell r="C42" t="str">
            <v>Centrum</v>
          </cell>
        </row>
      </sheetData>
      <sheetData sheetId="91">
        <row r="42">
          <cell r="C42" t="str">
            <v>Centrum</v>
          </cell>
        </row>
      </sheetData>
      <sheetData sheetId="92">
        <row r="42">
          <cell r="C42" t="str">
            <v>Centrum</v>
          </cell>
        </row>
      </sheetData>
      <sheetData sheetId="93">
        <row r="42">
          <cell r="C42" t="str">
            <v>Centrum</v>
          </cell>
        </row>
      </sheetData>
      <sheetData sheetId="94">
        <row r="42">
          <cell r="C42" t="str">
            <v>Centrum</v>
          </cell>
        </row>
      </sheetData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>
        <row r="42">
          <cell r="C42" t="str">
            <v>Centrum</v>
          </cell>
        </row>
      </sheetData>
      <sheetData sheetId="165">
        <row r="42">
          <cell r="C42" t="str">
            <v>Centrum</v>
          </cell>
        </row>
      </sheetData>
      <sheetData sheetId="166">
        <row r="42">
          <cell r="C42" t="str">
            <v>Centrum</v>
          </cell>
        </row>
      </sheetData>
      <sheetData sheetId="167">
        <row r="42">
          <cell r="C42" t="str">
            <v>Centrum</v>
          </cell>
        </row>
      </sheetData>
      <sheetData sheetId="168">
        <row r="42">
          <cell r="C42" t="str">
            <v>Centrum</v>
          </cell>
        </row>
      </sheetData>
      <sheetData sheetId="169">
        <row r="42">
          <cell r="C42" t="str">
            <v>Centrum</v>
          </cell>
        </row>
      </sheetData>
      <sheetData sheetId="170">
        <row r="42">
          <cell r="C42" t="str">
            <v>Centrum</v>
          </cell>
        </row>
      </sheetData>
      <sheetData sheetId="171">
        <row r="42">
          <cell r="C42" t="str">
            <v>Centrum</v>
          </cell>
        </row>
      </sheetData>
      <sheetData sheetId="172">
        <row r="42">
          <cell r="C42" t="str">
            <v>Centrum</v>
          </cell>
        </row>
      </sheetData>
      <sheetData sheetId="173">
        <row r="42">
          <cell r="C42" t="str">
            <v>Centrum</v>
          </cell>
        </row>
      </sheetData>
      <sheetData sheetId="174">
        <row r="42">
          <cell r="C42" t="str">
            <v>Centrum</v>
          </cell>
        </row>
      </sheetData>
      <sheetData sheetId="175">
        <row r="42">
          <cell r="C42" t="str">
            <v>Centrum</v>
          </cell>
        </row>
      </sheetData>
      <sheetData sheetId="176">
        <row r="42">
          <cell r="C42" t="str">
            <v>Centrum</v>
          </cell>
        </row>
      </sheetData>
      <sheetData sheetId="177">
        <row r="42">
          <cell r="C42" t="str">
            <v>Centrum</v>
          </cell>
        </row>
      </sheetData>
      <sheetData sheetId="178">
        <row r="42">
          <cell r="C42" t="str">
            <v>Centrum</v>
          </cell>
        </row>
      </sheetData>
      <sheetData sheetId="179">
        <row r="42">
          <cell r="C42" t="str">
            <v>Centrum</v>
          </cell>
        </row>
      </sheetData>
      <sheetData sheetId="180">
        <row r="42">
          <cell r="C42" t="str">
            <v>Centrum</v>
          </cell>
        </row>
      </sheetData>
      <sheetData sheetId="181">
        <row r="42">
          <cell r="C42" t="str">
            <v>Centrum</v>
          </cell>
        </row>
      </sheetData>
      <sheetData sheetId="182">
        <row r="42">
          <cell r="C42" t="str">
            <v>Centrum</v>
          </cell>
        </row>
      </sheetData>
      <sheetData sheetId="183">
        <row r="42">
          <cell r="C42" t="str">
            <v>Centrum</v>
          </cell>
        </row>
      </sheetData>
      <sheetData sheetId="184">
        <row r="42">
          <cell r="C42" t="str">
            <v>Centrum</v>
          </cell>
        </row>
      </sheetData>
      <sheetData sheetId="185">
        <row r="42">
          <cell r="C42" t="str">
            <v>Centrum</v>
          </cell>
        </row>
      </sheetData>
      <sheetData sheetId="186">
        <row r="42">
          <cell r="C42" t="str">
            <v>Centrum</v>
          </cell>
        </row>
      </sheetData>
      <sheetData sheetId="187">
        <row r="42">
          <cell r="C42" t="str">
            <v>Centrum</v>
          </cell>
        </row>
      </sheetData>
      <sheetData sheetId="188">
        <row r="42">
          <cell r="C42" t="str">
            <v>Centrum</v>
          </cell>
        </row>
      </sheetData>
      <sheetData sheetId="189"/>
      <sheetData sheetId="190"/>
      <sheetData sheetId="191">
        <row r="42">
          <cell r="C42" t="str">
            <v>Centrum</v>
          </cell>
        </row>
      </sheetData>
      <sheetData sheetId="192">
        <row r="42">
          <cell r="C42" t="str">
            <v>Centrum</v>
          </cell>
        </row>
      </sheetData>
      <sheetData sheetId="193">
        <row r="42">
          <cell r="C42" t="str">
            <v>Centrum</v>
          </cell>
        </row>
      </sheetData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/>
      <sheetData sheetId="207" refreshError="1"/>
      <sheetData sheetId="208">
        <row r="42">
          <cell r="C42">
            <v>0</v>
          </cell>
        </row>
      </sheetData>
      <sheetData sheetId="209">
        <row r="42">
          <cell r="C42">
            <v>0</v>
          </cell>
        </row>
      </sheetData>
      <sheetData sheetId="210">
        <row r="42">
          <cell r="C42">
            <v>0</v>
          </cell>
        </row>
      </sheetData>
      <sheetData sheetId="211">
        <row r="42">
          <cell r="C42">
            <v>0</v>
          </cell>
        </row>
      </sheetData>
      <sheetData sheetId="212">
        <row r="42">
          <cell r="C42">
            <v>0</v>
          </cell>
        </row>
      </sheetData>
      <sheetData sheetId="213">
        <row r="42">
          <cell r="C42">
            <v>0</v>
          </cell>
        </row>
      </sheetData>
      <sheetData sheetId="214">
        <row r="42">
          <cell r="C42">
            <v>0</v>
          </cell>
        </row>
      </sheetData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>
        <row r="42">
          <cell r="C42" t="str">
            <v>Centrum</v>
          </cell>
        </row>
      </sheetData>
      <sheetData sheetId="222">
        <row r="42">
          <cell r="C42" t="str">
            <v>Centrum</v>
          </cell>
        </row>
      </sheetData>
      <sheetData sheetId="223">
        <row r="42">
          <cell r="C42" t="str">
            <v>Centrum</v>
          </cell>
        </row>
      </sheetData>
      <sheetData sheetId="224">
        <row r="42">
          <cell r="C42" t="str">
            <v>Centrum</v>
          </cell>
        </row>
      </sheetData>
      <sheetData sheetId="225">
        <row r="42">
          <cell r="C42" t="str">
            <v>Centrum</v>
          </cell>
        </row>
      </sheetData>
      <sheetData sheetId="226">
        <row r="42">
          <cell r="C42" t="str">
            <v>Centrum</v>
          </cell>
        </row>
      </sheetData>
      <sheetData sheetId="227">
        <row r="42">
          <cell r="C42" t="str">
            <v>Centrum</v>
          </cell>
        </row>
      </sheetData>
      <sheetData sheetId="228">
        <row r="42">
          <cell r="C42" t="str">
            <v>Centrum</v>
          </cell>
        </row>
      </sheetData>
      <sheetData sheetId="229">
        <row r="42">
          <cell r="C42" t="str">
            <v>Centrum</v>
          </cell>
        </row>
      </sheetData>
      <sheetData sheetId="230">
        <row r="42">
          <cell r="C42" t="str">
            <v>Centrum</v>
          </cell>
        </row>
      </sheetData>
      <sheetData sheetId="231">
        <row r="42">
          <cell r="C42" t="str">
            <v>Centrum</v>
          </cell>
        </row>
      </sheetData>
      <sheetData sheetId="232">
        <row r="42">
          <cell r="C42" t="str">
            <v>Centrum</v>
          </cell>
        </row>
      </sheetData>
      <sheetData sheetId="233">
        <row r="42">
          <cell r="C42" t="str">
            <v>Centrum</v>
          </cell>
        </row>
      </sheetData>
      <sheetData sheetId="234">
        <row r="42">
          <cell r="C42" t="str">
            <v>Centrum</v>
          </cell>
        </row>
      </sheetData>
      <sheetData sheetId="235">
        <row r="42">
          <cell r="C42" t="str">
            <v>Centrum</v>
          </cell>
        </row>
      </sheetData>
      <sheetData sheetId="236">
        <row r="42">
          <cell r="C42" t="str">
            <v>Centrum</v>
          </cell>
        </row>
      </sheetData>
      <sheetData sheetId="237">
        <row r="42">
          <cell r="C42" t="str">
            <v>Centrum</v>
          </cell>
        </row>
      </sheetData>
      <sheetData sheetId="238">
        <row r="42">
          <cell r="C42" t="str">
            <v>Centrum</v>
          </cell>
        </row>
      </sheetData>
      <sheetData sheetId="239">
        <row r="42">
          <cell r="C42" t="str">
            <v>Centrum</v>
          </cell>
        </row>
      </sheetData>
      <sheetData sheetId="240"/>
      <sheetData sheetId="241"/>
      <sheetData sheetId="242"/>
      <sheetData sheetId="243"/>
      <sheetData sheetId="244"/>
      <sheetData sheetId="245"/>
      <sheetData sheetId="246">
        <row r="42">
          <cell r="C42">
            <v>0</v>
          </cell>
        </row>
      </sheetData>
      <sheetData sheetId="247">
        <row r="42">
          <cell r="C42" t="str">
            <v>Centrum</v>
          </cell>
        </row>
      </sheetData>
      <sheetData sheetId="248">
        <row r="42">
          <cell r="C42">
            <v>0</v>
          </cell>
        </row>
      </sheetData>
      <sheetData sheetId="249">
        <row r="42">
          <cell r="C42">
            <v>0</v>
          </cell>
        </row>
      </sheetData>
      <sheetData sheetId="250">
        <row r="42">
          <cell r="C42">
            <v>0</v>
          </cell>
        </row>
      </sheetData>
      <sheetData sheetId="251">
        <row r="42">
          <cell r="C42" t="str">
            <v>Centrum</v>
          </cell>
        </row>
      </sheetData>
      <sheetData sheetId="252">
        <row r="42">
          <cell r="C42">
            <v>0</v>
          </cell>
        </row>
      </sheetData>
      <sheetData sheetId="253">
        <row r="42">
          <cell r="C42">
            <v>0</v>
          </cell>
        </row>
      </sheetData>
      <sheetData sheetId="254">
        <row r="42">
          <cell r="C42">
            <v>0</v>
          </cell>
        </row>
      </sheetData>
      <sheetData sheetId="255" refreshError="1"/>
      <sheetData sheetId="256" refreshError="1"/>
      <sheetData sheetId="257" refreshError="1"/>
      <sheetData sheetId="258" refreshError="1"/>
      <sheetData sheetId="259"/>
      <sheetData sheetId="260" refreshError="1"/>
      <sheetData sheetId="261" refreshError="1"/>
      <sheetData sheetId="262" refreshError="1"/>
      <sheetData sheetId="263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/>
      <sheetData sheetId="270"/>
      <sheetData sheetId="271"/>
      <sheetData sheetId="272"/>
      <sheetData sheetId="273"/>
      <sheetData sheetId="274">
        <row r="42">
          <cell r="C42" t="str">
            <v>Centrum</v>
          </cell>
        </row>
      </sheetData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>
        <row r="42">
          <cell r="C42" t="str">
            <v>Centrum</v>
          </cell>
        </row>
      </sheetData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 refreshError="1"/>
      <sheetData sheetId="310" refreshError="1"/>
      <sheetData sheetId="311"/>
      <sheetData sheetId="312"/>
      <sheetData sheetId="313"/>
      <sheetData sheetId="314"/>
      <sheetData sheetId="315"/>
      <sheetData sheetId="316"/>
      <sheetData sheetId="317"/>
      <sheetData sheetId="318">
        <row r="42">
          <cell r="C42" t="str">
            <v>서서울 West Seoul</v>
          </cell>
        </row>
      </sheetData>
      <sheetData sheetId="319">
        <row r="42">
          <cell r="C42" t="str">
            <v>서서울 West Seoul</v>
          </cell>
        </row>
      </sheetData>
      <sheetData sheetId="320">
        <row r="42">
          <cell r="C42" t="str">
            <v>일</v>
          </cell>
        </row>
      </sheetData>
      <sheetData sheetId="321">
        <row r="42">
          <cell r="C42" t="str">
            <v>서서울 West Seoul</v>
          </cell>
        </row>
      </sheetData>
      <sheetData sheetId="322">
        <row r="42">
          <cell r="C42" t="str">
            <v>일</v>
          </cell>
        </row>
      </sheetData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/>
      <sheetData sheetId="330"/>
      <sheetData sheetId="331"/>
      <sheetData sheetId="332"/>
      <sheetData sheetId="333"/>
      <sheetData sheetId="334">
        <row r="42">
          <cell r="C42" t="str">
            <v>Centrum</v>
          </cell>
        </row>
      </sheetData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 refreshError="1"/>
      <sheetData sheetId="372" refreshError="1"/>
      <sheetData sheetId="373" refreshError="1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 refreshError="1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 refreshError="1"/>
      <sheetData sheetId="573" refreshError="1"/>
      <sheetData sheetId="574" refreshError="1"/>
      <sheetData sheetId="575" refreshError="1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 refreshError="1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 refreshError="1"/>
      <sheetData sheetId="661" refreshError="1"/>
      <sheetData sheetId="662"/>
      <sheetData sheetId="663"/>
      <sheetData sheetId="664"/>
      <sheetData sheetId="665"/>
      <sheetData sheetId="666"/>
      <sheetData sheetId="667"/>
      <sheetData sheetId="668" refreshError="1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 refreshError="1"/>
      <sheetData sheetId="1141" refreshError="1"/>
      <sheetData sheetId="1142" refreshError="1"/>
      <sheetData sheetId="1143" refreshError="1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/>
      <sheetData sheetId="1232"/>
      <sheetData sheetId="1233" refreshError="1"/>
      <sheetData sheetId="1234" refreshError="1"/>
      <sheetData sheetId="1235"/>
      <sheetData sheetId="1236"/>
      <sheetData sheetId="1237"/>
      <sheetData sheetId="1238"/>
      <sheetData sheetId="1239"/>
      <sheetData sheetId="1240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/>
      <sheetData sheetId="1250"/>
      <sheetData sheetId="125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 refreshError="1"/>
      <sheetData sheetId="1287"/>
      <sheetData sheetId="128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azil Sovereign"/>
      <sheetName val="Desconto"/>
      <sheetName val="Yield Curve"/>
      <sheetName val="Yield Curve (2)"/>
      <sheetName val="dados"/>
      <sheetName val="Brazil Swap"/>
      <sheetName val="Sheet2"/>
      <sheetName val="Treasuries"/>
      <sheetName val="Industrials"/>
      <sheetName val="Price"/>
      <sheetName val="Price (2)"/>
      <sheetName val="Feriados"/>
      <sheetName val="Sheet1"/>
      <sheetName val="Dados Cash"/>
      <sheetName val="MOL"/>
      <sheetName val="Sig Cycles_Accts &amp; Processes"/>
      <sheetName val="ACA"/>
      <sheetName val="PackAppear. (2)"/>
      <sheetName val="DePara"/>
      <sheetName val="ASA"/>
      <sheetName val="BH"/>
      <sheetName val="Resu.Capex"/>
      <sheetName val="Capex"/>
      <sheetName val="CNQ"/>
      <sheetName val="CV"/>
      <sheetName val="Disp"/>
      <sheetName val="Efic"/>
      <sheetName val="Efic.Consumo"/>
      <sheetName val="Meta_Fábricas"/>
      <sheetName val="Graf"/>
      <sheetName val="ICD's"/>
      <sheetName val="Micro_Fisico_Index"/>
      <sheetName val="Indisp"/>
      <sheetName val="Key_Points"/>
      <sheetName val="Meta_Individuais"/>
      <sheetName val="NS"/>
      <sheetName val="OOO"/>
      <sheetName val="OOO (2)"/>
      <sheetName val="PackAppear."/>
      <sheetName val="Paineis"/>
      <sheetName val="PEF_Mes"/>
      <sheetName val="PQCM"/>
      <sheetName val="PQCM (2)"/>
      <sheetName val="PQRM"/>
      <sheetName val="PQRM (2)"/>
      <sheetName val="Prod"/>
      <sheetName val="Qualid"/>
      <sheetName val="Res.Executivo"/>
      <sheetName val="SAC"/>
      <sheetName val="TMA"/>
      <sheetName val="TO"/>
      <sheetName val="Vol"/>
      <sheetName val="2001.10 Cerv"/>
      <sheetName val="PLAN SAC Cerveja"/>
      <sheetName val="PLAN SAC RefrigeNanc"/>
      <sheetName val="BaseCerv"/>
      <sheetName val="BaseNanc"/>
      <sheetName val="2001.04 Cerv"/>
      <sheetName val="Farol SAC Cerveja"/>
      <sheetName val="2001.04 Nanc"/>
      <sheetName val="Farol SAC Refrigenanc"/>
      <sheetName val="Pleitos"/>
      <sheetName val="Data"/>
      <sheetName val="Calc 1"/>
      <sheetName val="Dotaciones"/>
      <sheetName val="Worksheet"/>
      <sheetName val="Tudo"/>
      <sheetName val="Yield_Curve"/>
      <sheetName val="Yield_Curve_(2)"/>
      <sheetName val="Brazil_Sovereign"/>
      <sheetName val="Brazil_Swap"/>
      <sheetName val="Price_(2)"/>
      <sheetName val="Dados_Cash"/>
      <sheetName val="Relatório"/>
      <sheetName val="Recon_Pivot"/>
      <sheetName val="3-column"/>
      <sheetName val="Lists"/>
      <sheetName val="Step2_Histogram"/>
      <sheetName val="Step2_Correlation"/>
      <sheetName val="FLOWCHART-03"/>
      <sheetName val="Yield_Curve1"/>
      <sheetName val="Yield_Curve_(2)1"/>
      <sheetName val="Brazil_Sovereign1"/>
      <sheetName val="Brazil_Swap1"/>
      <sheetName val="Price_(2)1"/>
      <sheetName val="Dados_Cash1"/>
      <sheetName val="PackAppear__(2)"/>
      <sheetName val="Resu_Capex"/>
      <sheetName val="Efic_Consumo"/>
      <sheetName val="OOO_(2)"/>
      <sheetName val="PackAppear_"/>
      <sheetName val="PQCM_(2)"/>
      <sheetName val="PQRM_(2)"/>
      <sheetName val="Res_Executivo"/>
      <sheetName val="2001_10_Cerv"/>
      <sheetName val="PLAN_SAC_Cerveja"/>
      <sheetName val="PLAN_SAC_RefrigeNanc"/>
      <sheetName val="2001_04_Cerv"/>
      <sheetName val="Farol_SAC_Cerveja"/>
      <sheetName val="2001_04_Nanc"/>
      <sheetName val="Farol_SAC_Refrigenanc"/>
      <sheetName val="Sig_Cycles_Accts_&amp;_Processes"/>
      <sheetName val="Calc_1"/>
      <sheetName val="WF China_YTD"/>
      <sheetName val="Parameters"/>
      <sheetName val="Yield_Curve2"/>
      <sheetName val="Yield_Curve_(2)2"/>
      <sheetName val="Brazil_Sovereign2"/>
      <sheetName val="Brazil_Swap2"/>
      <sheetName val="Price_(2)2"/>
      <sheetName val="Dados_Cash2"/>
      <sheetName val="PackAppear__(2)1"/>
      <sheetName val="Resu_Capex1"/>
      <sheetName val="Efic_Consumo1"/>
      <sheetName val="OOO_(2)1"/>
      <sheetName val="PackAppear_1"/>
      <sheetName val="PQCM_(2)1"/>
      <sheetName val="PQRM_(2)1"/>
      <sheetName val="Res_Executivo1"/>
      <sheetName val="Sig_Cycles_Accts_&amp;_Processes1"/>
      <sheetName val="2001_10_Cerv1"/>
      <sheetName val="PLAN_SAC_Cerveja1"/>
      <sheetName val="PLAN_SAC_RefrigeNanc1"/>
      <sheetName val="2001_04_Cerv1"/>
      <sheetName val="Farol_SAC_Cerveja1"/>
      <sheetName val="2001_04_Nanc1"/>
      <sheetName val="Farol_SAC_Refrigenanc1"/>
      <sheetName val="Calc_11"/>
      <sheetName val="VOLUME"/>
      <sheetName val="Curve Comparisons"/>
      <sheetName val="bud99"/>
      <sheetName val="Riscos-Oport."/>
      <sheetName val="RET"/>
      <sheetName val="Parametrização"/>
      <sheetName val=""/>
      <sheetName val="[Curve Comp_x0000__x0000__x0000__x0000__x0000__x0000__x0000__x0000__x0000__x0000__x0000__x0000_Brazil S"/>
      <sheetName val="_Curve Comp"/>
      <sheetName val="Summary"/>
      <sheetName val="Hoja2"/>
      <sheetName val="Relatório SDG"/>
      <sheetName val="Reference"/>
      <sheetName val="Engine"/>
      <sheetName val="Assumptions"/>
      <sheetName val="Validate"/>
      <sheetName val="Financials"/>
      <sheetName val="EI Calc"/>
      <sheetName val="기간별 판매진척"/>
      <sheetName val="Table"/>
      <sheetName val="Graph"/>
      <sheetName val="요일 테이블"/>
      <sheetName val="기간별_판매진척"/>
      <sheetName val="Curve_Comparisons"/>
      <sheetName val="요일_테이블"/>
      <sheetName val="Controls"/>
      <sheetName val="LBO Model"/>
      <sheetName val="은행"/>
      <sheetName val="[Curve Comp????????????Brazil S"/>
      <sheetName val="Balance Fin ajust 2004"/>
      <sheetName val="Formulario"/>
      <sheetName val="bdic07"/>
      <sheetName val="EFECTIVO"/>
      <sheetName val="Bloomberg"/>
      <sheetName val="DATOS PARA INTERPOLACION"/>
      <sheetName val="DPN VALUE"/>
      <sheetName val="EVOLUMERCC"/>
      <sheetName val="PROM"/>
      <sheetName val="Tabla de amortización"/>
      <sheetName val="B-111"/>
      <sheetName val="Yield_Curve3"/>
      <sheetName val="Yield_Curve_(2)3"/>
      <sheetName val="Brazil_Sovereign3"/>
      <sheetName val="Brazil_Swap3"/>
      <sheetName val="Price_(2)3"/>
      <sheetName val="Dados_Cash3"/>
      <sheetName val="PackAppear__(2)2"/>
      <sheetName val="Resu_Capex2"/>
      <sheetName val="Efic_Consumo2"/>
      <sheetName val="OOO_(2)2"/>
      <sheetName val="PackAppear_2"/>
      <sheetName val="PQCM_(2)2"/>
      <sheetName val="PQRM_(2)2"/>
      <sheetName val="Res_Executivo2"/>
      <sheetName val="2001_10_Cerv2"/>
      <sheetName val="PLAN_SAC_Cerveja2"/>
      <sheetName val="PLAN_SAC_RefrigeNanc2"/>
      <sheetName val="2001_04_Cerv2"/>
      <sheetName val="Farol_SAC_Cerveja2"/>
      <sheetName val="2001_04_Nanc2"/>
      <sheetName val="Farol_SAC_Refrigenanc2"/>
      <sheetName val="Sig_Cycles_Accts_&amp;_Processes2"/>
      <sheetName val="Calc_12"/>
      <sheetName val="Riscos-Oport_"/>
      <sheetName val="WF_China_YTD"/>
      <sheetName val="Database"/>
      <sheetName val="MATRICES"/>
      <sheetName val="PE1"/>
      <sheetName val="RS1"/>
      <sheetName val="SC1"/>
      <sheetName val="SP1"/>
      <sheetName val="BAU"/>
      <sheetName val="CAM"/>
      <sheetName val="CEE"/>
      <sheetName val="CUR"/>
      <sheetName val="DF"/>
      <sheetName val="PRP"/>
      <sheetName val="RIB"/>
      <sheetName val="RJ"/>
      <sheetName val="SAL"/>
      <sheetName val="SAN"/>
      <sheetName val="SCA"/>
      <sheetName val="Curve%20Comparisons.xls"/>
      <sheetName val="SJC"/>
      <sheetName val="SJR"/>
      <sheetName val="SOR"/>
      <sheetName val="Yield_Curve4"/>
      <sheetName val="Yield_Curve_(2)4"/>
      <sheetName val="Brazil_Sovereign4"/>
      <sheetName val="Brazil_Swap4"/>
      <sheetName val="Price_(2)4"/>
      <sheetName val="Dados_Cash4"/>
      <sheetName val="PackAppear__(2)3"/>
      <sheetName val="Resu_Capex3"/>
      <sheetName val="Efic_Consumo3"/>
      <sheetName val="OOO_(2)3"/>
      <sheetName val="PackAppear_3"/>
      <sheetName val="PQCM_(2)3"/>
      <sheetName val="PQRM_(2)3"/>
      <sheetName val="Res_Executivo3"/>
      <sheetName val="2001_10_Cerv3"/>
      <sheetName val="PLAN_SAC_Cerveja3"/>
      <sheetName val="PLAN_SAC_RefrigeNanc3"/>
      <sheetName val="2001_04_Cerv3"/>
      <sheetName val="Farol_SAC_Cerveja3"/>
      <sheetName val="2001_04_Nanc3"/>
      <sheetName val="Farol_SAC_Refrigenanc3"/>
      <sheetName val="Sig_Cycles_Accts_&amp;_Processes3"/>
      <sheetName val="Calc_13"/>
      <sheetName val="WF_China_YTD1"/>
      <sheetName val="Curve_Comparisons1"/>
      <sheetName val="Riscos-Oport_1"/>
      <sheetName val="[Curve_CompBrazil_S"/>
      <sheetName val="_Curve_Comp"/>
      <sheetName val="Relatório_SDG"/>
      <sheetName val="기간별_판매진척1"/>
      <sheetName val="요일_테이블1"/>
      <sheetName val="EI_Calc"/>
      <sheetName val="LBO_Model"/>
      <sheetName val="[Curve_Comp????????????Brazil_S"/>
      <sheetName val="Balance_Fin_ajust_2004"/>
      <sheetName val="DATOS_PARA_INTERPOLACION"/>
      <sheetName val="DPN_VALUE"/>
      <sheetName val="Tabla_de_amortización"/>
      <sheetName val="Motivos"/>
      <sheetName val="Plan5"/>
      <sheetName val="Diária"/>
      <sheetName val="Plan2"/>
      <sheetName val="Plan3"/>
      <sheetName val="Coleta dados"/>
      <sheetName val="IV Confiabilidade"/>
      <sheetName val="IV Indisponibilidade"/>
      <sheetName val="Check R. Diária"/>
      <sheetName val="Histórico_Check R. Diária"/>
      <sheetName val="[Curve Comp_x005f_x0000__x005f_x0000__x0000"/>
      <sheetName val="_Curve Comp_x005f_x0000__x005f_x0000__x0000"/>
      <sheetName val="BaseDados"/>
      <sheetName val="Datos"/>
      <sheetName val="_Curve Comp____________Brazil S"/>
      <sheetName val="[Curve Comp"/>
      <sheetName val="Comparativo 99X00"/>
      <sheetName val="validaciones"/>
      <sheetName val="Tabela de Parâmetros"/>
      <sheetName val="Versao 1b ($=R$2,13)"/>
      <sheetName val="CRITERIOS"/>
      <sheetName val="BANCO"/>
      <sheetName val="2.주요계수총괄"/>
      <sheetName val="Pg 1"/>
      <sheetName val="STARTSHEET"/>
      <sheetName val="Vol-Mix x Seg AN"/>
      <sheetName val="Listas"/>
      <sheetName val="Fechamento Mês"/>
      <sheetName val="Recebimento"/>
      <sheetName val="Fechamento Diário"/>
      <sheetName val="High Light"/>
      <sheetName val="% Dispersão"/>
      <sheetName val="% Reprovação"/>
      <sheetName val="% Caco Limpo Unid."/>
      <sheetName val="Limpeza de Flint"/>
      <sheetName val="Recb. Coop."/>
      <sheetName val="Recb. Flint"/>
      <sheetName val="Apoio Material"/>
      <sheetName val="Apoio transp."/>
      <sheetName val="VLC_Packages"/>
      <sheetName val="BD"/>
      <sheetName val="Indice"/>
      <sheetName val="5.1"/>
      <sheetName val="INVESTMENTS EUR"/>
      <sheetName val="DIVESTMENTS EUR"/>
      <sheetName val="Empresas"/>
      <sheetName val="Price DB"/>
      <sheetName val="CostComponent"/>
      <sheetName val="source"/>
      <sheetName val="BLP"/>
      <sheetName val="_Curve Comp_x005f_x005f_x005f_x0000__x005f_x005f_"/>
      <sheetName val="[Curve Comp_x005f_x005f_x005f_x0000__x005f_x005f_"/>
      <sheetName val="1o_Sem"/>
      <sheetName val="2o_Sem"/>
      <sheetName val="ID_Ano"/>
      <sheetName val="Sistema"/>
      <sheetName val="Données LMU"/>
      <sheetName val="Pareto"/>
      <sheetName val="CONTADOR"/>
      <sheetName val="PGK-1610"/>
      <sheetName val="Passo2_Histograma"/>
      <sheetName val="Total CDD"/>
      <sheetName val="total list"/>
      <sheetName val="Tables"/>
      <sheetName val="Catalogo"/>
      <sheetName val="Setup"/>
      <sheetName val="producto"/>
      <sheetName val="_Curve_CompBrazil_S"/>
      <sheetName val="_Curve_Comp____________Brazil_S"/>
      <sheetName val="판매진척"/>
      <sheetName val="LISTA SUSPENSA"/>
      <sheetName val="Directrices de Metas 2017"/>
      <sheetName val="base"/>
      <sheetName val="Tabelas"/>
      <sheetName val="VICTEL ($R)"/>
      <sheetName val="PLMM-R$"/>
      <sheetName val="BC - Main model"/>
      <sheetName val="BEAT "/>
      <sheetName val="CIEL PURIFICADA "/>
      <sheetName val="FANTA "/>
      <sheetName val="FRESCA "/>
      <sheetName val="COCA-COLA EXPORT"/>
      <sheetName val="COCA-COLA LIGHT "/>
      <sheetName val="LIFT "/>
      <sheetName val="NESTEA "/>
      <sheetName val="POWERADE "/>
      <sheetName val="DISNEY "/>
      <sheetName val="SENZAO "/>
      <sheetName val="SPRITE"/>
      <sheetName val="TABELA DE PREÇOS"/>
      <sheetName val="COEFICIENTES"/>
      <sheetName val="Integração - Earned Value"/>
      <sheetName val="Lojas"/>
      <sheetName val="Yield_Curve6"/>
      <sheetName val="Yield_Curve_(2)6"/>
      <sheetName val="Brazil_Sovereign6"/>
      <sheetName val="Brazil_Swap6"/>
      <sheetName val="Price_(2)6"/>
      <sheetName val="Dados_Cash6"/>
      <sheetName val="기간별_판매진척3"/>
      <sheetName val="Curve_Comparisons3"/>
      <sheetName val="요일_테이블3"/>
      <sheetName val="PackAppear__(2)5"/>
      <sheetName val="Resu_Capex5"/>
      <sheetName val="Efic_Consumo5"/>
      <sheetName val="OOO_(2)5"/>
      <sheetName val="PackAppear_5"/>
      <sheetName val="PQCM_(2)5"/>
      <sheetName val="PQRM_(2)5"/>
      <sheetName val="Res_Executivo5"/>
      <sheetName val="2001_10_Cerv5"/>
      <sheetName val="PLAN_SAC_Cerveja5"/>
      <sheetName val="PLAN_SAC_RefrigeNanc5"/>
      <sheetName val="2001_04_Cerv5"/>
      <sheetName val="Farol_SAC_Cerveja5"/>
      <sheetName val="2001_04_Nanc5"/>
      <sheetName val="Farol_SAC_Refrigenanc5"/>
      <sheetName val="Sig_Cycles_Accts_&amp;_Processes5"/>
      <sheetName val="Calc_15"/>
      <sheetName val="_Curve_Comp2"/>
      <sheetName val="WF_China_YTD3"/>
      <sheetName val="Riscos-Oport_3"/>
      <sheetName val="Relatório_SDG2"/>
      <sheetName val="EI_Calc2"/>
      <sheetName val="LBO_Model2"/>
      <sheetName val="[Curve_Comp????????????Brazil_2"/>
      <sheetName val="Balance_Fin_ajust_20042"/>
      <sheetName val="DATOS_PARA_INTERPOLACION2"/>
      <sheetName val="DPN_VALUE2"/>
      <sheetName val="Tabla_de_amortización2"/>
      <sheetName val="Coleta_dados1"/>
      <sheetName val="IV_Confiabilidade1"/>
      <sheetName val="IV_Indisponibilidade1"/>
      <sheetName val="Check_R__Diária1"/>
      <sheetName val="Histórico_Check_R__Diária1"/>
      <sheetName val="[Curve_Comp_x005f_x0000__x005f_x0000__x0001"/>
      <sheetName val="_Curve_Comp_x005f_x0000__x005f_x0000__x0001"/>
      <sheetName val="_Curve_Comp____________Brazil_1"/>
      <sheetName val="2_주요계수총괄1"/>
      <sheetName val="[Curve_Comp1"/>
      <sheetName val="Comparativo_99X001"/>
      <sheetName val="Tabela_de_Parâmetros1"/>
      <sheetName val="Versao_1b_($=R$2,13)1"/>
      <sheetName val="Pg_11"/>
      <sheetName val="Vol-Mix_x_Seg_AN1"/>
      <sheetName val="Fechamento_Mês1"/>
      <sheetName val="Fechamento_Diário1"/>
      <sheetName val="High_Light1"/>
      <sheetName val="%_Dispersão1"/>
      <sheetName val="%_Reprovação1"/>
      <sheetName val="%_Caco_Limpo_Unid_1"/>
      <sheetName val="Limpeza_de_Flint1"/>
      <sheetName val="Recb__Coop_1"/>
      <sheetName val="Recb__Flint1"/>
      <sheetName val="Apoio_Material1"/>
      <sheetName val="Apoio_transp_1"/>
      <sheetName val="INVESTMENTS_EUR"/>
      <sheetName val="DIVESTMENTS_EUR"/>
      <sheetName val="5_1"/>
      <sheetName val="Price_DB"/>
      <sheetName val="_Curve_Comp_x005f_x005f_x005f_x0000__x005f_x005f_"/>
      <sheetName val="[Curve_Comp_x005f_x005f_x005f_x0000__x005f_x005f_"/>
      <sheetName val="Données_LMU"/>
      <sheetName val="total_list"/>
      <sheetName val="Yield_Curve5"/>
      <sheetName val="Yield_Curve_(2)5"/>
      <sheetName val="Brazil_Sovereign5"/>
      <sheetName val="Brazil_Swap5"/>
      <sheetName val="Price_(2)5"/>
      <sheetName val="Dados_Cash5"/>
      <sheetName val="기간별_판매진척2"/>
      <sheetName val="Curve_Comparisons2"/>
      <sheetName val="요일_테이블2"/>
      <sheetName val="PackAppear__(2)4"/>
      <sheetName val="Resu_Capex4"/>
      <sheetName val="Efic_Consumo4"/>
      <sheetName val="OOO_(2)4"/>
      <sheetName val="PackAppear_4"/>
      <sheetName val="PQCM_(2)4"/>
      <sheetName val="PQRM_(2)4"/>
      <sheetName val="Res_Executivo4"/>
      <sheetName val="2001_10_Cerv4"/>
      <sheetName val="PLAN_SAC_Cerveja4"/>
      <sheetName val="PLAN_SAC_RefrigeNanc4"/>
      <sheetName val="2001_04_Cerv4"/>
      <sheetName val="Farol_SAC_Cerveja4"/>
      <sheetName val="2001_04_Nanc4"/>
      <sheetName val="Farol_SAC_Refrigenanc4"/>
      <sheetName val="Sig_Cycles_Accts_&amp;_Processes4"/>
      <sheetName val="Calc_14"/>
      <sheetName val="_Curve_Comp1"/>
      <sheetName val="WF_China_YTD2"/>
      <sheetName val="Riscos-Oport_2"/>
      <sheetName val="Relatório_SDG1"/>
      <sheetName val="EI_Calc1"/>
      <sheetName val="LBO_Model1"/>
      <sheetName val="[Curve_Comp????????????Brazil_1"/>
      <sheetName val="Balance_Fin_ajust_20041"/>
      <sheetName val="DATOS_PARA_INTERPOLACION1"/>
      <sheetName val="DPN_VALUE1"/>
      <sheetName val="Tabla_de_amortización1"/>
      <sheetName val="Coleta_dados"/>
      <sheetName val="IV_Confiabilidade"/>
      <sheetName val="IV_Indisponibilidade"/>
      <sheetName val="Check_R__Diária"/>
      <sheetName val="Histórico_Check_R__Diária"/>
      <sheetName val="[Curve_Comp_x005f_x0000__x005f_x0000__x0000"/>
      <sheetName val="_Curve_Comp_x005f_x0000__x005f_x0000__x0000"/>
      <sheetName val="2_주요계수총괄"/>
      <sheetName val="[Curve_Comp"/>
      <sheetName val="Comparativo_99X00"/>
      <sheetName val="Tabela_de_Parâmetros"/>
      <sheetName val="Versao_1b_($=R$2,13)"/>
      <sheetName val="Pg_1"/>
      <sheetName val="Vol-Mix_x_Seg_AN"/>
      <sheetName val="Fechamento_Mês"/>
      <sheetName val="Fechamento_Diário"/>
      <sheetName val="High_Light"/>
      <sheetName val="%_Dispersão"/>
      <sheetName val="%_Reprovação"/>
      <sheetName val="%_Caco_Limpo_Unid_"/>
      <sheetName val="Limpeza_de_Flint"/>
      <sheetName val="Recb__Coop_"/>
      <sheetName val="Recb__Flint"/>
      <sheetName val="Apoio_Material"/>
      <sheetName val="Apoio_transp_"/>
      <sheetName val="코드"/>
      <sheetName val="_Curve Comp_x0000__x0000__x0000"/>
      <sheetName val="_Curve Comp_x005f_x0000__"/>
      <sheetName val="CausasProblemasFolios"/>
      <sheetName val="Base de datos"/>
      <sheetName val="TOP KPIs MTM"/>
      <sheetName val="Total_CDD"/>
      <sheetName val="Data Validation"/>
      <sheetName val="PozoPivot"/>
      <sheetName val="InyeccionPivot"/>
      <sheetName val="RG Depots"/>
      <sheetName val="plamarc"/>
      <sheetName val="Outubro 2018"/>
      <sheetName val="Datos Cta Balance"/>
      <sheetName val="IMMATREN"/>
      <sheetName val="prog. tv aberta ca"/>
      <sheetName val="prog. tv aberta fox"/>
      <sheetName val="TABELA_DE_PREÇOS"/>
      <sheetName val="Yield_Curve7"/>
      <sheetName val="Yield_Curve_(2)7"/>
      <sheetName val="Brazil_Sovereign7"/>
      <sheetName val="Brazil_Swap7"/>
      <sheetName val="Price_(2)7"/>
      <sheetName val="Dados_Cash7"/>
      <sheetName val="Sig_Cycles_Accts_&amp;_Processes6"/>
      <sheetName val="PackAppear__(2)6"/>
      <sheetName val="Resu_Capex6"/>
      <sheetName val="Efic_Consumo6"/>
      <sheetName val="OOO_(2)6"/>
      <sheetName val="PackAppear_6"/>
      <sheetName val="PQCM_(2)6"/>
      <sheetName val="PQRM_(2)6"/>
      <sheetName val="Res_Executivo6"/>
      <sheetName val="2001_10_Cerv6"/>
      <sheetName val="PLAN_SAC_Cerveja6"/>
      <sheetName val="PLAN_SAC_RefrigeNanc6"/>
      <sheetName val="2001_04_Cerv6"/>
      <sheetName val="Farol_SAC_Cerveja6"/>
      <sheetName val="2001_04_Nanc6"/>
      <sheetName val="Farol_SAC_Refrigenanc6"/>
      <sheetName val="Calc_16"/>
      <sheetName val="WF_China_YTD4"/>
      <sheetName val="Curve_Comparisons4"/>
      <sheetName val="Riscos-Oport_4"/>
      <sheetName val="_Curve_Comp3"/>
      <sheetName val="Relatório_SDG3"/>
      <sheetName val="EI_Calc3"/>
      <sheetName val="기간별_판매진척4"/>
      <sheetName val="요일_테이블4"/>
      <sheetName val="LBO_Model3"/>
      <sheetName val="[Curve_Comp????????????Brazil_3"/>
      <sheetName val="Balance_Fin_ajust_20043"/>
      <sheetName val="DATOS_PARA_INTERPOLACION3"/>
      <sheetName val="DPN_VALUE3"/>
      <sheetName val="Tabla_de_amortización3"/>
      <sheetName val="Curve%20Comparisons_xls"/>
      <sheetName val="Coleta_dados2"/>
      <sheetName val="IV_Confiabilidade2"/>
      <sheetName val="IV_Indisponibilidade2"/>
      <sheetName val="Check_R__Diária2"/>
      <sheetName val="Histórico_Check_R__Diária2"/>
      <sheetName val="[Curve_Comp_x005f_x0000__x005f_x0000__x0002"/>
      <sheetName val="_Curve_Comp_x005f_x0000__x005f_x0000__x0002"/>
      <sheetName val="_Curve_Comp____________Brazil_2"/>
      <sheetName val="[Curve_Comp2"/>
      <sheetName val="Comparativo_99X002"/>
      <sheetName val="Tabela_de_Parâmetros2"/>
      <sheetName val="Versao_1b_($=R$2,13)2"/>
      <sheetName val="2_주요계수총괄2"/>
      <sheetName val="Pg_12"/>
      <sheetName val="Vol-Mix_x_Seg_AN2"/>
      <sheetName val="Fechamento_Mês2"/>
      <sheetName val="Fechamento_Diário2"/>
      <sheetName val="High_Light2"/>
      <sheetName val="%_Dispersão2"/>
      <sheetName val="%_Reprovação2"/>
      <sheetName val="%_Caco_Limpo_Unid_2"/>
      <sheetName val="Limpeza_de_Flint2"/>
      <sheetName val="Recb__Coop_2"/>
      <sheetName val="Recb__Flint2"/>
      <sheetName val="Apoio_Material2"/>
      <sheetName val="Apoio_transp_2"/>
      <sheetName val="5_11"/>
      <sheetName val="INVESTMENTS_EUR1"/>
      <sheetName val="DIVESTMENTS_EUR1"/>
      <sheetName val="Price_DB1"/>
      <sheetName val="_Curve_Comp_x005f_x005f_x005f_x0000__x005f1"/>
      <sheetName val="[Curve_Comp_x005f_x005f_x005f_x0000__x005f1"/>
      <sheetName val="Données_LMU1"/>
      <sheetName val="Total_CDD1"/>
      <sheetName val="total_list1"/>
      <sheetName val="LISTA_SUSPENSA"/>
      <sheetName val="Directrices_de_Metas_2017"/>
      <sheetName val="VICTEL_($R)"/>
      <sheetName val="BC_-_Main_model"/>
      <sheetName val="Integração_-_Earned_Value"/>
      <sheetName val="BEAT_"/>
      <sheetName val="CIEL_PURIFICADA_"/>
      <sheetName val="DISNEY_"/>
      <sheetName val="FANTA_"/>
      <sheetName val="FRESCA_"/>
      <sheetName val="COCA-COLA_EXPORT"/>
      <sheetName val="COCA-COLA_LIGHT_"/>
      <sheetName val="LIFT_"/>
      <sheetName val="NESTEA_"/>
      <sheetName val="POWERADE_"/>
      <sheetName val="SENZAO_"/>
      <sheetName val="_Curve_Comp_x0000"/>
      <sheetName val="_Curve_Comp_x005f_x0000__"/>
      <sheetName val="Base_de_datos"/>
      <sheetName val="TOP_KPIs_MTM"/>
      <sheetName val="Data_Validation"/>
      <sheetName val="RG_Depots"/>
      <sheetName val="Outubro_2018"/>
      <sheetName val="prog__tv_aberta_ca"/>
      <sheetName val="prog__tv_aberta_fox"/>
      <sheetName val="TABELA_DE_PREÇOS1"/>
      <sheetName val="Yield_Curve8"/>
      <sheetName val="Yield_Curve_(2)8"/>
      <sheetName val="Brazil_Sovereign8"/>
      <sheetName val="Brazil_Swap8"/>
      <sheetName val="Price_(2)8"/>
      <sheetName val="Dados_Cash8"/>
      <sheetName val="Sig_Cycles_Accts_&amp;_Processes7"/>
      <sheetName val="PackAppear__(2)7"/>
      <sheetName val="Resu_Capex7"/>
      <sheetName val="Efic_Consumo7"/>
      <sheetName val="OOO_(2)7"/>
      <sheetName val="PackAppear_7"/>
      <sheetName val="PQCM_(2)7"/>
      <sheetName val="PQRM_(2)7"/>
      <sheetName val="Res_Executivo7"/>
      <sheetName val="2001_10_Cerv7"/>
      <sheetName val="PLAN_SAC_Cerveja7"/>
      <sheetName val="PLAN_SAC_RefrigeNanc7"/>
      <sheetName val="2001_04_Cerv7"/>
      <sheetName val="Farol_SAC_Cerveja7"/>
      <sheetName val="2001_04_Nanc7"/>
      <sheetName val="Farol_SAC_Refrigenanc7"/>
      <sheetName val="Calc_17"/>
      <sheetName val="WF_China_YTD5"/>
      <sheetName val="Curve_Comparisons5"/>
      <sheetName val="Riscos-Oport_5"/>
      <sheetName val="_Curve_Comp4"/>
      <sheetName val="Relatório_SDG4"/>
      <sheetName val="EI_Calc4"/>
      <sheetName val="기간별_판매진척5"/>
      <sheetName val="요일_테이블5"/>
      <sheetName val="LBO_Model4"/>
      <sheetName val="[Curve_Comp????????????Brazil_4"/>
      <sheetName val="Balance_Fin_ajust_20044"/>
      <sheetName val="DATOS_PARA_INTERPOLACION4"/>
      <sheetName val="DPN_VALUE4"/>
      <sheetName val="Tabla_de_amortización4"/>
      <sheetName val="Curve%20Comparisons_xls1"/>
      <sheetName val="Coleta_dados3"/>
      <sheetName val="IV_Confiabilidade3"/>
      <sheetName val="IV_Indisponibilidade3"/>
      <sheetName val="Check_R__Diária3"/>
      <sheetName val="Histórico_Check_R__Diária3"/>
      <sheetName val="[Curve_Comp_x005f_x0000__x005f_x0000__x0003"/>
      <sheetName val="_Curve_Comp_x005f_x0000__x005f_x0000__x0003"/>
      <sheetName val="_Curve_Comp____________Brazil_3"/>
      <sheetName val="[Curve_Comp3"/>
      <sheetName val="Comparativo_99X003"/>
      <sheetName val="Tabela_de_Parâmetros3"/>
      <sheetName val="Versao_1b_($=R$2,13)3"/>
      <sheetName val="2_주요계수총괄3"/>
      <sheetName val="Pg_13"/>
      <sheetName val="Vol-Mix_x_Seg_AN3"/>
      <sheetName val="Fechamento_Mês3"/>
      <sheetName val="Fechamento_Diário3"/>
      <sheetName val="High_Light3"/>
      <sheetName val="%_Dispersão3"/>
      <sheetName val="%_Reprovação3"/>
      <sheetName val="%_Caco_Limpo_Unid_3"/>
      <sheetName val="Limpeza_de_Flint3"/>
      <sheetName val="Recb__Coop_3"/>
      <sheetName val="Recb__Flint3"/>
      <sheetName val="Apoio_Material3"/>
      <sheetName val="Apoio_transp_3"/>
      <sheetName val="5_12"/>
      <sheetName val="INVESTMENTS_EUR2"/>
      <sheetName val="DIVESTMENTS_EUR2"/>
      <sheetName val="Price_DB2"/>
      <sheetName val="_Curve_Comp_x005f_x005f_x005f_x0000__x005f2"/>
      <sheetName val="[Curve_Comp_x005f_x005f_x005f_x0000__x005f2"/>
      <sheetName val="Données_LMU2"/>
      <sheetName val="Total_CDD2"/>
      <sheetName val="total_list2"/>
      <sheetName val="LISTA_SUSPENSA1"/>
      <sheetName val="Directrices_de_Metas_20171"/>
      <sheetName val="VICTEL_($R)1"/>
      <sheetName val="BC_-_Main_model1"/>
      <sheetName val="Integração_-_Earned_Value1"/>
      <sheetName val="BEAT_1"/>
      <sheetName val="CIEL_PURIFICADA_1"/>
      <sheetName val="DISNEY_1"/>
      <sheetName val="FANTA_1"/>
      <sheetName val="FRESCA_1"/>
      <sheetName val="COCA-COLA_EXPORT1"/>
      <sheetName val="COCA-COLA_LIGHT_1"/>
      <sheetName val="LIFT_1"/>
      <sheetName val="NESTEA_1"/>
      <sheetName val="POWERADE_1"/>
      <sheetName val="SENZAO_1"/>
      <sheetName val="_Curve_Comp_x005f_x0000__1"/>
      <sheetName val="Base_de_datos1"/>
      <sheetName val="TOP_KPIs_MTM1"/>
      <sheetName val="Data_Validation1"/>
      <sheetName val="RG_Depots1"/>
      <sheetName val="Outubro_20181"/>
      <sheetName val="prog__tv_aberta_ca1"/>
      <sheetName val="prog__tv_aberta_fox1"/>
      <sheetName val="distr.outdoor"/>
      <sheetName val="Datos_Cta_Bala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 refreshError="1"/>
      <sheetData sheetId="69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are Price 2002"/>
      <sheetName val="Group Comparative GAAP"/>
      <sheetName val="Group Comparative IAS"/>
      <sheetName val="R-U IAS History"/>
      <sheetName val="Cash Flow Working"/>
      <sheetName val="REPO"/>
      <sheetName val="TB GAAP"/>
      <sheetName val="TB IAS"/>
      <sheetName val="Income Statement"/>
      <sheetName val="Balance Sheet"/>
      <sheetName val="Cash Flow"/>
      <sheetName val="G-I-F Total"/>
      <sheetName val="G-I-F (RU)"/>
      <sheetName val="G-I-F (UA)"/>
      <sheetName val="FLash IAS"/>
      <sheetName val="Loans"/>
      <sheetName val="Cash Flow support"/>
      <sheetName val="Income Statement Russia and Ukr"/>
      <sheetName val="Class A Shares Outstanding"/>
      <sheetName val="Class B Shares Outstanding"/>
      <sheetName val="Dilutive Shares Outstanding"/>
      <sheetName val="EPS Working"/>
      <sheetName val="RE Working"/>
      <sheetName val="Change of Equity"/>
      <sheetName val="Sheet1"/>
      <sheetName val="Sheet2"/>
      <sheetName val="Sheet3"/>
      <sheetName val="Dados BLP"/>
      <sheetName val="Brazil Sovereign"/>
      <sheetName val="COTAÇÕES"/>
      <sheetName val="BLP"/>
      <sheetName val="bud99"/>
      <sheetName val="Par"/>
      <sheetName val="Reference"/>
      <sheetName val="Ventas"/>
      <sheetName val="Parameters"/>
      <sheetName val="Lists"/>
      <sheetName val="FR"/>
      <sheetName val="Library"/>
      <sheetName val="Cover &amp; Parameters"/>
      <sheetName val="XLR_NoRangeSheet"/>
      <sheetName val="GAAP &amp; IAS Group TB &amp; Reports Q"/>
      <sheetName val="STARTSHEET"/>
      <sheetName val="REALxMETA - CERVEJA"/>
      <sheetName val="Unidades SAC-REVENDA"/>
      <sheetName val="FX-Rates"/>
      <sheetName val="Menu"/>
      <sheetName val="Data"/>
      <sheetName val="Setting"/>
      <sheetName val="dep pre"/>
      <sheetName val="Front"/>
      <sheetName val="Версия"/>
      <sheetName val="Инструкция"/>
      <sheetName val="Расчет цикла"/>
      <sheetName val="Диаграмма"/>
      <sheetName val="Главный лист"/>
      <sheetName val="Факт"/>
      <sheetName val="Уборки"/>
      <sheetName val="Рецепты партий"/>
      <sheetName val="Рецепты"/>
      <sheetName val="Переменные"/>
      <sheetName val="Тоннаж из графика"/>
      <sheetName val="Операции"/>
      <sheetName val="Количество"/>
      <sheetName val="Прод-ть"/>
      <sheetName val="POCE"/>
      <sheetName val="MOL"/>
      <sheetName val="Empresas"/>
      <sheetName val="Participantes"/>
      <sheetName val="Tabelas"/>
      <sheetName val="FLOWCHART-03"/>
      <sheetName val="Plan1"/>
      <sheetName val="brand definitions"/>
      <sheetName val="plant"/>
      <sheetName val="PREMISAS"/>
      <sheetName val="Controls"/>
      <sheetName val="LBO Model"/>
      <sheetName val="Calc 1"/>
      <sheetName val="Eviews_Suporte"/>
      <sheetName val="WIP"/>
      <sheetName val="Validation"/>
      <sheetName val="Selection Lists"/>
      <sheetName val="progr"/>
      <sheetName val="Group_Comparative_GAAP"/>
      <sheetName val="Group_Comparative_IAS"/>
      <sheetName val="R-U_IAS_History"/>
      <sheetName val="Cash_Flow_Working"/>
      <sheetName val="TB_GAAP"/>
      <sheetName val="TB_IAS"/>
      <sheetName val="Income_Statement"/>
      <sheetName val="Balance_Sheet"/>
      <sheetName val="Cash_Flow"/>
      <sheetName val="G-I-F_Total"/>
      <sheetName val="G-I-F_(RU)"/>
      <sheetName val="G-I-F_(UA)"/>
      <sheetName val="FLash_IAS"/>
      <sheetName val="Cash_Flow_support"/>
      <sheetName val="Income_Statement_Russia_and_Ukr"/>
      <sheetName val="Class_A_Shares_Outstanding"/>
      <sheetName val="Class_B_Shares_Outstanding"/>
      <sheetName val="Dilutive_Shares_Outstanding"/>
      <sheetName val="EPS_Working"/>
      <sheetName val="Share_Price_2002"/>
      <sheetName val="RE_Working"/>
      <sheetName val="Change_of_Equity"/>
      <sheetName val="Dados_BLP"/>
      <sheetName val="Brazil_Sovereign"/>
      <sheetName val="Cover_&amp;_Parameters"/>
      <sheetName val="REALxMETA_-_CERVEJA"/>
      <sheetName val="Unidades_SAC-REVENDA"/>
      <sheetName val="GAAP_&amp;_IAS_Group_TB_&amp;_Reports_Q"/>
      <sheetName val="dep_pre"/>
      <sheetName val="Расчет_цикла"/>
      <sheetName val="Главный_лист"/>
      <sheetName val="Рецепты_партий"/>
      <sheetName val="Тоннаж_из_графика"/>
      <sheetName val="brand_definitions"/>
      <sheetName val="Group_Comparative_GAAP1"/>
      <sheetName val="Group_Comparative_IAS1"/>
      <sheetName val="R-U_IAS_History1"/>
      <sheetName val="Cash_Flow_Working1"/>
      <sheetName val="TB_GAAP1"/>
      <sheetName val="TB_IAS1"/>
      <sheetName val="Income_Statement1"/>
      <sheetName val="Balance_Sheet1"/>
      <sheetName val="Cash_Flow1"/>
      <sheetName val="G-I-F_Total1"/>
      <sheetName val="G-I-F_(RU)1"/>
      <sheetName val="G-I-F_(UA)1"/>
      <sheetName val="FLash_IAS1"/>
      <sheetName val="Cash_Flow_support1"/>
      <sheetName val="Income_Statement_Russia_and_Uk1"/>
      <sheetName val="Class_A_Shares_Outstanding1"/>
      <sheetName val="Class_B_Shares_Outstanding1"/>
      <sheetName val="Dilutive_Shares_Outstanding1"/>
      <sheetName val="EPS_Working1"/>
      <sheetName val="Share_Price_20021"/>
      <sheetName val="RE_Working1"/>
      <sheetName val="Change_of_Equity1"/>
      <sheetName val="Dados_BLP1"/>
      <sheetName val="Brazil_Sovereign1"/>
      <sheetName val="Cover_&amp;_Parameters1"/>
      <sheetName val="REALxMETA_-_CERVEJA1"/>
      <sheetName val="Unidades_SAC-REVENDA1"/>
      <sheetName val="GAAP_&amp;_IAS_Group_TB_&amp;_Reports_1"/>
      <sheetName val="dep_pre1"/>
      <sheetName val="Расчет_цикла1"/>
      <sheetName val="Главный_лист1"/>
      <sheetName val="Рецепты_партий1"/>
      <sheetName val="Тоннаж_из_графика1"/>
      <sheetName val="brand_definitions1"/>
      <sheetName val="Step2_Correlation"/>
      <sheetName val="Step2_Histogram"/>
      <sheetName val="C90_NET"/>
      <sheetName val="Data Input Sheet"/>
      <sheetName val="Volume per Region"/>
      <sheetName val="db"/>
      <sheetName val="Assum"/>
      <sheetName val="ProjectList"/>
      <sheetName val="Group_Comparative_GAAP2"/>
      <sheetName val="Group_Comparative_IAS2"/>
      <sheetName val="R-U_IAS_History2"/>
      <sheetName val="Cash_Flow_Working2"/>
      <sheetName val="TB_GAAP2"/>
      <sheetName val="TB_IAS2"/>
      <sheetName val="Income_Statement2"/>
      <sheetName val="Balance_Sheet2"/>
      <sheetName val="Cash_Flow2"/>
      <sheetName val="G-I-F_Total2"/>
      <sheetName val="G-I-F_(RU)2"/>
      <sheetName val="G-I-F_(UA)2"/>
      <sheetName val="FLash_IAS2"/>
      <sheetName val="Cash_Flow_support2"/>
      <sheetName val="Income_Statement_Russia_and_Uk2"/>
      <sheetName val="Class_A_Shares_Outstanding2"/>
      <sheetName val="Class_B_Shares_Outstanding2"/>
      <sheetName val="Dilutive_Shares_Outstanding2"/>
      <sheetName val="EPS_Working2"/>
      <sheetName val="Share_Price_20022"/>
      <sheetName val="RE_Working2"/>
      <sheetName val="Change_of_Equity2"/>
      <sheetName val="Dados_BLP2"/>
      <sheetName val="Brazil_Sovereign2"/>
      <sheetName val="Cover_&amp;_Parameters2"/>
      <sheetName val="GAAP_&amp;_IAS_Group_TB_&amp;_Reports_2"/>
      <sheetName val="REALxMETA_-_CERVEJA2"/>
      <sheetName val="Unidades_SAC-REVENDA2"/>
      <sheetName val="dep_pre2"/>
      <sheetName val="Расчет_цикла2"/>
      <sheetName val="Главный_лист2"/>
      <sheetName val="Рецепты_партий2"/>
      <sheetName val="Тоннаж_из_графика2"/>
      <sheetName val="brand_definitions2"/>
      <sheetName val="LBO_Model"/>
      <sheetName val="Calc_1"/>
      <sheetName val="Selection_Lists"/>
      <sheetName val="Data_Input_Sheet"/>
      <sheetName val="Data USA Cdn$"/>
      <sheetName val="Data USA US$"/>
      <sheetName val="FC-Bav"/>
      <sheetName val="Load Data"/>
      <sheetName val="вспом"/>
      <sheetName val="Setup"/>
      <sheetName val="UNIDADES"/>
      <sheetName val="BNR_2012 в ящике"/>
      <sheetName val="Group_Comparative_GAAP3"/>
      <sheetName val="Group_Comparative_IAS3"/>
      <sheetName val="R-U_IAS_History3"/>
      <sheetName val="Cash_Flow_Working3"/>
      <sheetName val="TB_GAAP3"/>
      <sheetName val="TB_IAS3"/>
      <sheetName val="Income_Statement3"/>
      <sheetName val="Balance_Sheet3"/>
      <sheetName val="Cash_Flow3"/>
      <sheetName val="G-I-F_Total3"/>
      <sheetName val="G-I-F_(RU)3"/>
      <sheetName val="G-I-F_(UA)3"/>
      <sheetName val="FLash_IAS3"/>
      <sheetName val="Cash_Flow_support3"/>
      <sheetName val="Income_Statement_Russia_and_Uk3"/>
      <sheetName val="Class_A_Shares_Outstanding3"/>
      <sheetName val="Class_B_Shares_Outstanding3"/>
      <sheetName val="Dilutive_Shares_Outstanding3"/>
      <sheetName val="EPS_Working3"/>
      <sheetName val="Share_Price_20023"/>
      <sheetName val="RE_Working3"/>
      <sheetName val="Change_of_Equity3"/>
      <sheetName val="Dados_BLP3"/>
      <sheetName val="Brazil_Sovereign3"/>
      <sheetName val="Cover_&amp;_Parameters3"/>
      <sheetName val="REALxMETA_-_CERVEJA3"/>
      <sheetName val="Unidades_SAC-REVENDA3"/>
      <sheetName val="GAAP_&amp;_IAS_Group_TB_&amp;_Reports_3"/>
      <sheetName val="dep_pre3"/>
      <sheetName val="Расчет_цикла3"/>
      <sheetName val="Главный_лист3"/>
      <sheetName val="Рецепты_партий3"/>
      <sheetName val="Тоннаж_из_графика3"/>
      <sheetName val="brand_definitions3"/>
      <sheetName val="LBO_Model1"/>
      <sheetName val="Calc_11"/>
      <sheetName val="Selection_Lists1"/>
      <sheetName val="Data_Input_Sheet1"/>
      <sheetName val="Volume_per_Region"/>
      <sheetName val="Data_USA_Cdn$"/>
      <sheetName val="Data_USA_US$"/>
      <sheetName val="Load_Data"/>
      <sheetName val="BNR_2012_в_ящике"/>
      <sheetName val="TGU"/>
      <sheetName val="Group_Comparative_GAAP4"/>
      <sheetName val="Group_Comparative_IAS4"/>
      <sheetName val="R-U_IAS_History4"/>
      <sheetName val="Cash_Flow_Working4"/>
      <sheetName val="TB_GAAP4"/>
      <sheetName val="TB_IAS4"/>
      <sheetName val="Income_Statement4"/>
      <sheetName val="Balance_Sheet4"/>
      <sheetName val="Cash_Flow4"/>
      <sheetName val="G-I-F_Total4"/>
      <sheetName val="G-I-F_(RU)4"/>
      <sheetName val="G-I-F_(UA)4"/>
      <sheetName val="FLash_IAS4"/>
      <sheetName val="Cash_Flow_support4"/>
      <sheetName val="Income_Statement_Russia_and_Uk4"/>
      <sheetName val="Class_A_Shares_Outstanding4"/>
      <sheetName val="Class_B_Shares_Outstanding4"/>
      <sheetName val="Dilutive_Shares_Outstanding4"/>
      <sheetName val="EPS_Working4"/>
      <sheetName val="Share_Price_20024"/>
      <sheetName val="RE_Working4"/>
      <sheetName val="Change_of_Equity4"/>
      <sheetName val="Dados_BLP4"/>
      <sheetName val="Brazil_Sovereign4"/>
      <sheetName val="Cover_&amp;_Parameters4"/>
      <sheetName val="REALxMETA_-_CERVEJA4"/>
      <sheetName val="Unidades_SAC-REVENDA4"/>
      <sheetName val="GAAP_&amp;_IAS_Group_TB_&amp;_Reports_4"/>
      <sheetName val="dep_pre4"/>
      <sheetName val="Расчет_цикла4"/>
      <sheetName val="Главный_лист4"/>
      <sheetName val="Рецепты_партий4"/>
      <sheetName val="Тоннаж_из_графика4"/>
      <sheetName val="brand_definitions4"/>
      <sheetName val="LBO_Model2"/>
      <sheetName val="Calc_12"/>
      <sheetName val="Selection_Lists2"/>
      <sheetName val="Data_Input_Sheet2"/>
      <sheetName val="Volume_per_Region1"/>
      <sheetName val="Data_USA_Cdn$1"/>
      <sheetName val="Data_USA_US$1"/>
      <sheetName val="Load_Data1"/>
      <sheetName val="BNR_2012_в_ящике1"/>
      <sheetName val="Dub. L+L"/>
      <sheetName val="Diaria"/>
      <sheetName val="ТехЛинии"/>
      <sheetName val="DATVAR"/>
      <sheetName val="#BEZUG"/>
      <sheetName val="Group_Comparative_GAAP5"/>
      <sheetName val="Group_Comparative_IAS5"/>
      <sheetName val="R-U_IAS_History5"/>
      <sheetName val="Cash_Flow_Working5"/>
      <sheetName val="TB_GAAP5"/>
      <sheetName val="TB_IAS5"/>
      <sheetName val="Income_Statement5"/>
      <sheetName val="Balance_Sheet5"/>
      <sheetName val="Cash_Flow5"/>
      <sheetName val="G-I-F_Total5"/>
      <sheetName val="G-I-F_(RU)5"/>
      <sheetName val="G-I-F_(UA)5"/>
      <sheetName val="FLash_IAS5"/>
      <sheetName val="Cash_Flow_support5"/>
      <sheetName val="Income_Statement_Russia_and_Uk5"/>
      <sheetName val="Class_A_Shares_Outstanding5"/>
      <sheetName val="Class_B_Shares_Outstanding5"/>
      <sheetName val="Dilutive_Shares_Outstanding5"/>
      <sheetName val="EPS_Working5"/>
      <sheetName val="Share_Price_20025"/>
      <sheetName val="RE_Working5"/>
      <sheetName val="Change_of_Equity5"/>
      <sheetName val="Dados_BLP5"/>
      <sheetName val="Brazil_Sovereign5"/>
      <sheetName val="Cover_&amp;_Parameters5"/>
      <sheetName val="REALxMETA_-_CERVEJA5"/>
      <sheetName val="Unidades_SAC-REVENDA5"/>
      <sheetName val="GAAP_&amp;_IAS_Group_TB_&amp;_Reports_5"/>
      <sheetName val="dep_pre5"/>
      <sheetName val="Расчет_цикла5"/>
      <sheetName val="Главный_лист5"/>
      <sheetName val="Рецепты_партий5"/>
      <sheetName val="Тоннаж_из_графика5"/>
      <sheetName val="brand_definitions5"/>
      <sheetName val="LBO_Model3"/>
      <sheetName val="Calc_13"/>
      <sheetName val="Selection_Lists3"/>
      <sheetName val="Data_Input_Sheet3"/>
      <sheetName val="Volume_per_Region2"/>
      <sheetName val="Data_USA_Cdn$2"/>
      <sheetName val="Data_USA_US$2"/>
      <sheetName val="Load_Data2"/>
      <sheetName val="BNR_2012_в_ящике2"/>
      <sheetName val="Dub__L+L"/>
      <sheetName val="Mapping"/>
      <sheetName val="Database"/>
      <sheetName val="Changes made Zone DB (Nikhil)"/>
      <sheetName val="Changes made Cat DForm (Nikhil)"/>
      <sheetName val="DForm Database"/>
      <sheetName val="Changes made FX DForm (Nikhil)"/>
      <sheetName val="FX"/>
      <sheetName val="Country table"/>
      <sheetName val="Consol"/>
      <sheetName val="Manual Corrections"/>
      <sheetName val="Summary"/>
      <sheetName val="Instructions"/>
      <sheetName val="Subreason code"/>
      <sheetName val="Remarks"/>
      <sheetName val="Cover"/>
      <sheetName val="2ITW"/>
      <sheetName val="2ITW (excl BASS)"/>
      <sheetName val="X1AME"/>
      <sheetName val="X2BU"/>
      <sheetName val="X2CA"/>
      <sheetName val="X2US"/>
      <sheetName val="X1WEU"/>
      <sheetName val="X2BE"/>
      <sheetName val="X2FR"/>
      <sheetName val="X2NL"/>
      <sheetName val="X2LU"/>
      <sheetName val="X2MA"/>
      <sheetName val="X2GB"/>
      <sheetName val="X2IT"/>
      <sheetName val="X2ES"/>
      <sheetName val="X2DE"/>
      <sheetName val="X1CEU"/>
      <sheetName val="X2BG"/>
      <sheetName val="X2BH"/>
      <sheetName val="X2CR"/>
      <sheetName val="X2CZ"/>
      <sheetName val="X2HU"/>
      <sheetName val="X2MO"/>
      <sheetName val="X2RO"/>
      <sheetName val="X2SL"/>
      <sheetName val="X1EEU"/>
      <sheetName val="X2RU"/>
      <sheetName val="X2UA"/>
      <sheetName val="X1ASI"/>
      <sheetName val="X2CN"/>
      <sheetName val="X2KR"/>
      <sheetName val="PARE"/>
      <sheetName val="X1UK"/>
      <sheetName val="INTE"/>
      <sheetName val="SD"/>
      <sheetName val="Check Zones"/>
      <sheetName val="Check Countries"/>
      <sheetName val="Overview check"/>
      <sheetName val="LUSA"/>
      <sheetName val="BNA"/>
      <sheetName val="BASSUS"/>
      <sheetName val="DB2002"/>
      <sheetName val="Changes_made_Zone_DB_(Nikhil)"/>
      <sheetName val="Changes_made_Cat_DForm_(Nikhil)"/>
      <sheetName val="DForm_Database"/>
      <sheetName val="Changes_made_FX_DForm_(Nikhil)"/>
      <sheetName val="Country_table"/>
      <sheetName val="Manual_Corrections"/>
      <sheetName val="은행"/>
      <sheetName val="6 - Analítico"/>
      <sheetName val=""/>
      <sheetName val="Group_Comparative_GAAP6"/>
      <sheetName val="Group_Comparative_IAS6"/>
      <sheetName val="R-U_IAS_History6"/>
      <sheetName val="Cash_Flow_Working6"/>
      <sheetName val="TB_GAAP6"/>
      <sheetName val="TB_IAS6"/>
      <sheetName val="Income_Statement6"/>
      <sheetName val="Balance_Sheet6"/>
      <sheetName val="Cash_Flow6"/>
      <sheetName val="G-I-F_Total6"/>
      <sheetName val="G-I-F_(RU)6"/>
      <sheetName val="G-I-F_(UA)6"/>
      <sheetName val="FLash_IAS6"/>
      <sheetName val="Cash_Flow_support6"/>
      <sheetName val="Income_Statement_Russia_and_Uk6"/>
      <sheetName val="Class_A_Shares_Outstanding6"/>
      <sheetName val="Class_B_Shares_Outstanding6"/>
      <sheetName val="Dilutive_Shares_Outstanding6"/>
      <sheetName val="EPS_Working6"/>
      <sheetName val="Share_Price_20026"/>
      <sheetName val="RE_Working6"/>
      <sheetName val="Change_of_Equity6"/>
      <sheetName val="Dados_BLP6"/>
      <sheetName val="Brazil_Sovereign6"/>
      <sheetName val="Cover_&amp;_Parameters6"/>
      <sheetName val="GAAP_&amp;_IAS_Group_TB_&amp;_Reports_6"/>
      <sheetName val="REALxMETA_-_CERVEJA6"/>
      <sheetName val="Unidades_SAC-REVENDA6"/>
      <sheetName val="dep_pre6"/>
      <sheetName val="Расчет_цикла6"/>
      <sheetName val="Главный_лист6"/>
      <sheetName val="Рецепты_партий6"/>
      <sheetName val="Тоннаж_из_графика6"/>
      <sheetName val="brand_definitions6"/>
      <sheetName val="LBO_Model4"/>
      <sheetName val="Calc_14"/>
      <sheetName val="Selection_Lists4"/>
      <sheetName val="Data_Input_Sheet4"/>
      <sheetName val="Volume_per_Region3"/>
      <sheetName val="Data_USA_Cdn$3"/>
      <sheetName val="Data_USA_US$3"/>
      <sheetName val="Load_Data3"/>
      <sheetName val="BNR_2012_в_ящике3"/>
      <sheetName val="Dub__L+L1"/>
      <sheetName val="Group_Comparative_GAAP7"/>
      <sheetName val="Group_Comparative_IAS7"/>
      <sheetName val="R-U_IAS_History7"/>
      <sheetName val="Cash_Flow_Working7"/>
      <sheetName val="TB_GAAP7"/>
      <sheetName val="TB_IAS7"/>
      <sheetName val="Income_Statement7"/>
      <sheetName val="Balance_Sheet7"/>
      <sheetName val="Cash_Flow7"/>
      <sheetName val="G-I-F_Total7"/>
      <sheetName val="G-I-F_(RU)7"/>
      <sheetName val="G-I-F_(UA)7"/>
      <sheetName val="FLash_IAS7"/>
      <sheetName val="Cash_Flow_support7"/>
      <sheetName val="Income_Statement_Russia_and_Uk7"/>
      <sheetName val="Class_A_Shares_Outstanding7"/>
      <sheetName val="Class_B_Shares_Outstanding7"/>
      <sheetName val="Dilutive_Shares_Outstanding7"/>
      <sheetName val="EPS_Working7"/>
      <sheetName val="Share_Price_20027"/>
      <sheetName val="RE_Working7"/>
      <sheetName val="Change_of_Equity7"/>
      <sheetName val="Dados_BLP7"/>
      <sheetName val="Brazil_Sovereign7"/>
      <sheetName val="Cover_&amp;_Parameters7"/>
      <sheetName val="GAAP_&amp;_IAS_Group_TB_&amp;_Reports_7"/>
      <sheetName val="REALxMETA_-_CERVEJA7"/>
      <sheetName val="Unidades_SAC-REVENDA7"/>
      <sheetName val="dep_pre7"/>
      <sheetName val="Расчет_цикла7"/>
      <sheetName val="Главный_лист7"/>
      <sheetName val="Рецепты_партий7"/>
      <sheetName val="Тоннаж_из_графика7"/>
      <sheetName val="brand_definitions7"/>
      <sheetName val="LBO_Model5"/>
      <sheetName val="Calc_15"/>
      <sheetName val="Selection_Lists5"/>
      <sheetName val="Data_Input_Sheet5"/>
      <sheetName val="Volume_per_Region4"/>
      <sheetName val="Data_USA_Cdn$4"/>
      <sheetName val="Data_USA_US$4"/>
      <sheetName val="Load_Data4"/>
      <sheetName val="BNR_2012_в_ящике4"/>
      <sheetName val="Dub__L+L2"/>
      <sheetName val="References"/>
      <sheetName val="SysCategory"/>
      <sheetName val="2ITW_(excl_BASS)"/>
      <sheetName val="Check_Zones"/>
      <sheetName val="Check_Countries"/>
      <sheetName val="Overview_check"/>
      <sheetName val="Data USA Adj US$"/>
      <sheetName val="BU16 FX"/>
      <sheetName val="Valsum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 refreshError="1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/>
      <sheetData sheetId="67" refreshError="1"/>
      <sheetData sheetId="68" refreshError="1"/>
      <sheetData sheetId="69" refreshError="1"/>
      <sheetData sheetId="70" refreshError="1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 refreshError="1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 refreshError="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/>
      <sheetData sheetId="399"/>
      <sheetData sheetId="400"/>
      <sheetData sheetId="401"/>
      <sheetData sheetId="402"/>
      <sheetData sheetId="403"/>
      <sheetData sheetId="404" refreshError="1"/>
      <sheetData sheetId="405" refreshError="1"/>
      <sheetData sheetId="406" refreshError="1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 refreshError="1"/>
      <sheetData sheetId="496" refreshError="1"/>
      <sheetData sheetId="497"/>
      <sheetData sheetId="498"/>
      <sheetData sheetId="499"/>
      <sheetData sheetId="500"/>
      <sheetData sheetId="501" refreshError="1"/>
      <sheetData sheetId="502" refreshError="1"/>
      <sheetData sheetId="50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CAL MERCHAN"/>
      <sheetName val="Proposta Comercial"/>
      <sheetName val="base TV"/>
      <sheetName val="Proposta Comercial-Projeto"/>
      <sheetName val="PLANOS COMERCIAIS SEMANA"/>
      <sheetName val="SABESP"/>
      <sheetName val="BRANDED CONTENT"/>
      <sheetName val="BAND REDE"/>
      <sheetName val="Conversão-Mercha"/>
      <sheetName val="base radio"/>
      <sheetName val="Tabela Vibra"/>
      <sheetName val="Simulcast"/>
      <sheetName val="Impressões_Simulcast"/>
      <sheetName val="base paytv"/>
      <sheetName val="GRADE TV"/>
      <sheetName val="TABELA NET"/>
      <sheetName val="TABELA LOCAL"/>
      <sheetName val="Pesquisa TV"/>
      <sheetName val="Ranking de adequação"/>
      <sheetName val="calculo rk"/>
    </sheetNames>
    <sheetDataSet>
      <sheetData sheetId="0" refreshError="1"/>
      <sheetData sheetId="1" refreshError="1"/>
      <sheetData sheetId="2">
        <row r="2">
          <cell r="D2" t="str">
            <v>NACIONAL</v>
          </cell>
          <cell r="M2" t="str">
            <v>SÃO PAULO</v>
          </cell>
          <cell r="N2" t="str">
            <v>PRESIDENTE PRUDENTE</v>
          </cell>
          <cell r="O2" t="str">
            <v>CAMPINAS</v>
          </cell>
          <cell r="P2" t="str">
            <v>TAUBATÉ</v>
          </cell>
          <cell r="Q2" t="str">
            <v>RIBEIRÃO PRETO</v>
          </cell>
          <cell r="R2" t="str">
            <v>SANTOS</v>
          </cell>
          <cell r="S2" t="str">
            <v>RIO DE JANEIRO</v>
          </cell>
          <cell r="T2" t="str">
            <v>BARRA MANSA</v>
          </cell>
          <cell r="U2" t="str">
            <v>BELO HORIZONTE</v>
          </cell>
          <cell r="V2" t="str">
            <v>UBERABA</v>
          </cell>
          <cell r="W2" t="str">
            <v>VITÓRIA</v>
          </cell>
          <cell r="X2" t="str">
            <v>CURITIBA</v>
          </cell>
          <cell r="Y2" t="str">
            <v>CASCAVEL</v>
          </cell>
          <cell r="Z2" t="str">
            <v>MARINGÁ</v>
          </cell>
          <cell r="AA2" t="str">
            <v>LONDRINA</v>
          </cell>
          <cell r="AB2" t="str">
            <v>PORTO ALEGRE</v>
          </cell>
          <cell r="AC2" t="str">
            <v>FLORIANÓPOLIS</v>
          </cell>
          <cell r="AD2" t="str">
            <v>BRASÍLIA</v>
          </cell>
          <cell r="AE2" t="str">
            <v>GOIÂNIA</v>
          </cell>
          <cell r="AF2" t="str">
            <v>RIO VERDE</v>
          </cell>
          <cell r="AG2" t="str">
            <v>CUIABÁ</v>
          </cell>
          <cell r="AH2" t="str">
            <v>CÁCERES</v>
          </cell>
          <cell r="AI2" t="str">
            <v>NOVA MUTUM</v>
          </cell>
          <cell r="AJ2" t="str">
            <v>CAMPO GRANDE</v>
          </cell>
          <cell r="AK2" t="str">
            <v>SALVADOR</v>
          </cell>
          <cell r="AL2" t="str">
            <v>ARACAJU</v>
          </cell>
          <cell r="AM2" t="str">
            <v>RECIFE</v>
          </cell>
          <cell r="AN2" t="str">
            <v>NATAL</v>
          </cell>
          <cell r="AO2" t="str">
            <v>MACEIÓ</v>
          </cell>
          <cell r="AP2" t="str">
            <v>FORTALEZA</v>
          </cell>
          <cell r="AQ2" t="str">
            <v>JOÃO PESSOA</v>
          </cell>
          <cell r="AR2" t="str">
            <v>TERESINA</v>
          </cell>
          <cell r="AS2" t="str">
            <v>SÃO LUÍS</v>
          </cell>
          <cell r="AT2" t="str">
            <v>IMPERATRIZ</v>
          </cell>
          <cell r="AU2" t="str">
            <v>BELÉM</v>
          </cell>
          <cell r="AV2" t="str">
            <v>MARABÁ</v>
          </cell>
          <cell r="AW2" t="str">
            <v>SANTARÉM</v>
          </cell>
          <cell r="AX2" t="str">
            <v>MANAUS</v>
          </cell>
          <cell r="AY2" t="str">
            <v>PORTO VELHO</v>
          </cell>
          <cell r="AZ2" t="str">
            <v>RIO BRANCO</v>
          </cell>
          <cell r="BA2" t="str">
            <v>GURUPI</v>
          </cell>
          <cell r="BB2" t="str">
            <v>ARAGUAÍNA</v>
          </cell>
          <cell r="BC2" t="str">
            <v>BOA VISTA</v>
          </cell>
          <cell r="BD2" t="str">
            <v>MACAPÁ</v>
          </cell>
        </row>
        <row r="3">
          <cell r="M3" t="str">
            <v>SAO</v>
          </cell>
          <cell r="N3" t="str">
            <v>PPB</v>
          </cell>
          <cell r="O3" t="str">
            <v>CPQ</v>
          </cell>
          <cell r="P3" t="str">
            <v>TAU</v>
          </cell>
          <cell r="Q3" t="str">
            <v>RAO</v>
          </cell>
          <cell r="R3" t="str">
            <v>SAN</v>
          </cell>
          <cell r="S3" t="str">
            <v>RIO</v>
          </cell>
          <cell r="T3" t="str">
            <v>BAM</v>
          </cell>
          <cell r="U3" t="str">
            <v>BHZ</v>
          </cell>
          <cell r="V3" t="str">
            <v>UBA</v>
          </cell>
          <cell r="W3" t="str">
            <v>VIX</v>
          </cell>
          <cell r="X3" t="str">
            <v>CWB</v>
          </cell>
          <cell r="Y3" t="str">
            <v>CAC</v>
          </cell>
          <cell r="Z3" t="str">
            <v>MGF</v>
          </cell>
          <cell r="AA3" t="str">
            <v>LDB</v>
          </cell>
          <cell r="AB3" t="str">
            <v>POA</v>
          </cell>
          <cell r="AC3" t="str">
            <v>FLN</v>
          </cell>
          <cell r="AD3" t="str">
            <v>BSB</v>
          </cell>
          <cell r="AE3" t="str">
            <v>GYN</v>
          </cell>
          <cell r="AF3" t="str">
            <v>RVD</v>
          </cell>
          <cell r="AG3" t="str">
            <v>CGB</v>
          </cell>
          <cell r="AH3" t="str">
            <v>CCR</v>
          </cell>
          <cell r="AI3" t="str">
            <v>MTU</v>
          </cell>
          <cell r="AJ3" t="str">
            <v>CGR</v>
          </cell>
          <cell r="AK3" t="str">
            <v>SSA</v>
          </cell>
          <cell r="AL3" t="str">
            <v>AJU</v>
          </cell>
          <cell r="AM3" t="str">
            <v>REC</v>
          </cell>
          <cell r="AN3" t="str">
            <v>NAT</v>
          </cell>
          <cell r="AO3" t="str">
            <v>MCZ</v>
          </cell>
          <cell r="AP3" t="str">
            <v>FOR</v>
          </cell>
          <cell r="AQ3" t="str">
            <v>JPA</v>
          </cell>
          <cell r="AR3" t="str">
            <v>THE</v>
          </cell>
          <cell r="AS3" t="str">
            <v>SLZ</v>
          </cell>
          <cell r="AT3" t="str">
            <v>IMP</v>
          </cell>
          <cell r="AU3" t="str">
            <v>BEL</v>
          </cell>
          <cell r="AV3" t="str">
            <v>MAB</v>
          </cell>
          <cell r="AW3" t="str">
            <v>STM</v>
          </cell>
          <cell r="AX3" t="str">
            <v>MAO</v>
          </cell>
          <cell r="AY3" t="str">
            <v>PVH</v>
          </cell>
          <cell r="AZ3" t="str">
            <v>RBR</v>
          </cell>
          <cell r="BA3" t="str">
            <v>GRP</v>
          </cell>
          <cell r="BB3" t="str">
            <v>AUX</v>
          </cell>
          <cell r="BC3" t="str">
            <v>BVB</v>
          </cell>
          <cell r="BD3" t="str">
            <v>MCP</v>
          </cell>
        </row>
        <row r="4">
          <cell r="M4" t="str">
            <v>SP1</v>
          </cell>
          <cell r="N4" t="str">
            <v>SP2</v>
          </cell>
          <cell r="O4" t="str">
            <v>SP3</v>
          </cell>
          <cell r="P4" t="str">
            <v>SP4</v>
          </cell>
          <cell r="Q4" t="str">
            <v xml:space="preserve">  SP5</v>
          </cell>
          <cell r="R4" t="str">
            <v>SP7</v>
          </cell>
          <cell r="S4" t="str">
            <v>RJ1</v>
          </cell>
          <cell r="T4" t="str">
            <v>RJ2</v>
          </cell>
          <cell r="U4" t="str">
            <v>MG1</v>
          </cell>
          <cell r="V4" t="str">
            <v>MG2</v>
          </cell>
          <cell r="W4" t="str">
            <v>VIT</v>
          </cell>
          <cell r="X4" t="str">
            <v>PR1</v>
          </cell>
          <cell r="Y4" t="str">
            <v>PR2</v>
          </cell>
          <cell r="Z4" t="str">
            <v>PR3</v>
          </cell>
          <cell r="AA4" t="str">
            <v>PR4</v>
          </cell>
          <cell r="AB4" t="str">
            <v>RS1</v>
          </cell>
          <cell r="AC4" t="str">
            <v>SC1</v>
          </cell>
          <cell r="AD4" t="str">
            <v>BRA</v>
          </cell>
          <cell r="AE4" t="str">
            <v>GOI</v>
          </cell>
          <cell r="AF4" t="str">
            <v>GO2</v>
          </cell>
          <cell r="AG4" t="str">
            <v>MT1</v>
          </cell>
          <cell r="AH4" t="str">
            <v>MT2</v>
          </cell>
          <cell r="AI4" t="str">
            <v>MT3</v>
          </cell>
          <cell r="AJ4" t="str">
            <v>CGR</v>
          </cell>
          <cell r="AK4" t="str">
            <v>SAL</v>
          </cell>
          <cell r="AL4" t="str">
            <v>AJU</v>
          </cell>
          <cell r="AM4" t="str">
            <v>REC</v>
          </cell>
          <cell r="AN4" t="str">
            <v>NAT</v>
          </cell>
          <cell r="AO4" t="str">
            <v>MAC</v>
          </cell>
          <cell r="AP4" t="str">
            <v>CE1</v>
          </cell>
          <cell r="AQ4" t="str">
            <v>JPE</v>
          </cell>
          <cell r="AR4" t="str">
            <v>PI1</v>
          </cell>
          <cell r="AS4" t="str">
            <v>MA1</v>
          </cell>
          <cell r="AT4" t="str">
            <v>MA4</v>
          </cell>
          <cell r="AU4" t="str">
            <v>BEL</v>
          </cell>
          <cell r="AV4" t="str">
            <v>PA2</v>
          </cell>
          <cell r="AW4" t="str">
            <v>PA3</v>
          </cell>
          <cell r="AX4" t="str">
            <v>MAN</v>
          </cell>
          <cell r="AY4" t="str">
            <v>POV</v>
          </cell>
          <cell r="AZ4" t="str">
            <v>RBR</v>
          </cell>
          <cell r="BA4" t="str">
            <v>TO2</v>
          </cell>
          <cell r="BB4" t="str">
            <v>TO3</v>
          </cell>
          <cell r="BC4" t="str">
            <v>BVT</v>
          </cell>
          <cell r="BD4" t="str">
            <v>MCP</v>
          </cell>
        </row>
        <row r="5">
          <cell r="G5" t="str">
            <v>-Selecionar-</v>
          </cell>
        </row>
        <row r="6">
          <cell r="G6" t="str">
            <v>AGRO BAND</v>
          </cell>
        </row>
        <row r="7">
          <cell r="G7" t="str">
            <v>APITO FINAL</v>
          </cell>
        </row>
        <row r="8">
          <cell r="G8" t="str">
            <v>ALMA DE GIGANTE</v>
          </cell>
        </row>
        <row r="9">
          <cell r="G9" t="str">
            <v>BAND ESPORTE CLUBE</v>
          </cell>
        </row>
        <row r="10">
          <cell r="G10" t="str">
            <v>BAND ESPORTE</v>
          </cell>
        </row>
        <row r="11">
          <cell r="G11" t="str">
            <v>BORA BRASIL</v>
          </cell>
        </row>
        <row r="12">
          <cell r="G12" t="str">
            <v>BRASIL URGENTE</v>
          </cell>
        </row>
        <row r="13">
          <cell r="G13" t="str">
            <v>BWF LUTA LIVRE</v>
          </cell>
        </row>
        <row r="14">
          <cell r="G14" t="str">
            <v>CAFÉ COM AROMA DE MULHER</v>
          </cell>
        </row>
        <row r="15">
          <cell r="G15" t="str">
            <v>CAMPEONATO SAUDITA</v>
          </cell>
        </row>
        <row r="16">
          <cell r="G16" t="str">
            <v>CANAL LIVRE</v>
          </cell>
        </row>
        <row r="17">
          <cell r="G17" t="str">
            <v>CINE CLUBE</v>
          </cell>
        </row>
        <row r="18">
          <cell r="G18" t="str">
            <v>PAPO COM SABOR - REAPRESENTAÇÃO</v>
          </cell>
        </row>
        <row r="19">
          <cell r="G19" t="str">
            <v>CINE PRIVÉ</v>
          </cell>
        </row>
        <row r="20">
          <cell r="G20" t="str">
            <v>CHAMA NO PRIVÉ</v>
          </cell>
        </row>
        <row r="21">
          <cell r="G21" t="str">
            <v>CINEMA NA MADRUGADA</v>
          </cell>
        </row>
        <row r="22">
          <cell r="G22" t="str">
            <v>COPA TRUCK</v>
          </cell>
        </row>
        <row r="23">
          <cell r="G23" t="str">
            <v>DESTINOS</v>
          </cell>
        </row>
        <row r="24">
          <cell r="G24" t="str">
            <v>DE ONDE VEM</v>
          </cell>
        </row>
        <row r="25">
          <cell r="G25" t="str">
            <v>DO LEVAIN AO PÃO</v>
          </cell>
        </row>
        <row r="26">
          <cell r="G26" t="str">
            <v xml:space="preserve">DOCUMENTO BAND </v>
          </cell>
        </row>
        <row r="27">
          <cell r="G27" t="str">
            <v>DOMINGO NO CINEMA</v>
          </cell>
        </row>
        <row r="28">
          <cell r="G28" t="str">
            <v>ECONOMIA PRA VOCÊ</v>
          </cell>
        </row>
        <row r="29">
          <cell r="G29" t="str">
            <v>EUROPA LEAGUE</v>
          </cell>
        </row>
        <row r="30">
          <cell r="G30" t="str">
            <v>ESPORTE TOTAL</v>
          </cell>
        </row>
        <row r="31">
          <cell r="G31" t="str">
            <v>ESTILO ARTE1</v>
          </cell>
        </row>
        <row r="32">
          <cell r="G32" t="str">
            <v>ESTAÇÃO CINEMA</v>
          </cell>
        </row>
        <row r="33">
          <cell r="G33" t="str">
            <v>FÓRMULA 1</v>
          </cell>
        </row>
        <row r="34">
          <cell r="G34" t="str">
            <v>FÓRMULA 1 - TREINO CLASSIFICATÓRIO</v>
          </cell>
        </row>
        <row r="35">
          <cell r="G35" t="str">
            <v>FÓRMULA 2</v>
          </cell>
        </row>
        <row r="36">
          <cell r="G36" t="str">
            <v>FÓRMULA 3</v>
          </cell>
        </row>
        <row r="37">
          <cell r="G37" t="str">
            <v>FÓRMULA E</v>
          </cell>
        </row>
        <row r="38">
          <cell r="G38" t="str">
            <v>FÓRMULA BAND</v>
          </cell>
        </row>
        <row r="39">
          <cell r="G39" t="str">
            <v>FÓRMULA 1 - COMPACTO</v>
          </cell>
        </row>
        <row r="40">
          <cell r="G40" t="str">
            <v>GALVÃO &amp; AMIGOS</v>
          </cell>
        </row>
        <row r="41">
          <cell r="G41" t="str">
            <v>GAME SHOW BANDBET</v>
          </cell>
        </row>
        <row r="42">
          <cell r="G42" t="str">
            <v>LARGADOS E PELADOS</v>
          </cell>
        </row>
        <row r="43">
          <cell r="G43" t="str">
            <v>O MUNDO SEGUNDO OS BRASILEIROS - EM DEFINIÇÃO</v>
          </cell>
        </row>
        <row r="44">
          <cell r="G44" t="str">
            <v>JANTAR O QUÊ</v>
          </cell>
        </row>
        <row r="45">
          <cell r="G45" t="str">
            <v>JOGO ABERTO</v>
          </cell>
        </row>
        <row r="46">
          <cell r="G46" t="str">
            <v>JORNAL BANDNEWS - GIRO DE NOTÍCIAS</v>
          </cell>
        </row>
        <row r="47">
          <cell r="G47" t="str">
            <v>JORNAL DA BAND</v>
          </cell>
        </row>
        <row r="48">
          <cell r="G48" t="str">
            <v>JORNAL DA BAND - REAPRESENTAÇÃO</v>
          </cell>
        </row>
        <row r="49">
          <cell r="G49" t="str">
            <v>JORNAL DA NOITE</v>
          </cell>
        </row>
        <row r="50">
          <cell r="G50" t="str">
            <v>LADIES CUP FINAL</v>
          </cell>
        </row>
        <row r="51">
          <cell r="G51" t="str">
            <v>LÁ NO MERCADÃO</v>
          </cell>
        </row>
        <row r="52">
          <cell r="G52" t="str">
            <v xml:space="preserve">DO SIMPLES AO ESPETACULAR </v>
          </cell>
        </row>
        <row r="53">
          <cell r="G53" t="str">
            <v xml:space="preserve">DIRETO NA BRASA </v>
          </cell>
        </row>
        <row r="54">
          <cell r="G54" t="str">
            <v>SABORES DE SP</v>
          </cell>
        </row>
        <row r="55">
          <cell r="G55" t="str">
            <v>LINHA DE COMBATE - REAPRESENTAÇÃO</v>
          </cell>
        </row>
        <row r="56">
          <cell r="G56" t="str">
            <v>MASTERCHEF AMADORES</v>
          </cell>
        </row>
        <row r="57">
          <cell r="G57" t="str">
            <v>MASTERCHEF AMADORES - REAPRESENTAÇÃO</v>
          </cell>
        </row>
        <row r="58">
          <cell r="G58" t="str">
            <v>MASTERCHEF A PRÉVIA</v>
          </cell>
        </row>
        <row r="59">
          <cell r="G59" t="str">
            <v>MELHOR DA NOITE</v>
          </cell>
        </row>
        <row r="60">
          <cell r="G60" t="str">
            <v>MELHOR DA TARDE</v>
          </cell>
        </row>
        <row r="61">
          <cell r="G61" t="str">
            <v>MESTRE DO DRYWALL</v>
          </cell>
        </row>
        <row r="62">
          <cell r="G62" t="str">
            <v>NA COZINHA DA HELÔ</v>
          </cell>
        </row>
        <row r="63">
          <cell r="G63" t="str">
            <v>ORIGENS DO SABOR</v>
          </cell>
        </row>
        <row r="64">
          <cell r="G64" t="str">
            <v>O MELHOR DO UFC</v>
          </cell>
        </row>
        <row r="65">
          <cell r="G65" t="str">
            <v>O MELHOR PRATO</v>
          </cell>
        </row>
        <row r="66">
          <cell r="G66" t="str">
            <v>PAPO COM SABOR - REAPRESENTAÇÃO</v>
          </cell>
        </row>
        <row r="67">
          <cell r="G67" t="str">
            <v>PERRENGUE DO DIA</v>
          </cell>
        </row>
        <row r="68">
          <cell r="G68" t="str">
            <v>PERRENGUE NA BAND</v>
          </cell>
        </row>
        <row r="69">
          <cell r="G69" t="str">
            <v xml:space="preserve">PESADELO NA COZINHA </v>
          </cell>
        </row>
        <row r="70">
          <cell r="G70" t="str">
            <v xml:space="preserve">PLANETA SELVAGEM </v>
          </cell>
        </row>
        <row r="71">
          <cell r="G71" t="str">
            <v>PLANETA SELVAGEM</v>
          </cell>
        </row>
        <row r="72">
          <cell r="G72" t="str">
            <v>PORSCHE CUP</v>
          </cell>
        </row>
        <row r="73">
          <cell r="G73" t="str">
            <v>PURA PESCA</v>
          </cell>
        </row>
        <row r="74">
          <cell r="G74" t="str">
            <v xml:space="preserve">REMO E RUMOS </v>
          </cell>
        </row>
        <row r="75">
          <cell r="G75" t="str">
            <v>RESENHA DO GALINHO</v>
          </cell>
        </row>
        <row r="76">
          <cell r="G76" t="str">
            <v>SABADÃO DE TODOS</v>
          </cell>
        </row>
        <row r="77">
          <cell r="G77" t="str">
            <v>SESSÃO ESPECIAL</v>
          </cell>
        </row>
        <row r="78">
          <cell r="G78" t="str">
            <v xml:space="preserve">SESSÃO ESPECIAL </v>
          </cell>
        </row>
        <row r="79">
          <cell r="G79" t="str">
            <v>SEX PRIVÉ CLUBE</v>
          </cell>
        </row>
        <row r="80">
          <cell r="G80" t="str">
            <v>CHAMA NO PRIVÊ</v>
          </cell>
        </row>
        <row r="81">
          <cell r="G81" t="str">
            <v>SFT</v>
          </cell>
        </row>
        <row r="82">
          <cell r="G82" t="str">
            <v>SHOW DO ESPORTE</v>
          </cell>
        </row>
        <row r="83">
          <cell r="G83" t="str">
            <v>STOCK CAR</v>
          </cell>
        </row>
        <row r="84">
          <cell r="G84" t="str">
            <v>NOVELA I</v>
          </cell>
        </row>
        <row r="85">
          <cell r="G85" t="str">
            <v>VIDA DE MERENDEIRA</v>
          </cell>
        </row>
        <row r="86">
          <cell r="G86" t="str">
            <v>DESAFIO EM DOSE DUPLA</v>
          </cell>
        </row>
        <row r="87">
          <cell r="G87" t="str">
            <v>THE BLACKLIST</v>
          </cell>
        </row>
        <row r="88">
          <cell r="G88" t="str">
            <v>TOP CINE</v>
          </cell>
        </row>
        <row r="89">
          <cell r="G89" t="str">
            <v>UFC</v>
          </cell>
        </row>
        <row r="90">
          <cell r="G90" t="str">
            <v>WEC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2">
          <cell r="B2" t="str">
            <v xml:space="preserve"> -FORMATOS- (Selecionar)</v>
          </cell>
        </row>
        <row r="57">
          <cell r="B57" t="str">
            <v>CACHE</v>
          </cell>
          <cell r="C57" t="str">
            <v>APRESENTADOR</v>
          </cell>
        </row>
        <row r="58">
          <cell r="B58" t="str">
            <v>PROGRAMA</v>
          </cell>
          <cell r="C58" t="str">
            <v>COD.</v>
          </cell>
          <cell r="D58" t="str">
            <v>Selecionar</v>
          </cell>
          <cell r="F58" t="str">
            <v>Porcentagem</v>
          </cell>
          <cell r="G58" t="str">
            <v>Mínimo</v>
          </cell>
          <cell r="H58" t="str">
            <v>Adicional</v>
          </cell>
        </row>
        <row r="59">
          <cell r="A59" t="str">
            <v>0</v>
          </cell>
          <cell r="B59" t="str">
            <v>APRESENTADOR COMERCIAL</v>
          </cell>
          <cell r="D59" t="str">
            <v xml:space="preserve"> Felipe Fonseca</v>
          </cell>
          <cell r="G59">
            <v>250</v>
          </cell>
          <cell r="I59" t="str">
            <v>Felipe Fonseca - Testemunhal / Ação diferenciada é negociado o valor</v>
          </cell>
          <cell r="M59" t="str">
            <v>--Selecionar--</v>
          </cell>
          <cell r="N59" t="str">
            <v>--Selecionar--</v>
          </cell>
          <cell r="O59" t="str">
            <v>--Selecionar--</v>
          </cell>
          <cell r="P59" t="str">
            <v>--Selecionar--</v>
          </cell>
          <cell r="Q59" t="str">
            <v>--Selecionar--</v>
          </cell>
          <cell r="R59" t="str">
            <v>--Selecionar--</v>
          </cell>
          <cell r="S59" t="str">
            <v>--Selecionar--</v>
          </cell>
          <cell r="T59" t="str">
            <v>--Selecionar--</v>
          </cell>
          <cell r="U59" t="str">
            <v>--Selecionar--</v>
          </cell>
          <cell r="V59" t="str">
            <v>--Selecionar--</v>
          </cell>
        </row>
        <row r="60">
          <cell r="A60" t="str">
            <v>APIT1</v>
          </cell>
          <cell r="B60" t="str">
            <v>APITO FINAL</v>
          </cell>
          <cell r="C60" t="str">
            <v>APIT</v>
          </cell>
          <cell r="D60" t="str">
            <v xml:space="preserve"> Neto</v>
          </cell>
          <cell r="F60">
            <v>0.1</v>
          </cell>
          <cell r="G60">
            <v>3000</v>
          </cell>
          <cell r="I60" t="str">
            <v>Neto - 10% do líquido - por ação / Ação Especial valor sob consulta</v>
          </cell>
          <cell r="M60" t="str">
            <v/>
          </cell>
          <cell r="N60" t="str">
            <v/>
          </cell>
          <cell r="O60" t="str">
            <v/>
          </cell>
          <cell r="P60" t="str">
            <v/>
          </cell>
          <cell r="Q60" t="str">
            <v/>
          </cell>
          <cell r="R60" t="str">
            <v/>
          </cell>
          <cell r="S60" t="str">
            <v/>
          </cell>
          <cell r="T60" t="str">
            <v/>
          </cell>
          <cell r="U60" t="str">
            <v/>
          </cell>
          <cell r="V60" t="str">
            <v/>
          </cell>
        </row>
        <row r="61">
          <cell r="A61" t="str">
            <v>FOLB1</v>
          </cell>
          <cell r="B61" t="str">
            <v>BAND FOLIA</v>
          </cell>
          <cell r="C61" t="str">
            <v>FOLB</v>
          </cell>
          <cell r="D61" t="str">
            <v xml:space="preserve"> Betinho</v>
          </cell>
          <cell r="F61">
            <v>0.1</v>
          </cell>
          <cell r="G61">
            <v>2000</v>
          </cell>
          <cell r="I61" t="str">
            <v>Betinho - 10% do líquido - por ação / Ação Especial valor sob consulta</v>
          </cell>
          <cell r="M61" t="str">
            <v/>
          </cell>
          <cell r="N61" t="str">
            <v/>
          </cell>
          <cell r="O61" t="str">
            <v/>
          </cell>
          <cell r="P61" t="str">
            <v/>
          </cell>
          <cell r="Q61" t="str">
            <v/>
          </cell>
          <cell r="R61" t="str">
            <v/>
          </cell>
          <cell r="S61" t="str">
            <v/>
          </cell>
          <cell r="T61" t="str">
            <v/>
          </cell>
          <cell r="U61" t="str">
            <v/>
          </cell>
          <cell r="V61" t="str">
            <v/>
          </cell>
        </row>
        <row r="62">
          <cell r="A62" t="str">
            <v>CLUS1</v>
          </cell>
          <cell r="B62" t="str">
            <v>BAND ESPORTE CLUBE</v>
          </cell>
          <cell r="C62" t="str">
            <v>CLUS</v>
          </cell>
          <cell r="D62" t="str">
            <v xml:space="preserve"> Kalinka Schutel</v>
          </cell>
          <cell r="F62">
            <v>0.1</v>
          </cell>
          <cell r="G62">
            <v>1500</v>
          </cell>
          <cell r="I62" t="str">
            <v>Kalinka Schutel - 10% do líquido - por ação / Ação Especial valor sob consulta</v>
          </cell>
          <cell r="M62" t="str">
            <v/>
          </cell>
          <cell r="N62" t="str">
            <v/>
          </cell>
          <cell r="O62" t="str">
            <v/>
          </cell>
          <cell r="P62" t="str">
            <v/>
          </cell>
          <cell r="Q62" t="str">
            <v/>
          </cell>
          <cell r="R62" t="str">
            <v/>
          </cell>
          <cell r="S62" t="str">
            <v/>
          </cell>
          <cell r="T62" t="str">
            <v/>
          </cell>
          <cell r="U62" t="str">
            <v/>
          </cell>
          <cell r="V62" t="str">
            <v/>
          </cell>
        </row>
        <row r="63">
          <cell r="A63" t="str">
            <v>BECL1</v>
          </cell>
          <cell r="B63" t="str">
            <v xml:space="preserve">BAND ESPORTE CLUBE - LOCAL </v>
          </cell>
          <cell r="C63" t="str">
            <v>BECL</v>
          </cell>
          <cell r="D63" t="str">
            <v xml:space="preserve"> Kalinka Schutel</v>
          </cell>
          <cell r="F63">
            <v>0.1</v>
          </cell>
          <cell r="G63">
            <v>1500</v>
          </cell>
          <cell r="I63" t="str">
            <v>Kalinka Schutel - 10% do líquido - por ação / Ação Especial valor sob consulta</v>
          </cell>
        </row>
        <row r="64">
          <cell r="A64" t="str">
            <v>BOBR1</v>
          </cell>
          <cell r="B64" t="str">
            <v>BORA BRASIL</v>
          </cell>
          <cell r="C64" t="str">
            <v>BOBR</v>
          </cell>
          <cell r="D64" t="str">
            <v xml:space="preserve"> Cynthia de Paula da S Martins</v>
          </cell>
          <cell r="F64">
            <v>0.1</v>
          </cell>
          <cell r="G64">
            <v>2000</v>
          </cell>
          <cell r="I64" t="str">
            <v>Cynthia de Paula da S Martins - 10% do líquido - por ação / Ação Especial valor sob consulta</v>
          </cell>
          <cell r="M64" t="str">
            <v/>
          </cell>
          <cell r="N64" t="str">
            <v/>
          </cell>
          <cell r="O64" t="str">
            <v/>
          </cell>
          <cell r="P64" t="str">
            <v/>
          </cell>
          <cell r="Q64" t="str">
            <v/>
          </cell>
          <cell r="R64" t="str">
            <v/>
          </cell>
          <cell r="S64" t="str">
            <v/>
          </cell>
          <cell r="T64" t="str">
            <v/>
          </cell>
          <cell r="U64" t="str">
            <v/>
          </cell>
          <cell r="V64" t="str">
            <v/>
          </cell>
        </row>
        <row r="65">
          <cell r="A65" t="str">
            <v>BOBR2</v>
          </cell>
          <cell r="B65" t="str">
            <v>BORA BRASIL</v>
          </cell>
          <cell r="C65" t="str">
            <v>BOBR</v>
          </cell>
          <cell r="D65" t="str">
            <v xml:space="preserve"> Rodrigo Nascimento Alvarez</v>
          </cell>
          <cell r="F65">
            <v>0.1</v>
          </cell>
          <cell r="G65">
            <v>2000</v>
          </cell>
          <cell r="I65" t="str">
            <v>Rodrigo Nascimento Alvarez - 10% do líquido - por ação / Ação Especial valor sob consulta</v>
          </cell>
          <cell r="M65" t="str">
            <v/>
          </cell>
          <cell r="N65" t="str">
            <v/>
          </cell>
          <cell r="O65" t="str">
            <v/>
          </cell>
          <cell r="P65" t="str">
            <v/>
          </cell>
          <cell r="Q65" t="str">
            <v/>
          </cell>
          <cell r="R65" t="str">
            <v/>
          </cell>
          <cell r="S65" t="str">
            <v/>
          </cell>
          <cell r="T65" t="str">
            <v/>
          </cell>
          <cell r="U65" t="str">
            <v/>
          </cell>
          <cell r="V65" t="str">
            <v/>
          </cell>
        </row>
        <row r="66">
          <cell r="A66" t="str">
            <v>BOBR3</v>
          </cell>
          <cell r="B66" t="str">
            <v>BORA BRASIL</v>
          </cell>
          <cell r="C66" t="str">
            <v>BOBR</v>
          </cell>
          <cell r="D66" t="str">
            <v xml:space="preserve">Patricia Rocha </v>
          </cell>
          <cell r="F66">
            <v>0.1</v>
          </cell>
          <cell r="G66">
            <v>2000</v>
          </cell>
          <cell r="I66" t="str">
            <v>Rodrigo Nascimento Alvarez - 10% do líquido - por ação / Ação Especial valor sob consulta</v>
          </cell>
          <cell r="M66" t="str">
            <v/>
          </cell>
          <cell r="N66" t="str">
            <v/>
          </cell>
          <cell r="O66" t="str">
            <v/>
          </cell>
          <cell r="P66" t="str">
            <v/>
          </cell>
          <cell r="Q66" t="str">
            <v/>
          </cell>
          <cell r="R66" t="str">
            <v/>
          </cell>
          <cell r="S66" t="str">
            <v/>
          </cell>
          <cell r="T66" t="str">
            <v/>
          </cell>
          <cell r="U66" t="str">
            <v/>
          </cell>
          <cell r="V66" t="str">
            <v/>
          </cell>
        </row>
        <row r="67">
          <cell r="A67" t="str">
            <v>BRUR1</v>
          </cell>
          <cell r="B67" t="str">
            <v>BRASIL URGENTE</v>
          </cell>
          <cell r="C67" t="str">
            <v>BRUR</v>
          </cell>
          <cell r="D67" t="str">
            <v xml:space="preserve"> Joel Datena</v>
          </cell>
          <cell r="F67">
            <v>0.15</v>
          </cell>
          <cell r="G67">
            <v>3000</v>
          </cell>
          <cell r="I67" t="str">
            <v>Joel Datena - 15% do líquido - por ação / Ação Especial valor sob consulta</v>
          </cell>
          <cell r="M67" t="str">
            <v/>
          </cell>
          <cell r="N67" t="str">
            <v/>
          </cell>
          <cell r="O67" t="str">
            <v/>
          </cell>
          <cell r="P67" t="str">
            <v/>
          </cell>
          <cell r="Q67" t="str">
            <v/>
          </cell>
          <cell r="R67" t="str">
            <v/>
          </cell>
          <cell r="S67" t="str">
            <v/>
          </cell>
          <cell r="T67" t="str">
            <v/>
          </cell>
          <cell r="U67" t="str">
            <v/>
          </cell>
          <cell r="V67" t="str">
            <v/>
          </cell>
        </row>
        <row r="68">
          <cell r="A68" t="str">
            <v>BRLO1</v>
          </cell>
          <cell r="B68" t="str">
            <v>BRASIL URGENTE LOCAL</v>
          </cell>
          <cell r="C68" t="str">
            <v>BRLO</v>
          </cell>
          <cell r="D68" t="str">
            <v xml:space="preserve"> Joel Datena</v>
          </cell>
          <cell r="F68">
            <v>0.15</v>
          </cell>
          <cell r="G68">
            <v>2500</v>
          </cell>
          <cell r="I68" t="str">
            <v>Joel Datena - 15% do líquido - por ação / Ação Especial valor sob consulta</v>
          </cell>
          <cell r="M68" t="str">
            <v/>
          </cell>
          <cell r="N68" t="str">
            <v/>
          </cell>
          <cell r="O68" t="str">
            <v/>
          </cell>
          <cell r="P68" t="str">
            <v/>
          </cell>
          <cell r="Q68" t="str">
            <v/>
          </cell>
          <cell r="R68" t="str">
            <v/>
          </cell>
          <cell r="S68" t="str">
            <v/>
          </cell>
          <cell r="T68" t="str">
            <v/>
          </cell>
          <cell r="U68" t="str">
            <v/>
          </cell>
          <cell r="V68" t="str">
            <v/>
          </cell>
        </row>
        <row r="69">
          <cell r="A69" t="str">
            <v>BRUR2</v>
          </cell>
          <cell r="B69" t="str">
            <v>BRASIL URGENTE</v>
          </cell>
          <cell r="C69" t="str">
            <v>BRUR</v>
          </cell>
          <cell r="D69" t="str">
            <v xml:space="preserve"> Felipe Garrafa Fernandes</v>
          </cell>
          <cell r="F69">
            <v>0.1</v>
          </cell>
          <cell r="G69">
            <v>1000</v>
          </cell>
          <cell r="I69" t="str">
            <v>Felipe Garrafa Fernandes - 10% do líquido - por ação / Ação Especial valor sob consulta</v>
          </cell>
          <cell r="M69" t="str">
            <v/>
          </cell>
          <cell r="N69" t="str">
            <v/>
          </cell>
          <cell r="O69" t="str">
            <v/>
          </cell>
          <cell r="P69" t="str">
            <v/>
          </cell>
          <cell r="Q69" t="str">
            <v/>
          </cell>
          <cell r="R69" t="str">
            <v/>
          </cell>
          <cell r="S69" t="str">
            <v/>
          </cell>
          <cell r="T69" t="str">
            <v/>
          </cell>
          <cell r="U69" t="str">
            <v/>
          </cell>
          <cell r="V69" t="str">
            <v/>
          </cell>
        </row>
        <row r="70">
          <cell r="A70" t="str">
            <v>CARI1</v>
          </cell>
          <cell r="B70" t="str">
            <v>CAMPEONATO CARIOCA</v>
          </cell>
          <cell r="C70" t="str">
            <v>CARI</v>
          </cell>
          <cell r="D70" t="str">
            <v xml:space="preserve"> Athirson Mazolli</v>
          </cell>
          <cell r="F70">
            <v>0.1</v>
          </cell>
          <cell r="I70" t="str">
            <v>Athirson Mazolli - 10% do líquido negociado - por ação / Ação Especial valor sob consulta</v>
          </cell>
          <cell r="M70" t="str">
            <v/>
          </cell>
          <cell r="N70" t="str">
            <v/>
          </cell>
          <cell r="O70" t="str">
            <v/>
          </cell>
          <cell r="P70" t="str">
            <v/>
          </cell>
          <cell r="Q70" t="str">
            <v/>
          </cell>
          <cell r="R70" t="str">
            <v/>
          </cell>
          <cell r="S70" t="str">
            <v/>
          </cell>
          <cell r="T70" t="str">
            <v/>
          </cell>
          <cell r="U70" t="str">
            <v/>
          </cell>
          <cell r="V70" t="str">
            <v/>
          </cell>
        </row>
        <row r="71">
          <cell r="A71" t="str">
            <v>CARI2</v>
          </cell>
          <cell r="B71" t="str">
            <v>CAMPEONATO CARIOCA</v>
          </cell>
          <cell r="C71" t="str">
            <v>CARI</v>
          </cell>
          <cell r="D71" t="str">
            <v xml:space="preserve"> Washington Cerqueira</v>
          </cell>
          <cell r="F71">
            <v>0.1</v>
          </cell>
          <cell r="I71" t="str">
            <v>Washington Cerqueira - 10% do líquido negociado - por ação / Ação Especial valor sob consulta</v>
          </cell>
          <cell r="M71" t="str">
            <v/>
          </cell>
          <cell r="N71" t="str">
            <v/>
          </cell>
          <cell r="O71" t="str">
            <v/>
          </cell>
          <cell r="P71" t="str">
            <v/>
          </cell>
          <cell r="Q71" t="str">
            <v/>
          </cell>
          <cell r="R71" t="str">
            <v/>
          </cell>
          <cell r="S71" t="str">
            <v/>
          </cell>
          <cell r="T71" t="str">
            <v/>
          </cell>
          <cell r="U71" t="str">
            <v/>
          </cell>
          <cell r="V71" t="str">
            <v/>
          </cell>
        </row>
        <row r="72">
          <cell r="A72" t="str">
            <v>FUTB1</v>
          </cell>
          <cell r="B72" t="str">
            <v>ESPORTE TOTAL</v>
          </cell>
          <cell r="C72" t="str">
            <v>FUTB</v>
          </cell>
          <cell r="D72" t="str">
            <v xml:space="preserve"> Fernando Fernandes</v>
          </cell>
          <cell r="F72">
            <v>0.1</v>
          </cell>
          <cell r="G72">
            <v>2000</v>
          </cell>
          <cell r="I72" t="str">
            <v>Fernando Fernandes - 10% do líquido - por ação / Ação Especial valor sob consulta</v>
          </cell>
          <cell r="M72" t="str">
            <v/>
          </cell>
          <cell r="N72" t="str">
            <v/>
          </cell>
          <cell r="O72" t="str">
            <v/>
          </cell>
          <cell r="P72" t="str">
            <v/>
          </cell>
          <cell r="Q72" t="str">
            <v/>
          </cell>
          <cell r="R72" t="str">
            <v/>
          </cell>
          <cell r="S72" t="str">
            <v/>
          </cell>
          <cell r="T72" t="str">
            <v/>
          </cell>
          <cell r="U72" t="str">
            <v/>
          </cell>
          <cell r="V72" t="str">
            <v/>
          </cell>
        </row>
        <row r="73">
          <cell r="A73" t="str">
            <v>FOR11</v>
          </cell>
          <cell r="B73" t="str">
            <v>FORMULA 1</v>
          </cell>
          <cell r="C73" t="str">
            <v>FOR1</v>
          </cell>
          <cell r="D73" t="str">
            <v xml:space="preserve"> Felipe Giaffone</v>
          </cell>
          <cell r="F73">
            <v>0.1</v>
          </cell>
          <cell r="I73" t="str">
            <v>Felipe Giaffone - 10% do líquido negociado - por ação / Ação Especial valor sob consulta</v>
          </cell>
        </row>
        <row r="74">
          <cell r="A74" t="str">
            <v>FOR12</v>
          </cell>
          <cell r="B74" t="str">
            <v>FORMULA 1</v>
          </cell>
          <cell r="C74" t="str">
            <v>FOR1</v>
          </cell>
          <cell r="D74" t="str">
            <v xml:space="preserve"> Max Wilson</v>
          </cell>
          <cell r="F74">
            <v>0.1</v>
          </cell>
          <cell r="I74" t="str">
            <v>Max Wilson - 10% do líquido negociado - por ação / Ação Especial valor sob consulta</v>
          </cell>
        </row>
        <row r="75">
          <cell r="A75" t="str">
            <v>FOR13</v>
          </cell>
          <cell r="B75" t="str">
            <v>FORMULA 1</v>
          </cell>
          <cell r="C75" t="str">
            <v>FOR1</v>
          </cell>
          <cell r="D75" t="str">
            <v xml:space="preserve"> Sérgio Maurício</v>
          </cell>
          <cell r="F75">
            <v>0.1</v>
          </cell>
          <cell r="I75" t="str">
            <v>Sergio Maurício - 10% do líquido negociado - por ação / Ação Especial valor sob consulta</v>
          </cell>
        </row>
        <row r="76">
          <cell r="A76" t="str">
            <v>FOR14</v>
          </cell>
          <cell r="B76" t="str">
            <v>FORMULA 1</v>
          </cell>
          <cell r="C76" t="str">
            <v>FOR1</v>
          </cell>
          <cell r="D76" t="str">
            <v xml:space="preserve"> Tiago Mendonça</v>
          </cell>
          <cell r="F76">
            <v>0.1</v>
          </cell>
          <cell r="I76" t="str">
            <v>Tiago Mendonça - 10% do líquido negociado - por ação / Ação Especial valor sob consulta</v>
          </cell>
        </row>
        <row r="77">
          <cell r="A77" t="str">
            <v>GALV1</v>
          </cell>
          <cell r="B77" t="str">
            <v>GALVÃO &amp; AMIGOS</v>
          </cell>
          <cell r="C77" t="str">
            <v>GALV</v>
          </cell>
          <cell r="D77" t="str">
            <v xml:space="preserve"> Galvão Bueno</v>
          </cell>
          <cell r="G77">
            <v>35000</v>
          </cell>
          <cell r="I77" t="str">
            <v>Ação Diferencia valor sob consulta</v>
          </cell>
        </row>
        <row r="78">
          <cell r="A78" t="str">
            <v>GALV2</v>
          </cell>
          <cell r="B78" t="str">
            <v>GALVÃO &amp; AMIGOS</v>
          </cell>
          <cell r="C78" t="str">
            <v>GALV</v>
          </cell>
          <cell r="D78" t="str">
            <v xml:space="preserve"> Mauro Naves</v>
          </cell>
          <cell r="F78">
            <v>0.1</v>
          </cell>
          <cell r="I78" t="str">
            <v>Mauro Naves - 10% do líquido negociado - por ação / Ação Especial valor sob consulta</v>
          </cell>
        </row>
        <row r="79">
          <cell r="A79" t="str">
            <v>GALV3</v>
          </cell>
          <cell r="B79" t="str">
            <v>GALVÃO &amp; AMIGOS</v>
          </cell>
          <cell r="C79" t="str">
            <v>GALV</v>
          </cell>
          <cell r="D79" t="str">
            <v xml:space="preserve"> Walter Casagrande</v>
          </cell>
          <cell r="F79">
            <v>0.1</v>
          </cell>
          <cell r="I79" t="str">
            <v>Casagrande - 10% do líquido negociado - por ação / Ação Especial valor sob consulta</v>
          </cell>
        </row>
        <row r="80">
          <cell r="A80" t="str">
            <v>JGAB1</v>
          </cell>
          <cell r="B80" t="str">
            <v>JOGO ABERTO</v>
          </cell>
          <cell r="C80" t="str">
            <v>JGAB</v>
          </cell>
          <cell r="D80" t="str">
            <v xml:space="preserve"> Renata Fan</v>
          </cell>
          <cell r="F80">
            <v>0.15</v>
          </cell>
          <cell r="G80">
            <v>2500</v>
          </cell>
          <cell r="I80" t="str">
            <v>Renata Fan - 15% do líquido - por ação / Ação Especial valor sob consulta</v>
          </cell>
        </row>
        <row r="81">
          <cell r="A81" t="str">
            <v>JGAB2</v>
          </cell>
          <cell r="B81" t="str">
            <v>JOGO ABERTO</v>
          </cell>
          <cell r="C81" t="str">
            <v>JGAB</v>
          </cell>
          <cell r="D81" t="str">
            <v xml:space="preserve"> Cícelo João de Césare</v>
          </cell>
          <cell r="F81">
            <v>0.1</v>
          </cell>
          <cell r="G81">
            <v>2000</v>
          </cell>
          <cell r="I81" t="str">
            <v>Cícero João de Césare - 10% do líquido - por ação / Ação Especial valor sob consulta</v>
          </cell>
        </row>
        <row r="82">
          <cell r="A82" t="str">
            <v>JGAB3</v>
          </cell>
          <cell r="B82" t="str">
            <v>JOGO ABERTO</v>
          </cell>
          <cell r="C82" t="str">
            <v>JGAB</v>
          </cell>
          <cell r="D82" t="str">
            <v xml:space="preserve"> Eduardo Luiz Abronízio de Souza</v>
          </cell>
          <cell r="F82">
            <v>0.1</v>
          </cell>
          <cell r="G82">
            <v>1500</v>
          </cell>
          <cell r="I82" t="str">
            <v>Eduardo Luiz Abrozínio de Souza - 10% do líquido - por ação / Ação Especial valor sob consulta</v>
          </cell>
        </row>
        <row r="83">
          <cell r="A83" t="str">
            <v>JGAB4</v>
          </cell>
          <cell r="B83" t="str">
            <v>JOGO ABERTO</v>
          </cell>
          <cell r="C83" t="str">
            <v>JGAB</v>
          </cell>
          <cell r="D83" t="str">
            <v xml:space="preserve"> Francisco Garcia Borges</v>
          </cell>
          <cell r="F83">
            <v>0.1</v>
          </cell>
          <cell r="G83">
            <v>1000</v>
          </cell>
          <cell r="I83" t="str">
            <v>Francisco Garcia Borges - 10% do líquido - por ação / Ação Especial valor sob consulta</v>
          </cell>
        </row>
        <row r="84">
          <cell r="A84" t="str">
            <v>JGAB5</v>
          </cell>
          <cell r="B84" t="str">
            <v>JOGO ABERTO</v>
          </cell>
          <cell r="C84" t="str">
            <v>JGAB</v>
          </cell>
          <cell r="D84" t="str">
            <v xml:space="preserve"> João Paulo Haddad Cappellanes</v>
          </cell>
          <cell r="F84">
            <v>0.2</v>
          </cell>
          <cell r="I84" t="str">
            <v>João Paulo Haddad Cappellanes - 20% do líquido c/ Repasse de 10% - por ação / Ação Especial valor sob consulta</v>
          </cell>
        </row>
        <row r="85">
          <cell r="A85" t="str">
            <v>JGAB6</v>
          </cell>
          <cell r="B85" t="str">
            <v>JOGO ABERTO</v>
          </cell>
          <cell r="C85" t="str">
            <v>JGAB</v>
          </cell>
          <cell r="D85" t="str">
            <v xml:space="preserve"> João Pedro Reis Sgarbi</v>
          </cell>
          <cell r="F85">
            <v>0.1</v>
          </cell>
          <cell r="G85">
            <v>1000</v>
          </cell>
          <cell r="I85" t="str">
            <v>João Pedro Sgarbi - 10% do líquido - por ação / Ação Especial valor sob consulta</v>
          </cell>
        </row>
        <row r="86">
          <cell r="A86" t="str">
            <v>JGAB7</v>
          </cell>
          <cell r="B86" t="str">
            <v>JOGO ABERTO</v>
          </cell>
          <cell r="C86" t="str">
            <v>JGAB</v>
          </cell>
          <cell r="D86" t="str">
            <v xml:space="preserve"> Marco Aurélio de Almeida Cunha</v>
          </cell>
          <cell r="F86">
            <v>0.1</v>
          </cell>
          <cell r="I86" t="str">
            <v>Marco Aurélio de Almeida Cunha - 10% do líquido negociado - por ação / Ação Especial valor sob consulta</v>
          </cell>
        </row>
        <row r="87">
          <cell r="A87" t="str">
            <v>JGAB8</v>
          </cell>
          <cell r="B87" t="str">
            <v>JOGO ABERTO</v>
          </cell>
          <cell r="C87" t="str">
            <v>JGAB</v>
          </cell>
          <cell r="D87" t="str">
            <v xml:space="preserve"> Ronaldo Soares Giovaneli</v>
          </cell>
          <cell r="F87">
            <v>0.1</v>
          </cell>
          <cell r="G87">
            <v>2000</v>
          </cell>
          <cell r="I87" t="str">
            <v>Ronaldo Soares Giovaneli - 10% do líquido - por ação / Ação Especial valor sob consulta</v>
          </cell>
        </row>
        <row r="88">
          <cell r="A88" t="str">
            <v>JGAB9</v>
          </cell>
          <cell r="B88" t="str">
            <v>JOGO ABERTO</v>
          </cell>
          <cell r="C88" t="str">
            <v>JGAB</v>
          </cell>
          <cell r="D88" t="str">
            <v xml:space="preserve"> Ulisses Chiaveli Costa </v>
          </cell>
          <cell r="F88">
            <v>0.1</v>
          </cell>
          <cell r="G88">
            <v>2000</v>
          </cell>
          <cell r="I88" t="str">
            <v>Ulisses Chiaveli Costa - 10% do líquido - por ação / Ação Especial valor sob consulta</v>
          </cell>
        </row>
        <row r="89">
          <cell r="A89" t="str">
            <v>MENO1</v>
          </cell>
          <cell r="B89" t="str">
            <v>MELHOR DA NOITE</v>
          </cell>
          <cell r="C89" t="str">
            <v>MENO</v>
          </cell>
          <cell r="D89" t="str">
            <v xml:space="preserve"> Otaviano Costa</v>
          </cell>
          <cell r="F89">
            <v>0.2</v>
          </cell>
          <cell r="G89">
            <v>6000</v>
          </cell>
          <cell r="I89" t="str">
            <v>Otaviano Costa - 20% do líquido - por ação / Ação Especial valor sob consulta</v>
          </cell>
        </row>
        <row r="90">
          <cell r="A90" t="str">
            <v>MENO2</v>
          </cell>
          <cell r="B90" t="str">
            <v>MELHOR DA NOITE</v>
          </cell>
          <cell r="C90" t="str">
            <v>MENO</v>
          </cell>
          <cell r="D90" t="str">
            <v xml:space="preserve"> Altair Gonçalves (Thaíde)</v>
          </cell>
          <cell r="F90">
            <v>0.1</v>
          </cell>
          <cell r="G90">
            <v>2000</v>
          </cell>
          <cell r="I90" t="str">
            <v>Thaíde - 10% do líquido - por ação / Ação Especial valor sob consulta</v>
          </cell>
        </row>
        <row r="91">
          <cell r="A91" t="str">
            <v>MENO3</v>
          </cell>
          <cell r="B91" t="str">
            <v>MELHOR DA NOITE</v>
          </cell>
          <cell r="C91" t="str">
            <v>MENO</v>
          </cell>
          <cell r="D91" t="str">
            <v xml:space="preserve"> Catia Damasceno Ferreira</v>
          </cell>
          <cell r="F91">
            <v>0.1</v>
          </cell>
          <cell r="I91" t="str">
            <v>Catia Damasceno Ferreira - 10% do líquido - por ação / Ação Especial valor sob consulta</v>
          </cell>
        </row>
        <row r="92">
          <cell r="A92" t="str">
            <v>MENO4</v>
          </cell>
          <cell r="B92" t="str">
            <v>MELHOR DA NOITE</v>
          </cell>
          <cell r="C92" t="str">
            <v>MENO</v>
          </cell>
          <cell r="D92" t="str">
            <v xml:space="preserve"> Panela Lucciola do Valle Nunes</v>
          </cell>
          <cell r="F92">
            <v>0.1</v>
          </cell>
          <cell r="G92">
            <v>2000</v>
          </cell>
          <cell r="I92" t="str">
            <v>Pamela Lucciola do Valle Nunes - 10% do líquido - por ação / Ação Especial valor sob consulta</v>
          </cell>
        </row>
        <row r="93">
          <cell r="A93" t="str">
            <v>MENO5</v>
          </cell>
          <cell r="B93" t="str">
            <v>MELHOR DA NOITE</v>
          </cell>
          <cell r="C93" t="str">
            <v>MENO</v>
          </cell>
          <cell r="D93" t="str">
            <v xml:space="preserve"> Viviane Graciela Gusciora</v>
          </cell>
          <cell r="F93">
            <v>0.1</v>
          </cell>
          <cell r="I93" t="str">
            <v>Viviane Graciela Gusciora - 10% do líquido - por ação / Ação Especial valor sob consulta</v>
          </cell>
        </row>
        <row r="94">
          <cell r="A94" t="str">
            <v>MELH1</v>
          </cell>
          <cell r="B94" t="str">
            <v>MELHOR DA TARDE</v>
          </cell>
          <cell r="C94" t="str">
            <v>MELH</v>
          </cell>
          <cell r="D94" t="str">
            <v>Pâmela Lucciola do Valle Nunes</v>
          </cell>
          <cell r="F94">
            <v>0.1</v>
          </cell>
          <cell r="G94">
            <v>2000</v>
          </cell>
          <cell r="I94" t="str">
            <v>Pâmela Lucciola do Valle Nunes - 10% do líquido por ação com o valor mínimo de R$ 2.000,00.</v>
          </cell>
        </row>
        <row r="95">
          <cell r="A95" t="str">
            <v>MELH2</v>
          </cell>
          <cell r="B95" t="str">
            <v>MELHOR DA TARDE</v>
          </cell>
          <cell r="C95" t="str">
            <v>MELH</v>
          </cell>
          <cell r="D95" t="str">
            <v>Bruno Hashimoto</v>
          </cell>
          <cell r="F95">
            <v>0.1</v>
          </cell>
          <cell r="G95">
            <v>800</v>
          </cell>
          <cell r="I95" t="str">
            <v>Bruno Hashimoto  - 10% do líquido  por ação com o valor mínimo de R$ 800,00 - Chef de Cozinha do Programa. Cachê Ação Receita com a Pamela</v>
          </cell>
        </row>
        <row r="96">
          <cell r="A96" t="str">
            <v>MCAM1</v>
          </cell>
          <cell r="B96" t="str">
            <v>MASTERCHEF AMADORES</v>
          </cell>
          <cell r="C96" t="str">
            <v>MCAM</v>
          </cell>
          <cell r="D96" t="str">
            <v xml:space="preserve"> Erick Jacquin  Ação Integrada (Prova)</v>
          </cell>
          <cell r="G96">
            <v>9000</v>
          </cell>
          <cell r="I96" t="str">
            <v>Tabela Masterchef 2025 - Erick Jacquin</v>
          </cell>
        </row>
        <row r="97">
          <cell r="A97" t="str">
            <v>MCAM2</v>
          </cell>
          <cell r="B97" t="str">
            <v>MASTERCHEF AMADORES</v>
          </cell>
          <cell r="C97" t="str">
            <v>MCAM</v>
          </cell>
          <cell r="D97" t="str">
            <v xml:space="preserve"> Erick Jacquin  Ação Especial (Estúdio / Externa)</v>
          </cell>
          <cell r="G97">
            <v>26000</v>
          </cell>
          <cell r="I97" t="str">
            <v>Tabela Masterchef 2025 - Erick Jacquin</v>
          </cell>
        </row>
        <row r="98">
          <cell r="A98" t="str">
            <v>MCAM3</v>
          </cell>
          <cell r="B98" t="str">
            <v>MASTERCHEF AMADORES</v>
          </cell>
          <cell r="C98" t="str">
            <v>MCAM</v>
          </cell>
          <cell r="D98" t="str">
            <v xml:space="preserve"> Erick Jacquin  Merchanbreak (Estúdio / Externa)</v>
          </cell>
          <cell r="G98">
            <v>26000</v>
          </cell>
          <cell r="I98" t="str">
            <v>Tabela Masterchef 2025 - Erick Jacquin</v>
          </cell>
        </row>
        <row r="99">
          <cell r="A99" t="str">
            <v>MCAM4</v>
          </cell>
          <cell r="B99" t="str">
            <v>MASTERCHEF AMADORES</v>
          </cell>
          <cell r="C99" t="str">
            <v>MCAM</v>
          </cell>
          <cell r="D99" t="str">
            <v xml:space="preserve"> Helena / Fogaça  Ação Integrada (Prova)</v>
          </cell>
          <cell r="G99">
            <v>9000</v>
          </cell>
          <cell r="I99" t="str">
            <v>Tabela Masterchef 2025 - Valor unitário para Helena Rizzo / Valor unitário para Fogaça</v>
          </cell>
        </row>
        <row r="100">
          <cell r="A100" t="str">
            <v>MCAM5</v>
          </cell>
          <cell r="B100" t="str">
            <v>MASTERCHEF AMADORES</v>
          </cell>
          <cell r="C100" t="str">
            <v>MCAM</v>
          </cell>
          <cell r="D100" t="str">
            <v xml:space="preserve"> Helena / Fogaça  Ação Especial (Estúdio)</v>
          </cell>
          <cell r="G100">
            <v>10901.47</v>
          </cell>
          <cell r="I100" t="str">
            <v>Tabela Masterchef 2025 - Valor unitário para Helena Rizzo / Valor unitário para Fogaça</v>
          </cell>
        </row>
        <row r="101">
          <cell r="A101" t="str">
            <v>MCAM6</v>
          </cell>
          <cell r="B101" t="str">
            <v>MASTERCHEF AMADORES</v>
          </cell>
          <cell r="C101" t="str">
            <v>MCAM</v>
          </cell>
          <cell r="D101" t="str">
            <v xml:space="preserve"> Helena / Fogaça  Ação Especial (Externa)</v>
          </cell>
          <cell r="G101">
            <v>21796.18</v>
          </cell>
          <cell r="I101" t="str">
            <v>Tabela Masterchef 2025 - Valor unitário para Helena Rizzo / Valor unitário para Fogaça</v>
          </cell>
        </row>
        <row r="102">
          <cell r="A102" t="str">
            <v>MCAM7</v>
          </cell>
          <cell r="B102" t="str">
            <v>MASTERCHEF AMADORES</v>
          </cell>
          <cell r="C102" t="str">
            <v>MCAM</v>
          </cell>
          <cell r="D102" t="str">
            <v xml:space="preserve"> Helena / Fogaça  Merchanbreak (Estúdio)</v>
          </cell>
          <cell r="G102">
            <v>8176.09</v>
          </cell>
          <cell r="I102" t="str">
            <v>Tabela Masterchef 2025 - Valor unitário para Helena Rizzo / Valor unitário para Fogaça</v>
          </cell>
        </row>
        <row r="103">
          <cell r="A103" t="str">
            <v>MCAM8</v>
          </cell>
          <cell r="B103" t="str">
            <v>MASTERCHEF AMADORES</v>
          </cell>
          <cell r="C103" t="str">
            <v>MCAM</v>
          </cell>
          <cell r="D103" t="str">
            <v xml:space="preserve"> Helena / Fogaça  Merchanbreak (Externa)</v>
          </cell>
          <cell r="G103">
            <v>16352.18</v>
          </cell>
          <cell r="I103" t="str">
            <v>Tabela Masterchef 2025 - Valor unitário para Helena Rizzo / Valor unitário para Fogaça</v>
          </cell>
        </row>
        <row r="104">
          <cell r="A104" t="str">
            <v>MCHP1</v>
          </cell>
          <cell r="B104" t="str">
            <v>MASTERCHEF A PRÉVIA</v>
          </cell>
          <cell r="C104" t="str">
            <v>MCHP</v>
          </cell>
          <cell r="D104" t="str">
            <v xml:space="preserve"> Otaviano Costa</v>
          </cell>
          <cell r="F104">
            <v>0.2</v>
          </cell>
          <cell r="G104">
            <v>6000</v>
          </cell>
          <cell r="I104" t="str">
            <v>Otaviano Costa - 20% do líquido - por ação / Ação Especial valor sob consulta</v>
          </cell>
        </row>
        <row r="105">
          <cell r="A105" t="str">
            <v>DONO1</v>
          </cell>
          <cell r="B105" t="str">
            <v xml:space="preserve">OS DONOS DA BOLA </v>
          </cell>
          <cell r="C105" t="str">
            <v>DONO</v>
          </cell>
          <cell r="D105" t="str">
            <v xml:space="preserve"> José Ferreira (Neto)</v>
          </cell>
          <cell r="F105">
            <v>0.1</v>
          </cell>
          <cell r="G105">
            <v>2500</v>
          </cell>
          <cell r="I105" t="str">
            <v>Neto - 10% do líquido negociado - por ação / Ação Especial valor sob consulta</v>
          </cell>
        </row>
        <row r="106">
          <cell r="A106" t="str">
            <v>DONO2</v>
          </cell>
          <cell r="B106" t="str">
            <v>OS DONOS DA BOLA</v>
          </cell>
          <cell r="C106" t="str">
            <v>DONO</v>
          </cell>
          <cell r="D106" t="str">
            <v xml:space="preserve"> Wagner Fernando (Veloso)</v>
          </cell>
          <cell r="F106">
            <v>0.1</v>
          </cell>
          <cell r="G106">
            <v>2000</v>
          </cell>
          <cell r="I106" t="str">
            <v>Veloso - 10% do líquido negociado - por ação / Ação Especial valor sob consulta</v>
          </cell>
        </row>
        <row r="107">
          <cell r="A107" t="str">
            <v>DONO3</v>
          </cell>
          <cell r="B107" t="str">
            <v>OS DONOS DA BOLA</v>
          </cell>
          <cell r="C107" t="str">
            <v>DONO</v>
          </cell>
          <cell r="D107" t="str">
            <v xml:space="preserve"> Willamis de Souza Silva</v>
          </cell>
          <cell r="F107">
            <v>0.1</v>
          </cell>
          <cell r="G107">
            <v>2000</v>
          </cell>
          <cell r="I107" t="str">
            <v>Willamis - 10% do líquido - por ação / Ação Especial valor sob consulta</v>
          </cell>
        </row>
        <row r="108">
          <cell r="A108" t="str">
            <v>PER1</v>
          </cell>
          <cell r="B108" t="str">
            <v>PERRENGUE</v>
          </cell>
          <cell r="C108" t="str">
            <v>PER</v>
          </cell>
          <cell r="D108" t="str">
            <v xml:space="preserve"> Elenco</v>
          </cell>
          <cell r="F108">
            <v>0.15</v>
          </cell>
          <cell r="G108">
            <v>2000</v>
          </cell>
          <cell r="I108" t="str">
            <v>Tatola, Angêlo, Denis, Ricardo - 15% do líquido negociado - por ação / Ação Especial valor sob consulta</v>
          </cell>
        </row>
        <row r="109">
          <cell r="A109" t="str">
            <v>PECO1</v>
          </cell>
          <cell r="B109" t="str">
            <v>PESADELO NA COZINHA</v>
          </cell>
          <cell r="C109" t="str">
            <v>PECO</v>
          </cell>
          <cell r="D109" t="str">
            <v xml:space="preserve"> Erick Jacquin</v>
          </cell>
          <cell r="I109" t="str">
            <v>Tabela Pesadelo na Cozinha 2025 - Sob Consulta</v>
          </cell>
        </row>
        <row r="110">
          <cell r="A110" t="str">
            <v>JOAO1</v>
          </cell>
          <cell r="B110" t="str">
            <v>PROGRAMA DO JOÃO</v>
          </cell>
          <cell r="C110" t="str">
            <v>JOAO</v>
          </cell>
          <cell r="D110" t="str">
            <v xml:space="preserve"> João Guilherme</v>
          </cell>
          <cell r="F110">
            <v>0.2</v>
          </cell>
          <cell r="G110">
            <v>5000</v>
          </cell>
          <cell r="I110" t="str">
            <v>João Guilherme - 20% do líquido da mídia e mínimo de R$ 5.000,00 / Ação Especial valor sob consulta</v>
          </cell>
        </row>
        <row r="111">
          <cell r="A111" t="str">
            <v>SHOE1</v>
          </cell>
          <cell r="B111" t="str">
            <v>SHOW DO ESPORTE</v>
          </cell>
          <cell r="C111" t="str">
            <v>SHOE</v>
          </cell>
          <cell r="D111" t="str">
            <v xml:space="preserve"> Glenda dos Reis Kozlowski</v>
          </cell>
          <cell r="F111">
            <v>0.1</v>
          </cell>
          <cell r="G111">
            <v>4000</v>
          </cell>
          <cell r="I111" t="str">
            <v>Glenda Kozlowski - 10% do líquido negociado - por ação / Ação Especial valor sob consulta</v>
          </cell>
        </row>
        <row r="112">
          <cell r="A112" t="str">
            <v>SHOE2</v>
          </cell>
          <cell r="B112" t="str">
            <v>SHOW DO ESPORTE</v>
          </cell>
          <cell r="C112" t="str">
            <v>SHOE</v>
          </cell>
          <cell r="D112" t="str">
            <v xml:space="preserve"> José Elia Junior</v>
          </cell>
          <cell r="F112">
            <v>0.1</v>
          </cell>
          <cell r="G112">
            <v>4000</v>
          </cell>
          <cell r="I112" t="str">
            <v>Elia Junior - 10% do líquido negociado - por ação / Ação Especial valor sob consulta</v>
          </cell>
        </row>
        <row r="119">
          <cell r="B119" t="str">
            <v>EXIBIÇÕES</v>
          </cell>
        </row>
        <row r="120">
          <cell r="B120" t="str">
            <v>MÊS PADRÃO</v>
          </cell>
        </row>
        <row r="121">
          <cell r="B121" t="str">
            <v>JANEIRO</v>
          </cell>
        </row>
        <row r="122">
          <cell r="B122" t="str">
            <v>FEVEREIRO</v>
          </cell>
        </row>
        <row r="123">
          <cell r="B123" t="str">
            <v>MARÇO</v>
          </cell>
        </row>
        <row r="124">
          <cell r="B124" t="str">
            <v>ABRIL</v>
          </cell>
        </row>
        <row r="125">
          <cell r="B125" t="str">
            <v>MAIO</v>
          </cell>
        </row>
        <row r="126">
          <cell r="B126" t="str">
            <v>JUNHO</v>
          </cell>
        </row>
        <row r="127">
          <cell r="B127" t="str">
            <v>JULHO</v>
          </cell>
        </row>
        <row r="128">
          <cell r="B128" t="str">
            <v>AGOSTO</v>
          </cell>
        </row>
        <row r="129">
          <cell r="B129" t="str">
            <v>SETEMBRO</v>
          </cell>
        </row>
        <row r="130">
          <cell r="B130" t="str">
            <v>OUTUBRO</v>
          </cell>
        </row>
        <row r="131">
          <cell r="B131" t="str">
            <v>NOVEMBRO</v>
          </cell>
        </row>
        <row r="132">
          <cell r="B132" t="str">
            <v>DEZEMBRO</v>
          </cell>
        </row>
        <row r="241">
          <cell r="B241" t="str">
            <v>-</v>
          </cell>
        </row>
        <row r="242">
          <cell r="B242" t="str">
            <v>30"</v>
          </cell>
        </row>
        <row r="243">
          <cell r="B243" t="str">
            <v>5"</v>
          </cell>
        </row>
        <row r="244">
          <cell r="B244" t="str">
            <v>10"</v>
          </cell>
        </row>
        <row r="245">
          <cell r="B245" t="str">
            <v>15"</v>
          </cell>
        </row>
        <row r="246">
          <cell r="B246" t="str">
            <v>45"</v>
          </cell>
        </row>
        <row r="247">
          <cell r="B247" t="str">
            <v>60"</v>
          </cell>
        </row>
        <row r="248">
          <cell r="B248" t="str">
            <v>75"</v>
          </cell>
        </row>
        <row r="249">
          <cell r="B249" t="str">
            <v>90"</v>
          </cell>
        </row>
        <row r="250">
          <cell r="B250" t="str">
            <v>105"</v>
          </cell>
        </row>
        <row r="251">
          <cell r="B251" t="str">
            <v>120"</v>
          </cell>
        </row>
        <row r="252">
          <cell r="B252" t="str">
            <v>135"</v>
          </cell>
        </row>
        <row r="253">
          <cell r="B253" t="str">
            <v>150"</v>
          </cell>
        </row>
        <row r="254">
          <cell r="B254" t="str">
            <v>175"</v>
          </cell>
        </row>
        <row r="255">
          <cell r="B255" t="str">
            <v>180"</v>
          </cell>
        </row>
        <row r="256">
          <cell r="B256" t="str">
            <v>195"</v>
          </cell>
        </row>
        <row r="257">
          <cell r="B257" t="str">
            <v>210"</v>
          </cell>
        </row>
        <row r="258">
          <cell r="B258" t="str">
            <v>225"</v>
          </cell>
        </row>
        <row r="259">
          <cell r="B259" t="str">
            <v>240"</v>
          </cell>
        </row>
        <row r="260">
          <cell r="B260" t="str">
            <v>300"</v>
          </cell>
        </row>
      </sheetData>
      <sheetData sheetId="9">
        <row r="1">
          <cell r="C1" t="str">
            <v>Selecionar</v>
          </cell>
        </row>
      </sheetData>
      <sheetData sheetId="10">
        <row r="1">
          <cell r="A1" t="str">
            <v>CONCATENAR</v>
          </cell>
        </row>
      </sheetData>
      <sheetData sheetId="11">
        <row r="1">
          <cell r="B1">
            <v>0.1</v>
          </cell>
        </row>
      </sheetData>
      <sheetData sheetId="12" refreshError="1"/>
      <sheetData sheetId="13">
        <row r="1">
          <cell r="B1" t="str">
            <v>Selecionar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CAL MERCHAN"/>
      <sheetName val="Proposta Comercial"/>
      <sheetName val="base TV"/>
      <sheetName val="Proposta Comercial-Projeto"/>
      <sheetName val="PLANOS COMERCIAIS SEMANA"/>
      <sheetName val="SABESP"/>
      <sheetName val="BRANDED CONTENT"/>
      <sheetName val="BAND REDE"/>
      <sheetName val="Conversão-Mercha"/>
      <sheetName val="base radio"/>
      <sheetName val="Tabela Vibra"/>
      <sheetName val="Simulcast"/>
      <sheetName val="Impressões_Simulcast"/>
      <sheetName val="base paytv"/>
      <sheetName val="GRADE TV"/>
      <sheetName val="TABELA NET"/>
      <sheetName val="TABELA LOCAL"/>
      <sheetName val="Pesquisa TV"/>
      <sheetName val="Ranking de adequação"/>
      <sheetName val="calculo rk"/>
    </sheetNames>
    <sheetDataSet>
      <sheetData sheetId="0" refreshError="1"/>
      <sheetData sheetId="1" refreshError="1"/>
      <sheetData sheetId="2">
        <row r="2">
          <cell r="D2" t="str">
            <v>NACIONAL</v>
          </cell>
          <cell r="M2" t="str">
            <v>SÃO PAULO</v>
          </cell>
          <cell r="N2" t="str">
            <v>PRESIDENTE PRUDENTE</v>
          </cell>
          <cell r="O2" t="str">
            <v>CAMPINAS</v>
          </cell>
          <cell r="P2" t="str">
            <v>TAUBATÉ</v>
          </cell>
          <cell r="Q2" t="str">
            <v>RIBEIRÃO PRETO</v>
          </cell>
          <cell r="R2" t="str">
            <v>SANTOS</v>
          </cell>
          <cell r="S2" t="str">
            <v>RIO DE JANEIRO</v>
          </cell>
          <cell r="T2" t="str">
            <v>BARRA MANSA</v>
          </cell>
          <cell r="U2" t="str">
            <v>BELO HORIZONTE</v>
          </cell>
          <cell r="V2" t="str">
            <v>UBERABA</v>
          </cell>
          <cell r="W2" t="str">
            <v>VITÓRIA</v>
          </cell>
          <cell r="X2" t="str">
            <v>CURITIBA</v>
          </cell>
          <cell r="Y2" t="str">
            <v>CASCAVEL</v>
          </cell>
          <cell r="Z2" t="str">
            <v>MARINGÁ</v>
          </cell>
          <cell r="AA2" t="str">
            <v>LONDRINA</v>
          </cell>
          <cell r="AB2" t="str">
            <v>PORTO ALEGRE</v>
          </cell>
          <cell r="AC2" t="str">
            <v>FLORIANÓPOLIS</v>
          </cell>
          <cell r="AD2" t="str">
            <v>BRASÍLIA</v>
          </cell>
          <cell r="AE2" t="str">
            <v>GOIÂNIA</v>
          </cell>
          <cell r="AF2" t="str">
            <v>RIO VERDE</v>
          </cell>
          <cell r="AG2" t="str">
            <v>CUIABÁ</v>
          </cell>
          <cell r="AH2" t="str">
            <v>CÁCERES</v>
          </cell>
          <cell r="AI2" t="str">
            <v>NOVA MUTUM</v>
          </cell>
          <cell r="AJ2" t="str">
            <v>CAMPO GRANDE</v>
          </cell>
          <cell r="AK2" t="str">
            <v>SALVADOR</v>
          </cell>
          <cell r="AL2" t="str">
            <v>ARACAJU</v>
          </cell>
          <cell r="AM2" t="str">
            <v>RECIFE</v>
          </cell>
          <cell r="AN2" t="str">
            <v>NATAL</v>
          </cell>
          <cell r="AO2" t="str">
            <v>MACEIÓ</v>
          </cell>
          <cell r="AP2" t="str">
            <v>FORTALEZA</v>
          </cell>
          <cell r="AQ2" t="str">
            <v>JOÃO PESSOA</v>
          </cell>
          <cell r="AR2" t="str">
            <v>TERESINA</v>
          </cell>
          <cell r="AS2" t="str">
            <v>SÃO LUÍS</v>
          </cell>
          <cell r="AT2" t="str">
            <v>IMPERATRIZ</v>
          </cell>
          <cell r="AU2" t="str">
            <v>BELÉM</v>
          </cell>
          <cell r="AV2" t="str">
            <v>MARABÁ</v>
          </cell>
          <cell r="AW2" t="str">
            <v>SANTARÉM</v>
          </cell>
          <cell r="AX2" t="str">
            <v>MANAUS</v>
          </cell>
          <cell r="AY2" t="str">
            <v>PORTO VELHO</v>
          </cell>
          <cell r="AZ2" t="str">
            <v>RIO BRANCO</v>
          </cell>
          <cell r="BA2" t="str">
            <v>GURUPI</v>
          </cell>
          <cell r="BB2" t="str">
            <v>ARAGUAÍNA</v>
          </cell>
          <cell r="BC2" t="str">
            <v>BOA VISTA</v>
          </cell>
          <cell r="BD2" t="str">
            <v>MACAPÁ</v>
          </cell>
        </row>
        <row r="3">
          <cell r="M3" t="str">
            <v>SAO</v>
          </cell>
          <cell r="N3" t="str">
            <v>PPB</v>
          </cell>
          <cell r="O3" t="str">
            <v>CPQ</v>
          </cell>
          <cell r="P3" t="str">
            <v>TAU</v>
          </cell>
          <cell r="Q3" t="str">
            <v>RAO</v>
          </cell>
          <cell r="R3" t="str">
            <v>SAN</v>
          </cell>
          <cell r="S3" t="str">
            <v>RIO</v>
          </cell>
          <cell r="T3" t="str">
            <v>BAM</v>
          </cell>
          <cell r="U3" t="str">
            <v>BHZ</v>
          </cell>
          <cell r="V3" t="str">
            <v>UBA</v>
          </cell>
          <cell r="W3" t="str">
            <v>VIX</v>
          </cell>
          <cell r="X3" t="str">
            <v>CWB</v>
          </cell>
          <cell r="Y3" t="str">
            <v>CAC</v>
          </cell>
          <cell r="Z3" t="str">
            <v>MGF</v>
          </cell>
          <cell r="AA3" t="str">
            <v>LDB</v>
          </cell>
          <cell r="AB3" t="str">
            <v>POA</v>
          </cell>
          <cell r="AC3" t="str">
            <v>FLN</v>
          </cell>
          <cell r="AD3" t="str">
            <v>BSB</v>
          </cell>
          <cell r="AE3" t="str">
            <v>GYN</v>
          </cell>
          <cell r="AF3" t="str">
            <v>RVD</v>
          </cell>
          <cell r="AG3" t="str">
            <v>CGB</v>
          </cell>
          <cell r="AH3" t="str">
            <v>CCR</v>
          </cell>
          <cell r="AI3" t="str">
            <v>MTU</v>
          </cell>
          <cell r="AJ3" t="str">
            <v>CGR</v>
          </cell>
          <cell r="AK3" t="str">
            <v>SSA</v>
          </cell>
          <cell r="AL3" t="str">
            <v>AJU</v>
          </cell>
          <cell r="AM3" t="str">
            <v>REC</v>
          </cell>
          <cell r="AN3" t="str">
            <v>NAT</v>
          </cell>
          <cell r="AO3" t="str">
            <v>MCZ</v>
          </cell>
          <cell r="AP3" t="str">
            <v>FOR</v>
          </cell>
          <cell r="AQ3" t="str">
            <v>JPA</v>
          </cell>
          <cell r="AR3" t="str">
            <v>THE</v>
          </cell>
          <cell r="AS3" t="str">
            <v>SLZ</v>
          </cell>
          <cell r="AT3" t="str">
            <v>IMP</v>
          </cell>
          <cell r="AU3" t="str">
            <v>BEL</v>
          </cell>
          <cell r="AV3" t="str">
            <v>MAB</v>
          </cell>
          <cell r="AW3" t="str">
            <v>STM</v>
          </cell>
          <cell r="AX3" t="str">
            <v>MAO</v>
          </cell>
          <cell r="AY3" t="str">
            <v>PVH</v>
          </cell>
          <cell r="AZ3" t="str">
            <v>RBR</v>
          </cell>
          <cell r="BA3" t="str">
            <v>GRP</v>
          </cell>
          <cell r="BB3" t="str">
            <v>AUX</v>
          </cell>
          <cell r="BC3" t="str">
            <v>BVB</v>
          </cell>
          <cell r="BD3" t="str">
            <v>MCP</v>
          </cell>
        </row>
        <row r="4">
          <cell r="M4" t="str">
            <v>SP1</v>
          </cell>
          <cell r="N4" t="str">
            <v>SP2</v>
          </cell>
          <cell r="O4" t="str">
            <v>SP3</v>
          </cell>
          <cell r="P4" t="str">
            <v>SP4</v>
          </cell>
          <cell r="Q4" t="str">
            <v xml:space="preserve">  SP5</v>
          </cell>
          <cell r="R4" t="str">
            <v>SP7</v>
          </cell>
          <cell r="S4" t="str">
            <v>RJ1</v>
          </cell>
          <cell r="T4" t="str">
            <v>RJ2</v>
          </cell>
          <cell r="U4" t="str">
            <v>MG1</v>
          </cell>
          <cell r="V4" t="str">
            <v>MG2</v>
          </cell>
          <cell r="W4" t="str">
            <v>VIT</v>
          </cell>
          <cell r="X4" t="str">
            <v>PR1</v>
          </cell>
          <cell r="Y4" t="str">
            <v>PR2</v>
          </cell>
          <cell r="Z4" t="str">
            <v>PR3</v>
          </cell>
          <cell r="AA4" t="str">
            <v>PR4</v>
          </cell>
          <cell r="AB4" t="str">
            <v>RS1</v>
          </cell>
          <cell r="AC4" t="str">
            <v>SC1</v>
          </cell>
          <cell r="AD4" t="str">
            <v>BRA</v>
          </cell>
          <cell r="AE4" t="str">
            <v>GOI</v>
          </cell>
          <cell r="AF4" t="str">
            <v>GO2</v>
          </cell>
          <cell r="AG4" t="str">
            <v>MT1</v>
          </cell>
          <cell r="AH4" t="str">
            <v>MT2</v>
          </cell>
          <cell r="AI4" t="str">
            <v>MT3</v>
          </cell>
          <cell r="AJ4" t="str">
            <v>CGR</v>
          </cell>
          <cell r="AK4" t="str">
            <v>SAL</v>
          </cell>
          <cell r="AL4" t="str">
            <v>AJU</v>
          </cell>
          <cell r="AM4" t="str">
            <v>REC</v>
          </cell>
          <cell r="AN4" t="str">
            <v>NAT</v>
          </cell>
          <cell r="AO4" t="str">
            <v>MAC</v>
          </cell>
          <cell r="AP4" t="str">
            <v>CE1</v>
          </cell>
          <cell r="AQ4" t="str">
            <v>JPE</v>
          </cell>
          <cell r="AR4" t="str">
            <v>PI1</v>
          </cell>
          <cell r="AS4" t="str">
            <v>MA1</v>
          </cell>
          <cell r="AT4" t="str">
            <v>MA4</v>
          </cell>
          <cell r="AU4" t="str">
            <v>BEL</v>
          </cell>
          <cell r="AV4" t="str">
            <v>PA2</v>
          </cell>
          <cell r="AW4" t="str">
            <v>PA3</v>
          </cell>
          <cell r="AX4" t="str">
            <v>MAN</v>
          </cell>
          <cell r="AY4" t="str">
            <v>POV</v>
          </cell>
          <cell r="AZ4" t="str">
            <v>RBR</v>
          </cell>
          <cell r="BA4" t="str">
            <v>TO2</v>
          </cell>
          <cell r="BB4" t="str">
            <v>TO3</v>
          </cell>
          <cell r="BC4" t="str">
            <v>BVT</v>
          </cell>
          <cell r="BD4" t="str">
            <v>MCP</v>
          </cell>
        </row>
        <row r="5">
          <cell r="G5" t="str">
            <v>-Selecionar-</v>
          </cell>
        </row>
        <row r="6">
          <cell r="G6" t="str">
            <v>AGRO BAND</v>
          </cell>
        </row>
        <row r="7">
          <cell r="G7" t="str">
            <v>APITO FINAL</v>
          </cell>
        </row>
        <row r="8">
          <cell r="G8" t="str">
            <v>ALMA DE GIGANTE</v>
          </cell>
        </row>
        <row r="9">
          <cell r="G9" t="str">
            <v>BAND ESPORTE CLUBE</v>
          </cell>
        </row>
        <row r="10">
          <cell r="G10" t="str">
            <v>BAND ESPORTE</v>
          </cell>
        </row>
        <row r="11">
          <cell r="G11" t="str">
            <v>BORA BRASIL</v>
          </cell>
        </row>
        <row r="12">
          <cell r="G12" t="str">
            <v>BRASIL URGENTE</v>
          </cell>
        </row>
        <row r="13">
          <cell r="G13" t="str">
            <v>BWF LUTA LIVRE</v>
          </cell>
        </row>
        <row r="14">
          <cell r="G14" t="str">
            <v>CAFÉ COM AROMA DE MULHER</v>
          </cell>
        </row>
        <row r="15">
          <cell r="G15" t="str">
            <v>CAMPEONATO SAUDITA</v>
          </cell>
        </row>
        <row r="16">
          <cell r="G16" t="str">
            <v>CANAL LIVRE</v>
          </cell>
        </row>
        <row r="17">
          <cell r="G17" t="str">
            <v>CINE CLUBE</v>
          </cell>
        </row>
        <row r="18">
          <cell r="G18" t="str">
            <v>PAPO COM SABOR - REAPRESENTAÇÃO</v>
          </cell>
        </row>
        <row r="19">
          <cell r="G19" t="str">
            <v>CINE PRIVÉ</v>
          </cell>
        </row>
        <row r="20">
          <cell r="G20" t="str">
            <v>CHAMA NO PRIVÉ</v>
          </cell>
        </row>
        <row r="21">
          <cell r="G21" t="str">
            <v>CINEMA NA MADRUGADA</v>
          </cell>
        </row>
        <row r="22">
          <cell r="G22" t="str">
            <v>COPA TRUCK</v>
          </cell>
        </row>
        <row r="23">
          <cell r="G23" t="str">
            <v>DESTINOS</v>
          </cell>
        </row>
        <row r="24">
          <cell r="G24" t="str">
            <v>DE ONDE VEM</v>
          </cell>
        </row>
        <row r="25">
          <cell r="G25" t="str">
            <v>DO LEVAIN AO PÃO</v>
          </cell>
        </row>
        <row r="26">
          <cell r="G26" t="str">
            <v xml:space="preserve">DOCUMENTO BAND </v>
          </cell>
        </row>
        <row r="27">
          <cell r="G27" t="str">
            <v>DOMINGO NO CINEMA</v>
          </cell>
        </row>
        <row r="28">
          <cell r="G28" t="str">
            <v>ECONOMIA PRA VOCÊ</v>
          </cell>
        </row>
        <row r="29">
          <cell r="G29" t="str">
            <v>EUROPA LEAGUE</v>
          </cell>
        </row>
        <row r="30">
          <cell r="G30" t="str">
            <v>ESPORTE TOTAL</v>
          </cell>
        </row>
        <row r="31">
          <cell r="G31" t="str">
            <v>ESTILO ARTE1</v>
          </cell>
        </row>
        <row r="32">
          <cell r="G32" t="str">
            <v>ESTAÇÃO CINEMA</v>
          </cell>
        </row>
        <row r="33">
          <cell r="G33" t="str">
            <v>FÓRMULA 1</v>
          </cell>
        </row>
        <row r="34">
          <cell r="G34" t="str">
            <v>FÓRMULA 1 - TREINO CLASSIFICATÓRIO</v>
          </cell>
        </row>
        <row r="35">
          <cell r="G35" t="str">
            <v>FÓRMULA 2</v>
          </cell>
        </row>
        <row r="36">
          <cell r="G36" t="str">
            <v>FÓRMULA 3</v>
          </cell>
        </row>
        <row r="37">
          <cell r="G37" t="str">
            <v>FÓRMULA E</v>
          </cell>
        </row>
        <row r="38">
          <cell r="G38" t="str">
            <v>FÓRMULA BAND</v>
          </cell>
        </row>
        <row r="39">
          <cell r="G39" t="str">
            <v>FÓRMULA 1 - COMPACTO</v>
          </cell>
        </row>
        <row r="40">
          <cell r="G40" t="str">
            <v>GALVÃO &amp; AMIGOS</v>
          </cell>
        </row>
        <row r="41">
          <cell r="G41" t="str">
            <v>GAME SHOW BANDBET</v>
          </cell>
        </row>
        <row r="42">
          <cell r="G42" t="str">
            <v>LARGADOS E PELADOS</v>
          </cell>
        </row>
        <row r="43">
          <cell r="G43" t="str">
            <v>O MUNDO SEGUNDO OS BRASILEIROS - EM DEFINIÇÃO</v>
          </cell>
        </row>
        <row r="44">
          <cell r="G44" t="str">
            <v>JANTAR O QUÊ</v>
          </cell>
        </row>
        <row r="45">
          <cell r="G45" t="str">
            <v>JOGO ABERTO</v>
          </cell>
        </row>
        <row r="46">
          <cell r="G46" t="str">
            <v>JORNAL BANDNEWS - GIRO DE NOTÍCIAS</v>
          </cell>
        </row>
        <row r="47">
          <cell r="G47" t="str">
            <v>JORNAL DA BAND</v>
          </cell>
        </row>
        <row r="48">
          <cell r="G48" t="str">
            <v>JORNAL DA BAND - REAPRESENTAÇÃO</v>
          </cell>
        </row>
        <row r="49">
          <cell r="G49" t="str">
            <v>JORNAL DA NOITE</v>
          </cell>
        </row>
        <row r="50">
          <cell r="G50" t="str">
            <v>LADIES CUP FINAL</v>
          </cell>
        </row>
        <row r="51">
          <cell r="G51" t="str">
            <v>LÁ NO MERCADÃO</v>
          </cell>
        </row>
        <row r="52">
          <cell r="G52" t="str">
            <v xml:space="preserve">DO SIMPLES AO ESPETACULAR </v>
          </cell>
        </row>
        <row r="53">
          <cell r="G53" t="str">
            <v xml:space="preserve">DIRETO NA BRASA </v>
          </cell>
        </row>
        <row r="54">
          <cell r="G54" t="str">
            <v>SABORES DE SP</v>
          </cell>
        </row>
        <row r="55">
          <cell r="G55" t="str">
            <v>LINHA DE COMBATE - REAPRESENTAÇÃO</v>
          </cell>
        </row>
        <row r="56">
          <cell r="G56" t="str">
            <v>MASTERCHEF AMADORES</v>
          </cell>
        </row>
        <row r="57">
          <cell r="G57" t="str">
            <v>MASTERCHEF AMADORES - REAPRESENTAÇÃO</v>
          </cell>
        </row>
        <row r="58">
          <cell r="G58" t="str">
            <v>MASTERCHEF A PRÉVIA</v>
          </cell>
        </row>
        <row r="59">
          <cell r="G59" t="str">
            <v>MELHOR DA NOITE</v>
          </cell>
        </row>
        <row r="60">
          <cell r="G60" t="str">
            <v>MELHOR DA TARDE</v>
          </cell>
        </row>
        <row r="61">
          <cell r="G61" t="str">
            <v>MESTRE DO DRYWALL</v>
          </cell>
        </row>
        <row r="62">
          <cell r="G62" t="str">
            <v>NA COZINHA DA HELÔ</v>
          </cell>
        </row>
        <row r="63">
          <cell r="G63" t="str">
            <v>ORIGENS DO SABOR</v>
          </cell>
        </row>
        <row r="64">
          <cell r="G64" t="str">
            <v>O MELHOR DO UFC</v>
          </cell>
        </row>
        <row r="65">
          <cell r="G65" t="str">
            <v>O MELHOR PRATO</v>
          </cell>
        </row>
        <row r="66">
          <cell r="G66" t="str">
            <v>PAPO COM SABOR - REAPRESENTAÇÃO</v>
          </cell>
        </row>
        <row r="67">
          <cell r="G67" t="str">
            <v>PERRENGUE DO DIA</v>
          </cell>
        </row>
        <row r="68">
          <cell r="G68" t="str">
            <v>PERRENGUE NA BAND</v>
          </cell>
        </row>
        <row r="69">
          <cell r="G69" t="str">
            <v xml:space="preserve">PESADELO NA COZINHA </v>
          </cell>
        </row>
        <row r="70">
          <cell r="G70" t="str">
            <v xml:space="preserve">PLANETA SELVAGEM </v>
          </cell>
        </row>
        <row r="71">
          <cell r="G71" t="str">
            <v>PLANETA SELVAGEM</v>
          </cell>
        </row>
        <row r="72">
          <cell r="G72" t="str">
            <v>PORSCHE CUP</v>
          </cell>
        </row>
        <row r="73">
          <cell r="G73" t="str">
            <v>PURA PESCA</v>
          </cell>
        </row>
        <row r="74">
          <cell r="G74" t="str">
            <v xml:space="preserve">REMO E RUMOS </v>
          </cell>
        </row>
        <row r="75">
          <cell r="G75" t="str">
            <v>RESENHA DO GALINHO</v>
          </cell>
        </row>
        <row r="76">
          <cell r="G76" t="str">
            <v>SABADÃO DE TODOS</v>
          </cell>
        </row>
        <row r="77">
          <cell r="G77" t="str">
            <v>SESSÃO ESPECIAL</v>
          </cell>
        </row>
        <row r="78">
          <cell r="G78" t="str">
            <v xml:space="preserve">SESSÃO ESPECIAL </v>
          </cell>
        </row>
        <row r="79">
          <cell r="G79" t="str">
            <v>SEX PRIVÉ CLUBE</v>
          </cell>
        </row>
        <row r="80">
          <cell r="G80" t="str">
            <v>CHAMA NO PRIVÊ</v>
          </cell>
        </row>
        <row r="81">
          <cell r="G81" t="str">
            <v>SFT</v>
          </cell>
        </row>
        <row r="82">
          <cell r="G82" t="str">
            <v>SHOW DO ESPORTE</v>
          </cell>
        </row>
        <row r="83">
          <cell r="G83" t="str">
            <v>STOCK CAR</v>
          </cell>
        </row>
        <row r="84">
          <cell r="G84" t="str">
            <v>NOVELA I</v>
          </cell>
        </row>
        <row r="85">
          <cell r="G85" t="str">
            <v>VIDA DE MERENDEIRA</v>
          </cell>
        </row>
        <row r="86">
          <cell r="G86" t="str">
            <v>DESAFIO EM DOSE DUPLA</v>
          </cell>
        </row>
        <row r="87">
          <cell r="G87" t="str">
            <v>THE BLACKLIST</v>
          </cell>
        </row>
        <row r="88">
          <cell r="G88" t="str">
            <v>TOP CINE</v>
          </cell>
        </row>
        <row r="89">
          <cell r="G89" t="str">
            <v>UFC</v>
          </cell>
        </row>
        <row r="90">
          <cell r="G90" t="str">
            <v>WEC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2">
          <cell r="B2" t="str">
            <v xml:space="preserve"> -FORMATOS- (Selecionar)</v>
          </cell>
        </row>
        <row r="57">
          <cell r="B57" t="str">
            <v>CACHE</v>
          </cell>
          <cell r="C57" t="str">
            <v>APRESENTADOR</v>
          </cell>
        </row>
        <row r="58">
          <cell r="B58" t="str">
            <v>PROGRAMA</v>
          </cell>
          <cell r="C58" t="str">
            <v>COD.</v>
          </cell>
          <cell r="D58" t="str">
            <v>Selecionar</v>
          </cell>
          <cell r="F58" t="str">
            <v>Porcentagem</v>
          </cell>
          <cell r="G58" t="str">
            <v>Mínimo</v>
          </cell>
          <cell r="H58" t="str">
            <v>Adicional</v>
          </cell>
        </row>
        <row r="59">
          <cell r="A59" t="str">
            <v>0</v>
          </cell>
          <cell r="B59" t="str">
            <v>APRESENTADOR COMERCIAL</v>
          </cell>
          <cell r="D59" t="str">
            <v xml:space="preserve"> Felipe Fonseca</v>
          </cell>
          <cell r="G59">
            <v>250</v>
          </cell>
          <cell r="I59" t="str">
            <v>Felipe Fonseca - Testemunhal / Ação diferenciada é negociado o valor</v>
          </cell>
          <cell r="M59" t="str">
            <v>--Selecionar--</v>
          </cell>
          <cell r="N59" t="str">
            <v>--Selecionar--</v>
          </cell>
          <cell r="O59" t="str">
            <v>--Selecionar--</v>
          </cell>
          <cell r="P59" t="str">
            <v>--Selecionar--</v>
          </cell>
          <cell r="Q59" t="str">
            <v>--Selecionar--</v>
          </cell>
          <cell r="R59" t="str">
            <v>--Selecionar--</v>
          </cell>
          <cell r="S59" t="str">
            <v>--Selecionar--</v>
          </cell>
          <cell r="T59" t="str">
            <v>--Selecionar--</v>
          </cell>
          <cell r="U59" t="str">
            <v>--Selecionar--</v>
          </cell>
          <cell r="V59" t="str">
            <v>--Selecionar--</v>
          </cell>
        </row>
        <row r="60">
          <cell r="A60" t="str">
            <v>APIT1</v>
          </cell>
          <cell r="B60" t="str">
            <v>APITO FINAL</v>
          </cell>
          <cell r="C60" t="str">
            <v>APIT</v>
          </cell>
          <cell r="D60" t="str">
            <v xml:space="preserve"> Neto</v>
          </cell>
          <cell r="F60">
            <v>0.1</v>
          </cell>
          <cell r="G60">
            <v>3000</v>
          </cell>
          <cell r="I60" t="str">
            <v>Neto - 10% do líquido - por ação / Ação Especial valor sob consulta</v>
          </cell>
          <cell r="M60" t="str">
            <v/>
          </cell>
          <cell r="N60" t="str">
            <v/>
          </cell>
          <cell r="O60" t="str">
            <v/>
          </cell>
          <cell r="P60" t="str">
            <v/>
          </cell>
          <cell r="Q60" t="str">
            <v/>
          </cell>
          <cell r="R60" t="str">
            <v/>
          </cell>
          <cell r="S60" t="str">
            <v/>
          </cell>
          <cell r="T60" t="str">
            <v/>
          </cell>
          <cell r="U60" t="str">
            <v/>
          </cell>
          <cell r="V60" t="str">
            <v/>
          </cell>
        </row>
        <row r="61">
          <cell r="A61" t="str">
            <v>FOLB1</v>
          </cell>
          <cell r="B61" t="str">
            <v>BAND FOLIA</v>
          </cell>
          <cell r="C61" t="str">
            <v>FOLB</v>
          </cell>
          <cell r="D61" t="str">
            <v xml:space="preserve"> Betinho</v>
          </cell>
          <cell r="F61">
            <v>0.1</v>
          </cell>
          <cell r="G61">
            <v>2000</v>
          </cell>
          <cell r="I61" t="str">
            <v>Betinho - 10% do líquido - por ação / Ação Especial valor sob consulta</v>
          </cell>
          <cell r="M61" t="str">
            <v/>
          </cell>
          <cell r="N61" t="str">
            <v/>
          </cell>
          <cell r="O61" t="str">
            <v/>
          </cell>
          <cell r="P61" t="str">
            <v/>
          </cell>
          <cell r="Q61" t="str">
            <v/>
          </cell>
          <cell r="R61" t="str">
            <v/>
          </cell>
          <cell r="S61" t="str">
            <v/>
          </cell>
          <cell r="T61" t="str">
            <v/>
          </cell>
          <cell r="U61" t="str">
            <v/>
          </cell>
          <cell r="V61" t="str">
            <v/>
          </cell>
        </row>
        <row r="62">
          <cell r="A62" t="str">
            <v>CLUS1</v>
          </cell>
          <cell r="B62" t="str">
            <v>BAND ESPORTE CLUBE</v>
          </cell>
          <cell r="C62" t="str">
            <v>CLUS</v>
          </cell>
          <cell r="D62" t="str">
            <v xml:space="preserve"> Kalinka Schutel</v>
          </cell>
          <cell r="F62">
            <v>0.1</v>
          </cell>
          <cell r="G62">
            <v>1500</v>
          </cell>
          <cell r="I62" t="str">
            <v>Kalinka Schutel - 10% do líquido - por ação / Ação Especial valor sob consulta</v>
          </cell>
          <cell r="M62" t="str">
            <v/>
          </cell>
          <cell r="N62" t="str">
            <v/>
          </cell>
          <cell r="O62" t="str">
            <v/>
          </cell>
          <cell r="P62" t="str">
            <v/>
          </cell>
          <cell r="Q62" t="str">
            <v/>
          </cell>
          <cell r="R62" t="str">
            <v/>
          </cell>
          <cell r="S62" t="str">
            <v/>
          </cell>
          <cell r="T62" t="str">
            <v/>
          </cell>
          <cell r="U62" t="str">
            <v/>
          </cell>
          <cell r="V62" t="str">
            <v/>
          </cell>
        </row>
        <row r="63">
          <cell r="A63" t="str">
            <v>BECL1</v>
          </cell>
          <cell r="B63" t="str">
            <v xml:space="preserve">BAND ESPORTE CLUBE - LOCAL </v>
          </cell>
          <cell r="C63" t="str">
            <v>BECL</v>
          </cell>
          <cell r="D63" t="str">
            <v xml:space="preserve"> Kalinka Schutel</v>
          </cell>
          <cell r="F63">
            <v>0.1</v>
          </cell>
          <cell r="G63">
            <v>1500</v>
          </cell>
          <cell r="I63" t="str">
            <v>Kalinka Schutel - 10% do líquido - por ação / Ação Especial valor sob consulta</v>
          </cell>
        </row>
        <row r="64">
          <cell r="A64" t="str">
            <v>BOBR1</v>
          </cell>
          <cell r="B64" t="str">
            <v>BORA BRASIL</v>
          </cell>
          <cell r="C64" t="str">
            <v>BOBR</v>
          </cell>
          <cell r="D64" t="str">
            <v xml:space="preserve"> Cynthia de Paula da S Martins</v>
          </cell>
          <cell r="F64">
            <v>0.1</v>
          </cell>
          <cell r="G64">
            <v>2000</v>
          </cell>
          <cell r="I64" t="str">
            <v>Cynthia de Paula da S Martins - 10% do líquido - por ação / Ação Especial valor sob consulta</v>
          </cell>
          <cell r="M64" t="str">
            <v/>
          </cell>
          <cell r="N64" t="str">
            <v/>
          </cell>
          <cell r="O64" t="str">
            <v/>
          </cell>
          <cell r="P64" t="str">
            <v/>
          </cell>
          <cell r="Q64" t="str">
            <v/>
          </cell>
          <cell r="R64" t="str">
            <v/>
          </cell>
          <cell r="S64" t="str">
            <v/>
          </cell>
          <cell r="T64" t="str">
            <v/>
          </cell>
          <cell r="U64" t="str">
            <v/>
          </cell>
          <cell r="V64" t="str">
            <v/>
          </cell>
        </row>
        <row r="65">
          <cell r="A65" t="str">
            <v>BOBR2</v>
          </cell>
          <cell r="B65" t="str">
            <v>BORA BRASIL</v>
          </cell>
          <cell r="C65" t="str">
            <v>BOBR</v>
          </cell>
          <cell r="D65" t="str">
            <v xml:space="preserve"> Rodrigo Nascimento Alvarez</v>
          </cell>
          <cell r="F65">
            <v>0.1</v>
          </cell>
          <cell r="G65">
            <v>2000</v>
          </cell>
          <cell r="I65" t="str">
            <v>Rodrigo Nascimento Alvarez - 10% do líquido - por ação / Ação Especial valor sob consulta</v>
          </cell>
          <cell r="M65" t="str">
            <v/>
          </cell>
          <cell r="N65" t="str">
            <v/>
          </cell>
          <cell r="O65" t="str">
            <v/>
          </cell>
          <cell r="P65" t="str">
            <v/>
          </cell>
          <cell r="Q65" t="str">
            <v/>
          </cell>
          <cell r="R65" t="str">
            <v/>
          </cell>
          <cell r="S65" t="str">
            <v/>
          </cell>
          <cell r="T65" t="str">
            <v/>
          </cell>
          <cell r="U65" t="str">
            <v/>
          </cell>
          <cell r="V65" t="str">
            <v/>
          </cell>
        </row>
        <row r="66">
          <cell r="A66" t="str">
            <v>BOBR3</v>
          </cell>
          <cell r="B66" t="str">
            <v>BORA BRASIL</v>
          </cell>
          <cell r="C66" t="str">
            <v>BOBR</v>
          </cell>
          <cell r="D66" t="str">
            <v xml:space="preserve">Patricia Rocha </v>
          </cell>
          <cell r="F66">
            <v>0.1</v>
          </cell>
          <cell r="G66">
            <v>2000</v>
          </cell>
          <cell r="I66" t="str">
            <v>Rodrigo Nascimento Alvarez - 10% do líquido - por ação / Ação Especial valor sob consulta</v>
          </cell>
          <cell r="M66" t="str">
            <v/>
          </cell>
          <cell r="N66" t="str">
            <v/>
          </cell>
          <cell r="O66" t="str">
            <v/>
          </cell>
          <cell r="P66" t="str">
            <v/>
          </cell>
          <cell r="Q66" t="str">
            <v/>
          </cell>
          <cell r="R66" t="str">
            <v/>
          </cell>
          <cell r="S66" t="str">
            <v/>
          </cell>
          <cell r="T66" t="str">
            <v/>
          </cell>
          <cell r="U66" t="str">
            <v/>
          </cell>
          <cell r="V66" t="str">
            <v/>
          </cell>
        </row>
        <row r="67">
          <cell r="A67" t="str">
            <v>BRUR1</v>
          </cell>
          <cell r="B67" t="str">
            <v>BRASIL URGENTE</v>
          </cell>
          <cell r="C67" t="str">
            <v>BRUR</v>
          </cell>
          <cell r="D67" t="str">
            <v xml:space="preserve"> Joel Datena</v>
          </cell>
          <cell r="F67">
            <v>0.15</v>
          </cell>
          <cell r="G67">
            <v>3000</v>
          </cell>
          <cell r="I67" t="str">
            <v>Joel Datena - 15% do líquido - por ação / Ação Especial valor sob consulta</v>
          </cell>
          <cell r="M67" t="str">
            <v/>
          </cell>
          <cell r="N67" t="str">
            <v/>
          </cell>
          <cell r="O67" t="str">
            <v/>
          </cell>
          <cell r="P67" t="str">
            <v/>
          </cell>
          <cell r="Q67" t="str">
            <v/>
          </cell>
          <cell r="R67" t="str">
            <v/>
          </cell>
          <cell r="S67" t="str">
            <v/>
          </cell>
          <cell r="T67" t="str">
            <v/>
          </cell>
          <cell r="U67" t="str">
            <v/>
          </cell>
          <cell r="V67" t="str">
            <v/>
          </cell>
        </row>
        <row r="68">
          <cell r="A68" t="str">
            <v>BRLO1</v>
          </cell>
          <cell r="B68" t="str">
            <v>BRASIL URGENTE LOCAL</v>
          </cell>
          <cell r="C68" t="str">
            <v>BRLO</v>
          </cell>
          <cell r="D68" t="str">
            <v xml:space="preserve"> Joel Datena</v>
          </cell>
          <cell r="F68">
            <v>0.15</v>
          </cell>
          <cell r="G68">
            <v>2500</v>
          </cell>
          <cell r="I68" t="str">
            <v>Joel Datena - 15% do líquido - por ação / Ação Especial valor sob consulta</v>
          </cell>
          <cell r="M68" t="str">
            <v/>
          </cell>
          <cell r="N68" t="str">
            <v/>
          </cell>
          <cell r="O68" t="str">
            <v/>
          </cell>
          <cell r="P68" t="str">
            <v/>
          </cell>
          <cell r="Q68" t="str">
            <v/>
          </cell>
          <cell r="R68" t="str">
            <v/>
          </cell>
          <cell r="S68" t="str">
            <v/>
          </cell>
          <cell r="T68" t="str">
            <v/>
          </cell>
          <cell r="U68" t="str">
            <v/>
          </cell>
          <cell r="V68" t="str">
            <v/>
          </cell>
        </row>
        <row r="69">
          <cell r="A69" t="str">
            <v>BRUR2</v>
          </cell>
          <cell r="B69" t="str">
            <v>BRASIL URGENTE</v>
          </cell>
          <cell r="C69" t="str">
            <v>BRUR</v>
          </cell>
          <cell r="D69" t="str">
            <v xml:space="preserve"> Felipe Garrafa Fernandes</v>
          </cell>
          <cell r="F69">
            <v>0.1</v>
          </cell>
          <cell r="G69">
            <v>1000</v>
          </cell>
          <cell r="I69" t="str">
            <v>Felipe Garrafa Fernandes - 10% do líquido - por ação / Ação Especial valor sob consulta</v>
          </cell>
          <cell r="M69" t="str">
            <v/>
          </cell>
          <cell r="N69" t="str">
            <v/>
          </cell>
          <cell r="O69" t="str">
            <v/>
          </cell>
          <cell r="P69" t="str">
            <v/>
          </cell>
          <cell r="Q69" t="str">
            <v/>
          </cell>
          <cell r="R69" t="str">
            <v/>
          </cell>
          <cell r="S69" t="str">
            <v/>
          </cell>
          <cell r="T69" t="str">
            <v/>
          </cell>
          <cell r="U69" t="str">
            <v/>
          </cell>
          <cell r="V69" t="str">
            <v/>
          </cell>
        </row>
        <row r="70">
          <cell r="A70" t="str">
            <v>CARI1</v>
          </cell>
          <cell r="B70" t="str">
            <v>CAMPEONATO CARIOCA</v>
          </cell>
          <cell r="C70" t="str">
            <v>CARI</v>
          </cell>
          <cell r="D70" t="str">
            <v xml:space="preserve"> Athirson Mazolli</v>
          </cell>
          <cell r="F70">
            <v>0.1</v>
          </cell>
          <cell r="I70" t="str">
            <v>Athirson Mazolli - 10% do líquido negociado - por ação / Ação Especial valor sob consulta</v>
          </cell>
          <cell r="M70" t="str">
            <v/>
          </cell>
          <cell r="N70" t="str">
            <v/>
          </cell>
          <cell r="O70" t="str">
            <v/>
          </cell>
          <cell r="P70" t="str">
            <v/>
          </cell>
          <cell r="Q70" t="str">
            <v/>
          </cell>
          <cell r="R70" t="str">
            <v/>
          </cell>
          <cell r="S70" t="str">
            <v/>
          </cell>
          <cell r="T70" t="str">
            <v/>
          </cell>
          <cell r="U70" t="str">
            <v/>
          </cell>
          <cell r="V70" t="str">
            <v/>
          </cell>
        </row>
        <row r="71">
          <cell r="A71" t="str">
            <v>CARI2</v>
          </cell>
          <cell r="B71" t="str">
            <v>CAMPEONATO CARIOCA</v>
          </cell>
          <cell r="C71" t="str">
            <v>CARI</v>
          </cell>
          <cell r="D71" t="str">
            <v xml:space="preserve"> Washington Cerqueira</v>
          </cell>
          <cell r="F71">
            <v>0.1</v>
          </cell>
          <cell r="I71" t="str">
            <v>Washington Cerqueira - 10% do líquido negociado - por ação / Ação Especial valor sob consulta</v>
          </cell>
          <cell r="M71" t="str">
            <v/>
          </cell>
          <cell r="N71" t="str">
            <v/>
          </cell>
          <cell r="O71" t="str">
            <v/>
          </cell>
          <cell r="P71" t="str">
            <v/>
          </cell>
          <cell r="Q71" t="str">
            <v/>
          </cell>
          <cell r="R71" t="str">
            <v/>
          </cell>
          <cell r="S71" t="str">
            <v/>
          </cell>
          <cell r="T71" t="str">
            <v/>
          </cell>
          <cell r="U71" t="str">
            <v/>
          </cell>
          <cell r="V71" t="str">
            <v/>
          </cell>
        </row>
        <row r="72">
          <cell r="A72" t="str">
            <v>FUTB1</v>
          </cell>
          <cell r="B72" t="str">
            <v>ESPORTE TOTAL</v>
          </cell>
          <cell r="C72" t="str">
            <v>FUTB</v>
          </cell>
          <cell r="D72" t="str">
            <v xml:space="preserve"> Fernando Fernandes</v>
          </cell>
          <cell r="F72">
            <v>0.1</v>
          </cell>
          <cell r="G72">
            <v>2000</v>
          </cell>
          <cell r="I72" t="str">
            <v>Fernando Fernandes - 10% do líquido - por ação / Ação Especial valor sob consulta</v>
          </cell>
          <cell r="M72" t="str">
            <v/>
          </cell>
          <cell r="N72" t="str">
            <v/>
          </cell>
          <cell r="O72" t="str">
            <v/>
          </cell>
          <cell r="P72" t="str">
            <v/>
          </cell>
          <cell r="Q72" t="str">
            <v/>
          </cell>
          <cell r="R72" t="str">
            <v/>
          </cell>
          <cell r="S72" t="str">
            <v/>
          </cell>
          <cell r="T72" t="str">
            <v/>
          </cell>
          <cell r="U72" t="str">
            <v/>
          </cell>
          <cell r="V72" t="str">
            <v/>
          </cell>
        </row>
        <row r="73">
          <cell r="A73" t="str">
            <v>FOR11</v>
          </cell>
          <cell r="B73" t="str">
            <v>FORMULA 1</v>
          </cell>
          <cell r="C73" t="str">
            <v>FOR1</v>
          </cell>
          <cell r="D73" t="str">
            <v xml:space="preserve"> Felipe Giaffone</v>
          </cell>
          <cell r="F73">
            <v>0.1</v>
          </cell>
          <cell r="I73" t="str">
            <v>Felipe Giaffone - 10% do líquido negociado - por ação / Ação Especial valor sob consulta</v>
          </cell>
        </row>
        <row r="74">
          <cell r="A74" t="str">
            <v>FOR12</v>
          </cell>
          <cell r="B74" t="str">
            <v>FORMULA 1</v>
          </cell>
          <cell r="C74" t="str">
            <v>FOR1</v>
          </cell>
          <cell r="D74" t="str">
            <v xml:space="preserve"> Max Wilson</v>
          </cell>
          <cell r="F74">
            <v>0.1</v>
          </cell>
          <cell r="I74" t="str">
            <v>Max Wilson - 10% do líquido negociado - por ação / Ação Especial valor sob consulta</v>
          </cell>
        </row>
        <row r="75">
          <cell r="A75" t="str">
            <v>FOR13</v>
          </cell>
          <cell r="B75" t="str">
            <v>FORMULA 1</v>
          </cell>
          <cell r="C75" t="str">
            <v>FOR1</v>
          </cell>
          <cell r="D75" t="str">
            <v xml:space="preserve"> Sérgio Maurício</v>
          </cell>
          <cell r="F75">
            <v>0.1</v>
          </cell>
          <cell r="I75" t="str">
            <v>Sergio Maurício - 10% do líquido negociado - por ação / Ação Especial valor sob consulta</v>
          </cell>
        </row>
        <row r="76">
          <cell r="A76" t="str">
            <v>FOR14</v>
          </cell>
          <cell r="B76" t="str">
            <v>FORMULA 1</v>
          </cell>
          <cell r="C76" t="str">
            <v>FOR1</v>
          </cell>
          <cell r="D76" t="str">
            <v xml:space="preserve"> Tiago Mendonça</v>
          </cell>
          <cell r="F76">
            <v>0.1</v>
          </cell>
          <cell r="I76" t="str">
            <v>Tiago Mendonça - 10% do líquido negociado - por ação / Ação Especial valor sob consulta</v>
          </cell>
        </row>
        <row r="77">
          <cell r="A77" t="str">
            <v>GALV1</v>
          </cell>
          <cell r="B77" t="str">
            <v>GALVÃO &amp; AMIGOS</v>
          </cell>
          <cell r="C77" t="str">
            <v>GALV</v>
          </cell>
          <cell r="D77" t="str">
            <v xml:space="preserve"> Galvão Bueno</v>
          </cell>
          <cell r="G77">
            <v>35000</v>
          </cell>
          <cell r="I77" t="str">
            <v>Ação Diferencia valor sob consulta</v>
          </cell>
        </row>
        <row r="78">
          <cell r="A78" t="str">
            <v>GALV2</v>
          </cell>
          <cell r="B78" t="str">
            <v>GALVÃO &amp; AMIGOS</v>
          </cell>
          <cell r="C78" t="str">
            <v>GALV</v>
          </cell>
          <cell r="D78" t="str">
            <v xml:space="preserve"> Mauro Naves</v>
          </cell>
          <cell r="F78">
            <v>0.1</v>
          </cell>
          <cell r="I78" t="str">
            <v>Mauro Naves - 10% do líquido negociado - por ação / Ação Especial valor sob consulta</v>
          </cell>
        </row>
        <row r="79">
          <cell r="A79" t="str">
            <v>GALV3</v>
          </cell>
          <cell r="B79" t="str">
            <v>GALVÃO &amp; AMIGOS</v>
          </cell>
          <cell r="C79" t="str">
            <v>GALV</v>
          </cell>
          <cell r="D79" t="str">
            <v xml:space="preserve"> Walter Casagrande</v>
          </cell>
          <cell r="F79">
            <v>0.1</v>
          </cell>
          <cell r="I79" t="str">
            <v>Casagrande - 10% do líquido negociado - por ação / Ação Especial valor sob consulta</v>
          </cell>
        </row>
        <row r="80">
          <cell r="A80" t="str">
            <v>JGAB1</v>
          </cell>
          <cell r="B80" t="str">
            <v>JOGO ABERTO</v>
          </cell>
          <cell r="C80" t="str">
            <v>JGAB</v>
          </cell>
          <cell r="D80" t="str">
            <v xml:space="preserve"> Renata Fan</v>
          </cell>
          <cell r="F80">
            <v>0.15</v>
          </cell>
          <cell r="G80">
            <v>2500</v>
          </cell>
          <cell r="I80" t="str">
            <v>Renata Fan - 15% do líquido - por ação / Ação Especial valor sob consulta</v>
          </cell>
        </row>
        <row r="81">
          <cell r="A81" t="str">
            <v>JGAB2</v>
          </cell>
          <cell r="B81" t="str">
            <v>JOGO ABERTO</v>
          </cell>
          <cell r="C81" t="str">
            <v>JGAB</v>
          </cell>
          <cell r="D81" t="str">
            <v xml:space="preserve"> Cícelo João de Césare</v>
          </cell>
          <cell r="F81">
            <v>0.1</v>
          </cell>
          <cell r="G81">
            <v>2000</v>
          </cell>
          <cell r="I81" t="str">
            <v>Cícero João de Césare - 10% do líquido - por ação / Ação Especial valor sob consulta</v>
          </cell>
        </row>
        <row r="82">
          <cell r="A82" t="str">
            <v>JGAB3</v>
          </cell>
          <cell r="B82" t="str">
            <v>JOGO ABERTO</v>
          </cell>
          <cell r="C82" t="str">
            <v>JGAB</v>
          </cell>
          <cell r="D82" t="str">
            <v xml:space="preserve"> Eduardo Luiz Abronízio de Souza</v>
          </cell>
          <cell r="F82">
            <v>0.1</v>
          </cell>
          <cell r="G82">
            <v>1500</v>
          </cell>
          <cell r="I82" t="str">
            <v>Eduardo Luiz Abrozínio de Souza - 10% do líquido - por ação / Ação Especial valor sob consulta</v>
          </cell>
        </row>
        <row r="83">
          <cell r="A83" t="str">
            <v>JGAB4</v>
          </cell>
          <cell r="B83" t="str">
            <v>JOGO ABERTO</v>
          </cell>
          <cell r="C83" t="str">
            <v>JGAB</v>
          </cell>
          <cell r="D83" t="str">
            <v xml:space="preserve"> Francisco Garcia Borges</v>
          </cell>
          <cell r="F83">
            <v>0.1</v>
          </cell>
          <cell r="G83">
            <v>1000</v>
          </cell>
          <cell r="I83" t="str">
            <v>Francisco Garcia Borges - 10% do líquido - por ação / Ação Especial valor sob consulta</v>
          </cell>
        </row>
        <row r="84">
          <cell r="A84" t="str">
            <v>JGAB5</v>
          </cell>
          <cell r="B84" t="str">
            <v>JOGO ABERTO</v>
          </cell>
          <cell r="C84" t="str">
            <v>JGAB</v>
          </cell>
          <cell r="D84" t="str">
            <v xml:space="preserve"> João Paulo Haddad Cappellanes</v>
          </cell>
          <cell r="F84">
            <v>0.2</v>
          </cell>
          <cell r="I84" t="str">
            <v>João Paulo Haddad Cappellanes - 20% do líquido c/ Repasse de 10% - por ação / Ação Especial valor sob consulta</v>
          </cell>
        </row>
        <row r="85">
          <cell r="A85" t="str">
            <v>JGAB6</v>
          </cell>
          <cell r="B85" t="str">
            <v>JOGO ABERTO</v>
          </cell>
          <cell r="C85" t="str">
            <v>JGAB</v>
          </cell>
          <cell r="D85" t="str">
            <v xml:space="preserve"> João Pedro Reis Sgarbi</v>
          </cell>
          <cell r="F85">
            <v>0.1</v>
          </cell>
          <cell r="G85">
            <v>1000</v>
          </cell>
          <cell r="I85" t="str">
            <v>João Pedro Sgarbi - 10% do líquido - por ação / Ação Especial valor sob consulta</v>
          </cell>
        </row>
        <row r="86">
          <cell r="A86" t="str">
            <v>JGAB7</v>
          </cell>
          <cell r="B86" t="str">
            <v>JOGO ABERTO</v>
          </cell>
          <cell r="C86" t="str">
            <v>JGAB</v>
          </cell>
          <cell r="D86" t="str">
            <v xml:space="preserve"> Marco Aurélio de Almeida Cunha</v>
          </cell>
          <cell r="F86">
            <v>0.1</v>
          </cell>
          <cell r="I86" t="str">
            <v>Marco Aurélio de Almeida Cunha - 10% do líquido negociado - por ação / Ação Especial valor sob consulta</v>
          </cell>
        </row>
        <row r="87">
          <cell r="A87" t="str">
            <v>JGAB8</v>
          </cell>
          <cell r="B87" t="str">
            <v>JOGO ABERTO</v>
          </cell>
          <cell r="C87" t="str">
            <v>JGAB</v>
          </cell>
          <cell r="D87" t="str">
            <v xml:space="preserve"> Ronaldo Soares Giovaneli</v>
          </cell>
          <cell r="F87">
            <v>0.1</v>
          </cell>
          <cell r="G87">
            <v>2000</v>
          </cell>
          <cell r="I87" t="str">
            <v>Ronaldo Soares Giovaneli - 10% do líquido - por ação / Ação Especial valor sob consulta</v>
          </cell>
        </row>
        <row r="88">
          <cell r="A88" t="str">
            <v>JGAB9</v>
          </cell>
          <cell r="B88" t="str">
            <v>JOGO ABERTO</v>
          </cell>
          <cell r="C88" t="str">
            <v>JGAB</v>
          </cell>
          <cell r="D88" t="str">
            <v xml:space="preserve"> Ulisses Chiaveli Costa </v>
          </cell>
          <cell r="F88">
            <v>0.1</v>
          </cell>
          <cell r="G88">
            <v>2000</v>
          </cell>
          <cell r="I88" t="str">
            <v>Ulisses Chiaveli Costa - 10% do líquido - por ação / Ação Especial valor sob consulta</v>
          </cell>
        </row>
        <row r="89">
          <cell r="A89" t="str">
            <v>MENO1</v>
          </cell>
          <cell r="B89" t="str">
            <v>MELHOR DA NOITE</v>
          </cell>
          <cell r="C89" t="str">
            <v>MENO</v>
          </cell>
          <cell r="D89" t="str">
            <v xml:space="preserve"> Otaviano Costa</v>
          </cell>
          <cell r="F89">
            <v>0.2</v>
          </cell>
          <cell r="G89">
            <v>6000</v>
          </cell>
          <cell r="I89" t="str">
            <v>Otaviano Costa - 20% do líquido - por ação / Ação Especial valor sob consulta</v>
          </cell>
        </row>
        <row r="90">
          <cell r="A90" t="str">
            <v>MENO2</v>
          </cell>
          <cell r="B90" t="str">
            <v>MELHOR DA NOITE</v>
          </cell>
          <cell r="C90" t="str">
            <v>MENO</v>
          </cell>
          <cell r="D90" t="str">
            <v xml:space="preserve"> Altair Gonçalves (Thaíde)</v>
          </cell>
          <cell r="F90">
            <v>0.1</v>
          </cell>
          <cell r="G90">
            <v>2000</v>
          </cell>
          <cell r="I90" t="str">
            <v>Thaíde - 10% do líquido - por ação / Ação Especial valor sob consulta</v>
          </cell>
        </row>
        <row r="91">
          <cell r="A91" t="str">
            <v>MENO3</v>
          </cell>
          <cell r="B91" t="str">
            <v>MELHOR DA NOITE</v>
          </cell>
          <cell r="C91" t="str">
            <v>MENO</v>
          </cell>
          <cell r="D91" t="str">
            <v xml:space="preserve"> Catia Damasceno Ferreira</v>
          </cell>
          <cell r="F91">
            <v>0.1</v>
          </cell>
          <cell r="I91" t="str">
            <v>Catia Damasceno Ferreira - 10% do líquido - por ação / Ação Especial valor sob consulta</v>
          </cell>
        </row>
        <row r="92">
          <cell r="A92" t="str">
            <v>MENO4</v>
          </cell>
          <cell r="B92" t="str">
            <v>MELHOR DA NOITE</v>
          </cell>
          <cell r="C92" t="str">
            <v>MENO</v>
          </cell>
          <cell r="D92" t="str">
            <v xml:space="preserve"> Panela Lucciola do Valle Nunes</v>
          </cell>
          <cell r="F92">
            <v>0.1</v>
          </cell>
          <cell r="G92">
            <v>2000</v>
          </cell>
          <cell r="I92" t="str">
            <v>Pamela Lucciola do Valle Nunes - 10% do líquido - por ação / Ação Especial valor sob consulta</v>
          </cell>
        </row>
        <row r="93">
          <cell r="A93" t="str">
            <v>MENO5</v>
          </cell>
          <cell r="B93" t="str">
            <v>MELHOR DA NOITE</v>
          </cell>
          <cell r="C93" t="str">
            <v>MENO</v>
          </cell>
          <cell r="D93" t="str">
            <v xml:space="preserve"> Viviane Graciela Gusciora</v>
          </cell>
          <cell r="F93">
            <v>0.1</v>
          </cell>
          <cell r="I93" t="str">
            <v>Viviane Graciela Gusciora - 10% do líquido - por ação / Ação Especial valor sob consulta</v>
          </cell>
        </row>
        <row r="94">
          <cell r="A94" t="str">
            <v>MELH1</v>
          </cell>
          <cell r="B94" t="str">
            <v>MELHOR DA TARDE</v>
          </cell>
          <cell r="C94" t="str">
            <v>MELH</v>
          </cell>
          <cell r="D94" t="str">
            <v>Pâmela Lucciola do Valle Nunes</v>
          </cell>
          <cell r="F94">
            <v>0.1</v>
          </cell>
          <cell r="G94">
            <v>2000</v>
          </cell>
          <cell r="I94" t="str">
            <v>Pâmela Lucciola do Valle Nunes - 10% do líquido por ação com o valor mínimo de R$ 2.000,00.</v>
          </cell>
        </row>
        <row r="95">
          <cell r="A95" t="str">
            <v>MELH2</v>
          </cell>
          <cell r="B95" t="str">
            <v>MELHOR DA TARDE</v>
          </cell>
          <cell r="C95" t="str">
            <v>MELH</v>
          </cell>
          <cell r="D95" t="str">
            <v>Bruno Hashimoto</v>
          </cell>
          <cell r="F95">
            <v>0.1</v>
          </cell>
          <cell r="G95">
            <v>800</v>
          </cell>
          <cell r="I95" t="str">
            <v>Bruno Hashimoto  - 10% do líquido  por ação com o valor mínimo de R$ 800,00 - Chef de Cozinha do Programa. Cachê Ação Receita com a Pamela</v>
          </cell>
        </row>
        <row r="96">
          <cell r="A96" t="str">
            <v>MCAM1</v>
          </cell>
          <cell r="B96" t="str">
            <v>MASTERCHEF AMADORES</v>
          </cell>
          <cell r="C96" t="str">
            <v>MCAM</v>
          </cell>
          <cell r="D96" t="str">
            <v xml:space="preserve"> Erick Jacquin  Ação Integrada (Prova)</v>
          </cell>
          <cell r="G96">
            <v>9000</v>
          </cell>
          <cell r="I96" t="str">
            <v>Tabela Masterchef 2025 - Erick Jacquin</v>
          </cell>
        </row>
        <row r="97">
          <cell r="A97" t="str">
            <v>MCAM2</v>
          </cell>
          <cell r="B97" t="str">
            <v>MASTERCHEF AMADORES</v>
          </cell>
          <cell r="C97" t="str">
            <v>MCAM</v>
          </cell>
          <cell r="D97" t="str">
            <v xml:space="preserve"> Erick Jacquin  Ação Especial (Estúdio / Externa)</v>
          </cell>
          <cell r="G97">
            <v>26000</v>
          </cell>
          <cell r="I97" t="str">
            <v>Tabela Masterchef 2025 - Erick Jacquin</v>
          </cell>
        </row>
        <row r="98">
          <cell r="A98" t="str">
            <v>MCAM3</v>
          </cell>
          <cell r="B98" t="str">
            <v>MASTERCHEF AMADORES</v>
          </cell>
          <cell r="C98" t="str">
            <v>MCAM</v>
          </cell>
          <cell r="D98" t="str">
            <v xml:space="preserve"> Erick Jacquin  Merchanbreak (Estúdio / Externa)</v>
          </cell>
          <cell r="G98">
            <v>26000</v>
          </cell>
          <cell r="I98" t="str">
            <v>Tabela Masterchef 2025 - Erick Jacquin</v>
          </cell>
        </row>
        <row r="99">
          <cell r="A99" t="str">
            <v>MCAM4</v>
          </cell>
          <cell r="B99" t="str">
            <v>MASTERCHEF AMADORES</v>
          </cell>
          <cell r="C99" t="str">
            <v>MCAM</v>
          </cell>
          <cell r="D99" t="str">
            <v xml:space="preserve"> Helena / Fogaça  Ação Integrada (Prova)</v>
          </cell>
          <cell r="G99">
            <v>9000</v>
          </cell>
          <cell r="I99" t="str">
            <v>Tabela Masterchef 2025 - Valor unitário para Helena Rizzo / Valor unitário para Fogaça</v>
          </cell>
        </row>
        <row r="100">
          <cell r="A100" t="str">
            <v>MCAM5</v>
          </cell>
          <cell r="B100" t="str">
            <v>MASTERCHEF AMADORES</v>
          </cell>
          <cell r="C100" t="str">
            <v>MCAM</v>
          </cell>
          <cell r="D100" t="str">
            <v xml:space="preserve"> Helena / Fogaça  Ação Especial (Estúdio)</v>
          </cell>
          <cell r="G100">
            <v>10901.47</v>
          </cell>
          <cell r="I100" t="str">
            <v>Tabela Masterchef 2025 - Valor unitário para Helena Rizzo / Valor unitário para Fogaça</v>
          </cell>
        </row>
        <row r="101">
          <cell r="A101" t="str">
            <v>MCAM6</v>
          </cell>
          <cell r="B101" t="str">
            <v>MASTERCHEF AMADORES</v>
          </cell>
          <cell r="C101" t="str">
            <v>MCAM</v>
          </cell>
          <cell r="D101" t="str">
            <v xml:space="preserve"> Helena / Fogaça  Ação Especial (Externa)</v>
          </cell>
          <cell r="G101">
            <v>21796.18</v>
          </cell>
          <cell r="I101" t="str">
            <v>Tabela Masterchef 2025 - Valor unitário para Helena Rizzo / Valor unitário para Fogaça</v>
          </cell>
        </row>
        <row r="102">
          <cell r="A102" t="str">
            <v>MCAM7</v>
          </cell>
          <cell r="B102" t="str">
            <v>MASTERCHEF AMADORES</v>
          </cell>
          <cell r="C102" t="str">
            <v>MCAM</v>
          </cell>
          <cell r="D102" t="str">
            <v xml:space="preserve"> Helena / Fogaça  Merchanbreak (Estúdio)</v>
          </cell>
          <cell r="G102">
            <v>8176.09</v>
          </cell>
          <cell r="I102" t="str">
            <v>Tabela Masterchef 2025 - Valor unitário para Helena Rizzo / Valor unitário para Fogaça</v>
          </cell>
        </row>
        <row r="103">
          <cell r="A103" t="str">
            <v>MCAM8</v>
          </cell>
          <cell r="B103" t="str">
            <v>MASTERCHEF AMADORES</v>
          </cell>
          <cell r="C103" t="str">
            <v>MCAM</v>
          </cell>
          <cell r="D103" t="str">
            <v xml:space="preserve"> Helena / Fogaça  Merchanbreak (Externa)</v>
          </cell>
          <cell r="G103">
            <v>16352.18</v>
          </cell>
          <cell r="I103" t="str">
            <v>Tabela Masterchef 2025 - Valor unitário para Helena Rizzo / Valor unitário para Fogaça</v>
          </cell>
        </row>
        <row r="104">
          <cell r="A104" t="str">
            <v>MCHP1</v>
          </cell>
          <cell r="B104" t="str">
            <v>MASTERCHEF A PRÉVIA</v>
          </cell>
          <cell r="C104" t="str">
            <v>MCHP</v>
          </cell>
          <cell r="D104" t="str">
            <v xml:space="preserve"> Otaviano Costa</v>
          </cell>
          <cell r="F104">
            <v>0.2</v>
          </cell>
          <cell r="G104">
            <v>6000</v>
          </cell>
          <cell r="I104" t="str">
            <v>Otaviano Costa - 20% do líquido - por ação / Ação Especial valor sob consulta</v>
          </cell>
        </row>
        <row r="105">
          <cell r="A105" t="str">
            <v>DONO1</v>
          </cell>
          <cell r="B105" t="str">
            <v xml:space="preserve">OS DONOS DA BOLA </v>
          </cell>
          <cell r="C105" t="str">
            <v>DONO</v>
          </cell>
          <cell r="D105" t="str">
            <v xml:space="preserve"> José Ferreira (Neto)</v>
          </cell>
          <cell r="F105">
            <v>0.1</v>
          </cell>
          <cell r="G105">
            <v>2500</v>
          </cell>
          <cell r="I105" t="str">
            <v>Neto - 10% do líquido negociado - por ação / Ação Especial valor sob consulta</v>
          </cell>
        </row>
        <row r="106">
          <cell r="A106" t="str">
            <v>DONO2</v>
          </cell>
          <cell r="B106" t="str">
            <v>OS DONOS DA BOLA</v>
          </cell>
          <cell r="C106" t="str">
            <v>DONO</v>
          </cell>
          <cell r="D106" t="str">
            <v xml:space="preserve"> Wagner Fernando (Veloso)</v>
          </cell>
          <cell r="F106">
            <v>0.1</v>
          </cell>
          <cell r="G106">
            <v>2000</v>
          </cell>
          <cell r="I106" t="str">
            <v>Veloso - 10% do líquido negociado - por ação / Ação Especial valor sob consulta</v>
          </cell>
        </row>
        <row r="107">
          <cell r="A107" t="str">
            <v>DONO3</v>
          </cell>
          <cell r="B107" t="str">
            <v>OS DONOS DA BOLA</v>
          </cell>
          <cell r="C107" t="str">
            <v>DONO</v>
          </cell>
          <cell r="D107" t="str">
            <v xml:space="preserve"> Willamis de Souza Silva</v>
          </cell>
          <cell r="F107">
            <v>0.1</v>
          </cell>
          <cell r="G107">
            <v>2000</v>
          </cell>
          <cell r="I107" t="str">
            <v>Willamis - 10% do líquido - por ação / Ação Especial valor sob consulta</v>
          </cell>
        </row>
        <row r="108">
          <cell r="A108" t="str">
            <v>PER1</v>
          </cell>
          <cell r="B108" t="str">
            <v>PERRENGUE</v>
          </cell>
          <cell r="C108" t="str">
            <v>PER</v>
          </cell>
          <cell r="D108" t="str">
            <v xml:space="preserve"> Elenco</v>
          </cell>
          <cell r="F108">
            <v>0.15</v>
          </cell>
          <cell r="G108">
            <v>2000</v>
          </cell>
          <cell r="I108" t="str">
            <v>Tatola, Angêlo, Denis, Ricardo - 15% do líquido negociado - por ação / Ação Especial valor sob consulta</v>
          </cell>
        </row>
        <row r="109">
          <cell r="A109" t="str">
            <v>PECO1</v>
          </cell>
          <cell r="B109" t="str">
            <v>PESADELO NA COZINHA</v>
          </cell>
          <cell r="C109" t="str">
            <v>PECO</v>
          </cell>
          <cell r="D109" t="str">
            <v xml:space="preserve"> Erick Jacquin</v>
          </cell>
          <cell r="I109" t="str">
            <v>Tabela Pesadelo na Cozinha 2025 - Sob Consulta</v>
          </cell>
        </row>
        <row r="110">
          <cell r="A110" t="str">
            <v>JOAO1</v>
          </cell>
          <cell r="B110" t="str">
            <v>PROGRAMA DO JOÃO</v>
          </cell>
          <cell r="C110" t="str">
            <v>JOAO</v>
          </cell>
          <cell r="D110" t="str">
            <v xml:space="preserve"> João Guilherme</v>
          </cell>
          <cell r="F110">
            <v>0.2</v>
          </cell>
          <cell r="G110">
            <v>5000</v>
          </cell>
          <cell r="I110" t="str">
            <v>João Guilherme - 20% do líquido da mídia e mínimo de R$ 5.000,00 / Ação Especial valor sob consulta</v>
          </cell>
        </row>
        <row r="111">
          <cell r="A111" t="str">
            <v>SHOE1</v>
          </cell>
          <cell r="B111" t="str">
            <v>SHOW DO ESPORTE</v>
          </cell>
          <cell r="C111" t="str">
            <v>SHOE</v>
          </cell>
          <cell r="D111" t="str">
            <v xml:space="preserve"> Glenda dos Reis Kozlowski</v>
          </cell>
          <cell r="F111">
            <v>0.1</v>
          </cell>
          <cell r="G111">
            <v>4000</v>
          </cell>
          <cell r="I111" t="str">
            <v>Glenda Kozlowski - 10% do líquido negociado - por ação / Ação Especial valor sob consulta</v>
          </cell>
        </row>
        <row r="112">
          <cell r="A112" t="str">
            <v>SHOE2</v>
          </cell>
          <cell r="B112" t="str">
            <v>SHOW DO ESPORTE</v>
          </cell>
          <cell r="C112" t="str">
            <v>SHOE</v>
          </cell>
          <cell r="D112" t="str">
            <v xml:space="preserve"> José Elia Junior</v>
          </cell>
          <cell r="F112">
            <v>0.1</v>
          </cell>
          <cell r="G112">
            <v>4000</v>
          </cell>
          <cell r="I112" t="str">
            <v>Elia Junior - 10% do líquido negociado - por ação / Ação Especial valor sob consulta</v>
          </cell>
        </row>
        <row r="119">
          <cell r="B119" t="str">
            <v>EXIBIÇÕES</v>
          </cell>
        </row>
        <row r="120">
          <cell r="B120" t="str">
            <v>MÊS PADRÃO</v>
          </cell>
        </row>
        <row r="121">
          <cell r="B121" t="str">
            <v>JANEIRO</v>
          </cell>
        </row>
        <row r="122">
          <cell r="B122" t="str">
            <v>FEVEREIRO</v>
          </cell>
        </row>
        <row r="123">
          <cell r="B123" t="str">
            <v>MARÇO</v>
          </cell>
        </row>
        <row r="124">
          <cell r="B124" t="str">
            <v>ABRIL</v>
          </cell>
        </row>
        <row r="125">
          <cell r="B125" t="str">
            <v>MAIO</v>
          </cell>
        </row>
        <row r="126">
          <cell r="B126" t="str">
            <v>JUNHO</v>
          </cell>
        </row>
        <row r="127">
          <cell r="B127" t="str">
            <v>JULHO</v>
          </cell>
        </row>
        <row r="128">
          <cell r="B128" t="str">
            <v>AGOSTO</v>
          </cell>
        </row>
        <row r="129">
          <cell r="B129" t="str">
            <v>SETEMBRO</v>
          </cell>
        </row>
        <row r="130">
          <cell r="B130" t="str">
            <v>OUTUBRO</v>
          </cell>
        </row>
        <row r="131">
          <cell r="B131" t="str">
            <v>NOVEMBRO</v>
          </cell>
        </row>
        <row r="132">
          <cell r="B132" t="str">
            <v>DEZEMBRO</v>
          </cell>
        </row>
        <row r="241">
          <cell r="B241" t="str">
            <v>-</v>
          </cell>
        </row>
        <row r="242">
          <cell r="B242" t="str">
            <v>30"</v>
          </cell>
        </row>
        <row r="243">
          <cell r="B243" t="str">
            <v>5"</v>
          </cell>
        </row>
        <row r="244">
          <cell r="B244" t="str">
            <v>10"</v>
          </cell>
        </row>
        <row r="245">
          <cell r="B245" t="str">
            <v>15"</v>
          </cell>
        </row>
        <row r="246">
          <cell r="B246" t="str">
            <v>45"</v>
          </cell>
        </row>
        <row r="247">
          <cell r="B247" t="str">
            <v>60"</v>
          </cell>
        </row>
        <row r="248">
          <cell r="B248" t="str">
            <v>75"</v>
          </cell>
        </row>
        <row r="249">
          <cell r="B249" t="str">
            <v>90"</v>
          </cell>
        </row>
        <row r="250">
          <cell r="B250" t="str">
            <v>105"</v>
          </cell>
        </row>
        <row r="251">
          <cell r="B251" t="str">
            <v>120"</v>
          </cell>
        </row>
        <row r="252">
          <cell r="B252" t="str">
            <v>135"</v>
          </cell>
        </row>
        <row r="253">
          <cell r="B253" t="str">
            <v>150"</v>
          </cell>
        </row>
        <row r="254">
          <cell r="B254" t="str">
            <v>175"</v>
          </cell>
        </row>
        <row r="255">
          <cell r="B255" t="str">
            <v>180"</v>
          </cell>
        </row>
        <row r="256">
          <cell r="B256" t="str">
            <v>195"</v>
          </cell>
        </row>
        <row r="257">
          <cell r="B257" t="str">
            <v>210"</v>
          </cell>
        </row>
        <row r="258">
          <cell r="B258" t="str">
            <v>225"</v>
          </cell>
        </row>
        <row r="259">
          <cell r="B259" t="str">
            <v>240"</v>
          </cell>
        </row>
        <row r="260">
          <cell r="B260" t="str">
            <v>300"</v>
          </cell>
        </row>
      </sheetData>
      <sheetData sheetId="9">
        <row r="1">
          <cell r="C1" t="str">
            <v>Selecionar</v>
          </cell>
        </row>
      </sheetData>
      <sheetData sheetId="10">
        <row r="1">
          <cell r="A1" t="str">
            <v>CONCATENAR</v>
          </cell>
        </row>
      </sheetData>
      <sheetData sheetId="11">
        <row r="1">
          <cell r="B1">
            <v>0.1</v>
          </cell>
        </row>
      </sheetData>
      <sheetData sheetId="12" refreshError="1"/>
      <sheetData sheetId="13">
        <row r="1">
          <cell r="B1" t="str">
            <v>Selecionar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RAÇÃO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RAÇÃO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20DDB-210A-47D6-A00E-B754CF1F27FA}">
  <sheetPr>
    <pageSetUpPr fitToPage="1"/>
  </sheetPr>
  <dimension ref="B1:N36"/>
  <sheetViews>
    <sheetView showGridLines="0" zoomScale="62" zoomScaleNormal="47" zoomScaleSheetLayoutView="47" workbookViewId="0">
      <selection activeCell="D23" sqref="D23"/>
    </sheetView>
  </sheetViews>
  <sheetFormatPr defaultColWidth="11.5" defaultRowHeight="20.25" customHeight="1" x14ac:dyDescent="0.4"/>
  <cols>
    <col min="1" max="1" width="2.5" style="103" customWidth="1"/>
    <col min="2" max="2" width="15" style="103" customWidth="1"/>
    <col min="3" max="3" width="25.33203125" style="103" customWidth="1"/>
    <col min="4" max="6" width="11.5" style="103" customWidth="1"/>
    <col min="7" max="7" width="27.83203125" style="103" customWidth="1"/>
    <col min="8" max="10" width="11.5" style="103" customWidth="1"/>
    <col min="11" max="11" width="25.33203125" style="103" customWidth="1"/>
    <col min="12" max="16384" width="11.5" style="103"/>
  </cols>
  <sheetData>
    <row r="1" spans="2:11" ht="12" customHeight="1" x14ac:dyDescent="0.4"/>
    <row r="6" spans="2:11" ht="20.25" customHeight="1" x14ac:dyDescent="0.4">
      <c r="B6" s="239" t="s">
        <v>46</v>
      </c>
      <c r="C6" s="239"/>
      <c r="D6" s="239"/>
      <c r="E6" s="239"/>
      <c r="F6" s="239"/>
      <c r="G6" s="239"/>
      <c r="I6" s="240" t="s">
        <v>47</v>
      </c>
      <c r="J6" s="240"/>
      <c r="K6" s="240"/>
    </row>
    <row r="8" spans="2:11" ht="20.25" customHeight="1" x14ac:dyDescent="0.4">
      <c r="B8" s="104" t="s">
        <v>48</v>
      </c>
      <c r="C8" s="241" t="s">
        <v>49</v>
      </c>
      <c r="D8" s="241"/>
      <c r="E8" s="241"/>
      <c r="F8" s="241"/>
      <c r="G8" s="241"/>
      <c r="H8" s="241"/>
      <c r="I8" s="241"/>
      <c r="J8" s="241"/>
      <c r="K8" s="241"/>
    </row>
    <row r="9" spans="2:11" ht="20.25" customHeight="1" x14ac:dyDescent="0.4">
      <c r="B9" s="104" t="s">
        <v>50</v>
      </c>
      <c r="C9" s="241" t="s">
        <v>56</v>
      </c>
      <c r="D9" s="241"/>
      <c r="E9" s="241"/>
      <c r="F9" s="241"/>
      <c r="G9" s="241"/>
      <c r="H9" s="241"/>
      <c r="I9" s="241"/>
      <c r="J9" s="241"/>
      <c r="K9" s="241"/>
    </row>
    <row r="10" spans="2:11" ht="20.25" customHeight="1" x14ac:dyDescent="0.4">
      <c r="B10" s="105" t="s">
        <v>51</v>
      </c>
      <c r="C10" s="106" t="s">
        <v>52</v>
      </c>
      <c r="D10" s="107"/>
      <c r="E10" s="107"/>
      <c r="F10" s="107"/>
      <c r="G10" s="107"/>
      <c r="H10" s="107"/>
      <c r="I10" s="107"/>
      <c r="J10" s="107"/>
      <c r="K10" s="107"/>
    </row>
    <row r="11" spans="2:11" ht="20.25" customHeight="1" x14ac:dyDescent="0.4">
      <c r="B11" s="242"/>
      <c r="C11" s="242"/>
      <c r="D11" s="242"/>
      <c r="E11" s="242"/>
      <c r="F11" s="242"/>
      <c r="G11" s="242"/>
      <c r="H11" s="242"/>
      <c r="I11" s="242"/>
      <c r="J11" s="242"/>
      <c r="K11" s="242"/>
    </row>
    <row r="12" spans="2:11" ht="13.5" customHeight="1" x14ac:dyDescent="0.4">
      <c r="B12" s="243"/>
      <c r="C12" s="243"/>
      <c r="D12" s="243"/>
      <c r="E12" s="243"/>
      <c r="F12" s="243"/>
      <c r="G12" s="243"/>
      <c r="H12" s="243"/>
      <c r="I12" s="243"/>
      <c r="J12" s="243"/>
      <c r="K12" s="243"/>
    </row>
    <row r="14" spans="2:11" ht="20.25" customHeight="1" x14ac:dyDescent="0.4">
      <c r="B14" s="108" t="s">
        <v>53</v>
      </c>
      <c r="C14" s="108" t="s">
        <v>54</v>
      </c>
      <c r="D14" s="108" t="s">
        <v>55</v>
      </c>
      <c r="E14" s="108"/>
      <c r="F14" s="104"/>
      <c r="G14" s="104"/>
      <c r="H14" s="104"/>
      <c r="I14" s="104"/>
      <c r="J14" s="104"/>
      <c r="K14" s="104"/>
    </row>
    <row r="15" spans="2:11" ht="20.25" customHeight="1" x14ac:dyDescent="0.4">
      <c r="B15" s="132" t="s">
        <v>78</v>
      </c>
      <c r="C15" s="110">
        <v>46071</v>
      </c>
      <c r="D15" s="244" t="s">
        <v>79</v>
      </c>
      <c r="E15" s="244"/>
      <c r="F15" s="244"/>
      <c r="G15" s="244"/>
      <c r="H15" s="244"/>
      <c r="I15" s="244"/>
      <c r="J15" s="244"/>
      <c r="K15" s="244"/>
    </row>
    <row r="16" spans="2:11" ht="20.25" customHeight="1" x14ac:dyDescent="0.4">
      <c r="B16" s="132" t="s">
        <v>80</v>
      </c>
      <c r="C16" s="110">
        <v>46072</v>
      </c>
      <c r="D16" s="244" t="s">
        <v>81</v>
      </c>
      <c r="E16" s="244"/>
      <c r="F16" s="244"/>
      <c r="G16" s="244"/>
      <c r="H16" s="244"/>
      <c r="I16" s="244"/>
      <c r="J16" s="244"/>
      <c r="K16" s="244"/>
    </row>
    <row r="17" spans="2:14" ht="20.25" customHeight="1" x14ac:dyDescent="0.4">
      <c r="B17" s="132" t="s">
        <v>98</v>
      </c>
      <c r="C17" s="110">
        <v>46073</v>
      </c>
      <c r="D17" s="244" t="s">
        <v>100</v>
      </c>
      <c r="E17" s="244"/>
      <c r="F17" s="244"/>
      <c r="G17" s="244"/>
      <c r="H17" s="244"/>
      <c r="I17" s="244"/>
      <c r="J17" s="244"/>
      <c r="K17" s="244"/>
    </row>
    <row r="18" spans="2:14" ht="20.25" customHeight="1" x14ac:dyDescent="0.4">
      <c r="B18" s="132" t="s">
        <v>101</v>
      </c>
      <c r="C18" s="110">
        <v>46073</v>
      </c>
      <c r="D18" s="244" t="s">
        <v>99</v>
      </c>
      <c r="E18" s="244"/>
      <c r="F18" s="244"/>
      <c r="G18" s="244"/>
      <c r="H18" s="244"/>
      <c r="I18" s="244"/>
      <c r="J18" s="244"/>
      <c r="K18" s="244"/>
    </row>
    <row r="19" spans="2:14" ht="20.25" customHeight="1" x14ac:dyDescent="0.4">
      <c r="B19" s="109" t="s">
        <v>106</v>
      </c>
      <c r="C19" s="110">
        <v>46086</v>
      </c>
      <c r="D19" s="245" t="s">
        <v>107</v>
      </c>
      <c r="E19" s="245"/>
      <c r="F19" s="245"/>
      <c r="G19" s="245"/>
      <c r="H19" s="245"/>
      <c r="I19" s="245"/>
      <c r="J19" s="245"/>
      <c r="K19" s="245"/>
      <c r="L19" s="112"/>
      <c r="M19" s="112"/>
      <c r="N19" s="112"/>
    </row>
    <row r="20" spans="2:14" ht="20.25" customHeight="1" x14ac:dyDescent="0.4">
      <c r="B20" s="113" t="s">
        <v>138</v>
      </c>
      <c r="C20" s="110">
        <v>46087</v>
      </c>
      <c r="D20" s="246" t="s">
        <v>139</v>
      </c>
      <c r="E20" s="246"/>
      <c r="F20" s="246"/>
      <c r="G20" s="246"/>
      <c r="H20" s="246"/>
      <c r="I20" s="246"/>
      <c r="J20" s="246"/>
      <c r="K20" s="246"/>
      <c r="L20" s="112"/>
      <c r="M20" s="112"/>
      <c r="N20" s="112"/>
    </row>
    <row r="21" spans="2:14" ht="20.25" customHeight="1" x14ac:dyDescent="0.4">
      <c r="B21" s="113" t="s">
        <v>140</v>
      </c>
      <c r="C21" s="110">
        <v>46091</v>
      </c>
      <c r="D21" s="238" t="s">
        <v>141</v>
      </c>
      <c r="E21" s="238"/>
      <c r="F21" s="238"/>
      <c r="G21" s="238"/>
      <c r="H21" s="238"/>
      <c r="I21" s="238"/>
      <c r="J21" s="238"/>
      <c r="K21" s="238"/>
      <c r="L21" s="112"/>
      <c r="M21" s="112"/>
      <c r="N21" s="112"/>
    </row>
    <row r="22" spans="2:14" ht="20.25" customHeight="1" x14ac:dyDescent="0.4">
      <c r="B22" s="113" t="s">
        <v>142</v>
      </c>
      <c r="C22" s="110">
        <v>46094</v>
      </c>
      <c r="D22" s="238" t="s">
        <v>143</v>
      </c>
      <c r="E22" s="238"/>
      <c r="F22" s="238"/>
      <c r="G22" s="238"/>
      <c r="H22" s="238"/>
      <c r="I22" s="238"/>
      <c r="J22" s="238"/>
      <c r="K22" s="238"/>
      <c r="L22" s="112"/>
      <c r="M22" s="112"/>
      <c r="N22" s="112"/>
    </row>
    <row r="23" spans="2:14" ht="20.25" customHeight="1" x14ac:dyDescent="0.4">
      <c r="B23" s="113"/>
      <c r="C23" s="110"/>
      <c r="D23" s="111"/>
      <c r="E23" s="112"/>
      <c r="F23" s="112"/>
      <c r="G23" s="112"/>
      <c r="H23" s="112"/>
      <c r="I23" s="112"/>
      <c r="J23" s="112"/>
      <c r="K23" s="112"/>
      <c r="L23" s="112"/>
      <c r="M23" s="112"/>
      <c r="N23" s="112"/>
    </row>
    <row r="24" spans="2:14" ht="20.25" customHeight="1" x14ac:dyDescent="0.4">
      <c r="B24" s="113"/>
      <c r="C24" s="111"/>
      <c r="D24" s="112"/>
      <c r="E24" s="112"/>
      <c r="F24" s="112"/>
      <c r="G24" s="112"/>
      <c r="H24" s="112"/>
      <c r="I24" s="112"/>
      <c r="J24" s="112"/>
      <c r="K24" s="112"/>
      <c r="L24" s="112"/>
      <c r="M24" s="112"/>
      <c r="N24" s="112"/>
    </row>
    <row r="25" spans="2:14" ht="20.25" customHeight="1" x14ac:dyDescent="0.4">
      <c r="B25" s="113"/>
      <c r="C25" s="110"/>
      <c r="D25" s="238"/>
      <c r="E25" s="238"/>
      <c r="F25" s="238"/>
      <c r="G25" s="238"/>
      <c r="H25" s="238"/>
      <c r="I25" s="238"/>
      <c r="J25" s="238"/>
      <c r="K25" s="238"/>
      <c r="L25" s="112"/>
      <c r="M25" s="112"/>
      <c r="N25" s="112"/>
    </row>
    <row r="26" spans="2:14" ht="20.25" customHeight="1" x14ac:dyDescent="0.4">
      <c r="B26" s="113"/>
      <c r="C26" s="111"/>
      <c r="D26" s="238"/>
      <c r="E26" s="238"/>
      <c r="F26" s="238"/>
      <c r="G26" s="238"/>
      <c r="H26" s="238"/>
      <c r="I26" s="238"/>
      <c r="J26" s="238"/>
      <c r="K26" s="238"/>
      <c r="L26" s="112"/>
      <c r="M26" s="112"/>
      <c r="N26" s="112"/>
    </row>
    <row r="27" spans="2:14" ht="20.25" customHeight="1" x14ac:dyDescent="0.4">
      <c r="B27" s="113"/>
      <c r="C27" s="110"/>
      <c r="D27" s="238"/>
      <c r="E27" s="238"/>
      <c r="F27" s="238"/>
      <c r="G27" s="238"/>
      <c r="H27" s="238"/>
      <c r="I27" s="238"/>
      <c r="J27" s="238"/>
      <c r="K27" s="238"/>
      <c r="L27" s="112"/>
      <c r="M27" s="112"/>
      <c r="N27" s="112"/>
    </row>
    <row r="28" spans="2:14" ht="20.25" customHeight="1" x14ac:dyDescent="0.4">
      <c r="B28" s="113"/>
      <c r="C28" s="111"/>
      <c r="D28" s="238"/>
      <c r="E28" s="238"/>
      <c r="F28" s="238"/>
      <c r="G28" s="238"/>
      <c r="H28" s="238"/>
      <c r="I28" s="238"/>
      <c r="J28" s="238"/>
      <c r="K28" s="238"/>
      <c r="L28" s="112"/>
      <c r="M28" s="112"/>
      <c r="N28" s="112"/>
    </row>
    <row r="29" spans="2:14" ht="20.25" customHeight="1" x14ac:dyDescent="0.4">
      <c r="B29" s="113"/>
      <c r="C29" s="110"/>
      <c r="D29" s="112"/>
      <c r="E29" s="112"/>
      <c r="F29" s="112"/>
      <c r="G29" s="112"/>
      <c r="H29" s="112"/>
      <c r="I29" s="112"/>
      <c r="J29" s="112"/>
      <c r="K29" s="112"/>
      <c r="L29" s="112"/>
      <c r="M29" s="112"/>
      <c r="N29" s="112"/>
    </row>
    <row r="30" spans="2:14" ht="20.25" customHeight="1" x14ac:dyDescent="0.4">
      <c r="B30" s="113"/>
      <c r="C30" s="114"/>
      <c r="D30" s="112"/>
      <c r="E30" s="112"/>
      <c r="F30" s="112"/>
      <c r="G30" s="112"/>
      <c r="H30" s="112"/>
      <c r="I30" s="112"/>
      <c r="J30" s="112"/>
      <c r="K30" s="112"/>
      <c r="L30" s="112"/>
      <c r="M30" s="112"/>
      <c r="N30" s="112"/>
    </row>
    <row r="31" spans="2:14" ht="20.25" customHeight="1" x14ac:dyDescent="0.4">
      <c r="B31" s="113"/>
      <c r="C31" s="114"/>
      <c r="D31" s="112"/>
      <c r="E31" s="112"/>
      <c r="F31" s="112"/>
      <c r="G31" s="112"/>
      <c r="H31" s="112"/>
      <c r="I31" s="112"/>
      <c r="J31" s="112"/>
      <c r="K31" s="112"/>
      <c r="L31" s="112"/>
      <c r="M31" s="112"/>
      <c r="N31" s="112"/>
    </row>
    <row r="32" spans="2:14" ht="20.25" customHeight="1" x14ac:dyDescent="0.4">
      <c r="B32" s="109"/>
      <c r="C32" s="114"/>
    </row>
    <row r="33" spans="2:4" ht="20.25" customHeight="1" x14ac:dyDescent="0.4">
      <c r="B33" s="109"/>
      <c r="C33" s="114"/>
    </row>
    <row r="34" spans="2:4" ht="20.25" customHeight="1" x14ac:dyDescent="0.4">
      <c r="B34" s="109"/>
    </row>
    <row r="35" spans="2:4" ht="20.25" customHeight="1" x14ac:dyDescent="0.4">
      <c r="B35" s="109"/>
    </row>
    <row r="36" spans="2:4" ht="20.25" customHeight="1" x14ac:dyDescent="0.4">
      <c r="B36" s="109"/>
      <c r="D36" s="112"/>
    </row>
  </sheetData>
  <mergeCells count="16">
    <mergeCell ref="D27:K28"/>
    <mergeCell ref="D25:K26"/>
    <mergeCell ref="B6:G6"/>
    <mergeCell ref="I6:K6"/>
    <mergeCell ref="C8:K8"/>
    <mergeCell ref="C9:K9"/>
    <mergeCell ref="B11:K11"/>
    <mergeCell ref="B12:K12"/>
    <mergeCell ref="D15:K15"/>
    <mergeCell ref="D16:K16"/>
    <mergeCell ref="D17:K17"/>
    <mergeCell ref="D18:K18"/>
    <mergeCell ref="D19:K19"/>
    <mergeCell ref="D20:K20"/>
    <mergeCell ref="D21:K21"/>
    <mergeCell ref="D22:K22"/>
  </mergeCells>
  <pageMargins left="0.25" right="0.25" top="0.75" bottom="0.75" header="0.3" footer="0.3"/>
  <pageSetup paperSize="9" scale="62" orientation="landscape" r:id="rId1"/>
  <headerFooter>
    <oddFooter>&amp;C_x000D_&amp;1#&amp;"Calibri"&amp;10&amp;K000000 Confidential - Not for Public Consumption or Distribution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49917-2255-4ABB-A740-BD6E76FCFCD0}">
  <dimension ref="B1:U40"/>
  <sheetViews>
    <sheetView showGridLines="0" zoomScale="115" zoomScaleNormal="100" workbookViewId="0">
      <pane ySplit="11" topLeftCell="A12" activePane="bottomLeft" state="frozen"/>
      <selection pane="bottomLeft" activeCell="J14" sqref="J14"/>
    </sheetView>
  </sheetViews>
  <sheetFormatPr defaultColWidth="8.6640625" defaultRowHeight="22.5" customHeight="1" x14ac:dyDescent="0.4"/>
  <cols>
    <col min="1" max="1" width="3.33203125" style="74" customWidth="1"/>
    <col min="2" max="2" width="14.1640625" style="74" customWidth="1"/>
    <col min="3" max="3" width="18.83203125" style="75" customWidth="1"/>
    <col min="4" max="4" width="17.9140625" style="74" bestFit="1" customWidth="1"/>
    <col min="5" max="5" width="1.6640625" style="74" customWidth="1"/>
    <col min="6" max="11" width="16.9140625" style="74" customWidth="1"/>
    <col min="12" max="12" width="13.4140625" style="75" customWidth="1"/>
    <col min="13" max="13" width="5.6640625" style="75" customWidth="1"/>
    <col min="14" max="14" width="8.9140625" style="232" customWidth="1"/>
    <col min="15" max="15" width="5.83203125" style="74" customWidth="1"/>
    <col min="16" max="16" width="13.83203125" style="74" customWidth="1"/>
    <col min="17" max="17" width="15.83203125" style="74" customWidth="1"/>
    <col min="18" max="18" width="14.9140625" style="74" customWidth="1"/>
    <col min="19" max="19" width="15.08203125" style="74" customWidth="1"/>
    <col min="20" max="16384" width="8.6640625" style="74"/>
  </cols>
  <sheetData>
    <row r="1" spans="2:21" ht="13" customHeight="1" x14ac:dyDescent="0.4"/>
    <row r="2" spans="2:21" ht="13" customHeight="1" x14ac:dyDescent="0.4"/>
    <row r="3" spans="2:21" ht="13" customHeight="1" x14ac:dyDescent="0.4"/>
    <row r="4" spans="2:21" ht="13" customHeight="1" x14ac:dyDescent="0.4"/>
    <row r="5" spans="2:21" ht="13" customHeight="1" x14ac:dyDescent="0.4">
      <c r="B5" s="76" t="s">
        <v>0</v>
      </c>
    </row>
    <row r="6" spans="2:21" ht="13" customHeight="1" x14ac:dyDescent="0.4">
      <c r="B6" s="77" t="s">
        <v>45</v>
      </c>
      <c r="G6" s="229"/>
      <c r="H6" s="229"/>
      <c r="I6" s="229"/>
    </row>
    <row r="7" spans="2:21" ht="13" customHeight="1" x14ac:dyDescent="0.4">
      <c r="B7" s="77"/>
    </row>
    <row r="8" spans="2:21" ht="13" customHeight="1" x14ac:dyDescent="0.4">
      <c r="B8" s="78" t="s">
        <v>30</v>
      </c>
    </row>
    <row r="9" spans="2:21" ht="13" customHeight="1" x14ac:dyDescent="0.4"/>
    <row r="10" spans="2:21" ht="22.5" customHeight="1" x14ac:dyDescent="0.4">
      <c r="B10" s="247" t="s">
        <v>31</v>
      </c>
      <c r="C10" s="247" t="s">
        <v>32</v>
      </c>
      <c r="D10" s="247" t="s">
        <v>33</v>
      </c>
      <c r="F10" s="248" t="s">
        <v>5</v>
      </c>
      <c r="G10" s="248" t="s">
        <v>92</v>
      </c>
      <c r="H10" s="248" t="s">
        <v>127</v>
      </c>
      <c r="I10" s="248" t="s">
        <v>128</v>
      </c>
      <c r="J10" s="247" t="s">
        <v>34</v>
      </c>
      <c r="K10" s="247" t="s">
        <v>35</v>
      </c>
      <c r="L10" s="247" t="s">
        <v>36</v>
      </c>
    </row>
    <row r="11" spans="2:21" ht="22.5" customHeight="1" x14ac:dyDescent="0.4">
      <c r="B11" s="247"/>
      <c r="C11" s="247"/>
      <c r="D11" s="247"/>
      <c r="F11" s="248"/>
      <c r="G11" s="248"/>
      <c r="H11" s="248"/>
      <c r="I11" s="248"/>
      <c r="J11" s="247"/>
      <c r="K11" s="247"/>
      <c r="L11" s="247"/>
    </row>
    <row r="12" spans="2:21" ht="13.5" customHeight="1" x14ac:dyDescent="0.4">
      <c r="F12" s="79"/>
      <c r="G12" s="79"/>
      <c r="H12" s="79"/>
      <c r="I12" s="79"/>
      <c r="R12" s="94"/>
      <c r="S12" s="94"/>
    </row>
    <row r="13" spans="2:21" ht="13.5" customHeight="1" x14ac:dyDescent="0.4">
      <c r="B13" s="74" t="s">
        <v>18</v>
      </c>
      <c r="C13" s="75" t="s">
        <v>38</v>
      </c>
      <c r="D13" s="74" t="s">
        <v>39</v>
      </c>
      <c r="F13" s="80">
        <f>SUM('JORNAL '!BV14:BV15)*1.25</f>
        <v>64584</v>
      </c>
      <c r="G13" s="80">
        <f>SUM('JORNAL '!BX14:BX16)*1.25</f>
        <v>0</v>
      </c>
      <c r="H13" s="80">
        <v>0</v>
      </c>
      <c r="I13" s="80">
        <v>0</v>
      </c>
      <c r="J13" s="81">
        <f>SUM(F13:I13)</f>
        <v>64584</v>
      </c>
      <c r="K13" s="82">
        <f>J13*0.8</f>
        <v>51667.200000000004</v>
      </c>
      <c r="L13" s="83">
        <f>K13/$K$28</f>
        <v>0.23455548680429766</v>
      </c>
      <c r="M13" s="84"/>
      <c r="R13" s="94"/>
      <c r="S13" s="94"/>
      <c r="T13" s="94"/>
      <c r="U13" s="94"/>
    </row>
    <row r="14" spans="2:21" ht="13.5" customHeight="1" x14ac:dyDescent="0.4">
      <c r="B14" s="74" t="s">
        <v>18</v>
      </c>
      <c r="C14" s="75" t="s">
        <v>38</v>
      </c>
      <c r="D14" s="74" t="s">
        <v>42</v>
      </c>
      <c r="F14" s="80">
        <f>SUM('JORNAL '!BV19:BV21)*1.25</f>
        <v>32414.080090799995</v>
      </c>
      <c r="G14" s="80">
        <f>SUM('JORNAL '!BX19:BX21)*1.25</f>
        <v>0</v>
      </c>
      <c r="H14" s="80">
        <v>0</v>
      </c>
      <c r="I14" s="80">
        <v>0</v>
      </c>
      <c r="J14" s="81">
        <f t="shared" ref="J14:J26" si="0">SUM(F14:I14)</f>
        <v>32414.080090799995</v>
      </c>
      <c r="K14" s="82">
        <f t="shared" ref="K14" si="1">J14*0.8</f>
        <v>25931.264072639999</v>
      </c>
      <c r="L14" s="83">
        <f t="shared" ref="L14:L26" si="2">K14/$K$28</f>
        <v>0.11772111258223532</v>
      </c>
      <c r="M14" s="84"/>
      <c r="R14" s="94"/>
      <c r="S14" s="94"/>
      <c r="T14" s="94"/>
      <c r="U14" s="94"/>
    </row>
    <row r="15" spans="2:21" ht="13.5" customHeight="1" x14ac:dyDescent="0.4">
      <c r="B15" s="74" t="s">
        <v>18</v>
      </c>
      <c r="C15" s="75" t="s">
        <v>38</v>
      </c>
      <c r="D15" s="74" t="s">
        <v>22</v>
      </c>
      <c r="F15" s="80">
        <f>SUM('JORNAL '!BV23,'JORNAL '!BV24,'JORNAL '!BV25) *1.25</f>
        <v>6199.9980000000005</v>
      </c>
      <c r="G15" s="80">
        <f>SUM('JORNAL '!BX23:BX25)*1.25</f>
        <v>0</v>
      </c>
      <c r="H15" s="80">
        <v>0</v>
      </c>
      <c r="I15" s="80">
        <v>0</v>
      </c>
      <c r="J15" s="81">
        <f t="shared" si="0"/>
        <v>6199.9980000000005</v>
      </c>
      <c r="K15" s="82">
        <f t="shared" ref="K15:K21" si="3">J15*0.8</f>
        <v>4959.9984000000004</v>
      </c>
      <c r="L15" s="83">
        <f t="shared" si="2"/>
        <v>2.2517087035111977E-2</v>
      </c>
      <c r="M15" s="84"/>
      <c r="T15" s="94"/>
      <c r="U15" s="94"/>
    </row>
    <row r="16" spans="2:21" ht="13.5" customHeight="1" x14ac:dyDescent="0.4">
      <c r="B16" s="74" t="s">
        <v>18</v>
      </c>
      <c r="C16" s="75" t="s">
        <v>38</v>
      </c>
      <c r="D16" s="74" t="s">
        <v>23</v>
      </c>
      <c r="F16" s="80">
        <f>SUM('JORNAL '!BV27:BV28)*1.25</f>
        <v>24849.977600000002</v>
      </c>
      <c r="G16" s="80">
        <f>SUM('JORNAL '!BX27:BX28)*1.25</f>
        <v>0</v>
      </c>
      <c r="H16" s="80">
        <v>0</v>
      </c>
      <c r="I16" s="80">
        <v>0</v>
      </c>
      <c r="J16" s="81">
        <f t="shared" si="0"/>
        <v>24849.977600000002</v>
      </c>
      <c r="K16" s="82">
        <f t="shared" si="3"/>
        <v>19879.982080000002</v>
      </c>
      <c r="L16" s="83">
        <f t="shared" si="2"/>
        <v>9.0249885312831235E-2</v>
      </c>
      <c r="M16" s="84"/>
      <c r="P16" s="95"/>
      <c r="Q16" s="91"/>
      <c r="T16" s="94"/>
      <c r="U16" s="94"/>
    </row>
    <row r="17" spans="2:21" ht="13.5" customHeight="1" x14ac:dyDescent="0.4">
      <c r="B17" s="74" t="s">
        <v>18</v>
      </c>
      <c r="C17" s="75" t="s">
        <v>38</v>
      </c>
      <c r="D17" s="74" t="s">
        <v>40</v>
      </c>
      <c r="F17" s="80">
        <f>SUM('JORNAL '!BV31:BV32)*1.25</f>
        <v>0</v>
      </c>
      <c r="G17" s="80">
        <f>SUM('JORNAL '!BX31:BX32)*1.25</f>
        <v>3825</v>
      </c>
      <c r="H17" s="80">
        <v>0</v>
      </c>
      <c r="I17" s="80">
        <v>0</v>
      </c>
      <c r="J17" s="81">
        <f t="shared" si="0"/>
        <v>3825</v>
      </c>
      <c r="K17" s="82">
        <f t="shared" si="3"/>
        <v>3060</v>
      </c>
      <c r="L17" s="83">
        <f t="shared" si="2"/>
        <v>1.3891594466531007E-2</v>
      </c>
      <c r="M17" s="84"/>
      <c r="P17" s="95"/>
      <c r="Q17" s="91"/>
      <c r="T17" s="94"/>
      <c r="U17" s="94"/>
    </row>
    <row r="18" spans="2:21" ht="13.5" customHeight="1" x14ac:dyDescent="0.4">
      <c r="B18" s="74" t="s">
        <v>18</v>
      </c>
      <c r="C18" s="75" t="s">
        <v>38</v>
      </c>
      <c r="D18" s="74" t="s">
        <v>25</v>
      </c>
      <c r="F18" s="80">
        <f>SUM('JORNAL '!BV34:BV35)*1.25</f>
        <v>7650</v>
      </c>
      <c r="G18" s="80">
        <f>SUM('JORNAL '!BX34:BX35)*1.25</f>
        <v>0</v>
      </c>
      <c r="H18" s="80">
        <v>0</v>
      </c>
      <c r="I18" s="80">
        <v>0</v>
      </c>
      <c r="J18" s="81">
        <f t="shared" si="0"/>
        <v>7650</v>
      </c>
      <c r="K18" s="82">
        <f t="shared" si="3"/>
        <v>6120</v>
      </c>
      <c r="L18" s="83">
        <f t="shared" si="2"/>
        <v>2.7783188933062013E-2</v>
      </c>
      <c r="P18" s="95"/>
      <c r="Q18" s="91"/>
    </row>
    <row r="19" spans="2:21" ht="13.5" customHeight="1" x14ac:dyDescent="0.4">
      <c r="B19" s="74" t="s">
        <v>18</v>
      </c>
      <c r="C19" s="75" t="s">
        <v>38</v>
      </c>
      <c r="D19" s="74" t="s">
        <v>26</v>
      </c>
      <c r="F19" s="80">
        <f>SUM('JORNAL '!BV36:BV39)*1.25</f>
        <v>34088.306400000009</v>
      </c>
      <c r="G19" s="80">
        <f>SUM('JORNAL '!BX37:BX39)*1.25</f>
        <v>0</v>
      </c>
      <c r="H19" s="80">
        <v>0</v>
      </c>
      <c r="I19" s="80">
        <v>0</v>
      </c>
      <c r="J19" s="81">
        <f t="shared" si="0"/>
        <v>34088.306400000009</v>
      </c>
      <c r="K19" s="82">
        <f t="shared" ref="K19" si="4">J19*0.8</f>
        <v>27270.645120000008</v>
      </c>
      <c r="L19" s="83">
        <f t="shared" si="2"/>
        <v>0.12380154995023625</v>
      </c>
      <c r="P19" s="95"/>
      <c r="Q19" s="91"/>
    </row>
    <row r="20" spans="2:21" ht="13.5" customHeight="1" x14ac:dyDescent="0.4">
      <c r="B20" s="74" t="s">
        <v>18</v>
      </c>
      <c r="C20" s="75" t="s">
        <v>38</v>
      </c>
      <c r="D20" s="74" t="s">
        <v>41</v>
      </c>
      <c r="F20" s="80">
        <f>'JORNAL '!BV42*1.25</f>
        <v>18750</v>
      </c>
      <c r="G20" s="80">
        <f>SUM('JORNAL '!BX42)*1.25</f>
        <v>0</v>
      </c>
      <c r="H20" s="80">
        <v>0</v>
      </c>
      <c r="I20" s="80">
        <v>0</v>
      </c>
      <c r="J20" s="81">
        <f t="shared" si="0"/>
        <v>18750</v>
      </c>
      <c r="K20" s="82">
        <f t="shared" si="3"/>
        <v>15000</v>
      </c>
      <c r="L20" s="83">
        <f t="shared" si="2"/>
        <v>6.8096051306524547E-2</v>
      </c>
      <c r="P20" s="95"/>
      <c r="Q20" s="91"/>
    </row>
    <row r="21" spans="2:21" ht="13.5" customHeight="1" x14ac:dyDescent="0.4">
      <c r="B21" s="74" t="s">
        <v>18</v>
      </c>
      <c r="C21" s="75" t="s">
        <v>38</v>
      </c>
      <c r="D21" s="74" t="s">
        <v>67</v>
      </c>
      <c r="F21" s="80">
        <f>'JORNAL '!BV44*1.25</f>
        <v>12600</v>
      </c>
      <c r="G21" s="80">
        <f>SUM('JORNAL '!BX44)*1.25</f>
        <v>0</v>
      </c>
      <c r="H21" s="80">
        <v>0</v>
      </c>
      <c r="I21" s="80">
        <v>0</v>
      </c>
      <c r="J21" s="81">
        <f t="shared" si="0"/>
        <v>12600</v>
      </c>
      <c r="K21" s="82">
        <f t="shared" si="3"/>
        <v>10080</v>
      </c>
      <c r="L21" s="83">
        <f t="shared" si="2"/>
        <v>4.5760546477984491E-2</v>
      </c>
      <c r="P21" s="95"/>
      <c r="Q21" s="91"/>
    </row>
    <row r="22" spans="2:21" ht="13.5" customHeight="1" x14ac:dyDescent="0.4">
      <c r="B22" s="74" t="s">
        <v>18</v>
      </c>
      <c r="C22" s="75" t="s">
        <v>38</v>
      </c>
      <c r="D22" s="133" t="s">
        <v>21</v>
      </c>
      <c r="F22" s="80">
        <f>'JORNAL '!BV47*1.25</f>
        <v>15000</v>
      </c>
      <c r="G22" s="80">
        <f>SUM('JORNAL '!BX47)*1.25</f>
        <v>0</v>
      </c>
      <c r="H22" s="80">
        <v>0</v>
      </c>
      <c r="I22" s="80">
        <v>0</v>
      </c>
      <c r="J22" s="81">
        <f t="shared" si="0"/>
        <v>15000</v>
      </c>
      <c r="K22" s="82">
        <f t="shared" ref="K22:K26" si="5">J22*0.8</f>
        <v>12000</v>
      </c>
      <c r="L22" s="83">
        <f t="shared" si="2"/>
        <v>5.4476841045219632E-2</v>
      </c>
      <c r="P22" s="95"/>
      <c r="Q22" s="91"/>
    </row>
    <row r="23" spans="2:21" ht="13.5" customHeight="1" x14ac:dyDescent="0.4">
      <c r="B23" s="74" t="s">
        <v>18</v>
      </c>
      <c r="C23" s="75" t="s">
        <v>38</v>
      </c>
      <c r="D23" s="133" t="s">
        <v>83</v>
      </c>
      <c r="F23" s="80">
        <f>'JORNAL '!BV51*1.25</f>
        <v>0</v>
      </c>
      <c r="G23" s="80">
        <f>SUM('JORNAL '!BX51)*1.25</f>
        <v>17500</v>
      </c>
      <c r="H23" s="80">
        <v>0</v>
      </c>
      <c r="I23" s="80">
        <v>0</v>
      </c>
      <c r="J23" s="81">
        <f t="shared" si="0"/>
        <v>17500</v>
      </c>
      <c r="K23" s="82">
        <f t="shared" si="5"/>
        <v>14000</v>
      </c>
      <c r="L23" s="83">
        <f t="shared" si="2"/>
        <v>6.3556314552756232E-2</v>
      </c>
      <c r="P23" s="95"/>
      <c r="Q23" s="91"/>
    </row>
    <row r="24" spans="2:21" ht="13.5" customHeight="1" x14ac:dyDescent="0.4">
      <c r="B24" s="74" t="s">
        <v>18</v>
      </c>
      <c r="C24" s="75" t="s">
        <v>38</v>
      </c>
      <c r="D24" s="133" t="s">
        <v>87</v>
      </c>
      <c r="F24" s="80">
        <f>'JORNAL '!BV54*1.25</f>
        <v>0</v>
      </c>
      <c r="G24" s="80">
        <f>SUM('JORNAL '!BX54:BX55)*1.25</f>
        <v>27900</v>
      </c>
      <c r="H24" s="80">
        <v>0</v>
      </c>
      <c r="I24" s="80">
        <v>0</v>
      </c>
      <c r="J24" s="81">
        <f t="shared" si="0"/>
        <v>27900</v>
      </c>
      <c r="K24" s="82">
        <f t="shared" si="5"/>
        <v>22320</v>
      </c>
      <c r="L24" s="83">
        <f t="shared" si="2"/>
        <v>0.10132692434410852</v>
      </c>
      <c r="P24" s="95"/>
      <c r="Q24" s="91"/>
    </row>
    <row r="25" spans="2:21" ht="13.5" customHeight="1" x14ac:dyDescent="0.4">
      <c r="B25" s="74" t="s">
        <v>18</v>
      </c>
      <c r="C25" s="75" t="s">
        <v>38</v>
      </c>
      <c r="D25" s="74" t="s">
        <v>102</v>
      </c>
      <c r="F25" s="80" cm="1">
        <f t="array" ref="F25">SUM('JORNAL '!BV57:BV60*1.25)</f>
        <v>0</v>
      </c>
      <c r="G25" s="80">
        <f>SUM('JORNAL '!BX58:BX61)*1.25</f>
        <v>3125</v>
      </c>
      <c r="H25" s="80">
        <v>0</v>
      </c>
      <c r="I25" s="80">
        <v>0</v>
      </c>
      <c r="J25" s="81">
        <f t="shared" si="0"/>
        <v>3125</v>
      </c>
      <c r="K25" s="82">
        <f t="shared" ref="K25" si="6">J25*0.8</f>
        <v>2500</v>
      </c>
      <c r="L25" s="83">
        <f t="shared" ref="L25" si="7">K25/$K$28</f>
        <v>1.1349341884420756E-2</v>
      </c>
      <c r="P25" s="95"/>
      <c r="Q25" s="91"/>
    </row>
    <row r="26" spans="2:21" ht="13.5" customHeight="1" x14ac:dyDescent="0.4">
      <c r="B26" s="74" t="s">
        <v>18</v>
      </c>
      <c r="C26" s="75" t="s">
        <v>38</v>
      </c>
      <c r="D26" s="74" t="s">
        <v>134</v>
      </c>
      <c r="F26" s="80" cm="1">
        <f t="array" ref="F26">SUM('JORNAL '!BV58:BV61*1.25)</f>
        <v>0</v>
      </c>
      <c r="G26" s="80">
        <f>SUM('JORNAL '!BX63)*1.25</f>
        <v>6860</v>
      </c>
      <c r="H26" s="80">
        <v>0</v>
      </c>
      <c r="I26" s="80">
        <v>0</v>
      </c>
      <c r="J26" s="81">
        <f t="shared" si="0"/>
        <v>6860</v>
      </c>
      <c r="K26" s="82">
        <f t="shared" si="5"/>
        <v>5488</v>
      </c>
      <c r="L26" s="83">
        <f t="shared" si="2"/>
        <v>2.4914075304680445E-2</v>
      </c>
      <c r="P26" s="95"/>
      <c r="Q26" s="91"/>
    </row>
    <row r="27" spans="2:21" ht="13.5" customHeight="1" x14ac:dyDescent="0.4">
      <c r="F27" s="80"/>
      <c r="G27" s="80"/>
      <c r="H27" s="80"/>
      <c r="I27" s="80"/>
      <c r="J27" s="81"/>
      <c r="K27" s="82"/>
      <c r="L27" s="83"/>
      <c r="P27" s="95"/>
      <c r="Q27" s="91"/>
    </row>
    <row r="28" spans="2:21" ht="13.5" customHeight="1" x14ac:dyDescent="0.4">
      <c r="B28" s="85" t="s">
        <v>20</v>
      </c>
      <c r="C28" s="86"/>
      <c r="D28" s="87"/>
      <c r="F28" s="88">
        <f t="shared" ref="F28:L28" si="8">SUM(F13:F26)</f>
        <v>216136.36209080002</v>
      </c>
      <c r="G28" s="88">
        <f t="shared" si="8"/>
        <v>59210</v>
      </c>
      <c r="H28" s="88">
        <f t="shared" si="8"/>
        <v>0</v>
      </c>
      <c r="I28" s="88">
        <f t="shared" si="8"/>
        <v>0</v>
      </c>
      <c r="J28" s="88">
        <f t="shared" si="8"/>
        <v>275346.36209080002</v>
      </c>
      <c r="K28" s="88">
        <f t="shared" si="8"/>
        <v>220277.08967264</v>
      </c>
      <c r="L28" s="89">
        <f t="shared" si="8"/>
        <v>1</v>
      </c>
      <c r="M28" s="90">
        <f>K28/K34</f>
        <v>0.68058417032451313</v>
      </c>
      <c r="N28" s="232" t="b">
        <f>K28='JORNAL '!BS66</f>
        <v>1</v>
      </c>
      <c r="O28" s="95"/>
      <c r="R28" s="94"/>
      <c r="S28" s="94"/>
    </row>
    <row r="29" spans="2:21" ht="13.5" customHeight="1" x14ac:dyDescent="0.4">
      <c r="F29" s="231"/>
      <c r="G29" s="231"/>
      <c r="H29" s="231"/>
      <c r="I29" s="231"/>
    </row>
    <row r="30" spans="2:21" ht="13.5" customHeight="1" x14ac:dyDescent="0.4">
      <c r="B30" s="74" t="s">
        <v>18</v>
      </c>
      <c r="C30" s="75" t="s">
        <v>137</v>
      </c>
      <c r="D30" s="74" t="s">
        <v>129</v>
      </c>
      <c r="F30" s="80">
        <v>0</v>
      </c>
      <c r="G30" s="80">
        <f>'OPEN TV'!DK17*1.25</f>
        <v>35468.800000000003</v>
      </c>
      <c r="H30" s="80">
        <f>'OPEN TV'!DM19*1.25</f>
        <v>54581.600000000006</v>
      </c>
      <c r="I30" s="80">
        <f>'OPEN TV'!DO19*1.25</f>
        <v>39176.800000000003</v>
      </c>
      <c r="J30" s="81">
        <f>SUM(F30:I30)</f>
        <v>129227.20000000001</v>
      </c>
      <c r="K30" s="82">
        <f>J30*0.8</f>
        <v>103381.76000000001</v>
      </c>
      <c r="L30" s="83">
        <f>K30/$K$32</f>
        <v>1</v>
      </c>
      <c r="M30" s="84"/>
      <c r="R30" s="94"/>
      <c r="S30" s="94"/>
      <c r="T30" s="94"/>
      <c r="U30" s="94"/>
    </row>
    <row r="31" spans="2:21" ht="13.5" customHeight="1" x14ac:dyDescent="0.4">
      <c r="F31" s="80"/>
      <c r="G31" s="80"/>
      <c r="H31" s="80"/>
      <c r="I31" s="80"/>
      <c r="J31" s="81"/>
      <c r="K31" s="82"/>
      <c r="L31" s="83"/>
      <c r="P31" s="95"/>
      <c r="Q31" s="91"/>
    </row>
    <row r="32" spans="2:21" ht="13.5" customHeight="1" x14ac:dyDescent="0.4">
      <c r="B32" s="85" t="s">
        <v>20</v>
      </c>
      <c r="C32" s="86"/>
      <c r="D32" s="87"/>
      <c r="F32" s="88">
        <f t="shared" ref="F32:L32" si="9">SUM(F30:F30)</f>
        <v>0</v>
      </c>
      <c r="G32" s="88">
        <f t="shared" si="9"/>
        <v>35468.800000000003</v>
      </c>
      <c r="H32" s="88">
        <f t="shared" si="9"/>
        <v>54581.600000000006</v>
      </c>
      <c r="I32" s="88">
        <f t="shared" si="9"/>
        <v>39176.800000000003</v>
      </c>
      <c r="J32" s="88">
        <f t="shared" si="9"/>
        <v>129227.20000000001</v>
      </c>
      <c r="K32" s="88">
        <f t="shared" si="9"/>
        <v>103381.76000000001</v>
      </c>
      <c r="L32" s="89">
        <f t="shared" si="9"/>
        <v>1</v>
      </c>
      <c r="M32" s="90">
        <f>K32/K34</f>
        <v>0.31941582967548698</v>
      </c>
      <c r="N32" s="232" t="b">
        <f>K32='OPEN TV'!DO21</f>
        <v>1</v>
      </c>
      <c r="O32" s="95"/>
      <c r="R32" s="94"/>
      <c r="S32" s="94"/>
    </row>
    <row r="33" spans="2:14" ht="13.5" customHeight="1" x14ac:dyDescent="0.4">
      <c r="F33" s="230"/>
      <c r="G33" s="230"/>
      <c r="H33" s="230"/>
      <c r="I33" s="230"/>
    </row>
    <row r="34" spans="2:14" ht="18" customHeight="1" x14ac:dyDescent="0.4">
      <c r="B34" s="85" t="s">
        <v>37</v>
      </c>
      <c r="C34" s="86"/>
      <c r="D34" s="87"/>
      <c r="F34" s="88">
        <f t="shared" ref="F34:K34" si="10">SUM(,F28,F32)</f>
        <v>216136.36209080002</v>
      </c>
      <c r="G34" s="88">
        <f t="shared" si="10"/>
        <v>94678.8</v>
      </c>
      <c r="H34" s="88">
        <f t="shared" si="10"/>
        <v>54581.600000000006</v>
      </c>
      <c r="I34" s="88">
        <f t="shared" si="10"/>
        <v>39176.800000000003</v>
      </c>
      <c r="J34" s="88">
        <f t="shared" si="10"/>
        <v>404573.56209080003</v>
      </c>
      <c r="K34" s="88">
        <f t="shared" si="10"/>
        <v>323658.84967263998</v>
      </c>
      <c r="L34" s="88"/>
      <c r="M34" s="90">
        <f>SUM(M10:M32)</f>
        <v>1</v>
      </c>
    </row>
    <row r="35" spans="2:14" s="233" customFormat="1" ht="13.5" customHeight="1" x14ac:dyDescent="0.4">
      <c r="C35" s="234"/>
      <c r="F35" s="235">
        <f>F34/J34</f>
        <v>0.53423254098420714</v>
      </c>
      <c r="G35" s="235">
        <f>G34/J34</f>
        <v>0.2340212235092882</v>
      </c>
      <c r="H35" s="235">
        <f>H34/J34</f>
        <v>0.13491143543321807</v>
      </c>
      <c r="I35" s="235">
        <f>I34/J34</f>
        <v>9.6834800073286556E-2</v>
      </c>
      <c r="J35" s="234"/>
      <c r="K35" s="236" t="b">
        <f>SUM('JORNAL '!BS66,'OPEN TV'!DA19)=K34</f>
        <v>1</v>
      </c>
      <c r="L35" s="234"/>
      <c r="M35" s="234"/>
      <c r="N35" s="232"/>
    </row>
    <row r="36" spans="2:14" ht="17" customHeight="1" x14ac:dyDescent="0.4">
      <c r="J36" s="92"/>
      <c r="K36" s="93"/>
    </row>
    <row r="37" spans="2:14" ht="17" customHeight="1" x14ac:dyDescent="0.4">
      <c r="J37" s="92"/>
      <c r="K37" s="92"/>
    </row>
    <row r="38" spans="2:14" ht="17" customHeight="1" x14ac:dyDescent="0.4"/>
    <row r="39" spans="2:14" ht="17" customHeight="1" x14ac:dyDescent="0.4"/>
    <row r="40" spans="2:14" ht="17" customHeight="1" x14ac:dyDescent="0.4"/>
  </sheetData>
  <mergeCells count="10">
    <mergeCell ref="L10:L11"/>
    <mergeCell ref="B10:B11"/>
    <mergeCell ref="C10:C11"/>
    <mergeCell ref="D10:D11"/>
    <mergeCell ref="F10:F11"/>
    <mergeCell ref="J10:J11"/>
    <mergeCell ref="K10:K11"/>
    <mergeCell ref="G10:G11"/>
    <mergeCell ref="H10:H11"/>
    <mergeCell ref="I10:I11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DAD3F-8BFF-4396-A7C3-12A240998165}">
  <dimension ref="A1:CD71"/>
  <sheetViews>
    <sheetView showGridLines="0" tabSelected="1" zoomScale="91" zoomScaleNormal="65" workbookViewId="0">
      <pane xSplit="4" ySplit="11" topLeftCell="E22" activePane="bottomRight" state="frozen"/>
      <selection pane="topRight" activeCell="E1" sqref="E1"/>
      <selection pane="bottomLeft" activeCell="A12" sqref="A12"/>
      <selection pane="bottomRight" activeCell="BA51" sqref="BA51"/>
    </sheetView>
  </sheetViews>
  <sheetFormatPr defaultColWidth="9.6640625" defaultRowHeight="25" customHeight="1" x14ac:dyDescent="0.25"/>
  <cols>
    <col min="1" max="1" width="3.83203125" style="1" customWidth="1"/>
    <col min="2" max="2" width="21.33203125" style="1" customWidth="1"/>
    <col min="3" max="3" width="23.83203125" style="1" customWidth="1"/>
    <col min="4" max="4" width="61.1640625" style="1" customWidth="1"/>
    <col min="5" max="5" width="39.33203125" style="1" customWidth="1"/>
    <col min="6" max="6" width="20" style="1" customWidth="1"/>
    <col min="7" max="20" width="4.6640625" style="1" hidden="1" customWidth="1"/>
    <col min="21" max="39" width="4.6640625" style="1" customWidth="1"/>
    <col min="40" max="40" width="4.58203125" style="1" customWidth="1"/>
    <col min="41" max="45" width="4.6640625" style="1" customWidth="1"/>
    <col min="46" max="46" width="4.58203125" style="1" customWidth="1"/>
    <col min="47" max="51" width="4.6640625" style="1" customWidth="1"/>
    <col min="52" max="52" width="4.58203125" style="1" customWidth="1"/>
    <col min="53" max="56" width="4.6640625" style="1" customWidth="1"/>
    <col min="57" max="57" width="4.58203125" style="1" customWidth="1"/>
    <col min="58" max="61" width="4.6640625" style="1" customWidth="1"/>
    <col min="62" max="62" width="4.58203125" style="1" customWidth="1"/>
    <col min="63" max="65" width="4.6640625" style="1" customWidth="1"/>
    <col min="66" max="66" width="9.33203125" style="1" customWidth="1"/>
    <col min="67" max="67" width="18" style="1" customWidth="1"/>
    <col min="68" max="68" width="14.6640625" style="69" customWidth="1"/>
    <col min="69" max="71" width="18" style="1" customWidth="1"/>
    <col min="72" max="72" width="3.58203125" style="1" customWidth="1"/>
    <col min="73" max="73" width="8.83203125" style="1" customWidth="1"/>
    <col min="74" max="74" width="17.83203125" style="1" customWidth="1"/>
    <col min="75" max="75" width="8.83203125" style="1" customWidth="1"/>
    <col min="76" max="76" width="17.83203125" style="1" customWidth="1"/>
    <col min="77" max="16384" width="9.6640625" style="1"/>
  </cols>
  <sheetData>
    <row r="1" spans="1:82" ht="8.5" customHeight="1" x14ac:dyDescent="0.25">
      <c r="BP1" s="1"/>
    </row>
    <row r="2" spans="1:82" ht="8.5" customHeight="1" x14ac:dyDescent="0.25">
      <c r="B2" s="2"/>
      <c r="C2" s="2"/>
      <c r="D2" s="2"/>
      <c r="E2" s="2"/>
      <c r="F2" s="2"/>
      <c r="BP2" s="1"/>
    </row>
    <row r="3" spans="1:82" ht="8.5" customHeight="1" x14ac:dyDescent="0.25">
      <c r="A3" s="3"/>
      <c r="B3" s="4"/>
      <c r="C3" s="5"/>
      <c r="D3" s="4"/>
      <c r="E3" s="4"/>
      <c r="F3" s="4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6"/>
      <c r="BO3" s="6"/>
      <c r="BP3" s="6"/>
      <c r="BQ3" s="7"/>
      <c r="BR3" s="8"/>
      <c r="BS3" s="9"/>
    </row>
    <row r="4" spans="1:82" ht="8.5" customHeight="1" x14ac:dyDescent="0.25">
      <c r="A4" s="3"/>
      <c r="B4" s="4"/>
      <c r="C4" s="5"/>
      <c r="D4" s="4"/>
      <c r="E4" s="4"/>
      <c r="F4" s="4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6"/>
      <c r="BO4" s="6"/>
      <c r="BP4" s="6"/>
      <c r="BQ4" s="10"/>
      <c r="BR4" s="3"/>
      <c r="BS4" s="9"/>
    </row>
    <row r="5" spans="1:82" ht="12.5" x14ac:dyDescent="0.25">
      <c r="A5" s="3"/>
      <c r="B5" s="11" t="s">
        <v>0</v>
      </c>
      <c r="C5" s="11"/>
      <c r="D5" s="4"/>
      <c r="E5" s="4"/>
      <c r="F5" s="4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6"/>
      <c r="BO5" s="12"/>
      <c r="BP5" s="6"/>
      <c r="BQ5" s="10"/>
      <c r="BR5" s="3"/>
      <c r="BS5" s="13"/>
    </row>
    <row r="6" spans="1:82" ht="14" x14ac:dyDescent="0.25">
      <c r="A6" s="3"/>
      <c r="B6" s="14" t="s">
        <v>45</v>
      </c>
      <c r="C6" s="14"/>
      <c r="D6" s="15"/>
      <c r="E6" s="15"/>
      <c r="F6" s="1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17"/>
      <c r="BO6" s="6"/>
      <c r="BP6" s="6"/>
      <c r="BQ6" s="17"/>
      <c r="BR6" s="10"/>
      <c r="BS6" s="71"/>
    </row>
    <row r="7" spans="1:82" ht="8.5" customHeight="1" x14ac:dyDescent="0.25">
      <c r="A7" s="3"/>
      <c r="B7" s="4"/>
      <c r="C7" s="5"/>
      <c r="D7" s="18"/>
      <c r="E7" s="18"/>
      <c r="F7" s="18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17"/>
      <c r="BP7" s="19"/>
      <c r="BQ7" s="17"/>
      <c r="BR7" s="20"/>
      <c r="BS7" s="72"/>
    </row>
    <row r="8" spans="1:82" ht="8.5" customHeight="1" x14ac:dyDescent="0.25">
      <c r="A8" s="3"/>
      <c r="B8" s="21"/>
      <c r="C8" s="21"/>
      <c r="D8" s="22"/>
      <c r="E8" s="22"/>
      <c r="F8" s="22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R8" s="20"/>
      <c r="BS8" s="72"/>
    </row>
    <row r="9" spans="1:82" ht="25" customHeight="1" x14ac:dyDescent="0.25">
      <c r="A9" s="23"/>
      <c r="B9" s="252" t="s">
        <v>1</v>
      </c>
      <c r="C9" s="253" t="s">
        <v>2</v>
      </c>
      <c r="D9" s="253" t="s">
        <v>3</v>
      </c>
      <c r="E9" s="253" t="s">
        <v>66</v>
      </c>
      <c r="F9" s="252" t="s">
        <v>4</v>
      </c>
      <c r="G9" s="146" t="s">
        <v>5</v>
      </c>
      <c r="H9" s="137"/>
      <c r="I9" s="137"/>
      <c r="J9" s="137"/>
      <c r="K9" s="137"/>
      <c r="L9" s="137"/>
      <c r="M9" s="137"/>
      <c r="N9" s="137"/>
      <c r="O9" s="137"/>
      <c r="P9" s="137"/>
      <c r="Q9" s="137"/>
      <c r="R9" s="137"/>
      <c r="S9" s="137"/>
      <c r="T9" s="137"/>
      <c r="U9" s="254" t="s">
        <v>133</v>
      </c>
      <c r="V9" s="254"/>
      <c r="W9" s="254"/>
      <c r="X9" s="254"/>
      <c r="Y9" s="254"/>
      <c r="Z9" s="254"/>
      <c r="AA9" s="254"/>
      <c r="AB9" s="254"/>
      <c r="AC9" s="254"/>
      <c r="AD9" s="254"/>
      <c r="AE9" s="254"/>
      <c r="AF9" s="254"/>
      <c r="AG9" s="254"/>
      <c r="AH9" s="254"/>
      <c r="AI9" s="254" t="s">
        <v>92</v>
      </c>
      <c r="AJ9" s="254"/>
      <c r="AK9" s="254"/>
      <c r="AL9" s="254"/>
      <c r="AM9" s="254"/>
      <c r="AN9" s="254"/>
      <c r="AO9" s="254"/>
      <c r="AP9" s="254"/>
      <c r="AQ9" s="254"/>
      <c r="AR9" s="254"/>
      <c r="AS9" s="254"/>
      <c r="AT9" s="254"/>
      <c r="AU9" s="254"/>
      <c r="AV9" s="254"/>
      <c r="AW9" s="254"/>
      <c r="AX9" s="254"/>
      <c r="AY9" s="254"/>
      <c r="AZ9" s="254"/>
      <c r="BA9" s="254"/>
      <c r="BB9" s="254"/>
      <c r="BC9" s="254"/>
      <c r="BD9" s="254"/>
      <c r="BE9" s="254"/>
      <c r="BF9" s="254"/>
      <c r="BG9" s="254"/>
      <c r="BH9" s="254"/>
      <c r="BI9" s="254"/>
      <c r="BJ9" s="254"/>
      <c r="BK9" s="254"/>
      <c r="BL9" s="254"/>
      <c r="BM9" s="255"/>
      <c r="BN9" s="265" t="s">
        <v>6</v>
      </c>
      <c r="BO9" s="262" t="s">
        <v>7</v>
      </c>
      <c r="BP9" s="265" t="s">
        <v>8</v>
      </c>
      <c r="BQ9" s="262" t="s">
        <v>9</v>
      </c>
      <c r="BR9" s="262" t="s">
        <v>10</v>
      </c>
      <c r="BS9" s="262" t="s">
        <v>11</v>
      </c>
      <c r="BU9" s="252"/>
      <c r="BV9" s="252"/>
      <c r="BW9" s="252"/>
      <c r="BX9" s="252"/>
    </row>
    <row r="10" spans="1:82" ht="15.5" customHeight="1" x14ac:dyDescent="0.25">
      <c r="A10" s="23"/>
      <c r="B10" s="252"/>
      <c r="C10" s="253"/>
      <c r="D10" s="253"/>
      <c r="E10" s="253"/>
      <c r="F10" s="252"/>
      <c r="G10" s="25" t="s">
        <v>16</v>
      </c>
      <c r="H10" s="24" t="s">
        <v>12</v>
      </c>
      <c r="I10" s="24" t="s">
        <v>13</v>
      </c>
      <c r="J10" s="24" t="s">
        <v>14</v>
      </c>
      <c r="K10" s="24" t="s">
        <v>13</v>
      </c>
      <c r="L10" s="24" t="s">
        <v>15</v>
      </c>
      <c r="M10" s="25" t="s">
        <v>16</v>
      </c>
      <c r="N10" s="25" t="s">
        <v>16</v>
      </c>
      <c r="O10" s="24" t="s">
        <v>12</v>
      </c>
      <c r="P10" s="24" t="s">
        <v>13</v>
      </c>
      <c r="Q10" s="24" t="s">
        <v>14</v>
      </c>
      <c r="R10" s="24" t="s">
        <v>13</v>
      </c>
      <c r="S10" s="24" t="s">
        <v>15</v>
      </c>
      <c r="T10" s="25" t="s">
        <v>16</v>
      </c>
      <c r="U10" s="25" t="s">
        <v>16</v>
      </c>
      <c r="V10" s="24" t="s">
        <v>12</v>
      </c>
      <c r="W10" s="24" t="s">
        <v>13</v>
      </c>
      <c r="X10" s="24" t="s">
        <v>14</v>
      </c>
      <c r="Y10" s="24" t="s">
        <v>13</v>
      </c>
      <c r="Z10" s="24" t="s">
        <v>15</v>
      </c>
      <c r="AA10" s="25" t="s">
        <v>16</v>
      </c>
      <c r="AB10" s="25" t="s">
        <v>16</v>
      </c>
      <c r="AC10" s="24" t="s">
        <v>12</v>
      </c>
      <c r="AD10" s="24" t="s">
        <v>13</v>
      </c>
      <c r="AE10" s="24" t="s">
        <v>14</v>
      </c>
      <c r="AF10" s="24" t="s">
        <v>13</v>
      </c>
      <c r="AG10" s="24" t="s">
        <v>15</v>
      </c>
      <c r="AH10" s="25" t="s">
        <v>16</v>
      </c>
      <c r="AI10" s="25" t="s">
        <v>16</v>
      </c>
      <c r="AJ10" s="24" t="s">
        <v>12</v>
      </c>
      <c r="AK10" s="24" t="s">
        <v>13</v>
      </c>
      <c r="AL10" s="24" t="s">
        <v>14</v>
      </c>
      <c r="AM10" s="24" t="s">
        <v>13</v>
      </c>
      <c r="AN10" s="24" t="s">
        <v>15</v>
      </c>
      <c r="AO10" s="25" t="s">
        <v>16</v>
      </c>
      <c r="AP10" s="25" t="s">
        <v>16</v>
      </c>
      <c r="AQ10" s="24" t="s">
        <v>12</v>
      </c>
      <c r="AR10" s="24" t="s">
        <v>13</v>
      </c>
      <c r="AS10" s="24" t="s">
        <v>14</v>
      </c>
      <c r="AT10" s="24" t="s">
        <v>13</v>
      </c>
      <c r="AU10" s="24" t="s">
        <v>15</v>
      </c>
      <c r="AV10" s="25" t="s">
        <v>16</v>
      </c>
      <c r="AW10" s="25" t="s">
        <v>16</v>
      </c>
      <c r="AX10" s="24" t="s">
        <v>12</v>
      </c>
      <c r="AY10" s="24" t="s">
        <v>13</v>
      </c>
      <c r="AZ10" s="24" t="s">
        <v>14</v>
      </c>
      <c r="BA10" s="24" t="s">
        <v>13</v>
      </c>
      <c r="BB10" s="24" t="s">
        <v>15</v>
      </c>
      <c r="BC10" s="25" t="s">
        <v>16</v>
      </c>
      <c r="BD10" s="25" t="s">
        <v>16</v>
      </c>
      <c r="BE10" s="24" t="s">
        <v>12</v>
      </c>
      <c r="BF10" s="24" t="s">
        <v>13</v>
      </c>
      <c r="BG10" s="24" t="s">
        <v>14</v>
      </c>
      <c r="BH10" s="24" t="s">
        <v>13</v>
      </c>
      <c r="BI10" s="24" t="s">
        <v>15</v>
      </c>
      <c r="BJ10" s="25" t="s">
        <v>16</v>
      </c>
      <c r="BK10" s="25" t="s">
        <v>16</v>
      </c>
      <c r="BL10" s="24" t="s">
        <v>12</v>
      </c>
      <c r="BM10" s="24" t="s">
        <v>13</v>
      </c>
      <c r="BN10" s="266"/>
      <c r="BO10" s="263"/>
      <c r="BP10" s="266"/>
      <c r="BQ10" s="263"/>
      <c r="BR10" s="263"/>
      <c r="BS10" s="263"/>
      <c r="BU10" s="252" t="s">
        <v>5</v>
      </c>
      <c r="BV10" s="252"/>
      <c r="BW10" s="252" t="s">
        <v>92</v>
      </c>
      <c r="BX10" s="252"/>
    </row>
    <row r="11" spans="1:82" ht="15.5" customHeight="1" x14ac:dyDescent="0.25">
      <c r="A11" s="23"/>
      <c r="B11" s="252"/>
      <c r="C11" s="253"/>
      <c r="D11" s="253"/>
      <c r="E11" s="253"/>
      <c r="F11" s="252"/>
      <c r="G11" s="25">
        <v>1</v>
      </c>
      <c r="H11" s="24">
        <v>2</v>
      </c>
      <c r="I11" s="24">
        <v>3</v>
      </c>
      <c r="J11" s="24">
        <v>4</v>
      </c>
      <c r="K11" s="24">
        <v>5</v>
      </c>
      <c r="L11" s="24">
        <v>6</v>
      </c>
      <c r="M11" s="25">
        <v>7</v>
      </c>
      <c r="N11" s="25">
        <v>8</v>
      </c>
      <c r="O11" s="24">
        <v>9</v>
      </c>
      <c r="P11" s="24">
        <v>10</v>
      </c>
      <c r="Q11" s="24">
        <v>11</v>
      </c>
      <c r="R11" s="24">
        <v>12</v>
      </c>
      <c r="S11" s="24">
        <v>13</v>
      </c>
      <c r="T11" s="25">
        <v>14</v>
      </c>
      <c r="U11" s="25">
        <v>15</v>
      </c>
      <c r="V11" s="24">
        <v>16</v>
      </c>
      <c r="W11" s="24">
        <v>17</v>
      </c>
      <c r="X11" s="24">
        <v>18</v>
      </c>
      <c r="Y11" s="24">
        <v>19</v>
      </c>
      <c r="Z11" s="24">
        <v>20</v>
      </c>
      <c r="AA11" s="25">
        <v>21</v>
      </c>
      <c r="AB11" s="25">
        <v>22</v>
      </c>
      <c r="AC11" s="24">
        <v>23</v>
      </c>
      <c r="AD11" s="24">
        <v>24</v>
      </c>
      <c r="AE11" s="24">
        <v>25</v>
      </c>
      <c r="AF11" s="24">
        <v>26</v>
      </c>
      <c r="AG11" s="24">
        <v>27</v>
      </c>
      <c r="AH11" s="25">
        <v>28</v>
      </c>
      <c r="AI11" s="25">
        <v>1</v>
      </c>
      <c r="AJ11" s="24">
        <f>AI11+1</f>
        <v>2</v>
      </c>
      <c r="AK11" s="24">
        <f t="shared" ref="AK11:AN11" si="0">AJ11+1</f>
        <v>3</v>
      </c>
      <c r="AL11" s="24">
        <f t="shared" si="0"/>
        <v>4</v>
      </c>
      <c r="AM11" s="24">
        <f t="shared" si="0"/>
        <v>5</v>
      </c>
      <c r="AN11" s="24">
        <f t="shared" si="0"/>
        <v>6</v>
      </c>
      <c r="AO11" s="25">
        <f>AN11+1</f>
        <v>7</v>
      </c>
      <c r="AP11" s="25">
        <f>AO11+1</f>
        <v>8</v>
      </c>
      <c r="AQ11" s="24">
        <f t="shared" ref="AQ11" si="1">AP11+1</f>
        <v>9</v>
      </c>
      <c r="AR11" s="24">
        <f t="shared" ref="AR11" si="2">AQ11+1</f>
        <v>10</v>
      </c>
      <c r="AS11" s="24">
        <f t="shared" ref="AS11" si="3">AR11+1</f>
        <v>11</v>
      </c>
      <c r="AT11" s="24">
        <f t="shared" ref="AT11" si="4">AS11+1</f>
        <v>12</v>
      </c>
      <c r="AU11" s="24">
        <f>AT11+1</f>
        <v>13</v>
      </c>
      <c r="AV11" s="25">
        <f>AU11+1</f>
        <v>14</v>
      </c>
      <c r="AW11" s="25">
        <f t="shared" ref="AW11" si="5">AV11+1</f>
        <v>15</v>
      </c>
      <c r="AX11" s="24">
        <f t="shared" ref="AX11" si="6">AW11+1</f>
        <v>16</v>
      </c>
      <c r="AY11" s="24">
        <f t="shared" ref="AY11" si="7">AX11+1</f>
        <v>17</v>
      </c>
      <c r="AZ11" s="24">
        <f t="shared" ref="AZ11" si="8">AY11+1</f>
        <v>18</v>
      </c>
      <c r="BA11" s="24">
        <f>AZ11+1</f>
        <v>19</v>
      </c>
      <c r="BB11" s="24">
        <f t="shared" ref="BB11" si="9">BA11+1</f>
        <v>20</v>
      </c>
      <c r="BC11" s="225">
        <f t="shared" ref="BC11" si="10">BB11+1</f>
        <v>21</v>
      </c>
      <c r="BD11" s="225">
        <f t="shared" ref="BD11" si="11">BC11+1</f>
        <v>22</v>
      </c>
      <c r="BE11" s="24">
        <f t="shared" ref="BE11" si="12">BD11+1</f>
        <v>23</v>
      </c>
      <c r="BF11" s="24">
        <f>BE11+1</f>
        <v>24</v>
      </c>
      <c r="BG11" s="24">
        <f t="shared" ref="BG11" si="13">BF11+1</f>
        <v>25</v>
      </c>
      <c r="BH11" s="24">
        <f t="shared" ref="BH11" si="14">BG11+1</f>
        <v>26</v>
      </c>
      <c r="BI11" s="24">
        <f t="shared" ref="BI11" si="15">BH11+1</f>
        <v>27</v>
      </c>
      <c r="BJ11" s="225">
        <f t="shared" ref="BJ11" si="16">BI11+1</f>
        <v>28</v>
      </c>
      <c r="BK11" s="225">
        <f t="shared" ref="BK11" si="17">BJ11+1</f>
        <v>29</v>
      </c>
      <c r="BL11" s="24">
        <f t="shared" ref="BL11" si="18">BK11+1</f>
        <v>30</v>
      </c>
      <c r="BM11" s="24">
        <f t="shared" ref="BM11" si="19">BL11+1</f>
        <v>31</v>
      </c>
      <c r="BN11" s="267"/>
      <c r="BO11" s="264"/>
      <c r="BP11" s="267"/>
      <c r="BQ11" s="264"/>
      <c r="BR11" s="264"/>
      <c r="BS11" s="264"/>
      <c r="BU11" s="252"/>
      <c r="BV11" s="252"/>
      <c r="BW11" s="252"/>
      <c r="BX11" s="252"/>
    </row>
    <row r="12" spans="1:82" ht="15.5" customHeight="1" x14ac:dyDescent="0.25">
      <c r="A12" s="23"/>
      <c r="B12" s="26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8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9"/>
      <c r="BS12" s="30"/>
      <c r="BU12" s="31" t="s">
        <v>6</v>
      </c>
      <c r="BV12" s="31" t="s">
        <v>17</v>
      </c>
      <c r="BW12" s="31" t="s">
        <v>6</v>
      </c>
      <c r="BX12" s="31" t="s">
        <v>17</v>
      </c>
      <c r="BY12" s="3"/>
      <c r="BZ12" s="3"/>
      <c r="CA12" s="3"/>
      <c r="CB12" s="3"/>
      <c r="CC12" s="3"/>
      <c r="CD12" s="3"/>
    </row>
    <row r="13" spans="1:82" ht="15.5" customHeight="1" x14ac:dyDescent="0.25">
      <c r="A13" s="23"/>
      <c r="B13" s="32"/>
      <c r="C13" s="33"/>
      <c r="D13" s="34"/>
      <c r="E13" s="34"/>
      <c r="F13" s="34"/>
      <c r="G13" s="37"/>
      <c r="H13" s="35"/>
      <c r="I13" s="36"/>
      <c r="J13" s="36"/>
      <c r="K13" s="36"/>
      <c r="L13" s="35"/>
      <c r="M13" s="37"/>
      <c r="N13" s="37"/>
      <c r="O13" s="35"/>
      <c r="P13" s="36"/>
      <c r="Q13" s="36"/>
      <c r="R13" s="36"/>
      <c r="S13" s="35"/>
      <c r="T13" s="37"/>
      <c r="U13" s="37"/>
      <c r="V13" s="35"/>
      <c r="W13" s="36"/>
      <c r="X13" s="36"/>
      <c r="Y13" s="36"/>
      <c r="Z13" s="35"/>
      <c r="AA13" s="37"/>
      <c r="AB13" s="37"/>
      <c r="AC13" s="35"/>
      <c r="AD13" s="36"/>
      <c r="AE13" s="36"/>
      <c r="AF13" s="36"/>
      <c r="AG13" s="35"/>
      <c r="AH13" s="37"/>
      <c r="AI13" s="37"/>
      <c r="AJ13" s="35"/>
      <c r="AK13" s="35"/>
      <c r="AL13" s="35"/>
      <c r="AM13" s="35"/>
      <c r="AN13" s="36"/>
      <c r="AO13" s="37"/>
      <c r="AP13" s="37"/>
      <c r="AQ13" s="35"/>
      <c r="AR13" s="35"/>
      <c r="AS13" s="35"/>
      <c r="AT13" s="35"/>
      <c r="AU13" s="36"/>
      <c r="AV13" s="37"/>
      <c r="AW13" s="37"/>
      <c r="AX13" s="35"/>
      <c r="AY13" s="35"/>
      <c r="AZ13" s="35"/>
      <c r="BA13" s="35"/>
      <c r="BB13" s="36"/>
      <c r="BC13" s="37"/>
      <c r="BD13" s="37"/>
      <c r="BE13" s="35"/>
      <c r="BF13" s="35"/>
      <c r="BG13" s="35"/>
      <c r="BH13" s="35"/>
      <c r="BI13" s="36"/>
      <c r="BJ13" s="37"/>
      <c r="BK13" s="37"/>
      <c r="BL13" s="35"/>
      <c r="BM13" s="35"/>
      <c r="BN13" s="99"/>
      <c r="BO13" s="38"/>
      <c r="BP13" s="39"/>
      <c r="BQ13" s="38"/>
      <c r="BR13" s="40"/>
      <c r="BS13" s="40"/>
      <c r="BU13" s="99"/>
      <c r="BV13" s="41"/>
      <c r="BW13" s="99"/>
      <c r="BX13" s="41"/>
      <c r="BY13" s="3"/>
      <c r="BZ13" s="3"/>
      <c r="CA13" s="3"/>
      <c r="CB13" s="3"/>
      <c r="CC13" s="3"/>
      <c r="CD13" s="3"/>
    </row>
    <row r="14" spans="1:82" ht="15.5" customHeight="1" x14ac:dyDescent="0.25">
      <c r="A14" s="23"/>
      <c r="B14" s="42" t="s">
        <v>18</v>
      </c>
      <c r="C14" s="43" t="s">
        <v>19</v>
      </c>
      <c r="D14" s="65" t="s">
        <v>69</v>
      </c>
      <c r="E14" s="65" t="s">
        <v>59</v>
      </c>
      <c r="F14" s="45">
        <v>10000</v>
      </c>
      <c r="G14" s="37"/>
      <c r="H14" s="35"/>
      <c r="I14" s="36"/>
      <c r="J14" s="36"/>
      <c r="K14" s="36"/>
      <c r="L14" s="35"/>
      <c r="M14" s="37"/>
      <c r="N14" s="37"/>
      <c r="O14" s="35"/>
      <c r="P14" s="36"/>
      <c r="Q14" s="36"/>
      <c r="R14" s="36"/>
      <c r="S14" s="35"/>
      <c r="T14" s="37"/>
      <c r="U14" s="37"/>
      <c r="V14" s="35"/>
      <c r="W14" s="36"/>
      <c r="X14" s="36"/>
      <c r="Y14" s="36"/>
      <c r="Z14" s="35"/>
      <c r="AA14" s="37"/>
      <c r="AB14" s="37"/>
      <c r="AC14" s="35"/>
      <c r="AE14" s="36">
        <v>1</v>
      </c>
      <c r="AF14" s="36"/>
      <c r="AG14" s="35"/>
      <c r="AH14" s="37"/>
      <c r="AI14" s="37"/>
      <c r="AJ14" s="35"/>
      <c r="AK14" s="35"/>
      <c r="AL14" s="35"/>
      <c r="AM14" s="35"/>
      <c r="AN14" s="36"/>
      <c r="AO14" s="37"/>
      <c r="AP14" s="37"/>
      <c r="AQ14" s="35"/>
      <c r="AR14" s="35"/>
      <c r="AS14" s="35"/>
      <c r="AT14" s="35"/>
      <c r="AU14" s="36"/>
      <c r="AV14" s="37"/>
      <c r="AW14" s="37"/>
      <c r="AX14" s="35"/>
      <c r="AY14" s="35"/>
      <c r="AZ14" s="35"/>
      <c r="BA14" s="35"/>
      <c r="BB14" s="36"/>
      <c r="BC14" s="37"/>
      <c r="BD14" s="37"/>
      <c r="BE14" s="35"/>
      <c r="BF14" s="35"/>
      <c r="BG14" s="35"/>
      <c r="BH14" s="35"/>
      <c r="BI14" s="36"/>
      <c r="BJ14" s="37"/>
      <c r="BK14" s="37"/>
      <c r="BL14" s="35"/>
      <c r="BM14" s="35"/>
      <c r="BN14" s="50">
        <f>SUM(G14:BM14)</f>
        <v>1</v>
      </c>
      <c r="BO14" s="51">
        <v>71760</v>
      </c>
      <c r="BP14" s="66">
        <v>0.6</v>
      </c>
      <c r="BQ14" s="47">
        <f>BO14*(1-BP14)</f>
        <v>28704</v>
      </c>
      <c r="BR14" s="48">
        <f t="shared" ref="BR14" si="20">BQ14*BN14</f>
        <v>28704</v>
      </c>
      <c r="BS14" s="48">
        <f t="shared" ref="BS14:BS17" si="21">BR14*0.8</f>
        <v>22963.200000000001</v>
      </c>
      <c r="BU14" s="50">
        <f>SUM(G14:AH14)</f>
        <v>1</v>
      </c>
      <c r="BV14" s="49">
        <f>BU14*$BQ14*0.8</f>
        <v>22963.200000000001</v>
      </c>
      <c r="BW14" s="50">
        <f>SUM(AI14:BM14)</f>
        <v>0</v>
      </c>
      <c r="BX14" s="49">
        <f>BW14*$BQ14*0.8</f>
        <v>0</v>
      </c>
      <c r="BY14" s="3"/>
      <c r="BZ14" s="3"/>
      <c r="CA14" s="3"/>
      <c r="CB14" s="3"/>
      <c r="CC14" s="3"/>
      <c r="CD14" s="3"/>
    </row>
    <row r="15" spans="1:82" ht="15.5" customHeight="1" x14ac:dyDescent="0.25">
      <c r="A15" s="23"/>
      <c r="B15" s="42"/>
      <c r="C15" s="53"/>
      <c r="D15" s="65" t="s">
        <v>70</v>
      </c>
      <c r="F15" s="45">
        <v>10000</v>
      </c>
      <c r="G15" s="37"/>
      <c r="H15" s="35"/>
      <c r="I15" s="36"/>
      <c r="J15" s="36"/>
      <c r="K15" s="36"/>
      <c r="L15" s="35"/>
      <c r="M15" s="37"/>
      <c r="N15" s="37"/>
      <c r="O15" s="35"/>
      <c r="P15" s="36"/>
      <c r="Q15" s="36"/>
      <c r="R15" s="36"/>
      <c r="S15" s="35"/>
      <c r="T15" s="37"/>
      <c r="U15" s="37"/>
      <c r="V15" s="35"/>
      <c r="W15" s="36"/>
      <c r="X15" s="36"/>
      <c r="Y15" s="36"/>
      <c r="Z15" s="35"/>
      <c r="AA15" s="37"/>
      <c r="AB15" s="37">
        <v>1</v>
      </c>
      <c r="AC15" s="35"/>
      <c r="AD15" s="36"/>
      <c r="AE15" s="36"/>
      <c r="AF15" s="36"/>
      <c r="AG15" s="35"/>
      <c r="AH15" s="37"/>
      <c r="AI15" s="37"/>
      <c r="AJ15" s="35"/>
      <c r="AK15" s="35"/>
      <c r="AL15" s="35"/>
      <c r="AM15" s="35"/>
      <c r="AN15" s="36"/>
      <c r="AO15" s="37"/>
      <c r="AP15" s="37"/>
      <c r="AQ15" s="35"/>
      <c r="AR15" s="35"/>
      <c r="AS15" s="35"/>
      <c r="AT15" s="35"/>
      <c r="AU15" s="36"/>
      <c r="AV15" s="37"/>
      <c r="AW15" s="37"/>
      <c r="AX15" s="35"/>
      <c r="AY15" s="35"/>
      <c r="AZ15" s="35"/>
      <c r="BA15" s="35"/>
      <c r="BB15" s="36"/>
      <c r="BC15" s="37"/>
      <c r="BD15" s="37"/>
      <c r="BE15" s="35"/>
      <c r="BF15" s="35"/>
      <c r="BG15" s="35"/>
      <c r="BH15" s="35"/>
      <c r="BI15" s="36"/>
      <c r="BJ15" s="37"/>
      <c r="BK15" s="37"/>
      <c r="BL15" s="35"/>
      <c r="BM15" s="35"/>
      <c r="BN15" s="50">
        <f t="shared" ref="BN15:BN17" si="22">SUM(G15:BM15)</f>
        <v>1</v>
      </c>
      <c r="BO15" s="51">
        <v>143520</v>
      </c>
      <c r="BP15" s="66">
        <v>0.75</v>
      </c>
      <c r="BQ15" s="47">
        <f>BO15*(1-BP15)</f>
        <v>35880</v>
      </c>
      <c r="BR15" s="48">
        <f>BQ15*BN15</f>
        <v>35880</v>
      </c>
      <c r="BS15" s="48">
        <f>BR15*0.8</f>
        <v>28704</v>
      </c>
      <c r="BU15" s="50">
        <f>SUM(G15:AH15)</f>
        <v>1</v>
      </c>
      <c r="BV15" s="49">
        <f t="shared" ref="BV15:BV17" si="23">BU15*$BQ15*0.8</f>
        <v>28704</v>
      </c>
      <c r="BW15" s="50">
        <f>SUM(AI15:BM15)</f>
        <v>0</v>
      </c>
      <c r="BX15" s="49">
        <f t="shared" ref="BX15" si="24">BW15*$BQ15*0.8</f>
        <v>0</v>
      </c>
      <c r="BY15" s="3"/>
      <c r="BZ15" s="3"/>
      <c r="CA15" s="3"/>
      <c r="CB15" s="3"/>
      <c r="CC15" s="3"/>
      <c r="CD15" s="3"/>
    </row>
    <row r="16" spans="1:82" ht="15.5" customHeight="1" x14ac:dyDescent="0.25">
      <c r="A16" s="23"/>
      <c r="B16" s="42"/>
      <c r="C16" s="139"/>
      <c r="D16" s="65" t="s">
        <v>96</v>
      </c>
      <c r="E16" s="44" t="s">
        <v>94</v>
      </c>
      <c r="F16" s="45" t="s">
        <v>97</v>
      </c>
      <c r="G16" s="37"/>
      <c r="H16" s="35"/>
      <c r="I16" s="36"/>
      <c r="J16" s="36"/>
      <c r="K16" s="36"/>
      <c r="L16" s="35"/>
      <c r="M16" s="37"/>
      <c r="N16" s="37"/>
      <c r="O16" s="35"/>
      <c r="P16" s="36"/>
      <c r="Q16" s="36"/>
      <c r="R16" s="36"/>
      <c r="S16" s="35"/>
      <c r="T16" s="37"/>
      <c r="U16" s="37"/>
      <c r="V16" s="35"/>
      <c r="W16" s="36"/>
      <c r="X16" s="36"/>
      <c r="Y16" s="36"/>
      <c r="Z16" s="35"/>
      <c r="AA16" s="37"/>
      <c r="AB16" s="140">
        <v>1</v>
      </c>
      <c r="AC16" s="35"/>
      <c r="AD16" s="36"/>
      <c r="AE16" s="36"/>
      <c r="AF16" s="36"/>
      <c r="AG16" s="35"/>
      <c r="AH16" s="37"/>
      <c r="AI16" s="37"/>
      <c r="AJ16" s="35"/>
      <c r="AK16" s="35"/>
      <c r="AL16" s="35"/>
      <c r="AM16" s="35"/>
      <c r="AN16" s="115"/>
      <c r="AO16" s="37"/>
      <c r="AP16" s="37"/>
      <c r="AQ16" s="35"/>
      <c r="AR16" s="35"/>
      <c r="AS16" s="35"/>
      <c r="AT16" s="35"/>
      <c r="AU16" s="36"/>
      <c r="AV16" s="37"/>
      <c r="AW16" s="37"/>
      <c r="AX16" s="35"/>
      <c r="AY16" s="35"/>
      <c r="AZ16" s="35"/>
      <c r="BA16" s="35"/>
      <c r="BB16" s="36"/>
      <c r="BC16" s="37"/>
      <c r="BD16" s="37"/>
      <c r="BE16" s="35"/>
      <c r="BF16" s="35"/>
      <c r="BG16" s="35"/>
      <c r="BH16" s="35"/>
      <c r="BI16" s="36"/>
      <c r="BJ16" s="37"/>
      <c r="BK16" s="37"/>
      <c r="BL16" s="35"/>
      <c r="BM16" s="35"/>
      <c r="BN16" s="50">
        <f t="shared" si="22"/>
        <v>1</v>
      </c>
      <c r="BO16" s="51">
        <v>143520</v>
      </c>
      <c r="BP16" s="66">
        <v>1</v>
      </c>
      <c r="BQ16" s="47">
        <f>BO16*(1-BP16)</f>
        <v>0</v>
      </c>
      <c r="BR16" s="48">
        <f>BQ16*BN16</f>
        <v>0</v>
      </c>
      <c r="BS16" s="48">
        <f>BR16*0.8</f>
        <v>0</v>
      </c>
      <c r="BU16" s="50"/>
      <c r="BV16" s="49"/>
      <c r="BW16" s="50"/>
      <c r="BX16" s="49"/>
      <c r="BY16" s="3"/>
      <c r="BZ16" s="3"/>
      <c r="CA16" s="3"/>
      <c r="CB16" s="3"/>
      <c r="CC16" s="3"/>
      <c r="CD16" s="3"/>
    </row>
    <row r="17" spans="1:82" ht="15.5" customHeight="1" x14ac:dyDescent="0.25">
      <c r="A17" s="23"/>
      <c r="B17" s="42"/>
      <c r="C17" s="54"/>
      <c r="D17" s="65" t="s">
        <v>27</v>
      </c>
      <c r="E17" s="65"/>
      <c r="F17" s="45">
        <v>80000</v>
      </c>
      <c r="G17" s="37"/>
      <c r="H17" s="35"/>
      <c r="I17" s="36"/>
      <c r="J17" s="36"/>
      <c r="K17" s="36"/>
      <c r="L17" s="35"/>
      <c r="M17" s="37"/>
      <c r="N17" s="37"/>
      <c r="O17" s="35"/>
      <c r="P17" s="36"/>
      <c r="Q17" s="36"/>
      <c r="R17" s="36"/>
      <c r="S17" s="35"/>
      <c r="T17" s="37"/>
      <c r="U17" s="37"/>
      <c r="V17" s="35"/>
      <c r="W17" s="36"/>
      <c r="X17" s="36"/>
      <c r="Y17" s="36"/>
      <c r="Z17" s="35"/>
      <c r="AA17" s="37"/>
      <c r="AB17" s="136"/>
      <c r="AC17" s="35"/>
      <c r="AD17" s="36"/>
      <c r="AE17" s="249">
        <v>80000</v>
      </c>
      <c r="AF17" s="250"/>
      <c r="AG17" s="250"/>
      <c r="AH17" s="250"/>
      <c r="AI17" s="250"/>
      <c r="AJ17" s="250"/>
      <c r="AK17" s="251"/>
      <c r="AL17" s="35"/>
      <c r="AM17" s="35"/>
      <c r="AN17" s="138"/>
      <c r="AO17" s="37"/>
      <c r="AP17" s="37"/>
      <c r="AQ17" s="35"/>
      <c r="AR17" s="35"/>
      <c r="AS17" s="35"/>
      <c r="AT17" s="35"/>
      <c r="AU17" s="36"/>
      <c r="AV17" s="37"/>
      <c r="AW17" s="37"/>
      <c r="AX17" s="35"/>
      <c r="AY17" s="35"/>
      <c r="AZ17" s="35"/>
      <c r="BA17" s="35"/>
      <c r="BB17" s="36"/>
      <c r="BC17" s="37"/>
      <c r="BD17" s="37"/>
      <c r="BE17" s="35"/>
      <c r="BF17" s="35"/>
      <c r="BG17" s="35"/>
      <c r="BH17" s="35"/>
      <c r="BI17" s="36"/>
      <c r="BJ17" s="37"/>
      <c r="BK17" s="37"/>
      <c r="BL17" s="35"/>
      <c r="BM17" s="35"/>
      <c r="BN17" s="50">
        <f t="shared" si="22"/>
        <v>80000</v>
      </c>
      <c r="BO17" s="51">
        <f>(87*BN17/1000)+(105*BN17/1000)</f>
        <v>15360</v>
      </c>
      <c r="BP17" s="66">
        <v>1</v>
      </c>
      <c r="BQ17" s="47">
        <v>0</v>
      </c>
      <c r="BR17" s="48">
        <f t="shared" ref="BR17" si="25">BQ17*BN17</f>
        <v>0</v>
      </c>
      <c r="BS17" s="48">
        <f t="shared" si="21"/>
        <v>0</v>
      </c>
      <c r="BU17" s="50">
        <f>SUM(G17:AH17)</f>
        <v>80000</v>
      </c>
      <c r="BV17" s="49">
        <f t="shared" si="23"/>
        <v>0</v>
      </c>
      <c r="BW17" s="50">
        <f>SUM(AI17:BM17)</f>
        <v>0</v>
      </c>
      <c r="BX17" s="49">
        <f t="shared" ref="BX17" si="26">BW17*$BQ17*0.8</f>
        <v>0</v>
      </c>
      <c r="BY17" s="3"/>
      <c r="BZ17" s="3"/>
      <c r="CA17" s="3"/>
      <c r="CB17" s="3"/>
      <c r="CC17" s="3"/>
      <c r="CD17" s="3"/>
    </row>
    <row r="18" spans="1:82" ht="15.5" customHeight="1" x14ac:dyDescent="0.25">
      <c r="A18" s="23"/>
      <c r="B18" s="42"/>
      <c r="C18" s="43"/>
      <c r="D18" s="44"/>
      <c r="F18" s="45"/>
      <c r="G18" s="37"/>
      <c r="H18" s="35"/>
      <c r="I18" s="36"/>
      <c r="J18" s="36"/>
      <c r="K18" s="36"/>
      <c r="L18" s="35"/>
      <c r="M18" s="37"/>
      <c r="N18" s="37"/>
      <c r="O18" s="35"/>
      <c r="P18" s="36"/>
      <c r="Q18" s="36"/>
      <c r="R18" s="36"/>
      <c r="S18" s="35"/>
      <c r="T18" s="37"/>
      <c r="U18" s="37"/>
      <c r="V18" s="35"/>
      <c r="W18" s="36"/>
      <c r="X18" s="36"/>
      <c r="Y18" s="36"/>
      <c r="Z18" s="35"/>
      <c r="AA18" s="37"/>
      <c r="AB18" s="37"/>
      <c r="AC18" s="35"/>
      <c r="AD18" s="36"/>
      <c r="AE18" s="36"/>
      <c r="AF18" s="36"/>
      <c r="AG18" s="35"/>
      <c r="AH18" s="37"/>
      <c r="AI18" s="37"/>
      <c r="AJ18" s="35"/>
      <c r="AK18" s="35"/>
      <c r="AL18" s="35"/>
      <c r="AM18" s="35"/>
      <c r="AN18" s="36"/>
      <c r="AO18" s="37"/>
      <c r="AP18" s="37"/>
      <c r="AQ18" s="35"/>
      <c r="AR18" s="35"/>
      <c r="AS18" s="35"/>
      <c r="AT18" s="35"/>
      <c r="AU18" s="36"/>
      <c r="AV18" s="37"/>
      <c r="AW18" s="37"/>
      <c r="AX18" s="35"/>
      <c r="AY18" s="35"/>
      <c r="AZ18" s="35"/>
      <c r="BA18" s="35"/>
      <c r="BB18" s="36"/>
      <c r="BC18" s="37"/>
      <c r="BD18" s="37"/>
      <c r="BE18" s="35"/>
      <c r="BF18" s="35"/>
      <c r="BG18" s="35"/>
      <c r="BH18" s="35"/>
      <c r="BI18" s="36"/>
      <c r="BJ18" s="37"/>
      <c r="BK18" s="37"/>
      <c r="BL18" s="35"/>
      <c r="BM18" s="35"/>
      <c r="BN18" s="50"/>
      <c r="BO18" s="46"/>
      <c r="BP18" s="66"/>
      <c r="BQ18" s="47"/>
      <c r="BR18" s="48"/>
      <c r="BS18" s="48"/>
      <c r="BU18" s="50"/>
      <c r="BV18" s="49"/>
      <c r="BW18" s="50"/>
      <c r="BX18" s="49"/>
      <c r="BY18" s="3"/>
      <c r="BZ18" s="3"/>
      <c r="CA18" s="3"/>
      <c r="CB18" s="3"/>
      <c r="CC18" s="3"/>
      <c r="CD18" s="3"/>
    </row>
    <row r="19" spans="1:82" ht="15.5" customHeight="1" x14ac:dyDescent="0.25">
      <c r="A19" s="23"/>
      <c r="B19" s="42"/>
      <c r="C19" s="141" t="s">
        <v>42</v>
      </c>
      <c r="D19" s="44" t="s">
        <v>71</v>
      </c>
      <c r="E19" s="44" t="s">
        <v>60</v>
      </c>
      <c r="F19" s="45">
        <v>5000</v>
      </c>
      <c r="G19" s="37"/>
      <c r="H19" s="35"/>
      <c r="I19" s="36"/>
      <c r="J19" s="36"/>
      <c r="K19" s="36"/>
      <c r="L19" s="35"/>
      <c r="M19" s="37"/>
      <c r="N19" s="37"/>
      <c r="O19" s="35"/>
      <c r="P19" s="36"/>
      <c r="Q19" s="36"/>
      <c r="R19" s="36"/>
      <c r="S19" s="35"/>
      <c r="T19" s="37"/>
      <c r="U19" s="37"/>
      <c r="V19" s="35"/>
      <c r="W19" s="36"/>
      <c r="X19" s="36"/>
      <c r="Y19" s="36"/>
      <c r="Z19" s="35"/>
      <c r="AA19" s="37"/>
      <c r="AB19" s="37"/>
      <c r="AC19" s="35"/>
      <c r="AD19" s="36"/>
      <c r="AE19" s="36"/>
      <c r="AG19" s="36">
        <v>1</v>
      </c>
      <c r="AH19" s="37"/>
      <c r="AI19" s="37"/>
      <c r="AJ19" s="35"/>
      <c r="AK19" s="35"/>
      <c r="AL19" s="35"/>
      <c r="AM19" s="35"/>
      <c r="AN19" s="36"/>
      <c r="AO19" s="37"/>
      <c r="AP19" s="37"/>
      <c r="AQ19" s="35"/>
      <c r="AR19" s="35"/>
      <c r="AS19" s="35"/>
      <c r="AT19" s="35"/>
      <c r="AU19" s="36"/>
      <c r="AV19" s="37"/>
      <c r="AW19" s="37"/>
      <c r="AX19" s="35"/>
      <c r="AY19" s="35"/>
      <c r="AZ19" s="35"/>
      <c r="BA19" s="35"/>
      <c r="BB19" s="36"/>
      <c r="BC19" s="37"/>
      <c r="BD19" s="37"/>
      <c r="BE19" s="35"/>
      <c r="BF19" s="35"/>
      <c r="BG19" s="35"/>
      <c r="BH19" s="35"/>
      <c r="BI19" s="36"/>
      <c r="BJ19" s="37"/>
      <c r="BK19" s="37"/>
      <c r="BL19" s="35"/>
      <c r="BM19" s="35"/>
      <c r="BN19" s="50">
        <f t="shared" ref="BN19:BN21" si="27">SUM(G19:BM19)</f>
        <v>1</v>
      </c>
      <c r="BO19" s="46">
        <v>188200</v>
      </c>
      <c r="BP19" s="66">
        <v>0.91388395300000003</v>
      </c>
      <c r="BQ19" s="47">
        <f>BO19*(1-BP19)</f>
        <v>16207.040045399996</v>
      </c>
      <c r="BR19" s="48">
        <f>BQ19*BN19</f>
        <v>16207.040045399996</v>
      </c>
      <c r="BS19" s="48">
        <f t="shared" ref="BS19" si="28">BR19*0.8</f>
        <v>12965.632036319997</v>
      </c>
      <c r="BU19" s="50">
        <f>SUM(G19:AH19)</f>
        <v>1</v>
      </c>
      <c r="BV19" s="49">
        <f>BU19*$BQ19*0.8</f>
        <v>12965.632036319997</v>
      </c>
      <c r="BW19" s="50">
        <f>SUM(AI19:BM19)</f>
        <v>0</v>
      </c>
      <c r="BX19" s="49">
        <f>BW19*$BQ19*0.8</f>
        <v>0</v>
      </c>
      <c r="BY19" s="3"/>
      <c r="BZ19" s="3"/>
      <c r="CA19" s="3"/>
      <c r="CB19" s="3"/>
      <c r="CC19" s="3"/>
      <c r="CD19" s="3"/>
    </row>
    <row r="20" spans="1:82" ht="15.5" customHeight="1" x14ac:dyDescent="0.25">
      <c r="A20" s="23"/>
      <c r="B20" s="42"/>
      <c r="C20" s="43"/>
      <c r="D20" s="44" t="s">
        <v>72</v>
      </c>
      <c r="E20" s="44"/>
      <c r="F20" s="45">
        <v>5000</v>
      </c>
      <c r="G20" s="37"/>
      <c r="H20" s="35"/>
      <c r="I20" s="36"/>
      <c r="J20" s="36"/>
      <c r="K20" s="36"/>
      <c r="L20" s="35"/>
      <c r="M20" s="37"/>
      <c r="N20" s="37"/>
      <c r="O20" s="35"/>
      <c r="P20" s="36"/>
      <c r="Q20" s="36"/>
      <c r="R20" s="36"/>
      <c r="S20" s="35"/>
      <c r="T20" s="37"/>
      <c r="U20" s="37"/>
      <c r="V20" s="35"/>
      <c r="W20" s="36"/>
      <c r="X20" s="36"/>
      <c r="Y20" s="116"/>
      <c r="Z20" s="115"/>
      <c r="AA20" s="37"/>
      <c r="AB20" s="37"/>
      <c r="AC20" s="35"/>
      <c r="AD20" s="36"/>
      <c r="AE20" s="36">
        <v>1</v>
      </c>
      <c r="AF20" s="36"/>
      <c r="AG20" s="35"/>
      <c r="AH20" s="37"/>
      <c r="AI20" s="37"/>
      <c r="AJ20" s="35"/>
      <c r="AK20" s="35"/>
      <c r="AL20" s="35"/>
      <c r="AM20" s="35"/>
      <c r="AN20" s="36"/>
      <c r="AO20" s="37"/>
      <c r="AP20" s="37"/>
      <c r="AQ20" s="35"/>
      <c r="AR20" s="35"/>
      <c r="AS20" s="35"/>
      <c r="AT20" s="35"/>
      <c r="AU20" s="36"/>
      <c r="AV20" s="37"/>
      <c r="AW20" s="37"/>
      <c r="AX20" s="35"/>
      <c r="AY20" s="35"/>
      <c r="AZ20" s="35"/>
      <c r="BA20" s="35"/>
      <c r="BB20" s="36"/>
      <c r="BC20" s="37"/>
      <c r="BD20" s="37"/>
      <c r="BE20" s="35"/>
      <c r="BF20" s="35"/>
      <c r="BG20" s="35"/>
      <c r="BH20" s="35"/>
      <c r="BI20" s="36"/>
      <c r="BJ20" s="37"/>
      <c r="BK20" s="37"/>
      <c r="BL20" s="35"/>
      <c r="BM20" s="35"/>
      <c r="BN20" s="50">
        <f t="shared" si="27"/>
        <v>1</v>
      </c>
      <c r="BO20" s="46">
        <v>188200</v>
      </c>
      <c r="BP20" s="66">
        <v>0.91388395300000003</v>
      </c>
      <c r="BQ20" s="47">
        <f>BO20*(1-BP20)</f>
        <v>16207.040045399996</v>
      </c>
      <c r="BR20" s="48">
        <f>BQ20*BN20</f>
        <v>16207.040045399996</v>
      </c>
      <c r="BS20" s="48">
        <f t="shared" ref="BS20:BS21" si="29">BR20*0.8</f>
        <v>12965.632036319997</v>
      </c>
      <c r="BU20" s="50">
        <f>SUM(G20:AH20)</f>
        <v>1</v>
      </c>
      <c r="BV20" s="49">
        <f t="shared" ref="BV20" si="30">BU20*$BQ20*0.8</f>
        <v>12965.632036319997</v>
      </c>
      <c r="BW20" s="50">
        <f>SUM(AI20:BM20)</f>
        <v>0</v>
      </c>
      <c r="BX20" s="49">
        <f t="shared" ref="BX20:BX21" si="31">BW20*$BQ20*0.8</f>
        <v>0</v>
      </c>
      <c r="BY20" s="3"/>
      <c r="BZ20" s="3"/>
      <c r="CA20" s="3"/>
      <c r="CB20" s="3"/>
      <c r="CC20" s="3"/>
      <c r="CD20" s="3"/>
    </row>
    <row r="21" spans="1:82" ht="15.5" customHeight="1" x14ac:dyDescent="0.25">
      <c r="A21" s="23"/>
      <c r="B21" s="42"/>
      <c r="C21" s="141"/>
      <c r="D21" s="44" t="s">
        <v>43</v>
      </c>
      <c r="E21" s="44"/>
      <c r="F21" s="45"/>
      <c r="G21" s="37"/>
      <c r="H21" s="35"/>
      <c r="I21" s="36"/>
      <c r="J21" s="36"/>
      <c r="K21" s="36"/>
      <c r="L21" s="35"/>
      <c r="M21" s="37"/>
      <c r="N21" s="37"/>
      <c r="O21" s="35"/>
      <c r="P21" s="36"/>
      <c r="Q21" s="36"/>
      <c r="R21" s="36"/>
      <c r="S21" s="35"/>
      <c r="T21" s="37"/>
      <c r="U21" s="37"/>
      <c r="V21" s="35"/>
      <c r="W21" s="36"/>
      <c r="X21" s="36"/>
      <c r="Y21" s="116"/>
      <c r="Z21" s="115"/>
      <c r="AA21" s="37"/>
      <c r="AB21" s="37"/>
      <c r="AC21" s="35"/>
      <c r="AD21" s="36"/>
      <c r="AE21" s="258">
        <v>1</v>
      </c>
      <c r="AF21" s="259"/>
      <c r="AG21" s="259"/>
      <c r="AH21" s="259"/>
      <c r="AI21" s="259"/>
      <c r="AJ21" s="259"/>
      <c r="AK21" s="260"/>
      <c r="AL21" s="35"/>
      <c r="AM21" s="35"/>
      <c r="AN21" s="36"/>
      <c r="AO21" s="37"/>
      <c r="AP21" s="37"/>
      <c r="AQ21" s="35"/>
      <c r="AR21" s="35"/>
      <c r="AS21" s="35"/>
      <c r="AT21" s="35"/>
      <c r="AU21" s="36"/>
      <c r="AV21" s="37"/>
      <c r="AW21" s="37"/>
      <c r="AX21" s="35"/>
      <c r="AY21" s="35"/>
      <c r="AZ21" s="35"/>
      <c r="BA21" s="35"/>
      <c r="BB21" s="36"/>
      <c r="BC21" s="37"/>
      <c r="BD21" s="37"/>
      <c r="BE21" s="35"/>
      <c r="BF21" s="35"/>
      <c r="BG21" s="35"/>
      <c r="BH21" s="35"/>
      <c r="BI21" s="36"/>
      <c r="BJ21" s="37"/>
      <c r="BK21" s="37"/>
      <c r="BL21" s="35"/>
      <c r="BM21" s="35"/>
      <c r="BN21" s="50">
        <f t="shared" si="27"/>
        <v>1</v>
      </c>
      <c r="BO21" s="46">
        <v>0</v>
      </c>
      <c r="BP21" s="66">
        <v>1</v>
      </c>
      <c r="BQ21" s="47">
        <f t="shared" ref="BQ21" si="32">BO21*(1-BP21)</f>
        <v>0</v>
      </c>
      <c r="BR21" s="48">
        <f>BQ21*BN21</f>
        <v>0</v>
      </c>
      <c r="BS21" s="48">
        <f t="shared" si="29"/>
        <v>0</v>
      </c>
      <c r="BU21" s="50">
        <f>SUM(G21:AH21)</f>
        <v>1</v>
      </c>
      <c r="BV21" s="49">
        <f t="shared" ref="BV21" si="33">BU21*$BQ21*0.8</f>
        <v>0</v>
      </c>
      <c r="BW21" s="50">
        <f>SUM(AI21:BM21)</f>
        <v>0</v>
      </c>
      <c r="BX21" s="49">
        <f t="shared" si="31"/>
        <v>0</v>
      </c>
      <c r="BY21" s="3"/>
      <c r="BZ21" s="3"/>
      <c r="CA21" s="3"/>
      <c r="CB21" s="3"/>
      <c r="CC21" s="3"/>
      <c r="CD21" s="3"/>
    </row>
    <row r="22" spans="1:82" ht="15.5" customHeight="1" x14ac:dyDescent="0.25">
      <c r="A22" s="23"/>
      <c r="B22" s="42"/>
      <c r="C22" s="141"/>
      <c r="D22" s="44"/>
      <c r="E22" s="44"/>
      <c r="F22" s="45"/>
      <c r="G22" s="37"/>
      <c r="H22" s="35"/>
      <c r="I22" s="36"/>
      <c r="J22" s="36"/>
      <c r="K22" s="36"/>
      <c r="L22" s="35"/>
      <c r="M22" s="37"/>
      <c r="N22" s="37"/>
      <c r="O22" s="35"/>
      <c r="P22" s="36"/>
      <c r="Q22" s="36"/>
      <c r="R22" s="36"/>
      <c r="S22" s="35"/>
      <c r="T22" s="37"/>
      <c r="U22" s="37"/>
      <c r="V22" s="35"/>
      <c r="W22" s="36"/>
      <c r="X22" s="36"/>
      <c r="Y22" s="36"/>
      <c r="Z22" s="35"/>
      <c r="AA22" s="37"/>
      <c r="AB22" s="37"/>
      <c r="AC22" s="35"/>
      <c r="AD22" s="36"/>
      <c r="AE22" s="36"/>
      <c r="AF22" s="36"/>
      <c r="AG22" s="35"/>
      <c r="AH22" s="37"/>
      <c r="AI22" s="37"/>
      <c r="AJ22" s="35"/>
      <c r="AK22" s="35"/>
      <c r="AL22" s="35"/>
      <c r="AM22" s="35"/>
      <c r="AN22" s="36"/>
      <c r="AO22" s="37"/>
      <c r="AP22" s="37"/>
      <c r="AQ22" s="35"/>
      <c r="AR22" s="35"/>
      <c r="AS22" s="35"/>
      <c r="AT22" s="35"/>
      <c r="AU22" s="36"/>
      <c r="AV22" s="37"/>
      <c r="AW22" s="37"/>
      <c r="AX22" s="35"/>
      <c r="AY22" s="35"/>
      <c r="AZ22" s="35"/>
      <c r="BA22" s="35"/>
      <c r="BB22" s="36"/>
      <c r="BC22" s="37"/>
      <c r="BD22" s="37"/>
      <c r="BE22" s="35"/>
      <c r="BF22" s="35"/>
      <c r="BG22" s="35"/>
      <c r="BH22" s="35"/>
      <c r="BI22" s="36"/>
      <c r="BJ22" s="37"/>
      <c r="BK22" s="37"/>
      <c r="BL22" s="35"/>
      <c r="BM22" s="35"/>
      <c r="BN22" s="50"/>
      <c r="BO22" s="46"/>
      <c r="BP22" s="66"/>
      <c r="BQ22" s="47"/>
      <c r="BR22" s="48"/>
      <c r="BS22" s="48"/>
      <c r="BU22" s="50"/>
      <c r="BV22" s="49"/>
      <c r="BW22" s="50"/>
      <c r="BX22" s="49"/>
      <c r="BY22" s="3"/>
      <c r="BZ22" s="3"/>
      <c r="CA22" s="3"/>
      <c r="CB22" s="3"/>
      <c r="CC22" s="3"/>
      <c r="CD22" s="3"/>
    </row>
    <row r="23" spans="1:82" ht="15.5" customHeight="1" x14ac:dyDescent="0.25">
      <c r="A23" s="23"/>
      <c r="B23" s="42"/>
      <c r="C23" s="141" t="s">
        <v>22</v>
      </c>
      <c r="D23" s="44" t="s">
        <v>63</v>
      </c>
      <c r="E23" s="44" t="s">
        <v>61</v>
      </c>
      <c r="F23" s="45"/>
      <c r="G23" s="37"/>
      <c r="H23" s="35"/>
      <c r="I23" s="36"/>
      <c r="J23" s="36"/>
      <c r="K23" s="36"/>
      <c r="L23" s="35"/>
      <c r="M23" s="37"/>
      <c r="N23" s="37"/>
      <c r="O23" s="35"/>
      <c r="P23" s="36"/>
      <c r="Q23" s="36"/>
      <c r="R23" s="36"/>
      <c r="S23" s="35"/>
      <c r="T23" s="37"/>
      <c r="U23" s="37"/>
      <c r="V23" s="35"/>
      <c r="W23" s="36"/>
      <c r="X23" s="36"/>
      <c r="Y23" s="36"/>
      <c r="Z23" s="134"/>
      <c r="AA23" s="37"/>
      <c r="AB23" s="37"/>
      <c r="AD23" s="35"/>
      <c r="AE23" s="258">
        <v>1</v>
      </c>
      <c r="AF23" s="259"/>
      <c r="AG23" s="259"/>
      <c r="AH23" s="259"/>
      <c r="AI23" s="259"/>
      <c r="AJ23" s="259"/>
      <c r="AK23" s="260"/>
      <c r="AL23" s="35"/>
      <c r="AM23" s="35"/>
      <c r="AN23" s="36"/>
      <c r="AO23" s="37"/>
      <c r="AP23" s="37"/>
      <c r="AQ23" s="35"/>
      <c r="AR23" s="35"/>
      <c r="AS23" s="35"/>
      <c r="AT23" s="35"/>
      <c r="AU23" s="36"/>
      <c r="AV23" s="37"/>
      <c r="AW23" s="37"/>
      <c r="AX23" s="35"/>
      <c r="AY23" s="35"/>
      <c r="AZ23" s="35"/>
      <c r="BA23" s="35"/>
      <c r="BB23" s="36"/>
      <c r="BC23" s="37"/>
      <c r="BD23" s="37"/>
      <c r="BE23" s="35"/>
      <c r="BF23" s="35"/>
      <c r="BG23" s="35"/>
      <c r="BH23" s="35"/>
      <c r="BI23" s="36"/>
      <c r="BJ23" s="37"/>
      <c r="BK23" s="37"/>
      <c r="BL23" s="35"/>
      <c r="BM23" s="35"/>
      <c r="BN23" s="50">
        <f t="shared" ref="BN23:BN25" si="34">SUM(G23:BM23)</f>
        <v>1</v>
      </c>
      <c r="BO23" s="51">
        <v>2333.33</v>
      </c>
      <c r="BP23" s="66">
        <v>0.4</v>
      </c>
      <c r="BQ23" s="47">
        <f t="shared" ref="BQ23:BQ25" si="35">BO23*(1-BP23)</f>
        <v>1399.9979999999998</v>
      </c>
      <c r="BR23" s="48">
        <f t="shared" ref="BR23:BR25" si="36">BQ23*BN23</f>
        <v>1399.9979999999998</v>
      </c>
      <c r="BS23" s="48">
        <f t="shared" ref="BS23:BS25" si="37">BR23*0.8</f>
        <v>1119.9983999999999</v>
      </c>
      <c r="BU23" s="50">
        <f>SUM(G23:AH23)</f>
        <v>1</v>
      </c>
      <c r="BV23" s="49">
        <f>BU23*$BQ23*0.8</f>
        <v>1119.9983999999999</v>
      </c>
      <c r="BW23" s="50">
        <f>SUM(AI23:BM23)</f>
        <v>0</v>
      </c>
      <c r="BX23" s="49">
        <f>BW23*$BQ23*0.8</f>
        <v>0</v>
      </c>
      <c r="BY23" s="3"/>
      <c r="BZ23" s="3"/>
      <c r="CA23" s="3"/>
      <c r="CB23" s="3"/>
      <c r="CC23" s="3"/>
      <c r="CD23" s="3"/>
    </row>
    <row r="24" spans="1:82" ht="15.5" customHeight="1" x14ac:dyDescent="0.25">
      <c r="A24" s="23"/>
      <c r="B24" s="42"/>
      <c r="C24" s="141"/>
      <c r="D24" s="44" t="s">
        <v>64</v>
      </c>
      <c r="F24" s="45"/>
      <c r="G24" s="37"/>
      <c r="H24" s="35"/>
      <c r="I24" s="36"/>
      <c r="J24" s="36"/>
      <c r="K24" s="36"/>
      <c r="L24" s="35"/>
      <c r="M24" s="37"/>
      <c r="N24" s="37"/>
      <c r="O24" s="35"/>
      <c r="P24" s="36"/>
      <c r="Q24" s="36"/>
      <c r="R24" s="36"/>
      <c r="S24" s="35"/>
      <c r="T24" s="37"/>
      <c r="U24" s="37"/>
      <c r="V24" s="35"/>
      <c r="W24" s="36"/>
      <c r="X24" s="36"/>
      <c r="Y24" s="36"/>
      <c r="Z24" s="35"/>
      <c r="AA24" s="37"/>
      <c r="AB24" s="37"/>
      <c r="AC24" s="35"/>
      <c r="AD24" s="35"/>
      <c r="AE24" s="36">
        <v>1</v>
      </c>
      <c r="AF24" s="36"/>
      <c r="AG24" s="35"/>
      <c r="AH24" s="37"/>
      <c r="AI24" s="37"/>
      <c r="AJ24" s="35"/>
      <c r="AK24" s="35"/>
      <c r="AL24" s="35"/>
      <c r="AM24" s="35"/>
      <c r="AN24" s="36"/>
      <c r="AO24" s="37"/>
      <c r="AP24" s="37"/>
      <c r="AQ24" s="35"/>
      <c r="AR24" s="35"/>
      <c r="AS24" s="35"/>
      <c r="AT24" s="35"/>
      <c r="AU24" s="36"/>
      <c r="AV24" s="37"/>
      <c r="AW24" s="37"/>
      <c r="AX24" s="35"/>
      <c r="AY24" s="35"/>
      <c r="AZ24" s="35"/>
      <c r="BA24" s="35"/>
      <c r="BB24" s="36"/>
      <c r="BC24" s="37"/>
      <c r="BD24" s="37"/>
      <c r="BE24" s="35"/>
      <c r="BF24" s="35"/>
      <c r="BG24" s="35"/>
      <c r="BH24" s="35"/>
      <c r="BI24" s="36"/>
      <c r="BJ24" s="37"/>
      <c r="BK24" s="37"/>
      <c r="BL24" s="35"/>
      <c r="BM24" s="35"/>
      <c r="BN24" s="50">
        <f t="shared" si="34"/>
        <v>1</v>
      </c>
      <c r="BO24" s="46">
        <v>2000</v>
      </c>
      <c r="BP24" s="66">
        <v>0.4</v>
      </c>
      <c r="BQ24" s="47">
        <f t="shared" si="35"/>
        <v>1200</v>
      </c>
      <c r="BR24" s="48">
        <f t="shared" si="36"/>
        <v>1200</v>
      </c>
      <c r="BS24" s="48">
        <f t="shared" si="37"/>
        <v>960</v>
      </c>
      <c r="BU24" s="50">
        <f>SUM(G24:AH24)</f>
        <v>1</v>
      </c>
      <c r="BV24" s="49">
        <f t="shared" ref="BV24:BV25" si="38">BU24*$BQ24*0.8</f>
        <v>960</v>
      </c>
      <c r="BW24" s="50">
        <f>SUM(AI24:BM24)</f>
        <v>0</v>
      </c>
      <c r="BX24" s="49">
        <f t="shared" ref="BX24:BX25" si="39">BW24*$BQ24*0.8</f>
        <v>0</v>
      </c>
      <c r="BY24" s="3"/>
      <c r="BZ24" s="3"/>
      <c r="CA24" s="3"/>
      <c r="CB24" s="3"/>
      <c r="CC24" s="3"/>
      <c r="CD24" s="3"/>
    </row>
    <row r="25" spans="1:82" ht="15.5" customHeight="1" x14ac:dyDescent="0.25">
      <c r="A25" s="23"/>
      <c r="B25" s="42"/>
      <c r="C25" s="141"/>
      <c r="D25" s="44" t="s">
        <v>73</v>
      </c>
      <c r="E25" s="44" t="s">
        <v>94</v>
      </c>
      <c r="F25" s="45"/>
      <c r="G25" s="37"/>
      <c r="H25" s="35"/>
      <c r="I25" s="36"/>
      <c r="J25" s="36"/>
      <c r="K25" s="36"/>
      <c r="L25" s="35"/>
      <c r="M25" s="37"/>
      <c r="N25" s="37"/>
      <c r="O25" s="35"/>
      <c r="P25" s="36"/>
      <c r="Q25" s="36"/>
      <c r="R25" s="36"/>
      <c r="S25" s="35"/>
      <c r="T25" s="37"/>
      <c r="U25" s="37"/>
      <c r="V25" s="35"/>
      <c r="W25" s="36"/>
      <c r="X25" s="36"/>
      <c r="Y25" s="36"/>
      <c r="Z25" s="35"/>
      <c r="AA25" s="37"/>
      <c r="AB25" s="37"/>
      <c r="AC25" s="35"/>
      <c r="AD25" s="35"/>
      <c r="AE25" s="36">
        <v>1</v>
      </c>
      <c r="AF25" s="36"/>
      <c r="AG25" s="35"/>
      <c r="AH25" s="37"/>
      <c r="AI25" s="37"/>
      <c r="AJ25" s="35"/>
      <c r="AK25" s="35"/>
      <c r="AL25" s="35"/>
      <c r="AM25" s="35"/>
      <c r="AN25" s="36"/>
      <c r="AO25" s="37"/>
      <c r="AP25" s="37"/>
      <c r="AQ25" s="35"/>
      <c r="AR25" s="35"/>
      <c r="AS25" s="35"/>
      <c r="AT25" s="35"/>
      <c r="AU25" s="36"/>
      <c r="AV25" s="37"/>
      <c r="AW25" s="37"/>
      <c r="AX25" s="35"/>
      <c r="AY25" s="35"/>
      <c r="AZ25" s="35"/>
      <c r="BA25" s="35"/>
      <c r="BB25" s="36"/>
      <c r="BC25" s="37"/>
      <c r="BD25" s="37"/>
      <c r="BE25" s="35"/>
      <c r="BF25" s="35"/>
      <c r="BG25" s="35"/>
      <c r="BH25" s="35"/>
      <c r="BI25" s="36"/>
      <c r="BJ25" s="37"/>
      <c r="BK25" s="37"/>
      <c r="BL25" s="35"/>
      <c r="BM25" s="35"/>
      <c r="BN25" s="50">
        <f t="shared" si="34"/>
        <v>1</v>
      </c>
      <c r="BO25" s="46">
        <v>6000</v>
      </c>
      <c r="BP25" s="66">
        <v>0.4</v>
      </c>
      <c r="BQ25" s="47">
        <f t="shared" si="35"/>
        <v>3600</v>
      </c>
      <c r="BR25" s="48">
        <f t="shared" si="36"/>
        <v>3600</v>
      </c>
      <c r="BS25" s="48">
        <f t="shared" si="37"/>
        <v>2880</v>
      </c>
      <c r="BU25" s="50">
        <f>SUM(G25:AH25)</f>
        <v>1</v>
      </c>
      <c r="BV25" s="49">
        <f t="shared" si="38"/>
        <v>2880</v>
      </c>
      <c r="BW25" s="50">
        <f>SUM(AI25:BM25)</f>
        <v>0</v>
      </c>
      <c r="BX25" s="49">
        <f t="shared" si="39"/>
        <v>0</v>
      </c>
      <c r="BY25" s="3"/>
      <c r="BZ25" s="3"/>
      <c r="CA25" s="3"/>
      <c r="CB25" s="3"/>
      <c r="CC25" s="3"/>
      <c r="CD25" s="3"/>
    </row>
    <row r="26" spans="1:82" ht="15.5" customHeight="1" x14ac:dyDescent="0.25">
      <c r="A26" s="23"/>
      <c r="B26" s="42"/>
      <c r="C26" s="141"/>
      <c r="D26" s="44"/>
      <c r="E26" s="44"/>
      <c r="F26" s="45"/>
      <c r="G26" s="37"/>
      <c r="H26" s="35"/>
      <c r="I26" s="36"/>
      <c r="J26" s="36"/>
      <c r="K26" s="36"/>
      <c r="L26" s="35"/>
      <c r="M26" s="37"/>
      <c r="N26" s="37"/>
      <c r="O26" s="35"/>
      <c r="P26" s="36"/>
      <c r="Q26" s="36"/>
      <c r="R26" s="36"/>
      <c r="S26" s="35"/>
      <c r="T26" s="37"/>
      <c r="U26" s="37"/>
      <c r="V26" s="35"/>
      <c r="W26" s="36"/>
      <c r="X26" s="36"/>
      <c r="Y26" s="36"/>
      <c r="Z26" s="35"/>
      <c r="AA26" s="37"/>
      <c r="AB26" s="37"/>
      <c r="AC26" s="35"/>
      <c r="AD26" s="36"/>
      <c r="AE26" s="36"/>
      <c r="AF26" s="36"/>
      <c r="AG26" s="35"/>
      <c r="AH26" s="37"/>
      <c r="AI26" s="37"/>
      <c r="AJ26" s="35"/>
      <c r="AK26" s="35"/>
      <c r="AL26" s="35"/>
      <c r="AM26" s="35"/>
      <c r="AN26" s="36"/>
      <c r="AO26" s="37"/>
      <c r="AP26" s="37"/>
      <c r="AQ26" s="35"/>
      <c r="AR26" s="35"/>
      <c r="AS26" s="35"/>
      <c r="AT26" s="35"/>
      <c r="AU26" s="36"/>
      <c r="AV26" s="37"/>
      <c r="AW26" s="37"/>
      <c r="AX26" s="35"/>
      <c r="AY26" s="35"/>
      <c r="AZ26" s="35"/>
      <c r="BA26" s="35"/>
      <c r="BB26" s="36"/>
      <c r="BC26" s="37"/>
      <c r="BD26" s="37"/>
      <c r="BE26" s="35"/>
      <c r="BF26" s="35"/>
      <c r="BG26" s="35"/>
      <c r="BH26" s="35"/>
      <c r="BI26" s="36"/>
      <c r="BJ26" s="37"/>
      <c r="BK26" s="37"/>
      <c r="BL26" s="35"/>
      <c r="BM26" s="35"/>
      <c r="BN26" s="50"/>
      <c r="BO26" s="51"/>
      <c r="BP26" s="66"/>
      <c r="BQ26" s="47"/>
      <c r="BR26" s="48"/>
      <c r="BS26" s="48"/>
      <c r="BU26" s="50"/>
      <c r="BV26" s="52"/>
      <c r="BW26" s="50"/>
      <c r="BX26" s="52"/>
      <c r="BY26" s="3"/>
      <c r="BZ26" s="3"/>
      <c r="CA26" s="3"/>
      <c r="CB26" s="3"/>
      <c r="CC26" s="3"/>
      <c r="CD26" s="3"/>
    </row>
    <row r="27" spans="1:82" ht="15.5" customHeight="1" x14ac:dyDescent="0.25">
      <c r="A27" s="23"/>
      <c r="B27" s="42"/>
      <c r="C27" s="141" t="s">
        <v>23</v>
      </c>
      <c r="D27" s="44" t="s">
        <v>28</v>
      </c>
      <c r="E27" s="44" t="s">
        <v>61</v>
      </c>
      <c r="F27" s="45"/>
      <c r="G27" s="37"/>
      <c r="H27" s="35"/>
      <c r="I27" s="36"/>
      <c r="J27" s="36"/>
      <c r="K27" s="36"/>
      <c r="L27" s="35"/>
      <c r="M27" s="37"/>
      <c r="N27" s="37"/>
      <c r="O27" s="35"/>
      <c r="P27" s="36"/>
      <c r="Q27" s="36"/>
      <c r="R27" s="36"/>
      <c r="S27" s="35"/>
      <c r="T27" s="37"/>
      <c r="U27" s="37"/>
      <c r="V27" s="35"/>
      <c r="W27" s="36"/>
      <c r="X27" s="36"/>
      <c r="Z27" s="35"/>
      <c r="AA27" s="37"/>
      <c r="AB27" s="37"/>
      <c r="AD27" s="35"/>
      <c r="AE27" s="261">
        <v>117187</v>
      </c>
      <c r="AF27" s="259"/>
      <c r="AG27" s="259"/>
      <c r="AH27" s="259"/>
      <c r="AI27" s="259"/>
      <c r="AJ27" s="259"/>
      <c r="AK27" s="260"/>
      <c r="AL27" s="35"/>
      <c r="AM27" s="35"/>
      <c r="AN27" s="36"/>
      <c r="AO27" s="37"/>
      <c r="AP27" s="37"/>
      <c r="AQ27" s="35"/>
      <c r="AR27" s="35"/>
      <c r="AS27" s="35"/>
      <c r="AT27" s="35"/>
      <c r="AU27" s="36"/>
      <c r="AV27" s="37"/>
      <c r="AW27" s="37"/>
      <c r="AX27" s="35"/>
      <c r="AY27" s="35"/>
      <c r="AZ27" s="35"/>
      <c r="BA27" s="35"/>
      <c r="BB27" s="36"/>
      <c r="BC27" s="37"/>
      <c r="BD27" s="37"/>
      <c r="BE27" s="35"/>
      <c r="BF27" s="35"/>
      <c r="BG27" s="35"/>
      <c r="BH27" s="35"/>
      <c r="BI27" s="36"/>
      <c r="BJ27" s="37"/>
      <c r="BK27" s="37"/>
      <c r="BL27" s="35"/>
      <c r="BM27" s="35"/>
      <c r="BN27" s="50">
        <f t="shared" ref="BN27:BN29" si="40">SUM(G27:BM27)</f>
        <v>117187</v>
      </c>
      <c r="BO27" s="51">
        <v>64</v>
      </c>
      <c r="BP27" s="66">
        <v>0.3</v>
      </c>
      <c r="BQ27" s="47">
        <f>BO27*(1-BP27)</f>
        <v>44.8</v>
      </c>
      <c r="BR27" s="48">
        <f>BQ27*BN27/1000</f>
        <v>5249.9775999999993</v>
      </c>
      <c r="BS27" s="48">
        <f t="shared" ref="BS27" si="41">BR27*0.8</f>
        <v>4199.9820799999998</v>
      </c>
      <c r="BU27" s="50">
        <f>SUM(G27:AH27)</f>
        <v>117187</v>
      </c>
      <c r="BV27" s="49">
        <f>BU27*$BQ27/1000*0.8</f>
        <v>4199.9820799999998</v>
      </c>
      <c r="BW27" s="50">
        <f>SUM(AI27:BM27)</f>
        <v>0</v>
      </c>
      <c r="BX27" s="49">
        <f>BW27*$BQ27/1000*0.8</f>
        <v>0</v>
      </c>
      <c r="BY27" s="3"/>
      <c r="BZ27" s="3"/>
      <c r="CA27" s="3"/>
      <c r="CB27" s="3"/>
      <c r="CC27" s="3"/>
      <c r="CD27" s="3"/>
    </row>
    <row r="28" spans="1:82" ht="15.5" customHeight="1" x14ac:dyDescent="0.25">
      <c r="A28" s="23"/>
      <c r="B28" s="42"/>
      <c r="C28" s="141"/>
      <c r="D28" s="44" t="s">
        <v>93</v>
      </c>
      <c r="E28" s="44" t="s">
        <v>94</v>
      </c>
      <c r="F28" s="45"/>
      <c r="G28" s="37"/>
      <c r="H28" s="35"/>
      <c r="I28" s="36"/>
      <c r="J28" s="36"/>
      <c r="K28" s="36"/>
      <c r="L28" s="35"/>
      <c r="M28" s="37"/>
      <c r="N28" s="37"/>
      <c r="O28" s="35"/>
      <c r="P28" s="36"/>
      <c r="Q28" s="36"/>
      <c r="R28" s="36"/>
      <c r="S28" s="35"/>
      <c r="T28" s="37"/>
      <c r="U28" s="37"/>
      <c r="V28" s="35"/>
      <c r="W28" s="36"/>
      <c r="X28" s="36"/>
      <c r="Y28" s="36"/>
      <c r="Z28" s="35"/>
      <c r="AA28" s="37"/>
      <c r="AB28" s="37"/>
      <c r="AC28" s="35"/>
      <c r="AD28" s="36"/>
      <c r="AE28" s="36">
        <v>1</v>
      </c>
      <c r="AF28" s="36"/>
      <c r="AG28" s="35"/>
      <c r="AH28" s="37"/>
      <c r="AI28" s="37"/>
      <c r="AJ28" s="35"/>
      <c r="AK28" s="35"/>
      <c r="AL28" s="35"/>
      <c r="AM28" s="35"/>
      <c r="AN28" s="36"/>
      <c r="AO28" s="37"/>
      <c r="AP28" s="37"/>
      <c r="AQ28" s="35"/>
      <c r="AR28" s="35"/>
      <c r="AS28" s="35"/>
      <c r="AT28" s="35"/>
      <c r="AU28" s="36"/>
      <c r="AV28" s="37"/>
      <c r="AW28" s="37"/>
      <c r="AX28" s="35"/>
      <c r="AY28" s="35"/>
      <c r="AZ28" s="35"/>
      <c r="BA28" s="35"/>
      <c r="BB28" s="36"/>
      <c r="BC28" s="37"/>
      <c r="BD28" s="37"/>
      <c r="BE28" s="35"/>
      <c r="BF28" s="35"/>
      <c r="BG28" s="35"/>
      <c r="BH28" s="35"/>
      <c r="BI28" s="36"/>
      <c r="BJ28" s="37"/>
      <c r="BK28" s="37"/>
      <c r="BL28" s="35"/>
      <c r="BM28" s="35"/>
      <c r="BN28" s="50">
        <f t="shared" si="40"/>
        <v>1</v>
      </c>
      <c r="BO28" s="51">
        <v>28000</v>
      </c>
      <c r="BP28" s="66">
        <v>0.3</v>
      </c>
      <c r="BQ28" s="47">
        <f t="shared" ref="BQ28" si="42">BO28*(1-BP28)</f>
        <v>19600</v>
      </c>
      <c r="BR28" s="48">
        <f t="shared" ref="BR28" si="43">BQ28*BN28</f>
        <v>19600</v>
      </c>
      <c r="BS28" s="48">
        <f t="shared" ref="BS28" si="44">BR28*0.8</f>
        <v>15680</v>
      </c>
      <c r="BU28" s="50">
        <f>SUM(G28:AH28)</f>
        <v>1</v>
      </c>
      <c r="BV28" s="49">
        <f t="shared" ref="BV28" si="45">BU28*$BQ28*0.8</f>
        <v>15680</v>
      </c>
      <c r="BW28" s="50">
        <f>SUM(AI28:BM28)</f>
        <v>0</v>
      </c>
      <c r="BX28" s="49">
        <f t="shared" ref="BX28" si="46">BW28*$BQ28*0.8</f>
        <v>0</v>
      </c>
      <c r="BY28" s="3"/>
      <c r="BZ28" s="3"/>
      <c r="CA28" s="3"/>
      <c r="CB28" s="3"/>
      <c r="CC28" s="3"/>
      <c r="CD28" s="3"/>
    </row>
    <row r="29" spans="1:82" ht="15.5" customHeight="1" x14ac:dyDescent="0.25">
      <c r="A29" s="23"/>
      <c r="B29" s="42"/>
      <c r="C29" s="141"/>
      <c r="D29" s="44" t="s">
        <v>29</v>
      </c>
      <c r="E29" s="44"/>
      <c r="F29" s="45"/>
      <c r="G29" s="37"/>
      <c r="H29" s="35"/>
      <c r="I29" s="36"/>
      <c r="J29" s="36"/>
      <c r="K29" s="36"/>
      <c r="L29" s="35"/>
      <c r="M29" s="37"/>
      <c r="N29" s="37"/>
      <c r="O29" s="35"/>
      <c r="P29" s="36"/>
      <c r="Q29" s="36"/>
      <c r="R29" s="36"/>
      <c r="S29" s="35"/>
      <c r="T29" s="37"/>
      <c r="U29" s="37"/>
      <c r="V29" s="35"/>
      <c r="W29" s="36"/>
      <c r="X29" s="36"/>
      <c r="Y29" s="36"/>
      <c r="Z29" s="35"/>
      <c r="AA29" s="37"/>
      <c r="AB29" s="37"/>
      <c r="AC29" s="35"/>
      <c r="AD29" s="36"/>
      <c r="AE29" s="36">
        <v>1</v>
      </c>
      <c r="AG29" s="35"/>
      <c r="AH29" s="37"/>
      <c r="AI29" s="37"/>
      <c r="AJ29" s="35"/>
      <c r="AK29" s="35"/>
      <c r="AL29" s="35"/>
      <c r="AM29" s="35"/>
      <c r="AN29" s="36"/>
      <c r="AO29" s="37"/>
      <c r="AP29" s="37"/>
      <c r="AQ29" s="35"/>
      <c r="AR29" s="35"/>
      <c r="AS29" s="35"/>
      <c r="AT29" s="35"/>
      <c r="AU29" s="36"/>
      <c r="AV29" s="37"/>
      <c r="AW29" s="37"/>
      <c r="AX29" s="35"/>
      <c r="AY29" s="35"/>
      <c r="AZ29" s="35"/>
      <c r="BA29" s="35"/>
      <c r="BB29" s="36"/>
      <c r="BC29" s="37"/>
      <c r="BD29" s="37"/>
      <c r="BE29" s="35"/>
      <c r="BF29" s="35"/>
      <c r="BG29" s="35"/>
      <c r="BH29" s="35"/>
      <c r="BI29" s="36"/>
      <c r="BJ29" s="37"/>
      <c r="BK29" s="37"/>
      <c r="BL29" s="35"/>
      <c r="BM29" s="35"/>
      <c r="BN29" s="50">
        <f t="shared" si="40"/>
        <v>1</v>
      </c>
      <c r="BO29" s="51"/>
      <c r="BP29" s="66"/>
      <c r="BQ29" s="47"/>
      <c r="BR29" s="47"/>
      <c r="BS29" s="47"/>
      <c r="BU29" s="50"/>
      <c r="BV29" s="49"/>
      <c r="BW29" s="50"/>
      <c r="BX29" s="49"/>
      <c r="BY29" s="3"/>
      <c r="BZ29" s="3"/>
      <c r="CA29" s="3"/>
      <c r="CB29" s="3"/>
      <c r="CC29" s="3"/>
      <c r="CD29" s="3"/>
    </row>
    <row r="30" spans="1:82" ht="15.5" customHeight="1" x14ac:dyDescent="0.25">
      <c r="A30" s="23"/>
      <c r="B30" s="42"/>
      <c r="C30" s="141"/>
      <c r="D30" s="44"/>
      <c r="E30" s="44"/>
      <c r="F30" s="45"/>
      <c r="G30" s="37"/>
      <c r="H30" s="35"/>
      <c r="I30" s="36"/>
      <c r="J30" s="36"/>
      <c r="K30" s="36"/>
      <c r="L30" s="35"/>
      <c r="M30" s="37"/>
      <c r="N30" s="37"/>
      <c r="O30" s="35"/>
      <c r="P30" s="36"/>
      <c r="Q30" s="36"/>
      <c r="R30" s="36"/>
      <c r="S30" s="35"/>
      <c r="T30" s="37"/>
      <c r="U30" s="37"/>
      <c r="V30" s="35"/>
      <c r="W30" s="36"/>
      <c r="X30" s="36"/>
      <c r="Y30" s="36"/>
      <c r="Z30" s="35"/>
      <c r="AA30" s="37"/>
      <c r="AB30" s="37"/>
      <c r="AC30" s="35"/>
      <c r="AD30" s="36"/>
      <c r="AE30" s="36"/>
      <c r="AF30" s="36"/>
      <c r="AG30" s="35"/>
      <c r="AH30" s="37"/>
      <c r="AI30" s="37"/>
      <c r="AJ30" s="35"/>
      <c r="AK30" s="35"/>
      <c r="AL30" s="35"/>
      <c r="AM30" s="35"/>
      <c r="AN30" s="36"/>
      <c r="AO30" s="37"/>
      <c r="AP30" s="37"/>
      <c r="AQ30" s="35"/>
      <c r="AR30" s="35"/>
      <c r="AS30" s="35"/>
      <c r="AT30" s="35"/>
      <c r="AU30" s="36"/>
      <c r="AV30" s="37"/>
      <c r="AW30" s="37"/>
      <c r="AX30" s="35"/>
      <c r="AY30" s="35"/>
      <c r="AZ30" s="35"/>
      <c r="BA30" s="35"/>
      <c r="BB30" s="36"/>
      <c r="BC30" s="37"/>
      <c r="BD30" s="37"/>
      <c r="BE30" s="35"/>
      <c r="BF30" s="35"/>
      <c r="BG30" s="35"/>
      <c r="BH30" s="35"/>
      <c r="BI30" s="36"/>
      <c r="BJ30" s="37"/>
      <c r="BK30" s="37"/>
      <c r="BL30" s="35"/>
      <c r="BM30" s="35"/>
      <c r="BN30" s="50"/>
      <c r="BO30" s="51"/>
      <c r="BP30" s="66"/>
      <c r="BQ30" s="47"/>
      <c r="BR30" s="48"/>
      <c r="BS30" s="48"/>
      <c r="BU30" s="50"/>
      <c r="BV30" s="49"/>
      <c r="BW30" s="50"/>
      <c r="BX30" s="49"/>
      <c r="BY30" s="3"/>
      <c r="BZ30" s="3"/>
      <c r="CA30" s="3"/>
      <c r="CB30" s="3"/>
      <c r="CC30" s="3"/>
      <c r="CD30" s="3"/>
    </row>
    <row r="31" spans="1:82" ht="15.5" customHeight="1" x14ac:dyDescent="0.25">
      <c r="A31" s="23"/>
      <c r="B31" s="42"/>
      <c r="C31" s="141" t="s">
        <v>24</v>
      </c>
      <c r="D31" s="44" t="s">
        <v>73</v>
      </c>
      <c r="E31" s="44" t="s">
        <v>61</v>
      </c>
      <c r="F31" s="45"/>
      <c r="G31" s="37"/>
      <c r="H31" s="35"/>
      <c r="I31" s="36"/>
      <c r="J31" s="36"/>
      <c r="K31" s="36"/>
      <c r="L31" s="35"/>
      <c r="M31" s="37"/>
      <c r="N31" s="37"/>
      <c r="O31" s="35"/>
      <c r="P31" s="36"/>
      <c r="Q31" s="36"/>
      <c r="R31" s="36"/>
      <c r="S31" s="35"/>
      <c r="T31" s="37"/>
      <c r="U31" s="37"/>
      <c r="V31" s="35"/>
      <c r="W31" s="36"/>
      <c r="X31" s="36"/>
      <c r="Y31" s="36"/>
      <c r="Z31" s="35"/>
      <c r="AA31" s="37"/>
      <c r="AB31" s="37"/>
      <c r="AC31" s="36"/>
      <c r="AD31" s="36"/>
      <c r="AE31" s="35"/>
      <c r="AF31" s="36"/>
      <c r="AG31" s="35"/>
      <c r="AH31" s="37"/>
      <c r="AI31" s="37"/>
      <c r="AJ31" s="35"/>
      <c r="AK31" s="35">
        <v>1</v>
      </c>
      <c r="AL31" s="35"/>
      <c r="AM31" s="35"/>
      <c r="AN31" s="36"/>
      <c r="AO31" s="37"/>
      <c r="AP31" s="37"/>
      <c r="AQ31" s="35"/>
      <c r="AR31" s="35"/>
      <c r="AS31" s="35"/>
      <c r="AT31" s="35"/>
      <c r="AU31" s="36"/>
      <c r="AV31" s="37"/>
      <c r="AW31" s="37"/>
      <c r="AX31" s="35"/>
      <c r="AY31" s="35"/>
      <c r="AZ31" s="35"/>
      <c r="BA31" s="35"/>
      <c r="BB31" s="36"/>
      <c r="BC31" s="37"/>
      <c r="BD31" s="37"/>
      <c r="BE31" s="35"/>
      <c r="BF31" s="35"/>
      <c r="BG31" s="35"/>
      <c r="BH31" s="35"/>
      <c r="BI31" s="36"/>
      <c r="BJ31" s="37"/>
      <c r="BK31" s="37"/>
      <c r="BL31" s="35"/>
      <c r="BM31" s="35"/>
      <c r="BN31" s="50">
        <f t="shared" ref="BN31:BN32" si="47">SUM(G31:BM31)</f>
        <v>1</v>
      </c>
      <c r="BO31" s="51">
        <v>3000</v>
      </c>
      <c r="BP31" s="66">
        <v>0.15</v>
      </c>
      <c r="BQ31" s="47">
        <f>BO31*(1-BP31)</f>
        <v>2550</v>
      </c>
      <c r="BR31" s="48">
        <f t="shared" ref="BR31:BR32" si="48">BQ31*BN31</f>
        <v>2550</v>
      </c>
      <c r="BS31" s="48">
        <f t="shared" ref="BS31:BS32" si="49">BR31*0.8</f>
        <v>2040</v>
      </c>
      <c r="BU31" s="50">
        <f>SUM(G31:AH31)</f>
        <v>0</v>
      </c>
      <c r="BV31" s="49">
        <f>BU31*$BQ31*0.8</f>
        <v>0</v>
      </c>
      <c r="BW31" s="50">
        <f>SUM(AI31:BM31)</f>
        <v>1</v>
      </c>
      <c r="BX31" s="49">
        <f>BW31*$BQ31*0.8</f>
        <v>2040</v>
      </c>
      <c r="BY31" s="3"/>
      <c r="BZ31" s="3"/>
      <c r="CA31" s="3"/>
      <c r="CB31" s="3"/>
      <c r="CC31" s="3"/>
      <c r="CD31" s="3"/>
    </row>
    <row r="32" spans="1:82" ht="15.5" customHeight="1" x14ac:dyDescent="0.25">
      <c r="A32" s="23"/>
      <c r="B32" s="42"/>
      <c r="C32" s="141"/>
      <c r="D32" s="44" t="s">
        <v>58</v>
      </c>
      <c r="E32" s="44" t="s">
        <v>94</v>
      </c>
      <c r="F32" s="45"/>
      <c r="G32" s="37"/>
      <c r="H32" s="35"/>
      <c r="I32" s="36"/>
      <c r="J32" s="36"/>
      <c r="K32" s="36"/>
      <c r="L32" s="35"/>
      <c r="M32" s="37"/>
      <c r="N32" s="37"/>
      <c r="O32" s="35"/>
      <c r="P32" s="36"/>
      <c r="Q32" s="36"/>
      <c r="R32" s="36"/>
      <c r="S32" s="35"/>
      <c r="T32" s="37"/>
      <c r="U32" s="37"/>
      <c r="V32" s="35"/>
      <c r="W32" s="36"/>
      <c r="X32" s="36"/>
      <c r="Y32" s="36"/>
      <c r="Z32" s="35"/>
      <c r="AA32" s="37"/>
      <c r="AB32" s="37"/>
      <c r="AC32" s="35"/>
      <c r="AD32" s="36"/>
      <c r="AF32" s="36"/>
      <c r="AG32" s="35"/>
      <c r="AH32" s="37"/>
      <c r="AI32" s="37"/>
      <c r="AJ32" s="35"/>
      <c r="AK32" s="36">
        <v>1</v>
      </c>
      <c r="AL32" s="35"/>
      <c r="AM32" s="35"/>
      <c r="AN32" s="36"/>
      <c r="AO32" s="37"/>
      <c r="AP32" s="37"/>
      <c r="AQ32" s="35"/>
      <c r="AR32" s="35"/>
      <c r="AS32" s="35"/>
      <c r="AT32" s="35"/>
      <c r="AU32" s="36"/>
      <c r="AV32" s="37"/>
      <c r="AW32" s="37"/>
      <c r="AX32" s="35"/>
      <c r="AY32" s="35"/>
      <c r="AZ32" s="35"/>
      <c r="BA32" s="35"/>
      <c r="BB32" s="36"/>
      <c r="BC32" s="37"/>
      <c r="BD32" s="37"/>
      <c r="BE32" s="35"/>
      <c r="BF32" s="35"/>
      <c r="BG32" s="35"/>
      <c r="BH32" s="35"/>
      <c r="BI32" s="36"/>
      <c r="BJ32" s="37"/>
      <c r="BK32" s="37"/>
      <c r="BL32" s="35"/>
      <c r="BM32" s="35"/>
      <c r="BN32" s="50">
        <f t="shared" si="47"/>
        <v>1</v>
      </c>
      <c r="BO32" s="51">
        <v>1500</v>
      </c>
      <c r="BP32" s="66">
        <v>0.15</v>
      </c>
      <c r="BQ32" s="47">
        <f>BO32*(1-BP32)</f>
        <v>1275</v>
      </c>
      <c r="BR32" s="48">
        <f t="shared" si="48"/>
        <v>1275</v>
      </c>
      <c r="BS32" s="48">
        <f t="shared" si="49"/>
        <v>1020</v>
      </c>
      <c r="BU32" s="50">
        <f>SUM(G32:AH32)</f>
        <v>0</v>
      </c>
      <c r="BV32" s="49">
        <f>BU32*$BQ32*0.8</f>
        <v>0</v>
      </c>
      <c r="BW32" s="50">
        <f>SUM(AI32:BM32)</f>
        <v>1</v>
      </c>
      <c r="BX32" s="49">
        <f>BW32*$BQ32*0.8</f>
        <v>1020</v>
      </c>
      <c r="BY32" s="3"/>
      <c r="BZ32" s="3"/>
      <c r="CA32" s="3"/>
      <c r="CB32" s="3"/>
      <c r="CC32" s="3"/>
      <c r="CD32" s="3"/>
    </row>
    <row r="33" spans="1:82" ht="15.5" customHeight="1" x14ac:dyDescent="0.25">
      <c r="A33" s="23"/>
      <c r="B33" s="42"/>
      <c r="C33" s="141"/>
      <c r="D33" s="44"/>
      <c r="E33" s="44"/>
      <c r="F33" s="45"/>
      <c r="G33" s="37"/>
      <c r="H33" s="35"/>
      <c r="I33" s="36"/>
      <c r="J33" s="36"/>
      <c r="K33" s="36"/>
      <c r="L33" s="35"/>
      <c r="M33" s="37"/>
      <c r="N33" s="37"/>
      <c r="O33" s="35"/>
      <c r="P33" s="36"/>
      <c r="Q33" s="36"/>
      <c r="R33" s="36"/>
      <c r="S33" s="35"/>
      <c r="T33" s="37"/>
      <c r="U33" s="37"/>
      <c r="V33" s="35"/>
      <c r="W33" s="36"/>
      <c r="X33" s="36"/>
      <c r="Y33" s="36"/>
      <c r="Z33" s="35"/>
      <c r="AA33" s="37"/>
      <c r="AB33" s="37"/>
      <c r="AC33" s="35"/>
      <c r="AD33" s="36"/>
      <c r="AE33" s="36"/>
      <c r="AF33" s="36"/>
      <c r="AG33" s="35"/>
      <c r="AH33" s="37"/>
      <c r="AI33" s="37"/>
      <c r="AJ33" s="35"/>
      <c r="AK33" s="35"/>
      <c r="AL33" s="35"/>
      <c r="AM33" s="35"/>
      <c r="AN33" s="36"/>
      <c r="AO33" s="37"/>
      <c r="AP33" s="37"/>
      <c r="AQ33" s="35"/>
      <c r="AR33" s="35"/>
      <c r="AS33" s="35"/>
      <c r="AT33" s="35"/>
      <c r="AU33" s="36"/>
      <c r="AV33" s="37"/>
      <c r="AW33" s="37"/>
      <c r="AX33" s="35"/>
      <c r="AY33" s="35"/>
      <c r="AZ33" s="35"/>
      <c r="BA33" s="35"/>
      <c r="BB33" s="36"/>
      <c r="BC33" s="37"/>
      <c r="BD33" s="37"/>
      <c r="BE33" s="35"/>
      <c r="BF33" s="35"/>
      <c r="BG33" s="35"/>
      <c r="BH33" s="35"/>
      <c r="BI33" s="36"/>
      <c r="BJ33" s="37"/>
      <c r="BK33" s="37"/>
      <c r="BL33" s="35"/>
      <c r="BM33" s="35"/>
      <c r="BN33" s="50"/>
      <c r="BO33" s="51"/>
      <c r="BP33" s="66"/>
      <c r="BQ33" s="47"/>
      <c r="BR33" s="48"/>
      <c r="BS33" s="48"/>
      <c r="BU33" s="50"/>
      <c r="BV33" s="49"/>
      <c r="BW33" s="50"/>
      <c r="BX33" s="49"/>
      <c r="BY33" s="3"/>
      <c r="BZ33" s="3"/>
      <c r="CA33" s="3"/>
      <c r="CB33" s="3"/>
      <c r="CC33" s="3"/>
      <c r="CD33" s="3"/>
    </row>
    <row r="34" spans="1:82" ht="15.5" customHeight="1" x14ac:dyDescent="0.25">
      <c r="A34" s="23"/>
      <c r="B34" s="42"/>
      <c r="C34" s="141" t="s">
        <v>25</v>
      </c>
      <c r="D34" s="44" t="s">
        <v>74</v>
      </c>
      <c r="E34" s="44" t="s">
        <v>61</v>
      </c>
      <c r="F34" s="45"/>
      <c r="G34" s="37"/>
      <c r="H34" s="35"/>
      <c r="I34" s="36"/>
      <c r="J34" s="36"/>
      <c r="K34" s="36"/>
      <c r="L34" s="35"/>
      <c r="M34" s="37"/>
      <c r="N34" s="37"/>
      <c r="O34" s="35"/>
      <c r="P34" s="36"/>
      <c r="Q34" s="36"/>
      <c r="R34" s="36"/>
      <c r="S34" s="35"/>
      <c r="T34" s="37"/>
      <c r="U34" s="37"/>
      <c r="V34" s="35"/>
      <c r="W34" s="36"/>
      <c r="X34" s="36"/>
      <c r="Z34" s="135"/>
      <c r="AA34" s="37"/>
      <c r="AB34" s="37"/>
      <c r="AC34" s="35"/>
      <c r="AD34" s="35"/>
      <c r="AE34" s="258">
        <v>1</v>
      </c>
      <c r="AF34" s="259"/>
      <c r="AG34" s="259"/>
      <c r="AH34" s="259"/>
      <c r="AI34" s="259"/>
      <c r="AJ34" s="259"/>
      <c r="AK34" s="260"/>
      <c r="AL34" s="115"/>
      <c r="AM34" s="115"/>
      <c r="AN34" s="36"/>
      <c r="AO34" s="37"/>
      <c r="AP34" s="37"/>
      <c r="AQ34" s="35"/>
      <c r="AR34" s="35"/>
      <c r="AS34" s="35"/>
      <c r="AT34" s="35"/>
      <c r="AU34" s="36"/>
      <c r="AV34" s="37"/>
      <c r="AW34" s="37"/>
      <c r="AX34" s="35"/>
      <c r="AY34" s="35"/>
      <c r="AZ34" s="35"/>
      <c r="BA34" s="35"/>
      <c r="BB34" s="36"/>
      <c r="BC34" s="37"/>
      <c r="BD34" s="37"/>
      <c r="BE34" s="35"/>
      <c r="BF34" s="35"/>
      <c r="BG34" s="35"/>
      <c r="BH34" s="35"/>
      <c r="BI34" s="36"/>
      <c r="BJ34" s="37"/>
      <c r="BK34" s="37"/>
      <c r="BL34" s="35"/>
      <c r="BM34" s="35"/>
      <c r="BN34" s="50">
        <f t="shared" ref="BN34:BN35" si="50">SUM(G34:BM34)</f>
        <v>1</v>
      </c>
      <c r="BO34" s="51">
        <v>7000</v>
      </c>
      <c r="BP34" s="66">
        <v>0.15</v>
      </c>
      <c r="BQ34" s="47">
        <f>BO34*(1-BP34)</f>
        <v>5950</v>
      </c>
      <c r="BR34" s="48">
        <f t="shared" ref="BR34" si="51">BQ34*BN34</f>
        <v>5950</v>
      </c>
      <c r="BS34" s="48">
        <f t="shared" ref="BS34" si="52">BR34*0.8</f>
        <v>4760</v>
      </c>
      <c r="BU34" s="50">
        <f>SUM(G34:AH34)</f>
        <v>1</v>
      </c>
      <c r="BV34" s="49">
        <f>BU34*$BQ34*0.8</f>
        <v>4760</v>
      </c>
      <c r="BW34" s="50">
        <f>SUM(AI34:BM34)</f>
        <v>0</v>
      </c>
      <c r="BX34" s="49">
        <f>BW34*$BQ34*0.8</f>
        <v>0</v>
      </c>
      <c r="BY34" s="3"/>
      <c r="BZ34" s="3"/>
      <c r="CA34" s="3"/>
      <c r="CB34" s="3"/>
      <c r="CC34" s="3"/>
      <c r="CD34" s="3"/>
    </row>
    <row r="35" spans="1:82" ht="15.5" customHeight="1" x14ac:dyDescent="0.25">
      <c r="A35" s="23"/>
      <c r="B35" s="42"/>
      <c r="C35" s="141"/>
      <c r="D35" s="44" t="s">
        <v>73</v>
      </c>
      <c r="E35" s="44" t="s">
        <v>95</v>
      </c>
      <c r="F35" s="45"/>
      <c r="G35" s="37"/>
      <c r="H35" s="35"/>
      <c r="I35" s="36"/>
      <c r="J35" s="36"/>
      <c r="K35" s="36"/>
      <c r="L35" s="35"/>
      <c r="M35" s="37"/>
      <c r="N35" s="37"/>
      <c r="O35" s="35"/>
      <c r="P35" s="36"/>
      <c r="Q35" s="36"/>
      <c r="R35" s="36"/>
      <c r="S35" s="35"/>
      <c r="T35" s="37"/>
      <c r="U35" s="37"/>
      <c r="V35" s="35"/>
      <c r="W35" s="36"/>
      <c r="X35" s="36"/>
      <c r="Y35" s="36"/>
      <c r="Z35" s="35"/>
      <c r="AA35" s="37"/>
      <c r="AB35" s="37"/>
      <c r="AC35" s="35"/>
      <c r="AD35" s="36"/>
      <c r="AE35" s="35">
        <v>1</v>
      </c>
      <c r="AF35" s="36"/>
      <c r="AG35" s="35"/>
      <c r="AH35" s="37"/>
      <c r="AI35" s="37"/>
      <c r="AJ35" s="35"/>
      <c r="AK35" s="35"/>
      <c r="AL35" s="35"/>
      <c r="AM35" s="35"/>
      <c r="AN35" s="36"/>
      <c r="AO35" s="37"/>
      <c r="AP35" s="37"/>
      <c r="AQ35" s="35"/>
      <c r="AR35" s="35"/>
      <c r="AS35" s="35"/>
      <c r="AT35" s="35"/>
      <c r="AU35" s="36"/>
      <c r="AV35" s="37"/>
      <c r="AW35" s="37"/>
      <c r="AX35" s="35"/>
      <c r="AY35" s="35"/>
      <c r="AZ35" s="35"/>
      <c r="BA35" s="35"/>
      <c r="BB35" s="36"/>
      <c r="BC35" s="37"/>
      <c r="BD35" s="37"/>
      <c r="BE35" s="35"/>
      <c r="BF35" s="35"/>
      <c r="BG35" s="35"/>
      <c r="BH35" s="35"/>
      <c r="BI35" s="36"/>
      <c r="BJ35" s="37"/>
      <c r="BK35" s="37"/>
      <c r="BL35" s="35"/>
      <c r="BM35" s="35"/>
      <c r="BN35" s="50">
        <f t="shared" si="50"/>
        <v>1</v>
      </c>
      <c r="BO35" s="51">
        <v>2000</v>
      </c>
      <c r="BP35" s="66">
        <v>0.15</v>
      </c>
      <c r="BQ35" s="47">
        <f>BO35*(1-BP35)</f>
        <v>1700</v>
      </c>
      <c r="BR35" s="48">
        <f t="shared" ref="BR35" si="53">BQ35*BN35</f>
        <v>1700</v>
      </c>
      <c r="BS35" s="48">
        <f t="shared" ref="BS35" si="54">BR35*0.8</f>
        <v>1360</v>
      </c>
      <c r="BU35" s="50">
        <f>SUM(G35:AH35)</f>
        <v>1</v>
      </c>
      <c r="BV35" s="49">
        <f>BU35*$BQ35*0.8</f>
        <v>1360</v>
      </c>
      <c r="BW35" s="50">
        <f>SUM(AI35:BM35)</f>
        <v>0</v>
      </c>
      <c r="BX35" s="49">
        <f>BW35*$BQ35*0.8</f>
        <v>0</v>
      </c>
      <c r="BY35" s="3"/>
      <c r="BZ35" s="3"/>
      <c r="CA35" s="3"/>
      <c r="CB35" s="3"/>
      <c r="CC35" s="3"/>
      <c r="CD35" s="3"/>
    </row>
    <row r="36" spans="1:82" ht="15.5" customHeight="1" x14ac:dyDescent="0.25">
      <c r="A36" s="23"/>
      <c r="B36" s="42"/>
      <c r="C36" s="141"/>
      <c r="D36" s="44"/>
      <c r="E36" s="44"/>
      <c r="F36" s="45"/>
      <c r="G36" s="37"/>
      <c r="H36" s="35"/>
      <c r="I36" s="36"/>
      <c r="J36" s="36"/>
      <c r="K36" s="36"/>
      <c r="L36" s="35"/>
      <c r="M36" s="37"/>
      <c r="N36" s="37"/>
      <c r="O36" s="35"/>
      <c r="P36" s="36"/>
      <c r="Q36" s="36"/>
      <c r="R36" s="36"/>
      <c r="S36" s="35"/>
      <c r="T36" s="37"/>
      <c r="U36" s="37"/>
      <c r="V36" s="35"/>
      <c r="W36" s="36"/>
      <c r="X36" s="36"/>
      <c r="Y36" s="36"/>
      <c r="Z36" s="35"/>
      <c r="AA36" s="37"/>
      <c r="AB36" s="37"/>
      <c r="AC36" s="35"/>
      <c r="AD36" s="36"/>
      <c r="AE36" s="36"/>
      <c r="AF36" s="36"/>
      <c r="AG36" s="35"/>
      <c r="AH36" s="37"/>
      <c r="AI36" s="37"/>
      <c r="AJ36" s="35"/>
      <c r="AK36" s="35"/>
      <c r="AL36" s="35"/>
      <c r="AM36" s="35"/>
      <c r="AN36" s="36"/>
      <c r="AO36" s="37"/>
      <c r="AP36" s="37"/>
      <c r="AQ36" s="35"/>
      <c r="AR36" s="35"/>
      <c r="AS36" s="35"/>
      <c r="AT36" s="35"/>
      <c r="AU36" s="36"/>
      <c r="AV36" s="37"/>
      <c r="AW36" s="37"/>
      <c r="AX36" s="35"/>
      <c r="AY36" s="35"/>
      <c r="AZ36" s="35"/>
      <c r="BA36" s="35"/>
      <c r="BB36" s="36"/>
      <c r="BC36" s="37"/>
      <c r="BD36" s="37"/>
      <c r="BE36" s="35"/>
      <c r="BF36" s="35"/>
      <c r="BG36" s="35"/>
      <c r="BH36" s="35"/>
      <c r="BI36" s="36"/>
      <c r="BJ36" s="37"/>
      <c r="BK36" s="37"/>
      <c r="BL36" s="35"/>
      <c r="BM36" s="35"/>
      <c r="BN36" s="50"/>
      <c r="BO36" s="51"/>
      <c r="BP36" s="66"/>
      <c r="BQ36" s="47"/>
      <c r="BR36" s="48"/>
      <c r="BS36" s="48"/>
      <c r="BU36" s="50"/>
      <c r="BV36" s="49"/>
      <c r="BW36" s="50"/>
      <c r="BX36" s="49"/>
      <c r="BY36" s="3"/>
      <c r="BZ36" s="3"/>
      <c r="CA36" s="3"/>
      <c r="CB36" s="3"/>
      <c r="CC36" s="3"/>
      <c r="CD36" s="3"/>
    </row>
    <row r="37" spans="1:82" ht="15.5" customHeight="1" x14ac:dyDescent="0.25">
      <c r="A37" s="23"/>
      <c r="B37" s="42"/>
      <c r="C37" s="141" t="s">
        <v>26</v>
      </c>
      <c r="D37" s="44" t="s">
        <v>75</v>
      </c>
      <c r="E37" s="44" t="s">
        <v>62</v>
      </c>
      <c r="F37" s="45"/>
      <c r="G37" s="37"/>
      <c r="H37" s="35"/>
      <c r="I37" s="36"/>
      <c r="J37" s="36"/>
      <c r="K37" s="36"/>
      <c r="L37" s="35"/>
      <c r="M37" s="37"/>
      <c r="N37" s="37"/>
      <c r="O37" s="35"/>
      <c r="P37" s="36"/>
      <c r="Q37" s="36"/>
      <c r="R37" s="36"/>
      <c r="S37" s="35"/>
      <c r="T37" s="37"/>
      <c r="U37" s="37"/>
      <c r="V37" s="35"/>
      <c r="W37" s="36"/>
      <c r="X37" s="36"/>
      <c r="Y37" s="36"/>
      <c r="Z37" s="35"/>
      <c r="AA37" s="37"/>
      <c r="AB37" s="37"/>
      <c r="AC37" s="35"/>
      <c r="AD37" s="36"/>
      <c r="AE37" s="36"/>
      <c r="AF37" s="36"/>
      <c r="AG37" s="35"/>
      <c r="AH37" s="37">
        <v>1</v>
      </c>
      <c r="AI37" s="37"/>
      <c r="AJ37" s="35"/>
      <c r="AK37" s="35"/>
      <c r="AL37" s="35"/>
      <c r="AM37" s="35"/>
      <c r="AN37" s="36"/>
      <c r="AO37" s="37"/>
      <c r="AP37" s="37"/>
      <c r="AQ37" s="35"/>
      <c r="AR37" s="35"/>
      <c r="AS37" s="35"/>
      <c r="AT37" s="35"/>
      <c r="AU37" s="36"/>
      <c r="AV37" s="37"/>
      <c r="AW37" s="37"/>
      <c r="AX37" s="35"/>
      <c r="AY37" s="35"/>
      <c r="AZ37" s="35"/>
      <c r="BA37" s="35"/>
      <c r="BB37" s="36"/>
      <c r="BC37" s="37"/>
      <c r="BD37" s="37"/>
      <c r="BE37" s="35"/>
      <c r="BF37" s="35"/>
      <c r="BG37" s="35"/>
      <c r="BH37" s="35"/>
      <c r="BI37" s="36"/>
      <c r="BJ37" s="37"/>
      <c r="BK37" s="37"/>
      <c r="BL37" s="35"/>
      <c r="BM37" s="35"/>
      <c r="BN37" s="50">
        <f t="shared" ref="BN37:BN40" si="55">SUM(G37:BM37)</f>
        <v>1</v>
      </c>
      <c r="BO37" s="51">
        <v>123586.32</v>
      </c>
      <c r="BP37" s="66">
        <v>0.88</v>
      </c>
      <c r="BQ37" s="47">
        <f>BO37*(1-BP37)</f>
        <v>14830.358400000001</v>
      </c>
      <c r="BR37" s="48">
        <f>BQ37*BN37</f>
        <v>14830.358400000001</v>
      </c>
      <c r="BS37" s="48">
        <f t="shared" ref="BS37:BS39" si="56">BR37*0.8</f>
        <v>11864.286720000002</v>
      </c>
      <c r="BU37" s="50">
        <f>SUM(G37:AH37)</f>
        <v>1</v>
      </c>
      <c r="BV37" s="49">
        <f>BU37*$BQ37*0.8</f>
        <v>11864.286720000002</v>
      </c>
      <c r="BW37" s="50">
        <f>SUM(AI37:BM37)</f>
        <v>0</v>
      </c>
      <c r="BX37" s="49">
        <f>BW37*$BQ37*0.8</f>
        <v>0</v>
      </c>
      <c r="BY37" s="3"/>
      <c r="BZ37" s="3"/>
      <c r="CA37" s="3"/>
      <c r="CB37" s="3"/>
      <c r="CC37" s="3"/>
      <c r="CD37" s="3"/>
    </row>
    <row r="38" spans="1:82" ht="15.5" customHeight="1" x14ac:dyDescent="0.25">
      <c r="A38" s="23"/>
      <c r="B38" s="42"/>
      <c r="C38" s="141"/>
      <c r="D38" s="44" t="s">
        <v>76</v>
      </c>
      <c r="E38" s="44" t="s">
        <v>65</v>
      </c>
      <c r="F38" s="45"/>
      <c r="G38" s="37"/>
      <c r="H38" s="35"/>
      <c r="I38" s="36"/>
      <c r="J38" s="36"/>
      <c r="K38" s="36"/>
      <c r="L38" s="35"/>
      <c r="M38" s="37"/>
      <c r="N38" s="37"/>
      <c r="O38" s="35"/>
      <c r="P38" s="36"/>
      <c r="Q38" s="36"/>
      <c r="R38" s="36"/>
      <c r="S38" s="35"/>
      <c r="T38" s="37"/>
      <c r="U38" s="37"/>
      <c r="V38" s="35"/>
      <c r="W38" s="36"/>
      <c r="X38" s="36"/>
      <c r="Z38" s="135"/>
      <c r="AA38" s="37"/>
      <c r="AB38" s="37"/>
      <c r="AC38" s="35"/>
      <c r="AD38" s="35"/>
      <c r="AE38" s="258">
        <v>1</v>
      </c>
      <c r="AF38" s="259"/>
      <c r="AG38" s="259"/>
      <c r="AH38" s="259"/>
      <c r="AI38" s="259"/>
      <c r="AJ38" s="259"/>
      <c r="AK38" s="260"/>
      <c r="AL38" s="35"/>
      <c r="AM38" s="35"/>
      <c r="AN38" s="36"/>
      <c r="AO38" s="37"/>
      <c r="AP38" s="37"/>
      <c r="AQ38" s="35"/>
      <c r="AR38" s="35"/>
      <c r="AS38" s="35"/>
      <c r="AT38" s="35"/>
      <c r="AU38" s="36"/>
      <c r="AV38" s="37"/>
      <c r="AW38" s="37"/>
      <c r="AX38" s="35"/>
      <c r="AY38" s="35"/>
      <c r="AZ38" s="35"/>
      <c r="BA38" s="35"/>
      <c r="BB38" s="36"/>
      <c r="BC38" s="37"/>
      <c r="BD38" s="37"/>
      <c r="BE38" s="35"/>
      <c r="BF38" s="35"/>
      <c r="BG38" s="35"/>
      <c r="BH38" s="35"/>
      <c r="BI38" s="36"/>
      <c r="BJ38" s="37"/>
      <c r="BK38" s="37"/>
      <c r="BL38" s="35"/>
      <c r="BM38" s="35"/>
      <c r="BN38" s="50">
        <f t="shared" si="55"/>
        <v>1</v>
      </c>
      <c r="BO38" s="51">
        <v>6000</v>
      </c>
      <c r="BP38" s="66">
        <v>0.88</v>
      </c>
      <c r="BQ38" s="47">
        <f t="shared" ref="BQ38:BQ39" si="57">BO38*(1-BP38)</f>
        <v>720</v>
      </c>
      <c r="BR38" s="48">
        <f t="shared" ref="BR38:BR39" si="58">BQ38*BN38</f>
        <v>720</v>
      </c>
      <c r="BS38" s="48">
        <f t="shared" si="56"/>
        <v>576</v>
      </c>
      <c r="BU38" s="50">
        <f>SUM(G38:AH38)</f>
        <v>1</v>
      </c>
      <c r="BV38" s="49">
        <f t="shared" ref="BV38:BV39" si="59">BU38*$BQ38*0.8</f>
        <v>576</v>
      </c>
      <c r="BW38" s="50">
        <f>SUM(AI38:BM38)</f>
        <v>0</v>
      </c>
      <c r="BX38" s="49">
        <f t="shared" ref="BX38:BX39" si="60">BW38*$BQ38*0.8</f>
        <v>0</v>
      </c>
      <c r="BY38" s="3"/>
      <c r="BZ38" s="3"/>
      <c r="CA38" s="3"/>
      <c r="CB38" s="3"/>
      <c r="CC38" s="3"/>
      <c r="CD38" s="3"/>
    </row>
    <row r="39" spans="1:82" ht="15.5" customHeight="1" x14ac:dyDescent="0.25">
      <c r="A39" s="23"/>
      <c r="B39" s="42"/>
      <c r="C39" s="141"/>
      <c r="D39" s="44" t="s">
        <v>77</v>
      </c>
      <c r="E39" s="44"/>
      <c r="F39" s="45"/>
      <c r="G39" s="37"/>
      <c r="H39" s="35"/>
      <c r="I39" s="36"/>
      <c r="J39" s="36"/>
      <c r="K39" s="36"/>
      <c r="L39" s="35"/>
      <c r="M39" s="37"/>
      <c r="N39" s="37"/>
      <c r="O39" s="35"/>
      <c r="P39" s="36"/>
      <c r="Q39" s="36"/>
      <c r="R39" s="36"/>
      <c r="S39" s="35"/>
      <c r="T39" s="37"/>
      <c r="U39" s="37"/>
      <c r="V39" s="35"/>
      <c r="W39" s="36"/>
      <c r="X39" s="36"/>
      <c r="Y39" s="36"/>
      <c r="Z39" s="35"/>
      <c r="AA39" s="37"/>
      <c r="AB39" s="37"/>
      <c r="AC39" s="35"/>
      <c r="AD39" s="36"/>
      <c r="AE39" s="36">
        <v>1</v>
      </c>
      <c r="AF39" s="36"/>
      <c r="AG39" s="35"/>
      <c r="AH39" s="37"/>
      <c r="AI39" s="37"/>
      <c r="AJ39" s="35"/>
      <c r="AK39" s="35"/>
      <c r="AL39" s="35"/>
      <c r="AM39" s="35"/>
      <c r="AN39" s="36"/>
      <c r="AO39" s="37"/>
      <c r="AP39" s="37"/>
      <c r="AQ39" s="35"/>
      <c r="AR39" s="35"/>
      <c r="AS39" s="35"/>
      <c r="AT39" s="35"/>
      <c r="AU39" s="36"/>
      <c r="AV39" s="37"/>
      <c r="AW39" s="37"/>
      <c r="AX39" s="35"/>
      <c r="AY39" s="35"/>
      <c r="AZ39" s="35"/>
      <c r="BA39" s="35"/>
      <c r="BB39" s="36"/>
      <c r="BC39" s="37"/>
      <c r="BD39" s="37"/>
      <c r="BE39" s="35"/>
      <c r="BF39" s="35"/>
      <c r="BG39" s="35"/>
      <c r="BH39" s="35"/>
      <c r="BI39" s="36"/>
      <c r="BJ39" s="37"/>
      <c r="BK39" s="37"/>
      <c r="BL39" s="35"/>
      <c r="BM39" s="35"/>
      <c r="BN39" s="50">
        <f t="shared" si="55"/>
        <v>1</v>
      </c>
      <c r="BO39" s="51">
        <v>123586.32</v>
      </c>
      <c r="BP39" s="66">
        <v>0.85</v>
      </c>
      <c r="BQ39" s="47">
        <f t="shared" si="57"/>
        <v>18537.948000000004</v>
      </c>
      <c r="BR39" s="48">
        <f t="shared" si="58"/>
        <v>18537.948000000004</v>
      </c>
      <c r="BS39" s="48">
        <f t="shared" si="56"/>
        <v>14830.358400000005</v>
      </c>
      <c r="BU39" s="50">
        <f>SUM(G39:AH39)</f>
        <v>1</v>
      </c>
      <c r="BV39" s="49">
        <f t="shared" si="59"/>
        <v>14830.358400000005</v>
      </c>
      <c r="BW39" s="50">
        <f>SUM(AI39:BM39)</f>
        <v>0</v>
      </c>
      <c r="BX39" s="49">
        <f t="shared" si="60"/>
        <v>0</v>
      </c>
      <c r="BY39" s="3"/>
      <c r="BZ39" s="3"/>
      <c r="CA39" s="3"/>
      <c r="CB39" s="3"/>
      <c r="CC39" s="3"/>
      <c r="CD39" s="3"/>
    </row>
    <row r="40" spans="1:82" ht="15.5" customHeight="1" x14ac:dyDescent="0.25">
      <c r="A40" s="23"/>
      <c r="B40" s="42"/>
      <c r="C40" s="141"/>
      <c r="D40" s="44" t="s">
        <v>57</v>
      </c>
      <c r="E40" s="44"/>
      <c r="F40" s="45"/>
      <c r="G40" s="37"/>
      <c r="H40" s="35"/>
      <c r="I40" s="36"/>
      <c r="J40" s="36"/>
      <c r="K40" s="36"/>
      <c r="L40" s="35"/>
      <c r="M40" s="37"/>
      <c r="N40" s="37"/>
      <c r="O40" s="35"/>
      <c r="P40" s="36"/>
      <c r="Q40" s="36"/>
      <c r="R40" s="36"/>
      <c r="S40" s="35"/>
      <c r="T40" s="37"/>
      <c r="U40" s="37"/>
      <c r="V40" s="35"/>
      <c r="W40" s="36"/>
      <c r="X40" s="36"/>
      <c r="Y40" s="36"/>
      <c r="Z40" s="35"/>
      <c r="AA40" s="37"/>
      <c r="AB40" s="37"/>
      <c r="AC40" s="35"/>
      <c r="AD40" s="36"/>
      <c r="AE40" s="36">
        <v>1</v>
      </c>
      <c r="AF40" s="36"/>
      <c r="AG40" s="35"/>
      <c r="AH40" s="37"/>
      <c r="AI40" s="37"/>
      <c r="AJ40" s="35"/>
      <c r="AK40" s="35"/>
      <c r="AL40" s="35"/>
      <c r="AM40" s="35"/>
      <c r="AN40" s="36"/>
      <c r="AO40" s="37"/>
      <c r="AP40" s="37"/>
      <c r="AQ40" s="35"/>
      <c r="AR40" s="35"/>
      <c r="AS40" s="35"/>
      <c r="AT40" s="35"/>
      <c r="AU40" s="36"/>
      <c r="AV40" s="37"/>
      <c r="AW40" s="37"/>
      <c r="AX40" s="35"/>
      <c r="AY40" s="35"/>
      <c r="AZ40" s="35"/>
      <c r="BA40" s="35"/>
      <c r="BB40" s="36"/>
      <c r="BC40" s="37"/>
      <c r="BD40" s="37"/>
      <c r="BE40" s="35"/>
      <c r="BF40" s="35"/>
      <c r="BG40" s="35"/>
      <c r="BH40" s="35"/>
      <c r="BI40" s="36"/>
      <c r="BJ40" s="37"/>
      <c r="BK40" s="37"/>
      <c r="BL40" s="35"/>
      <c r="BM40" s="35"/>
      <c r="BN40" s="50">
        <f t="shared" si="55"/>
        <v>1</v>
      </c>
      <c r="BO40" s="51">
        <v>0</v>
      </c>
      <c r="BP40" s="66"/>
      <c r="BQ40" s="47"/>
      <c r="BR40" s="48"/>
      <c r="BS40" s="48"/>
      <c r="BU40" s="50"/>
      <c r="BV40" s="49"/>
      <c r="BW40" s="50"/>
      <c r="BX40" s="49"/>
      <c r="BY40" s="3"/>
      <c r="BZ40" s="3"/>
      <c r="CA40" s="3"/>
      <c r="CB40" s="3"/>
      <c r="CC40" s="3"/>
      <c r="CD40" s="3"/>
    </row>
    <row r="41" spans="1:82" ht="15.5" customHeight="1" x14ac:dyDescent="0.25">
      <c r="A41" s="23"/>
      <c r="B41" s="42"/>
      <c r="C41" s="141"/>
      <c r="D41" s="44"/>
      <c r="E41" s="44"/>
      <c r="F41" s="45"/>
      <c r="G41" s="37"/>
      <c r="H41" s="35"/>
      <c r="I41" s="36"/>
      <c r="J41" s="36"/>
      <c r="K41" s="36"/>
      <c r="L41" s="35"/>
      <c r="M41" s="37"/>
      <c r="N41" s="37"/>
      <c r="O41" s="35"/>
      <c r="P41" s="36"/>
      <c r="Q41" s="36"/>
      <c r="R41" s="36"/>
      <c r="S41" s="35"/>
      <c r="T41" s="37"/>
      <c r="U41" s="37"/>
      <c r="V41" s="35"/>
      <c r="W41" s="36"/>
      <c r="X41" s="36"/>
      <c r="Y41" s="36"/>
      <c r="Z41" s="35"/>
      <c r="AA41" s="37"/>
      <c r="AB41" s="37"/>
      <c r="AC41" s="35"/>
      <c r="AD41" s="36"/>
      <c r="AE41" s="36"/>
      <c r="AF41" s="36"/>
      <c r="AG41" s="35"/>
      <c r="AH41" s="37"/>
      <c r="AI41" s="37"/>
      <c r="AJ41" s="35"/>
      <c r="AK41" s="35"/>
      <c r="AL41" s="35"/>
      <c r="AM41" s="35"/>
      <c r="AN41" s="36"/>
      <c r="AO41" s="37"/>
      <c r="AP41" s="37"/>
      <c r="AQ41" s="35"/>
      <c r="AR41" s="35"/>
      <c r="AS41" s="35"/>
      <c r="AT41" s="35"/>
      <c r="AU41" s="36"/>
      <c r="AV41" s="37"/>
      <c r="AW41" s="37"/>
      <c r="AX41" s="35"/>
      <c r="AY41" s="35"/>
      <c r="AZ41" s="35"/>
      <c r="BA41" s="35"/>
      <c r="BB41" s="36"/>
      <c r="BC41" s="37"/>
      <c r="BD41" s="37"/>
      <c r="BE41" s="35"/>
      <c r="BF41" s="35"/>
      <c r="BG41" s="35"/>
      <c r="BH41" s="35"/>
      <c r="BI41" s="36"/>
      <c r="BJ41" s="37"/>
      <c r="BK41" s="37"/>
      <c r="BL41" s="35"/>
      <c r="BM41" s="35"/>
      <c r="BN41" s="50"/>
      <c r="BO41" s="51"/>
      <c r="BP41" s="73"/>
      <c r="BQ41" s="47"/>
      <c r="BR41" s="48"/>
      <c r="BS41" s="48"/>
      <c r="BU41" s="50"/>
      <c r="BV41" s="49"/>
      <c r="BW41" s="50"/>
      <c r="BX41" s="49"/>
      <c r="BY41" s="3"/>
      <c r="BZ41" s="3"/>
      <c r="CA41" s="3"/>
      <c r="CB41" s="3"/>
      <c r="CC41" s="3"/>
      <c r="CD41" s="3"/>
    </row>
    <row r="42" spans="1:82" ht="15.5" customHeight="1" x14ac:dyDescent="0.25">
      <c r="A42" s="23"/>
      <c r="B42" s="42"/>
      <c r="C42" s="141" t="s">
        <v>41</v>
      </c>
      <c r="D42" s="44" t="s">
        <v>44</v>
      </c>
      <c r="E42" s="122" t="s">
        <v>61</v>
      </c>
      <c r="F42" s="45"/>
      <c r="G42" s="37"/>
      <c r="H42" s="35"/>
      <c r="I42" s="36"/>
      <c r="J42" s="36"/>
      <c r="K42" s="36"/>
      <c r="L42" s="35"/>
      <c r="M42" s="37"/>
      <c r="N42" s="37"/>
      <c r="O42" s="35"/>
      <c r="P42" s="36"/>
      <c r="Q42" s="36"/>
      <c r="R42" s="36"/>
      <c r="S42" s="35"/>
      <c r="T42" s="37"/>
      <c r="U42" s="37"/>
      <c r="V42" s="35"/>
      <c r="W42" s="36"/>
      <c r="X42" s="36"/>
      <c r="Y42" s="36"/>
      <c r="Z42" s="35"/>
      <c r="AA42" s="37"/>
      <c r="AB42" s="37"/>
      <c r="AC42" s="35"/>
      <c r="AD42" s="35"/>
      <c r="AE42" s="261">
        <v>10000</v>
      </c>
      <c r="AF42" s="259"/>
      <c r="AG42" s="259"/>
      <c r="AH42" s="259"/>
      <c r="AI42" s="259"/>
      <c r="AJ42" s="259"/>
      <c r="AK42" s="260"/>
      <c r="AL42" s="35"/>
      <c r="AM42" s="35"/>
      <c r="AN42" s="36"/>
      <c r="AO42" s="37"/>
      <c r="AP42" s="37"/>
      <c r="AQ42" s="35"/>
      <c r="AR42" s="35"/>
      <c r="AS42" s="35"/>
      <c r="AT42" s="35"/>
      <c r="AU42" s="36"/>
      <c r="AV42" s="37"/>
      <c r="AW42" s="37"/>
      <c r="AX42" s="35"/>
      <c r="AY42" s="35"/>
      <c r="AZ42" s="35"/>
      <c r="BA42" s="35"/>
      <c r="BB42" s="36"/>
      <c r="BC42" s="37"/>
      <c r="BD42" s="37"/>
      <c r="BE42" s="35"/>
      <c r="BF42" s="35"/>
      <c r="BG42" s="35"/>
      <c r="BH42" s="35"/>
      <c r="BI42" s="36"/>
      <c r="BJ42" s="37"/>
      <c r="BK42" s="37"/>
      <c r="BL42" s="35"/>
      <c r="BM42" s="35"/>
      <c r="BN42" s="50">
        <f>SUM(G42:BM42)</f>
        <v>10000</v>
      </c>
      <c r="BO42" s="51">
        <f>BR42</f>
        <v>18750</v>
      </c>
      <c r="BP42" s="100"/>
      <c r="BQ42" s="47">
        <f>BO42*(1-BP42)</f>
        <v>18750</v>
      </c>
      <c r="BR42" s="48">
        <v>18750</v>
      </c>
      <c r="BS42" s="48">
        <f t="shared" ref="BS42:BS44" si="61">BR42*0.8</f>
        <v>15000</v>
      </c>
      <c r="BU42" s="50">
        <f>SUM(G42:AH42)</f>
        <v>10000</v>
      </c>
      <c r="BV42" s="49">
        <f>BQ42*0.8</f>
        <v>15000</v>
      </c>
      <c r="BW42" s="50">
        <f>SUM(AI42:BM42)</f>
        <v>0</v>
      </c>
      <c r="BX42" s="49">
        <v>0</v>
      </c>
      <c r="BY42" s="3"/>
      <c r="BZ42" s="3"/>
      <c r="CA42" s="3"/>
      <c r="CB42" s="3"/>
      <c r="CC42" s="3"/>
      <c r="CD42" s="3"/>
    </row>
    <row r="43" spans="1:82" ht="15.5" customHeight="1" x14ac:dyDescent="0.25">
      <c r="A43" s="23"/>
      <c r="B43" s="42"/>
      <c r="C43" s="141"/>
      <c r="D43" s="44"/>
      <c r="E43" s="122"/>
      <c r="F43" s="123"/>
      <c r="G43" s="37"/>
      <c r="H43" s="35"/>
      <c r="I43" s="36"/>
      <c r="J43" s="36"/>
      <c r="K43" s="36"/>
      <c r="L43" s="35"/>
      <c r="M43" s="37"/>
      <c r="N43" s="37"/>
      <c r="O43" s="35"/>
      <c r="P43" s="36"/>
      <c r="Q43" s="36"/>
      <c r="R43" s="36"/>
      <c r="S43" s="35"/>
      <c r="T43" s="37"/>
      <c r="U43" s="37"/>
      <c r="V43" s="35"/>
      <c r="W43" s="36"/>
      <c r="X43" s="36"/>
      <c r="Y43" s="36"/>
      <c r="Z43" s="35"/>
      <c r="AA43" s="37"/>
      <c r="AB43" s="37"/>
      <c r="AC43" s="35"/>
      <c r="AE43" s="36"/>
      <c r="AF43" s="36"/>
      <c r="AG43" s="36"/>
      <c r="AH43" s="35"/>
      <c r="AI43" s="37"/>
      <c r="AJ43" s="37"/>
      <c r="AK43" s="35"/>
      <c r="AL43" s="35"/>
      <c r="AM43" s="35"/>
      <c r="AN43" s="36"/>
      <c r="AO43" s="37"/>
      <c r="AP43" s="37"/>
      <c r="AQ43" s="35"/>
      <c r="AR43" s="35"/>
      <c r="AS43" s="35"/>
      <c r="AT43" s="35"/>
      <c r="AU43" s="36"/>
      <c r="AV43" s="37"/>
      <c r="AW43" s="37"/>
      <c r="AX43" s="35"/>
      <c r="AY43" s="35"/>
      <c r="AZ43" s="35"/>
      <c r="BA43" s="35"/>
      <c r="BB43" s="36"/>
      <c r="BC43" s="37"/>
      <c r="BD43" s="37"/>
      <c r="BE43" s="35"/>
      <c r="BF43" s="35"/>
      <c r="BG43" s="35"/>
      <c r="BH43" s="35"/>
      <c r="BI43" s="36"/>
      <c r="BJ43" s="37"/>
      <c r="BK43" s="37"/>
      <c r="BL43" s="35"/>
      <c r="BM43" s="35"/>
      <c r="BN43" s="50"/>
      <c r="BO43" s="73"/>
      <c r="BP43" s="100"/>
      <c r="BQ43" s="47"/>
      <c r="BR43" s="48"/>
      <c r="BS43" s="48"/>
      <c r="BU43" s="50"/>
      <c r="BV43" s="49"/>
      <c r="BW43" s="50"/>
      <c r="BX43" s="49"/>
      <c r="BY43" s="3"/>
      <c r="BZ43" s="3"/>
      <c r="CA43" s="3"/>
      <c r="CB43" s="3"/>
      <c r="CC43" s="3"/>
      <c r="CD43" s="3"/>
    </row>
    <row r="44" spans="1:82" ht="15.5" customHeight="1" x14ac:dyDescent="0.25">
      <c r="A44" s="23"/>
      <c r="B44" s="42"/>
      <c r="C44" s="144" t="s">
        <v>67</v>
      </c>
      <c r="D44" s="44" t="s">
        <v>68</v>
      </c>
      <c r="E44" s="44" t="s">
        <v>61</v>
      </c>
      <c r="F44" s="119"/>
      <c r="G44" s="37"/>
      <c r="H44" s="35"/>
      <c r="I44" s="36"/>
      <c r="J44" s="36"/>
      <c r="K44" s="36"/>
      <c r="L44" s="35"/>
      <c r="M44" s="37"/>
      <c r="N44" s="37"/>
      <c r="O44" s="35"/>
      <c r="P44" s="36"/>
      <c r="Q44" s="36"/>
      <c r="R44" s="36"/>
      <c r="S44" s="35"/>
      <c r="T44" s="37"/>
      <c r="U44" s="37"/>
      <c r="V44" s="35"/>
      <c r="W44" s="36"/>
      <c r="X44" s="36"/>
      <c r="Y44" s="36"/>
      <c r="Z44" s="35"/>
      <c r="AA44" s="37"/>
      <c r="AB44" s="37"/>
      <c r="AC44" s="35"/>
      <c r="AD44" s="35"/>
      <c r="AE44" s="35"/>
      <c r="AF44" s="35"/>
      <c r="AG44" s="268">
        <v>1</v>
      </c>
      <c r="AH44" s="269"/>
      <c r="AI44" s="269"/>
      <c r="AJ44" s="269"/>
      <c r="AK44" s="269"/>
      <c r="AL44" s="269"/>
      <c r="AM44" s="270"/>
      <c r="AN44" s="36"/>
      <c r="AO44" s="37"/>
      <c r="AP44" s="37"/>
      <c r="AQ44" s="35"/>
      <c r="AR44" s="35"/>
      <c r="AS44" s="35"/>
      <c r="AT44" s="35"/>
      <c r="AU44" s="36"/>
      <c r="AV44" s="37"/>
      <c r="AW44" s="37"/>
      <c r="AX44" s="35"/>
      <c r="AY44" s="35"/>
      <c r="AZ44" s="35"/>
      <c r="BA44" s="35"/>
      <c r="BB44" s="36"/>
      <c r="BC44" s="37"/>
      <c r="BD44" s="37"/>
      <c r="BE44" s="35"/>
      <c r="BF44" s="35"/>
      <c r="BG44" s="35"/>
      <c r="BH44" s="35"/>
      <c r="BI44" s="36"/>
      <c r="BJ44" s="37"/>
      <c r="BK44" s="37"/>
      <c r="BL44" s="35"/>
      <c r="BM44" s="35"/>
      <c r="BN44" s="50">
        <f>SUM(G44:BM44)</f>
        <v>1</v>
      </c>
      <c r="BO44" s="73">
        <v>15000</v>
      </c>
      <c r="BP44" s="100">
        <v>0.16</v>
      </c>
      <c r="BQ44" s="47">
        <f t="shared" ref="BQ44:BQ54" si="62">BO44*(1-BP44)</f>
        <v>12600</v>
      </c>
      <c r="BR44" s="48">
        <f t="shared" ref="BR44" si="63">BQ44</f>
        <v>12600</v>
      </c>
      <c r="BS44" s="48">
        <f t="shared" si="61"/>
        <v>10080</v>
      </c>
      <c r="BU44" s="50">
        <f>SUM(G44:AH44)</f>
        <v>1</v>
      </c>
      <c r="BV44" s="49">
        <f>BU44*BQ44*0.8</f>
        <v>10080</v>
      </c>
      <c r="BW44" s="50">
        <f>SUM(AI44:BM44)</f>
        <v>0</v>
      </c>
      <c r="BX44" s="49">
        <f>BW44*BQ44*0.8</f>
        <v>0</v>
      </c>
      <c r="BY44" s="3"/>
      <c r="BZ44" s="3"/>
      <c r="CA44" s="3"/>
      <c r="CB44" s="3"/>
      <c r="CC44" s="3"/>
      <c r="CD44" s="3"/>
    </row>
    <row r="45" spans="1:82" ht="15.5" customHeight="1" x14ac:dyDescent="0.25">
      <c r="A45" s="23"/>
      <c r="B45" s="42"/>
      <c r="C45" s="145"/>
      <c r="D45" s="117"/>
      <c r="E45" s="120"/>
      <c r="F45" s="118"/>
      <c r="G45" s="37"/>
      <c r="H45" s="35"/>
      <c r="I45" s="36"/>
      <c r="J45" s="36"/>
      <c r="K45" s="36"/>
      <c r="L45" s="35"/>
      <c r="M45" s="37"/>
      <c r="N45" s="37"/>
      <c r="O45" s="35"/>
      <c r="P45" s="36"/>
      <c r="Q45" s="36"/>
      <c r="R45" s="36"/>
      <c r="S45" s="35"/>
      <c r="T45" s="37"/>
      <c r="U45" s="37"/>
      <c r="V45" s="35"/>
      <c r="W45" s="36"/>
      <c r="X45" s="36"/>
      <c r="Y45" s="36"/>
      <c r="Z45" s="35"/>
      <c r="AA45" s="37"/>
      <c r="AB45" s="37"/>
      <c r="AC45" s="35"/>
      <c r="AD45" s="36"/>
      <c r="AE45" s="36"/>
      <c r="AF45" s="36"/>
      <c r="AG45" s="35"/>
      <c r="AH45" s="37"/>
      <c r="AI45" s="37"/>
      <c r="AJ45" s="35"/>
      <c r="AK45" s="35"/>
      <c r="AL45" s="35"/>
      <c r="AM45" s="35"/>
      <c r="AN45" s="36"/>
      <c r="AO45" s="37"/>
      <c r="AP45" s="37"/>
      <c r="AQ45" s="35"/>
      <c r="AR45" s="35"/>
      <c r="AS45" s="35"/>
      <c r="AT45" s="35"/>
      <c r="AU45" s="36"/>
      <c r="AV45" s="37"/>
      <c r="AW45" s="37"/>
      <c r="AX45" s="35"/>
      <c r="AY45" s="35"/>
      <c r="AZ45" s="35"/>
      <c r="BA45" s="35"/>
      <c r="BB45" s="36"/>
      <c r="BC45" s="37"/>
      <c r="BD45" s="37"/>
      <c r="BE45" s="35"/>
      <c r="BF45" s="35"/>
      <c r="BG45" s="35"/>
      <c r="BH45" s="35"/>
      <c r="BI45" s="36"/>
      <c r="BJ45" s="37"/>
      <c r="BK45" s="37"/>
      <c r="BL45" s="35"/>
      <c r="BM45" s="35"/>
      <c r="BN45" s="124"/>
      <c r="BO45" s="73"/>
      <c r="BP45" s="100"/>
      <c r="BQ45" s="47"/>
      <c r="BR45" s="129"/>
      <c r="BS45" s="129"/>
      <c r="BU45" s="131"/>
      <c r="BV45" s="49"/>
      <c r="BW45" s="131"/>
      <c r="BX45" s="49"/>
      <c r="BY45" s="3"/>
      <c r="BZ45" s="3"/>
      <c r="CA45" s="3"/>
      <c r="CB45" s="3"/>
      <c r="CC45" s="3"/>
      <c r="CD45" s="3"/>
    </row>
    <row r="46" spans="1:82" ht="15.5" customHeight="1" x14ac:dyDescent="0.25">
      <c r="A46" s="23"/>
      <c r="B46" s="42"/>
      <c r="C46" s="145" t="s">
        <v>21</v>
      </c>
      <c r="D46" s="117" t="s">
        <v>84</v>
      </c>
      <c r="E46" s="120" t="s">
        <v>61</v>
      </c>
      <c r="F46" s="118"/>
      <c r="G46" s="37"/>
      <c r="H46" s="35"/>
      <c r="I46" s="36"/>
      <c r="J46" s="36"/>
      <c r="K46" s="36"/>
      <c r="L46" s="35"/>
      <c r="M46" s="37"/>
      <c r="N46" s="37"/>
      <c r="O46" s="35"/>
      <c r="P46" s="36"/>
      <c r="Q46" s="36"/>
      <c r="R46" s="36"/>
      <c r="S46" s="35"/>
      <c r="T46" s="37"/>
      <c r="U46" s="37"/>
      <c r="V46" s="35"/>
      <c r="W46" s="36"/>
      <c r="X46" s="36"/>
      <c r="Y46" s="36"/>
      <c r="Z46" s="35"/>
      <c r="AA46" s="37"/>
      <c r="AB46" s="37"/>
      <c r="AC46" s="35"/>
      <c r="AD46" s="35"/>
      <c r="AE46" s="261">
        <v>1</v>
      </c>
      <c r="AF46" s="259"/>
      <c r="AG46" s="259"/>
      <c r="AH46" s="259"/>
      <c r="AI46" s="259"/>
      <c r="AJ46" s="259"/>
      <c r="AK46" s="260"/>
      <c r="AL46" s="35"/>
      <c r="AM46" s="35"/>
      <c r="AN46" s="36"/>
      <c r="AO46" s="37"/>
      <c r="AP46" s="37"/>
      <c r="AQ46" s="35"/>
      <c r="AR46" s="35"/>
      <c r="AS46" s="35"/>
      <c r="AT46" s="35"/>
      <c r="AU46" s="36"/>
      <c r="AV46" s="37"/>
      <c r="AW46" s="37"/>
      <c r="AX46" s="35"/>
      <c r="AY46" s="35"/>
      <c r="AZ46" s="35"/>
      <c r="BA46" s="35"/>
      <c r="BB46" s="36"/>
      <c r="BC46" s="37"/>
      <c r="BD46" s="37"/>
      <c r="BE46" s="35"/>
      <c r="BF46" s="35"/>
      <c r="BG46" s="35"/>
      <c r="BH46" s="35"/>
      <c r="BI46" s="36"/>
      <c r="BJ46" s="37"/>
      <c r="BK46" s="37"/>
      <c r="BL46" s="35"/>
      <c r="BM46" s="35"/>
      <c r="BN46" s="257">
        <f t="shared" ref="BN46" si="64">SUM(G46:BM46)</f>
        <v>1</v>
      </c>
      <c r="BO46" s="73"/>
      <c r="BP46" s="100"/>
      <c r="BQ46" s="47"/>
      <c r="BR46" s="256">
        <v>15000</v>
      </c>
      <c r="BS46" s="256">
        <f t="shared" ref="BS46" si="65">BR46*0.8</f>
        <v>12000</v>
      </c>
      <c r="BU46" s="50"/>
      <c r="BV46" s="49"/>
      <c r="BW46" s="50"/>
      <c r="BX46" s="49"/>
      <c r="BY46" s="3"/>
      <c r="BZ46" s="3"/>
      <c r="CA46" s="3"/>
      <c r="CB46" s="3"/>
      <c r="CC46" s="3"/>
      <c r="CD46" s="3"/>
    </row>
    <row r="47" spans="1:82" ht="15.5" customHeight="1" x14ac:dyDescent="0.25">
      <c r="A47" s="23"/>
      <c r="B47" s="42"/>
      <c r="C47" s="145"/>
      <c r="D47" s="117" t="s">
        <v>85</v>
      </c>
      <c r="E47" s="120"/>
      <c r="F47" s="118"/>
      <c r="G47" s="37"/>
      <c r="H47" s="35"/>
      <c r="I47" s="36"/>
      <c r="J47" s="36"/>
      <c r="K47" s="36"/>
      <c r="L47" s="35"/>
      <c r="M47" s="37"/>
      <c r="N47" s="37"/>
      <c r="O47" s="35"/>
      <c r="P47" s="36"/>
      <c r="Q47" s="36"/>
      <c r="R47" s="36"/>
      <c r="S47" s="35"/>
      <c r="T47" s="37"/>
      <c r="U47" s="37"/>
      <c r="V47" s="35"/>
      <c r="W47" s="36"/>
      <c r="X47" s="36"/>
      <c r="Y47" s="36"/>
      <c r="Z47" s="35"/>
      <c r="AA47" s="37"/>
      <c r="AB47" s="37"/>
      <c r="AC47" s="35"/>
      <c r="AD47" s="35"/>
      <c r="AE47" s="261">
        <v>1</v>
      </c>
      <c r="AF47" s="259"/>
      <c r="AG47" s="259"/>
      <c r="AH47" s="259"/>
      <c r="AI47" s="259"/>
      <c r="AJ47" s="259"/>
      <c r="AK47" s="260"/>
      <c r="AL47" s="35"/>
      <c r="AM47" s="35"/>
      <c r="AN47" s="36"/>
      <c r="AO47" s="37"/>
      <c r="AP47" s="37"/>
      <c r="AQ47" s="35"/>
      <c r="AR47" s="35"/>
      <c r="AS47" s="35"/>
      <c r="AT47" s="35"/>
      <c r="AU47" s="36"/>
      <c r="AV47" s="37"/>
      <c r="AW47" s="37"/>
      <c r="AX47" s="35"/>
      <c r="AY47" s="35"/>
      <c r="AZ47" s="35"/>
      <c r="BA47" s="35"/>
      <c r="BB47" s="36"/>
      <c r="BC47" s="37"/>
      <c r="BD47" s="37"/>
      <c r="BE47" s="35"/>
      <c r="BF47" s="35"/>
      <c r="BG47" s="35"/>
      <c r="BH47" s="35"/>
      <c r="BI47" s="36"/>
      <c r="BJ47" s="37"/>
      <c r="BK47" s="37"/>
      <c r="BL47" s="35"/>
      <c r="BM47" s="35"/>
      <c r="BN47" s="257"/>
      <c r="BO47" s="73">
        <v>15000</v>
      </c>
      <c r="BP47" s="100"/>
      <c r="BQ47" s="47">
        <f t="shared" si="62"/>
        <v>15000</v>
      </c>
      <c r="BR47" s="256"/>
      <c r="BS47" s="256"/>
      <c r="BU47" s="50">
        <f>SUM(G47:AH47)</f>
        <v>1</v>
      </c>
      <c r="BV47" s="49">
        <f>BS46</f>
        <v>12000</v>
      </c>
      <c r="BW47" s="50">
        <f>SUM(AI47:BM47)</f>
        <v>0</v>
      </c>
      <c r="BX47" s="49">
        <f>BU46</f>
        <v>0</v>
      </c>
      <c r="BY47" s="3"/>
      <c r="BZ47" s="3"/>
      <c r="CA47" s="3"/>
      <c r="CB47" s="3"/>
      <c r="CC47" s="3"/>
      <c r="CD47" s="3"/>
    </row>
    <row r="48" spans="1:82" ht="15.5" customHeight="1" x14ac:dyDescent="0.25">
      <c r="A48" s="23"/>
      <c r="B48" s="42"/>
      <c r="C48" s="145"/>
      <c r="D48" s="117" t="s">
        <v>82</v>
      </c>
      <c r="E48" s="44" t="s">
        <v>95</v>
      </c>
      <c r="F48" s="118"/>
      <c r="G48" s="37"/>
      <c r="H48" s="35"/>
      <c r="I48" s="36"/>
      <c r="J48" s="36"/>
      <c r="K48" s="36"/>
      <c r="L48" s="35"/>
      <c r="M48" s="37"/>
      <c r="N48" s="37"/>
      <c r="O48" s="35"/>
      <c r="P48" s="36"/>
      <c r="Q48" s="36"/>
      <c r="R48" s="36"/>
      <c r="S48" s="35"/>
      <c r="T48" s="37"/>
      <c r="U48" s="37"/>
      <c r="V48" s="35"/>
      <c r="W48" s="36"/>
      <c r="X48" s="36"/>
      <c r="Y48" s="36"/>
      <c r="Z48" s="35"/>
      <c r="AA48" s="37"/>
      <c r="AB48" s="37"/>
      <c r="AC48" s="35"/>
      <c r="AD48" s="35"/>
      <c r="AE48" s="261">
        <v>1</v>
      </c>
      <c r="AF48" s="259"/>
      <c r="AG48" s="259"/>
      <c r="AH48" s="259"/>
      <c r="AI48" s="259"/>
      <c r="AJ48" s="259"/>
      <c r="AK48" s="260"/>
      <c r="AL48" s="35"/>
      <c r="AM48" s="35"/>
      <c r="AN48" s="36"/>
      <c r="AO48" s="37"/>
      <c r="AP48" s="37"/>
      <c r="AQ48" s="35"/>
      <c r="AR48" s="35"/>
      <c r="AS48" s="35"/>
      <c r="AT48" s="35"/>
      <c r="AU48" s="36"/>
      <c r="AV48" s="37"/>
      <c r="AW48" s="37"/>
      <c r="AX48" s="35"/>
      <c r="AY48" s="35"/>
      <c r="AZ48" s="35"/>
      <c r="BA48" s="35"/>
      <c r="BB48" s="36"/>
      <c r="BC48" s="37"/>
      <c r="BD48" s="37"/>
      <c r="BE48" s="35"/>
      <c r="BF48" s="35"/>
      <c r="BG48" s="35"/>
      <c r="BH48" s="35"/>
      <c r="BI48" s="36"/>
      <c r="BJ48" s="37"/>
      <c r="BK48" s="37"/>
      <c r="BL48" s="35"/>
      <c r="BM48" s="35"/>
      <c r="BN48" s="257"/>
      <c r="BO48" s="73"/>
      <c r="BP48" s="100"/>
      <c r="BQ48" s="47"/>
      <c r="BR48" s="256"/>
      <c r="BS48" s="256"/>
      <c r="BU48" s="50"/>
      <c r="BV48" s="49"/>
      <c r="BW48" s="50"/>
      <c r="BX48" s="49"/>
      <c r="BY48" s="3"/>
      <c r="BZ48" s="3"/>
      <c r="CA48" s="3"/>
      <c r="CB48" s="3"/>
      <c r="CC48" s="3"/>
      <c r="CD48" s="3"/>
    </row>
    <row r="49" spans="1:82" ht="15.5" customHeight="1" x14ac:dyDescent="0.25">
      <c r="A49" s="23"/>
      <c r="B49" s="42"/>
      <c r="C49" s="145"/>
      <c r="D49" s="117"/>
      <c r="E49" s="120"/>
      <c r="F49" s="118"/>
      <c r="G49" s="37"/>
      <c r="H49" s="35"/>
      <c r="I49" s="36"/>
      <c r="J49" s="36"/>
      <c r="K49" s="36"/>
      <c r="L49" s="35"/>
      <c r="M49" s="37"/>
      <c r="N49" s="37"/>
      <c r="O49" s="35"/>
      <c r="P49" s="36"/>
      <c r="Q49" s="36"/>
      <c r="R49" s="36"/>
      <c r="S49" s="35"/>
      <c r="T49" s="37"/>
      <c r="U49" s="37"/>
      <c r="V49" s="35"/>
      <c r="W49" s="36"/>
      <c r="X49" s="36"/>
      <c r="Y49" s="36"/>
      <c r="Z49" s="35"/>
      <c r="AA49" s="37"/>
      <c r="AB49" s="37"/>
      <c r="AC49" s="35"/>
      <c r="AD49" s="36"/>
      <c r="AE49" s="36"/>
      <c r="AF49" s="36"/>
      <c r="AG49" s="35"/>
      <c r="AH49" s="37"/>
      <c r="AI49" s="37"/>
      <c r="AJ49" s="35"/>
      <c r="AK49" s="35"/>
      <c r="AL49" s="35"/>
      <c r="AM49" s="35"/>
      <c r="AN49" s="36"/>
      <c r="AO49" s="37"/>
      <c r="AP49" s="37"/>
      <c r="AQ49" s="35"/>
      <c r="AR49" s="35"/>
      <c r="AS49" s="35"/>
      <c r="AT49" s="35"/>
      <c r="AU49" s="36"/>
      <c r="AV49" s="37"/>
      <c r="AW49" s="37"/>
      <c r="AX49" s="35"/>
      <c r="AY49" s="35"/>
      <c r="AZ49" s="35"/>
      <c r="BA49" s="35"/>
      <c r="BB49" s="36"/>
      <c r="BC49" s="37"/>
      <c r="BD49" s="37"/>
      <c r="BE49" s="35"/>
      <c r="BF49" s="35"/>
      <c r="BG49" s="35"/>
      <c r="BH49" s="35"/>
      <c r="BI49" s="36"/>
      <c r="BJ49" s="37"/>
      <c r="BK49" s="37"/>
      <c r="BL49" s="35"/>
      <c r="BM49" s="35"/>
      <c r="BN49" s="124"/>
      <c r="BO49" s="73"/>
      <c r="BP49" s="100"/>
      <c r="BQ49" s="47"/>
      <c r="BR49" s="129"/>
      <c r="BS49" s="129"/>
      <c r="BU49" s="50"/>
      <c r="BV49" s="49"/>
      <c r="BW49" s="50"/>
      <c r="BX49" s="49"/>
      <c r="BY49" s="3"/>
      <c r="BZ49" s="3"/>
      <c r="CA49" s="3"/>
      <c r="CB49" s="3"/>
      <c r="CC49" s="3"/>
      <c r="CD49" s="3"/>
    </row>
    <row r="50" spans="1:82" ht="15.5" customHeight="1" x14ac:dyDescent="0.25">
      <c r="A50" s="23"/>
      <c r="B50" s="42"/>
      <c r="C50" s="145" t="s">
        <v>83</v>
      </c>
      <c r="D50" s="117" t="s">
        <v>90</v>
      </c>
      <c r="E50" s="120" t="s">
        <v>61</v>
      </c>
      <c r="F50" s="118"/>
      <c r="G50" s="37"/>
      <c r="H50" s="35"/>
      <c r="I50" s="36"/>
      <c r="J50" s="36"/>
      <c r="K50" s="36"/>
      <c r="L50" s="35"/>
      <c r="M50" s="37"/>
      <c r="N50" s="37"/>
      <c r="O50" s="35"/>
      <c r="P50" s="36"/>
      <c r="Q50" s="36"/>
      <c r="R50" s="36"/>
      <c r="S50" s="35"/>
      <c r="T50" s="37"/>
      <c r="U50" s="37"/>
      <c r="V50" s="35"/>
      <c r="W50" s="36"/>
      <c r="X50" s="36"/>
      <c r="Y50" s="36"/>
      <c r="Z50" s="35"/>
      <c r="AA50" s="37"/>
      <c r="AB50" s="37"/>
      <c r="AC50" s="35"/>
      <c r="AD50" s="36"/>
      <c r="AE50" s="36"/>
      <c r="AF50" s="36"/>
      <c r="AG50" s="35"/>
      <c r="AH50" s="37"/>
      <c r="AI50" s="37"/>
      <c r="AJ50" s="35"/>
      <c r="AK50" s="35"/>
      <c r="AL50" s="35"/>
      <c r="AM50" s="35"/>
      <c r="AN50" s="36"/>
      <c r="AO50" s="37"/>
      <c r="AP50" s="37"/>
      <c r="AQ50" s="35"/>
      <c r="AR50" s="35"/>
      <c r="AS50" s="35"/>
      <c r="AT50" s="35"/>
      <c r="AU50" s="36">
        <v>8</v>
      </c>
      <c r="AV50" s="37">
        <v>8</v>
      </c>
      <c r="AW50" s="37">
        <v>8</v>
      </c>
      <c r="AX50" s="35">
        <v>8</v>
      </c>
      <c r="AY50" s="35">
        <v>8</v>
      </c>
      <c r="AZ50" s="35">
        <v>8</v>
      </c>
      <c r="BA50" s="35">
        <v>8</v>
      </c>
      <c r="BB50" s="36"/>
      <c r="BC50" s="37"/>
      <c r="BD50" s="37"/>
      <c r="BE50" s="35"/>
      <c r="BF50" s="35"/>
      <c r="BG50" s="35"/>
      <c r="BH50" s="35"/>
      <c r="BI50" s="36"/>
      <c r="BJ50" s="37"/>
      <c r="BK50" s="37"/>
      <c r="BL50" s="35"/>
      <c r="BM50" s="35"/>
      <c r="BN50" s="50">
        <f>SUM(G50:BM50)</f>
        <v>56</v>
      </c>
      <c r="BO50" s="271">
        <v>17500</v>
      </c>
      <c r="BP50" s="100"/>
      <c r="BQ50" s="47"/>
      <c r="BR50" s="256">
        <v>17500</v>
      </c>
      <c r="BS50" s="256">
        <f t="shared" ref="BS50" si="66">BR50*0.8</f>
        <v>14000</v>
      </c>
      <c r="BU50" s="50"/>
      <c r="BV50" s="49"/>
      <c r="BW50" s="50"/>
      <c r="BX50" s="49"/>
      <c r="BY50" s="3"/>
      <c r="BZ50" s="3"/>
      <c r="CA50" s="3"/>
      <c r="CB50" s="3"/>
      <c r="CC50" s="3"/>
      <c r="CD50" s="3"/>
    </row>
    <row r="51" spans="1:82" ht="15.5" customHeight="1" x14ac:dyDescent="0.25">
      <c r="A51" s="23"/>
      <c r="B51" s="42"/>
      <c r="C51" s="145"/>
      <c r="D51" s="117" t="s">
        <v>91</v>
      </c>
      <c r="E51" s="120"/>
      <c r="F51" s="118"/>
      <c r="G51" s="37"/>
      <c r="H51" s="35"/>
      <c r="I51" s="36"/>
      <c r="J51" s="36"/>
      <c r="K51" s="36"/>
      <c r="L51" s="35"/>
      <c r="M51" s="37"/>
      <c r="N51" s="37"/>
      <c r="O51" s="35"/>
      <c r="P51" s="36"/>
      <c r="Q51" s="36"/>
      <c r="R51" s="36"/>
      <c r="S51" s="35"/>
      <c r="T51" s="37"/>
      <c r="U51" s="37"/>
      <c r="V51" s="35"/>
      <c r="W51" s="36"/>
      <c r="X51" s="36"/>
      <c r="Y51" s="36"/>
      <c r="Z51" s="35"/>
      <c r="AA51" s="37"/>
      <c r="AB51" s="37"/>
      <c r="AC51" s="35"/>
      <c r="AD51" s="36"/>
      <c r="AE51" s="35"/>
      <c r="AF51" s="36"/>
      <c r="AG51" s="35"/>
      <c r="AH51" s="37"/>
      <c r="AI51" s="37"/>
      <c r="AJ51" s="35"/>
      <c r="AK51" s="36"/>
      <c r="AL51" s="35"/>
      <c r="AM51" s="35"/>
      <c r="AN51" s="36"/>
      <c r="AO51" s="37"/>
      <c r="AP51" s="37"/>
      <c r="AQ51" s="35"/>
      <c r="AR51" s="35">
        <v>1</v>
      </c>
      <c r="AS51" s="35"/>
      <c r="AT51" s="35"/>
      <c r="AU51" s="36"/>
      <c r="AV51" s="37"/>
      <c r="AW51" s="37"/>
      <c r="AX51" s="35"/>
      <c r="AY51" s="35"/>
      <c r="AZ51" s="35"/>
      <c r="BA51" s="35"/>
      <c r="BB51" s="36"/>
      <c r="BC51" s="37"/>
      <c r="BD51" s="37"/>
      <c r="BE51" s="35"/>
      <c r="BF51" s="35"/>
      <c r="BG51" s="35"/>
      <c r="BH51" s="35"/>
      <c r="BI51" s="36"/>
      <c r="BJ51" s="37"/>
      <c r="BK51" s="37"/>
      <c r="BL51" s="35"/>
      <c r="BM51" s="35"/>
      <c r="BN51" s="50"/>
      <c r="BO51" s="271"/>
      <c r="BP51" s="100"/>
      <c r="BQ51" s="47">
        <f>BO50</f>
        <v>17500</v>
      </c>
      <c r="BR51" s="256"/>
      <c r="BS51" s="256"/>
      <c r="BU51" s="50">
        <f>SUM(G51:AH51)</f>
        <v>0</v>
      </c>
      <c r="BV51" s="49">
        <f>BU51*BQ51*0.8</f>
        <v>0</v>
      </c>
      <c r="BW51" s="50">
        <f>SUM(AI51:BM51)</f>
        <v>1</v>
      </c>
      <c r="BX51" s="49">
        <f>BW51*BQ51*0.8</f>
        <v>14000</v>
      </c>
      <c r="BY51" s="3"/>
      <c r="BZ51" s="3"/>
      <c r="CA51" s="3"/>
      <c r="CB51" s="3"/>
      <c r="CC51" s="3"/>
      <c r="CD51" s="3"/>
    </row>
    <row r="52" spans="1:82" ht="15.5" customHeight="1" x14ac:dyDescent="0.25">
      <c r="A52" s="23"/>
      <c r="B52" s="42"/>
      <c r="C52" s="145"/>
      <c r="D52" s="117" t="s">
        <v>86</v>
      </c>
      <c r="E52" s="120"/>
      <c r="F52" s="118"/>
      <c r="G52" s="37"/>
      <c r="H52" s="35"/>
      <c r="I52" s="36"/>
      <c r="J52" s="36"/>
      <c r="K52" s="36"/>
      <c r="L52" s="35"/>
      <c r="M52" s="37"/>
      <c r="N52" s="37"/>
      <c r="O52" s="35"/>
      <c r="P52" s="36"/>
      <c r="Q52" s="36"/>
      <c r="R52" s="36"/>
      <c r="S52" s="35"/>
      <c r="T52" s="37"/>
      <c r="U52" s="37"/>
      <c r="V52" s="35"/>
      <c r="W52" s="36"/>
      <c r="X52" s="36"/>
      <c r="Y52" s="36"/>
      <c r="Z52" s="35"/>
      <c r="AA52" s="37"/>
      <c r="AB52" s="37"/>
      <c r="AC52" s="35"/>
      <c r="AD52" s="36"/>
      <c r="AE52" s="35"/>
      <c r="AF52" s="36"/>
      <c r="AG52" s="36"/>
      <c r="AH52" s="37"/>
      <c r="AI52" s="37"/>
      <c r="AJ52" s="35"/>
      <c r="AK52" s="268">
        <v>1</v>
      </c>
      <c r="AL52" s="269"/>
      <c r="AM52" s="269"/>
      <c r="AN52" s="269"/>
      <c r="AO52" s="269"/>
      <c r="AP52" s="269"/>
      <c r="AQ52" s="270"/>
      <c r="AR52" s="35"/>
      <c r="AS52" s="35"/>
      <c r="AT52" s="35"/>
      <c r="AU52" s="36"/>
      <c r="AV52" s="37"/>
      <c r="AW52" s="37"/>
      <c r="AX52" s="35"/>
      <c r="AY52" s="35"/>
      <c r="AZ52" s="35"/>
      <c r="BA52" s="35"/>
      <c r="BB52" s="36"/>
      <c r="BC52" s="37"/>
      <c r="BD52" s="37"/>
      <c r="BE52" s="35"/>
      <c r="BF52" s="35"/>
      <c r="BG52" s="35"/>
      <c r="BH52" s="35"/>
      <c r="BI52" s="36"/>
      <c r="BJ52" s="37"/>
      <c r="BK52" s="37"/>
      <c r="BL52" s="35"/>
      <c r="BM52" s="35"/>
      <c r="BN52" s="124"/>
      <c r="BO52" s="271"/>
      <c r="BP52" s="100"/>
      <c r="BQ52" s="47"/>
      <c r="BR52" s="256"/>
      <c r="BS52" s="256"/>
      <c r="BU52" s="50"/>
      <c r="BV52" s="49"/>
      <c r="BW52" s="50"/>
      <c r="BX52" s="49"/>
      <c r="BY52" s="3"/>
      <c r="BZ52" s="3"/>
      <c r="CA52" s="3"/>
      <c r="CB52" s="3"/>
      <c r="CC52" s="3"/>
      <c r="CD52" s="3"/>
    </row>
    <row r="53" spans="1:82" ht="15.5" customHeight="1" x14ac:dyDescent="0.25">
      <c r="A53" s="23"/>
      <c r="B53" s="42"/>
      <c r="C53" s="145"/>
      <c r="D53" s="117"/>
      <c r="E53" s="120"/>
      <c r="F53" s="118"/>
      <c r="G53" s="37"/>
      <c r="H53" s="35"/>
      <c r="I53" s="36"/>
      <c r="J53" s="36"/>
      <c r="K53" s="36"/>
      <c r="L53" s="35"/>
      <c r="M53" s="37"/>
      <c r="N53" s="37"/>
      <c r="O53" s="35"/>
      <c r="P53" s="36"/>
      <c r="Q53" s="36"/>
      <c r="R53" s="36"/>
      <c r="S53" s="35"/>
      <c r="T53" s="37"/>
      <c r="U53" s="37"/>
      <c r="V53" s="35"/>
      <c r="W53" s="36"/>
      <c r="X53" s="36"/>
      <c r="Y53" s="36"/>
      <c r="Z53" s="35"/>
      <c r="AA53" s="37"/>
      <c r="AB53" s="37"/>
      <c r="AC53" s="35"/>
      <c r="AD53" s="36"/>
      <c r="AE53" s="36"/>
      <c r="AF53" s="36"/>
      <c r="AG53" s="35"/>
      <c r="AH53" s="37"/>
      <c r="AI53" s="37"/>
      <c r="AJ53" s="35"/>
      <c r="AK53" s="35"/>
      <c r="AL53" s="35"/>
      <c r="AM53" s="35"/>
      <c r="AN53" s="36"/>
      <c r="AO53" s="37"/>
      <c r="AP53" s="37"/>
      <c r="AQ53" s="35"/>
      <c r="AR53" s="35"/>
      <c r="AS53" s="35"/>
      <c r="AT53" s="35"/>
      <c r="AU53" s="36"/>
      <c r="AV53" s="37"/>
      <c r="AW53" s="37"/>
      <c r="AX53" s="35"/>
      <c r="AY53" s="35"/>
      <c r="AZ53" s="35"/>
      <c r="BA53" s="35"/>
      <c r="BB53" s="36"/>
      <c r="BC53" s="37"/>
      <c r="BD53" s="37"/>
      <c r="BE53" s="35"/>
      <c r="BF53" s="35"/>
      <c r="BG53" s="35"/>
      <c r="BH53" s="35"/>
      <c r="BI53" s="36"/>
      <c r="BJ53" s="37"/>
      <c r="BK53" s="37"/>
      <c r="BL53" s="35"/>
      <c r="BM53" s="35"/>
      <c r="BN53" s="124"/>
      <c r="BO53" s="73"/>
      <c r="BP53" s="100"/>
      <c r="BQ53" s="47"/>
      <c r="BR53" s="129"/>
      <c r="BS53" s="129"/>
      <c r="BU53" s="50"/>
      <c r="BV53" s="49"/>
      <c r="BW53" s="50"/>
      <c r="BX53" s="49"/>
      <c r="BY53" s="3"/>
      <c r="BZ53" s="3"/>
      <c r="CA53" s="3"/>
      <c r="CB53" s="3"/>
      <c r="CC53" s="3"/>
      <c r="CD53" s="3"/>
    </row>
    <row r="54" spans="1:82" ht="15.5" customHeight="1" x14ac:dyDescent="0.25">
      <c r="A54" s="23"/>
      <c r="B54" s="42"/>
      <c r="C54" s="145" t="s">
        <v>87</v>
      </c>
      <c r="D54" s="117" t="s">
        <v>88</v>
      </c>
      <c r="E54" s="120" t="s">
        <v>61</v>
      </c>
      <c r="F54" s="118"/>
      <c r="G54" s="37"/>
      <c r="H54" s="35"/>
      <c r="I54" s="36"/>
      <c r="J54" s="36"/>
      <c r="K54" s="36"/>
      <c r="L54" s="35"/>
      <c r="M54" s="37"/>
      <c r="N54" s="37"/>
      <c r="O54" s="35"/>
      <c r="P54" s="36"/>
      <c r="Q54" s="36"/>
      <c r="R54" s="36"/>
      <c r="S54" s="35"/>
      <c r="T54" s="37"/>
      <c r="U54" s="37"/>
      <c r="V54" s="35"/>
      <c r="W54" s="36"/>
      <c r="X54" s="36"/>
      <c r="Y54" s="36"/>
      <c r="Z54" s="35"/>
      <c r="AA54" s="37"/>
      <c r="AB54" s="37"/>
      <c r="AC54" s="35"/>
      <c r="AD54" s="36"/>
      <c r="AE54" s="36"/>
      <c r="AF54" s="36"/>
      <c r="AG54" s="35"/>
      <c r="AH54" s="37"/>
      <c r="AI54" s="37"/>
      <c r="AJ54" s="35"/>
      <c r="AK54" s="35"/>
      <c r="AL54" s="35"/>
      <c r="AM54" s="35"/>
      <c r="AN54" s="36"/>
      <c r="AO54" s="37"/>
      <c r="AP54" s="37"/>
      <c r="AQ54" s="35"/>
      <c r="AR54" s="35"/>
      <c r="AS54" s="35"/>
      <c r="AT54" s="268">
        <v>1</v>
      </c>
      <c r="AU54" s="269"/>
      <c r="AV54" s="269"/>
      <c r="AW54" s="269"/>
      <c r="AX54" s="269"/>
      <c r="AY54" s="269"/>
      <c r="AZ54" s="270"/>
      <c r="BA54" s="35"/>
      <c r="BB54" s="36"/>
      <c r="BC54" s="37"/>
      <c r="BD54" s="37"/>
      <c r="BE54" s="35"/>
      <c r="BF54" s="35"/>
      <c r="BG54" s="35"/>
      <c r="BH54" s="35"/>
      <c r="BI54" s="36"/>
      <c r="BJ54" s="37"/>
      <c r="BK54" s="37"/>
      <c r="BL54" s="35"/>
      <c r="BM54" s="35"/>
      <c r="BN54" s="50">
        <f>SUM(G54:BM54)</f>
        <v>1</v>
      </c>
      <c r="BO54" s="271">
        <v>27900</v>
      </c>
      <c r="BP54" s="272"/>
      <c r="BQ54" s="256">
        <f t="shared" si="62"/>
        <v>27900</v>
      </c>
      <c r="BR54" s="256">
        <v>27900</v>
      </c>
      <c r="BS54" s="256">
        <f>BR54*0.8</f>
        <v>22320</v>
      </c>
      <c r="BU54" s="257">
        <f>SUM(U54:AH54)</f>
        <v>0</v>
      </c>
      <c r="BV54" s="273">
        <f>BU54*BQ54*0.8</f>
        <v>0</v>
      </c>
      <c r="BW54" s="257">
        <f>SUM(AI54:BM54)</f>
        <v>1</v>
      </c>
      <c r="BX54" s="273">
        <f>BW54*BQ54*0.8</f>
        <v>22320</v>
      </c>
      <c r="BY54" s="3"/>
      <c r="BZ54" s="3"/>
      <c r="CA54" s="3"/>
      <c r="CB54" s="3"/>
      <c r="CC54" s="3"/>
      <c r="CD54" s="3"/>
    </row>
    <row r="55" spans="1:82" ht="15.5" customHeight="1" x14ac:dyDescent="0.25">
      <c r="A55" s="23"/>
      <c r="B55" s="42"/>
      <c r="C55" s="145"/>
      <c r="D55" s="117" t="s">
        <v>89</v>
      </c>
      <c r="E55" s="120"/>
      <c r="F55" s="118"/>
      <c r="G55" s="37"/>
      <c r="H55" s="35"/>
      <c r="I55" s="36"/>
      <c r="J55" s="36"/>
      <c r="K55" s="36"/>
      <c r="L55" s="35"/>
      <c r="M55" s="37"/>
      <c r="N55" s="37"/>
      <c r="O55" s="35"/>
      <c r="P55" s="36"/>
      <c r="Q55" s="36"/>
      <c r="R55" s="36"/>
      <c r="S55" s="35"/>
      <c r="T55" s="37"/>
      <c r="U55" s="37"/>
      <c r="V55" s="35"/>
      <c r="W55" s="36"/>
      <c r="X55" s="36"/>
      <c r="Y55" s="36"/>
      <c r="Z55" s="35"/>
      <c r="AA55" s="37"/>
      <c r="AB55" s="37"/>
      <c r="AC55" s="35"/>
      <c r="AD55" s="36"/>
      <c r="AE55" s="36"/>
      <c r="AF55" s="36"/>
      <c r="AG55" s="35"/>
      <c r="AH55" s="37"/>
      <c r="AI55" s="37"/>
      <c r="AJ55" s="35"/>
      <c r="AK55" s="35"/>
      <c r="AL55" s="35"/>
      <c r="AM55" s="35"/>
      <c r="AN55" s="36"/>
      <c r="AO55" s="37"/>
      <c r="AP55" s="37"/>
      <c r="AQ55" s="35"/>
      <c r="AR55" s="35"/>
      <c r="AS55" s="35"/>
      <c r="AT55" s="268">
        <v>1</v>
      </c>
      <c r="AU55" s="269"/>
      <c r="AV55" s="269"/>
      <c r="AW55" s="269"/>
      <c r="AX55" s="269"/>
      <c r="AY55" s="269"/>
      <c r="AZ55" s="270"/>
      <c r="BA55" s="35"/>
      <c r="BB55" s="36"/>
      <c r="BC55" s="37"/>
      <c r="BD55" s="37"/>
      <c r="BE55" s="35"/>
      <c r="BF55" s="35"/>
      <c r="BG55" s="35"/>
      <c r="BH55" s="35"/>
      <c r="BI55" s="36"/>
      <c r="BJ55" s="37"/>
      <c r="BK55" s="37"/>
      <c r="BL55" s="35"/>
      <c r="BM55" s="35"/>
      <c r="BN55" s="50">
        <f>SUM(G55:BM55)</f>
        <v>1</v>
      </c>
      <c r="BO55" s="271"/>
      <c r="BP55" s="272"/>
      <c r="BQ55" s="256"/>
      <c r="BR55" s="256"/>
      <c r="BS55" s="256"/>
      <c r="BU55" s="257"/>
      <c r="BV55" s="273"/>
      <c r="BW55" s="257"/>
      <c r="BX55" s="273"/>
      <c r="BY55" s="3"/>
      <c r="BZ55" s="3"/>
      <c r="CA55" s="3"/>
      <c r="CB55" s="3"/>
      <c r="CC55" s="3"/>
      <c r="CD55" s="3"/>
    </row>
    <row r="56" spans="1:82" ht="15.5" customHeight="1" x14ac:dyDescent="0.25">
      <c r="A56" s="23"/>
      <c r="B56" s="42"/>
      <c r="C56" s="143"/>
      <c r="D56" s="117"/>
      <c r="E56" s="120"/>
      <c r="F56" s="118"/>
      <c r="G56" s="37"/>
      <c r="H56" s="35"/>
      <c r="I56" s="36"/>
      <c r="J56" s="36"/>
      <c r="K56" s="36"/>
      <c r="L56" s="35"/>
      <c r="M56" s="37"/>
      <c r="N56" s="37"/>
      <c r="O56" s="35"/>
      <c r="P56" s="36"/>
      <c r="Q56" s="36"/>
      <c r="R56" s="36"/>
      <c r="S56" s="35"/>
      <c r="T56" s="37"/>
      <c r="U56" s="37"/>
      <c r="V56" s="35"/>
      <c r="W56" s="36"/>
      <c r="X56" s="36"/>
      <c r="Y56" s="36"/>
      <c r="Z56" s="35"/>
      <c r="AA56" s="37"/>
      <c r="AB56" s="37"/>
      <c r="AC56" s="35"/>
      <c r="AD56" s="36"/>
      <c r="AE56" s="36"/>
      <c r="AF56" s="36"/>
      <c r="AG56" s="35"/>
      <c r="AH56" s="37"/>
      <c r="AI56" s="37"/>
      <c r="AJ56" s="35"/>
      <c r="AK56" s="35"/>
      <c r="AL56" s="35"/>
      <c r="AM56" s="35"/>
      <c r="AN56" s="36"/>
      <c r="AO56" s="37"/>
      <c r="AP56" s="37"/>
      <c r="AQ56" s="35"/>
      <c r="AR56" s="35"/>
      <c r="AS56" s="35"/>
      <c r="AT56" s="35"/>
      <c r="AU56" s="36"/>
      <c r="AV56" s="37"/>
      <c r="AW56" s="37"/>
      <c r="AX56" s="35"/>
      <c r="AY56" s="35"/>
      <c r="AZ56" s="35"/>
      <c r="BA56" s="35"/>
      <c r="BB56" s="36"/>
      <c r="BC56" s="37"/>
      <c r="BD56" s="37"/>
      <c r="BE56" s="35"/>
      <c r="BF56" s="35"/>
      <c r="BG56" s="35"/>
      <c r="BH56" s="35"/>
      <c r="BI56" s="36"/>
      <c r="BJ56" s="37"/>
      <c r="BK56" s="37"/>
      <c r="BL56" s="35"/>
      <c r="BM56" s="35"/>
      <c r="BN56" s="50"/>
      <c r="BO56" s="73"/>
      <c r="BP56" s="126"/>
      <c r="BQ56" s="47"/>
      <c r="BR56" s="129"/>
      <c r="BS56" s="129"/>
      <c r="BU56" s="50"/>
      <c r="BV56" s="49"/>
      <c r="BW56" s="50"/>
      <c r="BX56" s="49"/>
      <c r="BY56" s="3"/>
      <c r="BZ56" s="3"/>
      <c r="CA56" s="3"/>
      <c r="CB56" s="3"/>
      <c r="CC56" s="3"/>
      <c r="CD56" s="3"/>
    </row>
    <row r="57" spans="1:82" ht="15.5" customHeight="1" x14ac:dyDescent="0.25">
      <c r="A57" s="23"/>
      <c r="B57" s="42"/>
      <c r="C57" s="142"/>
      <c r="D57" s="117"/>
      <c r="E57" s="120"/>
      <c r="F57" s="118"/>
      <c r="G57" s="37"/>
      <c r="H57" s="35"/>
      <c r="I57" s="36"/>
      <c r="J57" s="36"/>
      <c r="K57" s="36"/>
      <c r="L57" s="35"/>
      <c r="M57" s="37"/>
      <c r="N57" s="37"/>
      <c r="O57" s="35"/>
      <c r="P57" s="36"/>
      <c r="Q57" s="36"/>
      <c r="R57" s="36"/>
      <c r="S57" s="35"/>
      <c r="T57" s="37"/>
      <c r="U57" s="37"/>
      <c r="V57" s="35"/>
      <c r="W57" s="36"/>
      <c r="X57" s="36"/>
      <c r="Y57" s="36"/>
      <c r="Z57" s="35"/>
      <c r="AA57" s="37"/>
      <c r="AB57" s="37"/>
      <c r="AC57" s="35"/>
      <c r="AD57" s="36"/>
      <c r="AE57" s="36"/>
      <c r="AF57" s="36"/>
      <c r="AG57" s="35"/>
      <c r="AH57" s="37"/>
      <c r="AI57" s="37"/>
      <c r="AJ57" s="35"/>
      <c r="AK57" s="35"/>
      <c r="AL57" s="35"/>
      <c r="AM57" s="35"/>
      <c r="AN57" s="36"/>
      <c r="AO57" s="37"/>
      <c r="AP57" s="37"/>
      <c r="AQ57" s="35"/>
      <c r="AR57" s="35"/>
      <c r="AS57" s="35"/>
      <c r="AT57" s="35"/>
      <c r="AU57" s="36"/>
      <c r="AV57" s="37"/>
      <c r="AW57" s="37"/>
      <c r="AX57" s="35"/>
      <c r="AY57" s="35"/>
      <c r="AZ57" s="35"/>
      <c r="BA57" s="35"/>
      <c r="BB57" s="36"/>
      <c r="BC57" s="37"/>
      <c r="BD57" s="37"/>
      <c r="BE57" s="35"/>
      <c r="BF57" s="35"/>
      <c r="BG57" s="35"/>
      <c r="BH57" s="35"/>
      <c r="BI57" s="36"/>
      <c r="BJ57" s="37"/>
      <c r="BK57" s="37"/>
      <c r="BL57" s="35"/>
      <c r="BM57" s="35"/>
      <c r="BN57" s="50"/>
      <c r="BO57" s="73"/>
      <c r="BP57" s="126"/>
      <c r="BQ57" s="47"/>
      <c r="BR57" s="48"/>
      <c r="BS57" s="129"/>
      <c r="BU57" s="50"/>
      <c r="BV57" s="49"/>
      <c r="BW57" s="50"/>
      <c r="BX57" s="49"/>
      <c r="BY57" s="3"/>
      <c r="BZ57" s="3"/>
      <c r="CA57" s="3"/>
      <c r="CB57" s="3"/>
      <c r="CC57" s="3"/>
      <c r="CD57" s="3"/>
    </row>
    <row r="58" spans="1:82" ht="15.5" customHeight="1" x14ac:dyDescent="0.25">
      <c r="A58" s="23"/>
      <c r="B58" s="42"/>
      <c r="C58" s="145" t="s">
        <v>102</v>
      </c>
      <c r="D58" s="117" t="s">
        <v>105</v>
      </c>
      <c r="E58" s="120"/>
      <c r="F58" s="118"/>
      <c r="G58" s="37"/>
      <c r="H58" s="35"/>
      <c r="I58" s="36"/>
      <c r="J58" s="36"/>
      <c r="K58" s="36"/>
      <c r="L58" s="35"/>
      <c r="M58" s="37"/>
      <c r="N58" s="37"/>
      <c r="O58" s="35"/>
      <c r="P58" s="36"/>
      <c r="Q58" s="36"/>
      <c r="R58" s="36"/>
      <c r="S58" s="35"/>
      <c r="T58" s="37"/>
      <c r="U58" s="37"/>
      <c r="V58" s="35"/>
      <c r="W58" s="36"/>
      <c r="X58" s="36"/>
      <c r="Y58" s="36"/>
      <c r="Z58" s="35"/>
      <c r="AA58" s="37"/>
      <c r="AB58" s="37"/>
      <c r="AC58" s="35"/>
      <c r="AD58" s="36"/>
      <c r="AE58" s="36"/>
      <c r="AF58" s="36"/>
      <c r="AG58" s="35"/>
      <c r="AH58" s="37"/>
      <c r="AI58" s="37"/>
      <c r="AJ58" s="35"/>
      <c r="AK58" s="35"/>
      <c r="AL58" s="35"/>
      <c r="AM58" s="35"/>
      <c r="AN58" s="36"/>
      <c r="AO58" s="37"/>
      <c r="AP58" s="37"/>
      <c r="AQ58" s="35"/>
      <c r="AR58" s="35"/>
      <c r="AS58" s="35"/>
      <c r="AT58" s="35"/>
      <c r="AU58" s="36"/>
      <c r="AV58" s="37"/>
      <c r="AW58" s="37"/>
      <c r="AX58" s="35"/>
      <c r="AY58" s="237">
        <v>1</v>
      </c>
      <c r="AZ58" s="35"/>
      <c r="BA58" s="35"/>
      <c r="BB58" s="36"/>
      <c r="BC58" s="37"/>
      <c r="BD58" s="37"/>
      <c r="BE58" s="35"/>
      <c r="BF58" s="35"/>
      <c r="BG58" s="35"/>
      <c r="BH58" s="35"/>
      <c r="BI58" s="36"/>
      <c r="BJ58" s="37"/>
      <c r="BK58" s="37"/>
      <c r="BL58" s="35"/>
      <c r="BM58" s="35"/>
      <c r="BN58" s="257">
        <f t="shared" ref="BN58" si="67">SUM(G58:BM58)</f>
        <v>1</v>
      </c>
      <c r="BO58" s="271">
        <f>BQ58</f>
        <v>3125</v>
      </c>
      <c r="BP58" s="272"/>
      <c r="BQ58" s="256">
        <f>BR58</f>
        <v>3125</v>
      </c>
      <c r="BR58" s="256">
        <f>BS58*1.25</f>
        <v>3125</v>
      </c>
      <c r="BS58" s="256">
        <v>2500</v>
      </c>
      <c r="BU58" s="257">
        <f>SUM(U58:AH58)</f>
        <v>0</v>
      </c>
      <c r="BV58" s="273">
        <f>BU58*BQ58*0.8</f>
        <v>0</v>
      </c>
      <c r="BW58" s="257">
        <f>SUM(AI58:BM58)</f>
        <v>1</v>
      </c>
      <c r="BX58" s="273">
        <f>BW58*BQ58*0.8</f>
        <v>2500</v>
      </c>
      <c r="BY58" s="3"/>
      <c r="BZ58" s="3"/>
      <c r="CA58" s="3"/>
      <c r="CB58" s="3"/>
      <c r="CC58" s="3"/>
      <c r="CD58" s="3"/>
    </row>
    <row r="59" spans="1:82" ht="15.5" customHeight="1" x14ac:dyDescent="0.25">
      <c r="A59" s="23"/>
      <c r="B59" s="42"/>
      <c r="C59" s="143"/>
      <c r="D59" s="117" t="s">
        <v>103</v>
      </c>
      <c r="E59" s="120"/>
      <c r="F59" s="118"/>
      <c r="G59" s="37"/>
      <c r="H59" s="35"/>
      <c r="I59" s="36"/>
      <c r="J59" s="36"/>
      <c r="K59" s="36"/>
      <c r="L59" s="35"/>
      <c r="M59" s="37"/>
      <c r="N59" s="37"/>
      <c r="O59" s="35"/>
      <c r="P59" s="36"/>
      <c r="Q59" s="36"/>
      <c r="R59" s="36"/>
      <c r="S59" s="35"/>
      <c r="T59" s="37"/>
      <c r="U59" s="37"/>
      <c r="V59" s="35"/>
      <c r="W59" s="36"/>
      <c r="X59" s="36"/>
      <c r="Y59" s="36"/>
      <c r="Z59" s="35"/>
      <c r="AA59" s="37"/>
      <c r="AB59" s="37"/>
      <c r="AC59" s="35"/>
      <c r="AD59" s="36"/>
      <c r="AE59" s="36"/>
      <c r="AF59" s="36"/>
      <c r="AG59" s="35"/>
      <c r="AH59" s="37"/>
      <c r="AI59" s="37"/>
      <c r="AJ59" s="35"/>
      <c r="AK59" s="35"/>
      <c r="AL59" s="35"/>
      <c r="AM59" s="35"/>
      <c r="AN59" s="36"/>
      <c r="AO59" s="37"/>
      <c r="AP59" s="37"/>
      <c r="AQ59" s="35"/>
      <c r="AR59" s="35"/>
      <c r="AS59" s="35"/>
      <c r="AT59" s="35"/>
      <c r="AU59" s="36"/>
      <c r="AV59" s="37"/>
      <c r="AW59" s="37"/>
      <c r="AX59" s="35"/>
      <c r="AY59" s="237">
        <v>1</v>
      </c>
      <c r="AZ59" s="35"/>
      <c r="BA59" s="35"/>
      <c r="BB59" s="36"/>
      <c r="BC59" s="37"/>
      <c r="BD59" s="37"/>
      <c r="BE59" s="35"/>
      <c r="BF59" s="35"/>
      <c r="BG59" s="35"/>
      <c r="BH59" s="35"/>
      <c r="BI59" s="36"/>
      <c r="BJ59" s="37"/>
      <c r="BK59" s="37"/>
      <c r="BL59" s="35"/>
      <c r="BM59" s="35"/>
      <c r="BN59" s="257"/>
      <c r="BO59" s="271"/>
      <c r="BP59" s="272"/>
      <c r="BQ59" s="256"/>
      <c r="BR59" s="256"/>
      <c r="BS59" s="256"/>
      <c r="BU59" s="257"/>
      <c r="BV59" s="273"/>
      <c r="BW59" s="257"/>
      <c r="BX59" s="273"/>
      <c r="BY59" s="3"/>
      <c r="BZ59" s="3"/>
      <c r="CA59" s="3"/>
      <c r="CB59" s="3"/>
      <c r="CC59" s="3"/>
      <c r="CD59" s="3"/>
    </row>
    <row r="60" spans="1:82" ht="15.5" customHeight="1" x14ac:dyDescent="0.25">
      <c r="A60" s="23"/>
      <c r="B60" s="42"/>
      <c r="C60" s="148"/>
      <c r="D60" s="117" t="s">
        <v>104</v>
      </c>
      <c r="E60" s="120"/>
      <c r="F60" s="118"/>
      <c r="G60" s="37"/>
      <c r="H60" s="35"/>
      <c r="I60" s="36"/>
      <c r="J60" s="36"/>
      <c r="K60" s="36"/>
      <c r="L60" s="35"/>
      <c r="M60" s="37"/>
      <c r="N60" s="37"/>
      <c r="O60" s="35"/>
      <c r="P60" s="36"/>
      <c r="Q60" s="36"/>
      <c r="R60" s="36"/>
      <c r="S60" s="35"/>
      <c r="T60" s="37"/>
      <c r="U60" s="37"/>
      <c r="V60" s="35"/>
      <c r="W60" s="36"/>
      <c r="X60" s="36"/>
      <c r="Y60" s="36"/>
      <c r="Z60" s="35"/>
      <c r="AA60" s="37"/>
      <c r="AB60" s="37"/>
      <c r="AC60" s="35"/>
      <c r="AD60" s="36"/>
      <c r="AE60" s="36"/>
      <c r="AF60" s="36"/>
      <c r="AG60" s="35"/>
      <c r="AH60" s="37"/>
      <c r="AI60" s="37"/>
      <c r="AJ60" s="35"/>
      <c r="AK60" s="35"/>
      <c r="AL60" s="35"/>
      <c r="AM60" s="35"/>
      <c r="AN60" s="36"/>
      <c r="AO60" s="37"/>
      <c r="AP60" s="37"/>
      <c r="AQ60" s="35"/>
      <c r="AR60" s="35"/>
      <c r="AS60" s="35"/>
      <c r="AT60" s="35"/>
      <c r="AU60" s="36"/>
      <c r="AV60" s="37"/>
      <c r="AW60" s="37"/>
      <c r="AX60" s="35"/>
      <c r="AY60" s="35">
        <v>1</v>
      </c>
      <c r="AZ60" s="35"/>
      <c r="BA60" s="35"/>
      <c r="BB60" s="36"/>
      <c r="BC60" s="37"/>
      <c r="BD60" s="37"/>
      <c r="BE60" s="35"/>
      <c r="BF60" s="35"/>
      <c r="BG60" s="35"/>
      <c r="BH60" s="35"/>
      <c r="BI60" s="36"/>
      <c r="BJ60" s="37"/>
      <c r="BK60" s="37"/>
      <c r="BL60" s="35"/>
      <c r="BM60" s="35"/>
      <c r="BN60" s="257"/>
      <c r="BO60" s="271"/>
      <c r="BP60" s="272"/>
      <c r="BQ60" s="256"/>
      <c r="BR60" s="256"/>
      <c r="BS60" s="256"/>
      <c r="BU60" s="257"/>
      <c r="BV60" s="273"/>
      <c r="BW60" s="257"/>
      <c r="BX60" s="273"/>
      <c r="BY60" s="3"/>
      <c r="BZ60" s="3"/>
      <c r="CA60" s="3"/>
      <c r="CB60" s="3"/>
      <c r="CC60" s="3"/>
      <c r="CD60" s="3"/>
    </row>
    <row r="61" spans="1:82" ht="15.5" customHeight="1" x14ac:dyDescent="0.25">
      <c r="A61" s="23"/>
      <c r="B61" s="42"/>
      <c r="C61" s="148"/>
      <c r="D61" s="117" t="s">
        <v>108</v>
      </c>
      <c r="E61" s="120"/>
      <c r="F61" s="118"/>
      <c r="G61" s="37"/>
      <c r="H61" s="35"/>
      <c r="I61" s="36"/>
      <c r="J61" s="36"/>
      <c r="K61" s="36"/>
      <c r="L61" s="35"/>
      <c r="M61" s="37"/>
      <c r="N61" s="37"/>
      <c r="O61" s="35"/>
      <c r="P61" s="36"/>
      <c r="Q61" s="36"/>
      <c r="R61" s="36"/>
      <c r="S61" s="35"/>
      <c r="T61" s="37"/>
      <c r="U61" s="37"/>
      <c r="V61" s="35"/>
      <c r="W61" s="36"/>
      <c r="X61" s="36"/>
      <c r="Y61" s="36"/>
      <c r="Z61" s="35"/>
      <c r="AA61" s="37"/>
      <c r="AB61" s="37"/>
      <c r="AC61" s="35"/>
      <c r="AD61" s="36"/>
      <c r="AE61" s="36"/>
      <c r="AF61" s="36"/>
      <c r="AG61" s="35"/>
      <c r="AH61" s="37"/>
      <c r="AI61" s="37"/>
      <c r="AJ61" s="35"/>
      <c r="AK61" s="35"/>
      <c r="AL61" s="35"/>
      <c r="AM61" s="35"/>
      <c r="AN61" s="36"/>
      <c r="AO61" s="37"/>
      <c r="AP61" s="37"/>
      <c r="AQ61" s="35"/>
      <c r="AR61" s="35"/>
      <c r="AS61" s="35"/>
      <c r="AT61" s="35"/>
      <c r="AU61" s="36"/>
      <c r="AV61" s="37"/>
      <c r="AW61" s="37"/>
      <c r="AX61" s="35"/>
      <c r="AY61" s="269">
        <v>1</v>
      </c>
      <c r="AZ61" s="269"/>
      <c r="BA61" s="269"/>
      <c r="BB61" s="269"/>
      <c r="BC61" s="269"/>
      <c r="BD61" s="269"/>
      <c r="BE61" s="270"/>
      <c r="BF61" s="35"/>
      <c r="BG61" s="35"/>
      <c r="BH61" s="35"/>
      <c r="BI61" s="36"/>
      <c r="BJ61" s="37"/>
      <c r="BK61" s="37"/>
      <c r="BL61" s="35"/>
      <c r="BM61" s="35"/>
      <c r="BN61" s="257"/>
      <c r="BO61" s="271"/>
      <c r="BP61" s="272"/>
      <c r="BQ61" s="256"/>
      <c r="BR61" s="256"/>
      <c r="BS61" s="256"/>
      <c r="BU61" s="257"/>
      <c r="BV61" s="273"/>
      <c r="BW61" s="257"/>
      <c r="BX61" s="273"/>
      <c r="BY61" s="3"/>
      <c r="BZ61" s="3"/>
      <c r="CA61" s="3"/>
      <c r="CB61" s="3"/>
      <c r="CC61" s="3"/>
      <c r="CD61" s="3"/>
    </row>
    <row r="62" spans="1:82" ht="15.5" customHeight="1" x14ac:dyDescent="0.25">
      <c r="A62" s="23"/>
      <c r="B62" s="42"/>
      <c r="C62" s="142"/>
      <c r="D62" s="117"/>
      <c r="E62" s="120"/>
      <c r="F62" s="118"/>
      <c r="G62" s="37"/>
      <c r="H62" s="35"/>
      <c r="I62" s="36"/>
      <c r="J62" s="36"/>
      <c r="K62" s="36"/>
      <c r="L62" s="35"/>
      <c r="M62" s="37"/>
      <c r="N62" s="37"/>
      <c r="O62" s="35"/>
      <c r="P62" s="36"/>
      <c r="Q62" s="36"/>
      <c r="R62" s="36"/>
      <c r="S62" s="35"/>
      <c r="T62" s="37"/>
      <c r="U62" s="37"/>
      <c r="V62" s="35"/>
      <c r="W62" s="36"/>
      <c r="X62" s="36"/>
      <c r="Y62" s="36"/>
      <c r="Z62" s="35"/>
      <c r="AA62" s="37"/>
      <c r="AB62" s="37"/>
      <c r="AC62" s="35"/>
      <c r="AD62" s="36"/>
      <c r="AE62" s="36"/>
      <c r="AF62" s="36"/>
      <c r="AG62" s="35"/>
      <c r="AH62" s="37"/>
      <c r="AI62" s="37"/>
      <c r="AJ62" s="35"/>
      <c r="AK62" s="35"/>
      <c r="AL62" s="35"/>
      <c r="AM62" s="35"/>
      <c r="AN62" s="36"/>
      <c r="AO62" s="37"/>
      <c r="AP62" s="37"/>
      <c r="AQ62" s="35"/>
      <c r="AR62" s="35"/>
      <c r="AS62" s="35"/>
      <c r="AT62" s="35"/>
      <c r="AU62" s="36"/>
      <c r="AV62" s="37"/>
      <c r="AW62" s="37"/>
      <c r="AX62" s="35"/>
      <c r="AY62" s="35"/>
      <c r="AZ62" s="35"/>
      <c r="BA62" s="35"/>
      <c r="BB62" s="36"/>
      <c r="BC62" s="37"/>
      <c r="BD62" s="37"/>
      <c r="BE62" s="35"/>
      <c r="BF62" s="35"/>
      <c r="BG62" s="35"/>
      <c r="BH62" s="35"/>
      <c r="BI62" s="36"/>
      <c r="BJ62" s="37"/>
      <c r="BK62" s="37"/>
      <c r="BL62" s="35"/>
      <c r="BM62" s="35"/>
      <c r="BN62" s="50"/>
      <c r="BO62" s="73"/>
      <c r="BP62" s="126"/>
      <c r="BQ62" s="47"/>
      <c r="BR62" s="48"/>
      <c r="BS62" s="129"/>
      <c r="BU62" s="50"/>
      <c r="BV62" s="49"/>
      <c r="BW62" s="50"/>
      <c r="BX62" s="49"/>
      <c r="BY62" s="3"/>
      <c r="BZ62" s="3"/>
      <c r="CA62" s="3"/>
      <c r="CB62" s="3"/>
      <c r="CC62" s="3"/>
      <c r="CD62" s="3"/>
    </row>
    <row r="63" spans="1:82" ht="15.5" customHeight="1" x14ac:dyDescent="0.25">
      <c r="A63" s="23"/>
      <c r="B63" s="42"/>
      <c r="C63" s="145" t="s">
        <v>134</v>
      </c>
      <c r="D63" s="117" t="s">
        <v>135</v>
      </c>
      <c r="E63" s="120" t="s">
        <v>136</v>
      </c>
      <c r="F63" s="118"/>
      <c r="G63" s="37"/>
      <c r="H63" s="35"/>
      <c r="I63" s="36"/>
      <c r="J63" s="36"/>
      <c r="K63" s="36"/>
      <c r="L63" s="35"/>
      <c r="M63" s="37"/>
      <c r="N63" s="37"/>
      <c r="O63" s="35"/>
      <c r="P63" s="36"/>
      <c r="Q63" s="36"/>
      <c r="R63" s="36"/>
      <c r="S63" s="35"/>
      <c r="T63" s="37"/>
      <c r="U63" s="37"/>
      <c r="V63" s="35"/>
      <c r="W63" s="36"/>
      <c r="X63" s="36"/>
      <c r="Y63" s="36"/>
      <c r="Z63" s="35"/>
      <c r="AA63" s="37"/>
      <c r="AB63" s="37"/>
      <c r="AC63" s="35"/>
      <c r="AD63" s="36"/>
      <c r="AE63" s="36"/>
      <c r="AF63" s="36"/>
      <c r="AG63" s="35"/>
      <c r="AH63" s="37"/>
      <c r="AI63" s="37"/>
      <c r="AJ63" s="35"/>
      <c r="AK63" s="35"/>
      <c r="AL63" s="35"/>
      <c r="AM63" s="35"/>
      <c r="AN63" s="36"/>
      <c r="AO63" s="37"/>
      <c r="AP63" s="37"/>
      <c r="AQ63" s="35"/>
      <c r="AR63" s="35"/>
      <c r="AS63" s="35">
        <v>1</v>
      </c>
      <c r="AT63" s="35"/>
      <c r="AU63" s="36"/>
      <c r="AV63" s="37"/>
      <c r="AW63" s="37"/>
      <c r="AX63" s="35"/>
      <c r="AY63" s="35"/>
      <c r="AZ63" s="35"/>
      <c r="BA63" s="35"/>
      <c r="BB63" s="36"/>
      <c r="BC63" s="37"/>
      <c r="BD63" s="37"/>
      <c r="BE63" s="35"/>
      <c r="BF63" s="35"/>
      <c r="BG63" s="35"/>
      <c r="BH63" s="35"/>
      <c r="BI63" s="36"/>
      <c r="BJ63" s="37"/>
      <c r="BK63" s="37"/>
      <c r="BL63" s="35"/>
      <c r="BM63" s="35"/>
      <c r="BN63" s="50">
        <f t="shared" ref="BN63" si="68">SUM(G63:BM63)</f>
        <v>1</v>
      </c>
      <c r="BO63" s="51">
        <v>9800</v>
      </c>
      <c r="BP63" s="100">
        <v>0.3</v>
      </c>
      <c r="BQ63" s="47">
        <f>BO63*(1-BP63)</f>
        <v>6860</v>
      </c>
      <c r="BR63" s="47">
        <f>BQ63*BN63</f>
        <v>6860</v>
      </c>
      <c r="BS63" s="47">
        <f>BR63*0.8</f>
        <v>5488</v>
      </c>
      <c r="BU63" s="50">
        <f>SUM(G63:AH63)</f>
        <v>0</v>
      </c>
      <c r="BV63" s="49">
        <f>BU63*BQ63*0.8</f>
        <v>0</v>
      </c>
      <c r="BW63" s="50">
        <f>SUM(AI63:BM63)</f>
        <v>1</v>
      </c>
      <c r="BX63" s="49">
        <f>BW63*BQ63*0.8</f>
        <v>5488</v>
      </c>
      <c r="BY63" s="3"/>
      <c r="BZ63" s="3"/>
      <c r="CA63" s="3"/>
      <c r="CB63" s="3"/>
      <c r="CC63" s="3"/>
      <c r="CD63" s="3"/>
    </row>
    <row r="64" spans="1:82" ht="15.5" customHeight="1" x14ac:dyDescent="0.25">
      <c r="A64" s="23"/>
      <c r="B64" s="147"/>
      <c r="C64" s="149"/>
      <c r="D64" s="117"/>
      <c r="E64" s="121"/>
      <c r="F64" s="118"/>
      <c r="G64" s="37"/>
      <c r="H64" s="35"/>
      <c r="I64" s="36"/>
      <c r="J64" s="36"/>
      <c r="K64" s="36"/>
      <c r="L64" s="35"/>
      <c r="M64" s="37"/>
      <c r="N64" s="37"/>
      <c r="O64" s="35"/>
      <c r="P64" s="36"/>
      <c r="Q64" s="36"/>
      <c r="R64" s="36"/>
      <c r="S64" s="35"/>
      <c r="T64" s="37"/>
      <c r="U64" s="37"/>
      <c r="V64" s="35"/>
      <c r="W64" s="36"/>
      <c r="X64" s="36"/>
      <c r="Y64" s="36"/>
      <c r="Z64" s="35"/>
      <c r="AA64" s="37"/>
      <c r="AB64" s="37"/>
      <c r="AC64" s="35"/>
      <c r="AD64" s="36"/>
      <c r="AE64" s="36"/>
      <c r="AF64" s="36"/>
      <c r="AG64" s="35"/>
      <c r="AH64" s="37"/>
      <c r="AI64" s="37"/>
      <c r="AJ64" s="35"/>
      <c r="AK64" s="35"/>
      <c r="AL64" s="35"/>
      <c r="AM64" s="35"/>
      <c r="AN64" s="36"/>
      <c r="AO64" s="37"/>
      <c r="AP64" s="37"/>
      <c r="AQ64" s="35"/>
      <c r="AR64" s="35"/>
      <c r="AS64" s="35"/>
      <c r="AT64" s="35"/>
      <c r="AU64" s="36"/>
      <c r="AV64" s="37"/>
      <c r="AW64" s="37"/>
      <c r="AX64" s="35"/>
      <c r="AY64" s="35"/>
      <c r="AZ64" s="35"/>
      <c r="BA64" s="35"/>
      <c r="BB64" s="36"/>
      <c r="BC64" s="37"/>
      <c r="BD64" s="37"/>
      <c r="BE64" s="35"/>
      <c r="BF64" s="35"/>
      <c r="BG64" s="35"/>
      <c r="BH64" s="35"/>
      <c r="BI64" s="36"/>
      <c r="BJ64" s="37"/>
      <c r="BK64" s="37"/>
      <c r="BL64" s="35"/>
      <c r="BM64" s="35"/>
      <c r="BN64" s="125"/>
      <c r="BO64" s="73"/>
      <c r="BP64" s="127"/>
      <c r="BQ64" s="128"/>
      <c r="BR64" s="130"/>
      <c r="BS64" s="130"/>
      <c r="BU64" s="101"/>
      <c r="BV64" s="150"/>
      <c r="BW64" s="101"/>
      <c r="BX64" s="150"/>
      <c r="BY64" s="3"/>
      <c r="BZ64" s="3"/>
      <c r="CA64" s="3"/>
      <c r="CB64" s="3"/>
      <c r="CC64" s="3"/>
      <c r="CD64" s="3"/>
    </row>
    <row r="65" spans="1:82" ht="15.5" customHeight="1" x14ac:dyDescent="0.25">
      <c r="A65" s="23"/>
      <c r="B65" s="55"/>
      <c r="C65" s="27"/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7"/>
      <c r="S65" s="56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  <c r="AK65" s="56"/>
      <c r="AL65" s="56"/>
      <c r="AM65" s="56"/>
      <c r="AN65" s="56"/>
      <c r="AO65" s="56"/>
      <c r="AP65" s="56"/>
      <c r="AQ65" s="56"/>
      <c r="AR65" s="56"/>
      <c r="AS65" s="56"/>
      <c r="AT65" s="56"/>
      <c r="AU65" s="56"/>
      <c r="AV65" s="56"/>
      <c r="AW65" s="56"/>
      <c r="AX65" s="56"/>
      <c r="AY65" s="56"/>
      <c r="AZ65" s="56"/>
      <c r="BA65" s="56"/>
      <c r="BB65" s="56"/>
      <c r="BC65" s="56"/>
      <c r="BD65" s="56"/>
      <c r="BE65" s="56"/>
      <c r="BF65" s="56"/>
      <c r="BG65" s="56"/>
      <c r="BH65" s="56"/>
      <c r="BI65" s="56"/>
      <c r="BJ65" s="56"/>
      <c r="BK65" s="56"/>
      <c r="BL65" s="56"/>
      <c r="BM65" s="56"/>
      <c r="BN65" s="56"/>
      <c r="BO65" s="56"/>
      <c r="BP65" s="67"/>
      <c r="BQ65" s="56"/>
      <c r="BR65" s="58"/>
      <c r="BS65" s="58"/>
      <c r="BY65" s="3"/>
      <c r="BZ65" s="3"/>
      <c r="CA65" s="3"/>
      <c r="CB65" s="3"/>
      <c r="CC65" s="3"/>
      <c r="CD65" s="3"/>
    </row>
    <row r="66" spans="1:82" s="96" customFormat="1" ht="20.5" customHeight="1" x14ac:dyDescent="0.4">
      <c r="B66" s="59" t="s">
        <v>20</v>
      </c>
      <c r="C66" s="60"/>
      <c r="D66" s="60"/>
      <c r="E66" s="60"/>
      <c r="F66" s="60"/>
      <c r="G66" s="60">
        <f t="shared" ref="G66:T66" si="69">SUM(G13:G44)</f>
        <v>0</v>
      </c>
      <c r="H66" s="60">
        <f t="shared" si="69"/>
        <v>0</v>
      </c>
      <c r="I66" s="60">
        <f t="shared" si="69"/>
        <v>0</v>
      </c>
      <c r="J66" s="60">
        <f t="shared" si="69"/>
        <v>0</v>
      </c>
      <c r="K66" s="60">
        <f t="shared" si="69"/>
        <v>0</v>
      </c>
      <c r="L66" s="60">
        <f t="shared" si="69"/>
        <v>0</v>
      </c>
      <c r="M66" s="60">
        <f t="shared" si="69"/>
        <v>0</v>
      </c>
      <c r="N66" s="60">
        <f t="shared" si="69"/>
        <v>0</v>
      </c>
      <c r="O66" s="60">
        <f t="shared" si="69"/>
        <v>0</v>
      </c>
      <c r="P66" s="60">
        <f t="shared" si="69"/>
        <v>0</v>
      </c>
      <c r="Q66" s="60">
        <f t="shared" si="69"/>
        <v>0</v>
      </c>
      <c r="R66" s="60">
        <f t="shared" si="69"/>
        <v>0</v>
      </c>
      <c r="S66" s="60">
        <f t="shared" si="69"/>
        <v>0</v>
      </c>
      <c r="T66" s="60">
        <f t="shared" si="69"/>
        <v>0</v>
      </c>
      <c r="U66" s="60">
        <f>SUM(U13:U64)</f>
        <v>0</v>
      </c>
      <c r="V66" s="60">
        <f t="shared" ref="V66:BM66" si="70">SUM(V13:V64)</f>
        <v>0</v>
      </c>
      <c r="W66" s="60">
        <f t="shared" si="70"/>
        <v>0</v>
      </c>
      <c r="X66" s="60">
        <f t="shared" si="70"/>
        <v>0</v>
      </c>
      <c r="Y66" s="60">
        <f t="shared" si="70"/>
        <v>0</v>
      </c>
      <c r="Z66" s="60">
        <f t="shared" si="70"/>
        <v>0</v>
      </c>
      <c r="AA66" s="60">
        <f t="shared" si="70"/>
        <v>0</v>
      </c>
      <c r="AB66" s="60">
        <f t="shared" si="70"/>
        <v>2</v>
      </c>
      <c r="AC66" s="60">
        <f t="shared" si="70"/>
        <v>0</v>
      </c>
      <c r="AD66" s="60">
        <f t="shared" si="70"/>
        <v>0</v>
      </c>
      <c r="AE66" s="60">
        <f t="shared" si="70"/>
        <v>207203</v>
      </c>
      <c r="AF66" s="60">
        <f t="shared" si="70"/>
        <v>0</v>
      </c>
      <c r="AG66" s="60">
        <f t="shared" si="70"/>
        <v>2</v>
      </c>
      <c r="AH66" s="60">
        <f t="shared" si="70"/>
        <v>1</v>
      </c>
      <c r="AI66" s="60">
        <f t="shared" si="70"/>
        <v>0</v>
      </c>
      <c r="AJ66" s="60">
        <f t="shared" si="70"/>
        <v>0</v>
      </c>
      <c r="AK66" s="60">
        <f t="shared" si="70"/>
        <v>3</v>
      </c>
      <c r="AL66" s="60">
        <f t="shared" si="70"/>
        <v>0</v>
      </c>
      <c r="AM66" s="60">
        <f t="shared" si="70"/>
        <v>0</v>
      </c>
      <c r="AN66" s="60">
        <f t="shared" si="70"/>
        <v>0</v>
      </c>
      <c r="AO66" s="60">
        <f t="shared" si="70"/>
        <v>0</v>
      </c>
      <c r="AP66" s="60">
        <f t="shared" si="70"/>
        <v>0</v>
      </c>
      <c r="AQ66" s="60">
        <f t="shared" si="70"/>
        <v>0</v>
      </c>
      <c r="AR66" s="60">
        <f t="shared" si="70"/>
        <v>1</v>
      </c>
      <c r="AS66" s="60">
        <f t="shared" si="70"/>
        <v>1</v>
      </c>
      <c r="AT66" s="60">
        <f t="shared" si="70"/>
        <v>2</v>
      </c>
      <c r="AU66" s="60">
        <f t="shared" si="70"/>
        <v>8</v>
      </c>
      <c r="AV66" s="60">
        <f t="shared" si="70"/>
        <v>8</v>
      </c>
      <c r="AW66" s="60">
        <f t="shared" si="70"/>
        <v>8</v>
      </c>
      <c r="AX66" s="60">
        <f t="shared" si="70"/>
        <v>8</v>
      </c>
      <c r="AY66" s="60">
        <f t="shared" si="70"/>
        <v>12</v>
      </c>
      <c r="AZ66" s="60">
        <f t="shared" si="70"/>
        <v>8</v>
      </c>
      <c r="BA66" s="60">
        <f t="shared" si="70"/>
        <v>8</v>
      </c>
      <c r="BB66" s="60">
        <f t="shared" si="70"/>
        <v>0</v>
      </c>
      <c r="BC66" s="60">
        <f t="shared" si="70"/>
        <v>0</v>
      </c>
      <c r="BD66" s="60">
        <f t="shared" si="70"/>
        <v>0</v>
      </c>
      <c r="BE66" s="60">
        <f t="shared" si="70"/>
        <v>0</v>
      </c>
      <c r="BF66" s="60">
        <f t="shared" si="70"/>
        <v>0</v>
      </c>
      <c r="BG66" s="60">
        <f t="shared" si="70"/>
        <v>0</v>
      </c>
      <c r="BH66" s="60">
        <f t="shared" si="70"/>
        <v>0</v>
      </c>
      <c r="BI66" s="60">
        <f t="shared" si="70"/>
        <v>0</v>
      </c>
      <c r="BJ66" s="60">
        <f t="shared" si="70"/>
        <v>0</v>
      </c>
      <c r="BK66" s="60">
        <f t="shared" si="70"/>
        <v>0</v>
      </c>
      <c r="BL66" s="60">
        <f t="shared" si="70"/>
        <v>0</v>
      </c>
      <c r="BM66" s="60">
        <f t="shared" si="70"/>
        <v>0</v>
      </c>
      <c r="BN66" s="226">
        <f>SUM(BN13:BN64)</f>
        <v>207268</v>
      </c>
      <c r="BO66" s="61"/>
      <c r="BP66" s="68"/>
      <c r="BQ66" s="61"/>
      <c r="BR66" s="97">
        <f>SUM(BR13:BR64)</f>
        <v>275346.36209079996</v>
      </c>
      <c r="BS66" s="97">
        <f>SUM(BS13:BS64)</f>
        <v>220277.08967264</v>
      </c>
      <c r="BU66" s="102">
        <f>SUM(BU13:BU64)</f>
        <v>207203</v>
      </c>
      <c r="BV66" s="98">
        <f>SUM(BV14:BV64)</f>
        <v>172909.08967264</v>
      </c>
      <c r="BW66" s="102">
        <f>SUM(BW13:BW64)</f>
        <v>6</v>
      </c>
      <c r="BX66" s="98">
        <f>SUM(BX14:BX64)</f>
        <v>47368</v>
      </c>
    </row>
    <row r="67" spans="1:82" ht="13" customHeight="1" x14ac:dyDescent="0.3">
      <c r="BS67" s="62"/>
      <c r="BY67" s="3"/>
      <c r="BZ67" s="3"/>
      <c r="CA67" s="3"/>
      <c r="CB67" s="3"/>
      <c r="CC67" s="3"/>
      <c r="CD67" s="3"/>
    </row>
    <row r="68" spans="1:82" ht="15" customHeight="1" x14ac:dyDescent="0.4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BN68" s="3"/>
      <c r="BO68" s="3"/>
      <c r="BP68" s="70"/>
      <c r="BQ68" s="3"/>
      <c r="BR68" s="63"/>
      <c r="BU68" s="64"/>
      <c r="BV68"/>
      <c r="BW68" s="227" t="s">
        <v>125</v>
      </c>
      <c r="BX68" s="228">
        <f>SUM(BV66,BX66)</f>
        <v>220277.08967264</v>
      </c>
      <c r="BY68" s="3"/>
      <c r="BZ68" s="3"/>
      <c r="CA68" s="3"/>
      <c r="CB68" s="3"/>
      <c r="CC68" s="3"/>
      <c r="CD68" s="3"/>
    </row>
    <row r="70" spans="1:82" ht="25" customHeight="1" x14ac:dyDescent="0.25">
      <c r="AY70" s="69"/>
      <c r="BD70" s="69"/>
      <c r="BI70" s="69"/>
      <c r="BM70" s="69"/>
      <c r="BP70" s="1"/>
    </row>
    <row r="71" spans="1:82" ht="25" customHeight="1" x14ac:dyDescent="0.25">
      <c r="AY71" s="69"/>
      <c r="BD71" s="69"/>
      <c r="BI71" s="69"/>
      <c r="BM71" s="69"/>
      <c r="BP71" s="1"/>
    </row>
  </sheetData>
  <mergeCells count="57">
    <mergeCell ref="BW9:BX9"/>
    <mergeCell ref="BW10:BX11"/>
    <mergeCell ref="BW54:BW55"/>
    <mergeCell ref="BX54:BX55"/>
    <mergeCell ref="BW58:BW61"/>
    <mergeCell ref="BX58:BX61"/>
    <mergeCell ref="AY61:BE61"/>
    <mergeCell ref="BV54:BV55"/>
    <mergeCell ref="BU54:BU55"/>
    <mergeCell ref="BN58:BN61"/>
    <mergeCell ref="BO58:BO61"/>
    <mergeCell ref="BP58:BP61"/>
    <mergeCell ref="BQ58:BQ61"/>
    <mergeCell ref="BR58:BR61"/>
    <mergeCell ref="BS58:BS61"/>
    <mergeCell ref="BV58:BV61"/>
    <mergeCell ref="BU58:BU61"/>
    <mergeCell ref="BS54:BS55"/>
    <mergeCell ref="BR54:BR55"/>
    <mergeCell ref="BS50:BS52"/>
    <mergeCell ref="BR50:BR52"/>
    <mergeCell ref="BP54:BP55"/>
    <mergeCell ref="BQ54:BQ55"/>
    <mergeCell ref="AK52:AQ52"/>
    <mergeCell ref="BO50:BO52"/>
    <mergeCell ref="BO54:BO55"/>
    <mergeCell ref="AT54:AZ54"/>
    <mergeCell ref="AT55:AZ55"/>
    <mergeCell ref="BU10:BV11"/>
    <mergeCell ref="BR9:BR11"/>
    <mergeCell ref="BS9:BS11"/>
    <mergeCell ref="BU9:BV9"/>
    <mergeCell ref="BN9:BN11"/>
    <mergeCell ref="BO9:BO11"/>
    <mergeCell ref="BP9:BP11"/>
    <mergeCell ref="BQ9:BQ11"/>
    <mergeCell ref="BS46:BS48"/>
    <mergeCell ref="BR46:BR48"/>
    <mergeCell ref="BN46:BN48"/>
    <mergeCell ref="AE21:AK21"/>
    <mergeCell ref="AE23:AK23"/>
    <mergeCell ref="AE27:AK27"/>
    <mergeCell ref="AE34:AK34"/>
    <mergeCell ref="AE38:AK38"/>
    <mergeCell ref="AE42:AK42"/>
    <mergeCell ref="AE46:AK46"/>
    <mergeCell ref="AE47:AK47"/>
    <mergeCell ref="AE48:AK48"/>
    <mergeCell ref="AG44:AM44"/>
    <mergeCell ref="AE17:AK17"/>
    <mergeCell ref="B9:B11"/>
    <mergeCell ref="C9:C11"/>
    <mergeCell ref="D9:D11"/>
    <mergeCell ref="F9:F11"/>
    <mergeCell ref="E9:E11"/>
    <mergeCell ref="U9:AH9"/>
    <mergeCell ref="AI9:BM9"/>
  </mergeCells>
  <conditionalFormatting sqref="G28:AN28 AL42:AM42 G42:AB64 F43 AC56:AN64">
    <cfRule type="notContainsBlanks" dxfId="15" priority="34">
      <formula>LEN(TRIM(F28))&gt;0</formula>
    </cfRule>
  </conditionalFormatting>
  <conditionalFormatting sqref="G13:AU13 AV13:BM53 G14:AC14 AE14:AN14 AO14:AU51 G15:AN15 Z16:AN16 G16:Y17 AC17:AE17 G18:AG18 G19:AE19 AG19 AE20:AG20 Z20:AC21 AD20:AD22 AE21 G22:AC22 G23:AB23 AD23:AE23 G24:AN26 G29:AE29 AG29:AN29 G30:AN30 G31:AE31 AF31:AN32 G32:AD32 G33:AN33 AC34:AC35 G35:AB35 AD35:AN35 G36:AN36 AE43:AM43 AC49:AN51 AR52:AU52 AC53:AU53 BA54:BM55 AO56:BM57 AY58:BM60 AO58:AX61 BF61:BM61 AO62:BM64">
    <cfRule type="notContainsBlanks" dxfId="14" priority="25">
      <formula>LEN(TRIM(G13))&gt;0</formula>
    </cfRule>
  </conditionalFormatting>
  <conditionalFormatting sqref="Y37:AN37 Z38 AL38:AN38 Y39:Z40 AB39:AN40">
    <cfRule type="notContainsBlanks" dxfId="13" priority="38">
      <formula>LEN(TRIM(Y37))&gt;0</formula>
    </cfRule>
  </conditionalFormatting>
  <conditionalFormatting sqref="Z17:AA17 AL17:AM17 AH18:AN20 G20:X21 AL21:AN21 AE22:AN22 AL23:AN23 G27:X27 AL27:AN27 G34:X34 AN34 G37:X40 G41:AN41 AN42:AN44">
    <cfRule type="notContainsBlanks" dxfId="12" priority="39">
      <formula>LEN(TRIM(G17))&gt;0</formula>
    </cfRule>
  </conditionalFormatting>
  <conditionalFormatting sqref="Z27:AB27 AD27:AE27">
    <cfRule type="notContainsBlanks" dxfId="11" priority="24">
      <formula>LEN(TRIM(Z27))&gt;0</formula>
    </cfRule>
  </conditionalFormatting>
  <conditionalFormatting sqref="Z34:AB34 AD34:AE34">
    <cfRule type="notContainsBlanks" dxfId="10" priority="23">
      <formula>LEN(TRIM(Z34))&gt;0</formula>
    </cfRule>
  </conditionalFormatting>
  <conditionalFormatting sqref="AA38:AA40">
    <cfRule type="notContainsBlanks" dxfId="9" priority="22">
      <formula>LEN(TRIM(AA38))&gt;0</formula>
    </cfRule>
  </conditionalFormatting>
  <conditionalFormatting sqref="AB38:AE38">
    <cfRule type="notContainsBlanks" dxfId="8" priority="20">
      <formula>LEN(TRIM(AB38))&gt;0</formula>
    </cfRule>
  </conditionalFormatting>
  <conditionalFormatting sqref="AC42:AC44">
    <cfRule type="notContainsBlanks" dxfId="7" priority="16">
      <formula>LEN(TRIM(AC42))&gt;0</formula>
    </cfRule>
  </conditionalFormatting>
  <conditionalFormatting sqref="AC46:AE48">
    <cfRule type="notContainsBlanks" dxfId="6" priority="13">
      <formula>LEN(TRIM(AC46))&gt;0</formula>
    </cfRule>
  </conditionalFormatting>
  <conditionalFormatting sqref="AC52:AJ52">
    <cfRule type="notContainsBlanks" dxfId="5" priority="6">
      <formula>LEN(TRIM(AC52))&gt;0</formula>
    </cfRule>
  </conditionalFormatting>
  <conditionalFormatting sqref="AC45:AN45 AL46:AN48">
    <cfRule type="notContainsBlanks" dxfId="4" priority="32">
      <formula>LEN(TRIM(AC45))&gt;0</formula>
    </cfRule>
  </conditionalFormatting>
  <conditionalFormatting sqref="AC54:AS55">
    <cfRule type="notContainsBlanks" dxfId="3" priority="1">
      <formula>LEN(TRIM(AC54))&gt;0</formula>
    </cfRule>
  </conditionalFormatting>
  <conditionalFormatting sqref="AD42:AE42">
    <cfRule type="notContainsBlanks" dxfId="2" priority="17">
      <formula>LEN(TRIM(AD42))&gt;0</formula>
    </cfRule>
  </conditionalFormatting>
  <conditionalFormatting sqref="AD44:AF44">
    <cfRule type="notContainsBlanks" dxfId="1" priority="10">
      <formula>LEN(TRIM(AD44))&gt;0</formula>
    </cfRule>
  </conditionalFormatting>
  <pageMargins left="0.511811024" right="0.511811024" top="0.78740157499999996" bottom="0.78740157499999996" header="0.31496062000000002" footer="0.31496062000000002"/>
  <headerFooter>
    <oddFooter>&amp;C_x000D_&amp;1#&amp;"Aptos"&amp;10&amp;K000000 Confidential - Not for Public Consumption or Distribution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F8AC2-5956-4650-9F89-6BF1C8B7A897}">
  <dimension ref="A1:DO23"/>
  <sheetViews>
    <sheetView showGridLines="0" zoomScale="112" zoomScaleNormal="85" workbookViewId="0">
      <pane xSplit="4" ySplit="12" topLeftCell="BB13" activePane="bottomRight" state="frozen"/>
      <selection activeCell="E70" sqref="E70"/>
      <selection pane="topRight" activeCell="E70" sqref="E70"/>
      <selection pane="bottomLeft" activeCell="E70" sqref="E70"/>
      <selection pane="bottomRight" activeCell="CT23" sqref="CT23"/>
    </sheetView>
  </sheetViews>
  <sheetFormatPr defaultColWidth="8.83203125" defaultRowHeight="12.5" x14ac:dyDescent="0.25"/>
  <cols>
    <col min="1" max="1" width="4" style="2" customWidth="1"/>
    <col min="2" max="2" width="20.1640625" style="2" customWidth="1"/>
    <col min="3" max="3" width="13.5" style="2" customWidth="1"/>
    <col min="4" max="4" width="30.33203125" style="2" bestFit="1" customWidth="1"/>
    <col min="5" max="5" width="13.6640625" style="2" customWidth="1"/>
    <col min="6" max="6" width="13.58203125" style="2" customWidth="1"/>
    <col min="7" max="7" width="11.6640625" style="151" customWidth="1"/>
    <col min="8" max="8" width="4.33203125" style="2" customWidth="1"/>
    <col min="9" max="10" width="4.5" style="2" customWidth="1"/>
    <col min="11" max="36" width="4.33203125" style="2" customWidth="1"/>
    <col min="37" max="38" width="4.5" style="2" customWidth="1"/>
    <col min="39" max="99" width="4.33203125" style="2" customWidth="1"/>
    <col min="100" max="100" width="9" style="2" customWidth="1"/>
    <col min="101" max="101" width="12.5" style="2" customWidth="1"/>
    <col min="102" max="102" width="8.83203125" style="2"/>
    <col min="103" max="103" width="14.83203125" style="2" customWidth="1"/>
    <col min="104" max="104" width="16.58203125" style="2" customWidth="1"/>
    <col min="105" max="105" width="14.83203125" style="2" customWidth="1"/>
    <col min="106" max="106" width="2.6640625" style="2" customWidth="1"/>
    <col min="107" max="108" width="11.6640625" style="2" hidden="1" customWidth="1"/>
    <col min="109" max="109" width="14" style="2" hidden="1" customWidth="1"/>
    <col min="110" max="110" width="3.6640625" style="2" hidden="1" customWidth="1"/>
    <col min="111" max="111" width="16.4140625" style="151" customWidth="1"/>
    <col min="112" max="112" width="3.6640625" style="151" hidden="1" customWidth="1"/>
    <col min="113" max="113" width="14.83203125" style="151" hidden="1" customWidth="1"/>
    <col min="114" max="114" width="3.6640625" style="151" customWidth="1"/>
    <col min="115" max="115" width="14.83203125" style="151" customWidth="1"/>
    <col min="116" max="116" width="3.6640625" style="151" customWidth="1"/>
    <col min="117" max="117" width="14.83203125" style="151" customWidth="1"/>
    <col min="118" max="118" width="3.6640625" style="151" customWidth="1"/>
    <col min="119" max="119" width="14.83203125" style="151" customWidth="1"/>
    <col min="120" max="16384" width="8.83203125" style="2"/>
  </cols>
  <sheetData>
    <row r="1" spans="1:119" x14ac:dyDescent="0.25">
      <c r="X1" s="152"/>
      <c r="Y1" s="152"/>
    </row>
    <row r="2" spans="1:119" x14ac:dyDescent="0.25">
      <c r="CY2" s="151"/>
      <c r="CZ2" s="151"/>
      <c r="DA2" s="151"/>
      <c r="DB2" s="151"/>
      <c r="DC2" s="151"/>
      <c r="DD2" s="151"/>
      <c r="DE2" s="151"/>
      <c r="DF2" s="153"/>
      <c r="DG2" s="2"/>
      <c r="DH2" s="2"/>
      <c r="DI2" s="2"/>
      <c r="DJ2" s="2"/>
      <c r="DK2" s="2"/>
      <c r="DL2" s="2"/>
      <c r="DM2" s="2"/>
      <c r="DN2" s="2"/>
      <c r="DO2" s="2"/>
    </row>
    <row r="3" spans="1:119" x14ac:dyDescent="0.25">
      <c r="A3" s="4"/>
      <c r="B3" s="5"/>
      <c r="C3" s="4"/>
      <c r="D3" s="4"/>
      <c r="E3" s="4"/>
      <c r="F3" s="4"/>
      <c r="G3" s="15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16"/>
      <c r="CL3" s="16"/>
      <c r="CM3" s="16"/>
      <c r="CN3" s="155"/>
      <c r="CO3" s="4"/>
      <c r="CP3" s="4"/>
      <c r="CS3" s="4"/>
      <c r="CY3" s="151"/>
      <c r="CZ3" s="151"/>
      <c r="DA3" s="151"/>
      <c r="DB3" s="151"/>
      <c r="DC3" s="151"/>
      <c r="DD3" s="151"/>
      <c r="DE3" s="151"/>
      <c r="DF3" s="153"/>
      <c r="DG3" s="2"/>
      <c r="DH3" s="2"/>
      <c r="DI3" s="2"/>
      <c r="DJ3" s="2"/>
      <c r="DK3" s="2"/>
      <c r="DL3" s="2"/>
      <c r="DM3" s="2"/>
      <c r="DN3" s="2"/>
      <c r="DO3" s="2"/>
    </row>
    <row r="4" spans="1:119" x14ac:dyDescent="0.25">
      <c r="A4" s="4"/>
      <c r="B4" s="5"/>
      <c r="C4" s="4"/>
      <c r="D4" s="4"/>
      <c r="E4" s="4"/>
      <c r="F4" s="4"/>
      <c r="G4" s="15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16"/>
      <c r="CL4" s="16"/>
      <c r="CM4" s="16"/>
      <c r="CN4" s="155"/>
      <c r="CO4" s="4"/>
      <c r="CP4" s="4"/>
      <c r="CS4" s="4"/>
      <c r="CY4" s="151"/>
      <c r="CZ4" s="151"/>
      <c r="DA4" s="151"/>
      <c r="DB4" s="151"/>
      <c r="DC4" s="151"/>
      <c r="DD4" s="151"/>
      <c r="DE4" s="151"/>
      <c r="DF4" s="153"/>
      <c r="DG4" s="2"/>
      <c r="DH4" s="2"/>
      <c r="DI4" s="2"/>
      <c r="DJ4" s="2"/>
      <c r="DK4" s="2"/>
      <c r="DL4" s="2"/>
      <c r="DM4" s="2"/>
      <c r="DN4" s="2"/>
      <c r="DO4" s="2"/>
    </row>
    <row r="5" spans="1:119" x14ac:dyDescent="0.25">
      <c r="A5" s="4"/>
      <c r="B5" s="11" t="s">
        <v>0</v>
      </c>
      <c r="C5" s="4"/>
      <c r="D5" s="4"/>
      <c r="E5" s="4"/>
      <c r="F5" s="4"/>
      <c r="G5" s="15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16"/>
      <c r="CL5" s="16"/>
      <c r="CM5" s="16"/>
      <c r="CN5" s="155"/>
      <c r="CO5" s="4"/>
      <c r="CP5" s="156"/>
      <c r="CS5" s="156"/>
      <c r="CY5" s="151"/>
      <c r="CZ5" s="151"/>
      <c r="DA5" s="157"/>
      <c r="DB5" s="151"/>
      <c r="DC5" s="151"/>
      <c r="DD5" s="151"/>
      <c r="DE5" s="151"/>
      <c r="DF5" s="153"/>
      <c r="DG5" s="2"/>
      <c r="DH5" s="2"/>
      <c r="DI5" s="2"/>
      <c r="DJ5" s="2"/>
      <c r="DK5" s="2"/>
      <c r="DL5" s="2"/>
      <c r="DM5" s="2"/>
      <c r="DN5" s="2"/>
      <c r="DO5" s="2"/>
    </row>
    <row r="6" spans="1:119" x14ac:dyDescent="0.25">
      <c r="A6" s="4"/>
      <c r="B6" s="14" t="s">
        <v>126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58"/>
      <c r="CO6" s="159"/>
      <c r="CP6" s="160"/>
      <c r="CS6" s="160"/>
      <c r="CY6" s="151"/>
      <c r="CZ6" s="151"/>
      <c r="DA6" s="151"/>
      <c r="DB6" s="151"/>
      <c r="DC6" s="151"/>
      <c r="DD6" s="151"/>
      <c r="DE6" s="151"/>
      <c r="DF6" s="153"/>
      <c r="DG6" s="2"/>
      <c r="DH6" s="2"/>
      <c r="DI6" s="2"/>
      <c r="DJ6" s="2"/>
      <c r="DK6" s="2"/>
      <c r="DL6" s="2"/>
      <c r="DM6" s="2"/>
      <c r="DN6" s="2"/>
      <c r="DO6" s="2"/>
    </row>
    <row r="7" spans="1:119" x14ac:dyDescent="0.25">
      <c r="A7" s="4"/>
      <c r="B7" s="5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59"/>
      <c r="CP7" s="161"/>
      <c r="CS7" s="161"/>
      <c r="CY7" s="151"/>
      <c r="CZ7" s="151"/>
      <c r="DA7" s="157"/>
      <c r="DB7" s="151"/>
      <c r="DC7" s="151"/>
      <c r="DD7" s="151"/>
      <c r="DE7" s="151"/>
      <c r="DF7" s="153"/>
      <c r="DG7" s="2"/>
      <c r="DH7" s="2"/>
      <c r="DI7" s="2"/>
      <c r="DJ7" s="2"/>
      <c r="DK7" s="2"/>
      <c r="DL7" s="2"/>
      <c r="DM7" s="2"/>
      <c r="DN7" s="2"/>
      <c r="DO7" s="2"/>
    </row>
    <row r="8" spans="1:119" s="153" customFormat="1" x14ac:dyDescent="0.25">
      <c r="A8" s="4"/>
      <c r="B8" s="5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59"/>
      <c r="CP8" s="161"/>
      <c r="CQ8" s="2"/>
      <c r="CR8" s="2"/>
      <c r="CS8" s="161"/>
      <c r="CT8" s="2"/>
      <c r="CU8" s="2"/>
      <c r="CV8" s="2"/>
      <c r="CW8" s="2"/>
      <c r="CX8" s="2"/>
      <c r="CY8" s="151"/>
      <c r="CZ8" s="151"/>
      <c r="DA8" s="157"/>
      <c r="DB8" s="151"/>
      <c r="DC8" s="151"/>
      <c r="DD8" s="151"/>
      <c r="DE8" s="151"/>
      <c r="DG8" s="2"/>
      <c r="DH8" s="2"/>
      <c r="DI8" s="2"/>
      <c r="DJ8" s="2"/>
      <c r="DK8" s="2"/>
      <c r="DL8" s="2"/>
      <c r="DM8" s="2"/>
      <c r="DN8" s="2"/>
      <c r="DO8" s="2"/>
    </row>
    <row r="9" spans="1:119" s="153" customFormat="1" ht="15" customHeight="1" x14ac:dyDescent="0.25">
      <c r="A9" s="4"/>
      <c r="B9" s="5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59"/>
      <c r="DA9" s="159"/>
      <c r="DB9" s="2"/>
      <c r="DC9" s="274" t="s">
        <v>110</v>
      </c>
      <c r="DD9" s="274"/>
      <c r="DE9" s="274"/>
      <c r="DF9" s="2"/>
      <c r="DG9" s="151"/>
      <c r="DH9" s="151"/>
      <c r="DI9" s="151"/>
      <c r="DJ9" s="151"/>
      <c r="DK9" s="151"/>
      <c r="DL9" s="151"/>
      <c r="DM9" s="151"/>
      <c r="DN9" s="151"/>
      <c r="DO9" s="151"/>
    </row>
    <row r="10" spans="1:119" s="153" customFormat="1" ht="15.75" customHeight="1" x14ac:dyDescent="0.25">
      <c r="A10" s="162"/>
      <c r="B10" s="275" t="s">
        <v>1</v>
      </c>
      <c r="C10" s="276" t="s">
        <v>2</v>
      </c>
      <c r="D10" s="276" t="s">
        <v>111</v>
      </c>
      <c r="E10" s="277" t="s">
        <v>112</v>
      </c>
      <c r="F10" s="277" t="s">
        <v>113</v>
      </c>
      <c r="G10" s="280" t="s">
        <v>109</v>
      </c>
      <c r="H10" s="283" t="s">
        <v>92</v>
      </c>
      <c r="I10" s="254"/>
      <c r="J10" s="254"/>
      <c r="K10" s="254"/>
      <c r="L10" s="254"/>
      <c r="M10" s="254"/>
      <c r="N10" s="254"/>
      <c r="O10" s="254"/>
      <c r="P10" s="254"/>
      <c r="Q10" s="254"/>
      <c r="R10" s="254"/>
      <c r="S10" s="254"/>
      <c r="T10" s="254"/>
      <c r="U10" s="254"/>
      <c r="V10" s="254"/>
      <c r="W10" s="254"/>
      <c r="X10" s="254"/>
      <c r="Y10" s="254"/>
      <c r="Z10" s="254"/>
      <c r="AA10" s="254"/>
      <c r="AB10" s="254"/>
      <c r="AC10" s="254"/>
      <c r="AD10" s="254"/>
      <c r="AE10" s="254"/>
      <c r="AF10" s="254"/>
      <c r="AG10" s="254"/>
      <c r="AH10" s="254"/>
      <c r="AI10" s="254"/>
      <c r="AJ10" s="254"/>
      <c r="AK10" s="254"/>
      <c r="AL10" s="255"/>
      <c r="AM10" s="283" t="s">
        <v>127</v>
      </c>
      <c r="AN10" s="254"/>
      <c r="AO10" s="254"/>
      <c r="AP10" s="254"/>
      <c r="AQ10" s="254"/>
      <c r="AR10" s="254"/>
      <c r="AS10" s="254"/>
      <c r="AT10" s="254"/>
      <c r="AU10" s="254"/>
      <c r="AV10" s="254"/>
      <c r="AW10" s="254"/>
      <c r="AX10" s="254"/>
      <c r="AY10" s="254"/>
      <c r="AZ10" s="254"/>
      <c r="BA10" s="254"/>
      <c r="BB10" s="254"/>
      <c r="BC10" s="254"/>
      <c r="BD10" s="254"/>
      <c r="BE10" s="254"/>
      <c r="BF10" s="254"/>
      <c r="BG10" s="254"/>
      <c r="BH10" s="254"/>
      <c r="BI10" s="254"/>
      <c r="BJ10" s="254"/>
      <c r="BK10" s="254"/>
      <c r="BL10" s="254"/>
      <c r="BM10" s="254"/>
      <c r="BN10" s="254"/>
      <c r="BO10" s="254"/>
      <c r="BP10" s="254"/>
      <c r="BQ10" s="283" t="s">
        <v>128</v>
      </c>
      <c r="BR10" s="254"/>
      <c r="BS10" s="254"/>
      <c r="BT10" s="254"/>
      <c r="BU10" s="254"/>
      <c r="BV10" s="254"/>
      <c r="BW10" s="254"/>
      <c r="BX10" s="254"/>
      <c r="BY10" s="254"/>
      <c r="BZ10" s="254"/>
      <c r="CA10" s="254"/>
      <c r="CB10" s="254"/>
      <c r="CC10" s="254"/>
      <c r="CD10" s="254"/>
      <c r="CE10" s="254"/>
      <c r="CF10" s="254"/>
      <c r="CG10" s="254"/>
      <c r="CH10" s="254"/>
      <c r="CI10" s="254"/>
      <c r="CJ10" s="254"/>
      <c r="CK10" s="254"/>
      <c r="CL10" s="254"/>
      <c r="CM10" s="254"/>
      <c r="CN10" s="254"/>
      <c r="CO10" s="254"/>
      <c r="CP10" s="254"/>
      <c r="CQ10" s="254"/>
      <c r="CR10" s="254"/>
      <c r="CS10" s="254"/>
      <c r="CT10" s="254"/>
      <c r="CU10" s="255"/>
      <c r="CV10" s="275" t="s">
        <v>6</v>
      </c>
      <c r="CW10" s="284" t="s">
        <v>7</v>
      </c>
      <c r="CX10" s="275" t="s">
        <v>8</v>
      </c>
      <c r="CY10" s="284" t="s">
        <v>9</v>
      </c>
      <c r="CZ10" s="284" t="s">
        <v>10</v>
      </c>
      <c r="DA10" s="284" t="s">
        <v>115</v>
      </c>
      <c r="DB10" s="2"/>
      <c r="DC10" s="262" t="s">
        <v>116</v>
      </c>
      <c r="DD10" s="262" t="s">
        <v>117</v>
      </c>
      <c r="DE10" s="262" t="s">
        <v>118</v>
      </c>
      <c r="DF10" s="2"/>
      <c r="DG10" s="285" t="s">
        <v>119</v>
      </c>
      <c r="DH10" s="286"/>
      <c r="DI10" s="286"/>
      <c r="DJ10" s="286"/>
      <c r="DK10" s="286"/>
      <c r="DL10" s="286"/>
      <c r="DM10" s="286"/>
      <c r="DN10" s="286"/>
      <c r="DO10" s="286"/>
    </row>
    <row r="11" spans="1:119" s="153" customFormat="1" ht="15.75" customHeight="1" x14ac:dyDescent="0.25">
      <c r="A11" s="162"/>
      <c r="B11" s="275"/>
      <c r="C11" s="276"/>
      <c r="D11" s="276"/>
      <c r="E11" s="278"/>
      <c r="F11" s="278"/>
      <c r="G11" s="281"/>
      <c r="H11" s="25" t="s">
        <v>16</v>
      </c>
      <c r="I11" s="24" t="s">
        <v>12</v>
      </c>
      <c r="J11" s="24" t="s">
        <v>13</v>
      </c>
      <c r="K11" s="24" t="s">
        <v>14</v>
      </c>
      <c r="L11" s="24" t="s">
        <v>13</v>
      </c>
      <c r="M11" s="24" t="s">
        <v>15</v>
      </c>
      <c r="N11" s="25" t="s">
        <v>16</v>
      </c>
      <c r="O11" s="25" t="s">
        <v>16</v>
      </c>
      <c r="P11" s="24" t="s">
        <v>12</v>
      </c>
      <c r="Q11" s="24" t="s">
        <v>13</v>
      </c>
      <c r="R11" s="24" t="s">
        <v>14</v>
      </c>
      <c r="S11" s="24" t="s">
        <v>13</v>
      </c>
      <c r="T11" s="24" t="s">
        <v>15</v>
      </c>
      <c r="U11" s="25" t="s">
        <v>16</v>
      </c>
      <c r="V11" s="25" t="s">
        <v>16</v>
      </c>
      <c r="W11" s="24" t="s">
        <v>12</v>
      </c>
      <c r="X11" s="24" t="s">
        <v>13</v>
      </c>
      <c r="Y11" s="24" t="s">
        <v>14</v>
      </c>
      <c r="Z11" s="24" t="s">
        <v>13</v>
      </c>
      <c r="AA11" s="24" t="s">
        <v>15</v>
      </c>
      <c r="AB11" s="25" t="s">
        <v>16</v>
      </c>
      <c r="AC11" s="25" t="s">
        <v>16</v>
      </c>
      <c r="AD11" s="24" t="s">
        <v>12</v>
      </c>
      <c r="AE11" s="24" t="s">
        <v>13</v>
      </c>
      <c r="AF11" s="24" t="s">
        <v>14</v>
      </c>
      <c r="AG11" s="24" t="s">
        <v>13</v>
      </c>
      <c r="AH11" s="24" t="s">
        <v>15</v>
      </c>
      <c r="AI11" s="25" t="s">
        <v>16</v>
      </c>
      <c r="AJ11" s="25" t="s">
        <v>16</v>
      </c>
      <c r="AK11" s="24" t="s">
        <v>12</v>
      </c>
      <c r="AL11" s="24" t="s">
        <v>13</v>
      </c>
      <c r="AM11" s="24" t="s">
        <v>14</v>
      </c>
      <c r="AN11" s="24" t="s">
        <v>13</v>
      </c>
      <c r="AO11" s="24" t="s">
        <v>15</v>
      </c>
      <c r="AP11" s="25" t="s">
        <v>16</v>
      </c>
      <c r="AQ11" s="25" t="s">
        <v>16</v>
      </c>
      <c r="AR11" s="24" t="s">
        <v>12</v>
      </c>
      <c r="AS11" s="24" t="s">
        <v>13</v>
      </c>
      <c r="AT11" s="24" t="s">
        <v>14</v>
      </c>
      <c r="AU11" s="24" t="s">
        <v>13</v>
      </c>
      <c r="AV11" s="24" t="s">
        <v>15</v>
      </c>
      <c r="AW11" s="25" t="s">
        <v>16</v>
      </c>
      <c r="AX11" s="25" t="s">
        <v>16</v>
      </c>
      <c r="AY11" s="24" t="s">
        <v>12</v>
      </c>
      <c r="AZ11" s="24" t="s">
        <v>13</v>
      </c>
      <c r="BA11" s="24" t="s">
        <v>14</v>
      </c>
      <c r="BB11" s="24" t="s">
        <v>13</v>
      </c>
      <c r="BC11" s="24" t="s">
        <v>15</v>
      </c>
      <c r="BD11" s="25" t="s">
        <v>16</v>
      </c>
      <c r="BE11" s="25" t="s">
        <v>16</v>
      </c>
      <c r="BF11" s="24" t="s">
        <v>12</v>
      </c>
      <c r="BG11" s="24" t="s">
        <v>13</v>
      </c>
      <c r="BH11" s="24" t="s">
        <v>14</v>
      </c>
      <c r="BI11" s="24" t="s">
        <v>13</v>
      </c>
      <c r="BJ11" s="24" t="s">
        <v>15</v>
      </c>
      <c r="BK11" s="25" t="s">
        <v>16</v>
      </c>
      <c r="BL11" s="25" t="s">
        <v>16</v>
      </c>
      <c r="BM11" s="24" t="s">
        <v>12</v>
      </c>
      <c r="BN11" s="24" t="s">
        <v>13</v>
      </c>
      <c r="BO11" s="24" t="s">
        <v>14</v>
      </c>
      <c r="BP11" s="24" t="s">
        <v>13</v>
      </c>
      <c r="BQ11" s="24" t="s">
        <v>15</v>
      </c>
      <c r="BR11" s="25" t="s">
        <v>16</v>
      </c>
      <c r="BS11" s="25" t="s">
        <v>16</v>
      </c>
      <c r="BT11" s="24" t="s">
        <v>12</v>
      </c>
      <c r="BU11" s="24" t="s">
        <v>13</v>
      </c>
      <c r="BV11" s="24" t="s">
        <v>14</v>
      </c>
      <c r="BW11" s="24" t="s">
        <v>13</v>
      </c>
      <c r="BX11" s="24" t="s">
        <v>15</v>
      </c>
      <c r="BY11" s="25" t="s">
        <v>16</v>
      </c>
      <c r="BZ11" s="25" t="s">
        <v>16</v>
      </c>
      <c r="CA11" s="24" t="s">
        <v>12</v>
      </c>
      <c r="CB11" s="24" t="s">
        <v>13</v>
      </c>
      <c r="CC11" s="24" t="s">
        <v>14</v>
      </c>
      <c r="CD11" s="24" t="s">
        <v>13</v>
      </c>
      <c r="CE11" s="24" t="s">
        <v>15</v>
      </c>
      <c r="CF11" s="25" t="s">
        <v>16</v>
      </c>
      <c r="CG11" s="25" t="s">
        <v>16</v>
      </c>
      <c r="CH11" s="24" t="s">
        <v>12</v>
      </c>
      <c r="CI11" s="24" t="s">
        <v>13</v>
      </c>
      <c r="CJ11" s="24" t="s">
        <v>14</v>
      </c>
      <c r="CK11" s="24" t="s">
        <v>13</v>
      </c>
      <c r="CL11" s="24" t="s">
        <v>15</v>
      </c>
      <c r="CM11" s="25" t="s">
        <v>16</v>
      </c>
      <c r="CN11" s="25" t="s">
        <v>16</v>
      </c>
      <c r="CO11" s="24" t="s">
        <v>12</v>
      </c>
      <c r="CP11" s="24" t="s">
        <v>13</v>
      </c>
      <c r="CQ11" s="24" t="s">
        <v>14</v>
      </c>
      <c r="CR11" s="24" t="s">
        <v>13</v>
      </c>
      <c r="CS11" s="24" t="s">
        <v>15</v>
      </c>
      <c r="CT11" s="25" t="s">
        <v>16</v>
      </c>
      <c r="CU11" s="25" t="s">
        <v>16</v>
      </c>
      <c r="CV11" s="275"/>
      <c r="CW11" s="284"/>
      <c r="CX11" s="275"/>
      <c r="CY11" s="284"/>
      <c r="CZ11" s="284"/>
      <c r="DA11" s="284"/>
      <c r="DB11" s="2"/>
      <c r="DC11" s="263"/>
      <c r="DD11" s="263"/>
      <c r="DE11" s="263"/>
      <c r="DF11" s="2"/>
      <c r="DG11" s="285"/>
      <c r="DH11" s="286"/>
      <c r="DI11" s="286"/>
      <c r="DJ11" s="286"/>
      <c r="DK11" s="286"/>
      <c r="DL11" s="286"/>
      <c r="DM11" s="286"/>
      <c r="DN11" s="286"/>
      <c r="DO11" s="286"/>
    </row>
    <row r="12" spans="1:119" s="153" customFormat="1" ht="15.75" customHeight="1" x14ac:dyDescent="0.25">
      <c r="A12" s="162"/>
      <c r="B12" s="275"/>
      <c r="C12" s="276"/>
      <c r="D12" s="276"/>
      <c r="E12" s="279"/>
      <c r="F12" s="279"/>
      <c r="G12" s="282"/>
      <c r="H12" s="25">
        <v>1</v>
      </c>
      <c r="I12" s="24">
        <v>2</v>
      </c>
      <c r="J12" s="24">
        <v>3</v>
      </c>
      <c r="K12" s="24">
        <v>4</v>
      </c>
      <c r="L12" s="24">
        <v>5</v>
      </c>
      <c r="M12" s="24">
        <v>6</v>
      </c>
      <c r="N12" s="25">
        <v>7</v>
      </c>
      <c r="O12" s="25">
        <v>8</v>
      </c>
      <c r="P12" s="24">
        <v>9</v>
      </c>
      <c r="Q12" s="24">
        <v>10</v>
      </c>
      <c r="R12" s="24">
        <v>11</v>
      </c>
      <c r="S12" s="24">
        <v>12</v>
      </c>
      <c r="T12" s="24">
        <v>13</v>
      </c>
      <c r="U12" s="25">
        <v>14</v>
      </c>
      <c r="V12" s="25">
        <v>15</v>
      </c>
      <c r="W12" s="24">
        <v>16</v>
      </c>
      <c r="X12" s="24">
        <v>17</v>
      </c>
      <c r="Y12" s="24">
        <v>18</v>
      </c>
      <c r="Z12" s="24">
        <v>19</v>
      </c>
      <c r="AA12" s="24">
        <v>20</v>
      </c>
      <c r="AB12" s="25">
        <v>21</v>
      </c>
      <c r="AC12" s="25">
        <v>22</v>
      </c>
      <c r="AD12" s="24">
        <v>23</v>
      </c>
      <c r="AE12" s="24">
        <v>24</v>
      </c>
      <c r="AF12" s="24">
        <v>25</v>
      </c>
      <c r="AG12" s="24">
        <v>26</v>
      </c>
      <c r="AH12" s="24">
        <v>27</v>
      </c>
      <c r="AI12" s="25">
        <v>28</v>
      </c>
      <c r="AJ12" s="25">
        <v>29</v>
      </c>
      <c r="AK12" s="24">
        <v>30</v>
      </c>
      <c r="AL12" s="24">
        <v>31</v>
      </c>
      <c r="AM12" s="24">
        <v>1</v>
      </c>
      <c r="AN12" s="24">
        <v>2</v>
      </c>
      <c r="AO12" s="24">
        <v>3</v>
      </c>
      <c r="AP12" s="25">
        <v>4</v>
      </c>
      <c r="AQ12" s="25">
        <v>5</v>
      </c>
      <c r="AR12" s="24">
        <v>6</v>
      </c>
      <c r="AS12" s="24">
        <v>7</v>
      </c>
      <c r="AT12" s="24">
        <v>8</v>
      </c>
      <c r="AU12" s="24">
        <v>9</v>
      </c>
      <c r="AV12" s="24">
        <v>10</v>
      </c>
      <c r="AW12" s="25">
        <v>11</v>
      </c>
      <c r="AX12" s="25">
        <v>12</v>
      </c>
      <c r="AY12" s="24">
        <v>13</v>
      </c>
      <c r="AZ12" s="24">
        <v>14</v>
      </c>
      <c r="BA12" s="24">
        <v>15</v>
      </c>
      <c r="BB12" s="24">
        <v>16</v>
      </c>
      <c r="BC12" s="24">
        <v>17</v>
      </c>
      <c r="BD12" s="25">
        <v>18</v>
      </c>
      <c r="BE12" s="25">
        <v>19</v>
      </c>
      <c r="BF12" s="24">
        <v>20</v>
      </c>
      <c r="BG12" s="24">
        <v>21</v>
      </c>
      <c r="BH12" s="24">
        <v>22</v>
      </c>
      <c r="BI12" s="24">
        <v>23</v>
      </c>
      <c r="BJ12" s="24">
        <v>24</v>
      </c>
      <c r="BK12" s="25">
        <v>25</v>
      </c>
      <c r="BL12" s="25">
        <v>26</v>
      </c>
      <c r="BM12" s="24">
        <v>27</v>
      </c>
      <c r="BN12" s="24">
        <v>28</v>
      </c>
      <c r="BO12" s="24">
        <v>29</v>
      </c>
      <c r="BP12" s="24">
        <v>30</v>
      </c>
      <c r="BQ12" s="24">
        <v>1</v>
      </c>
      <c r="BR12" s="25">
        <v>2</v>
      </c>
      <c r="BS12" s="25">
        <v>3</v>
      </c>
      <c r="BT12" s="24">
        <v>4</v>
      </c>
      <c r="BU12" s="24">
        <v>5</v>
      </c>
      <c r="BV12" s="24">
        <v>6</v>
      </c>
      <c r="BW12" s="24">
        <v>7</v>
      </c>
      <c r="BX12" s="24">
        <v>8</v>
      </c>
      <c r="BY12" s="25">
        <v>9</v>
      </c>
      <c r="BZ12" s="25">
        <v>10</v>
      </c>
      <c r="CA12" s="24">
        <v>11</v>
      </c>
      <c r="CB12" s="24">
        <v>12</v>
      </c>
      <c r="CC12" s="24">
        <v>13</v>
      </c>
      <c r="CD12" s="24">
        <v>14</v>
      </c>
      <c r="CE12" s="24">
        <v>15</v>
      </c>
      <c r="CF12" s="25">
        <v>16</v>
      </c>
      <c r="CG12" s="25">
        <v>17</v>
      </c>
      <c r="CH12" s="24">
        <v>18</v>
      </c>
      <c r="CI12" s="24">
        <v>19</v>
      </c>
      <c r="CJ12" s="24">
        <v>20</v>
      </c>
      <c r="CK12" s="24">
        <v>21</v>
      </c>
      <c r="CL12" s="24">
        <v>22</v>
      </c>
      <c r="CM12" s="25">
        <v>23</v>
      </c>
      <c r="CN12" s="25">
        <v>24</v>
      </c>
      <c r="CO12" s="24">
        <v>25</v>
      </c>
      <c r="CP12" s="24">
        <v>26</v>
      </c>
      <c r="CQ12" s="24">
        <v>27</v>
      </c>
      <c r="CR12" s="24">
        <v>28</v>
      </c>
      <c r="CS12" s="24">
        <v>29</v>
      </c>
      <c r="CT12" s="25">
        <v>30</v>
      </c>
      <c r="CU12" s="25">
        <v>31</v>
      </c>
      <c r="CV12" s="275"/>
      <c r="CW12" s="284"/>
      <c r="CX12" s="275"/>
      <c r="CY12" s="284"/>
      <c r="CZ12" s="284"/>
      <c r="DA12" s="284"/>
      <c r="DB12" s="2"/>
      <c r="DC12" s="264"/>
      <c r="DD12" s="264"/>
      <c r="DE12" s="264"/>
      <c r="DF12" s="2"/>
      <c r="DG12" s="287" t="s">
        <v>2</v>
      </c>
      <c r="DH12" s="276" t="s">
        <v>114</v>
      </c>
      <c r="DI12" s="276"/>
      <c r="DJ12" s="276" t="s">
        <v>92</v>
      </c>
      <c r="DK12" s="276"/>
      <c r="DL12" s="276" t="s">
        <v>127</v>
      </c>
      <c r="DM12" s="276"/>
      <c r="DN12" s="276" t="s">
        <v>128</v>
      </c>
      <c r="DO12" s="276"/>
    </row>
    <row r="13" spans="1:119" s="153" customFormat="1" ht="16" customHeight="1" x14ac:dyDescent="0.25">
      <c r="A13" s="162"/>
      <c r="B13" s="164"/>
      <c r="C13" s="165"/>
      <c r="D13" s="165"/>
      <c r="E13" s="165"/>
      <c r="F13" s="165"/>
      <c r="G13" s="166" t="s">
        <v>120</v>
      </c>
      <c r="H13" s="165"/>
      <c r="I13" s="165"/>
      <c r="J13" s="165"/>
      <c r="K13" s="165"/>
      <c r="L13" s="165"/>
      <c r="M13" s="165"/>
      <c r="N13" s="165"/>
      <c r="O13" s="165"/>
      <c r="P13" s="165"/>
      <c r="Q13" s="165"/>
      <c r="R13" s="165"/>
      <c r="S13" s="165"/>
      <c r="T13" s="165"/>
      <c r="U13" s="165"/>
      <c r="V13" s="165"/>
      <c r="W13" s="165"/>
      <c r="X13" s="167"/>
      <c r="Y13" s="167"/>
      <c r="Z13" s="167"/>
      <c r="AA13" s="167"/>
      <c r="AB13" s="167"/>
      <c r="AC13" s="167"/>
      <c r="AD13" s="167"/>
      <c r="AE13" s="167"/>
      <c r="AF13" s="167"/>
      <c r="AG13" s="167"/>
      <c r="AH13" s="167"/>
      <c r="AI13" s="167"/>
      <c r="AJ13" s="167"/>
      <c r="AK13" s="167"/>
      <c r="AL13" s="167"/>
      <c r="AM13" s="167"/>
      <c r="AN13" s="167"/>
      <c r="AO13" s="167"/>
      <c r="AP13" s="167"/>
      <c r="AQ13" s="167"/>
      <c r="AR13" s="167"/>
      <c r="AS13" s="167"/>
      <c r="AT13" s="167"/>
      <c r="AU13" s="167"/>
      <c r="AV13" s="167"/>
      <c r="AW13" s="167"/>
      <c r="AX13" s="167"/>
      <c r="AY13" s="167"/>
      <c r="AZ13" s="167"/>
      <c r="BA13" s="167"/>
      <c r="BB13" s="167"/>
      <c r="BC13" s="167"/>
      <c r="BD13" s="167"/>
      <c r="BE13" s="167"/>
      <c r="BF13" s="167"/>
      <c r="BG13" s="167"/>
      <c r="BH13" s="167"/>
      <c r="BI13" s="167"/>
      <c r="BJ13" s="167"/>
      <c r="BK13" s="167"/>
      <c r="BL13" s="167"/>
      <c r="BM13" s="167"/>
      <c r="BN13" s="167"/>
      <c r="BO13" s="167"/>
      <c r="BP13" s="167"/>
      <c r="BQ13" s="167"/>
      <c r="BR13" s="167"/>
      <c r="BS13" s="167"/>
      <c r="BT13" s="167"/>
      <c r="BU13" s="167"/>
      <c r="BV13" s="167"/>
      <c r="BW13" s="167"/>
      <c r="BX13" s="167"/>
      <c r="BY13" s="167"/>
      <c r="BZ13" s="167"/>
      <c r="CA13" s="167"/>
      <c r="CB13" s="167"/>
      <c r="CC13" s="167"/>
      <c r="CD13" s="167"/>
      <c r="CE13" s="167"/>
      <c r="CF13" s="167"/>
      <c r="CG13" s="167"/>
      <c r="CH13" s="167"/>
      <c r="CI13" s="167"/>
      <c r="CJ13" s="168"/>
      <c r="CK13" s="165"/>
      <c r="CL13" s="165"/>
      <c r="CM13" s="165"/>
      <c r="CN13" s="165"/>
      <c r="CO13" s="165"/>
      <c r="CP13" s="165"/>
      <c r="CQ13" s="165"/>
      <c r="CR13" s="165"/>
      <c r="CS13" s="165"/>
      <c r="CT13" s="165"/>
      <c r="CU13" s="165"/>
      <c r="CV13" s="165"/>
      <c r="CW13" s="165"/>
      <c r="CX13" s="165"/>
      <c r="CY13" s="165"/>
      <c r="CZ13" s="29"/>
      <c r="DA13" s="30"/>
      <c r="DB13" s="2"/>
      <c r="DC13" s="169"/>
      <c r="DD13" s="169"/>
      <c r="DE13" s="169"/>
      <c r="DF13" s="2"/>
      <c r="DG13" s="285"/>
      <c r="DH13" s="276"/>
      <c r="DI13" s="276"/>
      <c r="DJ13" s="276"/>
      <c r="DK13" s="276"/>
      <c r="DL13" s="276"/>
      <c r="DM13" s="276"/>
      <c r="DN13" s="276"/>
      <c r="DO13" s="276"/>
    </row>
    <row r="14" spans="1:119" s="153" customFormat="1" ht="14" customHeight="1" x14ac:dyDescent="0.25">
      <c r="A14" s="162"/>
      <c r="B14" s="170"/>
      <c r="C14" s="171"/>
      <c r="D14" s="172"/>
      <c r="E14" s="173"/>
      <c r="F14" s="173"/>
      <c r="G14" s="173"/>
      <c r="H14" s="37"/>
      <c r="I14" s="35"/>
      <c r="J14" s="36"/>
      <c r="K14" s="36"/>
      <c r="L14" s="36"/>
      <c r="M14" s="35"/>
      <c r="N14" s="37"/>
      <c r="O14" s="37"/>
      <c r="P14" s="35"/>
      <c r="Q14" s="36"/>
      <c r="R14" s="36"/>
      <c r="S14" s="36"/>
      <c r="T14" s="35"/>
      <c r="U14" s="37"/>
      <c r="V14" s="37"/>
      <c r="W14" s="35"/>
      <c r="X14" s="36"/>
      <c r="Y14" s="36"/>
      <c r="Z14" s="36"/>
      <c r="AA14" s="35"/>
      <c r="AB14" s="37"/>
      <c r="AC14" s="37"/>
      <c r="AD14" s="35"/>
      <c r="AE14" s="36"/>
      <c r="AF14" s="36"/>
      <c r="AG14" s="36"/>
      <c r="AH14" s="35"/>
      <c r="AI14" s="37"/>
      <c r="AJ14" s="37"/>
      <c r="AK14" s="35"/>
      <c r="AL14" s="36"/>
      <c r="AM14" s="36"/>
      <c r="AN14" s="36"/>
      <c r="AO14" s="35"/>
      <c r="AP14" s="37"/>
      <c r="AQ14" s="37"/>
      <c r="AR14" s="35"/>
      <c r="AS14" s="36"/>
      <c r="AT14" s="36"/>
      <c r="AU14" s="36"/>
      <c r="AV14" s="35"/>
      <c r="AW14" s="37"/>
      <c r="AX14" s="37"/>
      <c r="AY14" s="35"/>
      <c r="AZ14" s="36"/>
      <c r="BA14" s="36"/>
      <c r="BB14" s="36"/>
      <c r="BC14" s="35"/>
      <c r="BD14" s="37"/>
      <c r="BE14" s="37"/>
      <c r="BF14" s="35"/>
      <c r="BG14" s="36"/>
      <c r="BH14" s="36"/>
      <c r="BI14" s="36"/>
      <c r="BJ14" s="35"/>
      <c r="BK14" s="37"/>
      <c r="BL14" s="37"/>
      <c r="BM14" s="35"/>
      <c r="BN14" s="36"/>
      <c r="BO14" s="36"/>
      <c r="BP14" s="36"/>
      <c r="BQ14" s="35"/>
      <c r="BR14" s="37"/>
      <c r="BS14" s="37"/>
      <c r="BT14" s="35"/>
      <c r="BU14" s="36"/>
      <c r="BV14" s="36"/>
      <c r="BW14" s="36"/>
      <c r="BX14" s="35"/>
      <c r="BY14" s="37"/>
      <c r="BZ14" s="37"/>
      <c r="CA14" s="35"/>
      <c r="CB14" s="36"/>
      <c r="CC14" s="36"/>
      <c r="CD14" s="36"/>
      <c r="CE14" s="35"/>
      <c r="CF14" s="37"/>
      <c r="CG14" s="37"/>
      <c r="CH14" s="35"/>
      <c r="CI14" s="36"/>
      <c r="CJ14" s="36"/>
      <c r="CK14" s="36"/>
      <c r="CL14" s="35"/>
      <c r="CM14" s="37"/>
      <c r="CN14" s="37"/>
      <c r="CO14" s="35"/>
      <c r="CP14" s="36"/>
      <c r="CQ14" s="36"/>
      <c r="CR14" s="36"/>
      <c r="CS14" s="35"/>
      <c r="CT14" s="37"/>
      <c r="CU14" s="37"/>
      <c r="CV14" s="174"/>
      <c r="CW14" s="175"/>
      <c r="CX14" s="39"/>
      <c r="CY14" s="38"/>
      <c r="CZ14" s="40"/>
      <c r="DA14" s="40"/>
      <c r="DB14" s="2"/>
      <c r="DC14" s="176"/>
      <c r="DD14" s="177"/>
      <c r="DE14" s="40"/>
      <c r="DF14" s="4"/>
      <c r="DG14" s="288"/>
      <c r="DH14" s="163" t="s">
        <v>121</v>
      </c>
      <c r="DI14" s="163" t="s">
        <v>122</v>
      </c>
      <c r="DJ14" s="163" t="s">
        <v>121</v>
      </c>
      <c r="DK14" s="163" t="s">
        <v>122</v>
      </c>
      <c r="DL14" s="163" t="s">
        <v>121</v>
      </c>
      <c r="DM14" s="163" t="s">
        <v>122</v>
      </c>
      <c r="DN14" s="163" t="s">
        <v>121</v>
      </c>
      <c r="DO14" s="163" t="s">
        <v>122</v>
      </c>
    </row>
    <row r="15" spans="1:119" s="153" customFormat="1" ht="14" customHeight="1" x14ac:dyDescent="0.25">
      <c r="A15" s="162"/>
      <c r="B15" s="178" t="s">
        <v>18</v>
      </c>
      <c r="C15" s="179" t="s">
        <v>129</v>
      </c>
      <c r="D15" s="180" t="s">
        <v>130</v>
      </c>
      <c r="E15" s="181">
        <v>0.75</v>
      </c>
      <c r="F15" s="181">
        <v>0</v>
      </c>
      <c r="G15" s="182">
        <v>60</v>
      </c>
      <c r="H15" s="37"/>
      <c r="I15" s="35"/>
      <c r="J15" s="36"/>
      <c r="K15" s="36"/>
      <c r="L15" s="36"/>
      <c r="M15" s="35"/>
      <c r="N15" s="37"/>
      <c r="O15" s="37"/>
      <c r="P15" s="35"/>
      <c r="Q15" s="36"/>
      <c r="R15" s="36"/>
      <c r="S15" s="36"/>
      <c r="T15" s="35"/>
      <c r="U15" s="37"/>
      <c r="V15" s="37">
        <v>2</v>
      </c>
      <c r="W15" s="35">
        <v>2</v>
      </c>
      <c r="X15" s="36">
        <v>2</v>
      </c>
      <c r="Y15" s="36">
        <v>2</v>
      </c>
      <c r="Z15" s="36">
        <v>2</v>
      </c>
      <c r="AA15" s="35">
        <v>2</v>
      </c>
      <c r="AB15" s="37">
        <v>2</v>
      </c>
      <c r="AC15" s="37">
        <v>2</v>
      </c>
      <c r="AD15" s="35">
        <v>2</v>
      </c>
      <c r="AE15" s="36">
        <v>2</v>
      </c>
      <c r="AF15" s="36">
        <v>2</v>
      </c>
      <c r="AG15" s="36">
        <v>2</v>
      </c>
      <c r="AH15" s="35">
        <v>2</v>
      </c>
      <c r="AI15" s="37">
        <v>2</v>
      </c>
      <c r="AJ15" s="37">
        <v>2</v>
      </c>
      <c r="AK15" s="35">
        <v>2</v>
      </c>
      <c r="AL15" s="36">
        <v>2</v>
      </c>
      <c r="AM15" s="36">
        <v>2</v>
      </c>
      <c r="AN15" s="36">
        <v>2</v>
      </c>
      <c r="AO15" s="35">
        <v>2</v>
      </c>
      <c r="AP15" s="37">
        <v>2</v>
      </c>
      <c r="AQ15" s="37">
        <v>2</v>
      </c>
      <c r="AR15" s="35">
        <v>2</v>
      </c>
      <c r="AS15" s="36">
        <v>2</v>
      </c>
      <c r="AT15" s="36">
        <v>2</v>
      </c>
      <c r="AU15" s="36">
        <v>2</v>
      </c>
      <c r="AV15" s="35">
        <v>2</v>
      </c>
      <c r="AW15" s="37">
        <v>2</v>
      </c>
      <c r="AX15" s="37">
        <v>2</v>
      </c>
      <c r="AY15" s="35">
        <v>2</v>
      </c>
      <c r="AZ15" s="36">
        <v>2</v>
      </c>
      <c r="BA15" s="36">
        <v>2</v>
      </c>
      <c r="BB15" s="36">
        <v>2</v>
      </c>
      <c r="BC15" s="35">
        <v>2</v>
      </c>
      <c r="BD15" s="37">
        <v>2</v>
      </c>
      <c r="BE15" s="37">
        <v>2</v>
      </c>
      <c r="BF15" s="35">
        <v>2</v>
      </c>
      <c r="BG15" s="36">
        <v>2</v>
      </c>
      <c r="BH15" s="36">
        <v>2</v>
      </c>
      <c r="BI15" s="36">
        <v>2</v>
      </c>
      <c r="BJ15" s="35">
        <v>2</v>
      </c>
      <c r="BK15" s="37">
        <v>2</v>
      </c>
      <c r="BL15" s="37">
        <v>2</v>
      </c>
      <c r="BM15" s="35">
        <v>2</v>
      </c>
      <c r="BN15" s="36">
        <v>2</v>
      </c>
      <c r="BO15" s="36">
        <v>2</v>
      </c>
      <c r="BP15" s="36">
        <v>2</v>
      </c>
      <c r="BQ15" s="36">
        <v>2</v>
      </c>
      <c r="BR15" s="36">
        <v>2</v>
      </c>
      <c r="BS15" s="36">
        <v>2</v>
      </c>
      <c r="BT15" s="36">
        <v>2</v>
      </c>
      <c r="BU15" s="36">
        <v>2</v>
      </c>
      <c r="BV15" s="36">
        <v>2</v>
      </c>
      <c r="BW15" s="36">
        <v>2</v>
      </c>
      <c r="BX15" s="36">
        <v>2</v>
      </c>
      <c r="BY15" s="36">
        <v>2</v>
      </c>
      <c r="BZ15" s="36">
        <v>2</v>
      </c>
      <c r="CA15" s="36">
        <v>2</v>
      </c>
      <c r="CB15" s="36">
        <v>1</v>
      </c>
      <c r="CC15" s="36">
        <v>1</v>
      </c>
      <c r="CD15" s="36">
        <v>1</v>
      </c>
      <c r="CE15" s="36">
        <v>1</v>
      </c>
      <c r="CF15" s="36">
        <v>1</v>
      </c>
      <c r="CG15" s="36">
        <v>1</v>
      </c>
      <c r="CH15" s="36">
        <v>1</v>
      </c>
      <c r="CI15" s="36">
        <v>1</v>
      </c>
      <c r="CJ15" s="36">
        <v>1</v>
      </c>
      <c r="CK15" s="36">
        <v>1</v>
      </c>
      <c r="CL15" s="36">
        <v>1</v>
      </c>
      <c r="CM15" s="36">
        <v>1</v>
      </c>
      <c r="CN15" s="36">
        <v>1</v>
      </c>
      <c r="CO15" s="36">
        <v>1</v>
      </c>
      <c r="CP15" s="36">
        <v>1</v>
      </c>
      <c r="CQ15" s="36">
        <v>1</v>
      </c>
      <c r="CR15" s="36">
        <v>1</v>
      </c>
      <c r="CS15" s="36">
        <v>1</v>
      </c>
      <c r="CT15" s="36">
        <v>1</v>
      </c>
      <c r="CU15" s="37">
        <v>1</v>
      </c>
      <c r="CV15" s="183">
        <f>SUM(H15:CU15)</f>
        <v>136</v>
      </c>
      <c r="CW15" s="175">
        <f>777*2</f>
        <v>1554</v>
      </c>
      <c r="CX15" s="66">
        <v>0.6</v>
      </c>
      <c r="CY15" s="47">
        <f>CW15*(1-CX15)</f>
        <v>621.6</v>
      </c>
      <c r="CZ15" s="48">
        <f>CY15*CV15</f>
        <v>84537.600000000006</v>
      </c>
      <c r="DA15" s="48">
        <f>CZ15*0.8</f>
        <v>67630.080000000002</v>
      </c>
      <c r="DB15" s="2"/>
      <c r="DC15" s="184"/>
      <c r="DD15" s="185">
        <f>DC15*CV15</f>
        <v>0</v>
      </c>
      <c r="DE15" s="186">
        <f>IFERROR(DA15/DD15,0)</f>
        <v>0</v>
      </c>
      <c r="DF15" s="4"/>
      <c r="DG15" s="187" t="s">
        <v>129</v>
      </c>
      <c r="DH15" s="188">
        <f>COUNTA(H15:AL15)</f>
        <v>17</v>
      </c>
      <c r="DI15" s="189">
        <f>DH15*CY15*0.8</f>
        <v>8453.76</v>
      </c>
      <c r="DJ15" s="188">
        <f>SUM(H15:AL15)</f>
        <v>34</v>
      </c>
      <c r="DK15" s="189">
        <f>DJ15*CY15*0.8</f>
        <v>16907.52</v>
      </c>
      <c r="DL15" s="188">
        <f>SUM(AM15:BP15)</f>
        <v>60</v>
      </c>
      <c r="DM15" s="189">
        <f>DL15*CY15*0.8</f>
        <v>29836.800000000003</v>
      </c>
      <c r="DN15" s="188">
        <f>SUM(BQ15:CU15)</f>
        <v>42</v>
      </c>
      <c r="DO15" s="189">
        <f>DN15*CY15*0.8</f>
        <v>20885.760000000002</v>
      </c>
    </row>
    <row r="16" spans="1:119" ht="14" customHeight="1" x14ac:dyDescent="0.25">
      <c r="A16" s="162"/>
      <c r="B16" s="178"/>
      <c r="C16" s="179"/>
      <c r="D16" s="180" t="s">
        <v>131</v>
      </c>
      <c r="E16" s="181">
        <v>0.5</v>
      </c>
      <c r="F16" s="181">
        <v>0.75</v>
      </c>
      <c r="G16" s="182">
        <v>60</v>
      </c>
      <c r="H16" s="37"/>
      <c r="I16" s="35"/>
      <c r="J16" s="36"/>
      <c r="K16" s="36"/>
      <c r="L16" s="36"/>
      <c r="M16" s="35"/>
      <c r="N16" s="37"/>
      <c r="O16" s="37"/>
      <c r="P16" s="35"/>
      <c r="Q16" s="36"/>
      <c r="R16" s="36"/>
      <c r="S16" s="36"/>
      <c r="T16" s="35"/>
      <c r="U16" s="37"/>
      <c r="V16" s="37">
        <v>2</v>
      </c>
      <c r="W16" s="35">
        <v>2</v>
      </c>
      <c r="X16" s="36">
        <v>2</v>
      </c>
      <c r="Y16" s="36">
        <v>2</v>
      </c>
      <c r="Z16" s="36">
        <v>2</v>
      </c>
      <c r="AA16" s="35">
        <v>2</v>
      </c>
      <c r="AB16" s="37">
        <v>2</v>
      </c>
      <c r="AC16" s="37">
        <v>2</v>
      </c>
      <c r="AD16" s="35">
        <v>2</v>
      </c>
      <c r="AE16" s="36">
        <v>2</v>
      </c>
      <c r="AF16" s="36">
        <v>2</v>
      </c>
      <c r="AG16" s="36">
        <v>2</v>
      </c>
      <c r="AH16" s="35">
        <v>2</v>
      </c>
      <c r="AI16" s="37">
        <v>2</v>
      </c>
      <c r="AJ16" s="37">
        <v>2</v>
      </c>
      <c r="AK16" s="35">
        <v>2</v>
      </c>
      <c r="AL16" s="36">
        <v>2</v>
      </c>
      <c r="AM16" s="36">
        <v>2</v>
      </c>
      <c r="AN16" s="36">
        <v>2</v>
      </c>
      <c r="AO16" s="35">
        <v>2</v>
      </c>
      <c r="AP16" s="37">
        <v>2</v>
      </c>
      <c r="AQ16" s="37">
        <v>2</v>
      </c>
      <c r="AR16" s="35">
        <v>2</v>
      </c>
      <c r="AS16" s="36">
        <v>2</v>
      </c>
      <c r="AT16" s="36">
        <v>2</v>
      </c>
      <c r="AU16" s="36">
        <v>2</v>
      </c>
      <c r="AV16" s="35">
        <v>2</v>
      </c>
      <c r="AW16" s="37">
        <v>2</v>
      </c>
      <c r="AX16" s="37">
        <v>1</v>
      </c>
      <c r="AY16" s="35">
        <v>1</v>
      </c>
      <c r="AZ16" s="36">
        <v>1</v>
      </c>
      <c r="BA16" s="36">
        <v>1</v>
      </c>
      <c r="BB16" s="36">
        <v>1</v>
      </c>
      <c r="BC16" s="35">
        <v>1</v>
      </c>
      <c r="BD16" s="37">
        <v>1</v>
      </c>
      <c r="BE16" s="37">
        <v>1</v>
      </c>
      <c r="BF16" s="35">
        <v>1</v>
      </c>
      <c r="BG16" s="36">
        <v>1</v>
      </c>
      <c r="BH16" s="36">
        <v>1</v>
      </c>
      <c r="BI16" s="36">
        <v>1</v>
      </c>
      <c r="BJ16" s="35">
        <v>1</v>
      </c>
      <c r="BK16" s="37">
        <v>1</v>
      </c>
      <c r="BL16" s="37">
        <v>1</v>
      </c>
      <c r="BM16" s="35">
        <v>1</v>
      </c>
      <c r="BN16" s="36">
        <v>1</v>
      </c>
      <c r="BO16" s="36">
        <v>1</v>
      </c>
      <c r="BP16" s="36">
        <v>1</v>
      </c>
      <c r="BQ16" s="36">
        <v>1</v>
      </c>
      <c r="BR16" s="36">
        <v>1</v>
      </c>
      <c r="BS16" s="36">
        <v>1</v>
      </c>
      <c r="BT16" s="36">
        <v>1</v>
      </c>
      <c r="BU16" s="36">
        <v>1</v>
      </c>
      <c r="BV16" s="36">
        <v>1</v>
      </c>
      <c r="BW16" s="36">
        <v>1</v>
      </c>
      <c r="BX16" s="36">
        <v>1</v>
      </c>
      <c r="BY16" s="36">
        <v>1</v>
      </c>
      <c r="BZ16" s="36">
        <v>1</v>
      </c>
      <c r="CA16" s="36">
        <v>1</v>
      </c>
      <c r="CB16" s="36">
        <v>1</v>
      </c>
      <c r="CC16" s="36">
        <v>1</v>
      </c>
      <c r="CD16" s="36">
        <v>1</v>
      </c>
      <c r="CE16" s="36">
        <v>1</v>
      </c>
      <c r="CF16" s="36">
        <v>1</v>
      </c>
      <c r="CG16" s="36">
        <v>1</v>
      </c>
      <c r="CH16" s="36">
        <v>1</v>
      </c>
      <c r="CI16" s="36">
        <v>1</v>
      </c>
      <c r="CJ16" s="36">
        <v>1</v>
      </c>
      <c r="CK16" s="36">
        <v>1</v>
      </c>
      <c r="CL16" s="36">
        <v>1</v>
      </c>
      <c r="CM16" s="36">
        <v>1</v>
      </c>
      <c r="CN16" s="36">
        <v>1</v>
      </c>
      <c r="CO16" s="36">
        <v>1</v>
      </c>
      <c r="CP16" s="36">
        <v>1</v>
      </c>
      <c r="CQ16" s="36">
        <v>1</v>
      </c>
      <c r="CR16" s="36">
        <v>1</v>
      </c>
      <c r="CS16" s="36">
        <v>1</v>
      </c>
      <c r="CT16" s="36">
        <v>1</v>
      </c>
      <c r="CU16" s="37">
        <v>1</v>
      </c>
      <c r="CV16" s="183">
        <f>SUM(H16:CU16)</f>
        <v>106</v>
      </c>
      <c r="CW16" s="175">
        <f>527*2</f>
        <v>1054</v>
      </c>
      <c r="CX16" s="66">
        <v>0.6</v>
      </c>
      <c r="CY16" s="47">
        <f>CW16*(1-CX16)</f>
        <v>421.6</v>
      </c>
      <c r="CZ16" s="48">
        <f>CY16*CV16</f>
        <v>44689.600000000006</v>
      </c>
      <c r="DA16" s="48">
        <f t="shared" ref="DA16" si="0">CZ16*0.8</f>
        <v>35751.680000000008</v>
      </c>
      <c r="DC16" s="184"/>
      <c r="DD16" s="185">
        <f t="shared" ref="DD16" si="1">DC16*CV16</f>
        <v>0</v>
      </c>
      <c r="DE16" s="186">
        <f t="shared" ref="DE16" si="2">IFERROR(DA16/DD16,0)</f>
        <v>0</v>
      </c>
      <c r="DF16" s="4"/>
      <c r="DG16" s="189" t="s">
        <v>129</v>
      </c>
      <c r="DH16" s="188">
        <f>COUNTA(H16:AL16)</f>
        <v>17</v>
      </c>
      <c r="DI16" s="189">
        <f>DH16*CY16*0.8</f>
        <v>5733.7600000000011</v>
      </c>
      <c r="DJ16" s="188">
        <f>SUM(H16:AL16)</f>
        <v>34</v>
      </c>
      <c r="DK16" s="189">
        <f>DJ16*CY16*0.8</f>
        <v>11467.520000000002</v>
      </c>
      <c r="DL16" s="188">
        <f>SUM(AM16:BP16)</f>
        <v>41</v>
      </c>
      <c r="DM16" s="189">
        <f>DL16*CY16*0.8</f>
        <v>13828.480000000003</v>
      </c>
      <c r="DN16" s="188">
        <f>SUM(BQ16:CU16)</f>
        <v>31</v>
      </c>
      <c r="DO16" s="189">
        <f>DN16*CY16*0.8</f>
        <v>10455.68</v>
      </c>
    </row>
    <row r="17" spans="1:119" s="213" customFormat="1" ht="14" customHeight="1" x14ac:dyDescent="0.4">
      <c r="A17" s="16"/>
      <c r="B17" s="179"/>
      <c r="C17" s="179"/>
      <c r="D17" s="209"/>
      <c r="E17" s="196"/>
      <c r="F17" s="196"/>
      <c r="G17" s="191"/>
      <c r="H17" s="37"/>
      <c r="I17" s="35"/>
      <c r="J17" s="36"/>
      <c r="K17" s="36"/>
      <c r="L17" s="36"/>
      <c r="M17" s="35"/>
      <c r="N17" s="37"/>
      <c r="O17" s="37"/>
      <c r="P17" s="35"/>
      <c r="Q17" s="36"/>
      <c r="R17" s="36"/>
      <c r="S17" s="36"/>
      <c r="T17" s="35"/>
      <c r="U17" s="37"/>
      <c r="V17" s="37"/>
      <c r="W17" s="35"/>
      <c r="X17" s="36"/>
      <c r="Y17" s="36"/>
      <c r="Z17" s="36"/>
      <c r="AA17" s="35"/>
      <c r="AB17" s="37"/>
      <c r="AC17" s="37"/>
      <c r="AD17" s="35"/>
      <c r="AE17" s="36"/>
      <c r="AF17" s="36"/>
      <c r="AG17" s="36"/>
      <c r="AH17" s="35"/>
      <c r="AI17" s="37"/>
      <c r="AJ17" s="37"/>
      <c r="AK17" s="35"/>
      <c r="AL17" s="36"/>
      <c r="AM17" s="36"/>
      <c r="AN17" s="36"/>
      <c r="AO17" s="35"/>
      <c r="AP17" s="37"/>
      <c r="AQ17" s="37"/>
      <c r="AR17" s="35"/>
      <c r="AS17" s="36"/>
      <c r="AT17" s="36"/>
      <c r="AU17" s="36"/>
      <c r="AV17" s="35"/>
      <c r="AW17" s="37"/>
      <c r="AX17" s="37"/>
      <c r="AY17" s="35"/>
      <c r="AZ17" s="36"/>
      <c r="BA17" s="36"/>
      <c r="BB17" s="36"/>
      <c r="BC17" s="35"/>
      <c r="BD17" s="37"/>
      <c r="BE17" s="37"/>
      <c r="BF17" s="35"/>
      <c r="BG17" s="36"/>
      <c r="BH17" s="36"/>
      <c r="BI17" s="36"/>
      <c r="BJ17" s="35"/>
      <c r="BK17" s="37"/>
      <c r="BL17" s="37"/>
      <c r="BM17" s="35"/>
      <c r="BN17" s="36"/>
      <c r="BO17" s="36"/>
      <c r="BP17" s="36"/>
      <c r="BQ17" s="35"/>
      <c r="BR17" s="37"/>
      <c r="BS17" s="37"/>
      <c r="BT17" s="35"/>
      <c r="BU17" s="36"/>
      <c r="BV17" s="36"/>
      <c r="BW17" s="36"/>
      <c r="BX17" s="35"/>
      <c r="BY17" s="37"/>
      <c r="BZ17" s="37"/>
      <c r="CA17" s="35"/>
      <c r="CB17" s="36"/>
      <c r="CC17" s="36"/>
      <c r="CD17" s="36"/>
      <c r="CE17" s="35"/>
      <c r="CF17" s="37"/>
      <c r="CG17" s="37"/>
      <c r="CH17" s="35"/>
      <c r="CI17" s="36"/>
      <c r="CJ17" s="36"/>
      <c r="CK17" s="36"/>
      <c r="CL17" s="35"/>
      <c r="CM17" s="37"/>
      <c r="CN17" s="37"/>
      <c r="CO17" s="35"/>
      <c r="CP17" s="36"/>
      <c r="CQ17" s="36"/>
      <c r="CR17" s="36"/>
      <c r="CS17" s="35"/>
      <c r="CT17" s="37"/>
      <c r="CU17" s="37"/>
      <c r="CV17" s="183"/>
      <c r="CW17" s="175"/>
      <c r="CX17" s="190"/>
      <c r="CY17" s="175"/>
      <c r="CZ17" s="175"/>
      <c r="DA17" s="175"/>
      <c r="DC17" s="210"/>
      <c r="DD17" s="211"/>
      <c r="DE17" s="212"/>
      <c r="DF17" s="155"/>
      <c r="DG17" s="214" t="s">
        <v>132</v>
      </c>
      <c r="DH17" s="194" t="e">
        <f>SUM(#REF!)</f>
        <v>#REF!</v>
      </c>
      <c r="DI17" s="195" t="e">
        <f>SUM(#REF!)</f>
        <v>#REF!</v>
      </c>
      <c r="DJ17" s="194">
        <f t="shared" ref="DJ17:DO17" si="3">SUM(DJ15:DJ16)</f>
        <v>68</v>
      </c>
      <c r="DK17" s="215">
        <f t="shared" si="3"/>
        <v>28375.040000000001</v>
      </c>
      <c r="DL17" s="194">
        <f t="shared" si="3"/>
        <v>101</v>
      </c>
      <c r="DM17" s="215">
        <f t="shared" si="3"/>
        <v>43665.280000000006</v>
      </c>
      <c r="DN17" s="194">
        <f t="shared" si="3"/>
        <v>73</v>
      </c>
      <c r="DO17" s="215">
        <f t="shared" si="3"/>
        <v>31341.440000000002</v>
      </c>
    </row>
    <row r="18" spans="1:119" ht="3.75" customHeight="1" x14ac:dyDescent="0.25">
      <c r="A18" s="162"/>
      <c r="B18" s="197"/>
      <c r="C18" s="198"/>
      <c r="D18" s="198"/>
      <c r="E18" s="198"/>
      <c r="F18" s="198"/>
      <c r="G18" s="198"/>
      <c r="H18" s="198"/>
      <c r="I18" s="198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  <c r="AS18" s="198"/>
      <c r="AT18" s="198"/>
      <c r="AU18" s="198"/>
      <c r="AV18" s="198"/>
      <c r="AW18" s="198"/>
      <c r="AX18" s="198"/>
      <c r="AY18" s="198"/>
      <c r="AZ18" s="198"/>
      <c r="BA18" s="198"/>
      <c r="BB18" s="198"/>
      <c r="BC18" s="198"/>
      <c r="BD18" s="198"/>
      <c r="BE18" s="198"/>
      <c r="BF18" s="198"/>
      <c r="BG18" s="198"/>
      <c r="BH18" s="198"/>
      <c r="BI18" s="198"/>
      <c r="BJ18" s="198"/>
      <c r="BK18" s="198"/>
      <c r="BL18" s="198"/>
      <c r="BM18" s="198"/>
      <c r="BN18" s="198"/>
      <c r="BO18" s="198"/>
      <c r="BP18" s="198"/>
      <c r="BQ18" s="198"/>
      <c r="BR18" s="198"/>
      <c r="BS18" s="198"/>
      <c r="BT18" s="198"/>
      <c r="BU18" s="198"/>
      <c r="BV18" s="198"/>
      <c r="BW18" s="198"/>
      <c r="BX18" s="198"/>
      <c r="BY18" s="198"/>
      <c r="BZ18" s="198"/>
      <c r="CA18" s="198"/>
      <c r="CB18" s="198"/>
      <c r="CC18" s="198"/>
      <c r="CD18" s="198"/>
      <c r="CE18" s="198"/>
      <c r="CF18" s="198"/>
      <c r="CG18" s="198"/>
      <c r="CH18" s="198"/>
      <c r="CI18" s="198"/>
      <c r="CJ18" s="198"/>
      <c r="CK18" s="198"/>
      <c r="CL18" s="198"/>
      <c r="CM18" s="198"/>
      <c r="CN18" s="198"/>
      <c r="CO18" s="198"/>
      <c r="CP18" s="198"/>
      <c r="CQ18" s="198"/>
      <c r="CR18" s="198"/>
      <c r="CS18" s="198"/>
      <c r="CT18" s="198"/>
      <c r="CU18" s="198"/>
      <c r="CV18" s="198"/>
      <c r="CW18" s="198"/>
      <c r="CX18" s="198"/>
      <c r="CY18" s="198"/>
      <c r="CZ18" s="199"/>
      <c r="DA18" s="58"/>
      <c r="DE18" s="200"/>
      <c r="DG18" s="201"/>
      <c r="DH18" s="202"/>
      <c r="DI18" s="203"/>
      <c r="DJ18" s="202"/>
      <c r="DK18" s="203"/>
      <c r="DL18" s="202"/>
      <c r="DM18" s="203"/>
      <c r="DN18" s="202"/>
      <c r="DO18" s="203"/>
    </row>
    <row r="19" spans="1:119" s="192" customFormat="1" x14ac:dyDescent="0.4">
      <c r="A19" s="193"/>
      <c r="B19" s="59" t="s">
        <v>123</v>
      </c>
      <c r="C19" s="204"/>
      <c r="D19" s="204"/>
      <c r="E19" s="204"/>
      <c r="F19" s="204"/>
      <c r="G19" s="204"/>
      <c r="H19" s="204">
        <f t="shared" ref="H19:BS19" si="4">SUM(H14:H17)</f>
        <v>0</v>
      </c>
      <c r="I19" s="204">
        <f t="shared" si="4"/>
        <v>0</v>
      </c>
      <c r="J19" s="204">
        <f t="shared" si="4"/>
        <v>0</v>
      </c>
      <c r="K19" s="204">
        <f t="shared" si="4"/>
        <v>0</v>
      </c>
      <c r="L19" s="204">
        <f t="shared" si="4"/>
        <v>0</v>
      </c>
      <c r="M19" s="204">
        <f t="shared" si="4"/>
        <v>0</v>
      </c>
      <c r="N19" s="204">
        <f t="shared" si="4"/>
        <v>0</v>
      </c>
      <c r="O19" s="204">
        <f t="shared" si="4"/>
        <v>0</v>
      </c>
      <c r="P19" s="204">
        <f t="shared" si="4"/>
        <v>0</v>
      </c>
      <c r="Q19" s="204">
        <f t="shared" si="4"/>
        <v>0</v>
      </c>
      <c r="R19" s="204">
        <f t="shared" si="4"/>
        <v>0</v>
      </c>
      <c r="S19" s="204">
        <f t="shared" si="4"/>
        <v>0</v>
      </c>
      <c r="T19" s="204">
        <f t="shared" si="4"/>
        <v>0</v>
      </c>
      <c r="U19" s="204">
        <f t="shared" si="4"/>
        <v>0</v>
      </c>
      <c r="V19" s="204">
        <f t="shared" si="4"/>
        <v>4</v>
      </c>
      <c r="W19" s="204">
        <f t="shared" si="4"/>
        <v>4</v>
      </c>
      <c r="X19" s="204">
        <f t="shared" si="4"/>
        <v>4</v>
      </c>
      <c r="Y19" s="204">
        <f t="shared" si="4"/>
        <v>4</v>
      </c>
      <c r="Z19" s="204">
        <f t="shared" si="4"/>
        <v>4</v>
      </c>
      <c r="AA19" s="204">
        <f t="shared" si="4"/>
        <v>4</v>
      </c>
      <c r="AB19" s="204">
        <f t="shared" si="4"/>
        <v>4</v>
      </c>
      <c r="AC19" s="204">
        <f t="shared" si="4"/>
        <v>4</v>
      </c>
      <c r="AD19" s="204">
        <f t="shared" si="4"/>
        <v>4</v>
      </c>
      <c r="AE19" s="204">
        <f t="shared" si="4"/>
        <v>4</v>
      </c>
      <c r="AF19" s="204">
        <f t="shared" si="4"/>
        <v>4</v>
      </c>
      <c r="AG19" s="204">
        <f t="shared" si="4"/>
        <v>4</v>
      </c>
      <c r="AH19" s="204">
        <f t="shared" si="4"/>
        <v>4</v>
      </c>
      <c r="AI19" s="204">
        <f t="shared" si="4"/>
        <v>4</v>
      </c>
      <c r="AJ19" s="204">
        <f t="shared" si="4"/>
        <v>4</v>
      </c>
      <c r="AK19" s="204">
        <f t="shared" si="4"/>
        <v>4</v>
      </c>
      <c r="AL19" s="204">
        <f t="shared" si="4"/>
        <v>4</v>
      </c>
      <c r="AM19" s="204">
        <f t="shared" si="4"/>
        <v>4</v>
      </c>
      <c r="AN19" s="204">
        <f t="shared" si="4"/>
        <v>4</v>
      </c>
      <c r="AO19" s="204">
        <f t="shared" si="4"/>
        <v>4</v>
      </c>
      <c r="AP19" s="204">
        <f t="shared" si="4"/>
        <v>4</v>
      </c>
      <c r="AQ19" s="204">
        <f t="shared" si="4"/>
        <v>4</v>
      </c>
      <c r="AR19" s="204">
        <f t="shared" si="4"/>
        <v>4</v>
      </c>
      <c r="AS19" s="204">
        <f t="shared" si="4"/>
        <v>4</v>
      </c>
      <c r="AT19" s="204">
        <f t="shared" si="4"/>
        <v>4</v>
      </c>
      <c r="AU19" s="204">
        <f t="shared" si="4"/>
        <v>4</v>
      </c>
      <c r="AV19" s="204">
        <f t="shared" si="4"/>
        <v>4</v>
      </c>
      <c r="AW19" s="204">
        <f t="shared" si="4"/>
        <v>4</v>
      </c>
      <c r="AX19" s="204">
        <f t="shared" si="4"/>
        <v>3</v>
      </c>
      <c r="AY19" s="204">
        <f t="shared" si="4"/>
        <v>3</v>
      </c>
      <c r="AZ19" s="204">
        <f t="shared" si="4"/>
        <v>3</v>
      </c>
      <c r="BA19" s="204">
        <f t="shared" si="4"/>
        <v>3</v>
      </c>
      <c r="BB19" s="204">
        <f t="shared" si="4"/>
        <v>3</v>
      </c>
      <c r="BC19" s="204">
        <f t="shared" si="4"/>
        <v>3</v>
      </c>
      <c r="BD19" s="204">
        <f t="shared" si="4"/>
        <v>3</v>
      </c>
      <c r="BE19" s="204">
        <f t="shared" si="4"/>
        <v>3</v>
      </c>
      <c r="BF19" s="204">
        <f t="shared" si="4"/>
        <v>3</v>
      </c>
      <c r="BG19" s="204">
        <f t="shared" si="4"/>
        <v>3</v>
      </c>
      <c r="BH19" s="204">
        <f t="shared" si="4"/>
        <v>3</v>
      </c>
      <c r="BI19" s="204">
        <f t="shared" si="4"/>
        <v>3</v>
      </c>
      <c r="BJ19" s="204">
        <f t="shared" si="4"/>
        <v>3</v>
      </c>
      <c r="BK19" s="204">
        <f t="shared" si="4"/>
        <v>3</v>
      </c>
      <c r="BL19" s="204">
        <f t="shared" si="4"/>
        <v>3</v>
      </c>
      <c r="BM19" s="204">
        <f t="shared" si="4"/>
        <v>3</v>
      </c>
      <c r="BN19" s="204">
        <f t="shared" si="4"/>
        <v>3</v>
      </c>
      <c r="BO19" s="204">
        <f t="shared" si="4"/>
        <v>3</v>
      </c>
      <c r="BP19" s="204">
        <f t="shared" si="4"/>
        <v>3</v>
      </c>
      <c r="BQ19" s="204">
        <f t="shared" si="4"/>
        <v>3</v>
      </c>
      <c r="BR19" s="204">
        <f t="shared" si="4"/>
        <v>3</v>
      </c>
      <c r="BS19" s="204">
        <f t="shared" si="4"/>
        <v>3</v>
      </c>
      <c r="BT19" s="204">
        <f t="shared" ref="BT19:CU19" si="5">SUM(BT14:BT17)</f>
        <v>3</v>
      </c>
      <c r="BU19" s="204">
        <f t="shared" si="5"/>
        <v>3</v>
      </c>
      <c r="BV19" s="204">
        <f t="shared" si="5"/>
        <v>3</v>
      </c>
      <c r="BW19" s="204">
        <f t="shared" si="5"/>
        <v>3</v>
      </c>
      <c r="BX19" s="204">
        <f t="shared" si="5"/>
        <v>3</v>
      </c>
      <c r="BY19" s="204">
        <f t="shared" si="5"/>
        <v>3</v>
      </c>
      <c r="BZ19" s="204">
        <f t="shared" si="5"/>
        <v>3</v>
      </c>
      <c r="CA19" s="204">
        <f t="shared" si="5"/>
        <v>3</v>
      </c>
      <c r="CB19" s="204">
        <f t="shared" si="5"/>
        <v>2</v>
      </c>
      <c r="CC19" s="204">
        <f t="shared" si="5"/>
        <v>2</v>
      </c>
      <c r="CD19" s="204">
        <f t="shared" si="5"/>
        <v>2</v>
      </c>
      <c r="CE19" s="204">
        <f t="shared" si="5"/>
        <v>2</v>
      </c>
      <c r="CF19" s="204">
        <f t="shared" si="5"/>
        <v>2</v>
      </c>
      <c r="CG19" s="204">
        <f t="shared" si="5"/>
        <v>2</v>
      </c>
      <c r="CH19" s="204">
        <f t="shared" si="5"/>
        <v>2</v>
      </c>
      <c r="CI19" s="204">
        <f t="shared" si="5"/>
        <v>2</v>
      </c>
      <c r="CJ19" s="204">
        <f t="shared" si="5"/>
        <v>2</v>
      </c>
      <c r="CK19" s="204">
        <f t="shared" si="5"/>
        <v>2</v>
      </c>
      <c r="CL19" s="204">
        <f t="shared" si="5"/>
        <v>2</v>
      </c>
      <c r="CM19" s="204">
        <f t="shared" si="5"/>
        <v>2</v>
      </c>
      <c r="CN19" s="204">
        <f t="shared" si="5"/>
        <v>2</v>
      </c>
      <c r="CO19" s="204">
        <f t="shared" si="5"/>
        <v>2</v>
      </c>
      <c r="CP19" s="204">
        <f t="shared" si="5"/>
        <v>2</v>
      </c>
      <c r="CQ19" s="204">
        <f t="shared" si="5"/>
        <v>2</v>
      </c>
      <c r="CR19" s="204">
        <f t="shared" si="5"/>
        <v>2</v>
      </c>
      <c r="CS19" s="204">
        <f t="shared" si="5"/>
        <v>2</v>
      </c>
      <c r="CT19" s="204">
        <f t="shared" si="5"/>
        <v>2</v>
      </c>
      <c r="CU19" s="204">
        <f t="shared" si="5"/>
        <v>2</v>
      </c>
      <c r="CV19" s="204">
        <f>SUM(CV14:CV17)</f>
        <v>242</v>
      </c>
      <c r="CW19" s="61"/>
      <c r="CX19" s="61"/>
      <c r="CY19" s="216"/>
      <c r="CZ19" s="216">
        <f>SUM(CZ15:CZ16)</f>
        <v>129227.20000000001</v>
      </c>
      <c r="DA19" s="216">
        <f>SUM(DA15:DA16)</f>
        <v>103381.76000000001</v>
      </c>
      <c r="DC19" s="217"/>
      <c r="DD19" s="218">
        <f>SUM(DD15:DD16)</f>
        <v>0</v>
      </c>
      <c r="DE19" s="219" t="e">
        <f>DA19/DD19</f>
        <v>#DIV/0!</v>
      </c>
      <c r="DG19" s="220" t="s">
        <v>124</v>
      </c>
      <c r="DH19" s="221" t="e">
        <f>SUM(#REF!,#REF!,#REF!,#REF!,#REF!,#REF!,#REF!,DH17)</f>
        <v>#REF!</v>
      </c>
      <c r="DI19" s="222" t="e">
        <f>SUM(#REF!,#REF!,#REF!,#REF!,#REF!,#REF!,#REF!,DI17)</f>
        <v>#REF!</v>
      </c>
      <c r="DJ19" s="221">
        <f t="shared" ref="DJ19:DO19" si="6">SUM(DJ17)</f>
        <v>68</v>
      </c>
      <c r="DK19" s="223">
        <f t="shared" si="6"/>
        <v>28375.040000000001</v>
      </c>
      <c r="DL19" s="221">
        <f t="shared" si="6"/>
        <v>101</v>
      </c>
      <c r="DM19" s="223">
        <f t="shared" si="6"/>
        <v>43665.280000000006</v>
      </c>
      <c r="DN19" s="221">
        <f t="shared" si="6"/>
        <v>73</v>
      </c>
      <c r="DO19" s="223">
        <f t="shared" si="6"/>
        <v>31341.440000000002</v>
      </c>
    </row>
    <row r="20" spans="1:119" x14ac:dyDescent="0.25">
      <c r="A20" s="4"/>
      <c r="B20" s="4"/>
      <c r="C20" s="4"/>
      <c r="D20" s="4"/>
      <c r="E20" s="4"/>
      <c r="F20" s="4"/>
      <c r="G20" s="15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205"/>
      <c r="DI20" s="157"/>
      <c r="DK20" s="157"/>
      <c r="DM20" s="157"/>
      <c r="DO20" s="157"/>
    </row>
    <row r="21" spans="1:119" x14ac:dyDescent="0.25">
      <c r="D21" s="207"/>
      <c r="CZ21" s="206"/>
      <c r="DA21" s="206"/>
      <c r="DN21" s="208" t="s">
        <v>125</v>
      </c>
      <c r="DO21" s="224">
        <f>SUM(DK19,DM19,DO19)</f>
        <v>103381.76000000001</v>
      </c>
    </row>
    <row r="22" spans="1:119" x14ac:dyDescent="0.25">
      <c r="D22" s="207"/>
      <c r="DA22" s="206"/>
    </row>
    <row r="23" spans="1:119" x14ac:dyDescent="0.25">
      <c r="DA23" s="206"/>
    </row>
  </sheetData>
  <mergeCells count="25">
    <mergeCell ref="DN12:DO13"/>
    <mergeCell ref="DG10:DO11"/>
    <mergeCell ref="CZ10:CZ12"/>
    <mergeCell ref="DA10:DA12"/>
    <mergeCell ref="DC10:DC12"/>
    <mergeCell ref="DD10:DD12"/>
    <mergeCell ref="DE10:DE12"/>
    <mergeCell ref="DG12:DG14"/>
    <mergeCell ref="DH12:DI13"/>
    <mergeCell ref="DJ12:DK13"/>
    <mergeCell ref="DL12:DM13"/>
    <mergeCell ref="DC9:DE9"/>
    <mergeCell ref="B10:B12"/>
    <mergeCell ref="C10:C12"/>
    <mergeCell ref="D10:D12"/>
    <mergeCell ref="E10:E12"/>
    <mergeCell ref="F10:F12"/>
    <mergeCell ref="G10:G12"/>
    <mergeCell ref="H10:AL10"/>
    <mergeCell ref="AM10:BP10"/>
    <mergeCell ref="CV10:CV12"/>
    <mergeCell ref="CW10:CW12"/>
    <mergeCell ref="CX10:CX12"/>
    <mergeCell ref="CY10:CY12"/>
    <mergeCell ref="BQ10:CU10"/>
  </mergeCells>
  <conditionalFormatting sqref="H14:CU17">
    <cfRule type="notContainsBlanks" dxfId="0" priority="1">
      <formula>LEN(TRIM(H14))&gt;0</formula>
    </cfRule>
  </conditionalFormatting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1</vt:i4>
      </vt:variant>
    </vt:vector>
  </HeadingPairs>
  <TitlesOfParts>
    <vt:vector size="5" baseType="lpstr">
      <vt:lpstr>COVER</vt:lpstr>
      <vt:lpstr>RESUMO DE MEIOS</vt:lpstr>
      <vt:lpstr>JORNAL </vt:lpstr>
      <vt:lpstr>OPEN TV</vt:lpstr>
      <vt:lpstr>COVER!Area_de_impressao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Elza Savoy De Brito (Omnicom)</dc:creator>
  <cp:lastModifiedBy>Erika Gonçalves (Omnicom)</cp:lastModifiedBy>
  <dcterms:created xsi:type="dcterms:W3CDTF">2026-02-12T19:05:59Z</dcterms:created>
  <dcterms:modified xsi:type="dcterms:W3CDTF">2026-03-13T19:42:13Z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e19d756-792e-42a1-bcad-4cb9051ddd2d_Enabled">
    <vt:lpwstr>true</vt:lpwstr>
  </property>
  <property fmtid="{D5CDD505-2E9C-101B-9397-08002B2CF9AE}" pid="3" name="MSIP_Label_8e19d756-792e-42a1-bcad-4cb9051ddd2d_SetDate">
    <vt:lpwstr>2026-02-12T19:46:45Z</vt:lpwstr>
  </property>
  <property fmtid="{D5CDD505-2E9C-101B-9397-08002B2CF9AE}" pid="4" name="MSIP_Label_8e19d756-792e-42a1-bcad-4cb9051ddd2d_Method">
    <vt:lpwstr>Standard</vt:lpwstr>
  </property>
  <property fmtid="{D5CDD505-2E9C-101B-9397-08002B2CF9AE}" pid="5" name="MSIP_Label_8e19d756-792e-42a1-bcad-4cb9051ddd2d_Name">
    <vt:lpwstr>Confidential</vt:lpwstr>
  </property>
  <property fmtid="{D5CDD505-2E9C-101B-9397-08002B2CF9AE}" pid="6" name="MSIP_Label_8e19d756-792e-42a1-bcad-4cb9051ddd2d_SiteId">
    <vt:lpwstr>41eb501a-f671-4ce0-a5bf-b64168c3705f</vt:lpwstr>
  </property>
  <property fmtid="{D5CDD505-2E9C-101B-9397-08002B2CF9AE}" pid="7" name="MSIP_Label_8e19d756-792e-42a1-bcad-4cb9051ddd2d_ActionId">
    <vt:lpwstr>a268644c-8363-46d6-b4a1-f3df8c69cbe9</vt:lpwstr>
  </property>
  <property fmtid="{D5CDD505-2E9C-101B-9397-08002B2CF9AE}" pid="8" name="MSIP_Label_8e19d756-792e-42a1-bcad-4cb9051ddd2d_ContentBits">
    <vt:lpwstr>2</vt:lpwstr>
  </property>
  <property fmtid="{D5CDD505-2E9C-101B-9397-08002B2CF9AE}" pid="9" name="MSIP_Label_8e19d756-792e-42a1-bcad-4cb9051ddd2d_Tag">
    <vt:lpwstr>10, 3, 0, 1</vt:lpwstr>
  </property>
</Properties>
</file>