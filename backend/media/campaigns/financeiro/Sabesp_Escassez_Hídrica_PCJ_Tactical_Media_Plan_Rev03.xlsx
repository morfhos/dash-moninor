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odcase1-nas01.omc.oneds.com\DDB-AFRICA\ASIA\Clientes\SABESP\MIDIA\12. Plano PCJ\"/>
    </mc:Choice>
  </mc:AlternateContent>
  <xr:revisionPtr revIDLastSave="0" documentId="13_ncr:1_{549E64EA-4FF4-4A52-8566-20B52B0B3852}" xr6:coauthVersionLast="47" xr6:coauthVersionMax="47" xr10:uidLastSave="{00000000-0000-0000-0000-000000000000}"/>
  <bookViews>
    <workbookView xWindow="-108" yWindow="-108" windowWidth="23256" windowHeight="13896" activeTab="3" xr2:uid="{12F36DE4-96BE-460C-9424-E313C1CC04E6}"/>
  </bookViews>
  <sheets>
    <sheet name="COVER" sheetId="10" r:id="rId1"/>
    <sheet name="RESUMO DE MEIOS" sheetId="26" r:id="rId2"/>
    <sheet name="RESUMO DE MEIOS - SPE" sheetId="9" state="hidden" r:id="rId3"/>
    <sheet name="TV ABERTA" sheetId="20" r:id="rId4"/>
    <sheet name="TV ABERTA - SPE" sheetId="19" state="hidden" r:id="rId5"/>
    <sheet name="TV ABERTA - COLCHÃO REP - SP1" sheetId="22" state="hidden" r:id="rId6"/>
    <sheet name="TV ABERTA - COLCHÃO REP - SPE" sheetId="21" state="hidden" r:id="rId7"/>
    <sheet name="TV PAGA - COLCHÃO REP - SP1" sheetId="24" state="hidden" r:id="rId8"/>
    <sheet name="TV PAGA - COLCHÃO REP - SPE" sheetId="23" state="hidden" r:id="rId9"/>
    <sheet name="RÁDIO versão completa" sheetId="6" state="hidden" r:id="rId10"/>
    <sheet name="CUSTO GERAÇÃO SPE" sheetId="17" state="hidden" r:id="rId11"/>
    <sheet name="RÁDIO " sheetId="27" r:id="rId12"/>
    <sheet name="CUSTO GERAÇÃO" sheetId="25" r:id="rId13"/>
    <sheet name="COBERTURA" sheetId="28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__o1" localSheetId="12" hidden="1">{"det (May)",#N/A,FALSE,"June";"sum (MAY YTD)",#N/A,FALSE,"June YTD"}</definedName>
    <definedName name="___o1" localSheetId="10" hidden="1">{"det (May)",#N/A,FALSE,"June";"sum (MAY YTD)",#N/A,FALSE,"June YTD"}</definedName>
    <definedName name="___o1" localSheetId="11" hidden="1">{"det (May)",#N/A,FALSE,"June";"sum (MAY YTD)",#N/A,FALSE,"June YTD"}</definedName>
    <definedName name="___o1" localSheetId="9" hidden="1">{"det (May)",#N/A,FALSE,"June";"sum (MAY YTD)",#N/A,FALSE,"June YTD"}</definedName>
    <definedName name="___o1" localSheetId="1" hidden="1">{"det (May)",#N/A,FALSE,"June";"sum (MAY YTD)",#N/A,FALSE,"June YTD"}</definedName>
    <definedName name="___o1" localSheetId="2" hidden="1">{"det (May)",#N/A,FALSE,"June";"sum (MAY YTD)",#N/A,FALSE,"June YTD"}</definedName>
    <definedName name="___o1" localSheetId="3" hidden="1">{"det (May)",#N/A,FALSE,"June";"sum (MAY YTD)",#N/A,FALSE,"June YTD"}</definedName>
    <definedName name="___o1" localSheetId="5" hidden="1">{"det (May)",#N/A,FALSE,"June";"sum (MAY YTD)",#N/A,FALSE,"June YTD"}</definedName>
    <definedName name="___o1" localSheetId="6" hidden="1">{"det (May)",#N/A,FALSE,"June";"sum (MAY YTD)",#N/A,FALSE,"June YTD"}</definedName>
    <definedName name="___o1" localSheetId="4" hidden="1">{"det (May)",#N/A,FALSE,"June";"sum (MAY YTD)",#N/A,FALSE,"June YTD"}</definedName>
    <definedName name="___o1" localSheetId="7" hidden="1">{"det (May)",#N/A,FALSE,"June";"sum (MAY YTD)",#N/A,FALSE,"June YTD"}</definedName>
    <definedName name="___o1" localSheetId="8" hidden="1">{"det (May)",#N/A,FALSE,"June";"sum (MAY YTD)",#N/A,FALSE,"June YTD"}</definedName>
    <definedName name="___o1" hidden="1">{"det (May)",#N/A,FALSE,"June";"sum (MAY YTD)",#N/A,FALSE,"June YTD"}</definedName>
    <definedName name="___rv1" localSheetId="1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123Graph_A" hidden="1">'[1]RG Depots'!$C$43:$E$43</definedName>
    <definedName name="__123Graph_AGRAF1" hidden="1">'[1]RG Depots'!$C$43:$E$43</definedName>
    <definedName name="__123Graph_B" hidden="1">'[1]RG Depots'!$C$44:$E$44</definedName>
    <definedName name="__123Graph_BGRAF1" hidden="1">'[1]RG Depots'!$C$44:$E$44</definedName>
    <definedName name="__123Graph_C" hidden="1">'[1]RG Depots'!$C$45:$E$45</definedName>
    <definedName name="__123Graph_CGRAF1" hidden="1">'[1]RG Depots'!$C$45:$E$45</definedName>
    <definedName name="__123Graph_D" hidden="1">'[1]RG Depots'!$C$46:$E$46</definedName>
    <definedName name="__123Graph_DGRAF1" hidden="1">'[1]RG Depots'!$C$46:$E$46</definedName>
    <definedName name="__123Graph_E" hidden="1">'[1]RG Depots'!$C$48:$E$48</definedName>
    <definedName name="__123Graph_EGRAF1" hidden="1">'[1]RG Depots'!$C$48:$E$48</definedName>
    <definedName name="__123Graph_X" hidden="1">'[1]RG Depots'!$C$42:$E$42</definedName>
    <definedName name="__123Graph_XGRAF1" hidden="1">'[1]RG Depots'!$C$42:$E$42</definedName>
    <definedName name="__IntlFixup" hidden="1">TRUE</definedName>
    <definedName name="__o1" localSheetId="12" hidden="1">{"det (May)",#N/A,FALSE,"June";"sum (MAY YTD)",#N/A,FALSE,"June YTD"}</definedName>
    <definedName name="__o1" localSheetId="10" hidden="1">{"det (May)",#N/A,FALSE,"June";"sum (MAY YTD)",#N/A,FALSE,"June YTD"}</definedName>
    <definedName name="__o1" localSheetId="11" hidden="1">{"det (May)",#N/A,FALSE,"June";"sum (MAY YTD)",#N/A,FALSE,"June YTD"}</definedName>
    <definedName name="__o1" localSheetId="9" hidden="1">{"det (May)",#N/A,FALSE,"June";"sum (MAY YTD)",#N/A,FALSE,"June YTD"}</definedName>
    <definedName name="__o1" localSheetId="1" hidden="1">{"det (May)",#N/A,FALSE,"June";"sum (MAY YTD)",#N/A,FALSE,"June YTD"}</definedName>
    <definedName name="__o1" localSheetId="2" hidden="1">{"det (May)",#N/A,FALSE,"June";"sum (MAY YTD)",#N/A,FALSE,"June YTD"}</definedName>
    <definedName name="__o1" localSheetId="3" hidden="1">{"det (May)",#N/A,FALSE,"June";"sum (MAY YTD)",#N/A,FALSE,"June YTD"}</definedName>
    <definedName name="__o1" localSheetId="5" hidden="1">{"det (May)",#N/A,FALSE,"June";"sum (MAY YTD)",#N/A,FALSE,"June YTD"}</definedName>
    <definedName name="__o1" localSheetId="6" hidden="1">{"det (May)",#N/A,FALSE,"June";"sum (MAY YTD)",#N/A,FALSE,"June YTD"}</definedName>
    <definedName name="__o1" localSheetId="4" hidden="1">{"det (May)",#N/A,FALSE,"June";"sum (MAY YTD)",#N/A,FALSE,"June YTD"}</definedName>
    <definedName name="__o1" localSheetId="7" hidden="1">{"det (May)",#N/A,FALSE,"June";"sum (MAY YTD)",#N/A,FALSE,"June YTD"}</definedName>
    <definedName name="__o1" localSheetId="8" hidden="1">{"det (May)",#N/A,FALSE,"June";"sum (MAY YTD)",#N/A,FALSE,"June YTD"}</definedName>
    <definedName name="__o1" hidden="1">{"det (May)",#N/A,FALSE,"June";"sum (MAY YTD)",#N/A,FALSE,"June YTD"}</definedName>
    <definedName name="__rv1" localSheetId="1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1" localSheetId="12">#REF!</definedName>
    <definedName name="_1" localSheetId="10">#REF!</definedName>
    <definedName name="_1">#REF!</definedName>
    <definedName name="_10" localSheetId="12">#REF!</definedName>
    <definedName name="_10" localSheetId="10">#REF!</definedName>
    <definedName name="_10">#REF!</definedName>
    <definedName name="_11" localSheetId="12">#REF!</definedName>
    <definedName name="_11" localSheetId="10">#REF!</definedName>
    <definedName name="_11">#REF!</definedName>
    <definedName name="_12" localSheetId="12">#REF!</definedName>
    <definedName name="_12" localSheetId="10">#REF!</definedName>
    <definedName name="_12">#REF!</definedName>
    <definedName name="_13" localSheetId="12">#REF!</definedName>
    <definedName name="_13" localSheetId="10">#REF!</definedName>
    <definedName name="_13">#REF!</definedName>
    <definedName name="_14" localSheetId="12">#REF!</definedName>
    <definedName name="_14" localSheetId="10">#REF!</definedName>
    <definedName name="_14">#REF!</definedName>
    <definedName name="_15" localSheetId="12">#REF!</definedName>
    <definedName name="_15" localSheetId="10">#REF!</definedName>
    <definedName name="_15">#REF!</definedName>
    <definedName name="_16" localSheetId="12">#REF!</definedName>
    <definedName name="_16" localSheetId="10">#REF!</definedName>
    <definedName name="_16">#REF!</definedName>
    <definedName name="_17" localSheetId="12">#REF!</definedName>
    <definedName name="_17" localSheetId="10">#REF!</definedName>
    <definedName name="_17">#REF!</definedName>
    <definedName name="_18" localSheetId="12">#REF!</definedName>
    <definedName name="_18" localSheetId="10">#REF!</definedName>
    <definedName name="_18">#REF!</definedName>
    <definedName name="_19" localSheetId="12">#REF!</definedName>
    <definedName name="_19" localSheetId="10">#REF!</definedName>
    <definedName name="_19">#REF!</definedName>
    <definedName name="_1Excel_BuiltIn__FilterDatabase_10_9_1">NA()</definedName>
    <definedName name="_2" localSheetId="12">#REF!</definedName>
    <definedName name="_2" localSheetId="10">#REF!</definedName>
    <definedName name="_2">#REF!</definedName>
    <definedName name="_20" localSheetId="12">#REF!</definedName>
    <definedName name="_20" localSheetId="10">#REF!</definedName>
    <definedName name="_20">#REF!</definedName>
    <definedName name="_21" localSheetId="12">#REF!</definedName>
    <definedName name="_21" localSheetId="10">#REF!</definedName>
    <definedName name="_21">#REF!</definedName>
    <definedName name="_22" localSheetId="12">#REF!</definedName>
    <definedName name="_22" localSheetId="10">#REF!</definedName>
    <definedName name="_22">#REF!</definedName>
    <definedName name="_23" localSheetId="12">#REF!</definedName>
    <definedName name="_23" localSheetId="10">#REF!</definedName>
    <definedName name="_23">#REF!</definedName>
    <definedName name="_24" localSheetId="12">#REF!</definedName>
    <definedName name="_24" localSheetId="10">#REF!</definedName>
    <definedName name="_24">#REF!</definedName>
    <definedName name="_25" localSheetId="12">#REF!</definedName>
    <definedName name="_25" localSheetId="10">#REF!</definedName>
    <definedName name="_25">#REF!</definedName>
    <definedName name="_26" localSheetId="12">#REF!</definedName>
    <definedName name="_26" localSheetId="10">#REF!</definedName>
    <definedName name="_26">#REF!</definedName>
    <definedName name="_27" localSheetId="12">#REF!</definedName>
    <definedName name="_27" localSheetId="10">#REF!</definedName>
    <definedName name="_27">#REF!</definedName>
    <definedName name="_28" localSheetId="12">#REF!</definedName>
    <definedName name="_28" localSheetId="10">#REF!</definedName>
    <definedName name="_28">#REF!</definedName>
    <definedName name="_29" localSheetId="12">#REF!</definedName>
    <definedName name="_29" localSheetId="10">#REF!</definedName>
    <definedName name="_29">#REF!</definedName>
    <definedName name="_3" localSheetId="12">#REF!</definedName>
    <definedName name="_3" localSheetId="10">#REF!</definedName>
    <definedName name="_3">#REF!</definedName>
    <definedName name="_30" localSheetId="12">#REF!</definedName>
    <definedName name="_30" localSheetId="10">#REF!</definedName>
    <definedName name="_30">#REF!</definedName>
    <definedName name="_31" localSheetId="12">#REF!</definedName>
    <definedName name="_31" localSheetId="10">#REF!</definedName>
    <definedName name="_31">#REF!</definedName>
    <definedName name="_4" localSheetId="12">#REF!</definedName>
    <definedName name="_4" localSheetId="10">#REF!</definedName>
    <definedName name="_4">#REF!</definedName>
    <definedName name="_5" localSheetId="12">#REF!</definedName>
    <definedName name="_5" localSheetId="10">#REF!</definedName>
    <definedName name="_5">#REF!</definedName>
    <definedName name="_6" localSheetId="12">#REF!</definedName>
    <definedName name="_6" localSheetId="10">#REF!</definedName>
    <definedName name="_6">#REF!</definedName>
    <definedName name="_7" localSheetId="12">#REF!</definedName>
    <definedName name="_7" localSheetId="10">#REF!</definedName>
    <definedName name="_7">#REF!</definedName>
    <definedName name="_8" localSheetId="12">#REF!</definedName>
    <definedName name="_8" localSheetId="10">#REF!</definedName>
    <definedName name="_8">#REF!</definedName>
    <definedName name="_9" localSheetId="12">#REF!</definedName>
    <definedName name="_9" localSheetId="10">#REF!</definedName>
    <definedName name="_9">#REF!</definedName>
    <definedName name="_xlnm._FilterDatabase" localSheetId="3" hidden="1">'TV ABERTA'!$A$11:$AY$11</definedName>
    <definedName name="_xlnm._FilterDatabase" localSheetId="5" hidden="1">'TV ABERTA - COLCHÃO REP - SP1'!$A$11:$CF$11</definedName>
    <definedName name="_xlnm._FilterDatabase" localSheetId="6" hidden="1">'TV ABERTA - COLCHÃO REP - SPE'!$A$11:$CF$11</definedName>
    <definedName name="_xlnm._FilterDatabase" localSheetId="4" hidden="1">'TV ABERTA - SPE'!$A$11:$CF$11</definedName>
    <definedName name="_xlnm._FilterDatabase" localSheetId="7" hidden="1">'TV PAGA - COLCHÃO REP - SP1'!$A$11:$CF$11</definedName>
    <definedName name="_xlnm._FilterDatabase" localSheetId="8" hidden="1">'TV PAGA - COLCHÃO REP - SPE'!$A$11:$CF$11</definedName>
    <definedName name="_Key1" localSheetId="0" hidden="1">#REF!</definedName>
    <definedName name="_Key1" localSheetId="12" hidden="1">#REF!</definedName>
    <definedName name="_Key1" localSheetId="10" hidden="1">#REF!</definedName>
    <definedName name="_Key1" localSheetId="11" hidden="1">#REF!</definedName>
    <definedName name="_Key1" localSheetId="9" hidden="1">#REF!</definedName>
    <definedName name="_Key1" hidden="1">#REF!</definedName>
    <definedName name="_Key2" localSheetId="0" hidden="1">#REF!</definedName>
    <definedName name="_Key2" localSheetId="12" hidden="1">#REF!</definedName>
    <definedName name="_Key2" localSheetId="10" hidden="1">#REF!</definedName>
    <definedName name="_Key2" localSheetId="11" hidden="1">#REF!</definedName>
    <definedName name="_Key2" localSheetId="9" hidden="1">#REF!</definedName>
    <definedName name="_Key2" hidden="1">#REF!</definedName>
    <definedName name="_Key3" localSheetId="0" hidden="1">#REF!</definedName>
    <definedName name="_Key3" localSheetId="12" hidden="1">#REF!</definedName>
    <definedName name="_Key3" localSheetId="10" hidden="1">#REF!</definedName>
    <definedName name="_Key3" localSheetId="11" hidden="1">#REF!</definedName>
    <definedName name="_Key3" localSheetId="9" hidden="1">#REF!</definedName>
    <definedName name="_Key3" hidden="1">#REF!</definedName>
    <definedName name="_key99" localSheetId="0" hidden="1">#REF!</definedName>
    <definedName name="_key99" localSheetId="12" hidden="1">#REF!</definedName>
    <definedName name="_key99" localSheetId="10" hidden="1">#REF!</definedName>
    <definedName name="_key99" localSheetId="11" hidden="1">#REF!</definedName>
    <definedName name="_key99" localSheetId="9" hidden="1">#REF!</definedName>
    <definedName name="_key99" hidden="1">#REF!</definedName>
    <definedName name="_M" localSheetId="12">#REF!</definedName>
    <definedName name="_M" localSheetId="10">#REF!</definedName>
    <definedName name="_M">#REF!</definedName>
    <definedName name="_O" localSheetId="12">#REF!</definedName>
    <definedName name="_O" localSheetId="10">#REF!</definedName>
    <definedName name="_O">#REF!</definedName>
    <definedName name="_o1" localSheetId="12" hidden="1">{"det (May)",#N/A,FALSE,"June";"sum (MAY YTD)",#N/A,FALSE,"June YTD"}</definedName>
    <definedName name="_o1" localSheetId="10" hidden="1">{"det (May)",#N/A,FALSE,"June";"sum (MAY YTD)",#N/A,FALSE,"June YTD"}</definedName>
    <definedName name="_o1" localSheetId="11" hidden="1">{"det (May)",#N/A,FALSE,"June";"sum (MAY YTD)",#N/A,FALSE,"June YTD"}</definedName>
    <definedName name="_o1" localSheetId="9" hidden="1">{"det (May)",#N/A,FALSE,"June";"sum (MAY YTD)",#N/A,FALSE,"June YTD"}</definedName>
    <definedName name="_o1" localSheetId="1" hidden="1">{"det (May)",#N/A,FALSE,"June";"sum (MAY YTD)",#N/A,FALSE,"June YTD"}</definedName>
    <definedName name="_o1" localSheetId="2" hidden="1">{"det (May)",#N/A,FALSE,"June";"sum (MAY YTD)",#N/A,FALSE,"June YTD"}</definedName>
    <definedName name="_o1" localSheetId="3" hidden="1">{"det (May)",#N/A,FALSE,"June";"sum (MAY YTD)",#N/A,FALSE,"June YTD"}</definedName>
    <definedName name="_o1" localSheetId="5" hidden="1">{"det (May)",#N/A,FALSE,"June";"sum (MAY YTD)",#N/A,FALSE,"June YTD"}</definedName>
    <definedName name="_o1" localSheetId="6" hidden="1">{"det (May)",#N/A,FALSE,"June";"sum (MAY YTD)",#N/A,FALSE,"June YTD"}</definedName>
    <definedName name="_o1" localSheetId="4" hidden="1">{"det (May)",#N/A,FALSE,"June";"sum (MAY YTD)",#N/A,FALSE,"June YTD"}</definedName>
    <definedName name="_o1" localSheetId="7" hidden="1">{"det (May)",#N/A,FALSE,"June";"sum (MAY YTD)",#N/A,FALSE,"June YTD"}</definedName>
    <definedName name="_o1" localSheetId="8" hidden="1">{"det (May)",#N/A,FALSE,"June";"sum (MAY YTD)",#N/A,FALSE,"June YTD"}</definedName>
    <definedName name="_o1" hidden="1">{"det (May)",#N/A,FALSE,"June";"sum (MAY YTD)",#N/A,FALSE,"June YTD"}</definedName>
    <definedName name="_Order1" hidden="1">255</definedName>
    <definedName name="_Order2" hidden="1">0</definedName>
    <definedName name="_rv1" localSheetId="1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Sort" localSheetId="0" hidden="1">#REF!</definedName>
    <definedName name="_Sort" localSheetId="12" hidden="1">#REF!</definedName>
    <definedName name="_Sort" localSheetId="10" hidden="1">#REF!</definedName>
    <definedName name="_Sort" localSheetId="11" hidden="1">#REF!</definedName>
    <definedName name="_Sort" localSheetId="9" hidden="1">#REF!</definedName>
    <definedName name="_Sort" hidden="1">#REF!</definedName>
    <definedName name="_sort1" localSheetId="0" hidden="1">#REF!</definedName>
    <definedName name="_sort1" localSheetId="12" hidden="1">#REF!</definedName>
    <definedName name="_sort1" localSheetId="10" hidden="1">#REF!</definedName>
    <definedName name="_sort1" localSheetId="11" hidden="1">#REF!</definedName>
    <definedName name="_sort1" localSheetId="9" hidden="1">#REF!</definedName>
    <definedName name="_sort1" hidden="1">#REF!</definedName>
    <definedName name="_Table2_Out" localSheetId="12" hidden="1">#REF!</definedName>
    <definedName name="_Table2_Out" localSheetId="10" hidden="1">#REF!</definedName>
    <definedName name="_Table2_Out" hidden="1">#REF!</definedName>
    <definedName name="a" localSheetId="0" hidden="1">{"'Janeiro'!$A$1:$I$153"}</definedName>
    <definedName name="a" localSheetId="12" hidden="1">{"'Janeiro'!$A$1:$I$153"}</definedName>
    <definedName name="a" localSheetId="10" hidden="1">{"'Janeiro'!$A$1:$I$153"}</definedName>
    <definedName name="a" localSheetId="11" hidden="1">{"'Janeiro'!$A$1:$I$153"}</definedName>
    <definedName name="a" localSheetId="9" hidden="1">{"'Janeiro'!$A$1:$I$153"}</definedName>
    <definedName name="a" localSheetId="1" hidden="1">{"'Janeiro'!$A$1:$I$153"}</definedName>
    <definedName name="a" localSheetId="2" hidden="1">{"'Janeiro'!$A$1:$I$153"}</definedName>
    <definedName name="a" localSheetId="3" hidden="1">{"'Janeiro'!$A$1:$I$153"}</definedName>
    <definedName name="a" localSheetId="5" hidden="1">{"'Janeiro'!$A$1:$I$153"}</definedName>
    <definedName name="a" localSheetId="6" hidden="1">{"'Janeiro'!$A$1:$I$153"}</definedName>
    <definedName name="a" localSheetId="4" hidden="1">{"'Janeiro'!$A$1:$I$153"}</definedName>
    <definedName name="a" localSheetId="7" hidden="1">{"'Janeiro'!$A$1:$I$153"}</definedName>
    <definedName name="a" localSheetId="8" hidden="1">{"'Janeiro'!$A$1:$I$153"}</definedName>
    <definedName name="a" hidden="1">{"'Janeiro'!$A$1:$I$153"}</definedName>
    <definedName name="aaaa" localSheetId="12" hidden="1">{"det (May)",#N/A,FALSE,"June";"sum (MAY YTD)",#N/A,FALSE,"June YTD"}</definedName>
    <definedName name="aaaa" localSheetId="10" hidden="1">{"det (May)",#N/A,FALSE,"June";"sum (MAY YTD)",#N/A,FALSE,"June YTD"}</definedName>
    <definedName name="aaaa" localSheetId="11" hidden="1">{"det (May)",#N/A,FALSE,"June";"sum (MAY YTD)",#N/A,FALSE,"June YTD"}</definedName>
    <definedName name="aaaa" localSheetId="9" hidden="1">{"det (May)",#N/A,FALSE,"June";"sum (MAY YTD)",#N/A,FALSE,"June YTD"}</definedName>
    <definedName name="aaaa" localSheetId="1" hidden="1">{"det (May)",#N/A,FALSE,"June";"sum (MAY YTD)",#N/A,FALSE,"June YTD"}</definedName>
    <definedName name="aaaa" localSheetId="2" hidden="1">{"det (May)",#N/A,FALSE,"June";"sum (MAY YTD)",#N/A,FALSE,"June YTD"}</definedName>
    <definedName name="aaaa" localSheetId="3" hidden="1">{"det (May)",#N/A,FALSE,"June";"sum (MAY YTD)",#N/A,FALSE,"June YTD"}</definedName>
    <definedName name="aaaa" localSheetId="5" hidden="1">{"det (May)",#N/A,FALSE,"June";"sum (MAY YTD)",#N/A,FALSE,"June YTD"}</definedName>
    <definedName name="aaaa" localSheetId="6" hidden="1">{"det (May)",#N/A,FALSE,"June";"sum (MAY YTD)",#N/A,FALSE,"June YTD"}</definedName>
    <definedName name="aaaa" localSheetId="4" hidden="1">{"det (May)",#N/A,FALSE,"June";"sum (MAY YTD)",#N/A,FALSE,"June YTD"}</definedName>
    <definedName name="aaaa" localSheetId="7" hidden="1">{"det (May)",#N/A,FALSE,"June";"sum (MAY YTD)",#N/A,FALSE,"June YTD"}</definedName>
    <definedName name="aaaa" localSheetId="8" hidden="1">{"det (May)",#N/A,FALSE,"June";"sum (MAY YTD)",#N/A,FALSE,"June YTD"}</definedName>
    <definedName name="aaaa" hidden="1">{"det (May)",#N/A,FALSE,"June";"sum (MAY YTD)",#N/A,FALSE,"June YTD"}</definedName>
    <definedName name="aaaaa" localSheetId="12" hidden="1">{"det (May)",#N/A,FALSE,"June";"sum (MAY YTD)",#N/A,FALSE,"June YTD"}</definedName>
    <definedName name="aaaaa" localSheetId="10" hidden="1">{"det (May)",#N/A,FALSE,"June";"sum (MAY YTD)",#N/A,FALSE,"June YTD"}</definedName>
    <definedName name="aaaaa" localSheetId="11" hidden="1">{"det (May)",#N/A,FALSE,"June";"sum (MAY YTD)",#N/A,FALSE,"June YTD"}</definedName>
    <definedName name="aaaaa" localSheetId="9" hidden="1">{"det (May)",#N/A,FALSE,"June";"sum (MAY YTD)",#N/A,FALSE,"June YTD"}</definedName>
    <definedName name="aaaaa" localSheetId="1" hidden="1">{"det (May)",#N/A,FALSE,"June";"sum (MAY YTD)",#N/A,FALSE,"June YTD"}</definedName>
    <definedName name="aaaaa" localSheetId="2" hidden="1">{"det (May)",#N/A,FALSE,"June";"sum (MAY YTD)",#N/A,FALSE,"June YTD"}</definedName>
    <definedName name="aaaaa" localSheetId="3" hidden="1">{"det (May)",#N/A,FALSE,"June";"sum (MAY YTD)",#N/A,FALSE,"June YTD"}</definedName>
    <definedName name="aaaaa" localSheetId="5" hidden="1">{"det (May)",#N/A,FALSE,"June";"sum (MAY YTD)",#N/A,FALSE,"June YTD"}</definedName>
    <definedName name="aaaaa" localSheetId="6" hidden="1">{"det (May)",#N/A,FALSE,"June";"sum (MAY YTD)",#N/A,FALSE,"June YTD"}</definedName>
    <definedName name="aaaaa" localSheetId="4" hidden="1">{"det (May)",#N/A,FALSE,"June";"sum (MAY YTD)",#N/A,FALSE,"June YTD"}</definedName>
    <definedName name="aaaaa" localSheetId="7" hidden="1">{"det (May)",#N/A,FALSE,"June";"sum (MAY YTD)",#N/A,FALSE,"June YTD"}</definedName>
    <definedName name="aaaaa" localSheetId="8" hidden="1">{"det (May)",#N/A,FALSE,"June";"sum (MAY YTD)",#N/A,FALSE,"June YTD"}</definedName>
    <definedName name="aaaaa" hidden="1">{"det (May)",#N/A,FALSE,"June";"sum (MAY YTD)",#N/A,FALSE,"June YTD"}</definedName>
    <definedName name="ANNA" localSheetId="12" hidden="1">{"det (May)",#N/A,FALSE,"June";"sum (MAY YTD)",#N/A,FALSE,"June YTD"}</definedName>
    <definedName name="ANNA" localSheetId="10" hidden="1">{"det (May)",#N/A,FALSE,"June";"sum (MAY YTD)",#N/A,FALSE,"June YTD"}</definedName>
    <definedName name="ANNA" localSheetId="11" hidden="1">{"det (May)",#N/A,FALSE,"June";"sum (MAY YTD)",#N/A,FALSE,"June YTD"}</definedName>
    <definedName name="ANNA" localSheetId="9" hidden="1">{"det (May)",#N/A,FALSE,"June";"sum (MAY YTD)",#N/A,FALSE,"June YTD"}</definedName>
    <definedName name="ANNA" localSheetId="1" hidden="1">{"det (May)",#N/A,FALSE,"June";"sum (MAY YTD)",#N/A,FALSE,"June YTD"}</definedName>
    <definedName name="ANNA" localSheetId="2" hidden="1">{"det (May)",#N/A,FALSE,"June";"sum (MAY YTD)",#N/A,FALSE,"June YTD"}</definedName>
    <definedName name="ANNA" localSheetId="3" hidden="1">{"det (May)",#N/A,FALSE,"June";"sum (MAY YTD)",#N/A,FALSE,"June YTD"}</definedName>
    <definedName name="ANNA" localSheetId="5" hidden="1">{"det (May)",#N/A,FALSE,"June";"sum (MAY YTD)",#N/A,FALSE,"June YTD"}</definedName>
    <definedName name="ANNA" localSheetId="6" hidden="1">{"det (May)",#N/A,FALSE,"June";"sum (MAY YTD)",#N/A,FALSE,"June YTD"}</definedName>
    <definedName name="ANNA" localSheetId="4" hidden="1">{"det (May)",#N/A,FALSE,"June";"sum (MAY YTD)",#N/A,FALSE,"June YTD"}</definedName>
    <definedName name="ANNA" localSheetId="7" hidden="1">{"det (May)",#N/A,FALSE,"June";"sum (MAY YTD)",#N/A,FALSE,"June YTD"}</definedName>
    <definedName name="ANNA" localSheetId="8" hidden="1">{"det (May)",#N/A,FALSE,"June";"sum (MAY YTD)",#N/A,FALSE,"June YTD"}</definedName>
    <definedName name="ANNA" hidden="1">{"det (May)",#N/A,FALSE,"June";"sum (MAY YTD)",#N/A,FALSE,"June YTD"}</definedName>
    <definedName name="anscount" hidden="1">1</definedName>
    <definedName name="_xlnm.Print_Area" localSheetId="0">COVER!$A$1:$M$36</definedName>
    <definedName name="_xlnm.Print_Area" localSheetId="11">'RÁDIO '!$A$1:$F$15</definedName>
    <definedName name="_xlnm.Print_Area" localSheetId="9">'RÁDIO versão completa'!$A$1:$M$84</definedName>
    <definedName name="AS2DocOpenMode" hidden="1">"AS2DocumentBrowse"</definedName>
    <definedName name="aSa" localSheetId="0" hidden="1">#REF!</definedName>
    <definedName name="aSa" localSheetId="12" hidden="1">#REF!</definedName>
    <definedName name="aSa" localSheetId="10" hidden="1">#REF!</definedName>
    <definedName name="aSa" localSheetId="11" hidden="1">#REF!</definedName>
    <definedName name="aSa" localSheetId="9" hidden="1">#REF!</definedName>
    <definedName name="aSa" hidden="1">#REF!</definedName>
    <definedName name="asasdasd" localSheetId="0" hidden="1">#REF!</definedName>
    <definedName name="asasdasd" localSheetId="12" hidden="1">#REF!</definedName>
    <definedName name="asasdasd" localSheetId="10" hidden="1">#REF!</definedName>
    <definedName name="asasdasd" localSheetId="11" hidden="1">#REF!</definedName>
    <definedName name="asasdasd" localSheetId="9" hidden="1">#REF!</definedName>
    <definedName name="asasdasd" hidden="1">#REF!</definedName>
    <definedName name="asd" localSheetId="0" hidden="1">#REF!</definedName>
    <definedName name="asd" localSheetId="12" hidden="1">#REF!</definedName>
    <definedName name="asd" localSheetId="10" hidden="1">#REF!</definedName>
    <definedName name="asd" localSheetId="11" hidden="1">#REF!</definedName>
    <definedName name="asd" localSheetId="9" hidden="1">#REF!</definedName>
    <definedName name="asd" hidden="1">#REF!</definedName>
    <definedName name="B" localSheetId="0" hidden="1">#REF!</definedName>
    <definedName name="B" localSheetId="12" hidden="1">#REF!</definedName>
    <definedName name="B" localSheetId="10" hidden="1">#REF!</definedName>
    <definedName name="B" localSheetId="11" hidden="1">#REF!</definedName>
    <definedName name="B" localSheetId="9" hidden="1">#REF!</definedName>
    <definedName name="B" hidden="1">#REF!</definedName>
    <definedName name="B.IV.r" localSheetId="12" hidden="1">{"det (May)",#N/A,FALSE,"June";"sum (MAY YTD)",#N/A,FALSE,"June YTD"}</definedName>
    <definedName name="B.IV.r" localSheetId="10" hidden="1">{"det (May)",#N/A,FALSE,"June";"sum (MAY YTD)",#N/A,FALSE,"June YTD"}</definedName>
    <definedName name="B.IV.r" localSheetId="11" hidden="1">{"det (May)",#N/A,FALSE,"June";"sum (MAY YTD)",#N/A,FALSE,"June YTD"}</definedName>
    <definedName name="B.IV.r" localSheetId="9" hidden="1">{"det (May)",#N/A,FALSE,"June";"sum (MAY YTD)",#N/A,FALSE,"June YTD"}</definedName>
    <definedName name="B.IV.r" localSheetId="1" hidden="1">{"det (May)",#N/A,FALSE,"June";"sum (MAY YTD)",#N/A,FALSE,"June YTD"}</definedName>
    <definedName name="B.IV.r" localSheetId="2" hidden="1">{"det (May)",#N/A,FALSE,"June";"sum (MAY YTD)",#N/A,FALSE,"June YTD"}</definedName>
    <definedName name="B.IV.r" localSheetId="3" hidden="1">{"det (May)",#N/A,FALSE,"June";"sum (MAY YTD)",#N/A,FALSE,"June YTD"}</definedName>
    <definedName name="B.IV.r" localSheetId="5" hidden="1">{"det (May)",#N/A,FALSE,"June";"sum (MAY YTD)",#N/A,FALSE,"June YTD"}</definedName>
    <definedName name="B.IV.r" localSheetId="6" hidden="1">{"det (May)",#N/A,FALSE,"June";"sum (MAY YTD)",#N/A,FALSE,"June YTD"}</definedName>
    <definedName name="B.IV.r" localSheetId="4" hidden="1">{"det (May)",#N/A,FALSE,"June";"sum (MAY YTD)",#N/A,FALSE,"June YTD"}</definedName>
    <definedName name="B.IV.r" localSheetId="7" hidden="1">{"det (May)",#N/A,FALSE,"June";"sum (MAY YTD)",#N/A,FALSE,"June YTD"}</definedName>
    <definedName name="B.IV.r" localSheetId="8" hidden="1">{"det (May)",#N/A,FALSE,"June";"sum (MAY YTD)",#N/A,FALSE,"June YTD"}</definedName>
    <definedName name="B.IV.r" hidden="1">{"det (May)",#N/A,FALSE,"June";"sum (MAY YTD)",#N/A,FALSE,"June YTD"}</definedName>
    <definedName name="B.IV.r.SBC" localSheetId="12" hidden="1">{"det (May)",#N/A,FALSE,"June";"sum (MAY YTD)",#N/A,FALSE,"June YTD"}</definedName>
    <definedName name="B.IV.r.SBC" localSheetId="10" hidden="1">{"det (May)",#N/A,FALSE,"June";"sum (MAY YTD)",#N/A,FALSE,"June YTD"}</definedName>
    <definedName name="B.IV.r.SBC" localSheetId="11" hidden="1">{"det (May)",#N/A,FALSE,"June";"sum (MAY YTD)",#N/A,FALSE,"June YTD"}</definedName>
    <definedName name="B.IV.r.SBC" localSheetId="9" hidden="1">{"det (May)",#N/A,FALSE,"June";"sum (MAY YTD)",#N/A,FALSE,"June YTD"}</definedName>
    <definedName name="B.IV.r.SBC" localSheetId="1" hidden="1">{"det (May)",#N/A,FALSE,"June";"sum (MAY YTD)",#N/A,FALSE,"June YTD"}</definedName>
    <definedName name="B.IV.r.SBC" localSheetId="2" hidden="1">{"det (May)",#N/A,FALSE,"June";"sum (MAY YTD)",#N/A,FALSE,"June YTD"}</definedName>
    <definedName name="B.IV.r.SBC" localSheetId="3" hidden="1">{"det (May)",#N/A,FALSE,"June";"sum (MAY YTD)",#N/A,FALSE,"June YTD"}</definedName>
    <definedName name="B.IV.r.SBC" localSheetId="5" hidden="1">{"det (May)",#N/A,FALSE,"June";"sum (MAY YTD)",#N/A,FALSE,"June YTD"}</definedName>
    <definedName name="B.IV.r.SBC" localSheetId="6" hidden="1">{"det (May)",#N/A,FALSE,"June";"sum (MAY YTD)",#N/A,FALSE,"June YTD"}</definedName>
    <definedName name="B.IV.r.SBC" localSheetId="4" hidden="1">{"det (May)",#N/A,FALSE,"June";"sum (MAY YTD)",#N/A,FALSE,"June YTD"}</definedName>
    <definedName name="B.IV.r.SBC" localSheetId="7" hidden="1">{"det (May)",#N/A,FALSE,"June";"sum (MAY YTD)",#N/A,FALSE,"June YTD"}</definedName>
    <definedName name="B.IV.r.SBC" localSheetId="8" hidden="1">{"det (May)",#N/A,FALSE,"June";"sum (MAY YTD)",#N/A,FALSE,"June YTD"}</definedName>
    <definedName name="B.IV.r.SBC" hidden="1">{"det (May)",#N/A,FALSE,"June";"sum (MAY YTD)",#N/A,FALSE,"June YTD"}</definedName>
    <definedName name="bhub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" localSheetId="0" hidden="1">#REF!</definedName>
    <definedName name="bi" localSheetId="12" hidden="1">#REF!</definedName>
    <definedName name="bi" localSheetId="10" hidden="1">#REF!</definedName>
    <definedName name="bi" localSheetId="11" hidden="1">#REF!</definedName>
    <definedName name="bi" localSheetId="9" hidden="1">#REF!</definedName>
    <definedName name="bi" hidden="1">#REF!</definedName>
    <definedName name="blb" localSheetId="12" hidden="1">{"det (May)",#N/A,FALSE,"June";"sum (MAY YTD)",#N/A,FALSE,"June YTD"}</definedName>
    <definedName name="blb" localSheetId="10" hidden="1">{"det (May)",#N/A,FALSE,"June";"sum (MAY YTD)",#N/A,FALSE,"June YTD"}</definedName>
    <definedName name="blb" localSheetId="11" hidden="1">{"det (May)",#N/A,FALSE,"June";"sum (MAY YTD)",#N/A,FALSE,"June YTD"}</definedName>
    <definedName name="blb" localSheetId="9" hidden="1">{"det (May)",#N/A,FALSE,"June";"sum (MAY YTD)",#N/A,FALSE,"June YTD"}</definedName>
    <definedName name="blb" localSheetId="1" hidden="1">{"det (May)",#N/A,FALSE,"June";"sum (MAY YTD)",#N/A,FALSE,"June YTD"}</definedName>
    <definedName name="blb" localSheetId="2" hidden="1">{"det (May)",#N/A,FALSE,"June";"sum (MAY YTD)",#N/A,FALSE,"June YTD"}</definedName>
    <definedName name="blb" localSheetId="3" hidden="1">{"det (May)",#N/A,FALSE,"June";"sum (MAY YTD)",#N/A,FALSE,"June YTD"}</definedName>
    <definedName name="blb" localSheetId="5" hidden="1">{"det (May)",#N/A,FALSE,"June";"sum (MAY YTD)",#N/A,FALSE,"June YTD"}</definedName>
    <definedName name="blb" localSheetId="6" hidden="1">{"det (May)",#N/A,FALSE,"June";"sum (MAY YTD)",#N/A,FALSE,"June YTD"}</definedName>
    <definedName name="blb" localSheetId="4" hidden="1">{"det (May)",#N/A,FALSE,"June";"sum (MAY YTD)",#N/A,FALSE,"June YTD"}</definedName>
    <definedName name="blb" localSheetId="7" hidden="1">{"det (May)",#N/A,FALSE,"June";"sum (MAY YTD)",#N/A,FALSE,"June YTD"}</definedName>
    <definedName name="blb" localSheetId="8" hidden="1">{"det (May)",#N/A,FALSE,"June";"sum (MAY YTD)",#N/A,FALSE,"June YTD"}</definedName>
    <definedName name="blb" hidden="1">{"det (May)",#N/A,FALSE,"June";"sum (MAY YTD)",#N/A,FALSE,"June YTD"}</definedName>
    <definedName name="BLPH1" hidden="1">'[2]Brazil Sovereign'!#REF!</definedName>
    <definedName name="BLPH2" hidden="1">'[3]Share Price 2002'!#REF!</definedName>
    <definedName name="BLPH3" localSheetId="12" hidden="1">#REF!</definedName>
    <definedName name="BLPH3" localSheetId="10" hidden="1">#REF!</definedName>
    <definedName name="BLPH3" hidden="1">#REF!</definedName>
    <definedName name="book" localSheetId="12" hidden="1">{"det (May)",#N/A,FALSE,"June";"sum (MAY YTD)",#N/A,FALSE,"June YTD"}</definedName>
    <definedName name="book" localSheetId="10" hidden="1">{"det (May)",#N/A,FALSE,"June";"sum (MAY YTD)",#N/A,FALSE,"June YTD"}</definedName>
    <definedName name="book" localSheetId="11" hidden="1">{"det (May)",#N/A,FALSE,"June";"sum (MAY YTD)",#N/A,FALSE,"June YTD"}</definedName>
    <definedName name="book" localSheetId="9" hidden="1">{"det (May)",#N/A,FALSE,"June";"sum (MAY YTD)",#N/A,FALSE,"June YTD"}</definedName>
    <definedName name="book" localSheetId="1" hidden="1">{"det (May)",#N/A,FALSE,"June";"sum (MAY YTD)",#N/A,FALSE,"June YTD"}</definedName>
    <definedName name="book" localSheetId="2" hidden="1">{"det (May)",#N/A,FALSE,"June";"sum (MAY YTD)",#N/A,FALSE,"June YTD"}</definedName>
    <definedName name="book" localSheetId="3" hidden="1">{"det (May)",#N/A,FALSE,"June";"sum (MAY YTD)",#N/A,FALSE,"June YTD"}</definedName>
    <definedName name="book" localSheetId="5" hidden="1">{"det (May)",#N/A,FALSE,"June";"sum (MAY YTD)",#N/A,FALSE,"June YTD"}</definedName>
    <definedName name="book" localSheetId="6" hidden="1">{"det (May)",#N/A,FALSE,"June";"sum (MAY YTD)",#N/A,FALSE,"June YTD"}</definedName>
    <definedName name="book" localSheetId="4" hidden="1">{"det (May)",#N/A,FALSE,"June";"sum (MAY YTD)",#N/A,FALSE,"June YTD"}</definedName>
    <definedName name="book" localSheetId="7" hidden="1">{"det (May)",#N/A,FALSE,"June";"sum (MAY YTD)",#N/A,FALSE,"June YTD"}</definedName>
    <definedName name="book" localSheetId="8" hidden="1">{"det (May)",#N/A,FALSE,"June";"sum (MAY YTD)",#N/A,FALSE,"June YTD"}</definedName>
    <definedName name="book" hidden="1">{"det (May)",#N/A,FALSE,"June";"sum (MAY YTD)",#N/A,FALSE,"June YTD"}</definedName>
    <definedName name="C_" localSheetId="12">#REF!</definedName>
    <definedName name="C_" localSheetId="10">#REF!</definedName>
    <definedName name="C_">#REF!</definedName>
    <definedName name="CACHE">'[4]Conversão-Mercha'!$A$57:$I$112</definedName>
    <definedName name="CACHESEL1">'[4]Conversão-Mercha'!$M$59:$M$72</definedName>
    <definedName name="CACHESEL10">'[4]Conversão-Mercha'!$V$59:$V$72</definedName>
    <definedName name="CACHESEL2">'[4]Conversão-Mercha'!$N$59:$N$72</definedName>
    <definedName name="CACHESEL3">'[4]Conversão-Mercha'!$O$59:$O$72</definedName>
    <definedName name="CACHESEL4">'[4]Conversão-Mercha'!$P$59:$P$72</definedName>
    <definedName name="CACHESEL5">'[4]Conversão-Mercha'!$Q$59:$Q$72</definedName>
    <definedName name="CACHESEL6">'[4]Conversão-Mercha'!$R$59:$R$72</definedName>
    <definedName name="CACHESEL7">'[4]Conversão-Mercha'!$S$59:$S$72</definedName>
    <definedName name="CACHESEL8">'[4]Conversão-Mercha'!$T$59:$T$72</definedName>
    <definedName name="CACHESEL9">'[4]Conversão-Mercha'!$U$59:$U$72</definedName>
    <definedName name="CALENDARIO">'[4]Conversão-Mercha'!$B$119:$B$132</definedName>
    <definedName name="CAMP" localSheetId="12">#REF!</definedName>
    <definedName name="CAMP" localSheetId="10">#REF!</definedName>
    <definedName name="CAMP">#REF!</definedName>
    <definedName name="Capa" localSheetId="12" hidden="1">#REF!</definedName>
    <definedName name="Capa" localSheetId="10" hidden="1">#REF!</definedName>
    <definedName name="Capa" hidden="1">#REF!</definedName>
    <definedName name="Capanova" localSheetId="0" hidden="1">#REF!</definedName>
    <definedName name="Capanova" localSheetId="12" hidden="1">#REF!</definedName>
    <definedName name="Capanova" localSheetId="10" hidden="1">#REF!</definedName>
    <definedName name="Capanova" localSheetId="11" hidden="1">#REF!</definedName>
    <definedName name="Capanova" localSheetId="9" hidden="1">#REF!</definedName>
    <definedName name="Capanova" hidden="1">#REF!</definedName>
    <definedName name="CAPTURA2" localSheetId="12" hidden="1">{"'171'!$A$1:$Z$50"}</definedName>
    <definedName name="CAPTURA2" localSheetId="10" hidden="1">{"'171'!$A$1:$Z$50"}</definedName>
    <definedName name="CAPTURA2" localSheetId="11" hidden="1">{"'171'!$A$1:$Z$50"}</definedName>
    <definedName name="CAPTURA2" localSheetId="9" hidden="1">{"'171'!$A$1:$Z$50"}</definedName>
    <definedName name="CAPTURA2" localSheetId="1" hidden="1">{"'171'!$A$1:$Z$50"}</definedName>
    <definedName name="CAPTURA2" localSheetId="2" hidden="1">{"'171'!$A$1:$Z$50"}</definedName>
    <definedName name="CAPTURA2" localSheetId="3" hidden="1">{"'171'!$A$1:$Z$50"}</definedName>
    <definedName name="CAPTURA2" localSheetId="5" hidden="1">{"'171'!$A$1:$Z$50"}</definedName>
    <definedName name="CAPTURA2" localSheetId="6" hidden="1">{"'171'!$A$1:$Z$50"}</definedName>
    <definedName name="CAPTURA2" localSheetId="4" hidden="1">{"'171'!$A$1:$Z$50"}</definedName>
    <definedName name="CAPTURA2" localSheetId="7" hidden="1">{"'171'!$A$1:$Z$50"}</definedName>
    <definedName name="CAPTURA2" localSheetId="8" hidden="1">{"'171'!$A$1:$Z$50"}</definedName>
    <definedName name="CAPTURA2" hidden="1">{"'171'!$A$1:$Z$50"}</definedName>
    <definedName name="CAX">'[4]base TV'!#REF!</definedName>
    <definedName name="cc" localSheetId="0" hidden="1">#REF!</definedName>
    <definedName name="cc" localSheetId="12" hidden="1">#REF!</definedName>
    <definedName name="cc" localSheetId="10" hidden="1">#REF!</definedName>
    <definedName name="cc" localSheetId="11" hidden="1">#REF!</definedName>
    <definedName name="cc" localSheetId="9" hidden="1">#REF!</definedName>
    <definedName name="cc" hidden="1">#REF!</definedName>
    <definedName name="cf" localSheetId="12" hidden="1">{#N/A,#N/A,FALSE,"TOTAL"}</definedName>
    <definedName name="cf" localSheetId="10" hidden="1">{#N/A,#N/A,FALSE,"TOTAL"}</definedName>
    <definedName name="cf" localSheetId="11" hidden="1">{#N/A,#N/A,FALSE,"TOTAL"}</definedName>
    <definedName name="cf" localSheetId="9" hidden="1">{#N/A,#N/A,FALSE,"TOTAL"}</definedName>
    <definedName name="cf" localSheetId="1" hidden="1">{#N/A,#N/A,FALSE,"TOTAL"}</definedName>
    <definedName name="cf" localSheetId="2" hidden="1">{#N/A,#N/A,FALSE,"TOTAL"}</definedName>
    <definedName name="cf" localSheetId="3" hidden="1">{#N/A,#N/A,FALSE,"TOTAL"}</definedName>
    <definedName name="cf" localSheetId="5" hidden="1">{#N/A,#N/A,FALSE,"TOTAL"}</definedName>
    <definedName name="cf" localSheetId="6" hidden="1">{#N/A,#N/A,FALSE,"TOTAL"}</definedName>
    <definedName name="cf" localSheetId="4" hidden="1">{#N/A,#N/A,FALSE,"TOTAL"}</definedName>
    <definedName name="cf" localSheetId="7" hidden="1">{#N/A,#N/A,FALSE,"TOTAL"}</definedName>
    <definedName name="cf" localSheetId="8" hidden="1">{#N/A,#N/A,FALSE,"TOTAL"}</definedName>
    <definedName name="cf" hidden="1">{#N/A,#N/A,FALSE,"TOTAL"}</definedName>
    <definedName name="cinema" localSheetId="12" hidden="1">#REF!</definedName>
    <definedName name="cinema" localSheetId="10" hidden="1">#REF!</definedName>
    <definedName name="cinema" hidden="1">#REF!</definedName>
    <definedName name="CLIENTE" localSheetId="12">#REF!</definedName>
    <definedName name="CLIENTE" localSheetId="10">#REF!</definedName>
    <definedName name="CLIENTE">#REF!</definedName>
    <definedName name="crono" localSheetId="12" hidden="1">{"'crono'!$U$12:$W$20"}</definedName>
    <definedName name="crono" localSheetId="10" hidden="1">{"'crono'!$U$12:$W$20"}</definedName>
    <definedName name="crono" localSheetId="11" hidden="1">{"'crono'!$U$12:$W$20"}</definedName>
    <definedName name="crono" localSheetId="9" hidden="1">{"'crono'!$U$12:$W$20"}</definedName>
    <definedName name="crono" localSheetId="1" hidden="1">{"'crono'!$U$12:$W$20"}</definedName>
    <definedName name="crono" localSheetId="2" hidden="1">{"'crono'!$U$12:$W$20"}</definedName>
    <definedName name="crono" localSheetId="3" hidden="1">{"'crono'!$U$12:$W$20"}</definedName>
    <definedName name="crono" localSheetId="5" hidden="1">{"'crono'!$U$12:$W$20"}</definedName>
    <definedName name="crono" localSheetId="6" hidden="1">{"'crono'!$U$12:$W$20"}</definedName>
    <definedName name="crono" localSheetId="4" hidden="1">{"'crono'!$U$12:$W$20"}</definedName>
    <definedName name="crono" localSheetId="7" hidden="1">{"'crono'!$U$12:$W$20"}</definedName>
    <definedName name="crono" localSheetId="8" hidden="1">{"'crono'!$U$12:$W$20"}</definedName>
    <definedName name="crono" hidden="1">{"'crono'!$U$12:$W$20"}</definedName>
    <definedName name="CURVA2" localSheetId="12" hidden="1">{"'171'!$A$1:$Z$50"}</definedName>
    <definedName name="CURVA2" localSheetId="10" hidden="1">{"'171'!$A$1:$Z$50"}</definedName>
    <definedName name="CURVA2" localSheetId="11" hidden="1">{"'171'!$A$1:$Z$50"}</definedName>
    <definedName name="CURVA2" localSheetId="9" hidden="1">{"'171'!$A$1:$Z$50"}</definedName>
    <definedName name="CURVA2" localSheetId="1" hidden="1">{"'171'!$A$1:$Z$50"}</definedName>
    <definedName name="CURVA2" localSheetId="2" hidden="1">{"'171'!$A$1:$Z$50"}</definedName>
    <definedName name="CURVA2" localSheetId="3" hidden="1">{"'171'!$A$1:$Z$50"}</definedName>
    <definedName name="CURVA2" localSheetId="5" hidden="1">{"'171'!$A$1:$Z$50"}</definedName>
    <definedName name="CURVA2" localSheetId="6" hidden="1">{"'171'!$A$1:$Z$50"}</definedName>
    <definedName name="CURVA2" localSheetId="4" hidden="1">{"'171'!$A$1:$Z$50"}</definedName>
    <definedName name="CURVA2" localSheetId="7" hidden="1">{"'171'!$A$1:$Z$50"}</definedName>
    <definedName name="CURVA2" localSheetId="8" hidden="1">{"'171'!$A$1:$Z$50"}</definedName>
    <definedName name="CURVA2" hidden="1">{"'171'!$A$1:$Z$50"}</definedName>
    <definedName name="DocumentDate">#N/A</definedName>
    <definedName name="DocumentYear" localSheetId="11">#N/A</definedName>
    <definedName name="DocumentYear" localSheetId="9">#N/A</definedName>
    <definedName name="DocumentYear">#N/A</definedName>
    <definedName name="DONO">'[4]Conversão-Mercha'!#REF!</definedName>
    <definedName name="dsds" localSheetId="0" hidden="1">#REF!</definedName>
    <definedName name="dsds" localSheetId="12" hidden="1">#REF!</definedName>
    <definedName name="dsds" localSheetId="10" hidden="1">#REF!</definedName>
    <definedName name="dsds" localSheetId="11" hidden="1">#REF!</definedName>
    <definedName name="dsds" localSheetId="9" hidden="1">#REF!</definedName>
    <definedName name="dsds" hidden="1">#REF!</definedName>
    <definedName name="DZVVDS" localSheetId="12" hidden="1">#REF!</definedName>
    <definedName name="DZVVDS" localSheetId="10" hidden="1">#REF!</definedName>
    <definedName name="DZVVDS" hidden="1">#REF!</definedName>
    <definedName name="ee" localSheetId="12" hidden="1">{"det (May)",#N/A,FALSE,"June";"sum (MAY YTD)",#N/A,FALSE,"June YTD"}</definedName>
    <definedName name="ee" localSheetId="10" hidden="1">{"det (May)",#N/A,FALSE,"June";"sum (MAY YTD)",#N/A,FALSE,"June YTD"}</definedName>
    <definedName name="ee" localSheetId="11" hidden="1">{"det (May)",#N/A,FALSE,"June";"sum (MAY YTD)",#N/A,FALSE,"June YTD"}</definedName>
    <definedName name="ee" localSheetId="9" hidden="1">{"det (May)",#N/A,FALSE,"June";"sum (MAY YTD)",#N/A,FALSE,"June YTD"}</definedName>
    <definedName name="ee" localSheetId="1" hidden="1">{"det (May)",#N/A,FALSE,"June";"sum (MAY YTD)",#N/A,FALSE,"June YTD"}</definedName>
    <definedName name="ee" localSheetId="2" hidden="1">{"det (May)",#N/A,FALSE,"June";"sum (MAY YTD)",#N/A,FALSE,"June YTD"}</definedName>
    <definedName name="ee" localSheetId="3" hidden="1">{"det (May)",#N/A,FALSE,"June";"sum (MAY YTD)",#N/A,FALSE,"June YTD"}</definedName>
    <definedName name="ee" localSheetId="5" hidden="1">{"det (May)",#N/A,FALSE,"June";"sum (MAY YTD)",#N/A,FALSE,"June YTD"}</definedName>
    <definedName name="ee" localSheetId="6" hidden="1">{"det (May)",#N/A,FALSE,"June";"sum (MAY YTD)",#N/A,FALSE,"June YTD"}</definedName>
    <definedName name="ee" localSheetId="4" hidden="1">{"det (May)",#N/A,FALSE,"June";"sum (MAY YTD)",#N/A,FALSE,"June YTD"}</definedName>
    <definedName name="ee" localSheetId="7" hidden="1">{"det (May)",#N/A,FALSE,"June";"sum (MAY YTD)",#N/A,FALSE,"June YTD"}</definedName>
    <definedName name="ee" localSheetId="8" hidden="1">{"det (May)",#N/A,FALSE,"June";"sum (MAY YTD)",#N/A,FALSE,"June YTD"}</definedName>
    <definedName name="ee" hidden="1">{"det (May)",#N/A,FALSE,"June";"sum (MAY YTD)",#N/A,FALSE,"June YTD"}</definedName>
    <definedName name="ef" localSheetId="12" hidden="1">#REF!</definedName>
    <definedName name="ef" localSheetId="10" hidden="1">#REF!</definedName>
    <definedName name="ef" hidden="1">#REF!</definedName>
    <definedName name="Equatorial" localSheetId="12" hidden="1">{#N/A,#N/A,FALSE,"TOTAL"}</definedName>
    <definedName name="Equatorial" localSheetId="10" hidden="1">{#N/A,#N/A,FALSE,"TOTAL"}</definedName>
    <definedName name="Equatorial" localSheetId="11" hidden="1">{#N/A,#N/A,FALSE,"TOTAL"}</definedName>
    <definedName name="Equatorial" localSheetId="9" hidden="1">{#N/A,#N/A,FALSE,"TOTAL"}</definedName>
    <definedName name="Equatorial" localSheetId="1" hidden="1">{#N/A,#N/A,FALSE,"TOTAL"}</definedName>
    <definedName name="Equatorial" localSheetId="2" hidden="1">{#N/A,#N/A,FALSE,"TOTAL"}</definedName>
    <definedName name="Equatorial" localSheetId="3" hidden="1">{#N/A,#N/A,FALSE,"TOTAL"}</definedName>
    <definedName name="Equatorial" localSheetId="5" hidden="1">{#N/A,#N/A,FALSE,"TOTAL"}</definedName>
    <definedName name="Equatorial" localSheetId="6" hidden="1">{#N/A,#N/A,FALSE,"TOTAL"}</definedName>
    <definedName name="Equatorial" localSheetId="4" hidden="1">{#N/A,#N/A,FALSE,"TOTAL"}</definedName>
    <definedName name="Equatorial" localSheetId="7" hidden="1">{#N/A,#N/A,FALSE,"TOTAL"}</definedName>
    <definedName name="Equatorial" localSheetId="8" hidden="1">{#N/A,#N/A,FALSE,"TOTAL"}</definedName>
    <definedName name="Equatorial" hidden="1">{#N/A,#N/A,FALSE,"TOTAL"}</definedName>
    <definedName name="er" localSheetId="12" hidden="1">#REF!</definedName>
    <definedName name="er" localSheetId="10" hidden="1">#REF!</definedName>
    <definedName name="er" hidden="1">#REF!</definedName>
    <definedName name="erbg" localSheetId="12" hidden="1">#REF!</definedName>
    <definedName name="erbg" localSheetId="10" hidden="1">#REF!</definedName>
    <definedName name="erbg" hidden="1">#REF!</definedName>
    <definedName name="ergb" localSheetId="12" hidden="1">#REF!</definedName>
    <definedName name="ergb" localSheetId="10" hidden="1">#REF!</definedName>
    <definedName name="ergb" hidden="1">#REF!</definedName>
    <definedName name="Excel_BuiltIn__FilterDatabase_10">[5]GERAÇÃO!#REF!</definedName>
    <definedName name="Excel_BuiltIn__FilterDatabase_10_1">NA()</definedName>
    <definedName name="Excel_BuiltIn__FilterDatabase_10_10" localSheetId="12">#REF!</definedName>
    <definedName name="Excel_BuiltIn__FilterDatabase_10_10" localSheetId="10">#REF!</definedName>
    <definedName name="Excel_BuiltIn__FilterDatabase_10_10">#REF!</definedName>
    <definedName name="Excel_BuiltIn__FilterDatabase_10_10_1">NA()</definedName>
    <definedName name="Excel_BuiltIn__FilterDatabase_10_10_2">NA()</definedName>
    <definedName name="Excel_BuiltIn__FilterDatabase_10_10_2_1">NA()</definedName>
    <definedName name="Excel_BuiltIn__FilterDatabase_10_10_9">NA()</definedName>
    <definedName name="Excel_BuiltIn__FilterDatabase_10_13">#N/A</definedName>
    <definedName name="Excel_BuiltIn__FilterDatabase_10_13_1">NA()</definedName>
    <definedName name="Excel_BuiltIn__FilterDatabase_10_13_2">NA()</definedName>
    <definedName name="Excel_BuiltIn__FilterDatabase_10_9" localSheetId="12">#REF!</definedName>
    <definedName name="Excel_BuiltIn__FilterDatabase_10_9" localSheetId="10">#REF!</definedName>
    <definedName name="Excel_BuiltIn__FilterDatabase_10_9">#REF!</definedName>
    <definedName name="Excel_BuiltIn__FilterDatabase_10_9_1">NA()</definedName>
    <definedName name="Excel_BuiltIn__FilterDatabase_10_9_1_1">NA()</definedName>
    <definedName name="Excel_BuiltIn__FilterDatabase_10_9_1_1_1">NA()</definedName>
    <definedName name="Excel_BuiltIn__FilterDatabase_10_9_9">NA()</definedName>
    <definedName name="Excel_BuiltIn__FilterDatabase_4" localSheetId="12">#REF!</definedName>
    <definedName name="Excel_BuiltIn__FilterDatabase_4" localSheetId="10">#REF!</definedName>
    <definedName name="Excel_BuiltIn__FilterDatabase_4">#REF!</definedName>
    <definedName name="Excel_BuiltIn__FilterDatabase_5" localSheetId="12">#REF!</definedName>
    <definedName name="Excel_BuiltIn__FilterDatabase_5" localSheetId="10">#REF!</definedName>
    <definedName name="Excel_BuiltIn__FilterDatabase_5">#REF!</definedName>
    <definedName name="Excel_BuiltIn__FilterDatabase_6" localSheetId="12">#REF!</definedName>
    <definedName name="Excel_BuiltIn__FilterDatabase_6" localSheetId="10">#REF!</definedName>
    <definedName name="Excel_BuiltIn__FilterDatabase_6">#REF!</definedName>
    <definedName name="Excel_BuiltIn__FilterDatabase_7" localSheetId="12">#REF!</definedName>
    <definedName name="Excel_BuiltIn__FilterDatabase_7" localSheetId="10">#REF!</definedName>
    <definedName name="Excel_BuiltIn__FilterDatabase_7">#REF!</definedName>
    <definedName name="Excel_BuiltIn__FilterDatabase_8" localSheetId="12">#REF!</definedName>
    <definedName name="Excel_BuiltIn__FilterDatabase_8" localSheetId="10">#REF!</definedName>
    <definedName name="Excel_BuiltIn__FilterDatabase_8">#REF!</definedName>
    <definedName name="Excel_BuiltIn_Print_Area_6_1" localSheetId="12">#REF!</definedName>
    <definedName name="Excel_BuiltIn_Print_Area_6_1" localSheetId="10">#REF!</definedName>
    <definedName name="Excel_BuiltIn_Print_Area_6_1">#REF!</definedName>
    <definedName name="Excel_BuiltIn_Print_Area_8_1" localSheetId="12">#REF!</definedName>
    <definedName name="Excel_BuiltIn_Print_Area_8_1" localSheetId="10">#REF!</definedName>
    <definedName name="Excel_BuiltIn_Print_Area_8_1">#REF!</definedName>
    <definedName name="F" localSheetId="0" hidden="1">#REF!</definedName>
    <definedName name="F" localSheetId="12" hidden="1">#REF!</definedName>
    <definedName name="F" localSheetId="10" hidden="1">#REF!</definedName>
    <definedName name="F" localSheetId="11" hidden="1">#REF!</definedName>
    <definedName name="F" localSheetId="9" hidden="1">#REF!</definedName>
    <definedName name="F" hidden="1">#REF!</definedName>
    <definedName name="fd" localSheetId="12" hidden="1">#REF!</definedName>
    <definedName name="fd" localSheetId="10" hidden="1">#REF!</definedName>
    <definedName name="fd" hidden="1">#REF!</definedName>
    <definedName name="fdhgxd" localSheetId="0" hidden="1">#REF!</definedName>
    <definedName name="fdhgxd" localSheetId="12" hidden="1">#REF!</definedName>
    <definedName name="fdhgxd" localSheetId="10" hidden="1">#REF!</definedName>
    <definedName name="fdhgxd" localSheetId="11" hidden="1">#REF!</definedName>
    <definedName name="fdhgxd" localSheetId="9" hidden="1">#REF!</definedName>
    <definedName name="fdhgxd" hidden="1">#REF!</definedName>
    <definedName name="FEVEREIRO" localSheetId="12" hidden="1">{"'crono'!$U$12:$W$20"}</definedName>
    <definedName name="FEVEREIRO" localSheetId="10" hidden="1">{"'crono'!$U$12:$W$20"}</definedName>
    <definedName name="FEVEREIRO" localSheetId="11" hidden="1">{"'crono'!$U$12:$W$20"}</definedName>
    <definedName name="FEVEREIRO" localSheetId="9" hidden="1">{"'crono'!$U$12:$W$20"}</definedName>
    <definedName name="FEVEREIRO" localSheetId="1" hidden="1">{"'crono'!$U$12:$W$20"}</definedName>
    <definedName name="FEVEREIRO" localSheetId="2" hidden="1">{"'crono'!$U$12:$W$20"}</definedName>
    <definedName name="FEVEREIRO" localSheetId="3" hidden="1">{"'crono'!$U$12:$W$20"}</definedName>
    <definedName name="FEVEREIRO" localSheetId="5" hidden="1">{"'crono'!$U$12:$W$20"}</definedName>
    <definedName name="FEVEREIRO" localSheetId="6" hidden="1">{"'crono'!$U$12:$W$20"}</definedName>
    <definedName name="FEVEREIRO" localSheetId="4" hidden="1">{"'crono'!$U$12:$W$20"}</definedName>
    <definedName name="FEVEREIRO" localSheetId="7" hidden="1">{"'crono'!$U$12:$W$20"}</definedName>
    <definedName name="FEVEREIRO" localSheetId="8" hidden="1">{"'crono'!$U$12:$W$20"}</definedName>
    <definedName name="FEVEREIRO" hidden="1">{"'crono'!$U$12:$W$20"}</definedName>
    <definedName name="fffffff" localSheetId="0" hidden="1">{"'Janeiro'!$A$1:$I$153"}</definedName>
    <definedName name="fffffff" localSheetId="12" hidden="1">{"'Janeiro'!$A$1:$I$153"}</definedName>
    <definedName name="fffffff" localSheetId="10" hidden="1">{"'Janeiro'!$A$1:$I$153"}</definedName>
    <definedName name="fffffff" localSheetId="11" hidden="1">{"'Janeiro'!$A$1:$I$153"}</definedName>
    <definedName name="fffffff" localSheetId="9" hidden="1">{"'Janeiro'!$A$1:$I$153"}</definedName>
    <definedName name="fffffff" localSheetId="1" hidden="1">{"'Janeiro'!$A$1:$I$153"}</definedName>
    <definedName name="fffffff" localSheetId="2" hidden="1">{"'Janeiro'!$A$1:$I$153"}</definedName>
    <definedName name="fffffff" localSheetId="3" hidden="1">{"'Janeiro'!$A$1:$I$153"}</definedName>
    <definedName name="fffffff" localSheetId="5" hidden="1">{"'Janeiro'!$A$1:$I$153"}</definedName>
    <definedName name="fffffff" localSheetId="6" hidden="1">{"'Janeiro'!$A$1:$I$153"}</definedName>
    <definedName name="fffffff" localSheetId="4" hidden="1">{"'Janeiro'!$A$1:$I$153"}</definedName>
    <definedName name="fffffff" localSheetId="7" hidden="1">{"'Janeiro'!$A$1:$I$153"}</definedName>
    <definedName name="fffffff" localSheetId="8" hidden="1">{"'Janeiro'!$A$1:$I$153"}</definedName>
    <definedName name="fffffff" hidden="1">{"'Janeiro'!$A$1:$I$153"}</definedName>
    <definedName name="Fig" localSheetId="12" hidden="1">{"det (May)",#N/A,FALSE,"June";"sum (MAY YTD)",#N/A,FALSE,"June YTD"}</definedName>
    <definedName name="Fig" localSheetId="10" hidden="1">{"det (May)",#N/A,FALSE,"June";"sum (MAY YTD)",#N/A,FALSE,"June YTD"}</definedName>
    <definedName name="Fig" localSheetId="11" hidden="1">{"det (May)",#N/A,FALSE,"June";"sum (MAY YTD)",#N/A,FALSE,"June YTD"}</definedName>
    <definedName name="Fig" localSheetId="9" hidden="1">{"det (May)",#N/A,FALSE,"June";"sum (MAY YTD)",#N/A,FALSE,"June YTD"}</definedName>
    <definedName name="Fig" localSheetId="1" hidden="1">{"det (May)",#N/A,FALSE,"June";"sum (MAY YTD)",#N/A,FALSE,"June YTD"}</definedName>
    <definedName name="Fig" localSheetId="2" hidden="1">{"det (May)",#N/A,FALSE,"June";"sum (MAY YTD)",#N/A,FALSE,"June YTD"}</definedName>
    <definedName name="Fig" localSheetId="3" hidden="1">{"det (May)",#N/A,FALSE,"June";"sum (MAY YTD)",#N/A,FALSE,"June YTD"}</definedName>
    <definedName name="Fig" localSheetId="5" hidden="1">{"det (May)",#N/A,FALSE,"June";"sum (MAY YTD)",#N/A,FALSE,"June YTD"}</definedName>
    <definedName name="Fig" localSheetId="6" hidden="1">{"det (May)",#N/A,FALSE,"June";"sum (MAY YTD)",#N/A,FALSE,"June YTD"}</definedName>
    <definedName name="Fig" localSheetId="4" hidden="1">{"det (May)",#N/A,FALSE,"June";"sum (MAY YTD)",#N/A,FALSE,"June YTD"}</definedName>
    <definedName name="Fig" localSheetId="7" hidden="1">{"det (May)",#N/A,FALSE,"June";"sum (MAY YTD)",#N/A,FALSE,"June YTD"}</definedName>
    <definedName name="Fig" localSheetId="8" hidden="1">{"det (May)",#N/A,FALSE,"June";"sum (MAY YTD)",#N/A,FALSE,"June YTD"}</definedName>
    <definedName name="Fig" hidden="1">{"det (May)",#N/A,FALSE,"June";"sum (MAY YTD)",#N/A,FALSE,"June YTD"}</definedName>
    <definedName name="fk" localSheetId="12" hidden="1">#REF!</definedName>
    <definedName name="fk" localSheetId="10" hidden="1">#REF!</definedName>
    <definedName name="fk" hidden="1">#REF!</definedName>
    <definedName name="fkf" localSheetId="12" hidden="1">#REF!</definedName>
    <definedName name="fkf" localSheetId="10" hidden="1">#REF!</definedName>
    <definedName name="fkf" hidden="1">#REF!</definedName>
    <definedName name="fkhurf" localSheetId="12" hidden="1">#REF!</definedName>
    <definedName name="fkhurf" localSheetId="10" hidden="1">#REF!</definedName>
    <definedName name="fkhurf" hidden="1">#REF!</definedName>
    <definedName name="frgtgt" localSheetId="12" hidden="1">#REF!</definedName>
    <definedName name="frgtgt" localSheetId="10" hidden="1">#REF!</definedName>
    <definedName name="frgtgt" hidden="1">#REF!</definedName>
    <definedName name="G" localSheetId="0" hidden="1">#REF!</definedName>
    <definedName name="G" localSheetId="12" hidden="1">#REF!</definedName>
    <definedName name="G" localSheetId="10" hidden="1">#REF!</definedName>
    <definedName name="G" localSheetId="11" hidden="1">#REF!</definedName>
    <definedName name="G" localSheetId="9" hidden="1">#REF!</definedName>
    <definedName name="G" hidden="1">#REF!</definedName>
    <definedName name="gbe" localSheetId="12" hidden="1">#REF!</definedName>
    <definedName name="gbe" localSheetId="10" hidden="1">#REF!</definedName>
    <definedName name="gbe" hidden="1">#REF!</definedName>
    <definedName name="GFDGASD" localSheetId="12">#REF!</definedName>
    <definedName name="GFDGASD" localSheetId="10">#REF!</definedName>
    <definedName name="GFDGASD">#REF!</definedName>
    <definedName name="gfggfdgadfg" localSheetId="0" hidden="1">{"'Janeiro'!$A$1:$I$153"}</definedName>
    <definedName name="gfggfdgadfg" localSheetId="12" hidden="1">{"'Janeiro'!$A$1:$I$153"}</definedName>
    <definedName name="gfggfdgadfg" localSheetId="10" hidden="1">{"'Janeiro'!$A$1:$I$153"}</definedName>
    <definedName name="gfggfdgadfg" localSheetId="11" hidden="1">{"'Janeiro'!$A$1:$I$153"}</definedName>
    <definedName name="gfggfdgadfg" localSheetId="9" hidden="1">{"'Janeiro'!$A$1:$I$153"}</definedName>
    <definedName name="gfggfdgadfg" localSheetId="1" hidden="1">{"'Janeiro'!$A$1:$I$153"}</definedName>
    <definedName name="gfggfdgadfg" localSheetId="2" hidden="1">{"'Janeiro'!$A$1:$I$153"}</definedName>
    <definedName name="gfggfdgadfg" localSheetId="3" hidden="1">{"'Janeiro'!$A$1:$I$153"}</definedName>
    <definedName name="gfggfdgadfg" localSheetId="5" hidden="1">{"'Janeiro'!$A$1:$I$153"}</definedName>
    <definedName name="gfggfdgadfg" localSheetId="6" hidden="1">{"'Janeiro'!$A$1:$I$153"}</definedName>
    <definedName name="gfggfdgadfg" localSheetId="4" hidden="1">{"'Janeiro'!$A$1:$I$153"}</definedName>
    <definedName name="gfggfdgadfg" localSheetId="7" hidden="1">{"'Janeiro'!$A$1:$I$153"}</definedName>
    <definedName name="gfggfdgadfg" localSheetId="8" hidden="1">{"'Janeiro'!$A$1:$I$153"}</definedName>
    <definedName name="gfggfdgadfg" hidden="1">{"'Janeiro'!$A$1:$I$153"}</definedName>
    <definedName name="gfr" localSheetId="0" hidden="1">#REF!</definedName>
    <definedName name="gfr" localSheetId="12" hidden="1">#REF!</definedName>
    <definedName name="gfr" localSheetId="10" hidden="1">#REF!</definedName>
    <definedName name="gfr" localSheetId="11" hidden="1">#REF!</definedName>
    <definedName name="gfr" localSheetId="9" hidden="1">#REF!</definedName>
    <definedName name="gfr" hidden="1">#REF!</definedName>
    <definedName name="gg" localSheetId="0" hidden="1">#REF!</definedName>
    <definedName name="gg" localSheetId="12" hidden="1">#REF!</definedName>
    <definedName name="gg" localSheetId="10" hidden="1">#REF!</definedName>
    <definedName name="gg" localSheetId="11" hidden="1">#REF!</definedName>
    <definedName name="gg" localSheetId="9" hidden="1">#REF!</definedName>
    <definedName name="gg" hidden="1">#REF!</definedName>
    <definedName name="gggggggggggggggg" localSheetId="0" hidden="1">{"'Janeiro'!$A$1:$I$153"}</definedName>
    <definedName name="gggggggggggggggg" localSheetId="12" hidden="1">{"'Janeiro'!$A$1:$I$153"}</definedName>
    <definedName name="gggggggggggggggg" localSheetId="10" hidden="1">{"'Janeiro'!$A$1:$I$153"}</definedName>
    <definedName name="gggggggggggggggg" localSheetId="11" hidden="1">{"'Janeiro'!$A$1:$I$153"}</definedName>
    <definedName name="gggggggggggggggg" localSheetId="9" hidden="1">{"'Janeiro'!$A$1:$I$153"}</definedName>
    <definedName name="gggggggggggggggg" localSheetId="1" hidden="1">{"'Janeiro'!$A$1:$I$153"}</definedName>
    <definedName name="gggggggggggggggg" localSheetId="2" hidden="1">{"'Janeiro'!$A$1:$I$153"}</definedName>
    <definedName name="gggggggggggggggg" localSheetId="3" hidden="1">{"'Janeiro'!$A$1:$I$153"}</definedName>
    <definedName name="gggggggggggggggg" localSheetId="5" hidden="1">{"'Janeiro'!$A$1:$I$153"}</definedName>
    <definedName name="gggggggggggggggg" localSheetId="6" hidden="1">{"'Janeiro'!$A$1:$I$153"}</definedName>
    <definedName name="gggggggggggggggg" localSheetId="4" hidden="1">{"'Janeiro'!$A$1:$I$153"}</definedName>
    <definedName name="gggggggggggggggg" localSheetId="7" hidden="1">{"'Janeiro'!$A$1:$I$153"}</definedName>
    <definedName name="gggggggggggggggg" localSheetId="8" hidden="1">{"'Janeiro'!$A$1:$I$153"}</definedName>
    <definedName name="gggggggggggggggg" hidden="1">{"'Janeiro'!$A$1:$I$153"}</definedName>
    <definedName name="gtg" localSheetId="12" hidden="1">#REF!</definedName>
    <definedName name="gtg" localSheetId="10" hidden="1">#REF!</definedName>
    <definedName name="gtg" hidden="1">#REF!</definedName>
    <definedName name="hb" localSheetId="12" hidden="1">#REF!</definedName>
    <definedName name="hb" localSheetId="10" hidden="1">#REF!</definedName>
    <definedName name="hb" hidden="1">#REF!</definedName>
    <definedName name="hh" localSheetId="0" hidden="1">{"'Janeiro'!$A$1:$I$153"}</definedName>
    <definedName name="hh" localSheetId="12" hidden="1">{"'Janeiro'!$A$1:$I$153"}</definedName>
    <definedName name="hh" localSheetId="10" hidden="1">{"'Janeiro'!$A$1:$I$153"}</definedName>
    <definedName name="hh" localSheetId="11" hidden="1">{"'Janeiro'!$A$1:$I$153"}</definedName>
    <definedName name="hh" localSheetId="9" hidden="1">{"'Janeiro'!$A$1:$I$153"}</definedName>
    <definedName name="hh" localSheetId="1" hidden="1">{"'Janeiro'!$A$1:$I$153"}</definedName>
    <definedName name="hh" localSheetId="2" hidden="1">{"'Janeiro'!$A$1:$I$153"}</definedName>
    <definedName name="hh" localSheetId="3" hidden="1">{"'Janeiro'!$A$1:$I$153"}</definedName>
    <definedName name="hh" localSheetId="5" hidden="1">{"'Janeiro'!$A$1:$I$153"}</definedName>
    <definedName name="hh" localSheetId="6" hidden="1">{"'Janeiro'!$A$1:$I$153"}</definedName>
    <definedName name="hh" localSheetId="4" hidden="1">{"'Janeiro'!$A$1:$I$153"}</definedName>
    <definedName name="hh" localSheetId="7" hidden="1">{"'Janeiro'!$A$1:$I$153"}</definedName>
    <definedName name="hh" localSheetId="8" hidden="1">{"'Janeiro'!$A$1:$I$153"}</definedName>
    <definedName name="hh" hidden="1">{"'Janeiro'!$A$1:$I$153"}</definedName>
    <definedName name="hj" localSheetId="12">#REF!</definedName>
    <definedName name="hj" localSheetId="10">#REF!</definedName>
    <definedName name="hj">#REF!</definedName>
    <definedName name="hjit" localSheetId="12" hidden="1">#REF!</definedName>
    <definedName name="hjit" localSheetId="10" hidden="1">#REF!</definedName>
    <definedName name="hjit" hidden="1">#REF!</definedName>
    <definedName name="htht" localSheetId="12" hidden="1">#REF!</definedName>
    <definedName name="htht" localSheetId="10" hidden="1">#REF!</definedName>
    <definedName name="htht" hidden="1">#REF!</definedName>
    <definedName name="hthth" localSheetId="12" hidden="1">#REF!</definedName>
    <definedName name="hthth" localSheetId="10" hidden="1">#REF!</definedName>
    <definedName name="hthth" hidden="1">#REF!</definedName>
    <definedName name="hthy" localSheetId="12" hidden="1">#REF!</definedName>
    <definedName name="hthy" localSheetId="10" hidden="1">#REF!</definedName>
    <definedName name="hthy" hidden="1">#REF!</definedName>
    <definedName name="HTML_CodePage" hidden="1">1252</definedName>
    <definedName name="HTML_Control" localSheetId="0" hidden="1">{"'Janeiro'!$A$1:$I$153"}</definedName>
    <definedName name="HTML_Control" localSheetId="12" hidden="1">{"'Janeiro'!$A$1:$I$153"}</definedName>
    <definedName name="HTML_Control" localSheetId="10" hidden="1">{"'Janeiro'!$A$1:$I$153"}</definedName>
    <definedName name="HTML_Control" localSheetId="11" hidden="1">{"'Janeiro'!$A$1:$I$153"}</definedName>
    <definedName name="HTML_Control" localSheetId="9" hidden="1">{"'Janeiro'!$A$1:$I$153"}</definedName>
    <definedName name="HTML_Control" localSheetId="1" hidden="1">{"'Janeiro'!$A$1:$I$153"}</definedName>
    <definedName name="HTML_Control" localSheetId="2" hidden="1">{"'Janeiro'!$A$1:$I$153"}</definedName>
    <definedName name="HTML_Control" localSheetId="3" hidden="1">{"'Janeiro'!$A$1:$I$153"}</definedName>
    <definedName name="HTML_Control" localSheetId="5" hidden="1">{"'Janeiro'!$A$1:$I$153"}</definedName>
    <definedName name="HTML_Control" localSheetId="6" hidden="1">{"'Janeiro'!$A$1:$I$153"}</definedName>
    <definedName name="HTML_Control" localSheetId="4" hidden="1">{"'Janeiro'!$A$1:$I$153"}</definedName>
    <definedName name="HTML_Control" localSheetId="7" hidden="1">{"'Janeiro'!$A$1:$I$153"}</definedName>
    <definedName name="HTML_Control" localSheetId="8" hidden="1">{"'Janeiro'!$A$1:$I$153"}</definedName>
    <definedName name="HTML_Control" hidden="1">{"'Janeiro'!$A$1:$I$153"}</definedName>
    <definedName name="HTML_Control2" localSheetId="12" hidden="1">{"'171'!$A$1:$Z$50"}</definedName>
    <definedName name="HTML_Control2" localSheetId="10" hidden="1">{"'171'!$A$1:$Z$50"}</definedName>
    <definedName name="HTML_Control2" localSheetId="11" hidden="1">{"'171'!$A$1:$Z$50"}</definedName>
    <definedName name="HTML_Control2" localSheetId="9" hidden="1">{"'171'!$A$1:$Z$50"}</definedName>
    <definedName name="HTML_Control2" localSheetId="1" hidden="1">{"'171'!$A$1:$Z$50"}</definedName>
    <definedName name="HTML_Control2" localSheetId="2" hidden="1">{"'171'!$A$1:$Z$50"}</definedName>
    <definedName name="HTML_Control2" localSheetId="3" hidden="1">{"'171'!$A$1:$Z$50"}</definedName>
    <definedName name="HTML_Control2" localSheetId="5" hidden="1">{"'171'!$A$1:$Z$50"}</definedName>
    <definedName name="HTML_Control2" localSheetId="6" hidden="1">{"'171'!$A$1:$Z$50"}</definedName>
    <definedName name="HTML_Control2" localSheetId="4" hidden="1">{"'171'!$A$1:$Z$50"}</definedName>
    <definedName name="HTML_Control2" localSheetId="7" hidden="1">{"'171'!$A$1:$Z$50"}</definedName>
    <definedName name="HTML_Control2" localSheetId="8" hidden="1">{"'171'!$A$1:$Z$50"}</definedName>
    <definedName name="HTML_Control2" hidden="1">{"'171'!$A$1:$Z$50"}</definedName>
    <definedName name="HTML_Description" hidden="1">""</definedName>
    <definedName name="HTML_Email" hidden="1">""</definedName>
    <definedName name="HTML_Header" hidden="1">"Janeiro"</definedName>
    <definedName name="HTML_LastUpdate" hidden="1">"18/01/00"</definedName>
    <definedName name="HTML_LineAfter" hidden="1">FALSE</definedName>
    <definedName name="HTML_LineBefore" hidden="1">FALSE</definedName>
    <definedName name="HTML_Name" hidden="1">"Publicis Norton S.A."</definedName>
    <definedName name="HTML_OBDlg2" hidden="1">TRUE</definedName>
    <definedName name="HTML_OBDlg4" hidden="1">TRUE</definedName>
    <definedName name="HTML_OS" hidden="1">0</definedName>
    <definedName name="HTML_PathFile" hidden="1">"G:\Midia\WINJOB\NESTLE\Levant\PREFINGE\Prefin2000\MeuHTML.htm"</definedName>
    <definedName name="HTML_Title" hidden="1">"janeiro"</definedName>
    <definedName name="I" localSheetId="12">#REF!</definedName>
    <definedName name="I" localSheetId="10">#REF!</definedName>
    <definedName name="I">#REF!</definedName>
    <definedName name="jljl" localSheetId="12" hidden="1">{"det (May)",#N/A,FALSE,"June";"sum (MAY YTD)",#N/A,FALSE,"June YTD"}</definedName>
    <definedName name="jljl" localSheetId="10" hidden="1">{"det (May)",#N/A,FALSE,"June";"sum (MAY YTD)",#N/A,FALSE,"June YTD"}</definedName>
    <definedName name="jljl" localSheetId="11" hidden="1">{"det (May)",#N/A,FALSE,"June";"sum (MAY YTD)",#N/A,FALSE,"June YTD"}</definedName>
    <definedName name="jljl" localSheetId="9" hidden="1">{"det (May)",#N/A,FALSE,"June";"sum (MAY YTD)",#N/A,FALSE,"June YTD"}</definedName>
    <definedName name="jljl" localSheetId="1" hidden="1">{"det (May)",#N/A,FALSE,"June";"sum (MAY YTD)",#N/A,FALSE,"June YTD"}</definedName>
    <definedName name="jljl" localSheetId="2" hidden="1">{"det (May)",#N/A,FALSE,"June";"sum (MAY YTD)",#N/A,FALSE,"June YTD"}</definedName>
    <definedName name="jljl" localSheetId="3" hidden="1">{"det (May)",#N/A,FALSE,"June";"sum (MAY YTD)",#N/A,FALSE,"June YTD"}</definedName>
    <definedName name="jljl" localSheetId="5" hidden="1">{"det (May)",#N/A,FALSE,"June";"sum (MAY YTD)",#N/A,FALSE,"June YTD"}</definedName>
    <definedName name="jljl" localSheetId="6" hidden="1">{"det (May)",#N/A,FALSE,"June";"sum (MAY YTD)",#N/A,FALSE,"June YTD"}</definedName>
    <definedName name="jljl" localSheetId="4" hidden="1">{"det (May)",#N/A,FALSE,"June";"sum (MAY YTD)",#N/A,FALSE,"June YTD"}</definedName>
    <definedName name="jljl" localSheetId="7" hidden="1">{"det (May)",#N/A,FALSE,"June";"sum (MAY YTD)",#N/A,FALSE,"June YTD"}</definedName>
    <definedName name="jljl" localSheetId="8" hidden="1">{"det (May)",#N/A,FALSE,"June";"sum (MAY YTD)",#N/A,FALSE,"June YTD"}</definedName>
    <definedName name="jljl" hidden="1">{"det (May)",#N/A,FALSE,"June";"sum (MAY YTD)",#N/A,FALSE,"June YTD"}</definedName>
    <definedName name="jrescisão" localSheetId="12" hidden="1">{"'crono'!$U$12:$W$20"}</definedName>
    <definedName name="jrescisão" localSheetId="10" hidden="1">{"'crono'!$U$12:$W$20"}</definedName>
    <definedName name="jrescisão" localSheetId="11" hidden="1">{"'crono'!$U$12:$W$20"}</definedName>
    <definedName name="jrescisão" localSheetId="9" hidden="1">{"'crono'!$U$12:$W$20"}</definedName>
    <definedName name="jrescisão" localSheetId="1" hidden="1">{"'crono'!$U$12:$W$20"}</definedName>
    <definedName name="jrescisão" localSheetId="2" hidden="1">{"'crono'!$U$12:$W$20"}</definedName>
    <definedName name="jrescisão" localSheetId="3" hidden="1">{"'crono'!$U$12:$W$20"}</definedName>
    <definedName name="jrescisão" localSheetId="5" hidden="1">{"'crono'!$U$12:$W$20"}</definedName>
    <definedName name="jrescisão" localSheetId="6" hidden="1">{"'crono'!$U$12:$W$20"}</definedName>
    <definedName name="jrescisão" localSheetId="4" hidden="1">{"'crono'!$U$12:$W$20"}</definedName>
    <definedName name="jrescisão" localSheetId="7" hidden="1">{"'crono'!$U$12:$W$20"}</definedName>
    <definedName name="jrescisão" localSheetId="8" hidden="1">{"'crono'!$U$12:$W$20"}</definedName>
    <definedName name="jrescisão" hidden="1">{"'crono'!$U$12:$W$20"}</definedName>
    <definedName name="kegs" localSheetId="12" hidden="1">{"det (May)",#N/A,FALSE,"June";"sum (MAY YTD)",#N/A,FALSE,"June YTD"}</definedName>
    <definedName name="kegs" localSheetId="10" hidden="1">{"det (May)",#N/A,FALSE,"June";"sum (MAY YTD)",#N/A,FALSE,"June YTD"}</definedName>
    <definedName name="kegs" localSheetId="11" hidden="1">{"det (May)",#N/A,FALSE,"June";"sum (MAY YTD)",#N/A,FALSE,"June YTD"}</definedName>
    <definedName name="kegs" localSheetId="9" hidden="1">{"det (May)",#N/A,FALSE,"June";"sum (MAY YTD)",#N/A,FALSE,"June YTD"}</definedName>
    <definedName name="kegs" localSheetId="1" hidden="1">{"det (May)",#N/A,FALSE,"June";"sum (MAY YTD)",#N/A,FALSE,"June YTD"}</definedName>
    <definedName name="kegs" localSheetId="2" hidden="1">{"det (May)",#N/A,FALSE,"June";"sum (MAY YTD)",#N/A,FALSE,"June YTD"}</definedName>
    <definedName name="kegs" localSheetId="3" hidden="1">{"det (May)",#N/A,FALSE,"June";"sum (MAY YTD)",#N/A,FALSE,"June YTD"}</definedName>
    <definedName name="kegs" localSheetId="5" hidden="1">{"det (May)",#N/A,FALSE,"June";"sum (MAY YTD)",#N/A,FALSE,"June YTD"}</definedName>
    <definedName name="kegs" localSheetId="6" hidden="1">{"det (May)",#N/A,FALSE,"June";"sum (MAY YTD)",#N/A,FALSE,"June YTD"}</definedName>
    <definedName name="kegs" localSheetId="4" hidden="1">{"det (May)",#N/A,FALSE,"June";"sum (MAY YTD)",#N/A,FALSE,"June YTD"}</definedName>
    <definedName name="kegs" localSheetId="7" hidden="1">{"det (May)",#N/A,FALSE,"June";"sum (MAY YTD)",#N/A,FALSE,"June YTD"}</definedName>
    <definedName name="kegs" localSheetId="8" hidden="1">{"det (May)",#N/A,FALSE,"June";"sum (MAY YTD)",#N/A,FALSE,"June YTD"}</definedName>
    <definedName name="kegs" hidden="1">{"det (May)",#N/A,FALSE,"June";"sum (MAY YTD)",#N/A,FALSE,"June YTD"}</definedName>
    <definedName name="kf" localSheetId="0" hidden="1">#REF!</definedName>
    <definedName name="kf" localSheetId="12" hidden="1">#REF!</definedName>
    <definedName name="kf" localSheetId="10" hidden="1">#REF!</definedName>
    <definedName name="kf" localSheetId="11" hidden="1">#REF!</definedName>
    <definedName name="kf" localSheetId="9" hidden="1">#REF!</definedName>
    <definedName name="kf" hidden="1">#REF!</definedName>
    <definedName name="LAURA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d" localSheetId="0" hidden="1">#REF!</definedName>
    <definedName name="ld" localSheetId="12" hidden="1">#REF!</definedName>
    <definedName name="ld" localSheetId="10" hidden="1">#REF!</definedName>
    <definedName name="ld" localSheetId="11" hidden="1">#REF!</definedName>
    <definedName name="ld" localSheetId="9" hidden="1">#REF!</definedName>
    <definedName name="ld" hidden="1">#REF!</definedName>
    <definedName name="limcount" hidden="1">1</definedName>
    <definedName name="LOCPR">'[4]base TV'!$M$2:$BD$4</definedName>
    <definedName name="M" localSheetId="12">#REF!</definedName>
    <definedName name="M" localSheetId="10">#REF!</definedName>
    <definedName name="M">#REF!</definedName>
    <definedName name="MajorHeader" localSheetId="11">#N/A</definedName>
    <definedName name="MajorHeader" localSheetId="9">#N/A</definedName>
    <definedName name="MajorHeader">#N/A</definedName>
    <definedName name="MCN">'[4]base TV'!$G$5:$G$90</definedName>
    <definedName name="MEDIO" localSheetId="12">#REF!</definedName>
    <definedName name="MEDIO" localSheetId="10">#REF!</definedName>
    <definedName name="MEDIO">#REF!</definedName>
    <definedName name="merchan" localSheetId="0" hidden="1">#REF!</definedName>
    <definedName name="merchan" localSheetId="12" hidden="1">#REF!</definedName>
    <definedName name="merchan" localSheetId="10" hidden="1">#REF!</definedName>
    <definedName name="merchan" localSheetId="11" hidden="1">#REF!</definedName>
    <definedName name="merchan" localSheetId="9" hidden="1">#REF!</definedName>
    <definedName name="merchan" hidden="1">#REF!</definedName>
    <definedName name="mmm" localSheetId="0" hidden="1">#REF!</definedName>
    <definedName name="mmm" localSheetId="12" hidden="1">#REF!</definedName>
    <definedName name="mmm" localSheetId="10" hidden="1">#REF!</definedName>
    <definedName name="mmm" localSheetId="11" hidden="1">#REF!</definedName>
    <definedName name="mmm" localSheetId="9" hidden="1">#REF!</definedName>
    <definedName name="mmm" hidden="1">#REF!</definedName>
    <definedName name="mn" localSheetId="0" hidden="1">{"'Janeiro'!$A$1:$I$153"}</definedName>
    <definedName name="mn" localSheetId="12" hidden="1">{"'Janeiro'!$A$1:$I$153"}</definedName>
    <definedName name="mn" localSheetId="10" hidden="1">{"'Janeiro'!$A$1:$I$153"}</definedName>
    <definedName name="mn" localSheetId="11" hidden="1">{"'Janeiro'!$A$1:$I$153"}</definedName>
    <definedName name="mn" localSheetId="9" hidden="1">{"'Janeiro'!$A$1:$I$153"}</definedName>
    <definedName name="mn" localSheetId="1" hidden="1">{"'Janeiro'!$A$1:$I$153"}</definedName>
    <definedName name="mn" localSheetId="2" hidden="1">{"'Janeiro'!$A$1:$I$153"}</definedName>
    <definedName name="mn" localSheetId="3" hidden="1">{"'Janeiro'!$A$1:$I$153"}</definedName>
    <definedName name="mn" localSheetId="5" hidden="1">{"'Janeiro'!$A$1:$I$153"}</definedName>
    <definedName name="mn" localSheetId="6" hidden="1">{"'Janeiro'!$A$1:$I$153"}</definedName>
    <definedName name="mn" localSheetId="4" hidden="1">{"'Janeiro'!$A$1:$I$153"}</definedName>
    <definedName name="mn" localSheetId="7" hidden="1">{"'Janeiro'!$A$1:$I$153"}</definedName>
    <definedName name="mn" localSheetId="8" hidden="1">{"'Janeiro'!$A$1:$I$153"}</definedName>
    <definedName name="mn" hidden="1">{"'Janeiro'!$A$1:$I$153"}</definedName>
    <definedName name="N" localSheetId="0" hidden="1">#REF!</definedName>
    <definedName name="N" localSheetId="12" hidden="1">#REF!</definedName>
    <definedName name="N" localSheetId="10" hidden="1">#REF!</definedName>
    <definedName name="N" localSheetId="11" hidden="1">#REF!</definedName>
    <definedName name="N" localSheetId="9" hidden="1">#REF!</definedName>
    <definedName name="N" hidden="1">#REF!</definedName>
    <definedName name="nn" localSheetId="12" hidden="1">{"det (May)",#N/A,FALSE,"June";"sum (MAY YTD)",#N/A,FALSE,"June YTD"}</definedName>
    <definedName name="nn" localSheetId="10" hidden="1">{"det (May)",#N/A,FALSE,"June";"sum (MAY YTD)",#N/A,FALSE,"June YTD"}</definedName>
    <definedName name="nn" localSheetId="11" hidden="1">{"det (May)",#N/A,FALSE,"June";"sum (MAY YTD)",#N/A,FALSE,"June YTD"}</definedName>
    <definedName name="nn" localSheetId="9" hidden="1">{"det (May)",#N/A,FALSE,"June";"sum (MAY YTD)",#N/A,FALSE,"June YTD"}</definedName>
    <definedName name="nn" localSheetId="1" hidden="1">{"det (May)",#N/A,FALSE,"June";"sum (MAY YTD)",#N/A,FALSE,"June YTD"}</definedName>
    <definedName name="nn" localSheetId="2" hidden="1">{"det (May)",#N/A,FALSE,"June";"sum (MAY YTD)",#N/A,FALSE,"June YTD"}</definedName>
    <definedName name="nn" localSheetId="3" hidden="1">{"det (May)",#N/A,FALSE,"June";"sum (MAY YTD)",#N/A,FALSE,"June YTD"}</definedName>
    <definedName name="nn" localSheetId="5" hidden="1">{"det (May)",#N/A,FALSE,"June";"sum (MAY YTD)",#N/A,FALSE,"June YTD"}</definedName>
    <definedName name="nn" localSheetId="6" hidden="1">{"det (May)",#N/A,FALSE,"June";"sum (MAY YTD)",#N/A,FALSE,"June YTD"}</definedName>
    <definedName name="nn" localSheetId="4" hidden="1">{"det (May)",#N/A,FALSE,"June";"sum (MAY YTD)",#N/A,FALSE,"June YTD"}</definedName>
    <definedName name="nn" localSheetId="7" hidden="1">{"det (May)",#N/A,FALSE,"June";"sum (MAY YTD)",#N/A,FALSE,"June YTD"}</definedName>
    <definedName name="nn" localSheetId="8" hidden="1">{"det (May)",#N/A,FALSE,"June";"sum (MAY YTD)",#N/A,FALSE,"June YTD"}</definedName>
    <definedName name="nn" hidden="1">{"det (May)",#N/A,FALSE,"June";"sum (MAY YTD)",#N/A,FALSE,"June YTD"}</definedName>
    <definedName name="NOTA" localSheetId="12">#REF!</definedName>
    <definedName name="NOTA" localSheetId="10">#REF!</definedName>
    <definedName name="NOTA">#REF!</definedName>
    <definedName name="NOTAS" localSheetId="12">#REF!</definedName>
    <definedName name="NOTAS" localSheetId="10">#REF!</definedName>
    <definedName name="NOTAS">#REF!</definedName>
    <definedName name="novo" localSheetId="0" hidden="1">#REF!</definedName>
    <definedName name="novo" localSheetId="12" hidden="1">#REF!</definedName>
    <definedName name="novo" localSheetId="10" hidden="1">#REF!</definedName>
    <definedName name="novo" localSheetId="11" hidden="1">#REF!</definedName>
    <definedName name="novo" localSheetId="9" hidden="1">#REF!</definedName>
    <definedName name="novo" hidden="1">#REF!</definedName>
    <definedName name="ofk" localSheetId="12" hidden="1">#REF!</definedName>
    <definedName name="ofk" localSheetId="10" hidden="1">#REF!</definedName>
    <definedName name="ofk" hidden="1">#REF!</definedName>
    <definedName name="okf" localSheetId="12" hidden="1">#REF!</definedName>
    <definedName name="okf" localSheetId="10" hidden="1">#REF!</definedName>
    <definedName name="okf" hidden="1">#REF!</definedName>
    <definedName name="Orçamento" localSheetId="12" hidden="1">{#N/A,#N/A,FALSE,"TOTAL"}</definedName>
    <definedName name="Orçamento" localSheetId="10" hidden="1">{#N/A,#N/A,FALSE,"TOTAL"}</definedName>
    <definedName name="Orçamento" localSheetId="11" hidden="1">{#N/A,#N/A,FALSE,"TOTAL"}</definedName>
    <definedName name="Orçamento" localSheetId="9" hidden="1">{#N/A,#N/A,FALSE,"TOTAL"}</definedName>
    <definedName name="Orçamento" localSheetId="1" hidden="1">{#N/A,#N/A,FALSE,"TOTAL"}</definedName>
    <definedName name="Orçamento" localSheetId="2" hidden="1">{#N/A,#N/A,FALSE,"TOTAL"}</definedName>
    <definedName name="Orçamento" localSheetId="3" hidden="1">{#N/A,#N/A,FALSE,"TOTAL"}</definedName>
    <definedName name="Orçamento" localSheetId="5" hidden="1">{#N/A,#N/A,FALSE,"TOTAL"}</definedName>
    <definedName name="Orçamento" localSheetId="6" hidden="1">{#N/A,#N/A,FALSE,"TOTAL"}</definedName>
    <definedName name="Orçamento" localSheetId="4" hidden="1">{#N/A,#N/A,FALSE,"TOTAL"}</definedName>
    <definedName name="Orçamento" localSheetId="7" hidden="1">{#N/A,#N/A,FALSE,"TOTAL"}</definedName>
    <definedName name="Orçamento" localSheetId="8" hidden="1">{#N/A,#N/A,FALSE,"TOTAL"}</definedName>
    <definedName name="Orçamento" hidden="1">{#N/A,#N/A,FALSE,"TOTAL"}</definedName>
    <definedName name="P" localSheetId="12">#REF!</definedName>
    <definedName name="P" localSheetId="10">#REF!</definedName>
    <definedName name="P">#REF!</definedName>
    <definedName name="PERR">'[4]Conversão-Mercha'!#REF!</definedName>
    <definedName name="PJON">'[4]Conversão-Mercha'!#REF!</definedName>
    <definedName name="Plan_Media_2000" localSheetId="1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1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1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9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6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4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7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8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OA" localSheetId="12" hidden="1">{"det (May)",#N/A,FALSE,"June";"sum (MAY YTD)",#N/A,FALSE,"June YTD"}</definedName>
    <definedName name="POA" localSheetId="10" hidden="1">{"det (May)",#N/A,FALSE,"June";"sum (MAY YTD)",#N/A,FALSE,"June YTD"}</definedName>
    <definedName name="POA" localSheetId="11" hidden="1">{"det (May)",#N/A,FALSE,"June";"sum (MAY YTD)",#N/A,FALSE,"June YTD"}</definedName>
    <definedName name="POA" localSheetId="9" hidden="1">{"det (May)",#N/A,FALSE,"June";"sum (MAY YTD)",#N/A,FALSE,"June YTD"}</definedName>
    <definedName name="POA" localSheetId="1" hidden="1">{"det (May)",#N/A,FALSE,"June";"sum (MAY YTD)",#N/A,FALSE,"June YTD"}</definedName>
    <definedName name="POA" localSheetId="2" hidden="1">{"det (May)",#N/A,FALSE,"June";"sum (MAY YTD)",#N/A,FALSE,"June YTD"}</definedName>
    <definedName name="POA" localSheetId="3" hidden="1">{"det (May)",#N/A,FALSE,"June";"sum (MAY YTD)",#N/A,FALSE,"June YTD"}</definedName>
    <definedName name="POA" localSheetId="5" hidden="1">{"det (May)",#N/A,FALSE,"June";"sum (MAY YTD)",#N/A,FALSE,"June YTD"}</definedName>
    <definedName name="POA" localSheetId="6" hidden="1">{"det (May)",#N/A,FALSE,"June";"sum (MAY YTD)",#N/A,FALSE,"June YTD"}</definedName>
    <definedName name="POA" localSheetId="4" hidden="1">{"det (May)",#N/A,FALSE,"June";"sum (MAY YTD)",#N/A,FALSE,"June YTD"}</definedName>
    <definedName name="POA" localSheetId="7" hidden="1">{"det (May)",#N/A,FALSE,"June";"sum (MAY YTD)",#N/A,FALSE,"June YTD"}</definedName>
    <definedName name="POA" localSheetId="8" hidden="1">{"det (May)",#N/A,FALSE,"June";"sum (MAY YTD)",#N/A,FALSE,"June YTD"}</definedName>
    <definedName name="POA" hidden="1">{"det (May)",#N/A,FALSE,"June";"sum (MAY YTD)",#N/A,FALSE,"June YTD"}</definedName>
    <definedName name="PRO" localSheetId="12" hidden="1">{"det (May)",#N/A,FALSE,"June";"sum (MAY YTD)",#N/A,FALSE,"June YTD"}</definedName>
    <definedName name="PRO" localSheetId="10" hidden="1">{"det (May)",#N/A,FALSE,"June";"sum (MAY YTD)",#N/A,FALSE,"June YTD"}</definedName>
    <definedName name="PRO" localSheetId="11" hidden="1">{"det (May)",#N/A,FALSE,"June";"sum (MAY YTD)",#N/A,FALSE,"June YTD"}</definedName>
    <definedName name="PRO" localSheetId="9" hidden="1">{"det (May)",#N/A,FALSE,"June";"sum (MAY YTD)",#N/A,FALSE,"June YTD"}</definedName>
    <definedName name="PRO" localSheetId="1" hidden="1">{"det (May)",#N/A,FALSE,"June";"sum (MAY YTD)",#N/A,FALSE,"June YTD"}</definedName>
    <definedName name="PRO" localSheetId="2" hidden="1">{"det (May)",#N/A,FALSE,"June";"sum (MAY YTD)",#N/A,FALSE,"June YTD"}</definedName>
    <definedName name="PRO" localSheetId="3" hidden="1">{"det (May)",#N/A,FALSE,"June";"sum (MAY YTD)",#N/A,FALSE,"June YTD"}</definedName>
    <definedName name="PRO" localSheetId="5" hidden="1">{"det (May)",#N/A,FALSE,"June";"sum (MAY YTD)",#N/A,FALSE,"June YTD"}</definedName>
    <definedName name="PRO" localSheetId="6" hidden="1">{"det (May)",#N/A,FALSE,"June";"sum (MAY YTD)",#N/A,FALSE,"June YTD"}</definedName>
    <definedName name="PRO" localSheetId="4" hidden="1">{"det (May)",#N/A,FALSE,"June";"sum (MAY YTD)",#N/A,FALSE,"June YTD"}</definedName>
    <definedName name="PRO" localSheetId="7" hidden="1">{"det (May)",#N/A,FALSE,"June";"sum (MAY YTD)",#N/A,FALSE,"June YTD"}</definedName>
    <definedName name="PRO" localSheetId="8" hidden="1">{"det (May)",#N/A,FALSE,"June";"sum (MAY YTD)",#N/A,FALSE,"June YTD"}</definedName>
    <definedName name="PRO" hidden="1">{"det (May)",#N/A,FALSE,"June";"sum (MAY YTD)",#N/A,FALSE,"June YTD"}</definedName>
    <definedName name="PROD" localSheetId="12">#REF!</definedName>
    <definedName name="PROD" localSheetId="10">#REF!</definedName>
    <definedName name="PROD">#REF!</definedName>
    <definedName name="PRODUCTO" localSheetId="12">#REF!</definedName>
    <definedName name="PRODUCTO" localSheetId="10">#REF!</definedName>
    <definedName name="PRODUCTO">#REF!</definedName>
    <definedName name="Programação" localSheetId="12">#REF!</definedName>
    <definedName name="Programação" localSheetId="10">#REF!</definedName>
    <definedName name="Programação">#REF!</definedName>
    <definedName name="q" localSheetId="0" hidden="1">#REF!</definedName>
    <definedName name="q" localSheetId="12" hidden="1">#REF!</definedName>
    <definedName name="q" localSheetId="10" hidden="1">#REF!</definedName>
    <definedName name="q" localSheetId="11" hidden="1">#REF!</definedName>
    <definedName name="q" localSheetId="9" hidden="1">#REF!</definedName>
    <definedName name="q" hidden="1">#REF!</definedName>
    <definedName name="radio" localSheetId="12" hidden="1">#REF!</definedName>
    <definedName name="radio" localSheetId="10" hidden="1">#REF!</definedName>
    <definedName name="radio" hidden="1">#REF!</definedName>
    <definedName name="rádio" localSheetId="0" hidden="1">#REF!</definedName>
    <definedName name="rádio" localSheetId="12" hidden="1">#REF!</definedName>
    <definedName name="rádio" localSheetId="10" hidden="1">#REF!</definedName>
    <definedName name="rádio" localSheetId="11" hidden="1">#REF!</definedName>
    <definedName name="rádio" localSheetId="9" hidden="1">#REF!</definedName>
    <definedName name="rádio" hidden="1">#REF!</definedName>
    <definedName name="RADIO_SECUNDAGEM">'[4]Conversão-Mercha'!$B$241:$B$260</definedName>
    <definedName name="rb" localSheetId="12" hidden="1">#REF!</definedName>
    <definedName name="rb" localSheetId="10" hidden="1">#REF!</definedName>
    <definedName name="rb" hidden="1">#REF!</definedName>
    <definedName name="regb" localSheetId="12" hidden="1">#REF!</definedName>
    <definedName name="regb" localSheetId="10" hidden="1">#REF!</definedName>
    <definedName name="regb" hidden="1">#REF!</definedName>
    <definedName name="rev" localSheetId="0" hidden="1">#REF!</definedName>
    <definedName name="rev" localSheetId="12" hidden="1">#REF!</definedName>
    <definedName name="rev" localSheetId="10" hidden="1">#REF!</definedName>
    <definedName name="rev" localSheetId="11" hidden="1">#REF!</definedName>
    <definedName name="rev" localSheetId="9" hidden="1">#REF!</definedName>
    <definedName name="rev" hidden="1">#REF!</definedName>
    <definedName name="revisão" localSheetId="0" hidden="1">#REF!</definedName>
    <definedName name="revisão" localSheetId="12" hidden="1">#REF!</definedName>
    <definedName name="revisão" localSheetId="10" hidden="1">#REF!</definedName>
    <definedName name="revisão" localSheetId="11" hidden="1">#REF!</definedName>
    <definedName name="revisão" localSheetId="9" hidden="1">#REF!</definedName>
    <definedName name="revisão" hidden="1">#REF!</definedName>
    <definedName name="Revista" localSheetId="0" hidden="1">#REF!</definedName>
    <definedName name="Revista" localSheetId="12" hidden="1">#REF!</definedName>
    <definedName name="Revista" localSheetId="10" hidden="1">#REF!</definedName>
    <definedName name="Revista" localSheetId="11" hidden="1">#REF!</definedName>
    <definedName name="Revista" localSheetId="9" hidden="1">#REF!</definedName>
    <definedName name="Revista" hidden="1">#REF!</definedName>
    <definedName name="SA" localSheetId="12">#REF!</definedName>
    <definedName name="SA" localSheetId="10">#REF!</definedName>
    <definedName name="SA">#REF!</definedName>
    <definedName name="SAPBEXdnldView" hidden="1">"45AN0M0XM3X75HWY9J016QH9W"</definedName>
    <definedName name="SAPBEXsysID" hidden="1">"GWP"</definedName>
    <definedName name="SAT">'[4]base TV'!#REF!</definedName>
    <definedName name="Selecionar">'[4]Conversão-Mercha'!$D$58</definedName>
    <definedName name="sencount" hidden="1">1</definedName>
    <definedName name="serey" localSheetId="12" hidden="1">{#N/A,#N/A,FALSE,"TOTAL"}</definedName>
    <definedName name="serey" localSheetId="10" hidden="1">{#N/A,#N/A,FALSE,"TOTAL"}</definedName>
    <definedName name="serey" localSheetId="11" hidden="1">{#N/A,#N/A,FALSE,"TOTAL"}</definedName>
    <definedName name="serey" localSheetId="9" hidden="1">{#N/A,#N/A,FALSE,"TOTAL"}</definedName>
    <definedName name="serey" localSheetId="1" hidden="1">{#N/A,#N/A,FALSE,"TOTAL"}</definedName>
    <definedName name="serey" localSheetId="2" hidden="1">{#N/A,#N/A,FALSE,"TOTAL"}</definedName>
    <definedName name="serey" localSheetId="3" hidden="1">{#N/A,#N/A,FALSE,"TOTAL"}</definedName>
    <definedName name="serey" localSheetId="5" hidden="1">{#N/A,#N/A,FALSE,"TOTAL"}</definedName>
    <definedName name="serey" localSheetId="6" hidden="1">{#N/A,#N/A,FALSE,"TOTAL"}</definedName>
    <definedName name="serey" localSheetId="4" hidden="1">{#N/A,#N/A,FALSE,"TOTAL"}</definedName>
    <definedName name="serey" localSheetId="7" hidden="1">{#N/A,#N/A,FALSE,"TOTAL"}</definedName>
    <definedName name="serey" localSheetId="8" hidden="1">{#N/A,#N/A,FALSE,"TOTAL"}</definedName>
    <definedName name="serey" hidden="1">{#N/A,#N/A,FALSE,"TOTAL"}</definedName>
    <definedName name="sh" localSheetId="12" hidden="1">{#N/A,#N/A,FALSE,"TOTAL"}</definedName>
    <definedName name="sh" localSheetId="10" hidden="1">{#N/A,#N/A,FALSE,"TOTAL"}</definedName>
    <definedName name="sh" localSheetId="11" hidden="1">{#N/A,#N/A,FALSE,"TOTAL"}</definedName>
    <definedName name="sh" localSheetId="9" hidden="1">{#N/A,#N/A,FALSE,"TOTAL"}</definedName>
    <definedName name="sh" localSheetId="1" hidden="1">{#N/A,#N/A,FALSE,"TOTAL"}</definedName>
    <definedName name="sh" localSheetId="2" hidden="1">{#N/A,#N/A,FALSE,"TOTAL"}</definedName>
    <definedName name="sh" localSheetId="3" hidden="1">{#N/A,#N/A,FALSE,"TOTAL"}</definedName>
    <definedName name="sh" localSheetId="5" hidden="1">{#N/A,#N/A,FALSE,"TOTAL"}</definedName>
    <definedName name="sh" localSheetId="6" hidden="1">{#N/A,#N/A,FALSE,"TOTAL"}</definedName>
    <definedName name="sh" localSheetId="4" hidden="1">{#N/A,#N/A,FALSE,"TOTAL"}</definedName>
    <definedName name="sh" localSheetId="7" hidden="1">{#N/A,#N/A,FALSE,"TOTAL"}</definedName>
    <definedName name="sh" localSheetId="8" hidden="1">{#N/A,#N/A,FALSE,"TOTAL"}</definedName>
    <definedName name="sh" hidden="1">{#N/A,#N/A,FALSE,"TOTAL"}</definedName>
    <definedName name="slov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oft" localSheetId="12" hidden="1">{"det (May)",#N/A,FALSE,"June";"sum (MAY YTD)",#N/A,FALSE,"June YTD"}</definedName>
    <definedName name="Soft" localSheetId="10" hidden="1">{"det (May)",#N/A,FALSE,"June";"sum (MAY YTD)",#N/A,FALSE,"June YTD"}</definedName>
    <definedName name="Soft" localSheetId="11" hidden="1">{"det (May)",#N/A,FALSE,"June";"sum (MAY YTD)",#N/A,FALSE,"June YTD"}</definedName>
    <definedName name="Soft" localSheetId="9" hidden="1">{"det (May)",#N/A,FALSE,"June";"sum (MAY YTD)",#N/A,FALSE,"June YTD"}</definedName>
    <definedName name="Soft" localSheetId="1" hidden="1">{"det (May)",#N/A,FALSE,"June";"sum (MAY YTD)",#N/A,FALSE,"June YTD"}</definedName>
    <definedName name="Soft" localSheetId="2" hidden="1">{"det (May)",#N/A,FALSE,"June";"sum (MAY YTD)",#N/A,FALSE,"June YTD"}</definedName>
    <definedName name="Soft" localSheetId="3" hidden="1">{"det (May)",#N/A,FALSE,"June";"sum (MAY YTD)",#N/A,FALSE,"June YTD"}</definedName>
    <definedName name="Soft" localSheetId="5" hidden="1">{"det (May)",#N/A,FALSE,"June";"sum (MAY YTD)",#N/A,FALSE,"June YTD"}</definedName>
    <definedName name="Soft" localSheetId="6" hidden="1">{"det (May)",#N/A,FALSE,"June";"sum (MAY YTD)",#N/A,FALSE,"June YTD"}</definedName>
    <definedName name="Soft" localSheetId="4" hidden="1">{"det (May)",#N/A,FALSE,"June";"sum (MAY YTD)",#N/A,FALSE,"June YTD"}</definedName>
    <definedName name="Soft" localSheetId="7" hidden="1">{"det (May)",#N/A,FALSE,"June";"sum (MAY YTD)",#N/A,FALSE,"June YTD"}</definedName>
    <definedName name="Soft" localSheetId="8" hidden="1">{"det (May)",#N/A,FALSE,"June";"sum (MAY YTD)",#N/A,FALSE,"June YTD"}</definedName>
    <definedName name="Soft" hidden="1">{"det (May)",#N/A,FALSE,"June";"sum (MAY YTD)",#N/A,FALSE,"June YTD"}</definedName>
    <definedName name="sol" localSheetId="0" hidden="1">#REF!</definedName>
    <definedName name="sol" localSheetId="12" hidden="1">#REF!</definedName>
    <definedName name="sol" localSheetId="10" hidden="1">#REF!</definedName>
    <definedName name="sol" localSheetId="11" hidden="1">#REF!</definedName>
    <definedName name="sol" localSheetId="9" hidden="1">#REF!</definedName>
    <definedName name="sol" hidden="1">#REF!</definedName>
    <definedName name="stella" localSheetId="12" hidden="1">{"det (May)",#N/A,FALSE,"June";"sum (MAY YTD)",#N/A,FALSE,"June YTD"}</definedName>
    <definedName name="stella" localSheetId="10" hidden="1">{"det (May)",#N/A,FALSE,"June";"sum (MAY YTD)",#N/A,FALSE,"June YTD"}</definedName>
    <definedName name="stella" localSheetId="11" hidden="1">{"det (May)",#N/A,FALSE,"June";"sum (MAY YTD)",#N/A,FALSE,"June YTD"}</definedName>
    <definedName name="stella" localSheetId="9" hidden="1">{"det (May)",#N/A,FALSE,"June";"sum (MAY YTD)",#N/A,FALSE,"June YTD"}</definedName>
    <definedName name="stella" localSheetId="1" hidden="1">{"det (May)",#N/A,FALSE,"June";"sum (MAY YTD)",#N/A,FALSE,"June YTD"}</definedName>
    <definedName name="stella" localSheetId="2" hidden="1">{"det (May)",#N/A,FALSE,"June";"sum (MAY YTD)",#N/A,FALSE,"June YTD"}</definedName>
    <definedName name="stella" localSheetId="3" hidden="1">{"det (May)",#N/A,FALSE,"June";"sum (MAY YTD)",#N/A,FALSE,"June YTD"}</definedName>
    <definedName name="stella" localSheetId="5" hidden="1">{"det (May)",#N/A,FALSE,"June";"sum (MAY YTD)",#N/A,FALSE,"June YTD"}</definedName>
    <definedName name="stella" localSheetId="6" hidden="1">{"det (May)",#N/A,FALSE,"June";"sum (MAY YTD)",#N/A,FALSE,"June YTD"}</definedName>
    <definedName name="stella" localSheetId="4" hidden="1">{"det (May)",#N/A,FALSE,"June";"sum (MAY YTD)",#N/A,FALSE,"June YTD"}</definedName>
    <definedName name="stella" localSheetId="7" hidden="1">{"det (May)",#N/A,FALSE,"June";"sum (MAY YTD)",#N/A,FALSE,"June YTD"}</definedName>
    <definedName name="stella" localSheetId="8" hidden="1">{"det (May)",#N/A,FALSE,"June";"sum (MAY YTD)",#N/A,FALSE,"June YTD"}</definedName>
    <definedName name="stella" hidden="1">{"det (May)",#N/A,FALSE,"June";"sum (MAY YTD)",#N/A,FALSE,"June YTD"}</definedName>
    <definedName name="t" localSheetId="12" hidden="1">#REF!</definedName>
    <definedName name="t" localSheetId="10" hidden="1">#REF!</definedName>
    <definedName name="t" hidden="1">#REF!</definedName>
    <definedName name="tb" localSheetId="12" hidden="1">#REF!</definedName>
    <definedName name="tb" localSheetId="10" hidden="1">#REF!</definedName>
    <definedName name="tb" hidden="1">#REF!</definedName>
    <definedName name="teste" localSheetId="12">#REF!</definedName>
    <definedName name="teste" localSheetId="10">#REF!</definedName>
    <definedName name="teste">#REF!</definedName>
    <definedName name="tets" localSheetId="12" hidden="1">#REF!</definedName>
    <definedName name="tets" localSheetId="10" hidden="1">#REF!</definedName>
    <definedName name="tets" hidden="1">#REF!</definedName>
    <definedName name="text" localSheetId="12" hidden="1">#REF!</definedName>
    <definedName name="text" localSheetId="10" hidden="1">#REF!</definedName>
    <definedName name="text" hidden="1">#REF!</definedName>
    <definedName name="thtyht" localSheetId="12" hidden="1">#REF!</definedName>
    <definedName name="thtyht" localSheetId="10" hidden="1">#REF!</definedName>
    <definedName name="thtyht" hidden="1">#REF!</definedName>
    <definedName name="thyhh" localSheetId="12" hidden="1">#REF!</definedName>
    <definedName name="thyhh" localSheetId="10" hidden="1">#REF!</definedName>
    <definedName name="thyhh" hidden="1">#REF!</definedName>
    <definedName name="TOTAL" localSheetId="12">#REF!</definedName>
    <definedName name="TOTAL" localSheetId="10">#REF!</definedName>
    <definedName name="TOTAL">#REF!</definedName>
    <definedName name="TOTAL13" localSheetId="12">#REF!</definedName>
    <definedName name="TOTAL13" localSheetId="10">#REF!</definedName>
    <definedName name="TOTAL13">#REF!</definedName>
    <definedName name="TOTAL2" localSheetId="12">#REF!</definedName>
    <definedName name="TOTAL2" localSheetId="10">#REF!</definedName>
    <definedName name="TOTAL2">#REF!</definedName>
    <definedName name="TOTAL4" localSheetId="12">#REF!</definedName>
    <definedName name="TOTAL4" localSheetId="10">#REF!</definedName>
    <definedName name="TOTAL4">#REF!</definedName>
    <definedName name="TTT" localSheetId="0" hidden="1">#REF!</definedName>
    <definedName name="TTT" localSheetId="12" hidden="1">#REF!</definedName>
    <definedName name="TTT" localSheetId="10" hidden="1">#REF!</definedName>
    <definedName name="TTT" localSheetId="11" hidden="1">#REF!</definedName>
    <definedName name="TTT" localSheetId="9" hidden="1">#REF!</definedName>
    <definedName name="TTT" hidden="1">#REF!</definedName>
    <definedName name="tyb" localSheetId="12" hidden="1">#REF!</definedName>
    <definedName name="tyb" localSheetId="10" hidden="1">#REF!</definedName>
    <definedName name="tyb" hidden="1">#REF!</definedName>
    <definedName name="tyh" localSheetId="12" hidden="1">#REF!</definedName>
    <definedName name="tyh" localSheetId="10" hidden="1">#REF!</definedName>
    <definedName name="tyh" hidden="1">#REF!</definedName>
    <definedName name="tyhth" localSheetId="12" hidden="1">#REF!</definedName>
    <definedName name="tyhth" localSheetId="10" hidden="1">#REF!</definedName>
    <definedName name="tyhth" hidden="1">#REF!</definedName>
    <definedName name="UNI" localSheetId="0" hidden="1">#REF!</definedName>
    <definedName name="UNI" localSheetId="12" hidden="1">#REF!</definedName>
    <definedName name="UNI" localSheetId="10" hidden="1">#REF!</definedName>
    <definedName name="UNI" localSheetId="11" hidden="1">#REF!</definedName>
    <definedName name="UNI" localSheetId="9" hidden="1">#REF!</definedName>
    <definedName name="UNI" hidden="1">#REF!</definedName>
    <definedName name="v" localSheetId="12" hidden="1">#REF!</definedName>
    <definedName name="v" localSheetId="10" hidden="1">#REF!</definedName>
    <definedName name="v" hidden="1">#REF!</definedName>
    <definedName name="VERSION" localSheetId="12">#REF!</definedName>
    <definedName name="VERSION" localSheetId="10">#REF!</definedName>
    <definedName name="VERSION">#REF!</definedName>
    <definedName name="VERSIÓN" localSheetId="12">#REF!</definedName>
    <definedName name="VERSIÓN" localSheetId="10">#REF!</definedName>
    <definedName name="VERSIÓN">#REF!</definedName>
    <definedName name="vfvr" localSheetId="12" hidden="1">#REF!</definedName>
    <definedName name="vfvr" localSheetId="10" hidden="1">#REF!</definedName>
    <definedName name="vfvr" hidden="1">#REF!</definedName>
    <definedName name="vr" localSheetId="12" hidden="1">#REF!</definedName>
    <definedName name="vr" localSheetId="10" hidden="1">#REF!</definedName>
    <definedName name="vr" hidden="1">#REF!</definedName>
    <definedName name="WeekNumbers">#N/A</definedName>
    <definedName name="wrn.ALL." localSheetId="12" hidden="1">{#N/A,#N/A,FALSE,"DCF";#N/A,#N/A,FALSE,"WACC";#N/A,#N/A,FALSE,"Sales_EBIT";#N/A,#N/A,FALSE,"Capex_Depreciation";#N/A,#N/A,FALSE,"WC";#N/A,#N/A,FALSE,"Interest";#N/A,#N/A,FALSE,"Assumptions"}</definedName>
    <definedName name="wrn.ALL." localSheetId="10" hidden="1">{#N/A,#N/A,FALSE,"DCF";#N/A,#N/A,FALSE,"WACC";#N/A,#N/A,FALSE,"Sales_EBIT";#N/A,#N/A,FALSE,"Capex_Depreciation";#N/A,#N/A,FALSE,"WC";#N/A,#N/A,FALSE,"Interest";#N/A,#N/A,FALSE,"Assumptions"}</definedName>
    <definedName name="wrn.ALL." localSheetId="11" hidden="1">{#N/A,#N/A,FALSE,"DCF";#N/A,#N/A,FALSE,"WACC";#N/A,#N/A,FALSE,"Sales_EBIT";#N/A,#N/A,FALSE,"Capex_Depreciation";#N/A,#N/A,FALSE,"WC";#N/A,#N/A,FALSE,"Interest";#N/A,#N/A,FALSE,"Assumptions"}</definedName>
    <definedName name="wrn.ALL." localSheetId="9" hidden="1">{#N/A,#N/A,FALSE,"DCF";#N/A,#N/A,FALSE,"WACC";#N/A,#N/A,FALSE,"Sales_EBIT";#N/A,#N/A,FALSE,"Capex_Depreciation";#N/A,#N/A,FALSE,"WC";#N/A,#N/A,FALSE,"Interest";#N/A,#N/A,FALSE,"Assumptions"}</definedName>
    <definedName name="wrn.ALL." localSheetId="1" hidden="1">{#N/A,#N/A,FALSE,"DCF";#N/A,#N/A,FALSE,"WACC";#N/A,#N/A,FALSE,"Sales_EBIT";#N/A,#N/A,FALSE,"Capex_Depreciation";#N/A,#N/A,FALSE,"WC";#N/A,#N/A,FALSE,"Interest";#N/A,#N/A,FALSE,"Assumptions"}</definedName>
    <definedName name="wrn.ALL." localSheetId="2" hidden="1">{#N/A,#N/A,FALSE,"DCF";#N/A,#N/A,FALSE,"WACC";#N/A,#N/A,FALSE,"Sales_EBIT";#N/A,#N/A,FALSE,"Capex_Depreciation";#N/A,#N/A,FALSE,"WC";#N/A,#N/A,FALSE,"Interest";#N/A,#N/A,FALSE,"Assumptions"}</definedName>
    <definedName name="wrn.ALL." localSheetId="3" hidden="1">{#N/A,#N/A,FALSE,"DCF";#N/A,#N/A,FALSE,"WACC";#N/A,#N/A,FALSE,"Sales_EBIT";#N/A,#N/A,FALSE,"Capex_Depreciation";#N/A,#N/A,FALSE,"WC";#N/A,#N/A,FALSE,"Interest";#N/A,#N/A,FALSE,"Assumptions"}</definedName>
    <definedName name="wrn.ALL." localSheetId="5" hidden="1">{#N/A,#N/A,FALSE,"DCF";#N/A,#N/A,FALSE,"WACC";#N/A,#N/A,FALSE,"Sales_EBIT";#N/A,#N/A,FALSE,"Capex_Depreciation";#N/A,#N/A,FALSE,"WC";#N/A,#N/A,FALSE,"Interest";#N/A,#N/A,FALSE,"Assumptions"}</definedName>
    <definedName name="wrn.ALL." localSheetId="6" hidden="1">{#N/A,#N/A,FALSE,"DCF";#N/A,#N/A,FALSE,"WACC";#N/A,#N/A,FALSE,"Sales_EBIT";#N/A,#N/A,FALSE,"Capex_Depreciation";#N/A,#N/A,FALSE,"WC";#N/A,#N/A,FALSE,"Interest";#N/A,#N/A,FALSE,"Assumptions"}</definedName>
    <definedName name="wrn.ALL." localSheetId="4" hidden="1">{#N/A,#N/A,FALSE,"DCF";#N/A,#N/A,FALSE,"WACC";#N/A,#N/A,FALSE,"Sales_EBIT";#N/A,#N/A,FALSE,"Capex_Depreciation";#N/A,#N/A,FALSE,"WC";#N/A,#N/A,FALSE,"Interest";#N/A,#N/A,FALSE,"Assumptions"}</definedName>
    <definedName name="wrn.ALL." localSheetId="7" hidden="1">{#N/A,#N/A,FALSE,"DCF";#N/A,#N/A,FALSE,"WACC";#N/A,#N/A,FALSE,"Sales_EBIT";#N/A,#N/A,FALSE,"Capex_Depreciation";#N/A,#N/A,FALSE,"WC";#N/A,#N/A,FALSE,"Interest";#N/A,#N/A,FALSE,"Assumptions"}</definedName>
    <definedName name="wrn.ALL." localSheetId="8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ug" localSheetId="12" hidden="1">{"det (May)",#N/A,FALSE,"June";"sum (MAY YTD)",#N/A,FALSE,"June YTD"}</definedName>
    <definedName name="wrn.aug" localSheetId="10" hidden="1">{"det (May)",#N/A,FALSE,"June";"sum (MAY YTD)",#N/A,FALSE,"June YTD"}</definedName>
    <definedName name="wrn.aug" localSheetId="11" hidden="1">{"det (May)",#N/A,FALSE,"June";"sum (MAY YTD)",#N/A,FALSE,"June YTD"}</definedName>
    <definedName name="wrn.aug" localSheetId="9" hidden="1">{"det (May)",#N/A,FALSE,"June";"sum (MAY YTD)",#N/A,FALSE,"June YTD"}</definedName>
    <definedName name="wrn.aug" localSheetId="1" hidden="1">{"det (May)",#N/A,FALSE,"June";"sum (MAY YTD)",#N/A,FALSE,"June YTD"}</definedName>
    <definedName name="wrn.aug" localSheetId="2" hidden="1">{"det (May)",#N/A,FALSE,"June";"sum (MAY YTD)",#N/A,FALSE,"June YTD"}</definedName>
    <definedName name="wrn.aug" localSheetId="3" hidden="1">{"det (May)",#N/A,FALSE,"June";"sum (MAY YTD)",#N/A,FALSE,"June YTD"}</definedName>
    <definedName name="wrn.aug" localSheetId="5" hidden="1">{"det (May)",#N/A,FALSE,"June";"sum (MAY YTD)",#N/A,FALSE,"June YTD"}</definedName>
    <definedName name="wrn.aug" localSheetId="6" hidden="1">{"det (May)",#N/A,FALSE,"June";"sum (MAY YTD)",#N/A,FALSE,"June YTD"}</definedName>
    <definedName name="wrn.aug" localSheetId="4" hidden="1">{"det (May)",#N/A,FALSE,"June";"sum (MAY YTD)",#N/A,FALSE,"June YTD"}</definedName>
    <definedName name="wrn.aug" localSheetId="7" hidden="1">{"det (May)",#N/A,FALSE,"June";"sum (MAY YTD)",#N/A,FALSE,"June YTD"}</definedName>
    <definedName name="wrn.aug" localSheetId="8" hidden="1">{"det (May)",#N/A,FALSE,"June";"sum (MAY YTD)",#N/A,FALSE,"June YTD"}</definedName>
    <definedName name="wrn.aug" hidden="1">{"det (May)",#N/A,FALSE,"June";"sum (MAY YTD)",#N/A,FALSE,"June YTD"}</definedName>
    <definedName name="wrn.augyt" localSheetId="12" hidden="1">{"det (May)",#N/A,FALSE,"June";"sum (MAY YTD)",#N/A,FALSE,"June YTD"}</definedName>
    <definedName name="wrn.augyt" localSheetId="10" hidden="1">{"det (May)",#N/A,FALSE,"June";"sum (MAY YTD)",#N/A,FALSE,"June YTD"}</definedName>
    <definedName name="wrn.augyt" localSheetId="11" hidden="1">{"det (May)",#N/A,FALSE,"June";"sum (MAY YTD)",#N/A,FALSE,"June YTD"}</definedName>
    <definedName name="wrn.augyt" localSheetId="9" hidden="1">{"det (May)",#N/A,FALSE,"June";"sum (MAY YTD)",#N/A,FALSE,"June YTD"}</definedName>
    <definedName name="wrn.augyt" localSheetId="1" hidden="1">{"det (May)",#N/A,FALSE,"June";"sum (MAY YTD)",#N/A,FALSE,"June YTD"}</definedName>
    <definedName name="wrn.augyt" localSheetId="2" hidden="1">{"det (May)",#N/A,FALSE,"June";"sum (MAY YTD)",#N/A,FALSE,"June YTD"}</definedName>
    <definedName name="wrn.augyt" localSheetId="3" hidden="1">{"det (May)",#N/A,FALSE,"June";"sum (MAY YTD)",#N/A,FALSE,"June YTD"}</definedName>
    <definedName name="wrn.augyt" localSheetId="5" hidden="1">{"det (May)",#N/A,FALSE,"June";"sum (MAY YTD)",#N/A,FALSE,"June YTD"}</definedName>
    <definedName name="wrn.augyt" localSheetId="6" hidden="1">{"det (May)",#N/A,FALSE,"June";"sum (MAY YTD)",#N/A,FALSE,"June YTD"}</definedName>
    <definedName name="wrn.augyt" localSheetId="4" hidden="1">{"det (May)",#N/A,FALSE,"June";"sum (MAY YTD)",#N/A,FALSE,"June YTD"}</definedName>
    <definedName name="wrn.augyt" localSheetId="7" hidden="1">{"det (May)",#N/A,FALSE,"June";"sum (MAY YTD)",#N/A,FALSE,"June YTD"}</definedName>
    <definedName name="wrn.augyt" localSheetId="8" hidden="1">{"det (May)",#N/A,FALSE,"June";"sum (MAY YTD)",#N/A,FALSE,"June YTD"}</definedName>
    <definedName name="wrn.augyt" hidden="1">{"det (May)",#N/A,FALSE,"June";"sum (MAY YTD)",#N/A,FALSE,"June YTD"}</definedName>
    <definedName name="wrn.augYTD" localSheetId="12" hidden="1">{"det (May)",#N/A,FALSE,"June";"sum (MAY YTD)",#N/A,FALSE,"June YTD"}</definedName>
    <definedName name="wrn.augYTD" localSheetId="10" hidden="1">{"det (May)",#N/A,FALSE,"June";"sum (MAY YTD)",#N/A,FALSE,"June YTD"}</definedName>
    <definedName name="wrn.augYTD" localSheetId="11" hidden="1">{"det (May)",#N/A,FALSE,"June";"sum (MAY YTD)",#N/A,FALSE,"June YTD"}</definedName>
    <definedName name="wrn.augYTD" localSheetId="9" hidden="1">{"det (May)",#N/A,FALSE,"June";"sum (MAY YTD)",#N/A,FALSE,"June YTD"}</definedName>
    <definedName name="wrn.augYTD" localSheetId="1" hidden="1">{"det (May)",#N/A,FALSE,"June";"sum (MAY YTD)",#N/A,FALSE,"June YTD"}</definedName>
    <definedName name="wrn.augYTD" localSheetId="2" hidden="1">{"det (May)",#N/A,FALSE,"June";"sum (MAY YTD)",#N/A,FALSE,"June YTD"}</definedName>
    <definedName name="wrn.augYTD" localSheetId="3" hidden="1">{"det (May)",#N/A,FALSE,"June";"sum (MAY YTD)",#N/A,FALSE,"June YTD"}</definedName>
    <definedName name="wrn.augYTD" localSheetId="5" hidden="1">{"det (May)",#N/A,FALSE,"June";"sum (MAY YTD)",#N/A,FALSE,"June YTD"}</definedName>
    <definedName name="wrn.augYTD" localSheetId="6" hidden="1">{"det (May)",#N/A,FALSE,"June";"sum (MAY YTD)",#N/A,FALSE,"June YTD"}</definedName>
    <definedName name="wrn.augYTD" localSheetId="4" hidden="1">{"det (May)",#N/A,FALSE,"June";"sum (MAY YTD)",#N/A,FALSE,"June YTD"}</definedName>
    <definedName name="wrn.augYTD" localSheetId="7" hidden="1">{"det (May)",#N/A,FALSE,"June";"sum (MAY YTD)",#N/A,FALSE,"June YTD"}</definedName>
    <definedName name="wrn.augYTD" localSheetId="8" hidden="1">{"det (May)",#N/A,FALSE,"June";"sum (MAY YTD)",#N/A,FALSE,"June YTD"}</definedName>
    <definedName name="wrn.augYTD" hidden="1">{"det (May)",#N/A,FALSE,"June";"sum (MAY YTD)",#N/A,FALSE,"June YTD"}</definedName>
    <definedName name="wrn.brol.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DCFEpervier." localSheetId="1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9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5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6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7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8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HOR._.ESTAÇÕES._.L._.2._.até._.JUN98." localSheetId="12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10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1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2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6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4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8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1._.até._.JUN98." localSheetId="12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10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1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2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6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4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8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ut98." localSheetId="12" hidden="1">{"1DhPgAbs",#N/A,FALSE,"dHora";"2DhPgPerc",#N/A,FALSE,"dHora";"3DhPgAbsAcum",#N/A,FALSE,"dHora"}</definedName>
    <definedName name="wrn.DhOut98." localSheetId="10" hidden="1">{"1DhPgAbs",#N/A,FALSE,"dHora";"2DhPgPerc",#N/A,FALSE,"dHora";"3DhPgAbsAcum",#N/A,FALSE,"dHora"}</definedName>
    <definedName name="wrn.DhOut98." localSheetId="11" hidden="1">{"1DhPgAbs",#N/A,FALSE,"dHora";"2DhPgPerc",#N/A,FALSE,"dHora";"3DhPgAbsAcum",#N/A,FALSE,"dHora"}</definedName>
    <definedName name="wrn.DhOut98." localSheetId="9" hidden="1">{"1DhPgAbs",#N/A,FALSE,"dHora";"2DhPgPerc",#N/A,FALSE,"dHora";"3DhPgAbsAcum",#N/A,FALSE,"dHora"}</definedName>
    <definedName name="wrn.DhOut98." localSheetId="1" hidden="1">{"1DhPgAbs",#N/A,FALSE,"dHora";"2DhPgPerc",#N/A,FALSE,"dHora";"3DhPgAbsAcum",#N/A,FALSE,"dHora"}</definedName>
    <definedName name="wrn.DhOut98." localSheetId="2" hidden="1">{"1DhPgAbs",#N/A,FALSE,"dHora";"2DhPgPerc",#N/A,FALSE,"dHora";"3DhPgAbsAcum",#N/A,FALSE,"dHora"}</definedName>
    <definedName name="wrn.DhOut98." localSheetId="3" hidden="1">{"1DhPgAbs",#N/A,FALSE,"dHora";"2DhPgPerc",#N/A,FALSE,"dHora";"3DhPgAbsAcum",#N/A,FALSE,"dHora"}</definedName>
    <definedName name="wrn.DhOut98." localSheetId="5" hidden="1">{"1DhPgAbs",#N/A,FALSE,"dHora";"2DhPgPerc",#N/A,FALSE,"dHora";"3DhPgAbsAcum",#N/A,FALSE,"dHora"}</definedName>
    <definedName name="wrn.DhOut98." localSheetId="6" hidden="1">{"1DhPgAbs",#N/A,FALSE,"dHora";"2DhPgPerc",#N/A,FALSE,"dHora";"3DhPgAbsAcum",#N/A,FALSE,"dHora"}</definedName>
    <definedName name="wrn.DhOut98." localSheetId="4" hidden="1">{"1DhPgAbs",#N/A,FALSE,"dHora";"2DhPgPerc",#N/A,FALSE,"dHora";"3DhPgAbsAcum",#N/A,FALSE,"dHora"}</definedName>
    <definedName name="wrn.DhOut98." localSheetId="7" hidden="1">{"1DhPgAbs",#N/A,FALSE,"dHora";"2DhPgPerc",#N/A,FALSE,"dHora";"3DhPgAbsAcum",#N/A,FALSE,"dHora"}</definedName>
    <definedName name="wrn.DhOut98." localSheetId="8" hidden="1">{"1DhPgAbs",#N/A,FALSE,"dHora";"2DhPgPerc",#N/A,FALSE,"dHora";"3DhPgAbsAcum",#N/A,FALSE,"dHora"}</definedName>
    <definedName name="wrn.DhOut98." hidden="1">{"1DhPgAbs",#N/A,FALSE,"dHora";"2DhPgPerc",#N/A,FALSE,"dHora";"3DhPgAbsAcum",#N/A,FALSE,"dHora"}</definedName>
    <definedName name="wrn.June." localSheetId="12" hidden="1">{"det (May)",#N/A,FALSE,"June";"sum (MAY YTD)",#N/A,FALSE,"June YTD"}</definedName>
    <definedName name="wrn.June." localSheetId="10" hidden="1">{"det (May)",#N/A,FALSE,"June";"sum (MAY YTD)",#N/A,FALSE,"June YTD"}</definedName>
    <definedName name="wrn.June." localSheetId="11" hidden="1">{"det (May)",#N/A,FALSE,"June";"sum (MAY YTD)",#N/A,FALSE,"June YTD"}</definedName>
    <definedName name="wrn.June." localSheetId="9" hidden="1">{"det (May)",#N/A,FALSE,"June";"sum (MAY YTD)",#N/A,FALSE,"June YTD"}</definedName>
    <definedName name="wrn.June." localSheetId="1" hidden="1">{"det (May)",#N/A,FALSE,"June";"sum (MAY YTD)",#N/A,FALSE,"June YTD"}</definedName>
    <definedName name="wrn.June." localSheetId="2" hidden="1">{"det (May)",#N/A,FALSE,"June";"sum (MAY YTD)",#N/A,FALSE,"June YTD"}</definedName>
    <definedName name="wrn.June." localSheetId="3" hidden="1">{"det (May)",#N/A,FALSE,"June";"sum (MAY YTD)",#N/A,FALSE,"June YTD"}</definedName>
    <definedName name="wrn.June." localSheetId="5" hidden="1">{"det (May)",#N/A,FALSE,"June";"sum (MAY YTD)",#N/A,FALSE,"June YTD"}</definedName>
    <definedName name="wrn.June." localSheetId="6" hidden="1">{"det (May)",#N/A,FALSE,"June";"sum (MAY YTD)",#N/A,FALSE,"June YTD"}</definedName>
    <definedName name="wrn.June." localSheetId="4" hidden="1">{"det (May)",#N/A,FALSE,"June";"sum (MAY YTD)",#N/A,FALSE,"June YTD"}</definedName>
    <definedName name="wrn.June." localSheetId="7" hidden="1">{"det (May)",#N/A,FALSE,"June";"sum (MAY YTD)",#N/A,FALSE,"June YTD"}</definedName>
    <definedName name="wrn.June." localSheetId="8" hidden="1">{"det (May)",#N/A,FALSE,"June";"sum (MAY YTD)",#N/A,FALSE,"June YTD"}</definedName>
    <definedName name="wrn.June." hidden="1">{"det (May)",#N/A,FALSE,"June";"sum (MAY YTD)",#N/A,FALSE,"June YTD"}</definedName>
    <definedName name="wrn.total.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1.aug" localSheetId="12" hidden="1">{"det (May)",#N/A,FALSE,"June";"sum (MAY YTD)",#N/A,FALSE,"June YTD"}</definedName>
    <definedName name="wrn1.aug" localSheetId="10" hidden="1">{"det (May)",#N/A,FALSE,"June";"sum (MAY YTD)",#N/A,FALSE,"June YTD"}</definedName>
    <definedName name="wrn1.aug" localSheetId="11" hidden="1">{"det (May)",#N/A,FALSE,"June";"sum (MAY YTD)",#N/A,FALSE,"June YTD"}</definedName>
    <definedName name="wrn1.aug" localSheetId="9" hidden="1">{"det (May)",#N/A,FALSE,"June";"sum (MAY YTD)",#N/A,FALSE,"June YTD"}</definedName>
    <definedName name="wrn1.aug" localSheetId="1" hidden="1">{"det (May)",#N/A,FALSE,"June";"sum (MAY YTD)",#N/A,FALSE,"June YTD"}</definedName>
    <definedName name="wrn1.aug" localSheetId="2" hidden="1">{"det (May)",#N/A,FALSE,"June";"sum (MAY YTD)",#N/A,FALSE,"June YTD"}</definedName>
    <definedName name="wrn1.aug" localSheetId="3" hidden="1">{"det (May)",#N/A,FALSE,"June";"sum (MAY YTD)",#N/A,FALSE,"June YTD"}</definedName>
    <definedName name="wrn1.aug" localSheetId="5" hidden="1">{"det (May)",#N/A,FALSE,"June";"sum (MAY YTD)",#N/A,FALSE,"June YTD"}</definedName>
    <definedName name="wrn1.aug" localSheetId="6" hidden="1">{"det (May)",#N/A,FALSE,"June";"sum (MAY YTD)",#N/A,FALSE,"June YTD"}</definedName>
    <definedName name="wrn1.aug" localSheetId="4" hidden="1">{"det (May)",#N/A,FALSE,"June";"sum (MAY YTD)",#N/A,FALSE,"June YTD"}</definedName>
    <definedName name="wrn1.aug" localSheetId="7" hidden="1">{"det (May)",#N/A,FALSE,"June";"sum (MAY YTD)",#N/A,FALSE,"June YTD"}</definedName>
    <definedName name="wrn1.aug" localSheetId="8" hidden="1">{"det (May)",#N/A,FALSE,"June";"sum (MAY YTD)",#N/A,FALSE,"June YTD"}</definedName>
    <definedName name="wrn1.aug" hidden="1">{"det (May)",#N/A,FALSE,"June";"sum (MAY YTD)",#N/A,FALSE,"June YTD"}</definedName>
    <definedName name="wrn1.augtyd" localSheetId="12" hidden="1">{"det (May)",#N/A,FALSE,"June";"sum (MAY YTD)",#N/A,FALSE,"June YTD"}</definedName>
    <definedName name="wrn1.augtyd" localSheetId="10" hidden="1">{"det (May)",#N/A,FALSE,"June";"sum (MAY YTD)",#N/A,FALSE,"June YTD"}</definedName>
    <definedName name="wrn1.augtyd" localSheetId="11" hidden="1">{"det (May)",#N/A,FALSE,"June";"sum (MAY YTD)",#N/A,FALSE,"June YTD"}</definedName>
    <definedName name="wrn1.augtyd" localSheetId="9" hidden="1">{"det (May)",#N/A,FALSE,"June";"sum (MAY YTD)",#N/A,FALSE,"June YTD"}</definedName>
    <definedName name="wrn1.augtyd" localSheetId="1" hidden="1">{"det (May)",#N/A,FALSE,"June";"sum (MAY YTD)",#N/A,FALSE,"June YTD"}</definedName>
    <definedName name="wrn1.augtyd" localSheetId="2" hidden="1">{"det (May)",#N/A,FALSE,"June";"sum (MAY YTD)",#N/A,FALSE,"June YTD"}</definedName>
    <definedName name="wrn1.augtyd" localSheetId="3" hidden="1">{"det (May)",#N/A,FALSE,"June";"sum (MAY YTD)",#N/A,FALSE,"June YTD"}</definedName>
    <definedName name="wrn1.augtyd" localSheetId="5" hidden="1">{"det (May)",#N/A,FALSE,"June";"sum (MAY YTD)",#N/A,FALSE,"June YTD"}</definedName>
    <definedName name="wrn1.augtyd" localSheetId="6" hidden="1">{"det (May)",#N/A,FALSE,"June";"sum (MAY YTD)",#N/A,FALSE,"June YTD"}</definedName>
    <definedName name="wrn1.augtyd" localSheetId="4" hidden="1">{"det (May)",#N/A,FALSE,"June";"sum (MAY YTD)",#N/A,FALSE,"June YTD"}</definedName>
    <definedName name="wrn1.augtyd" localSheetId="7" hidden="1">{"det (May)",#N/A,FALSE,"June";"sum (MAY YTD)",#N/A,FALSE,"June YTD"}</definedName>
    <definedName name="wrn1.augtyd" localSheetId="8" hidden="1">{"det (May)",#N/A,FALSE,"June";"sum (MAY YTD)",#N/A,FALSE,"June YTD"}</definedName>
    <definedName name="wrn1.augtyd" hidden="1">{"det (May)",#N/A,FALSE,"June";"sum (MAY YTD)",#N/A,FALSE,"June YTD"}</definedName>
    <definedName name="wrn1.augyt" localSheetId="12" hidden="1">{"det (May)",#N/A,FALSE,"June";"sum (MAY YTD)",#N/A,FALSE,"June YTD"}</definedName>
    <definedName name="wrn1.augyt" localSheetId="10" hidden="1">{"det (May)",#N/A,FALSE,"June";"sum (MAY YTD)",#N/A,FALSE,"June YTD"}</definedName>
    <definedName name="wrn1.augyt" localSheetId="11" hidden="1">{"det (May)",#N/A,FALSE,"June";"sum (MAY YTD)",#N/A,FALSE,"June YTD"}</definedName>
    <definedName name="wrn1.augyt" localSheetId="9" hidden="1">{"det (May)",#N/A,FALSE,"June";"sum (MAY YTD)",#N/A,FALSE,"June YTD"}</definedName>
    <definedName name="wrn1.augyt" localSheetId="1" hidden="1">{"det (May)",#N/A,FALSE,"June";"sum (MAY YTD)",#N/A,FALSE,"June YTD"}</definedName>
    <definedName name="wrn1.augyt" localSheetId="2" hidden="1">{"det (May)",#N/A,FALSE,"June";"sum (MAY YTD)",#N/A,FALSE,"June YTD"}</definedName>
    <definedName name="wrn1.augyt" localSheetId="3" hidden="1">{"det (May)",#N/A,FALSE,"June";"sum (MAY YTD)",#N/A,FALSE,"June YTD"}</definedName>
    <definedName name="wrn1.augyt" localSheetId="5" hidden="1">{"det (May)",#N/A,FALSE,"June";"sum (MAY YTD)",#N/A,FALSE,"June YTD"}</definedName>
    <definedName name="wrn1.augyt" localSheetId="6" hidden="1">{"det (May)",#N/A,FALSE,"June";"sum (MAY YTD)",#N/A,FALSE,"June YTD"}</definedName>
    <definedName name="wrn1.augyt" localSheetId="4" hidden="1">{"det (May)",#N/A,FALSE,"June";"sum (MAY YTD)",#N/A,FALSE,"June YTD"}</definedName>
    <definedName name="wrn1.augyt" localSheetId="7" hidden="1">{"det (May)",#N/A,FALSE,"June";"sum (MAY YTD)",#N/A,FALSE,"June YTD"}</definedName>
    <definedName name="wrn1.augyt" localSheetId="8" hidden="1">{"det (May)",#N/A,FALSE,"June";"sum (MAY YTD)",#N/A,FALSE,"June YTD"}</definedName>
    <definedName name="wrn1.augyt" hidden="1">{"det (May)",#N/A,FALSE,"June";"sum (MAY YTD)",#N/A,FALSE,"June YTD"}</definedName>
    <definedName name="wrn1.brol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12" hidden="1">{"det (May)",#N/A,FALSE,"June";"sum (MAY YTD)",#N/A,FALSE,"June YTD"}</definedName>
    <definedName name="wrn1.june" localSheetId="10" hidden="1">{"det (May)",#N/A,FALSE,"June";"sum (MAY YTD)",#N/A,FALSE,"June YTD"}</definedName>
    <definedName name="wrn1.june" localSheetId="11" hidden="1">{"det (May)",#N/A,FALSE,"June";"sum (MAY YTD)",#N/A,FALSE,"June YTD"}</definedName>
    <definedName name="wrn1.june" localSheetId="9" hidden="1">{"det (May)",#N/A,FALSE,"June";"sum (MAY YTD)",#N/A,FALSE,"June YTD"}</definedName>
    <definedName name="wrn1.june" localSheetId="1" hidden="1">{"det (May)",#N/A,FALSE,"June";"sum (MAY YTD)",#N/A,FALSE,"June YTD"}</definedName>
    <definedName name="wrn1.june" localSheetId="2" hidden="1">{"det (May)",#N/A,FALSE,"June";"sum (MAY YTD)",#N/A,FALSE,"June YTD"}</definedName>
    <definedName name="wrn1.june" localSheetId="3" hidden="1">{"det (May)",#N/A,FALSE,"June";"sum (MAY YTD)",#N/A,FALSE,"June YTD"}</definedName>
    <definedName name="wrn1.june" localSheetId="5" hidden="1">{"det (May)",#N/A,FALSE,"June";"sum (MAY YTD)",#N/A,FALSE,"June YTD"}</definedName>
    <definedName name="wrn1.june" localSheetId="6" hidden="1">{"det (May)",#N/A,FALSE,"June";"sum (MAY YTD)",#N/A,FALSE,"June YTD"}</definedName>
    <definedName name="wrn1.june" localSheetId="4" hidden="1">{"det (May)",#N/A,FALSE,"June";"sum (MAY YTD)",#N/A,FALSE,"June YTD"}</definedName>
    <definedName name="wrn1.june" localSheetId="7" hidden="1">{"det (May)",#N/A,FALSE,"June";"sum (MAY YTD)",#N/A,FALSE,"June YTD"}</definedName>
    <definedName name="wrn1.june" localSheetId="8" hidden="1">{"det (May)",#N/A,FALSE,"June";"sum (MAY YTD)",#N/A,FALSE,"June YTD"}</definedName>
    <definedName name="wrn1.june" hidden="1">{"det (May)",#N/A,FALSE,"June";"sum (MAY YTD)",#N/A,FALSE,"June YTD"}</definedName>
    <definedName name="wrn2.brol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localSheetId="12" hidden="1">{"det (May)",#N/A,FALSE,"June";"sum (MAY YTD)",#N/A,FALSE,"June YTD"}</definedName>
    <definedName name="wrn2.june" localSheetId="10" hidden="1">{"det (May)",#N/A,FALSE,"June";"sum (MAY YTD)",#N/A,FALSE,"June YTD"}</definedName>
    <definedName name="wrn2.june" localSheetId="11" hidden="1">{"det (May)",#N/A,FALSE,"June";"sum (MAY YTD)",#N/A,FALSE,"June YTD"}</definedName>
    <definedName name="wrn2.june" localSheetId="9" hidden="1">{"det (May)",#N/A,FALSE,"June";"sum (MAY YTD)",#N/A,FALSE,"June YTD"}</definedName>
    <definedName name="wrn2.june" localSheetId="1" hidden="1">{"det (May)",#N/A,FALSE,"June";"sum (MAY YTD)",#N/A,FALSE,"June YTD"}</definedName>
    <definedName name="wrn2.june" localSheetId="2" hidden="1">{"det (May)",#N/A,FALSE,"June";"sum (MAY YTD)",#N/A,FALSE,"June YTD"}</definedName>
    <definedName name="wrn2.june" localSheetId="3" hidden="1">{"det (May)",#N/A,FALSE,"June";"sum (MAY YTD)",#N/A,FALSE,"June YTD"}</definedName>
    <definedName name="wrn2.june" localSheetId="5" hidden="1">{"det (May)",#N/A,FALSE,"June";"sum (MAY YTD)",#N/A,FALSE,"June YTD"}</definedName>
    <definedName name="wrn2.june" localSheetId="6" hidden="1">{"det (May)",#N/A,FALSE,"June";"sum (MAY YTD)",#N/A,FALSE,"June YTD"}</definedName>
    <definedName name="wrn2.june" localSheetId="4" hidden="1">{"det (May)",#N/A,FALSE,"June";"sum (MAY YTD)",#N/A,FALSE,"June YTD"}</definedName>
    <definedName name="wrn2.june" localSheetId="7" hidden="1">{"det (May)",#N/A,FALSE,"June";"sum (MAY YTD)",#N/A,FALSE,"June YTD"}</definedName>
    <definedName name="wrn2.june" localSheetId="8" hidden="1">{"det (May)",#N/A,FALSE,"June";"sum (MAY YTD)",#N/A,FALSE,"June YTD"}</definedName>
    <definedName name="wrn2.june" hidden="1">{"det (May)",#N/A,FALSE,"June";"sum (MAY YTD)",#N/A,FALSE,"June YTD"}</definedName>
    <definedName name="xxx" localSheetId="0" hidden="1">#REF!</definedName>
    <definedName name="xxx" localSheetId="12" hidden="1">#REF!</definedName>
    <definedName name="xxx" localSheetId="10" hidden="1">#REF!</definedName>
    <definedName name="xxx" localSheetId="11" hidden="1">#REF!</definedName>
    <definedName name="xxx" localSheetId="9" hidden="1">#REF!</definedName>
    <definedName name="xxx" hidden="1">#REF!</definedName>
    <definedName name="yhbhb" localSheetId="12" hidden="1">#REF!</definedName>
    <definedName name="yhbhb" localSheetId="10" hidden="1">#REF!</definedName>
    <definedName name="yhbhb" hidden="1">#REF!</definedName>
    <definedName name="zeljka" localSheetId="12" hidden="1">{"det (May)",#N/A,FALSE,"June";"sum (MAY YTD)",#N/A,FALSE,"June YTD"}</definedName>
    <definedName name="zeljka" localSheetId="10" hidden="1">{"det (May)",#N/A,FALSE,"June";"sum (MAY YTD)",#N/A,FALSE,"June YTD"}</definedName>
    <definedName name="zeljka" localSheetId="11" hidden="1">{"det (May)",#N/A,FALSE,"June";"sum (MAY YTD)",#N/A,FALSE,"June YTD"}</definedName>
    <definedName name="zeljka" localSheetId="9" hidden="1">{"det (May)",#N/A,FALSE,"June";"sum (MAY YTD)",#N/A,FALSE,"June YTD"}</definedName>
    <definedName name="zeljka" localSheetId="1" hidden="1">{"det (May)",#N/A,FALSE,"June";"sum (MAY YTD)",#N/A,FALSE,"June YTD"}</definedName>
    <definedName name="zeljka" localSheetId="2" hidden="1">{"det (May)",#N/A,FALSE,"June";"sum (MAY YTD)",#N/A,FALSE,"June YTD"}</definedName>
    <definedName name="zeljka" localSheetId="3" hidden="1">{"det (May)",#N/A,FALSE,"June";"sum (MAY YTD)",#N/A,FALSE,"June YTD"}</definedName>
    <definedName name="zeljka" localSheetId="5" hidden="1">{"det (May)",#N/A,FALSE,"June";"sum (MAY YTD)",#N/A,FALSE,"June YTD"}</definedName>
    <definedName name="zeljka" localSheetId="6" hidden="1">{"det (May)",#N/A,FALSE,"June";"sum (MAY YTD)",#N/A,FALSE,"June YTD"}</definedName>
    <definedName name="zeljka" localSheetId="4" hidden="1">{"det (May)",#N/A,FALSE,"June";"sum (MAY YTD)",#N/A,FALSE,"June YTD"}</definedName>
    <definedName name="zeljka" localSheetId="7" hidden="1">{"det (May)",#N/A,FALSE,"June";"sum (MAY YTD)",#N/A,FALSE,"June YTD"}</definedName>
    <definedName name="zeljka" localSheetId="8" hidden="1">{"det (May)",#N/A,FALSE,"June";"sum (MAY YTD)",#N/A,FALSE,"June YTD"}</definedName>
    <definedName name="zeljka" hidden="1">{"det (May)",#N/A,FALSE,"June";"sum (MAY YTD)",#N/A,FALSE,"June YTD"}</definedName>
    <definedName name="zeljka1" localSheetId="12" hidden="1">{"det (May)",#N/A,FALSE,"June";"sum (MAY YTD)",#N/A,FALSE,"June YTD"}</definedName>
    <definedName name="zeljka1" localSheetId="10" hidden="1">{"det (May)",#N/A,FALSE,"June";"sum (MAY YTD)",#N/A,FALSE,"June YTD"}</definedName>
    <definedName name="zeljka1" localSheetId="11" hidden="1">{"det (May)",#N/A,FALSE,"June";"sum (MAY YTD)",#N/A,FALSE,"June YTD"}</definedName>
    <definedName name="zeljka1" localSheetId="9" hidden="1">{"det (May)",#N/A,FALSE,"June";"sum (MAY YTD)",#N/A,FALSE,"June YTD"}</definedName>
    <definedName name="zeljka1" localSheetId="1" hidden="1">{"det (May)",#N/A,FALSE,"June";"sum (MAY YTD)",#N/A,FALSE,"June YTD"}</definedName>
    <definedName name="zeljka1" localSheetId="2" hidden="1">{"det (May)",#N/A,FALSE,"June";"sum (MAY YTD)",#N/A,FALSE,"June YTD"}</definedName>
    <definedName name="zeljka1" localSheetId="3" hidden="1">{"det (May)",#N/A,FALSE,"June";"sum (MAY YTD)",#N/A,FALSE,"June YTD"}</definedName>
    <definedName name="zeljka1" localSheetId="5" hidden="1">{"det (May)",#N/A,FALSE,"June";"sum (MAY YTD)",#N/A,FALSE,"June YTD"}</definedName>
    <definedName name="zeljka1" localSheetId="6" hidden="1">{"det (May)",#N/A,FALSE,"June";"sum (MAY YTD)",#N/A,FALSE,"June YTD"}</definedName>
    <definedName name="zeljka1" localSheetId="4" hidden="1">{"det (May)",#N/A,FALSE,"June";"sum (MAY YTD)",#N/A,FALSE,"June YTD"}</definedName>
    <definedName name="zeljka1" localSheetId="7" hidden="1">{"det (May)",#N/A,FALSE,"June";"sum (MAY YTD)",#N/A,FALSE,"June YTD"}</definedName>
    <definedName name="zeljka1" localSheetId="8" hidden="1">{"det (May)",#N/A,FALSE,"June";"sum (MAY YTD)",#N/A,FALSE,"June YTD"}</definedName>
    <definedName name="zeljka1" hidden="1">{"det (May)",#N/A,FALSE,"June";"sum (MAY YTD)",#N/A,FALSE,"June YTD"}</definedName>
    <definedName name="zeljka2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12" hidden="1">{"det (May)",#N/A,FALSE,"June";"sum (MAY YTD)",#N/A,FALSE,"June YTD"}</definedName>
    <definedName name="zeljka3" localSheetId="10" hidden="1">{"det (May)",#N/A,FALSE,"June";"sum (MAY YTD)",#N/A,FALSE,"June YTD"}</definedName>
    <definedName name="zeljka3" localSheetId="11" hidden="1">{"det (May)",#N/A,FALSE,"June";"sum (MAY YTD)",#N/A,FALSE,"June YTD"}</definedName>
    <definedName name="zeljka3" localSheetId="9" hidden="1">{"det (May)",#N/A,FALSE,"June";"sum (MAY YTD)",#N/A,FALSE,"June YTD"}</definedName>
    <definedName name="zeljka3" localSheetId="1" hidden="1">{"det (May)",#N/A,FALSE,"June";"sum (MAY YTD)",#N/A,FALSE,"June YTD"}</definedName>
    <definedName name="zeljka3" localSheetId="2" hidden="1">{"det (May)",#N/A,FALSE,"June";"sum (MAY YTD)",#N/A,FALSE,"June YTD"}</definedName>
    <definedName name="zeljka3" localSheetId="3" hidden="1">{"det (May)",#N/A,FALSE,"June";"sum (MAY YTD)",#N/A,FALSE,"June YTD"}</definedName>
    <definedName name="zeljka3" localSheetId="5" hidden="1">{"det (May)",#N/A,FALSE,"June";"sum (MAY YTD)",#N/A,FALSE,"June YTD"}</definedName>
    <definedName name="zeljka3" localSheetId="6" hidden="1">{"det (May)",#N/A,FALSE,"June";"sum (MAY YTD)",#N/A,FALSE,"June YTD"}</definedName>
    <definedName name="zeljka3" localSheetId="4" hidden="1">{"det (May)",#N/A,FALSE,"June";"sum (MAY YTD)",#N/A,FALSE,"June YTD"}</definedName>
    <definedName name="zeljka3" localSheetId="7" hidden="1">{"det (May)",#N/A,FALSE,"June";"sum (MAY YTD)",#N/A,FALSE,"June YTD"}</definedName>
    <definedName name="zeljka3" localSheetId="8" hidden="1">{"det (May)",#N/A,FALSE,"June";"sum (MAY YTD)",#N/A,FALSE,"June YTD"}</definedName>
    <definedName name="zeljka3" hidden="1">{"det (May)",#N/A,FALSE,"June";"sum (MAY YTD)",#N/A,FALSE,"June YTD"}</definedName>
    <definedName name="ааа" localSheetId="12" hidden="1">{"det (May)",#N/A,FALSE,"June";"sum (MAY YTD)",#N/A,FALSE,"June YTD"}</definedName>
    <definedName name="ааа" localSheetId="10" hidden="1">{"det (May)",#N/A,FALSE,"June";"sum (MAY YTD)",#N/A,FALSE,"June YTD"}</definedName>
    <definedName name="ааа" localSheetId="11" hidden="1">{"det (May)",#N/A,FALSE,"June";"sum (MAY YTD)",#N/A,FALSE,"June YTD"}</definedName>
    <definedName name="ааа" localSheetId="9" hidden="1">{"det (May)",#N/A,FALSE,"June";"sum (MAY YTD)",#N/A,FALSE,"June YTD"}</definedName>
    <definedName name="ааа" localSheetId="1" hidden="1">{"det (May)",#N/A,FALSE,"June";"sum (MAY YTD)",#N/A,FALSE,"June YTD"}</definedName>
    <definedName name="ааа" localSheetId="2" hidden="1">{"det (May)",#N/A,FALSE,"June";"sum (MAY YTD)",#N/A,FALSE,"June YTD"}</definedName>
    <definedName name="ааа" localSheetId="3" hidden="1">{"det (May)",#N/A,FALSE,"June";"sum (MAY YTD)",#N/A,FALSE,"June YTD"}</definedName>
    <definedName name="ааа" localSheetId="5" hidden="1">{"det (May)",#N/A,FALSE,"June";"sum (MAY YTD)",#N/A,FALSE,"June YTD"}</definedName>
    <definedName name="ааа" localSheetId="6" hidden="1">{"det (May)",#N/A,FALSE,"June";"sum (MAY YTD)",#N/A,FALSE,"June YTD"}</definedName>
    <definedName name="ааа" localSheetId="4" hidden="1">{"det (May)",#N/A,FALSE,"June";"sum (MAY YTD)",#N/A,FALSE,"June YTD"}</definedName>
    <definedName name="ааа" localSheetId="7" hidden="1">{"det (May)",#N/A,FALSE,"June";"sum (MAY YTD)",#N/A,FALSE,"June YTD"}</definedName>
    <definedName name="ааа" localSheetId="8" hidden="1">{"det (May)",#N/A,FALSE,"June";"sum (MAY YTD)",#N/A,FALSE,"June YTD"}</definedName>
    <definedName name="ааа" hidden="1">{"det (May)",#N/A,FALSE,"June";"sum (MAY YTD)",#N/A,FALSE,"June YTD"}</definedName>
    <definedName name="ввв" localSheetId="12" hidden="1">{"det (May)",#N/A,FALSE,"June";"sum (MAY YTD)",#N/A,FALSE,"June YTD"}</definedName>
    <definedName name="ввв" localSheetId="10" hidden="1">{"det (May)",#N/A,FALSE,"June";"sum (MAY YTD)",#N/A,FALSE,"June YTD"}</definedName>
    <definedName name="ввв" localSheetId="11" hidden="1">{"det (May)",#N/A,FALSE,"June";"sum (MAY YTD)",#N/A,FALSE,"June YTD"}</definedName>
    <definedName name="ввв" localSheetId="9" hidden="1">{"det (May)",#N/A,FALSE,"June";"sum (MAY YTD)",#N/A,FALSE,"June YTD"}</definedName>
    <definedName name="ввв" localSheetId="1" hidden="1">{"det (May)",#N/A,FALSE,"June";"sum (MAY YTD)",#N/A,FALSE,"June YTD"}</definedName>
    <definedName name="ввв" localSheetId="2" hidden="1">{"det (May)",#N/A,FALSE,"June";"sum (MAY YTD)",#N/A,FALSE,"June YTD"}</definedName>
    <definedName name="ввв" localSheetId="3" hidden="1">{"det (May)",#N/A,FALSE,"June";"sum (MAY YTD)",#N/A,FALSE,"June YTD"}</definedName>
    <definedName name="ввв" localSheetId="5" hidden="1">{"det (May)",#N/A,FALSE,"June";"sum (MAY YTD)",#N/A,FALSE,"June YTD"}</definedName>
    <definedName name="ввв" localSheetId="6" hidden="1">{"det (May)",#N/A,FALSE,"June";"sum (MAY YTD)",#N/A,FALSE,"June YTD"}</definedName>
    <definedName name="ввв" localSheetId="4" hidden="1">{"det (May)",#N/A,FALSE,"June";"sum (MAY YTD)",#N/A,FALSE,"June YTD"}</definedName>
    <definedName name="ввв" localSheetId="7" hidden="1">{"det (May)",#N/A,FALSE,"June";"sum (MAY YTD)",#N/A,FALSE,"June YTD"}</definedName>
    <definedName name="ввв" localSheetId="8" hidden="1">{"det (May)",#N/A,FALSE,"June";"sum (MAY YTD)",#N/A,FALSE,"June YTD"}</definedName>
    <definedName name="ввв" hidden="1">{"det (May)",#N/A,FALSE,"June";"sum (MAY YTD)",#N/A,FALSE,"June YTD"}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73" i="20" l="1"/>
  <c r="AX73" i="20" s="1"/>
  <c r="AN73" i="20"/>
  <c r="AK73" i="20"/>
  <c r="AS73" i="20" s="1"/>
  <c r="AW72" i="20"/>
  <c r="AN72" i="20"/>
  <c r="AO72" i="20" s="1"/>
  <c r="AP72" i="20" s="1"/>
  <c r="AK72" i="20"/>
  <c r="AS72" i="20" s="1"/>
  <c r="AW71" i="20"/>
  <c r="AN71" i="20"/>
  <c r="AX71" i="20" s="1"/>
  <c r="AK71" i="20"/>
  <c r="AS71" i="20" s="1"/>
  <c r="AW70" i="20"/>
  <c r="AN70" i="20"/>
  <c r="AK70" i="20"/>
  <c r="AS70" i="20" s="1"/>
  <c r="AW175" i="20"/>
  <c r="AN175" i="20"/>
  <c r="AK175" i="20"/>
  <c r="AS175" i="20" s="1"/>
  <c r="AW174" i="20"/>
  <c r="AN174" i="20"/>
  <c r="AK174" i="20"/>
  <c r="AS174" i="20" s="1"/>
  <c r="AW98" i="20"/>
  <c r="AN98" i="20"/>
  <c r="AK98" i="20"/>
  <c r="AS98" i="20" s="1"/>
  <c r="AW97" i="20"/>
  <c r="AN97" i="20"/>
  <c r="AK97" i="20"/>
  <c r="AS97" i="20" s="1"/>
  <c r="BC31" i="27"/>
  <c r="AL214" i="20"/>
  <c r="AN214" i="20" s="1"/>
  <c r="AW214" i="20"/>
  <c r="AK214" i="20"/>
  <c r="AS214" i="20" s="1"/>
  <c r="AL54" i="20"/>
  <c r="AN54" i="20" s="1"/>
  <c r="AW54" i="20"/>
  <c r="AK54" i="20"/>
  <c r="AS54" i="20" s="1"/>
  <c r="G37" i="26"/>
  <c r="F37" i="26"/>
  <c r="AS203" i="20"/>
  <c r="AT203" i="20" s="1"/>
  <c r="AS170" i="20"/>
  <c r="AT170" i="20" s="1"/>
  <c r="AS126" i="20"/>
  <c r="AT126" i="20" s="1"/>
  <c r="AS93" i="20"/>
  <c r="AT93" i="20" s="1"/>
  <c r="H35" i="25"/>
  <c r="I43" i="25"/>
  <c r="I32" i="25"/>
  <c r="I31" i="25"/>
  <c r="H30" i="25"/>
  <c r="I25" i="25"/>
  <c r="I24" i="25"/>
  <c r="I23" i="25"/>
  <c r="I22" i="25"/>
  <c r="I27" i="25"/>
  <c r="I26" i="25"/>
  <c r="H21" i="25"/>
  <c r="I18" i="25"/>
  <c r="I17" i="25"/>
  <c r="H16" i="25"/>
  <c r="I10" i="25"/>
  <c r="I9" i="25"/>
  <c r="I8" i="25"/>
  <c r="I7" i="25"/>
  <c r="I6" i="25"/>
  <c r="I13" i="25"/>
  <c r="I12" i="25"/>
  <c r="I11" i="25"/>
  <c r="BE31" i="27"/>
  <c r="BB31" i="27"/>
  <c r="BI31" i="27" s="1"/>
  <c r="AI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BE30" i="27"/>
  <c r="BB30" i="27"/>
  <c r="BI30" i="27" s="1"/>
  <c r="BC27" i="27"/>
  <c r="BE27" i="27" s="1"/>
  <c r="BB27" i="27"/>
  <c r="BI27" i="27" s="1"/>
  <c r="BE26" i="27"/>
  <c r="BB26" i="27"/>
  <c r="BI26" i="27" s="1"/>
  <c r="BC23" i="27"/>
  <c r="BE23" i="27" s="1"/>
  <c r="BB23" i="27"/>
  <c r="BI23" i="27" s="1"/>
  <c r="BE22" i="27"/>
  <c r="BB22" i="27"/>
  <c r="BI22" i="27" s="1"/>
  <c r="BC19" i="27"/>
  <c r="BE19" i="27" s="1"/>
  <c r="BB19" i="27"/>
  <c r="BI19" i="27" s="1"/>
  <c r="BE18" i="27"/>
  <c r="BB18" i="27"/>
  <c r="BI18" i="27" s="1"/>
  <c r="BC15" i="27"/>
  <c r="BE15" i="27" s="1"/>
  <c r="BB15" i="27"/>
  <c r="BI15" i="27" s="1"/>
  <c r="BE14" i="27"/>
  <c r="BB14" i="27"/>
  <c r="BI14" i="27" s="1"/>
  <c r="AA11" i="27"/>
  <c r="AB11" i="27" s="1"/>
  <c r="AC11" i="27" s="1"/>
  <c r="AD11" i="27" s="1"/>
  <c r="AE11" i="27" s="1"/>
  <c r="AF11" i="27" s="1"/>
  <c r="AG11" i="27" s="1"/>
  <c r="AH11" i="27" s="1"/>
  <c r="AI11" i="27" s="1"/>
  <c r="AJ11" i="27" s="1"/>
  <c r="AK11" i="27" s="1"/>
  <c r="AL11" i="27" s="1"/>
  <c r="AM11" i="27" s="1"/>
  <c r="AN11" i="27" s="1"/>
  <c r="AO11" i="27" s="1"/>
  <c r="AP11" i="27" s="1"/>
  <c r="AQ11" i="27" s="1"/>
  <c r="AR11" i="27" s="1"/>
  <c r="AS11" i="27" s="1"/>
  <c r="AT11" i="27" s="1"/>
  <c r="AU11" i="27" s="1"/>
  <c r="AV11" i="27" s="1"/>
  <c r="AW11" i="27" s="1"/>
  <c r="AX11" i="27" s="1"/>
  <c r="AY11" i="27" s="1"/>
  <c r="AZ11" i="27" s="1"/>
  <c r="BA11" i="27" s="1"/>
  <c r="AO73" i="20" l="1"/>
  <c r="AP73" i="20" s="1"/>
  <c r="AY73" i="20" s="1"/>
  <c r="AX72" i="20"/>
  <c r="AO97" i="20"/>
  <c r="AP97" i="20" s="1"/>
  <c r="AO70" i="20"/>
  <c r="AP70" i="20" s="1"/>
  <c r="AY72" i="20"/>
  <c r="AT72" i="20"/>
  <c r="AX70" i="20"/>
  <c r="AO71" i="20"/>
  <c r="AP71" i="20" s="1"/>
  <c r="AX175" i="20"/>
  <c r="AY70" i="20"/>
  <c r="AT70" i="20"/>
  <c r="AO175" i="20"/>
  <c r="AP175" i="20" s="1"/>
  <c r="AT175" i="20" s="1"/>
  <c r="AO98" i="20"/>
  <c r="AP98" i="20" s="1"/>
  <c r="AT98" i="20" s="1"/>
  <c r="AO174" i="20"/>
  <c r="AP174" i="20" s="1"/>
  <c r="AT174" i="20" s="1"/>
  <c r="AX174" i="20"/>
  <c r="AY174" i="20"/>
  <c r="AX97" i="20"/>
  <c r="AY97" i="20" s="1"/>
  <c r="AX98" i="20"/>
  <c r="AT97" i="20"/>
  <c r="AO214" i="20"/>
  <c r="AP214" i="20" s="1"/>
  <c r="AT214" i="20" s="1"/>
  <c r="AX214" i="20"/>
  <c r="AX54" i="20"/>
  <c r="AO54" i="20"/>
  <c r="AP54" i="20" s="1"/>
  <c r="AT54" i="20" s="1"/>
  <c r="BI32" i="27"/>
  <c r="BI28" i="27"/>
  <c r="BI20" i="27"/>
  <c r="BI24" i="27"/>
  <c r="BI16" i="27"/>
  <c r="BF31" i="27"/>
  <c r="BG31" i="27" s="1"/>
  <c r="BJ31" i="27" s="1"/>
  <c r="BF22" i="27"/>
  <c r="BG22" i="27" s="1"/>
  <c r="BJ22" i="27" s="1"/>
  <c r="BF19" i="27"/>
  <c r="BG19" i="27" s="1"/>
  <c r="BJ19" i="27" s="1"/>
  <c r="BF14" i="27"/>
  <c r="BG14" i="27" s="1"/>
  <c r="BF27" i="27"/>
  <c r="BG27" i="27" s="1"/>
  <c r="BF18" i="27"/>
  <c r="BG18" i="27" s="1"/>
  <c r="BJ18" i="27" s="1"/>
  <c r="BF23" i="27"/>
  <c r="BG23" i="27" s="1"/>
  <c r="BF26" i="27"/>
  <c r="BG26" i="27" s="1"/>
  <c r="BJ26" i="27" s="1"/>
  <c r="BF30" i="27"/>
  <c r="BG30" i="27" s="1"/>
  <c r="BJ30" i="27" s="1"/>
  <c r="BB33" i="27"/>
  <c r="BF15" i="27"/>
  <c r="BG15" i="27" s="1"/>
  <c r="AT73" i="20" l="1"/>
  <c r="AY175" i="20"/>
  <c r="AY98" i="20"/>
  <c r="AY71" i="20"/>
  <c r="AT71" i="20"/>
  <c r="AY214" i="20"/>
  <c r="AY54" i="20"/>
  <c r="BJ32" i="27"/>
  <c r="F33" i="26" s="1"/>
  <c r="BJ20" i="27"/>
  <c r="F30" i="26" s="1"/>
  <c r="BI33" i="27"/>
  <c r="BJ27" i="27"/>
  <c r="BJ28" i="27" s="1"/>
  <c r="F32" i="26" s="1"/>
  <c r="BJ23" i="27"/>
  <c r="BJ24" i="27" s="1"/>
  <c r="F31" i="26" s="1"/>
  <c r="BJ15" i="27"/>
  <c r="BG33" i="27"/>
  <c r="BF33" i="27"/>
  <c r="BJ14" i="27"/>
  <c r="R220" i="20"/>
  <c r="AW44" i="20"/>
  <c r="AW217" i="20"/>
  <c r="AN217" i="20"/>
  <c r="AK217" i="20"/>
  <c r="AS217" i="20" s="1"/>
  <c r="AW216" i="20"/>
  <c r="AN216" i="20"/>
  <c r="AK216" i="20"/>
  <c r="AS216" i="20" s="1"/>
  <c r="AW215" i="20"/>
  <c r="AN215" i="20"/>
  <c r="AK215" i="20"/>
  <c r="AS215" i="20" s="1"/>
  <c r="AW213" i="20"/>
  <c r="AN213" i="20"/>
  <c r="AK213" i="20"/>
  <c r="AS213" i="20" s="1"/>
  <c r="AW212" i="20"/>
  <c r="AN212" i="20"/>
  <c r="AK212" i="20"/>
  <c r="AS212" i="20" s="1"/>
  <c r="AW211" i="20"/>
  <c r="AN211" i="20"/>
  <c r="AK211" i="20"/>
  <c r="AS211" i="20" s="1"/>
  <c r="AW210" i="20"/>
  <c r="AN210" i="20"/>
  <c r="AK210" i="20"/>
  <c r="AS210" i="20" s="1"/>
  <c r="AW209" i="20"/>
  <c r="AN209" i="20"/>
  <c r="AK209" i="20"/>
  <c r="AS209" i="20" s="1"/>
  <c r="AW208" i="20"/>
  <c r="AN208" i="20"/>
  <c r="AK208" i="20"/>
  <c r="AS208" i="20" s="1"/>
  <c r="AW207" i="20"/>
  <c r="AN207" i="20"/>
  <c r="AK207" i="20"/>
  <c r="AS207" i="20" s="1"/>
  <c r="AW206" i="20"/>
  <c r="AN206" i="20"/>
  <c r="AK206" i="20"/>
  <c r="AS206" i="20" s="1"/>
  <c r="AW205" i="20"/>
  <c r="AN205" i="20"/>
  <c r="AK205" i="20"/>
  <c r="AS205" i="20" s="1"/>
  <c r="AW204" i="20"/>
  <c r="AN204" i="20"/>
  <c r="AK204" i="20"/>
  <c r="AS204" i="20" s="1"/>
  <c r="AW42" i="20"/>
  <c r="AW202" i="20"/>
  <c r="AN202" i="20"/>
  <c r="AK202" i="20"/>
  <c r="AS202" i="20" s="1"/>
  <c r="AW201" i="20"/>
  <c r="AN201" i="20"/>
  <c r="AK201" i="20"/>
  <c r="AS201" i="20" s="1"/>
  <c r="AW200" i="20"/>
  <c r="AN200" i="20"/>
  <c r="AK200" i="20"/>
  <c r="AS200" i="20" s="1"/>
  <c r="AW199" i="20"/>
  <c r="AN199" i="20"/>
  <c r="AK199" i="20"/>
  <c r="AS199" i="20" s="1"/>
  <c r="AW198" i="20"/>
  <c r="AN198" i="20"/>
  <c r="AK198" i="20"/>
  <c r="AS198" i="20" s="1"/>
  <c r="AW197" i="20"/>
  <c r="AN197" i="20"/>
  <c r="AK197" i="20"/>
  <c r="AS197" i="20" s="1"/>
  <c r="AW196" i="20"/>
  <c r="AN196" i="20"/>
  <c r="AK196" i="20"/>
  <c r="AS196" i="20" s="1"/>
  <c r="AW195" i="20"/>
  <c r="AN195" i="20"/>
  <c r="AK195" i="20"/>
  <c r="AS195" i="20" s="1"/>
  <c r="AW194" i="20"/>
  <c r="AN194" i="20"/>
  <c r="AK194" i="20"/>
  <c r="AS194" i="20" s="1"/>
  <c r="AW193" i="20"/>
  <c r="AN193" i="20"/>
  <c r="AK193" i="20"/>
  <c r="AS193" i="20" s="1"/>
  <c r="AW192" i="20"/>
  <c r="AN192" i="20"/>
  <c r="AK192" i="20"/>
  <c r="AS192" i="20" s="1"/>
  <c r="AW191" i="20"/>
  <c r="AN191" i="20"/>
  <c r="AK191" i="20"/>
  <c r="AS191" i="20" s="1"/>
  <c r="AW190" i="20"/>
  <c r="AN190" i="20"/>
  <c r="AK190" i="20"/>
  <c r="AS190" i="20" s="1"/>
  <c r="AW189" i="20"/>
  <c r="AN189" i="20"/>
  <c r="AK189" i="20"/>
  <c r="AS189" i="20" s="1"/>
  <c r="AW188" i="20"/>
  <c r="AN188" i="20"/>
  <c r="AK188" i="20"/>
  <c r="AS188" i="20" s="1"/>
  <c r="AW187" i="20"/>
  <c r="AN187" i="20"/>
  <c r="AK187" i="20"/>
  <c r="AS187" i="20" s="1"/>
  <c r="AW186" i="20"/>
  <c r="AN186" i="20"/>
  <c r="AK186" i="20"/>
  <c r="AS186" i="20" s="1"/>
  <c r="AW184" i="20"/>
  <c r="AN184" i="20"/>
  <c r="AK184" i="20"/>
  <c r="AS184" i="20" s="1"/>
  <c r="AW183" i="20"/>
  <c r="AN183" i="20"/>
  <c r="AK183" i="20"/>
  <c r="AS183" i="20" s="1"/>
  <c r="AW182" i="20"/>
  <c r="AN182" i="20"/>
  <c r="AK182" i="20"/>
  <c r="AS182" i="20" s="1"/>
  <c r="AW181" i="20"/>
  <c r="AN181" i="20"/>
  <c r="AK181" i="20"/>
  <c r="AS181" i="20" s="1"/>
  <c r="AW180" i="20"/>
  <c r="AN180" i="20"/>
  <c r="AK180" i="20"/>
  <c r="AS180" i="20" s="1"/>
  <c r="AW179" i="20"/>
  <c r="AN179" i="20"/>
  <c r="AK179" i="20"/>
  <c r="AS179" i="20" s="1"/>
  <c r="AW178" i="20"/>
  <c r="AN178" i="20"/>
  <c r="AK178" i="20"/>
  <c r="AS178" i="20" s="1"/>
  <c r="AW177" i="20"/>
  <c r="AN177" i="20"/>
  <c r="AK177" i="20"/>
  <c r="AS177" i="20" s="1"/>
  <c r="AW176" i="20"/>
  <c r="AN176" i="20"/>
  <c r="AK176" i="20"/>
  <c r="AS176" i="20" s="1"/>
  <c r="AW173" i="20"/>
  <c r="AN173" i="20"/>
  <c r="AK173" i="20"/>
  <c r="AS173" i="20" s="1"/>
  <c r="AW172" i="20"/>
  <c r="AN172" i="20"/>
  <c r="AK172" i="20"/>
  <c r="AS172" i="20" s="1"/>
  <c r="AW171" i="20"/>
  <c r="AN171" i="20"/>
  <c r="AK171" i="20"/>
  <c r="AS171" i="20" s="1"/>
  <c r="AW169" i="20"/>
  <c r="AN169" i="20"/>
  <c r="AK169" i="20"/>
  <c r="AS169" i="20" s="1"/>
  <c r="AW168" i="20"/>
  <c r="AN168" i="20"/>
  <c r="AK168" i="20"/>
  <c r="AS168" i="20" s="1"/>
  <c r="AW167" i="20"/>
  <c r="AN167" i="20"/>
  <c r="AK167" i="20"/>
  <c r="AS167" i="20" s="1"/>
  <c r="AW166" i="20"/>
  <c r="AN166" i="20"/>
  <c r="AK166" i="20"/>
  <c r="AS166" i="20" s="1"/>
  <c r="AW165" i="20"/>
  <c r="AN165" i="20"/>
  <c r="AK165" i="20"/>
  <c r="AS165" i="20" s="1"/>
  <c r="AW164" i="20"/>
  <c r="AN164" i="20"/>
  <c r="AK164" i="20"/>
  <c r="AS164" i="20" s="1"/>
  <c r="AW163" i="20"/>
  <c r="AN163" i="20"/>
  <c r="AK163" i="20"/>
  <c r="AS163" i="20" s="1"/>
  <c r="AW162" i="20"/>
  <c r="AN162" i="20"/>
  <c r="AK162" i="20"/>
  <c r="AS162" i="20" s="1"/>
  <c r="AW161" i="20"/>
  <c r="AN161" i="20"/>
  <c r="AK161" i="20"/>
  <c r="AS161" i="20" s="1"/>
  <c r="AW160" i="20"/>
  <c r="AN160" i="20"/>
  <c r="AK160" i="20"/>
  <c r="AS160" i="20" s="1"/>
  <c r="AW159" i="20"/>
  <c r="AN159" i="20"/>
  <c r="AK159" i="20"/>
  <c r="AS159" i="20" s="1"/>
  <c r="AW158" i="20"/>
  <c r="AN158" i="20"/>
  <c r="AK158" i="20"/>
  <c r="AS158" i="20" s="1"/>
  <c r="AW157" i="20"/>
  <c r="AN157" i="20"/>
  <c r="AK157" i="20"/>
  <c r="AS157" i="20" s="1"/>
  <c r="AW156" i="20"/>
  <c r="AN156" i="20"/>
  <c r="AK156" i="20"/>
  <c r="AS156" i="20" s="1"/>
  <c r="AW155" i="20"/>
  <c r="AN155" i="20"/>
  <c r="AK155" i="20"/>
  <c r="AS155" i="20" s="1"/>
  <c r="AW154" i="20"/>
  <c r="AN154" i="20"/>
  <c r="AK154" i="20"/>
  <c r="AS154" i="20" s="1"/>
  <c r="AW153" i="20"/>
  <c r="AN153" i="20"/>
  <c r="AK153" i="20"/>
  <c r="AS153" i="20" s="1"/>
  <c r="AW151" i="20"/>
  <c r="AW150" i="20"/>
  <c r="AW149" i="20"/>
  <c r="AW148" i="20"/>
  <c r="AW147" i="20"/>
  <c r="AW146" i="20"/>
  <c r="AW145" i="20"/>
  <c r="AW144" i="20"/>
  <c r="AW143" i="20"/>
  <c r="AW142" i="20"/>
  <c r="AW141" i="20"/>
  <c r="AW140" i="20"/>
  <c r="AW138" i="20"/>
  <c r="AW137" i="20"/>
  <c r="AW136" i="20"/>
  <c r="AW135" i="20"/>
  <c r="AW134" i="20"/>
  <c r="AW133" i="20"/>
  <c r="AW132" i="20"/>
  <c r="AW131" i="20"/>
  <c r="AW130" i="20"/>
  <c r="AW129" i="20"/>
  <c r="AW128" i="20"/>
  <c r="AW127" i="20"/>
  <c r="AN151" i="20"/>
  <c r="AK151" i="20"/>
  <c r="AS151" i="20" s="1"/>
  <c r="AN150" i="20"/>
  <c r="AK150" i="20"/>
  <c r="AS150" i="20" s="1"/>
  <c r="AN149" i="20"/>
  <c r="AK149" i="20"/>
  <c r="AS149" i="20" s="1"/>
  <c r="AN148" i="20"/>
  <c r="AK148" i="20"/>
  <c r="AS148" i="20" s="1"/>
  <c r="AN147" i="20"/>
  <c r="AK147" i="20"/>
  <c r="AS147" i="20" s="1"/>
  <c r="AN146" i="20"/>
  <c r="AK146" i="20"/>
  <c r="AS146" i="20" s="1"/>
  <c r="AN145" i="20"/>
  <c r="AK145" i="20"/>
  <c r="AS145" i="20" s="1"/>
  <c r="AN144" i="20"/>
  <c r="AK144" i="20"/>
  <c r="AS144" i="20" s="1"/>
  <c r="AN143" i="20"/>
  <c r="AK143" i="20"/>
  <c r="AS143" i="20" s="1"/>
  <c r="AN142" i="20"/>
  <c r="AK142" i="20"/>
  <c r="AS142" i="20" s="1"/>
  <c r="AN141" i="20"/>
  <c r="AK141" i="20"/>
  <c r="AS141" i="20" s="1"/>
  <c r="AN140" i="20"/>
  <c r="AK140" i="20"/>
  <c r="AS140" i="20" s="1"/>
  <c r="AN138" i="20"/>
  <c r="AK138" i="20"/>
  <c r="AS138" i="20" s="1"/>
  <c r="AN137" i="20"/>
  <c r="AK137" i="20"/>
  <c r="AS137" i="20" s="1"/>
  <c r="AN136" i="20"/>
  <c r="AK136" i="20"/>
  <c r="AS136" i="20" s="1"/>
  <c r="AN135" i="20"/>
  <c r="AK135" i="20"/>
  <c r="AS135" i="20" s="1"/>
  <c r="AN134" i="20"/>
  <c r="AK134" i="20"/>
  <c r="AS134" i="20" s="1"/>
  <c r="AN133" i="20"/>
  <c r="AK133" i="20"/>
  <c r="AS133" i="20" s="1"/>
  <c r="AN132" i="20"/>
  <c r="AK132" i="20"/>
  <c r="AS132" i="20" s="1"/>
  <c r="AN131" i="20"/>
  <c r="AK131" i="20"/>
  <c r="AS131" i="20" s="1"/>
  <c r="AN130" i="20"/>
  <c r="AK130" i="20"/>
  <c r="AS130" i="20" s="1"/>
  <c r="AN129" i="20"/>
  <c r="AK129" i="20"/>
  <c r="AS129" i="20" s="1"/>
  <c r="AN128" i="20"/>
  <c r="AK128" i="20"/>
  <c r="AS128" i="20" s="1"/>
  <c r="AN127" i="20"/>
  <c r="AK127" i="20"/>
  <c r="AS127" i="20" s="1"/>
  <c r="AW125" i="20"/>
  <c r="AW124" i="20"/>
  <c r="AW123" i="20"/>
  <c r="AW122" i="20"/>
  <c r="AW121" i="20"/>
  <c r="AW120" i="20"/>
  <c r="AW119" i="20"/>
  <c r="AW118" i="20"/>
  <c r="AW117" i="20"/>
  <c r="AW116" i="20"/>
  <c r="AW115" i="20"/>
  <c r="AW114" i="20"/>
  <c r="AW113" i="20"/>
  <c r="AW112" i="20"/>
  <c r="AW111" i="20"/>
  <c r="AW110" i="20"/>
  <c r="AW109" i="20"/>
  <c r="AN125" i="20"/>
  <c r="AK125" i="20"/>
  <c r="AS125" i="20" s="1"/>
  <c r="AN124" i="20"/>
  <c r="AK124" i="20"/>
  <c r="AS124" i="20" s="1"/>
  <c r="AN123" i="20"/>
  <c r="AK123" i="20"/>
  <c r="AS123" i="20" s="1"/>
  <c r="AN122" i="20"/>
  <c r="AK122" i="20"/>
  <c r="AS122" i="20" s="1"/>
  <c r="AN121" i="20"/>
  <c r="AK121" i="20"/>
  <c r="AS121" i="20" s="1"/>
  <c r="AN120" i="20"/>
  <c r="AK120" i="20"/>
  <c r="AS120" i="20" s="1"/>
  <c r="AN119" i="20"/>
  <c r="AK119" i="20"/>
  <c r="AS119" i="20" s="1"/>
  <c r="AN118" i="20"/>
  <c r="AK118" i="20"/>
  <c r="AS118" i="20" s="1"/>
  <c r="AN117" i="20"/>
  <c r="AK117" i="20"/>
  <c r="AS117" i="20" s="1"/>
  <c r="AN116" i="20"/>
  <c r="AK116" i="20"/>
  <c r="AS116" i="20" s="1"/>
  <c r="AN115" i="20"/>
  <c r="AK115" i="20"/>
  <c r="AS115" i="20" s="1"/>
  <c r="AN114" i="20"/>
  <c r="AK114" i="20"/>
  <c r="AS114" i="20" s="1"/>
  <c r="AN113" i="20"/>
  <c r="AK113" i="20"/>
  <c r="AS113" i="20" s="1"/>
  <c r="AN112" i="20"/>
  <c r="AK112" i="20"/>
  <c r="AS112" i="20" s="1"/>
  <c r="AN111" i="20"/>
  <c r="AK111" i="20"/>
  <c r="AS111" i="20" s="1"/>
  <c r="AN110" i="20"/>
  <c r="AK110" i="20"/>
  <c r="AS110" i="20" s="1"/>
  <c r="AN109" i="20"/>
  <c r="AK109" i="20"/>
  <c r="AS109" i="20" s="1"/>
  <c r="AW107" i="20"/>
  <c r="AW106" i="20"/>
  <c r="AW105" i="20"/>
  <c r="AW104" i="20"/>
  <c r="AW103" i="20"/>
  <c r="AW102" i="20"/>
  <c r="AW101" i="20"/>
  <c r="AW100" i="20"/>
  <c r="AW99" i="20"/>
  <c r="AW96" i="20"/>
  <c r="AW95" i="20"/>
  <c r="AW94" i="20"/>
  <c r="AN107" i="20"/>
  <c r="AK107" i="20"/>
  <c r="AS107" i="20" s="1"/>
  <c r="AN106" i="20"/>
  <c r="AK106" i="20"/>
  <c r="AS106" i="20" s="1"/>
  <c r="AN105" i="20"/>
  <c r="AK105" i="20"/>
  <c r="AS105" i="20" s="1"/>
  <c r="AN104" i="20"/>
  <c r="AK104" i="20"/>
  <c r="AS104" i="20" s="1"/>
  <c r="AN103" i="20"/>
  <c r="AK103" i="20"/>
  <c r="AS103" i="20" s="1"/>
  <c r="AN102" i="20"/>
  <c r="AK102" i="20"/>
  <c r="AS102" i="20" s="1"/>
  <c r="AN101" i="20"/>
  <c r="AK101" i="20"/>
  <c r="AS101" i="20" s="1"/>
  <c r="AN100" i="20"/>
  <c r="AK100" i="20"/>
  <c r="AS100" i="20" s="1"/>
  <c r="AN99" i="20"/>
  <c r="AK99" i="20"/>
  <c r="AS99" i="20" s="1"/>
  <c r="AN96" i="20"/>
  <c r="AK96" i="20"/>
  <c r="AS96" i="20" s="1"/>
  <c r="AN95" i="20"/>
  <c r="AK95" i="20"/>
  <c r="AS95" i="20" s="1"/>
  <c r="AN94" i="20"/>
  <c r="AK94" i="20"/>
  <c r="AS94" i="20" s="1"/>
  <c r="AW76" i="20"/>
  <c r="AW92" i="20"/>
  <c r="AW91" i="20"/>
  <c r="AW90" i="20"/>
  <c r="AW89" i="20"/>
  <c r="AW88" i="20"/>
  <c r="AW87" i="20"/>
  <c r="AW86" i="20"/>
  <c r="AW85" i="20"/>
  <c r="AW84" i="20"/>
  <c r="AW83" i="20"/>
  <c r="AW82" i="20"/>
  <c r="AW81" i="20"/>
  <c r="AW80" i="20"/>
  <c r="AW79" i="20"/>
  <c r="AW78" i="20"/>
  <c r="AW77" i="20"/>
  <c r="AN92" i="20"/>
  <c r="AK92" i="20"/>
  <c r="AS92" i="20" s="1"/>
  <c r="AN91" i="20"/>
  <c r="AK91" i="20"/>
  <c r="AS91" i="20" s="1"/>
  <c r="AN90" i="20"/>
  <c r="AK90" i="20"/>
  <c r="AS90" i="20" s="1"/>
  <c r="AN89" i="20"/>
  <c r="AK89" i="20"/>
  <c r="AS89" i="20" s="1"/>
  <c r="AN88" i="20"/>
  <c r="AK88" i="20"/>
  <c r="AS88" i="20" s="1"/>
  <c r="AN87" i="20"/>
  <c r="AK87" i="20"/>
  <c r="AS87" i="20" s="1"/>
  <c r="AN86" i="20"/>
  <c r="AK86" i="20"/>
  <c r="AS86" i="20" s="1"/>
  <c r="AN85" i="20"/>
  <c r="AK85" i="20"/>
  <c r="AS85" i="20" s="1"/>
  <c r="AN84" i="20"/>
  <c r="AK84" i="20"/>
  <c r="AS84" i="20" s="1"/>
  <c r="AN83" i="20"/>
  <c r="AK83" i="20"/>
  <c r="AS83" i="20" s="1"/>
  <c r="AN82" i="20"/>
  <c r="AK82" i="20"/>
  <c r="AS82" i="20" s="1"/>
  <c r="AN81" i="20"/>
  <c r="AK81" i="20"/>
  <c r="AS81" i="20" s="1"/>
  <c r="AN80" i="20"/>
  <c r="AK80" i="20"/>
  <c r="AS80" i="20" s="1"/>
  <c r="AN79" i="20"/>
  <c r="AK79" i="20"/>
  <c r="AS79" i="20" s="1"/>
  <c r="AN78" i="20"/>
  <c r="AK78" i="20"/>
  <c r="AS78" i="20" s="1"/>
  <c r="AN77" i="20"/>
  <c r="AK77" i="20"/>
  <c r="AS77" i="20" s="1"/>
  <c r="AN76" i="20"/>
  <c r="AK76" i="20"/>
  <c r="AS76" i="20" s="1"/>
  <c r="AW74" i="20"/>
  <c r="AW69" i="20"/>
  <c r="AW68" i="20"/>
  <c r="AW67" i="20"/>
  <c r="AW66" i="20"/>
  <c r="AW65" i="20"/>
  <c r="AW64" i="20"/>
  <c r="AW63" i="20"/>
  <c r="AW62" i="20"/>
  <c r="AW61" i="20"/>
  <c r="AW60" i="20"/>
  <c r="AW59" i="20"/>
  <c r="AN74" i="20"/>
  <c r="AK74" i="20"/>
  <c r="AN69" i="20"/>
  <c r="AK69" i="20"/>
  <c r="AN68" i="20"/>
  <c r="AK68" i="20"/>
  <c r="AN67" i="20"/>
  <c r="AK67" i="20"/>
  <c r="AN66" i="20"/>
  <c r="AK66" i="20"/>
  <c r="AN65" i="20"/>
  <c r="AK65" i="20"/>
  <c r="AN64" i="20"/>
  <c r="AK64" i="20"/>
  <c r="AN63" i="20"/>
  <c r="AK63" i="20"/>
  <c r="AN62" i="20"/>
  <c r="AK62" i="20"/>
  <c r="AN61" i="20"/>
  <c r="AK61" i="20"/>
  <c r="AN60" i="20"/>
  <c r="AK60" i="20"/>
  <c r="AN59" i="20"/>
  <c r="AK59" i="20"/>
  <c r="AW57" i="20"/>
  <c r="AW56" i="20"/>
  <c r="AW55" i="20"/>
  <c r="AW53" i="20"/>
  <c r="AW52" i="20"/>
  <c r="AW51" i="20"/>
  <c r="AW50" i="20"/>
  <c r="AW49" i="20"/>
  <c r="AW48" i="20"/>
  <c r="AW47" i="20"/>
  <c r="AW46" i="20"/>
  <c r="AW45" i="20"/>
  <c r="AN57" i="20"/>
  <c r="AK57" i="20"/>
  <c r="AS57" i="20" s="1"/>
  <c r="AN56" i="20"/>
  <c r="AK56" i="20"/>
  <c r="AS56" i="20" s="1"/>
  <c r="AN55" i="20"/>
  <c r="AK55" i="20"/>
  <c r="AN53" i="20"/>
  <c r="AK53" i="20"/>
  <c r="AN52" i="20"/>
  <c r="AK52" i="20"/>
  <c r="AN51" i="20"/>
  <c r="AK51" i="20"/>
  <c r="AN50" i="20"/>
  <c r="AK50" i="20"/>
  <c r="AN49" i="20"/>
  <c r="AK49" i="20"/>
  <c r="AN48" i="20"/>
  <c r="AK48" i="20"/>
  <c r="AN47" i="20"/>
  <c r="AK47" i="20"/>
  <c r="AN46" i="20"/>
  <c r="AK46" i="20"/>
  <c r="AN45" i="20"/>
  <c r="AK45" i="20"/>
  <c r="AN44" i="20"/>
  <c r="AK44" i="20"/>
  <c r="AW41" i="20"/>
  <c r="AW40" i="20"/>
  <c r="AW39" i="20"/>
  <c r="AW38" i="20"/>
  <c r="AW37" i="20"/>
  <c r="AW36" i="20"/>
  <c r="AW35" i="20"/>
  <c r="AW34" i="20"/>
  <c r="AW33" i="20"/>
  <c r="AW32" i="20"/>
  <c r="AW31" i="20"/>
  <c r="AN42" i="20"/>
  <c r="AK42" i="20"/>
  <c r="AS42" i="20" s="1"/>
  <c r="AW29" i="20"/>
  <c r="AW28" i="20"/>
  <c r="AW27" i="20"/>
  <c r="AW26" i="20"/>
  <c r="AW25" i="20"/>
  <c r="AW24" i="20"/>
  <c r="AW23" i="20"/>
  <c r="AW22" i="20"/>
  <c r="AW21" i="20"/>
  <c r="AW20" i="20"/>
  <c r="AW19" i="20"/>
  <c r="AW18" i="20"/>
  <c r="AW17" i="20"/>
  <c r="AW16" i="20"/>
  <c r="AW15" i="20"/>
  <c r="AW14" i="20"/>
  <c r="AW13" i="20"/>
  <c r="AN29" i="20"/>
  <c r="AK29" i="20"/>
  <c r="AS29" i="20" s="1"/>
  <c r="AN28" i="20"/>
  <c r="AK28" i="20"/>
  <c r="AS28" i="20" s="1"/>
  <c r="AN27" i="20"/>
  <c r="AK27" i="20"/>
  <c r="AS27" i="20" s="1"/>
  <c r="AN26" i="20"/>
  <c r="AK26" i="20"/>
  <c r="AS26" i="20" s="1"/>
  <c r="AN25" i="20"/>
  <c r="AK25" i="20"/>
  <c r="AS25" i="20" s="1"/>
  <c r="AN24" i="20"/>
  <c r="AK24" i="20"/>
  <c r="AS24" i="20" s="1"/>
  <c r="AN23" i="20"/>
  <c r="AK23" i="20"/>
  <c r="AS23" i="20" s="1"/>
  <c r="AN22" i="20"/>
  <c r="AK22" i="20"/>
  <c r="AS22" i="20" s="1"/>
  <c r="AN21" i="20"/>
  <c r="AK21" i="20"/>
  <c r="AS21" i="20" s="1"/>
  <c r="AN20" i="20"/>
  <c r="AK20" i="20"/>
  <c r="AS20" i="20" s="1"/>
  <c r="AN19" i="20"/>
  <c r="AK19" i="20"/>
  <c r="AS19" i="20" s="1"/>
  <c r="AN18" i="20"/>
  <c r="AK18" i="20"/>
  <c r="AS18" i="20" s="1"/>
  <c r="AN17" i="20"/>
  <c r="AK17" i="20"/>
  <c r="AS17" i="20" s="1"/>
  <c r="AN16" i="20"/>
  <c r="AK16" i="20"/>
  <c r="AS16" i="20" s="1"/>
  <c r="AN15" i="20"/>
  <c r="AK15" i="20"/>
  <c r="AS15" i="20" s="1"/>
  <c r="AN14" i="20"/>
  <c r="AK14" i="20"/>
  <c r="AS14" i="20" s="1"/>
  <c r="AX42" i="20" l="1"/>
  <c r="BJ16" i="27"/>
  <c r="BJ33" i="27" s="1"/>
  <c r="BL33" i="27" s="1"/>
  <c r="AW139" i="20"/>
  <c r="AW218" i="20"/>
  <c r="AO209" i="20"/>
  <c r="AP209" i="20" s="1"/>
  <c r="AT209" i="20" s="1"/>
  <c r="AW58" i="20"/>
  <c r="C226" i="20" s="1"/>
  <c r="AW108" i="20"/>
  <c r="AO206" i="20"/>
  <c r="AP206" i="20" s="1"/>
  <c r="AT206" i="20" s="1"/>
  <c r="AO216" i="20"/>
  <c r="AP216" i="20" s="1"/>
  <c r="AT216" i="20" s="1"/>
  <c r="AO210" i="20"/>
  <c r="AP210" i="20" s="1"/>
  <c r="AT210" i="20" s="1"/>
  <c r="AO215" i="20"/>
  <c r="AP215" i="20" s="1"/>
  <c r="AT215" i="20" s="1"/>
  <c r="AO213" i="20"/>
  <c r="AP213" i="20" s="1"/>
  <c r="AT213" i="20" s="1"/>
  <c r="AW43" i="20"/>
  <c r="AX207" i="20"/>
  <c r="AO208" i="20"/>
  <c r="AP208" i="20" s="1"/>
  <c r="AT208" i="20" s="1"/>
  <c r="AO205" i="20"/>
  <c r="AP205" i="20" s="1"/>
  <c r="AT205" i="20" s="1"/>
  <c r="AX212" i="20"/>
  <c r="AX217" i="20"/>
  <c r="AX210" i="20"/>
  <c r="AX215" i="20"/>
  <c r="AX216" i="20"/>
  <c r="AX208" i="20"/>
  <c r="AX211" i="20"/>
  <c r="AO192" i="20"/>
  <c r="AP192" i="20" s="1"/>
  <c r="AT192" i="20" s="1"/>
  <c r="AX205" i="20"/>
  <c r="AO212" i="20"/>
  <c r="AP212" i="20" s="1"/>
  <c r="AT212" i="20" s="1"/>
  <c r="AX209" i="20"/>
  <c r="AX193" i="20"/>
  <c r="AX197" i="20"/>
  <c r="AX206" i="20"/>
  <c r="AX194" i="20"/>
  <c r="AO204" i="20"/>
  <c r="AP204" i="20" s="1"/>
  <c r="AT204" i="20" s="1"/>
  <c r="AX213" i="20"/>
  <c r="AO156" i="20"/>
  <c r="AP156" i="20" s="1"/>
  <c r="AT156" i="20" s="1"/>
  <c r="AO164" i="20"/>
  <c r="AP164" i="20" s="1"/>
  <c r="AT164" i="20" s="1"/>
  <c r="AO183" i="20"/>
  <c r="AP183" i="20" s="1"/>
  <c r="AT183" i="20" s="1"/>
  <c r="AO191" i="20"/>
  <c r="AP191" i="20" s="1"/>
  <c r="AT191" i="20" s="1"/>
  <c r="AO217" i="20"/>
  <c r="AP217" i="20" s="1"/>
  <c r="AT217" i="20" s="1"/>
  <c r="AO207" i="20"/>
  <c r="AP207" i="20" s="1"/>
  <c r="AT207" i="20" s="1"/>
  <c r="AO211" i="20"/>
  <c r="AP211" i="20" s="1"/>
  <c r="AT211" i="20" s="1"/>
  <c r="AX204" i="20"/>
  <c r="AX153" i="20"/>
  <c r="AX196" i="20"/>
  <c r="AX145" i="20"/>
  <c r="AX111" i="20"/>
  <c r="AX123" i="20"/>
  <c r="AO155" i="20"/>
  <c r="AP155" i="20" s="1"/>
  <c r="AT155" i="20" s="1"/>
  <c r="AX173" i="20"/>
  <c r="AO119" i="20"/>
  <c r="AP119" i="20" s="1"/>
  <c r="AT119" i="20" s="1"/>
  <c r="AO125" i="20"/>
  <c r="AP125" i="20" s="1"/>
  <c r="AT125" i="20" s="1"/>
  <c r="AW170" i="20"/>
  <c r="AX161" i="20"/>
  <c r="AO187" i="20"/>
  <c r="AP187" i="20" s="1"/>
  <c r="AT187" i="20" s="1"/>
  <c r="AO114" i="20"/>
  <c r="AP114" i="20" s="1"/>
  <c r="AT114" i="20" s="1"/>
  <c r="AO120" i="20"/>
  <c r="AP120" i="20" s="1"/>
  <c r="AT120" i="20" s="1"/>
  <c r="AX176" i="20"/>
  <c r="AO180" i="20"/>
  <c r="AP180" i="20" s="1"/>
  <c r="AT180" i="20" s="1"/>
  <c r="AO158" i="20"/>
  <c r="AP158" i="20" s="1"/>
  <c r="AT158" i="20" s="1"/>
  <c r="AO166" i="20"/>
  <c r="AP166" i="20" s="1"/>
  <c r="AT166" i="20" s="1"/>
  <c r="AX162" i="20"/>
  <c r="AO171" i="20"/>
  <c r="AP171" i="20" s="1"/>
  <c r="AT171" i="20" s="1"/>
  <c r="AO184" i="20"/>
  <c r="AP184" i="20" s="1"/>
  <c r="AT184" i="20" s="1"/>
  <c r="AO188" i="20"/>
  <c r="AP188" i="20" s="1"/>
  <c r="AT188" i="20" s="1"/>
  <c r="AO199" i="20"/>
  <c r="AP199" i="20" s="1"/>
  <c r="AT199" i="20" s="1"/>
  <c r="AO163" i="20"/>
  <c r="AP163" i="20" s="1"/>
  <c r="AT163" i="20" s="1"/>
  <c r="AO167" i="20"/>
  <c r="AP167" i="20" s="1"/>
  <c r="AT167" i="20" s="1"/>
  <c r="AX155" i="20"/>
  <c r="AO200" i="20"/>
  <c r="AP200" i="20" s="1"/>
  <c r="AT200" i="20" s="1"/>
  <c r="AO168" i="20"/>
  <c r="AP168" i="20" s="1"/>
  <c r="AT168" i="20" s="1"/>
  <c r="AX182" i="20"/>
  <c r="AW203" i="20"/>
  <c r="AO140" i="20"/>
  <c r="AP140" i="20" s="1"/>
  <c r="AT140" i="20" s="1"/>
  <c r="AO146" i="20"/>
  <c r="AP146" i="20" s="1"/>
  <c r="AT146" i="20" s="1"/>
  <c r="AO160" i="20"/>
  <c r="AP160" i="20" s="1"/>
  <c r="AT160" i="20" s="1"/>
  <c r="AO177" i="20"/>
  <c r="AP177" i="20" s="1"/>
  <c r="AT177" i="20" s="1"/>
  <c r="AO197" i="20"/>
  <c r="AP197" i="20" s="1"/>
  <c r="AT197" i="20" s="1"/>
  <c r="AX130" i="20"/>
  <c r="AX157" i="20"/>
  <c r="AO172" i="20"/>
  <c r="AP172" i="20" s="1"/>
  <c r="AT172" i="20" s="1"/>
  <c r="AO201" i="20"/>
  <c r="AP201" i="20" s="1"/>
  <c r="AT201" i="20" s="1"/>
  <c r="AO154" i="20"/>
  <c r="AP154" i="20" s="1"/>
  <c r="AT154" i="20" s="1"/>
  <c r="AX165" i="20"/>
  <c r="AO178" i="20"/>
  <c r="AP178" i="20" s="1"/>
  <c r="AT178" i="20" s="1"/>
  <c r="AO195" i="20"/>
  <c r="AP195" i="20" s="1"/>
  <c r="AT195" i="20" s="1"/>
  <c r="AX198" i="20"/>
  <c r="AO162" i="20"/>
  <c r="AP162" i="20" s="1"/>
  <c r="AT162" i="20" s="1"/>
  <c r="AX169" i="20"/>
  <c r="AO173" i="20"/>
  <c r="AP173" i="20" s="1"/>
  <c r="AT173" i="20" s="1"/>
  <c r="AX178" i="20"/>
  <c r="AO189" i="20"/>
  <c r="AP189" i="20" s="1"/>
  <c r="AT189" i="20" s="1"/>
  <c r="AX202" i="20"/>
  <c r="AX135" i="20"/>
  <c r="AX192" i="20"/>
  <c r="AX136" i="20"/>
  <c r="AX149" i="20"/>
  <c r="AO159" i="20"/>
  <c r="AP159" i="20" s="1"/>
  <c r="AT159" i="20" s="1"/>
  <c r="AO179" i="20"/>
  <c r="AP179" i="20" s="1"/>
  <c r="AT179" i="20" s="1"/>
  <c r="AX186" i="20"/>
  <c r="AO196" i="20"/>
  <c r="AP196" i="20" s="1"/>
  <c r="AT196" i="20" s="1"/>
  <c r="AO176" i="20"/>
  <c r="AP176" i="20" s="1"/>
  <c r="AT176" i="20" s="1"/>
  <c r="AO193" i="20"/>
  <c r="AP193" i="20" s="1"/>
  <c r="AT193" i="20" s="1"/>
  <c r="AX190" i="20"/>
  <c r="AX200" i="20"/>
  <c r="AX188" i="20"/>
  <c r="AX201" i="20"/>
  <c r="AX189" i="20"/>
  <c r="AO186" i="20"/>
  <c r="AP186" i="20" s="1"/>
  <c r="AT186" i="20" s="1"/>
  <c r="AO190" i="20"/>
  <c r="AP190" i="20" s="1"/>
  <c r="AT190" i="20" s="1"/>
  <c r="AO194" i="20"/>
  <c r="AP194" i="20" s="1"/>
  <c r="AT194" i="20" s="1"/>
  <c r="AO198" i="20"/>
  <c r="AP198" i="20" s="1"/>
  <c r="AT198" i="20" s="1"/>
  <c r="AO202" i="20"/>
  <c r="AP202" i="20" s="1"/>
  <c r="AT202" i="20" s="1"/>
  <c r="AX187" i="20"/>
  <c r="AX191" i="20"/>
  <c r="AX195" i="20"/>
  <c r="AX199" i="20"/>
  <c r="AX171" i="20"/>
  <c r="AX179" i="20"/>
  <c r="AX183" i="20"/>
  <c r="AX177" i="20"/>
  <c r="AX180" i="20"/>
  <c r="AX172" i="20"/>
  <c r="AO181" i="20"/>
  <c r="AP181" i="20" s="1"/>
  <c r="AT181" i="20" s="1"/>
  <c r="AX184" i="20"/>
  <c r="AX181" i="20"/>
  <c r="AO182" i="20"/>
  <c r="AP182" i="20" s="1"/>
  <c r="AT182" i="20" s="1"/>
  <c r="AW185" i="20"/>
  <c r="AX163" i="20"/>
  <c r="AX156" i="20"/>
  <c r="AX159" i="20"/>
  <c r="AX166" i="20"/>
  <c r="AX160" i="20"/>
  <c r="AX154" i="20"/>
  <c r="AX167" i="20"/>
  <c r="AX164" i="20"/>
  <c r="AX158" i="20"/>
  <c r="AX168" i="20"/>
  <c r="AO153" i="20"/>
  <c r="AP153" i="20" s="1"/>
  <c r="AT153" i="20" s="1"/>
  <c r="AO157" i="20"/>
  <c r="AP157" i="20" s="1"/>
  <c r="AT157" i="20" s="1"/>
  <c r="AO161" i="20"/>
  <c r="AP161" i="20" s="1"/>
  <c r="AT161" i="20" s="1"/>
  <c r="AO165" i="20"/>
  <c r="AP165" i="20" s="1"/>
  <c r="AT165" i="20" s="1"/>
  <c r="AO169" i="20"/>
  <c r="AP169" i="20" s="1"/>
  <c r="AT169" i="20" s="1"/>
  <c r="AX96" i="20"/>
  <c r="AO132" i="20"/>
  <c r="AP132" i="20" s="1"/>
  <c r="AT132" i="20" s="1"/>
  <c r="AO145" i="20"/>
  <c r="AP145" i="20" s="1"/>
  <c r="AT145" i="20" s="1"/>
  <c r="AO151" i="20"/>
  <c r="AP151" i="20" s="1"/>
  <c r="AT151" i="20" s="1"/>
  <c r="AX138" i="20"/>
  <c r="AX151" i="20"/>
  <c r="AX128" i="20"/>
  <c r="AX144" i="20"/>
  <c r="AX134" i="20"/>
  <c r="AX147" i="20"/>
  <c r="AO131" i="20"/>
  <c r="AP131" i="20" s="1"/>
  <c r="AT131" i="20" s="1"/>
  <c r="AO137" i="20"/>
  <c r="AP137" i="20" s="1"/>
  <c r="AT137" i="20" s="1"/>
  <c r="AX146" i="20"/>
  <c r="AO150" i="20"/>
  <c r="AP150" i="20" s="1"/>
  <c r="AT150" i="20" s="1"/>
  <c r="AX127" i="20"/>
  <c r="AX137" i="20"/>
  <c r="AX148" i="20"/>
  <c r="AX129" i="20"/>
  <c r="AX107" i="20"/>
  <c r="AX112" i="20"/>
  <c r="AX124" i="20"/>
  <c r="AO141" i="20"/>
  <c r="AP141" i="20" s="1"/>
  <c r="AT141" i="20" s="1"/>
  <c r="AO147" i="20"/>
  <c r="AP147" i="20" s="1"/>
  <c r="AT147" i="20" s="1"/>
  <c r="AX150" i="20"/>
  <c r="AO144" i="20"/>
  <c r="AP144" i="20" s="1"/>
  <c r="AT144" i="20" s="1"/>
  <c r="AX140" i="20"/>
  <c r="AO142" i="20"/>
  <c r="AP142" i="20" s="1"/>
  <c r="AT142" i="20" s="1"/>
  <c r="AO148" i="20"/>
  <c r="AP148" i="20" s="1"/>
  <c r="AT148" i="20" s="1"/>
  <c r="AX131" i="20"/>
  <c r="AW152" i="20"/>
  <c r="AX132" i="20"/>
  <c r="AX142" i="20"/>
  <c r="AO143" i="20"/>
  <c r="AP143" i="20" s="1"/>
  <c r="AT143" i="20" s="1"/>
  <c r="AO149" i="20"/>
  <c r="AP149" i="20" s="1"/>
  <c r="AT149" i="20" s="1"/>
  <c r="AX133" i="20"/>
  <c r="AX143" i="20"/>
  <c r="AX141" i="20"/>
  <c r="AO128" i="20"/>
  <c r="AP128" i="20" s="1"/>
  <c r="AT128" i="20" s="1"/>
  <c r="AO134" i="20"/>
  <c r="AP134" i="20" s="1"/>
  <c r="AT134" i="20" s="1"/>
  <c r="AO129" i="20"/>
  <c r="AP129" i="20" s="1"/>
  <c r="AT129" i="20" s="1"/>
  <c r="AO135" i="20"/>
  <c r="AP135" i="20" s="1"/>
  <c r="AT135" i="20" s="1"/>
  <c r="AO130" i="20"/>
  <c r="AP130" i="20" s="1"/>
  <c r="AT130" i="20" s="1"/>
  <c r="AO136" i="20"/>
  <c r="AP136" i="20" s="1"/>
  <c r="AT136" i="20" s="1"/>
  <c r="AO138" i="20"/>
  <c r="AP138" i="20" s="1"/>
  <c r="AT138" i="20" s="1"/>
  <c r="AO127" i="20"/>
  <c r="AP127" i="20" s="1"/>
  <c r="AT127" i="20" s="1"/>
  <c r="AO133" i="20"/>
  <c r="AP133" i="20" s="1"/>
  <c r="AT133" i="20" s="1"/>
  <c r="AO110" i="20"/>
  <c r="AT110" i="20" s="1"/>
  <c r="AO116" i="20"/>
  <c r="AP116" i="20" s="1"/>
  <c r="AT116" i="20" s="1"/>
  <c r="AO122" i="20"/>
  <c r="AP122" i="20" s="1"/>
  <c r="AT122" i="20" s="1"/>
  <c r="AX114" i="20"/>
  <c r="AW75" i="20"/>
  <c r="AX101" i="20"/>
  <c r="AX102" i="20"/>
  <c r="AX117" i="20"/>
  <c r="AO99" i="20"/>
  <c r="AP99" i="20" s="1"/>
  <c r="AT99" i="20" s="1"/>
  <c r="AO105" i="20"/>
  <c r="AP105" i="20" s="1"/>
  <c r="AT105" i="20" s="1"/>
  <c r="AX104" i="20"/>
  <c r="AO113" i="20"/>
  <c r="AP113" i="20" s="1"/>
  <c r="AT113" i="20" s="1"/>
  <c r="AX120" i="20"/>
  <c r="AX95" i="20"/>
  <c r="AO115" i="20"/>
  <c r="AP115" i="20" s="1"/>
  <c r="AT115" i="20" s="1"/>
  <c r="AO121" i="20"/>
  <c r="AP121" i="20" s="1"/>
  <c r="AT121" i="20" s="1"/>
  <c r="AO96" i="20"/>
  <c r="AP96" i="20" s="1"/>
  <c r="AT96" i="20" s="1"/>
  <c r="AO104" i="20"/>
  <c r="AP104" i="20" s="1"/>
  <c r="AT104" i="20" s="1"/>
  <c r="AX99" i="20"/>
  <c r="AX113" i="20"/>
  <c r="AX125" i="20"/>
  <c r="AO109" i="20"/>
  <c r="AP109" i="20" s="1"/>
  <c r="AT109" i="20" s="1"/>
  <c r="AX100" i="20"/>
  <c r="AX115" i="20"/>
  <c r="AW126" i="20"/>
  <c r="AO106" i="20"/>
  <c r="AP106" i="20" s="1"/>
  <c r="AT106" i="20" s="1"/>
  <c r="AO111" i="20"/>
  <c r="AP111" i="20" s="1"/>
  <c r="AT111" i="20" s="1"/>
  <c r="AO117" i="20"/>
  <c r="AP117" i="20" s="1"/>
  <c r="AT117" i="20" s="1"/>
  <c r="AO123" i="20"/>
  <c r="AP123" i="20" s="1"/>
  <c r="AT123" i="20" s="1"/>
  <c r="AX116" i="20"/>
  <c r="AX103" i="20"/>
  <c r="AO112" i="20"/>
  <c r="AP112" i="20" s="1"/>
  <c r="AT112" i="20" s="1"/>
  <c r="AO118" i="20"/>
  <c r="AP118" i="20" s="1"/>
  <c r="AT118" i="20" s="1"/>
  <c r="AO124" i="20"/>
  <c r="AP124" i="20" s="1"/>
  <c r="AT124" i="20" s="1"/>
  <c r="AX118" i="20"/>
  <c r="AO101" i="20"/>
  <c r="AP101" i="20" s="1"/>
  <c r="AT101" i="20" s="1"/>
  <c r="AO107" i="20"/>
  <c r="AP107" i="20" s="1"/>
  <c r="AT107" i="20" s="1"/>
  <c r="AX119" i="20"/>
  <c r="AX105" i="20"/>
  <c r="AO94" i="20"/>
  <c r="AP94" i="20" s="1"/>
  <c r="AT94" i="20" s="1"/>
  <c r="AO102" i="20"/>
  <c r="AP102" i="20" s="1"/>
  <c r="AT102" i="20" s="1"/>
  <c r="AX106" i="20"/>
  <c r="AX109" i="20"/>
  <c r="AX121" i="20"/>
  <c r="AX110" i="20"/>
  <c r="AX122" i="20"/>
  <c r="AX94" i="20"/>
  <c r="AO100" i="20"/>
  <c r="AP100" i="20" s="1"/>
  <c r="AT100" i="20" s="1"/>
  <c r="AO95" i="20"/>
  <c r="AP95" i="20" s="1"/>
  <c r="AT95" i="20" s="1"/>
  <c r="AO103" i="20"/>
  <c r="AP103" i="20" s="1"/>
  <c r="AT103" i="20" s="1"/>
  <c r="AO62" i="20"/>
  <c r="AP62" i="20" s="1"/>
  <c r="AX24" i="20"/>
  <c r="AX21" i="20"/>
  <c r="AX76" i="20"/>
  <c r="AO78" i="20"/>
  <c r="AP78" i="20" s="1"/>
  <c r="AT78" i="20" s="1"/>
  <c r="AO84" i="20"/>
  <c r="AP84" i="20" s="1"/>
  <c r="AT84" i="20" s="1"/>
  <c r="AO90" i="20"/>
  <c r="AP90" i="20" s="1"/>
  <c r="AT90" i="20" s="1"/>
  <c r="AW93" i="20"/>
  <c r="AX87" i="20"/>
  <c r="AX86" i="20"/>
  <c r="AX23" i="20"/>
  <c r="AX81" i="20"/>
  <c r="AX82" i="20"/>
  <c r="AX83" i="20"/>
  <c r="AX88" i="20"/>
  <c r="AX89" i="20"/>
  <c r="AX78" i="20"/>
  <c r="AX90" i="20"/>
  <c r="AX79" i="20"/>
  <c r="AX91" i="20"/>
  <c r="AO79" i="20"/>
  <c r="AP79" i="20" s="1"/>
  <c r="AT79" i="20" s="1"/>
  <c r="AO85" i="20"/>
  <c r="AP85" i="20" s="1"/>
  <c r="AT85" i="20" s="1"/>
  <c r="AO64" i="20"/>
  <c r="AP64" i="20" s="1"/>
  <c r="AX92" i="20"/>
  <c r="AO87" i="20"/>
  <c r="AP87" i="20" s="1"/>
  <c r="AT87" i="20" s="1"/>
  <c r="AO92" i="20"/>
  <c r="AP92" i="20" s="1"/>
  <c r="AT92" i="20" s="1"/>
  <c r="AX22" i="20"/>
  <c r="AO80" i="20"/>
  <c r="AP80" i="20" s="1"/>
  <c r="AT80" i="20" s="1"/>
  <c r="AO47" i="20"/>
  <c r="AP47" i="20" s="1"/>
  <c r="AX84" i="20"/>
  <c r="AO74" i="20"/>
  <c r="AP74" i="20" s="1"/>
  <c r="AX77" i="20"/>
  <c r="AX25" i="20"/>
  <c r="AO53" i="20"/>
  <c r="AP53" i="20" s="1"/>
  <c r="AX20" i="20"/>
  <c r="AO77" i="20"/>
  <c r="AP77" i="20" s="1"/>
  <c r="AT77" i="20" s="1"/>
  <c r="AO83" i="20"/>
  <c r="AP83" i="20" s="1"/>
  <c r="AT83" i="20" s="1"/>
  <c r="AO89" i="20"/>
  <c r="AP89" i="20" s="1"/>
  <c r="AT89" i="20" s="1"/>
  <c r="AX85" i="20"/>
  <c r="AO86" i="20"/>
  <c r="AP86" i="20" s="1"/>
  <c r="AT86" i="20" s="1"/>
  <c r="AO81" i="20"/>
  <c r="AP81" i="20" s="1"/>
  <c r="AT81" i="20" s="1"/>
  <c r="AX19" i="20"/>
  <c r="AX80" i="20"/>
  <c r="AO88" i="20"/>
  <c r="AP88" i="20" s="1"/>
  <c r="AT88" i="20" s="1"/>
  <c r="AO91" i="20"/>
  <c r="AP91" i="20" s="1"/>
  <c r="AT91" i="20" s="1"/>
  <c r="AO76" i="20"/>
  <c r="AP76" i="20" s="1"/>
  <c r="AT76" i="20" s="1"/>
  <c r="AO82" i="20"/>
  <c r="AP82" i="20" s="1"/>
  <c r="AT82" i="20" s="1"/>
  <c r="AO59" i="20"/>
  <c r="AP59" i="20" s="1"/>
  <c r="AO65" i="20"/>
  <c r="AP65" i="20" s="1"/>
  <c r="AO56" i="20"/>
  <c r="AP56" i="20" s="1"/>
  <c r="AT56" i="20" s="1"/>
  <c r="AO61" i="20"/>
  <c r="AP61" i="20" s="1"/>
  <c r="AO67" i="20"/>
  <c r="AP67" i="20" s="1"/>
  <c r="AO60" i="20"/>
  <c r="AP60" i="20" s="1"/>
  <c r="AX56" i="20"/>
  <c r="AO57" i="20"/>
  <c r="AP57" i="20" s="1"/>
  <c r="AT57" i="20" s="1"/>
  <c r="AO51" i="20"/>
  <c r="AP51" i="20" s="1"/>
  <c r="AO68" i="20"/>
  <c r="AP68" i="20" s="1"/>
  <c r="AO49" i="20"/>
  <c r="AP49" i="20" s="1"/>
  <c r="AO48" i="20"/>
  <c r="AP48" i="20" s="1"/>
  <c r="AO42" i="20"/>
  <c r="AP42" i="20" s="1"/>
  <c r="AY42" i="20" s="1"/>
  <c r="AO44" i="20"/>
  <c r="AP44" i="20" s="1"/>
  <c r="AX57" i="20"/>
  <c r="AX18" i="20"/>
  <c r="AO46" i="20"/>
  <c r="AP46" i="20" s="1"/>
  <c r="AO52" i="20"/>
  <c r="AP52" i="20" s="1"/>
  <c r="AO63" i="20"/>
  <c r="AP63" i="20" s="1"/>
  <c r="AO69" i="20"/>
  <c r="AP69" i="20" s="1"/>
  <c r="AO45" i="20"/>
  <c r="AP45" i="20" s="1"/>
  <c r="AO55" i="20"/>
  <c r="AP55" i="20" s="1"/>
  <c r="AO50" i="20"/>
  <c r="AP50" i="20" s="1"/>
  <c r="AO66" i="20"/>
  <c r="AP66" i="20" s="1"/>
  <c r="AX14" i="20"/>
  <c r="AX26" i="20"/>
  <c r="AX27" i="20"/>
  <c r="AX16" i="20"/>
  <c r="AX28" i="20"/>
  <c r="AX15" i="20"/>
  <c r="AX17" i="20"/>
  <c r="AX29" i="20"/>
  <c r="AO28" i="20"/>
  <c r="AP28" i="20" s="1"/>
  <c r="AT28" i="20" s="1"/>
  <c r="AO20" i="20"/>
  <c r="AP20" i="20" s="1"/>
  <c r="AT20" i="20" s="1"/>
  <c r="AO21" i="20"/>
  <c r="AP21" i="20" s="1"/>
  <c r="AT21" i="20" s="1"/>
  <c r="AO16" i="20"/>
  <c r="AP16" i="20" s="1"/>
  <c r="AT16" i="20" s="1"/>
  <c r="AO14" i="20"/>
  <c r="AP14" i="20" s="1"/>
  <c r="AT14" i="20" s="1"/>
  <c r="AO17" i="20"/>
  <c r="AP17" i="20" s="1"/>
  <c r="AT17" i="20" s="1"/>
  <c r="AO23" i="20"/>
  <c r="AP23" i="20" s="1"/>
  <c r="AT23" i="20" s="1"/>
  <c r="AO29" i="20"/>
  <c r="AP29" i="20" s="1"/>
  <c r="AT29" i="20" s="1"/>
  <c r="AO25" i="20"/>
  <c r="AP25" i="20" s="1"/>
  <c r="AT25" i="20" s="1"/>
  <c r="AO26" i="20"/>
  <c r="AP26" i="20" s="1"/>
  <c r="AT26" i="20" s="1"/>
  <c r="AO15" i="20"/>
  <c r="AP15" i="20" s="1"/>
  <c r="AT15" i="20" s="1"/>
  <c r="AO27" i="20"/>
  <c r="AP27" i="20" s="1"/>
  <c r="AT27" i="20" s="1"/>
  <c r="AO22" i="20"/>
  <c r="AP22" i="20" s="1"/>
  <c r="AT22" i="20" s="1"/>
  <c r="AO19" i="20"/>
  <c r="AP19" i="20" s="1"/>
  <c r="AT19" i="20" s="1"/>
  <c r="AO18" i="20"/>
  <c r="AP18" i="20" s="1"/>
  <c r="AT18" i="20" s="1"/>
  <c r="AO24" i="20"/>
  <c r="AP24" i="20" s="1"/>
  <c r="AT24" i="20" s="1"/>
  <c r="I15" i="25"/>
  <c r="H41" i="25"/>
  <c r="H38" i="25"/>
  <c r="AY180" i="20" l="1"/>
  <c r="AY216" i="20"/>
  <c r="AY151" i="20"/>
  <c r="AY206" i="20"/>
  <c r="AY78" i="20"/>
  <c r="AT42" i="20"/>
  <c r="AY142" i="20"/>
  <c r="C225" i="20"/>
  <c r="AY128" i="20"/>
  <c r="F29" i="26"/>
  <c r="F35" i="26" s="1"/>
  <c r="AY148" i="20"/>
  <c r="AY205" i="20"/>
  <c r="AY140" i="20"/>
  <c r="AY177" i="20"/>
  <c r="AY208" i="20"/>
  <c r="AY134" i="20"/>
  <c r="AY215" i="20"/>
  <c r="AY143" i="20"/>
  <c r="AY156" i="20"/>
  <c r="AY201" i="20"/>
  <c r="AY209" i="20"/>
  <c r="AY146" i="20"/>
  <c r="AY179" i="20"/>
  <c r="AY213" i="20"/>
  <c r="AY183" i="20"/>
  <c r="AY200" i="20"/>
  <c r="AY210" i="20"/>
  <c r="AY197" i="20"/>
  <c r="AY171" i="20"/>
  <c r="C227" i="20"/>
  <c r="AY164" i="20"/>
  <c r="AY178" i="20"/>
  <c r="AY130" i="20"/>
  <c r="AY120" i="20"/>
  <c r="AY141" i="20"/>
  <c r="AY172" i="20"/>
  <c r="AX218" i="20"/>
  <c r="AY133" i="20"/>
  <c r="AY147" i="20"/>
  <c r="AY144" i="20"/>
  <c r="AY212" i="20"/>
  <c r="AY132" i="20"/>
  <c r="AY173" i="20"/>
  <c r="AY131" i="20"/>
  <c r="AY191" i="20"/>
  <c r="AY136" i="20"/>
  <c r="AY150" i="20"/>
  <c r="AY129" i="20"/>
  <c r="AY149" i="20"/>
  <c r="AY114" i="20"/>
  <c r="AY137" i="20"/>
  <c r="AY181" i="20"/>
  <c r="AY192" i="20"/>
  <c r="AY83" i="20"/>
  <c r="AY138" i="20"/>
  <c r="AY182" i="20"/>
  <c r="AY127" i="20"/>
  <c r="AX139" i="20"/>
  <c r="AY184" i="20"/>
  <c r="AY135" i="20"/>
  <c r="AY176" i="20"/>
  <c r="AY145" i="20"/>
  <c r="AX108" i="20"/>
  <c r="AY119" i="20"/>
  <c r="AY193" i="20"/>
  <c r="AY123" i="20"/>
  <c r="AY163" i="20"/>
  <c r="AY199" i="20"/>
  <c r="AY207" i="20"/>
  <c r="AY204" i="20"/>
  <c r="AY211" i="20"/>
  <c r="AY217" i="20"/>
  <c r="AY118" i="20"/>
  <c r="AY162" i="20"/>
  <c r="AY188" i="20"/>
  <c r="AY160" i="20"/>
  <c r="AY166" i="20"/>
  <c r="AY155" i="20"/>
  <c r="AY196" i="20"/>
  <c r="AY195" i="20"/>
  <c r="AY168" i="20"/>
  <c r="AY158" i="20"/>
  <c r="AY159" i="20"/>
  <c r="AY167" i="20"/>
  <c r="AY154" i="20"/>
  <c r="AX203" i="20"/>
  <c r="AY189" i="20"/>
  <c r="AY25" i="20"/>
  <c r="AX170" i="20"/>
  <c r="AY187" i="20"/>
  <c r="AY198" i="20"/>
  <c r="AY190" i="20"/>
  <c r="AY186" i="20"/>
  <c r="AY202" i="20"/>
  <c r="AY194" i="20"/>
  <c r="AX185" i="20"/>
  <c r="AY169" i="20"/>
  <c r="AY165" i="20"/>
  <c r="AY161" i="20"/>
  <c r="AY157" i="20"/>
  <c r="AY153" i="20"/>
  <c r="AY122" i="20"/>
  <c r="AY21" i="20"/>
  <c r="AY107" i="20"/>
  <c r="AY110" i="20"/>
  <c r="AY125" i="20"/>
  <c r="AY80" i="20"/>
  <c r="AY76" i="20"/>
  <c r="AY24" i="20"/>
  <c r="AX152" i="20"/>
  <c r="AY116" i="20"/>
  <c r="AY104" i="20"/>
  <c r="AY113" i="20"/>
  <c r="AY117" i="20"/>
  <c r="AY79" i="20"/>
  <c r="AY105" i="20"/>
  <c r="AY111" i="20"/>
  <c r="AY100" i="20"/>
  <c r="AY103" i="20"/>
  <c r="AY99" i="20"/>
  <c r="AY95" i="20"/>
  <c r="AY101" i="20"/>
  <c r="AY112" i="20"/>
  <c r="AY109" i="20"/>
  <c r="AX126" i="20"/>
  <c r="F19" i="26" s="1"/>
  <c r="G19" i="26" s="1"/>
  <c r="H19" i="26" s="1"/>
  <c r="AY106" i="20"/>
  <c r="AY102" i="20"/>
  <c r="AY89" i="20"/>
  <c r="AY96" i="20"/>
  <c r="AY94" i="20"/>
  <c r="AY124" i="20"/>
  <c r="AY121" i="20"/>
  <c r="AY115" i="20"/>
  <c r="AY90" i="20"/>
  <c r="AY87" i="20"/>
  <c r="AY84" i="20"/>
  <c r="AY82" i="20"/>
  <c r="AX93" i="20"/>
  <c r="AY22" i="20"/>
  <c r="AY88" i="20"/>
  <c r="AY16" i="20"/>
  <c r="AY81" i="20"/>
  <c r="AY23" i="20"/>
  <c r="AY18" i="20"/>
  <c r="AY86" i="20"/>
  <c r="AY92" i="20"/>
  <c r="AY91" i="20"/>
  <c r="AY15" i="20"/>
  <c r="AY77" i="20"/>
  <c r="AY57" i="20"/>
  <c r="AY27" i="20"/>
  <c r="AY19" i="20"/>
  <c r="AY26" i="20"/>
  <c r="AY85" i="20"/>
  <c r="AY20" i="20"/>
  <c r="AY14" i="20"/>
  <c r="AY29" i="20"/>
  <c r="AY17" i="20"/>
  <c r="AY56" i="20"/>
  <c r="AY28" i="20"/>
  <c r="AS67" i="20"/>
  <c r="AS66" i="20"/>
  <c r="AS65" i="20"/>
  <c r="AS64" i="20"/>
  <c r="AS63" i="20"/>
  <c r="AS62" i="20"/>
  <c r="AS61" i="20"/>
  <c r="AS60" i="20"/>
  <c r="AS59" i="20"/>
  <c r="AY170" i="20" l="1"/>
  <c r="F22" i="26"/>
  <c r="G22" i="26" s="1"/>
  <c r="H22" i="26" s="1"/>
  <c r="AY203" i="20"/>
  <c r="F24" i="26"/>
  <c r="G24" i="26" s="1"/>
  <c r="H24" i="26" s="1"/>
  <c r="AY126" i="20"/>
  <c r="AY108" i="20"/>
  <c r="F18" i="26"/>
  <c r="G18" i="26" s="1"/>
  <c r="H18" i="26" s="1"/>
  <c r="AY152" i="20"/>
  <c r="F21" i="26"/>
  <c r="G21" i="26" s="1"/>
  <c r="H21" i="26" s="1"/>
  <c r="AY185" i="20"/>
  <c r="F23" i="26"/>
  <c r="G23" i="26" s="1"/>
  <c r="H23" i="26" s="1"/>
  <c r="AY218" i="20"/>
  <c r="F25" i="26"/>
  <c r="G25" i="26" s="1"/>
  <c r="H25" i="26" s="1"/>
  <c r="AY93" i="20"/>
  <c r="F17" i="26"/>
  <c r="G17" i="26" s="1"/>
  <c r="H17" i="26" s="1"/>
  <c r="AY139" i="20"/>
  <c r="F20" i="26"/>
  <c r="G20" i="26" s="1"/>
  <c r="H20" i="26" s="1"/>
  <c r="AX66" i="20"/>
  <c r="AY66" i="20" s="1"/>
  <c r="AX63" i="20"/>
  <c r="AY63" i="20" s="1"/>
  <c r="AX60" i="20"/>
  <c r="AY60" i="20" s="1"/>
  <c r="AX61" i="20"/>
  <c r="AY61" i="20" s="1"/>
  <c r="AX59" i="20"/>
  <c r="AX67" i="20"/>
  <c r="AY67" i="20" s="1"/>
  <c r="AX62" i="20"/>
  <c r="AY62" i="20" s="1"/>
  <c r="AX65" i="20"/>
  <c r="AY65" i="20" s="1"/>
  <c r="AX68" i="20"/>
  <c r="AY68" i="20" s="1"/>
  <c r="AS68" i="20"/>
  <c r="AT68" i="20" s="1"/>
  <c r="AT66" i="20"/>
  <c r="AT67" i="20"/>
  <c r="AT63" i="20"/>
  <c r="AT59" i="20"/>
  <c r="AT64" i="20"/>
  <c r="AT61" i="20"/>
  <c r="AT65" i="20"/>
  <c r="AX64" i="20"/>
  <c r="AY64" i="20" s="1"/>
  <c r="AY59" i="20" l="1"/>
  <c r="AT62" i="20"/>
  <c r="AT60" i="20"/>
  <c r="BX25" i="24" l="1"/>
  <c r="BX45" i="23"/>
  <c r="BX48" i="23"/>
  <c r="BX36" i="23"/>
  <c r="BY36" i="23" s="1"/>
  <c r="BX35" i="23"/>
  <c r="BY35" i="23" s="1"/>
  <c r="BX34" i="23"/>
  <c r="BY34" i="23" s="1"/>
  <c r="BX33" i="23"/>
  <c r="BY33" i="23" s="1"/>
  <c r="BX31" i="23"/>
  <c r="BY31" i="23" s="1"/>
  <c r="BX30" i="23"/>
  <c r="BY30" i="23" s="1"/>
  <c r="BY29" i="23"/>
  <c r="BX29" i="23"/>
  <c r="BX28" i="23"/>
  <c r="BY28" i="23" s="1"/>
  <c r="BX26" i="23"/>
  <c r="BY26" i="23" s="1"/>
  <c r="BX25" i="23"/>
  <c r="BY25" i="23" s="1"/>
  <c r="BX24" i="23"/>
  <c r="BY24" i="23" s="1"/>
  <c r="BY23" i="23"/>
  <c r="BX23" i="23"/>
  <c r="BY21" i="23"/>
  <c r="BX21" i="23"/>
  <c r="BY20" i="23"/>
  <c r="BX20" i="23"/>
  <c r="BX19" i="23"/>
  <c r="BY19" i="23" s="1"/>
  <c r="BY18" i="23"/>
  <c r="BX18" i="23"/>
  <c r="BX16" i="23"/>
  <c r="BY16" i="23" s="1"/>
  <c r="BX15" i="23"/>
  <c r="BY15" i="23" s="1"/>
  <c r="BX14" i="23"/>
  <c r="BY14" i="23" s="1"/>
  <c r="BX13" i="23"/>
  <c r="BY13" i="23" s="1"/>
  <c r="BX15" i="24"/>
  <c r="BY15" i="24"/>
  <c r="BX14" i="24"/>
  <c r="BY45" i="23"/>
  <c r="BX44" i="23"/>
  <c r="BY44" i="23" s="1"/>
  <c r="BX42" i="23"/>
  <c r="BY42" i="23" s="1"/>
  <c r="BX41" i="23"/>
  <c r="BY41" i="23" s="1"/>
  <c r="BX39" i="23"/>
  <c r="BY39" i="23" s="1"/>
  <c r="BX38" i="23"/>
  <c r="BY38" i="23" s="1"/>
  <c r="BX78" i="19" l="1"/>
  <c r="BX79" i="19" s="1"/>
  <c r="BX76" i="19"/>
  <c r="BX30" i="22"/>
  <c r="BX27" i="21"/>
  <c r="BX24" i="21"/>
  <c r="BY24" i="21" s="1"/>
  <c r="BX22" i="21"/>
  <c r="BY22" i="21" s="1"/>
  <c r="BX21" i="21"/>
  <c r="BY21" i="21" s="1"/>
  <c r="BY19" i="21"/>
  <c r="BX19" i="21"/>
  <c r="BX18" i="21"/>
  <c r="BY18" i="21" s="1"/>
  <c r="BX16" i="21"/>
  <c r="BY16" i="21" s="1"/>
  <c r="BX15" i="21"/>
  <c r="BY15" i="21" s="1"/>
  <c r="BX14" i="21"/>
  <c r="BY14" i="21" s="1"/>
  <c r="BX13" i="21"/>
  <c r="BY13" i="21" s="1"/>
  <c r="BX15" i="22"/>
  <c r="BY15" i="22"/>
  <c r="BY26" i="22"/>
  <c r="BX72" i="19"/>
  <c r="BX69" i="19"/>
  <c r="BY69" i="19" s="1"/>
  <c r="BY68" i="19"/>
  <c r="BX68" i="19"/>
  <c r="BX67" i="19"/>
  <c r="BY67" i="19" s="1"/>
  <c r="BX66" i="19"/>
  <c r="BY66" i="19" s="1"/>
  <c r="BX65" i="19"/>
  <c r="BY65" i="19" s="1"/>
  <c r="BY64" i="19"/>
  <c r="BX64" i="19"/>
  <c r="BX63" i="19"/>
  <c r="BY63" i="19" s="1"/>
  <c r="BY62" i="19"/>
  <c r="BX62" i="19"/>
  <c r="BX61" i="19"/>
  <c r="BY61" i="19" s="1"/>
  <c r="BX60" i="19"/>
  <c r="BY60" i="19" s="1"/>
  <c r="BX59" i="19"/>
  <c r="BY59" i="19" s="1"/>
  <c r="BY58" i="19"/>
  <c r="BX58" i="19"/>
  <c r="BX56" i="19"/>
  <c r="BY56" i="19" s="1"/>
  <c r="BY55" i="19"/>
  <c r="BX55" i="19"/>
  <c r="BX54" i="19"/>
  <c r="BY54" i="19" s="1"/>
  <c r="BX53" i="19"/>
  <c r="BY53" i="19" s="1"/>
  <c r="BX52" i="19"/>
  <c r="BY52" i="19" s="1"/>
  <c r="BY51" i="19"/>
  <c r="BX51" i="19"/>
  <c r="BX50" i="19"/>
  <c r="BY50" i="19" s="1"/>
  <c r="BY49" i="19"/>
  <c r="BX49" i="19"/>
  <c r="BX48" i="19"/>
  <c r="BY48" i="19" s="1"/>
  <c r="BX47" i="19"/>
  <c r="BY47" i="19" s="1"/>
  <c r="BX46" i="19"/>
  <c r="BY46" i="19" s="1"/>
  <c r="BY45" i="19"/>
  <c r="BX45" i="19"/>
  <c r="BX43" i="19"/>
  <c r="BY43" i="19" s="1"/>
  <c r="BY42" i="19"/>
  <c r="BX42" i="19"/>
  <c r="BX41" i="19"/>
  <c r="BY41" i="19" s="1"/>
  <c r="BX40" i="19"/>
  <c r="BY40" i="19" s="1"/>
  <c r="BX39" i="19"/>
  <c r="BY39" i="19" s="1"/>
  <c r="BY38" i="19"/>
  <c r="BX38" i="19"/>
  <c r="BX37" i="19"/>
  <c r="BY37" i="19" s="1"/>
  <c r="BY36" i="19"/>
  <c r="BX36" i="19"/>
  <c r="BX35" i="19"/>
  <c r="BY35" i="19" s="1"/>
  <c r="BX34" i="19"/>
  <c r="BY34" i="19" s="1"/>
  <c r="BX33" i="19"/>
  <c r="BY33" i="19" s="1"/>
  <c r="BY31" i="19"/>
  <c r="BX31" i="19"/>
  <c r="BX29" i="19"/>
  <c r="BY29" i="19" s="1"/>
  <c r="BY28" i="19"/>
  <c r="BX28" i="19"/>
  <c r="BX27" i="19"/>
  <c r="BY27" i="19" s="1"/>
  <c r="BX25" i="19"/>
  <c r="BY25" i="19" s="1"/>
  <c r="BX24" i="19"/>
  <c r="BY24" i="19" s="1"/>
  <c r="BY23" i="19"/>
  <c r="BX23" i="19"/>
  <c r="BX21" i="19"/>
  <c r="BY21" i="19" s="1"/>
  <c r="BY20" i="19"/>
  <c r="BX20" i="19"/>
  <c r="BX19" i="19"/>
  <c r="BY19" i="19" s="1"/>
  <c r="BX17" i="19"/>
  <c r="BY17" i="19" s="1"/>
  <c r="BX16" i="19"/>
  <c r="BY16" i="19" s="1"/>
  <c r="BY14" i="19"/>
  <c r="BX14" i="19"/>
  <c r="BX13" i="19"/>
  <c r="BY13" i="19" s="1"/>
  <c r="Q13" i="9"/>
  <c r="O13" i="9"/>
  <c r="CC28" i="24"/>
  <c r="CD28" i="24"/>
  <c r="CB28" i="24"/>
  <c r="L30" i="9"/>
  <c r="L23" i="9"/>
  <c r="J64" i="9"/>
  <c r="I66" i="9"/>
  <c r="H66" i="9"/>
  <c r="F66" i="9"/>
  <c r="G28" i="9"/>
  <c r="F28" i="9"/>
  <c r="G27" i="9"/>
  <c r="F27" i="9"/>
  <c r="G26" i="9"/>
  <c r="H26" i="9" s="1"/>
  <c r="I26" i="9" s="1"/>
  <c r="F26" i="9"/>
  <c r="G25" i="9"/>
  <c r="F25" i="9"/>
  <c r="F30" i="9" s="1"/>
  <c r="G21" i="9"/>
  <c r="F21" i="9"/>
  <c r="H21" i="9" s="1"/>
  <c r="I21" i="9" s="1"/>
  <c r="G20" i="9"/>
  <c r="F20" i="9"/>
  <c r="G19" i="9"/>
  <c r="F19" i="9"/>
  <c r="G18" i="9"/>
  <c r="F18" i="9"/>
  <c r="BU29" i="21"/>
  <c r="BU28" i="21"/>
  <c r="G16" i="9"/>
  <c r="F16" i="9"/>
  <c r="G15" i="9"/>
  <c r="F15" i="9"/>
  <c r="G14" i="9"/>
  <c r="F14" i="9"/>
  <c r="G13" i="9"/>
  <c r="F13" i="9"/>
  <c r="H13" i="9" s="1"/>
  <c r="BQ31" i="19"/>
  <c r="I40" i="25"/>
  <c r="I39" i="25"/>
  <c r="I37" i="25"/>
  <c r="I36" i="25"/>
  <c r="I34" i="25"/>
  <c r="I33" i="25"/>
  <c r="I29" i="25"/>
  <c r="I28" i="25"/>
  <c r="I30" i="25" s="1"/>
  <c r="I20" i="25"/>
  <c r="I19" i="25"/>
  <c r="I21" i="25" s="1"/>
  <c r="I14" i="25"/>
  <c r="I16" i="25" s="1"/>
  <c r="I30" i="17"/>
  <c r="I93" i="17" s="1"/>
  <c r="I43" i="17"/>
  <c r="I74" i="17"/>
  <c r="I85" i="17"/>
  <c r="I82" i="17"/>
  <c r="I81" i="17"/>
  <c r="I84" i="17"/>
  <c r="I83" i="17"/>
  <c r="I80" i="17"/>
  <c r="I79" i="17"/>
  <c r="I90" i="17"/>
  <c r="I91" i="17" s="1"/>
  <c r="I89" i="17"/>
  <c r="I86" i="17"/>
  <c r="I88" i="17" s="1"/>
  <c r="I87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36" i="17"/>
  <c r="I35" i="17"/>
  <c r="I34" i="17"/>
  <c r="I33" i="17"/>
  <c r="I32" i="17"/>
  <c r="I31" i="17"/>
  <c r="I50" i="17"/>
  <c r="I49" i="17"/>
  <c r="I48" i="17"/>
  <c r="I47" i="17"/>
  <c r="I46" i="17"/>
  <c r="I45" i="17"/>
  <c r="I44" i="17"/>
  <c r="I70" i="17"/>
  <c r="I69" i="17"/>
  <c r="I68" i="17"/>
  <c r="I67" i="17"/>
  <c r="I66" i="17"/>
  <c r="I65" i="17"/>
  <c r="I72" i="17"/>
  <c r="I78" i="17"/>
  <c r="I77" i="17"/>
  <c r="I76" i="17"/>
  <c r="I75" i="17"/>
  <c r="I73" i="17"/>
  <c r="I51" i="17"/>
  <c r="I64" i="17"/>
  <c r="I63" i="17"/>
  <c r="I62" i="17"/>
  <c r="I61" i="17"/>
  <c r="I60" i="17"/>
  <c r="I59" i="17"/>
  <c r="I56" i="17"/>
  <c r="I57" i="17"/>
  <c r="I55" i="17"/>
  <c r="I54" i="17"/>
  <c r="I53" i="17"/>
  <c r="I52" i="17"/>
  <c r="I35" i="25" l="1"/>
  <c r="I38" i="25"/>
  <c r="G32" i="26"/>
  <c r="H32" i="26" s="1"/>
  <c r="G33" i="26"/>
  <c r="H33" i="26" s="1"/>
  <c r="G31" i="26"/>
  <c r="H31" i="26" s="1"/>
  <c r="G29" i="26"/>
  <c r="H29" i="26" s="1"/>
  <c r="G30" i="26"/>
  <c r="H30" i="26" s="1"/>
  <c r="H28" i="9"/>
  <c r="I28" i="9" s="1"/>
  <c r="H27" i="9"/>
  <c r="I27" i="9" s="1"/>
  <c r="G30" i="9"/>
  <c r="H20" i="9"/>
  <c r="I20" i="9" s="1"/>
  <c r="G23" i="9"/>
  <c r="H25" i="9"/>
  <c r="H14" i="9"/>
  <c r="I14" i="9" s="1"/>
  <c r="H18" i="9"/>
  <c r="I18" i="9" s="1"/>
  <c r="F23" i="9"/>
  <c r="H19" i="9"/>
  <c r="I19" i="9" s="1"/>
  <c r="I13" i="9"/>
  <c r="H15" i="9"/>
  <c r="I15" i="9" s="1"/>
  <c r="I41" i="25"/>
  <c r="I71" i="17"/>
  <c r="I58" i="17"/>
  <c r="H30" i="9" l="1"/>
  <c r="I25" i="9"/>
  <c r="I42" i="17"/>
  <c r="I41" i="17"/>
  <c r="I40" i="17"/>
  <c r="I39" i="17"/>
  <c r="I38" i="17"/>
  <c r="I37" i="17"/>
  <c r="CE30" i="21"/>
  <c r="CB27" i="21"/>
  <c r="CB25" i="21"/>
  <c r="CB23" i="21"/>
  <c r="CB20" i="21"/>
  <c r="CB17" i="21"/>
  <c r="CE29" i="21"/>
  <c r="CE27" i="21"/>
  <c r="CD27" i="21"/>
  <c r="CC27" i="21"/>
  <c r="CD24" i="21"/>
  <c r="CD25" i="21" s="1"/>
  <c r="CB24" i="21"/>
  <c r="CD22" i="21"/>
  <c r="CB22" i="21"/>
  <c r="CD21" i="21"/>
  <c r="CD23" i="21" s="1"/>
  <c r="CB21" i="21"/>
  <c r="CD19" i="21"/>
  <c r="CB19" i="21"/>
  <c r="CD18" i="21"/>
  <c r="CB18" i="21"/>
  <c r="CD16" i="21"/>
  <c r="CB16" i="21"/>
  <c r="CD15" i="21"/>
  <c r="CB15" i="21"/>
  <c r="CD14" i="21"/>
  <c r="CB14" i="21"/>
  <c r="CD13" i="21"/>
  <c r="CB13" i="21"/>
  <c r="CE30" i="22"/>
  <c r="CD30" i="22"/>
  <c r="CB30" i="22"/>
  <c r="CC30" i="22"/>
  <c r="CD17" i="22"/>
  <c r="CB17" i="22"/>
  <c r="CD28" i="22"/>
  <c r="CC28" i="22"/>
  <c r="CC25" i="22"/>
  <c r="CC23" i="22"/>
  <c r="CC20" i="22"/>
  <c r="CC17" i="22"/>
  <c r="CE28" i="22"/>
  <c r="CB28" i="22"/>
  <c r="CB26" i="22"/>
  <c r="CE25" i="22"/>
  <c r="CD25" i="22"/>
  <c r="CB25" i="22"/>
  <c r="CB23" i="22"/>
  <c r="CD16" i="22"/>
  <c r="CE16" i="22" s="1"/>
  <c r="CB16" i="22"/>
  <c r="CC16" i="22" s="1"/>
  <c r="CD15" i="22"/>
  <c r="CE15" i="22" s="1"/>
  <c r="CB15" i="22"/>
  <c r="CC15" i="22" s="1"/>
  <c r="BU32" i="22"/>
  <c r="BU31" i="22"/>
  <c r="BU30" i="22"/>
  <c r="BO28" i="24"/>
  <c r="BN28" i="24"/>
  <c r="BM28" i="24"/>
  <c r="BL28" i="24"/>
  <c r="BK28" i="24"/>
  <c r="BJ28" i="24"/>
  <c r="BI28" i="24"/>
  <c r="BH28" i="24"/>
  <c r="BG28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CD26" i="24"/>
  <c r="CD25" i="24"/>
  <c r="CB25" i="24"/>
  <c r="BS25" i="24"/>
  <c r="BT25" i="24" s="1"/>
  <c r="BU25" i="24" s="1"/>
  <c r="BP25" i="24"/>
  <c r="CD24" i="24"/>
  <c r="CB24" i="24"/>
  <c r="CB26" i="24" s="1"/>
  <c r="BS24" i="24"/>
  <c r="CC24" i="24" s="1"/>
  <c r="BP24" i="24"/>
  <c r="BX24" i="24" s="1"/>
  <c r="CD22" i="24"/>
  <c r="CB22" i="24"/>
  <c r="BS22" i="24"/>
  <c r="BP22" i="24"/>
  <c r="BT22" i="24" s="1"/>
  <c r="BU22" i="24" s="1"/>
  <c r="CD21" i="24"/>
  <c r="CB21" i="24"/>
  <c r="BS21" i="24"/>
  <c r="CE21" i="24" s="1"/>
  <c r="BP21" i="24"/>
  <c r="BX21" i="24" s="1"/>
  <c r="CD19" i="24"/>
  <c r="CE19" i="24" s="1"/>
  <c r="CB19" i="24"/>
  <c r="BS19" i="24"/>
  <c r="BP19" i="24"/>
  <c r="BX19" i="24" s="1"/>
  <c r="CD18" i="24"/>
  <c r="CB18" i="24"/>
  <c r="BS18" i="24"/>
  <c r="BP18" i="24"/>
  <c r="BX18" i="24" s="1"/>
  <c r="CD16" i="24"/>
  <c r="CB16" i="24"/>
  <c r="CC16" i="24" s="1"/>
  <c r="BS16" i="24"/>
  <c r="BP16" i="24"/>
  <c r="BX16" i="24" s="1"/>
  <c r="CD15" i="24"/>
  <c r="CE15" i="24" s="1"/>
  <c r="CB15" i="24"/>
  <c r="BS15" i="24"/>
  <c r="BP15" i="24"/>
  <c r="CD14" i="24"/>
  <c r="CB14" i="24"/>
  <c r="BS14" i="24"/>
  <c r="BT14" i="24" s="1"/>
  <c r="BU14" i="24" s="1"/>
  <c r="BP14" i="24"/>
  <c r="CD13" i="24"/>
  <c r="CB13" i="24"/>
  <c r="BS13" i="24"/>
  <c r="CE13" i="24" s="1"/>
  <c r="BP13" i="24"/>
  <c r="BX13" i="24" s="1"/>
  <c r="BX28" i="24" s="1"/>
  <c r="BE10" i="24"/>
  <c r="BF10" i="24" s="1"/>
  <c r="BG10" i="24" s="1"/>
  <c r="BH10" i="24" s="1"/>
  <c r="BI10" i="24" s="1"/>
  <c r="BJ10" i="24" s="1"/>
  <c r="BK10" i="24" s="1"/>
  <c r="BL10" i="24" s="1"/>
  <c r="BM10" i="24" s="1"/>
  <c r="BN10" i="24" s="1"/>
  <c r="BO10" i="24" s="1"/>
  <c r="Z10" i="24"/>
  <c r="AA10" i="24" s="1"/>
  <c r="AB10" i="24" s="1"/>
  <c r="AC10" i="24" s="1"/>
  <c r="AD10" i="24" s="1"/>
  <c r="AE10" i="24" s="1"/>
  <c r="AF10" i="24" s="1"/>
  <c r="AG10" i="24" s="1"/>
  <c r="AH10" i="24" s="1"/>
  <c r="AI10" i="24" s="1"/>
  <c r="AJ10" i="24" s="1"/>
  <c r="AK10" i="24" s="1"/>
  <c r="AL10" i="24" s="1"/>
  <c r="AM10" i="24" s="1"/>
  <c r="CE48" i="23"/>
  <c r="CC48" i="23"/>
  <c r="CE50" i="23"/>
  <c r="CE46" i="23"/>
  <c r="CD46" i="23"/>
  <c r="CB46" i="23"/>
  <c r="CC46" i="23"/>
  <c r="CC43" i="23"/>
  <c r="CC40" i="23"/>
  <c r="CC37" i="23"/>
  <c r="CB37" i="23"/>
  <c r="CD37" i="23"/>
  <c r="CE37" i="23"/>
  <c r="CD36" i="23"/>
  <c r="CE36" i="23" s="1"/>
  <c r="CC36" i="23"/>
  <c r="CB36" i="23"/>
  <c r="CD35" i="23"/>
  <c r="CE35" i="23" s="1"/>
  <c r="CB35" i="23"/>
  <c r="CC35" i="23" s="1"/>
  <c r="CE34" i="23"/>
  <c r="CD34" i="23"/>
  <c r="CB34" i="23"/>
  <c r="CC34" i="23" s="1"/>
  <c r="CD33" i="23"/>
  <c r="CE33" i="23" s="1"/>
  <c r="CC33" i="23"/>
  <c r="CB33" i="23"/>
  <c r="CE31" i="23"/>
  <c r="CD31" i="23"/>
  <c r="CB31" i="23"/>
  <c r="CC31" i="23" s="1"/>
  <c r="CD30" i="23"/>
  <c r="CE30" i="23" s="1"/>
  <c r="CC30" i="23"/>
  <c r="CB30" i="23"/>
  <c r="CD29" i="23"/>
  <c r="CE29" i="23" s="1"/>
  <c r="CB29" i="23"/>
  <c r="CC29" i="23" s="1"/>
  <c r="CE28" i="23"/>
  <c r="CD28" i="23"/>
  <c r="CB28" i="23"/>
  <c r="CC28" i="23" s="1"/>
  <c r="CD26" i="23"/>
  <c r="CE26" i="23" s="1"/>
  <c r="CB26" i="23"/>
  <c r="CC26" i="23" s="1"/>
  <c r="CE25" i="23"/>
  <c r="CD25" i="23"/>
  <c r="CB25" i="23"/>
  <c r="CC25" i="23" s="1"/>
  <c r="CD24" i="23"/>
  <c r="CE24" i="23" s="1"/>
  <c r="CC24" i="23"/>
  <c r="CB24" i="23"/>
  <c r="CD23" i="23"/>
  <c r="CE23" i="23" s="1"/>
  <c r="CB23" i="23"/>
  <c r="CC23" i="23" s="1"/>
  <c r="CD21" i="23"/>
  <c r="CE21" i="23" s="1"/>
  <c r="CC21" i="23"/>
  <c r="CB21" i="23"/>
  <c r="CD20" i="23"/>
  <c r="CE20" i="23" s="1"/>
  <c r="CB20" i="23"/>
  <c r="CC20" i="23" s="1"/>
  <c r="CE19" i="23"/>
  <c r="CD19" i="23"/>
  <c r="CB19" i="23"/>
  <c r="CC19" i="23" s="1"/>
  <c r="CD18" i="23"/>
  <c r="CE18" i="23" s="1"/>
  <c r="CC18" i="23"/>
  <c r="CB18" i="23"/>
  <c r="CE16" i="23"/>
  <c r="CD16" i="23"/>
  <c r="CB16" i="23"/>
  <c r="CC16" i="23" s="1"/>
  <c r="CD15" i="23"/>
  <c r="CE15" i="23" s="1"/>
  <c r="CC15" i="23"/>
  <c r="CB15" i="23"/>
  <c r="CD14" i="23"/>
  <c r="CE14" i="23" s="1"/>
  <c r="CB14" i="23"/>
  <c r="CC14" i="23" s="1"/>
  <c r="CB13" i="23"/>
  <c r="BU48" i="23"/>
  <c r="BT48" i="23"/>
  <c r="AA48" i="23"/>
  <c r="CD44" i="23"/>
  <c r="CB44" i="23"/>
  <c r="BS44" i="23"/>
  <c r="BP44" i="23"/>
  <c r="BS36" i="23"/>
  <c r="BT36" i="23" s="1"/>
  <c r="BU36" i="23" s="1"/>
  <c r="BP36" i="23"/>
  <c r="BS35" i="23"/>
  <c r="BT35" i="23" s="1"/>
  <c r="BU35" i="23" s="1"/>
  <c r="BP35" i="23"/>
  <c r="BS34" i="23"/>
  <c r="BP34" i="23"/>
  <c r="BS33" i="23"/>
  <c r="BT33" i="23" s="1"/>
  <c r="BU33" i="23" s="1"/>
  <c r="BP33" i="23"/>
  <c r="BS31" i="23"/>
  <c r="BT31" i="23" s="1"/>
  <c r="BU31" i="23" s="1"/>
  <c r="BP31" i="23"/>
  <c r="BS30" i="23"/>
  <c r="BP30" i="23"/>
  <c r="BT30" i="23" s="1"/>
  <c r="BU30" i="23" s="1"/>
  <c r="BS29" i="23"/>
  <c r="BP29" i="23"/>
  <c r="BS28" i="23"/>
  <c r="BT28" i="23" s="1"/>
  <c r="BU28" i="23" s="1"/>
  <c r="BP28" i="23"/>
  <c r="BS26" i="23"/>
  <c r="BP26" i="23"/>
  <c r="BS25" i="23"/>
  <c r="BP25" i="23"/>
  <c r="BS24" i="23"/>
  <c r="BP24" i="23"/>
  <c r="BS23" i="23"/>
  <c r="BP23" i="23"/>
  <c r="BP38" i="23"/>
  <c r="BS38" i="23"/>
  <c r="CB38" i="23"/>
  <c r="CD38" i="23"/>
  <c r="BS21" i="23"/>
  <c r="BP21" i="23"/>
  <c r="BS20" i="23"/>
  <c r="BP20" i="23"/>
  <c r="BS19" i="23"/>
  <c r="BP19" i="23"/>
  <c r="BS18" i="23"/>
  <c r="BP18" i="23"/>
  <c r="BO48" i="23"/>
  <c r="BN48" i="23"/>
  <c r="BM48" i="23"/>
  <c r="BL48" i="23"/>
  <c r="BK48" i="23"/>
  <c r="BJ48" i="23"/>
  <c r="BI48" i="23"/>
  <c r="BH48" i="23"/>
  <c r="BG48" i="23"/>
  <c r="BF48" i="23"/>
  <c r="BE48" i="23"/>
  <c r="BD48" i="23"/>
  <c r="BC48" i="23"/>
  <c r="BB48" i="23"/>
  <c r="BA48" i="23"/>
  <c r="AZ48" i="23"/>
  <c r="AY48" i="23"/>
  <c r="AX48" i="23"/>
  <c r="AW48" i="23"/>
  <c r="AV48" i="23"/>
  <c r="AU48" i="23"/>
  <c r="AT48" i="23"/>
  <c r="AS48" i="23"/>
  <c r="AR48" i="23"/>
  <c r="AQ48" i="23"/>
  <c r="AP48" i="23"/>
  <c r="AO48" i="23"/>
  <c r="AN48" i="23"/>
  <c r="AM48" i="23"/>
  <c r="AL48" i="23"/>
  <c r="AK48" i="23"/>
  <c r="AJ48" i="23"/>
  <c r="AI48" i="23"/>
  <c r="AH48" i="23"/>
  <c r="AG48" i="23"/>
  <c r="AF48" i="23"/>
  <c r="AE48" i="23"/>
  <c r="AD48" i="23"/>
  <c r="AC48" i="23"/>
  <c r="AB48" i="23"/>
  <c r="Z48" i="23"/>
  <c r="Y48" i="23"/>
  <c r="X48" i="23"/>
  <c r="W48" i="23"/>
  <c r="V48" i="23"/>
  <c r="U48" i="23"/>
  <c r="T48" i="23"/>
  <c r="S48" i="23"/>
  <c r="R48" i="23"/>
  <c r="Q48" i="23"/>
  <c r="P48" i="23"/>
  <c r="O48" i="23"/>
  <c r="N48" i="23"/>
  <c r="M48" i="23"/>
  <c r="L48" i="23"/>
  <c r="K48" i="23"/>
  <c r="J48" i="23"/>
  <c r="I48" i="23"/>
  <c r="CD45" i="23"/>
  <c r="CB45" i="23"/>
  <c r="BS45" i="23"/>
  <c r="BP45" i="23"/>
  <c r="CD42" i="23"/>
  <c r="CB42" i="23"/>
  <c r="BS42" i="23"/>
  <c r="BP42" i="23"/>
  <c r="CD41" i="23"/>
  <c r="CB41" i="23"/>
  <c r="BS41" i="23"/>
  <c r="BP41" i="23"/>
  <c r="CD39" i="23"/>
  <c r="CB39" i="23"/>
  <c r="BS39" i="23"/>
  <c r="BP39" i="23"/>
  <c r="BS16" i="23"/>
  <c r="BP16" i="23"/>
  <c r="BS15" i="23"/>
  <c r="BP15" i="23"/>
  <c r="BS14" i="23"/>
  <c r="BP14" i="23"/>
  <c r="CD13" i="23"/>
  <c r="BS13" i="23"/>
  <c r="BP13" i="23"/>
  <c r="BE10" i="23"/>
  <c r="BF10" i="23" s="1"/>
  <c r="BG10" i="23" s="1"/>
  <c r="BH10" i="23" s="1"/>
  <c r="BI10" i="23" s="1"/>
  <c r="BJ10" i="23" s="1"/>
  <c r="BK10" i="23" s="1"/>
  <c r="BL10" i="23" s="1"/>
  <c r="BM10" i="23" s="1"/>
  <c r="BN10" i="23" s="1"/>
  <c r="BO10" i="23" s="1"/>
  <c r="Z10" i="23"/>
  <c r="AA10" i="23" s="1"/>
  <c r="AB10" i="23" s="1"/>
  <c r="AC10" i="23" s="1"/>
  <c r="AD10" i="23" s="1"/>
  <c r="AE10" i="23" s="1"/>
  <c r="AF10" i="23" s="1"/>
  <c r="AG10" i="23" s="1"/>
  <c r="AH10" i="23" s="1"/>
  <c r="AI10" i="23" s="1"/>
  <c r="AJ10" i="23" s="1"/>
  <c r="AK10" i="23" s="1"/>
  <c r="AL10" i="23" s="1"/>
  <c r="AM10" i="23" s="1"/>
  <c r="H37" i="26" l="1"/>
  <c r="J25" i="9"/>
  <c r="I30" i="9"/>
  <c r="CD17" i="21"/>
  <c r="CD20" i="21"/>
  <c r="CE32" i="22"/>
  <c r="CC14" i="24"/>
  <c r="CE22" i="24"/>
  <c r="CC18" i="24"/>
  <c r="CC22" i="24"/>
  <c r="BT15" i="24"/>
  <c r="BU15" i="24" s="1"/>
  <c r="BT13" i="24"/>
  <c r="CE16" i="24"/>
  <c r="CE23" i="24"/>
  <c r="CE14" i="24"/>
  <c r="CE17" i="24" s="1"/>
  <c r="BT18" i="24"/>
  <c r="BU18" i="24" s="1"/>
  <c r="CF18" i="24" s="1"/>
  <c r="BT21" i="24"/>
  <c r="BU21" i="24" s="1"/>
  <c r="BY21" i="24" s="1"/>
  <c r="CE24" i="24"/>
  <c r="CB23" i="24"/>
  <c r="CD23" i="24"/>
  <c r="CB17" i="24"/>
  <c r="CC15" i="24"/>
  <c r="CF15" i="24" s="1"/>
  <c r="CD17" i="24"/>
  <c r="CD20" i="24"/>
  <c r="CC25" i="24"/>
  <c r="CC26" i="24" s="1"/>
  <c r="CC19" i="24"/>
  <c r="CC20" i="24" s="1"/>
  <c r="CB20" i="24"/>
  <c r="BX22" i="24"/>
  <c r="BY22" i="24" s="1"/>
  <c r="CE25" i="24"/>
  <c r="CF25" i="24" s="1"/>
  <c r="CF14" i="24"/>
  <c r="BY25" i="24"/>
  <c r="CF22" i="24"/>
  <c r="BU13" i="24"/>
  <c r="BY14" i="24"/>
  <c r="BT24" i="24"/>
  <c r="BU24" i="24" s="1"/>
  <c r="BP28" i="24"/>
  <c r="CC13" i="24"/>
  <c r="CE18" i="24"/>
  <c r="CE20" i="24" s="1"/>
  <c r="CC21" i="24"/>
  <c r="CC23" i="24" s="1"/>
  <c r="BT16" i="24"/>
  <c r="BU16" i="24" s="1"/>
  <c r="BT19" i="24"/>
  <c r="BU19" i="24" s="1"/>
  <c r="BT44" i="23"/>
  <c r="BU44" i="23" s="1"/>
  <c r="CC44" i="23"/>
  <c r="CF44" i="23" s="1"/>
  <c r="CE44" i="23"/>
  <c r="CF35" i="23"/>
  <c r="CF36" i="23"/>
  <c r="CF33" i="23"/>
  <c r="BT34" i="23"/>
  <c r="BU34" i="23" s="1"/>
  <c r="CF30" i="23"/>
  <c r="CF31" i="23"/>
  <c r="CF28" i="23"/>
  <c r="BT29" i="23"/>
  <c r="BU29" i="23" s="1"/>
  <c r="BT19" i="23"/>
  <c r="BU19" i="23" s="1"/>
  <c r="BT38" i="23"/>
  <c r="BU38" i="23" s="1"/>
  <c r="BT23" i="23"/>
  <c r="BU23" i="23" s="1"/>
  <c r="BT26" i="23"/>
  <c r="BU26" i="23" s="1"/>
  <c r="BT25" i="23"/>
  <c r="BU25" i="23" s="1"/>
  <c r="BT24" i="23"/>
  <c r="BU24" i="23" s="1"/>
  <c r="CE38" i="23"/>
  <c r="CC38" i="23"/>
  <c r="CE42" i="23"/>
  <c r="CC42" i="23"/>
  <c r="BT21" i="23"/>
  <c r="BU21" i="23" s="1"/>
  <c r="CC39" i="23"/>
  <c r="CE39" i="23"/>
  <c r="BT20" i="23"/>
  <c r="BU20" i="23" s="1"/>
  <c r="BT41" i="23"/>
  <c r="BU41" i="23" s="1"/>
  <c r="BT18" i="23"/>
  <c r="BU18" i="23" s="1"/>
  <c r="CB43" i="23"/>
  <c r="CD43" i="23"/>
  <c r="CB40" i="23"/>
  <c r="BT15" i="23"/>
  <c r="BU15" i="23" s="1"/>
  <c r="BT45" i="23"/>
  <c r="BU45" i="23" s="1"/>
  <c r="CC13" i="23"/>
  <c r="CE13" i="23"/>
  <c r="BT42" i="23"/>
  <c r="BU42" i="23" s="1"/>
  <c r="BT39" i="23"/>
  <c r="BU39" i="23" s="1"/>
  <c r="BP48" i="23"/>
  <c r="BT14" i="23"/>
  <c r="BU14" i="23" s="1"/>
  <c r="BT13" i="23"/>
  <c r="BU13" i="23" s="1"/>
  <c r="CC41" i="23"/>
  <c r="BT16" i="23"/>
  <c r="BU16" i="23" s="1"/>
  <c r="CE41" i="23"/>
  <c r="CC45" i="23"/>
  <c r="CD40" i="23"/>
  <c r="CE45" i="23"/>
  <c r="J26" i="9" l="1"/>
  <c r="J27" i="9"/>
  <c r="J28" i="9"/>
  <c r="BY18" i="24"/>
  <c r="CE26" i="24"/>
  <c r="BY16" i="24"/>
  <c r="CF16" i="24"/>
  <c r="BT28" i="24"/>
  <c r="CE28" i="24"/>
  <c r="CC17" i="24"/>
  <c r="CE30" i="24" s="1"/>
  <c r="CE31" i="24" s="1"/>
  <c r="CF21" i="24"/>
  <c r="CF24" i="24"/>
  <c r="BY24" i="24"/>
  <c r="CF19" i="24"/>
  <c r="BY19" i="24"/>
  <c r="CF13" i="24"/>
  <c r="BU28" i="24"/>
  <c r="BY28" i="24" s="1"/>
  <c r="BY13" i="24"/>
  <c r="CF26" i="23"/>
  <c r="CF34" i="23"/>
  <c r="CF25" i="23"/>
  <c r="CF19" i="23"/>
  <c r="CF23" i="23"/>
  <c r="CF38" i="23"/>
  <c r="CE43" i="23"/>
  <c r="CF29" i="23"/>
  <c r="CF13" i="23"/>
  <c r="CF24" i="23"/>
  <c r="CE40" i="23"/>
  <c r="CF42" i="23"/>
  <c r="CF20" i="23"/>
  <c r="CF39" i="23"/>
  <c r="CF15" i="23"/>
  <c r="CF18" i="23"/>
  <c r="CB48" i="23"/>
  <c r="CF21" i="23"/>
  <c r="CF14" i="23"/>
  <c r="CD48" i="23"/>
  <c r="CF16" i="23"/>
  <c r="CF45" i="23"/>
  <c r="CF41" i="23"/>
  <c r="BY48" i="23" l="1"/>
  <c r="CE51" i="23" l="1"/>
  <c r="CD27" i="22" l="1"/>
  <c r="CB27" i="22"/>
  <c r="BS27" i="22"/>
  <c r="BP27" i="22"/>
  <c r="BX27" i="22" s="1"/>
  <c r="CD26" i="22"/>
  <c r="BS26" i="22"/>
  <c r="BP26" i="22"/>
  <c r="BX26" i="22" s="1"/>
  <c r="BO30" i="22"/>
  <c r="BN30" i="22"/>
  <c r="BM30" i="22"/>
  <c r="BL30" i="22"/>
  <c r="BK30" i="22"/>
  <c r="BJ30" i="22"/>
  <c r="BI30" i="22"/>
  <c r="BH30" i="22"/>
  <c r="BG30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CD24" i="22"/>
  <c r="CB24" i="22"/>
  <c r="BS24" i="22"/>
  <c r="BP24" i="22"/>
  <c r="BX24" i="22" s="1"/>
  <c r="CD22" i="22"/>
  <c r="CB22" i="22"/>
  <c r="BS22" i="22"/>
  <c r="BP22" i="22"/>
  <c r="BX22" i="22" s="1"/>
  <c r="CD21" i="22"/>
  <c r="CD23" i="22" s="1"/>
  <c r="CB21" i="22"/>
  <c r="BS21" i="22"/>
  <c r="BP21" i="22"/>
  <c r="BX21" i="22" s="1"/>
  <c r="CD19" i="22"/>
  <c r="CB19" i="22"/>
  <c r="BS19" i="22"/>
  <c r="BP19" i="22"/>
  <c r="BX19" i="22" s="1"/>
  <c r="CD18" i="22"/>
  <c r="CB18" i="22"/>
  <c r="BS18" i="22"/>
  <c r="BP18" i="22"/>
  <c r="BX18" i="22" s="1"/>
  <c r="BS16" i="22"/>
  <c r="BP16" i="22"/>
  <c r="BX16" i="22" s="1"/>
  <c r="BS15" i="22"/>
  <c r="BT15" i="22" s="1"/>
  <c r="BU15" i="22" s="1"/>
  <c r="BP15" i="22"/>
  <c r="CD14" i="22"/>
  <c r="CB14" i="22"/>
  <c r="BS14" i="22"/>
  <c r="BP14" i="22"/>
  <c r="BX14" i="22" s="1"/>
  <c r="CD13" i="22"/>
  <c r="CB13" i="22"/>
  <c r="BS13" i="22"/>
  <c r="BP13" i="22"/>
  <c r="BE10" i="22"/>
  <c r="BF10" i="22" s="1"/>
  <c r="BG10" i="22" s="1"/>
  <c r="BH10" i="22" s="1"/>
  <c r="BI10" i="22" s="1"/>
  <c r="BJ10" i="22" s="1"/>
  <c r="BK10" i="22" s="1"/>
  <c r="BL10" i="22" s="1"/>
  <c r="BM10" i="22" s="1"/>
  <c r="BN10" i="22" s="1"/>
  <c r="BO10" i="22" s="1"/>
  <c r="Z10" i="22"/>
  <c r="AA10" i="22" s="1"/>
  <c r="AB10" i="22" s="1"/>
  <c r="AC10" i="22" s="1"/>
  <c r="AD10" i="22" s="1"/>
  <c r="AE10" i="22" s="1"/>
  <c r="AF10" i="22" s="1"/>
  <c r="AG10" i="22" s="1"/>
  <c r="AH10" i="22" s="1"/>
  <c r="AI10" i="22" s="1"/>
  <c r="AJ10" i="22" s="1"/>
  <c r="AK10" i="22" s="1"/>
  <c r="AL10" i="22" s="1"/>
  <c r="AM10" i="22" s="1"/>
  <c r="BP13" i="21"/>
  <c r="BS15" i="21"/>
  <c r="BP15" i="21"/>
  <c r="BO27" i="21"/>
  <c r="BN27" i="21"/>
  <c r="BM27" i="21"/>
  <c r="BL27" i="21"/>
  <c r="BK27" i="21"/>
  <c r="BJ27" i="21"/>
  <c r="BI27" i="21"/>
  <c r="BH27" i="21"/>
  <c r="BG27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BS24" i="21"/>
  <c r="BP24" i="21"/>
  <c r="BS22" i="21"/>
  <c r="BP22" i="21"/>
  <c r="BS21" i="21"/>
  <c r="BP21" i="21"/>
  <c r="BS19" i="21"/>
  <c r="BP19" i="21"/>
  <c r="BS18" i="21"/>
  <c r="BP18" i="21"/>
  <c r="BS16" i="21"/>
  <c r="BP16" i="21"/>
  <c r="BS14" i="21"/>
  <c r="BP14" i="21"/>
  <c r="BS13" i="21"/>
  <c r="BE10" i="21"/>
  <c r="BF10" i="21" s="1"/>
  <c r="BG10" i="21" s="1"/>
  <c r="BH10" i="21" s="1"/>
  <c r="BI10" i="21" s="1"/>
  <c r="BJ10" i="21" s="1"/>
  <c r="BK10" i="21" s="1"/>
  <c r="BL10" i="21" s="1"/>
  <c r="BM10" i="21" s="1"/>
  <c r="BN10" i="21" s="1"/>
  <c r="BO10" i="21" s="1"/>
  <c r="Z10" i="21"/>
  <c r="AA10" i="21" s="1"/>
  <c r="AB10" i="21" s="1"/>
  <c r="AC10" i="21" s="1"/>
  <c r="AD10" i="21" s="1"/>
  <c r="AE10" i="21" s="1"/>
  <c r="AF10" i="21" s="1"/>
  <c r="AG10" i="21" s="1"/>
  <c r="AH10" i="21" s="1"/>
  <c r="AI10" i="21" s="1"/>
  <c r="AJ10" i="21" s="1"/>
  <c r="AK10" i="21" s="1"/>
  <c r="AL10" i="21" s="1"/>
  <c r="AM10" i="21" s="1"/>
  <c r="CC13" i="21" l="1"/>
  <c r="CE13" i="21"/>
  <c r="CC15" i="21"/>
  <c r="CE15" i="21"/>
  <c r="CC18" i="21"/>
  <c r="CE18" i="21"/>
  <c r="CE22" i="21"/>
  <c r="CC22" i="21"/>
  <c r="CC23" i="21" s="1"/>
  <c r="CE14" i="21"/>
  <c r="CC14" i="21"/>
  <c r="CE19" i="21"/>
  <c r="CC19" i="21"/>
  <c r="CC24" i="21"/>
  <c r="CC25" i="21" s="1"/>
  <c r="CE24" i="21"/>
  <c r="CE25" i="21" s="1"/>
  <c r="CC16" i="21"/>
  <c r="CE16" i="21"/>
  <c r="CC21" i="21"/>
  <c r="CE21" i="21"/>
  <c r="CE24" i="22"/>
  <c r="CC26" i="22"/>
  <c r="CE26" i="22"/>
  <c r="CC27" i="22"/>
  <c r="CE27" i="22"/>
  <c r="BT27" i="22"/>
  <c r="BU27" i="22" s="1"/>
  <c r="BY27" i="22" s="1"/>
  <c r="BT26" i="22"/>
  <c r="BU26" i="22" s="1"/>
  <c r="CB20" i="22"/>
  <c r="CC18" i="22"/>
  <c r="CD20" i="22"/>
  <c r="BT19" i="22"/>
  <c r="BU19" i="22" s="1"/>
  <c r="BY19" i="22" s="1"/>
  <c r="CF15" i="22"/>
  <c r="BP30" i="22"/>
  <c r="CC22" i="22"/>
  <c r="BT16" i="22"/>
  <c r="BU16" i="22" s="1"/>
  <c r="BY16" i="22" s="1"/>
  <c r="CC19" i="22"/>
  <c r="BT24" i="22"/>
  <c r="BU24" i="22" s="1"/>
  <c r="CE22" i="22"/>
  <c r="CE13" i="22"/>
  <c r="CE19" i="22"/>
  <c r="BT13" i="22"/>
  <c r="BU13" i="22" s="1"/>
  <c r="CC14" i="22"/>
  <c r="BT18" i="22"/>
  <c r="BU18" i="22" s="1"/>
  <c r="BY18" i="22" s="1"/>
  <c r="CE14" i="22"/>
  <c r="BT21" i="22"/>
  <c r="BU21" i="22" s="1"/>
  <c r="BY21" i="22" s="1"/>
  <c r="CF19" i="22"/>
  <c r="CF16" i="22"/>
  <c r="CC13" i="22"/>
  <c r="CE18" i="22"/>
  <c r="CC21" i="22"/>
  <c r="CE21" i="22"/>
  <c r="CC24" i="22"/>
  <c r="BT22" i="22"/>
  <c r="BU22" i="22" s="1"/>
  <c r="BT14" i="22"/>
  <c r="BU14" i="22" s="1"/>
  <c r="BX13" i="22"/>
  <c r="BT18" i="21"/>
  <c r="BU18" i="21" s="1"/>
  <c r="BT15" i="21"/>
  <c r="BU15" i="21" s="1"/>
  <c r="CF15" i="21" s="1"/>
  <c r="BT24" i="21"/>
  <c r="BU24" i="21" s="1"/>
  <c r="BP27" i="21"/>
  <c r="BT13" i="21"/>
  <c r="BU13" i="21" s="1"/>
  <c r="BT19" i="21"/>
  <c r="BU19" i="21" s="1"/>
  <c r="BT22" i="21"/>
  <c r="BU22" i="21" s="1"/>
  <c r="BT16" i="21"/>
  <c r="BU16" i="21" s="1"/>
  <c r="BT14" i="21"/>
  <c r="BU14" i="21" s="1"/>
  <c r="BT21" i="21"/>
  <c r="BU21" i="21" s="1"/>
  <c r="CE23" i="21" l="1"/>
  <c r="CE20" i="21"/>
  <c r="CE17" i="21"/>
  <c r="CC20" i="21"/>
  <c r="CC17" i="21"/>
  <c r="CE20" i="22"/>
  <c r="CF27" i="22"/>
  <c r="CE17" i="22"/>
  <c r="CF26" i="22"/>
  <c r="CE23" i="22"/>
  <c r="CF18" i="22"/>
  <c r="BY24" i="22"/>
  <c r="BY22" i="22"/>
  <c r="CF22" i="22"/>
  <c r="CF24" i="22"/>
  <c r="CF21" i="22"/>
  <c r="BT30" i="22"/>
  <c r="BY14" i="22"/>
  <c r="CF14" i="22"/>
  <c r="CF13" i="22"/>
  <c r="BY13" i="22"/>
  <c r="CF18" i="21"/>
  <c r="CF13" i="21"/>
  <c r="CF19" i="21"/>
  <c r="CF22" i="21"/>
  <c r="CF21" i="21"/>
  <c r="CF24" i="21"/>
  <c r="CF14" i="21"/>
  <c r="CF16" i="21"/>
  <c r="BT27" i="21"/>
  <c r="BU27" i="21"/>
  <c r="BY30" i="22" l="1"/>
  <c r="CE33" i="22"/>
  <c r="BY27" i="21"/>
  <c r="AS74" i="20"/>
  <c r="AS69" i="20"/>
  <c r="AS55" i="20"/>
  <c r="AS53" i="20"/>
  <c r="AS52" i="20"/>
  <c r="AS51" i="20"/>
  <c r="AS50" i="20"/>
  <c r="AS49" i="20"/>
  <c r="AS48" i="20"/>
  <c r="AS47" i="20"/>
  <c r="AS46" i="20"/>
  <c r="AS45" i="20"/>
  <c r="AS44" i="20"/>
  <c r="AN41" i="20"/>
  <c r="AK41" i="20"/>
  <c r="AS41" i="20" s="1"/>
  <c r="AN40" i="20"/>
  <c r="AK40" i="20"/>
  <c r="AS40" i="20" s="1"/>
  <c r="AN39" i="20"/>
  <c r="AK39" i="20"/>
  <c r="AS39" i="20" s="1"/>
  <c r="AN38" i="20"/>
  <c r="AK38" i="20"/>
  <c r="AS38" i="20" s="1"/>
  <c r="AN37" i="20"/>
  <c r="AK37" i="20"/>
  <c r="AS37" i="20" s="1"/>
  <c r="AN36" i="20"/>
  <c r="AK36" i="20"/>
  <c r="AS36" i="20" s="1"/>
  <c r="AN35" i="20"/>
  <c r="AK35" i="20"/>
  <c r="AS35" i="20" s="1"/>
  <c r="AN34" i="20"/>
  <c r="AK34" i="20"/>
  <c r="AS34" i="20" s="1"/>
  <c r="AN33" i="20"/>
  <c r="AK33" i="20"/>
  <c r="AS33" i="20" s="1"/>
  <c r="AN32" i="20"/>
  <c r="AK32" i="20"/>
  <c r="AS32" i="20" s="1"/>
  <c r="AN31" i="20"/>
  <c r="AK31" i="20"/>
  <c r="AS31" i="20" s="1"/>
  <c r="AX49" i="20" l="1"/>
  <c r="AY49" i="20" s="1"/>
  <c r="AX50" i="20"/>
  <c r="AY50" i="20" s="1"/>
  <c r="AX44" i="20"/>
  <c r="AO32" i="20"/>
  <c r="AP32" i="20" s="1"/>
  <c r="AT32" i="20" s="1"/>
  <c r="AT45" i="20"/>
  <c r="AT48" i="20"/>
  <c r="AO36" i="20"/>
  <c r="AP36" i="20" s="1"/>
  <c r="AT36" i="20" s="1"/>
  <c r="AX55" i="20"/>
  <c r="AY55" i="20" s="1"/>
  <c r="AW30" i="20"/>
  <c r="AX39" i="20"/>
  <c r="AX45" i="20"/>
  <c r="AY45" i="20" s="1"/>
  <c r="AX34" i="20"/>
  <c r="AT52" i="20"/>
  <c r="AT55" i="20"/>
  <c r="AX40" i="20"/>
  <c r="AT74" i="20"/>
  <c r="AT49" i="20"/>
  <c r="AT47" i="20"/>
  <c r="AX53" i="20"/>
  <c r="AY53" i="20" s="1"/>
  <c r="AX69" i="20"/>
  <c r="AX74" i="20"/>
  <c r="AY74" i="20" s="1"/>
  <c r="AX46" i="20"/>
  <c r="AY46" i="20" s="1"/>
  <c r="AX51" i="20"/>
  <c r="AY51" i="20" s="1"/>
  <c r="AX47" i="20"/>
  <c r="AY47" i="20" s="1"/>
  <c r="AX52" i="20"/>
  <c r="AY52" i="20" s="1"/>
  <c r="AX48" i="20"/>
  <c r="AY48" i="20" s="1"/>
  <c r="AX36" i="20"/>
  <c r="AX35" i="20"/>
  <c r="AX32" i="20"/>
  <c r="AX41" i="20"/>
  <c r="AX37" i="20"/>
  <c r="AX33" i="20"/>
  <c r="AX31" i="20"/>
  <c r="AX38" i="20"/>
  <c r="AO37" i="20"/>
  <c r="AP37" i="20" s="1"/>
  <c r="AT37" i="20" s="1"/>
  <c r="AT51" i="20"/>
  <c r="AO35" i="20"/>
  <c r="AP35" i="20" s="1"/>
  <c r="AT35" i="20" s="1"/>
  <c r="AO33" i="20"/>
  <c r="AP33" i="20" s="1"/>
  <c r="AT33" i="20" s="1"/>
  <c r="AO40" i="20"/>
  <c r="AP40" i="20" s="1"/>
  <c r="AT40" i="20" s="1"/>
  <c r="AO38" i="20"/>
  <c r="AP38" i="20" s="1"/>
  <c r="AT38" i="20" s="1"/>
  <c r="AO34" i="20"/>
  <c r="AP34" i="20" s="1"/>
  <c r="AT34" i="20" s="1"/>
  <c r="AT50" i="20"/>
  <c r="AT53" i="20"/>
  <c r="AT46" i="20"/>
  <c r="AO41" i="20"/>
  <c r="AP41" i="20" s="1"/>
  <c r="AT41" i="20" s="1"/>
  <c r="AO39" i="20"/>
  <c r="AP39" i="20" s="1"/>
  <c r="AT39" i="20" s="1"/>
  <c r="AT44" i="20"/>
  <c r="AO31" i="20"/>
  <c r="AP31" i="20" s="1"/>
  <c r="AY35" i="20" l="1"/>
  <c r="AW220" i="20"/>
  <c r="C224" i="20"/>
  <c r="AY44" i="20"/>
  <c r="AX58" i="20"/>
  <c r="F15" i="26" s="1"/>
  <c r="AT31" i="20"/>
  <c r="AX43" i="20"/>
  <c r="F14" i="26" s="1"/>
  <c r="AX75" i="20"/>
  <c r="F16" i="26" s="1"/>
  <c r="AY36" i="20"/>
  <c r="AY38" i="20"/>
  <c r="AY34" i="20"/>
  <c r="AY69" i="20"/>
  <c r="AY40" i="20"/>
  <c r="AY31" i="20"/>
  <c r="AY33" i="20"/>
  <c r="AY39" i="20"/>
  <c r="AY37" i="20"/>
  <c r="AY41" i="20"/>
  <c r="AY32" i="20"/>
  <c r="AT69" i="20"/>
  <c r="AY75" i="20" l="1"/>
  <c r="D227" i="20"/>
  <c r="AY43" i="20"/>
  <c r="D225" i="20"/>
  <c r="AY58" i="20"/>
  <c r="D226" i="20"/>
  <c r="G14" i="26"/>
  <c r="G16" i="26"/>
  <c r="H16" i="26" s="1"/>
  <c r="G15" i="26"/>
  <c r="H15" i="26" s="1"/>
  <c r="CF69" i="19"/>
  <c r="CF68" i="19"/>
  <c r="CF67" i="19"/>
  <c r="CF66" i="19"/>
  <c r="CF65" i="19"/>
  <c r="CF64" i="19"/>
  <c r="CF63" i="19"/>
  <c r="CF62" i="19"/>
  <c r="CF61" i="19"/>
  <c r="CF60" i="19"/>
  <c r="CF59" i="19"/>
  <c r="CF58" i="19"/>
  <c r="CF56" i="19"/>
  <c r="CF55" i="19"/>
  <c r="CF54" i="19"/>
  <c r="CF53" i="19"/>
  <c r="CF52" i="19"/>
  <c r="CF51" i="19"/>
  <c r="CF50" i="19"/>
  <c r="CF49" i="19"/>
  <c r="CF48" i="19"/>
  <c r="CF47" i="19"/>
  <c r="CF46" i="19"/>
  <c r="CF45" i="19"/>
  <c r="CF43" i="19"/>
  <c r="CF42" i="19"/>
  <c r="CF41" i="19"/>
  <c r="CF40" i="19"/>
  <c r="CF39" i="19"/>
  <c r="CF38" i="19"/>
  <c r="CF37" i="19"/>
  <c r="CF36" i="19"/>
  <c r="CF35" i="19"/>
  <c r="CF34" i="19"/>
  <c r="CF33" i="19"/>
  <c r="CF29" i="19"/>
  <c r="CF28" i="19"/>
  <c r="CF27" i="19"/>
  <c r="CF25" i="19"/>
  <c r="CF24" i="19"/>
  <c r="CF23" i="19"/>
  <c r="CF21" i="19"/>
  <c r="CF20" i="19"/>
  <c r="CF19" i="19"/>
  <c r="CF17" i="19"/>
  <c r="CF16" i="19"/>
  <c r="CF14" i="19"/>
  <c r="CF13" i="19"/>
  <c r="CD72" i="19"/>
  <c r="CB72" i="19"/>
  <c r="CB70" i="19"/>
  <c r="CE70" i="19"/>
  <c r="CD70" i="19"/>
  <c r="CC70" i="19"/>
  <c r="CD69" i="19"/>
  <c r="CE69" i="19" s="1"/>
  <c r="CB69" i="19"/>
  <c r="CC69" i="19" s="1"/>
  <c r="CD68" i="19"/>
  <c r="CE68" i="19" s="1"/>
  <c r="CB68" i="19"/>
  <c r="CC68" i="19" s="1"/>
  <c r="CE67" i="19"/>
  <c r="CD67" i="19"/>
  <c r="CB67" i="19"/>
  <c r="CC67" i="19" s="1"/>
  <c r="CD66" i="19"/>
  <c r="CE66" i="19" s="1"/>
  <c r="CB66" i="19"/>
  <c r="CC66" i="19" s="1"/>
  <c r="CD65" i="19"/>
  <c r="CE65" i="19" s="1"/>
  <c r="CB65" i="19"/>
  <c r="CC65" i="19" s="1"/>
  <c r="CE64" i="19"/>
  <c r="CD64" i="19"/>
  <c r="CB64" i="19"/>
  <c r="CC64" i="19" s="1"/>
  <c r="CD63" i="19"/>
  <c r="CE63" i="19" s="1"/>
  <c r="CB63" i="19"/>
  <c r="CC63" i="19" s="1"/>
  <c r="CD62" i="19"/>
  <c r="CE62" i="19" s="1"/>
  <c r="CB62" i="19"/>
  <c r="CC62" i="19" s="1"/>
  <c r="CE61" i="19"/>
  <c r="CD61" i="19"/>
  <c r="CB61" i="19"/>
  <c r="CC61" i="19" s="1"/>
  <c r="CD60" i="19"/>
  <c r="CE60" i="19" s="1"/>
  <c r="CB60" i="19"/>
  <c r="CC60" i="19" s="1"/>
  <c r="CD59" i="19"/>
  <c r="CE59" i="19" s="1"/>
  <c r="CB59" i="19"/>
  <c r="CC59" i="19" s="1"/>
  <c r="CE58" i="19"/>
  <c r="CD58" i="19"/>
  <c r="CB58" i="19"/>
  <c r="CC58" i="19" s="1"/>
  <c r="CE57" i="19"/>
  <c r="CD57" i="19"/>
  <c r="CC57" i="19"/>
  <c r="CB57" i="19"/>
  <c r="CD56" i="19"/>
  <c r="CE56" i="19" s="1"/>
  <c r="CB56" i="19"/>
  <c r="CC56" i="19" s="1"/>
  <c r="CD55" i="19"/>
  <c r="CE55" i="19" s="1"/>
  <c r="CB55" i="19"/>
  <c r="CC55" i="19" s="1"/>
  <c r="CD54" i="19"/>
  <c r="CE54" i="19" s="1"/>
  <c r="CB54" i="19"/>
  <c r="CC54" i="19" s="1"/>
  <c r="CD53" i="19"/>
  <c r="CE53" i="19" s="1"/>
  <c r="CB53" i="19"/>
  <c r="CC53" i="19" s="1"/>
  <c r="CD52" i="19"/>
  <c r="CE52" i="19" s="1"/>
  <c r="CB52" i="19"/>
  <c r="CC52" i="19" s="1"/>
  <c r="CD51" i="19"/>
  <c r="CE51" i="19" s="1"/>
  <c r="CB51" i="19"/>
  <c r="CC51" i="19" s="1"/>
  <c r="CD50" i="19"/>
  <c r="CE50" i="19" s="1"/>
  <c r="CB50" i="19"/>
  <c r="CC50" i="19" s="1"/>
  <c r="CD49" i="19"/>
  <c r="CE49" i="19" s="1"/>
  <c r="CB49" i="19"/>
  <c r="CC49" i="19" s="1"/>
  <c r="CD48" i="19"/>
  <c r="CE48" i="19" s="1"/>
  <c r="CB48" i="19"/>
  <c r="CC48" i="19" s="1"/>
  <c r="CD47" i="19"/>
  <c r="CE47" i="19" s="1"/>
  <c r="CB47" i="19"/>
  <c r="CC47" i="19" s="1"/>
  <c r="CD46" i="19"/>
  <c r="CE46" i="19" s="1"/>
  <c r="CB46" i="19"/>
  <c r="CC46" i="19" s="1"/>
  <c r="CD45" i="19"/>
  <c r="CE45" i="19" s="1"/>
  <c r="CB45" i="19"/>
  <c r="CC45" i="19" s="1"/>
  <c r="CE44" i="19"/>
  <c r="CD44" i="19"/>
  <c r="CC44" i="19"/>
  <c r="CB44" i="19"/>
  <c r="CD43" i="19"/>
  <c r="CE43" i="19" s="1"/>
  <c r="CC43" i="19"/>
  <c r="CB43" i="19"/>
  <c r="CD42" i="19"/>
  <c r="CE42" i="19" s="1"/>
  <c r="CC42" i="19"/>
  <c r="CB42" i="19"/>
  <c r="CE41" i="19"/>
  <c r="CD41" i="19"/>
  <c r="CB41" i="19"/>
  <c r="CC41" i="19" s="1"/>
  <c r="CD40" i="19"/>
  <c r="CE40" i="19" s="1"/>
  <c r="CC40" i="19"/>
  <c r="CB40" i="19"/>
  <c r="CD39" i="19"/>
  <c r="CE39" i="19" s="1"/>
  <c r="CC39" i="19"/>
  <c r="CB39" i="19"/>
  <c r="CE38" i="19"/>
  <c r="CD38" i="19"/>
  <c r="CB38" i="19"/>
  <c r="CC38" i="19" s="1"/>
  <c r="CD37" i="19"/>
  <c r="CE37" i="19" s="1"/>
  <c r="CC37" i="19"/>
  <c r="CB37" i="19"/>
  <c r="CD36" i="19"/>
  <c r="CE36" i="19" s="1"/>
  <c r="CC36" i="19"/>
  <c r="CB36" i="19"/>
  <c r="CE35" i="19"/>
  <c r="CD35" i="19"/>
  <c r="CB35" i="19"/>
  <c r="CC35" i="19" s="1"/>
  <c r="CD34" i="19"/>
  <c r="CE34" i="19" s="1"/>
  <c r="CC34" i="19"/>
  <c r="CB34" i="19"/>
  <c r="CD33" i="19"/>
  <c r="CE33" i="19" s="1"/>
  <c r="CC33" i="19"/>
  <c r="CB33" i="19"/>
  <c r="CD32" i="19"/>
  <c r="CB32" i="19"/>
  <c r="CD31" i="19"/>
  <c r="CB31" i="19"/>
  <c r="CE29" i="19"/>
  <c r="CD29" i="19"/>
  <c r="CB29" i="19"/>
  <c r="CC29" i="19" s="1"/>
  <c r="CD28" i="19"/>
  <c r="CE28" i="19" s="1"/>
  <c r="CB28" i="19"/>
  <c r="CC28" i="19" s="1"/>
  <c r="CD27" i="19"/>
  <c r="CE27" i="19" s="1"/>
  <c r="CC27" i="19"/>
  <c r="CB27" i="19"/>
  <c r="CD25" i="19"/>
  <c r="CE25" i="19" s="1"/>
  <c r="CB25" i="19"/>
  <c r="CC25" i="19" s="1"/>
  <c r="CD24" i="19"/>
  <c r="CE24" i="19" s="1"/>
  <c r="CC24" i="19"/>
  <c r="CB24" i="19"/>
  <c r="CE23" i="19"/>
  <c r="CD23" i="19"/>
  <c r="CB23" i="19"/>
  <c r="CC23" i="19" s="1"/>
  <c r="CD21" i="19"/>
  <c r="CE21" i="19" s="1"/>
  <c r="CC21" i="19"/>
  <c r="CB21" i="19"/>
  <c r="CE20" i="19"/>
  <c r="CD20" i="19"/>
  <c r="CB20" i="19"/>
  <c r="CC20" i="19" s="1"/>
  <c r="CD19" i="19"/>
  <c r="CE19" i="19" s="1"/>
  <c r="CB19" i="19"/>
  <c r="CC19" i="19" s="1"/>
  <c r="CE17" i="19"/>
  <c r="CD17" i="19"/>
  <c r="CB17" i="19"/>
  <c r="CC17" i="19" s="1"/>
  <c r="CD16" i="19"/>
  <c r="CE16" i="19" s="1"/>
  <c r="CB16" i="19"/>
  <c r="CC16" i="19" s="1"/>
  <c r="CD14" i="19"/>
  <c r="CE14" i="19" s="1"/>
  <c r="CC14" i="19"/>
  <c r="CB14" i="19"/>
  <c r="CE13" i="19"/>
  <c r="CD13" i="19"/>
  <c r="CC13" i="19"/>
  <c r="CB13" i="19"/>
  <c r="BU73" i="19"/>
  <c r="BP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BS69" i="19"/>
  <c r="BP69" i="19"/>
  <c r="BS68" i="19"/>
  <c r="BP68" i="19"/>
  <c r="BS67" i="19"/>
  <c r="BP67" i="19"/>
  <c r="BS66" i="19"/>
  <c r="BP66" i="19"/>
  <c r="BS65" i="19"/>
  <c r="BP65" i="19"/>
  <c r="BS64" i="19"/>
  <c r="BP64" i="19"/>
  <c r="BS63" i="19"/>
  <c r="BP63" i="19"/>
  <c r="BS62" i="19"/>
  <c r="BP62" i="19"/>
  <c r="BS61" i="19"/>
  <c r="BP61" i="19"/>
  <c r="BS60" i="19"/>
  <c r="BP60" i="19"/>
  <c r="BS59" i="19"/>
  <c r="BP59" i="19"/>
  <c r="BS58" i="19"/>
  <c r="BP58" i="19"/>
  <c r="BS56" i="19"/>
  <c r="BP56" i="19"/>
  <c r="BS55" i="19"/>
  <c r="BP55" i="19"/>
  <c r="BS54" i="19"/>
  <c r="BP54" i="19"/>
  <c r="BS53" i="19"/>
  <c r="BP53" i="19"/>
  <c r="BS52" i="19"/>
  <c r="BP52" i="19"/>
  <c r="BS51" i="19"/>
  <c r="BP51" i="19"/>
  <c r="BS50" i="19"/>
  <c r="BP50" i="19"/>
  <c r="BS49" i="19"/>
  <c r="BP49" i="19"/>
  <c r="BS48" i="19"/>
  <c r="BP48" i="19"/>
  <c r="BS47" i="19"/>
  <c r="BP47" i="19"/>
  <c r="BS46" i="19"/>
  <c r="BP46" i="19"/>
  <c r="BS45" i="19"/>
  <c r="BP45" i="19"/>
  <c r="BS43" i="19"/>
  <c r="BP43" i="19"/>
  <c r="BS42" i="19"/>
  <c r="BP42" i="19"/>
  <c r="BS41" i="19"/>
  <c r="BP41" i="19"/>
  <c r="BS40" i="19"/>
  <c r="BP40" i="19"/>
  <c r="BS39" i="19"/>
  <c r="BP39" i="19"/>
  <c r="BS38" i="19"/>
  <c r="BP38" i="19"/>
  <c r="BS37" i="19"/>
  <c r="BP37" i="19"/>
  <c r="BS36" i="19"/>
  <c r="BP36" i="19"/>
  <c r="BS35" i="19"/>
  <c r="BP35" i="19"/>
  <c r="BS34" i="19"/>
  <c r="BP34" i="19"/>
  <c r="BS33" i="19"/>
  <c r="BP33" i="19"/>
  <c r="H14" i="26" l="1"/>
  <c r="BT68" i="19"/>
  <c r="BU68" i="19" s="1"/>
  <c r="BT38" i="19"/>
  <c r="BU38" i="19" s="1"/>
  <c r="BT42" i="19"/>
  <c r="BU42" i="19" s="1"/>
  <c r="BT61" i="19"/>
  <c r="BU61" i="19" s="1"/>
  <c r="BT69" i="19"/>
  <c r="BU69" i="19" s="1"/>
  <c r="BT66" i="19"/>
  <c r="BU66" i="19" s="1"/>
  <c r="BT59" i="19"/>
  <c r="BU59" i="19" s="1"/>
  <c r="BT58" i="19"/>
  <c r="BU58" i="19" s="1"/>
  <c r="BT63" i="19"/>
  <c r="BU63" i="19" s="1"/>
  <c r="BT60" i="19"/>
  <c r="BU60" i="19" s="1"/>
  <c r="BT64" i="19"/>
  <c r="BU64" i="19" s="1"/>
  <c r="BT65" i="19"/>
  <c r="BU65" i="19" s="1"/>
  <c r="BT62" i="19"/>
  <c r="BU62" i="19" s="1"/>
  <c r="BT67" i="19"/>
  <c r="BU67" i="19" s="1"/>
  <c r="BT51" i="19"/>
  <c r="BU51" i="19" s="1"/>
  <c r="BT46" i="19"/>
  <c r="BU46" i="19" s="1"/>
  <c r="BT52" i="19"/>
  <c r="BU52" i="19" s="1"/>
  <c r="BT45" i="19"/>
  <c r="BU45" i="19" s="1"/>
  <c r="BT37" i="19"/>
  <c r="BU37" i="19" s="1"/>
  <c r="BT43" i="19"/>
  <c r="BU43" i="19" s="1"/>
  <c r="BT47" i="19"/>
  <c r="BU47" i="19" s="1"/>
  <c r="BT53" i="19"/>
  <c r="BU53" i="19" s="1"/>
  <c r="BT36" i="19"/>
  <c r="BU36" i="19" s="1"/>
  <c r="BT48" i="19"/>
  <c r="BU48" i="19" s="1"/>
  <c r="BT54" i="19"/>
  <c r="BU54" i="19" s="1"/>
  <c r="BT49" i="19"/>
  <c r="BU49" i="19" s="1"/>
  <c r="BT55" i="19"/>
  <c r="BU55" i="19" s="1"/>
  <c r="BT50" i="19"/>
  <c r="BU50" i="19" s="1"/>
  <c r="BT56" i="19"/>
  <c r="BU56" i="19" s="1"/>
  <c r="BT40" i="19"/>
  <c r="BU40" i="19" s="1"/>
  <c r="BT35" i="19"/>
  <c r="BU35" i="19" s="1"/>
  <c r="BT41" i="19"/>
  <c r="BU41" i="19" s="1"/>
  <c r="BT39" i="19"/>
  <c r="BU39" i="19" s="1"/>
  <c r="BT33" i="19"/>
  <c r="BU33" i="19" s="1"/>
  <c r="BT34" i="19"/>
  <c r="BU34" i="19" s="1"/>
  <c r="AJ220" i="20" l="1"/>
  <c r="AI220" i="20"/>
  <c r="AH220" i="20"/>
  <c r="AG220" i="20"/>
  <c r="AF220" i="20"/>
  <c r="AE220" i="20"/>
  <c r="AD220" i="20"/>
  <c r="AC220" i="20"/>
  <c r="AB220" i="20"/>
  <c r="AA220" i="20"/>
  <c r="Z220" i="20"/>
  <c r="Y220" i="20"/>
  <c r="X220" i="20"/>
  <c r="W220" i="20"/>
  <c r="V220" i="20"/>
  <c r="U220" i="20"/>
  <c r="T220" i="20"/>
  <c r="S220" i="20"/>
  <c r="Q220" i="20"/>
  <c r="P220" i="20"/>
  <c r="O220" i="20"/>
  <c r="N220" i="20"/>
  <c r="M220" i="20"/>
  <c r="L220" i="20"/>
  <c r="K220" i="20"/>
  <c r="J220" i="20"/>
  <c r="I220" i="20"/>
  <c r="AN13" i="20"/>
  <c r="AK13" i="20"/>
  <c r="Z10" i="20"/>
  <c r="AA10" i="20" s="1"/>
  <c r="AB10" i="20" s="1"/>
  <c r="AC10" i="20" s="1"/>
  <c r="AD10" i="20" s="1"/>
  <c r="AE10" i="20" s="1"/>
  <c r="AF10" i="20" s="1"/>
  <c r="AG10" i="20" s="1"/>
  <c r="AH10" i="20" s="1"/>
  <c r="AI10" i="20" s="1"/>
  <c r="AJ10" i="20" s="1"/>
  <c r="BQ29" i="19"/>
  <c r="BS29" i="19" s="1"/>
  <c r="BQ28" i="19"/>
  <c r="BS28" i="19" s="1"/>
  <c r="BQ27" i="19"/>
  <c r="BS27" i="19" s="1"/>
  <c r="BP29" i="19"/>
  <c r="BP28" i="19"/>
  <c r="BP27" i="19"/>
  <c r="BS31" i="19"/>
  <c r="BS25" i="19"/>
  <c r="BP25" i="19"/>
  <c r="BS24" i="19"/>
  <c r="BP24" i="19"/>
  <c r="BS23" i="19"/>
  <c r="BP23" i="19"/>
  <c r="BP31" i="19"/>
  <c r="BP21" i="19"/>
  <c r="BS21" i="19"/>
  <c r="BP20" i="19"/>
  <c r="BP19" i="19"/>
  <c r="BP17" i="19"/>
  <c r="BP16" i="19"/>
  <c r="BP14" i="19"/>
  <c r="BP13" i="19"/>
  <c r="BS17" i="19"/>
  <c r="BS16" i="19"/>
  <c r="BO72" i="19"/>
  <c r="BN72" i="19"/>
  <c r="BM72" i="19"/>
  <c r="BL72" i="19"/>
  <c r="BK72" i="19"/>
  <c r="BJ72" i="19"/>
  <c r="BI72" i="19"/>
  <c r="BH72" i="19"/>
  <c r="BG72" i="19"/>
  <c r="BF72" i="19"/>
  <c r="BE72" i="19"/>
  <c r="BD72" i="19"/>
  <c r="BC72" i="19"/>
  <c r="BE10" i="19"/>
  <c r="BF10" i="19" s="1"/>
  <c r="BG10" i="19" s="1"/>
  <c r="BH10" i="19" s="1"/>
  <c r="BI10" i="19" s="1"/>
  <c r="BJ10" i="19" s="1"/>
  <c r="BK10" i="19" s="1"/>
  <c r="BL10" i="19" s="1"/>
  <c r="BM10" i="19" s="1"/>
  <c r="BN10" i="19" s="1"/>
  <c r="BO10" i="19" s="1"/>
  <c r="BS19" i="19"/>
  <c r="BS20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BS14" i="19"/>
  <c r="BS13" i="19"/>
  <c r="Z10" i="19"/>
  <c r="AA10" i="19" s="1"/>
  <c r="AB10" i="19" s="1"/>
  <c r="AC10" i="19" s="1"/>
  <c r="AD10" i="19" s="1"/>
  <c r="AE10" i="19" s="1"/>
  <c r="AF10" i="19" s="1"/>
  <c r="AG10" i="19" s="1"/>
  <c r="AH10" i="19" s="1"/>
  <c r="AI10" i="19" s="1"/>
  <c r="AJ10" i="19" s="1"/>
  <c r="AK10" i="19" s="1"/>
  <c r="AL10" i="19" s="1"/>
  <c r="AM10" i="19" s="1"/>
  <c r="F62" i="9"/>
  <c r="F64" i="9" s="1"/>
  <c r="G62" i="9" a="1"/>
  <c r="G62" i="9" s="1"/>
  <c r="AS13" i="20" l="1"/>
  <c r="AS220" i="20" s="1"/>
  <c r="CC31" i="19"/>
  <c r="CC32" i="19" s="1"/>
  <c r="CC72" i="19" s="1"/>
  <c r="CE74" i="19" s="1"/>
  <c r="CE31" i="19"/>
  <c r="CE32" i="19" s="1"/>
  <c r="CE72" i="19" s="1"/>
  <c r="AX13" i="20"/>
  <c r="AO13" i="20"/>
  <c r="AP13" i="20" s="1"/>
  <c r="AK220" i="20"/>
  <c r="BT27" i="19"/>
  <c r="BU27" i="19" s="1"/>
  <c r="BT28" i="19"/>
  <c r="BU28" i="19" s="1"/>
  <c r="BT29" i="19"/>
  <c r="BU29" i="19" s="1"/>
  <c r="BT24" i="19"/>
  <c r="BU24" i="19" s="1"/>
  <c r="BT23" i="19"/>
  <c r="BU23" i="19" s="1"/>
  <c r="BT25" i="19"/>
  <c r="BU25" i="19" s="1"/>
  <c r="BT21" i="19"/>
  <c r="BU21" i="19" s="1"/>
  <c r="BT31" i="19"/>
  <c r="BU31" i="19" s="1"/>
  <c r="BT17" i="19"/>
  <c r="BU17" i="19" s="1"/>
  <c r="BT16" i="19"/>
  <c r="BU16" i="19" s="1"/>
  <c r="BT20" i="19"/>
  <c r="BU20" i="19" s="1"/>
  <c r="BT19" i="19"/>
  <c r="BU19" i="19" s="1"/>
  <c r="BT14" i="19"/>
  <c r="BU14" i="19" s="1"/>
  <c r="BT13" i="19"/>
  <c r="BU13" i="19" s="1"/>
  <c r="H62" i="9"/>
  <c r="G64" i="9"/>
  <c r="AP220" i="20" l="1"/>
  <c r="AY13" i="20"/>
  <c r="AT13" i="20"/>
  <c r="BU72" i="19"/>
  <c r="BU74" i="19" s="1"/>
  <c r="CF31" i="19"/>
  <c r="CE75" i="19"/>
  <c r="AX30" i="20"/>
  <c r="F13" i="26" s="1"/>
  <c r="AO220" i="20"/>
  <c r="BY72" i="19"/>
  <c r="BT72" i="19"/>
  <c r="H64" i="9"/>
  <c r="I62" i="9"/>
  <c r="G13" i="26" l="1"/>
  <c r="G27" i="26" s="1"/>
  <c r="F27" i="26"/>
  <c r="F39" i="26" s="1"/>
  <c r="AX220" i="20"/>
  <c r="D224" i="20"/>
  <c r="D228" i="20" s="1"/>
  <c r="F225" i="20" s="1"/>
  <c r="AY30" i="20"/>
  <c r="AT220" i="20"/>
  <c r="I64" i="9"/>
  <c r="F224" i="20" l="1"/>
  <c r="F227" i="20"/>
  <c r="F226" i="20"/>
  <c r="I29" i="17"/>
  <c r="I28" i="17"/>
  <c r="I27" i="17"/>
  <c r="I26" i="17"/>
  <c r="I25" i="17"/>
  <c r="I24" i="17"/>
  <c r="I23" i="17"/>
  <c r="I22" i="17"/>
  <c r="I21" i="17"/>
  <c r="I20" i="17"/>
  <c r="I19" i="17"/>
  <c r="I18" i="17"/>
  <c r="H13" i="26" l="1"/>
  <c r="H27" i="26" s="1"/>
  <c r="I25" i="26" l="1"/>
  <c r="I24" i="26"/>
  <c r="I20" i="26"/>
  <c r="I22" i="26"/>
  <c r="I23" i="26"/>
  <c r="I17" i="26"/>
  <c r="I18" i="26"/>
  <c r="I19" i="26"/>
  <c r="I21" i="26"/>
  <c r="K27" i="26"/>
  <c r="I13" i="26"/>
  <c r="I14" i="26" l="1"/>
  <c r="I16" i="26"/>
  <c r="I15" i="26"/>
  <c r="I27" i="26" l="1"/>
  <c r="G53" i="9"/>
  <c r="B36" i="9" l="1"/>
  <c r="D36" i="9"/>
  <c r="D35" i="9"/>
  <c r="D34" i="9"/>
  <c r="D33" i="9"/>
  <c r="D32" i="9"/>
  <c r="G35" i="9" l="1"/>
  <c r="F35" i="9" l="1"/>
  <c r="F33" i="9" l="1"/>
  <c r="H16" i="9"/>
  <c r="H23" i="9" s="1"/>
  <c r="G34" i="9"/>
  <c r="F34" i="9"/>
  <c r="G33" i="9"/>
  <c r="F36" i="9"/>
  <c r="G36" i="9"/>
  <c r="I16" i="9" l="1"/>
  <c r="I23" i="9" s="1"/>
  <c r="G32" i="9" a="1"/>
  <c r="G32" i="9" s="1"/>
  <c r="F32" i="9"/>
  <c r="J18" i="9" l="1"/>
  <c r="J30" i="9" l="1"/>
  <c r="J19" i="9"/>
  <c r="J20" i="9"/>
  <c r="J14" i="9"/>
  <c r="J21" i="9"/>
  <c r="J15" i="9"/>
  <c r="J13" i="9"/>
  <c r="J16" i="9"/>
  <c r="J23" i="9" l="1"/>
  <c r="H32" i="9"/>
  <c r="I32" i="9" s="1"/>
  <c r="G38" i="9" l="1"/>
  <c r="H34" i="9"/>
  <c r="H36" i="9"/>
  <c r="I36" i="9" s="1"/>
  <c r="H35" i="9"/>
  <c r="I35" i="9" s="1"/>
  <c r="I34" i="9" l="1"/>
  <c r="CE210" i="6" l="1"/>
  <c r="CD210" i="6"/>
  <c r="CB210" i="6"/>
  <c r="CB29" i="6"/>
  <c r="CB81" i="6"/>
  <c r="CB208" i="6"/>
  <c r="CB198" i="6"/>
  <c r="BV198" i="6"/>
  <c r="BV206" i="6"/>
  <c r="BV203" i="6"/>
  <c r="BV200" i="6"/>
  <c r="BV208" i="6" s="1"/>
  <c r="BV196" i="6"/>
  <c r="BV193" i="6"/>
  <c r="BV188" i="6"/>
  <c r="CL210" i="6"/>
  <c r="CK210" i="6"/>
  <c r="CJ210" i="6"/>
  <c r="CI210" i="6"/>
  <c r="CH210" i="6"/>
  <c r="CG210" i="6"/>
  <c r="CC210" i="6"/>
  <c r="BT210" i="6"/>
  <c r="BS210" i="6"/>
  <c r="BO210" i="6"/>
  <c r="BN210" i="6"/>
  <c r="BM210" i="6"/>
  <c r="BL210" i="6"/>
  <c r="BK210" i="6"/>
  <c r="BJ210" i="6"/>
  <c r="BI210" i="6"/>
  <c r="BH210" i="6"/>
  <c r="BG210" i="6"/>
  <c r="BF210" i="6"/>
  <c r="BE210" i="6"/>
  <c r="BD210" i="6"/>
  <c r="BC210" i="6"/>
  <c r="BB210" i="6"/>
  <c r="BA210" i="6"/>
  <c r="AZ210" i="6"/>
  <c r="AY210" i="6"/>
  <c r="AX210" i="6"/>
  <c r="AW210" i="6"/>
  <c r="AV210" i="6"/>
  <c r="AU210" i="6"/>
  <c r="AT210" i="6"/>
  <c r="AS210" i="6"/>
  <c r="AR210" i="6"/>
  <c r="AQ210" i="6"/>
  <c r="AP210" i="6"/>
  <c r="AO210" i="6"/>
  <c r="AN210" i="6"/>
  <c r="AM210" i="6"/>
  <c r="AL210" i="6"/>
  <c r="AK210" i="6"/>
  <c r="AJ210" i="6"/>
  <c r="AI210" i="6"/>
  <c r="AH210" i="6"/>
  <c r="AG210" i="6"/>
  <c r="AF210" i="6"/>
  <c r="AE210" i="6"/>
  <c r="AD210" i="6"/>
  <c r="AC210" i="6"/>
  <c r="AB210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O210" i="6"/>
  <c r="N210" i="6"/>
  <c r="M210" i="6"/>
  <c r="L210" i="6"/>
  <c r="K210" i="6"/>
  <c r="J210" i="6"/>
  <c r="I210" i="6"/>
  <c r="H210" i="6"/>
  <c r="G210" i="6"/>
  <c r="F210" i="6"/>
  <c r="CM208" i="6"/>
  <c r="CM206" i="6"/>
  <c r="CM203" i="6"/>
  <c r="CM200" i="6"/>
  <c r="CM196" i="6"/>
  <c r="CM193" i="6"/>
  <c r="CM188" i="6"/>
  <c r="CK206" i="6"/>
  <c r="CL206" i="6" s="1"/>
  <c r="CJ206" i="6"/>
  <c r="CI206" i="6"/>
  <c r="CI208" i="6" s="1"/>
  <c r="CK203" i="6"/>
  <c r="CL203" i="6" s="1"/>
  <c r="CI203" i="6"/>
  <c r="CJ203" i="6" s="1"/>
  <c r="CL200" i="6"/>
  <c r="CK200" i="6"/>
  <c r="CI200" i="6"/>
  <c r="CJ200" i="6" s="1"/>
  <c r="CK196" i="6"/>
  <c r="CL196" i="6" s="1"/>
  <c r="CI196" i="6"/>
  <c r="CJ196" i="6" s="1"/>
  <c r="CK193" i="6"/>
  <c r="CL193" i="6" s="1"/>
  <c r="CI193" i="6"/>
  <c r="CJ193" i="6" s="1"/>
  <c r="CK188" i="6"/>
  <c r="CL188" i="6" s="1"/>
  <c r="CL191" i="6" s="1"/>
  <c r="CI188" i="6"/>
  <c r="CJ188" i="6" s="1"/>
  <c r="CJ191" i="6" s="1"/>
  <c r="CH206" i="6"/>
  <c r="CH203" i="6"/>
  <c r="CH200" i="6"/>
  <c r="CH196" i="6"/>
  <c r="CH193" i="6"/>
  <c r="CH188" i="6"/>
  <c r="CH191" i="6" s="1"/>
  <c r="CG206" i="6"/>
  <c r="CG203" i="6"/>
  <c r="CG200" i="6"/>
  <c r="CG196" i="6"/>
  <c r="CG193" i="6"/>
  <c r="CG188" i="6"/>
  <c r="CK191" i="6"/>
  <c r="CI191" i="6"/>
  <c r="CG191" i="6"/>
  <c r="CE191" i="6"/>
  <c r="CD191" i="6"/>
  <c r="CC191" i="6"/>
  <c r="CB191" i="6"/>
  <c r="BT191" i="6"/>
  <c r="BS191" i="6"/>
  <c r="BR191" i="6"/>
  <c r="BQ191" i="6"/>
  <c r="BP191" i="6"/>
  <c r="BO191" i="6"/>
  <c r="BN191" i="6"/>
  <c r="BM191" i="6"/>
  <c r="BL191" i="6"/>
  <c r="BK191" i="6"/>
  <c r="BJ191" i="6"/>
  <c r="BI191" i="6"/>
  <c r="BH191" i="6"/>
  <c r="BG191" i="6"/>
  <c r="BF191" i="6"/>
  <c r="BE191" i="6"/>
  <c r="CH208" i="6"/>
  <c r="CE208" i="6"/>
  <c r="CD208" i="6"/>
  <c r="CC208" i="6"/>
  <c r="CK198" i="6"/>
  <c r="CI198" i="6"/>
  <c r="CH198" i="6"/>
  <c r="CG198" i="6"/>
  <c r="CE198" i="6"/>
  <c r="CD198" i="6"/>
  <c r="CC198" i="6"/>
  <c r="BT198" i="6"/>
  <c r="BS198" i="6"/>
  <c r="BR198" i="6"/>
  <c r="BQ198" i="6"/>
  <c r="BP198" i="6"/>
  <c r="BO198" i="6"/>
  <c r="BN198" i="6"/>
  <c r="BM198" i="6"/>
  <c r="BL198" i="6"/>
  <c r="BK198" i="6"/>
  <c r="BJ198" i="6"/>
  <c r="BI198" i="6"/>
  <c r="BH198" i="6"/>
  <c r="BG198" i="6"/>
  <c r="BF198" i="6"/>
  <c r="BE198" i="6"/>
  <c r="BD198" i="6"/>
  <c r="BW208" i="6"/>
  <c r="BT208" i="6"/>
  <c r="BS208" i="6"/>
  <c r="BR208" i="6"/>
  <c r="BQ208" i="6"/>
  <c r="BP208" i="6"/>
  <c r="BO208" i="6"/>
  <c r="BN208" i="6"/>
  <c r="BM208" i="6"/>
  <c r="BL208" i="6"/>
  <c r="BK208" i="6"/>
  <c r="BJ208" i="6"/>
  <c r="BI208" i="6"/>
  <c r="BH208" i="6"/>
  <c r="BG208" i="6"/>
  <c r="BF208" i="6"/>
  <c r="BE208" i="6"/>
  <c r="BD208" i="6"/>
  <c r="BP193" i="6"/>
  <c r="BR196" i="6"/>
  <c r="BO196" i="6"/>
  <c r="BR206" i="6"/>
  <c r="BO206" i="6"/>
  <c r="BR203" i="6"/>
  <c r="BS203" i="6" s="1"/>
  <c r="BT203" i="6" s="1"/>
  <c r="BO203" i="6"/>
  <c r="BR200" i="6"/>
  <c r="BO200" i="6"/>
  <c r="BR193" i="6"/>
  <c r="BO193" i="6"/>
  <c r="BD191" i="6"/>
  <c r="BR188" i="6"/>
  <c r="BO188" i="6"/>
  <c r="BI186" i="6"/>
  <c r="BJ186" i="6" s="1"/>
  <c r="BK186" i="6" s="1"/>
  <c r="BL186" i="6" s="1"/>
  <c r="BM186" i="6" s="1"/>
  <c r="BN186" i="6" s="1"/>
  <c r="BE186" i="6"/>
  <c r="BF186" i="6" s="1"/>
  <c r="BG186" i="6" s="1"/>
  <c r="G52" i="9" l="1"/>
  <c r="G49" i="9"/>
  <c r="F52" i="9"/>
  <c r="G56" i="9"/>
  <c r="F49" i="9"/>
  <c r="CM210" i="6"/>
  <c r="CL208" i="6"/>
  <c r="CK208" i="6"/>
  <c r="CJ208" i="6"/>
  <c r="CJ198" i="6"/>
  <c r="CL198" i="6"/>
  <c r="CG208" i="6"/>
  <c r="BS206" i="6"/>
  <c r="BT206" i="6" s="1"/>
  <c r="BS196" i="6"/>
  <c r="BT196" i="6" s="1"/>
  <c r="BS193" i="6"/>
  <c r="BT193" i="6" s="1"/>
  <c r="BS200" i="6"/>
  <c r="BT200" i="6" s="1"/>
  <c r="BS188" i="6"/>
  <c r="H52" i="9" l="1"/>
  <c r="I52" i="9" s="1"/>
  <c r="H49" i="9"/>
  <c r="I49" i="9" s="1"/>
  <c r="G47" i="9"/>
  <c r="G45" i="9"/>
  <c r="F53" i="9"/>
  <c r="G57" i="9"/>
  <c r="G58" i="9"/>
  <c r="BT188" i="6"/>
  <c r="G54" i="9" l="1"/>
  <c r="G51" i="9"/>
  <c r="F51" i="9"/>
  <c r="G50" i="9"/>
  <c r="G48" i="9"/>
  <c r="F46" i="9"/>
  <c r="G46" i="9"/>
  <c r="F44" i="9"/>
  <c r="F42" i="9"/>
  <c r="G42" i="9"/>
  <c r="F45" i="9"/>
  <c r="H45" i="9" s="1"/>
  <c r="I45" i="9" s="1"/>
  <c r="F47" i="9"/>
  <c r="H47" i="9" s="1"/>
  <c r="I47" i="9" s="1"/>
  <c r="G44" i="9"/>
  <c r="H53" i="9"/>
  <c r="I53" i="9" s="1"/>
  <c r="F56" i="9"/>
  <c r="H56" i="9" s="1"/>
  <c r="I56" i="9" s="1"/>
  <c r="F43" i="9"/>
  <c r="G43" i="9"/>
  <c r="F55" i="9"/>
  <c r="G55" i="9"/>
  <c r="G40" i="9"/>
  <c r="F57" i="9"/>
  <c r="H57" i="9" s="1"/>
  <c r="I57" i="9" s="1"/>
  <c r="F58" i="9"/>
  <c r="H58" i="9" s="1"/>
  <c r="I58" i="9" s="1"/>
  <c r="F48" i="9"/>
  <c r="CK79" i="6"/>
  <c r="CI79" i="6"/>
  <c r="CK76" i="6"/>
  <c r="CI76" i="6"/>
  <c r="CK73" i="6"/>
  <c r="CI73" i="6"/>
  <c r="CK70" i="6"/>
  <c r="CI70" i="6"/>
  <c r="CK67" i="6"/>
  <c r="CI67" i="6"/>
  <c r="CK64" i="6"/>
  <c r="CI64" i="6"/>
  <c r="CK61" i="6"/>
  <c r="CI61" i="6"/>
  <c r="CK58" i="6"/>
  <c r="CI58" i="6"/>
  <c r="CK55" i="6"/>
  <c r="CI55" i="6"/>
  <c r="CK52" i="6"/>
  <c r="CI52" i="6"/>
  <c r="CK49" i="6"/>
  <c r="CI49" i="6"/>
  <c r="CK46" i="6"/>
  <c r="CI46" i="6"/>
  <c r="CK43" i="6"/>
  <c r="CI43" i="6"/>
  <c r="CK39" i="6"/>
  <c r="CI39" i="6"/>
  <c r="CK35" i="6"/>
  <c r="CI35" i="6"/>
  <c r="CK26" i="6"/>
  <c r="CI26" i="6"/>
  <c r="CK22" i="6"/>
  <c r="CI22" i="6"/>
  <c r="CK18" i="6"/>
  <c r="CI18" i="6"/>
  <c r="CK15" i="6"/>
  <c r="CI15" i="6"/>
  <c r="CK14" i="6"/>
  <c r="CI14" i="6"/>
  <c r="CK180" i="6"/>
  <c r="CL180" i="6" s="1"/>
  <c r="CK178" i="6"/>
  <c r="CL178" i="6" s="1"/>
  <c r="CK176" i="6"/>
  <c r="CL176" i="6" s="1"/>
  <c r="CK171" i="6"/>
  <c r="CL172" i="6" s="1"/>
  <c r="CK170" i="6"/>
  <c r="CL170" i="6" s="1"/>
  <c r="CK166" i="6"/>
  <c r="CL166" i="6" s="1"/>
  <c r="CK161" i="6"/>
  <c r="CL161" i="6" s="1"/>
  <c r="CL158" i="6"/>
  <c r="CK158" i="6"/>
  <c r="CK155" i="6"/>
  <c r="CK152" i="6"/>
  <c r="CL152" i="6" s="1"/>
  <c r="CK149" i="6"/>
  <c r="CL149" i="6" s="1"/>
  <c r="CL146" i="6"/>
  <c r="CK146" i="6"/>
  <c r="CL143" i="6"/>
  <c r="CK143" i="6"/>
  <c r="CL140" i="6"/>
  <c r="CK140" i="6"/>
  <c r="CK138" i="6"/>
  <c r="CL138" i="6" s="1"/>
  <c r="CK133" i="6"/>
  <c r="CL133" i="6" s="1"/>
  <c r="CK130" i="6"/>
  <c r="CL130" i="6" s="1"/>
  <c r="CK127" i="6"/>
  <c r="CL127" i="6" s="1"/>
  <c r="CK124" i="6"/>
  <c r="CL124" i="6" s="1"/>
  <c r="CK121" i="6"/>
  <c r="CL121" i="6" s="1"/>
  <c r="CK118" i="6"/>
  <c r="CL118" i="6" s="1"/>
  <c r="CK115" i="6"/>
  <c r="CL115" i="6" s="1"/>
  <c r="CK112" i="6"/>
  <c r="CL112" i="6" s="1"/>
  <c r="CK107" i="6"/>
  <c r="CL107" i="6" s="1"/>
  <c r="CK104" i="6"/>
  <c r="CL104" i="6" s="1"/>
  <c r="CK101" i="6"/>
  <c r="CL101" i="6" s="1"/>
  <c r="CK98" i="6"/>
  <c r="CL98" i="6" s="1"/>
  <c r="CK95" i="6"/>
  <c r="CL95" i="6" s="1"/>
  <c r="CK92" i="6"/>
  <c r="CL92" i="6" s="1"/>
  <c r="CK89" i="6"/>
  <c r="CL89" i="6" s="1"/>
  <c r="CK86" i="6"/>
  <c r="CL86" i="6" s="1"/>
  <c r="CK83" i="6"/>
  <c r="CL83" i="6" s="1"/>
  <c r="BI33" i="6"/>
  <c r="BJ33" i="6" s="1"/>
  <c r="BK33" i="6" s="1"/>
  <c r="BL33" i="6" s="1"/>
  <c r="BM33" i="6" s="1"/>
  <c r="BN33" i="6" s="1"/>
  <c r="BE33" i="6"/>
  <c r="BF33" i="6" s="1"/>
  <c r="BG33" i="6" s="1"/>
  <c r="BI10" i="6"/>
  <c r="BJ10" i="6" s="1"/>
  <c r="BK10" i="6" s="1"/>
  <c r="BL10" i="6" s="1"/>
  <c r="BM10" i="6" s="1"/>
  <c r="BN10" i="6" s="1"/>
  <c r="BE10" i="6"/>
  <c r="BF10" i="6" s="1"/>
  <c r="BG10" i="6" s="1"/>
  <c r="BN182" i="6"/>
  <c r="BM182" i="6"/>
  <c r="BL182" i="6"/>
  <c r="BK182" i="6"/>
  <c r="BJ182" i="6"/>
  <c r="BI182" i="6"/>
  <c r="BH182" i="6"/>
  <c r="BG182" i="6"/>
  <c r="BF182" i="6"/>
  <c r="BE182" i="6"/>
  <c r="BD182" i="6"/>
  <c r="BC182" i="6"/>
  <c r="BB182" i="6"/>
  <c r="BA182" i="6"/>
  <c r="AZ182" i="6"/>
  <c r="AY182" i="6"/>
  <c r="AX182" i="6"/>
  <c r="AW182" i="6"/>
  <c r="AV182" i="6"/>
  <c r="AU182" i="6"/>
  <c r="AT182" i="6"/>
  <c r="AS182" i="6"/>
  <c r="AR182" i="6"/>
  <c r="AQ182" i="6"/>
  <c r="AP182" i="6"/>
  <c r="AO182" i="6"/>
  <c r="AN182" i="6"/>
  <c r="AM182" i="6"/>
  <c r="AL182" i="6"/>
  <c r="AK182" i="6"/>
  <c r="AJ182" i="6"/>
  <c r="AI182" i="6"/>
  <c r="AH182" i="6"/>
  <c r="AG182" i="6"/>
  <c r="AF182" i="6"/>
  <c r="AE182" i="6"/>
  <c r="AD182" i="6"/>
  <c r="AC18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CI180" i="6"/>
  <c r="CJ180" i="6" s="1"/>
  <c r="CG180" i="6"/>
  <c r="BR180" i="6"/>
  <c r="BT180" i="6" s="1"/>
  <c r="BO180" i="6"/>
  <c r="CA180" i="6" s="1"/>
  <c r="CD180" i="6" s="1"/>
  <c r="CI178" i="6"/>
  <c r="CJ178" i="6" s="1"/>
  <c r="CG178" i="6"/>
  <c r="BR178" i="6"/>
  <c r="BT178" i="6" s="1"/>
  <c r="BO178" i="6"/>
  <c r="CA178" i="6" s="1"/>
  <c r="CD178" i="6" s="1"/>
  <c r="CI176" i="6"/>
  <c r="CJ176" i="6" s="1"/>
  <c r="CG176" i="6"/>
  <c r="BR176" i="6"/>
  <c r="BT176" i="6" s="1"/>
  <c r="BO176" i="6"/>
  <c r="CA176" i="6" s="1"/>
  <c r="CD176" i="6" s="1"/>
  <c r="BN174" i="6"/>
  <c r="BM174" i="6"/>
  <c r="BL174" i="6"/>
  <c r="BK174" i="6"/>
  <c r="BJ174" i="6"/>
  <c r="BI174" i="6"/>
  <c r="BH174" i="6"/>
  <c r="BG174" i="6"/>
  <c r="BF174" i="6"/>
  <c r="BE174" i="6"/>
  <c r="BD174" i="6"/>
  <c r="BC174" i="6"/>
  <c r="BB174" i="6"/>
  <c r="BA174" i="6"/>
  <c r="AZ174" i="6"/>
  <c r="AY174" i="6"/>
  <c r="AX174" i="6"/>
  <c r="AW174" i="6"/>
  <c r="AV174" i="6"/>
  <c r="AU174" i="6"/>
  <c r="AT174" i="6"/>
  <c r="AS174" i="6"/>
  <c r="AR174" i="6"/>
  <c r="AQ174" i="6"/>
  <c r="AP174" i="6"/>
  <c r="AO174" i="6"/>
  <c r="AN174" i="6"/>
  <c r="AM174" i="6"/>
  <c r="AL174" i="6"/>
  <c r="AK174" i="6"/>
  <c r="AJ174" i="6"/>
  <c r="AI174" i="6"/>
  <c r="AH174" i="6"/>
  <c r="AG174" i="6"/>
  <c r="AF174" i="6"/>
  <c r="AE174" i="6"/>
  <c r="AD174" i="6"/>
  <c r="AC174" i="6"/>
  <c r="AB174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O174" i="6"/>
  <c r="N174" i="6"/>
  <c r="M174" i="6"/>
  <c r="L174" i="6"/>
  <c r="K174" i="6"/>
  <c r="J174" i="6"/>
  <c r="I174" i="6"/>
  <c r="H174" i="6"/>
  <c r="G174" i="6"/>
  <c r="F174" i="6"/>
  <c r="CG172" i="6"/>
  <c r="BT172" i="6"/>
  <c r="BP172" i="6"/>
  <c r="BO172" i="6"/>
  <c r="BS172" i="6" s="1"/>
  <c r="BV172" i="6" s="1"/>
  <c r="CI171" i="6"/>
  <c r="CJ172" i="6" s="1"/>
  <c r="CI170" i="6"/>
  <c r="CJ170" i="6" s="1"/>
  <c r="CG170" i="6"/>
  <c r="BP170" i="6"/>
  <c r="BR170" i="6" s="1"/>
  <c r="BT170" i="6" s="1"/>
  <c r="BO170" i="6"/>
  <c r="CD168" i="6"/>
  <c r="BN168" i="6"/>
  <c r="BM168" i="6"/>
  <c r="BL168" i="6"/>
  <c r="BK168" i="6"/>
  <c r="BJ168" i="6"/>
  <c r="BI168" i="6"/>
  <c r="BH168" i="6"/>
  <c r="BG168" i="6"/>
  <c r="BF168" i="6"/>
  <c r="BE168" i="6"/>
  <c r="BD168" i="6"/>
  <c r="BC168" i="6"/>
  <c r="BB168" i="6"/>
  <c r="BA168" i="6"/>
  <c r="AZ168" i="6"/>
  <c r="AY168" i="6"/>
  <c r="AX168" i="6"/>
  <c r="AW168" i="6"/>
  <c r="AV168" i="6"/>
  <c r="AU168" i="6"/>
  <c r="AT168" i="6"/>
  <c r="AS168" i="6"/>
  <c r="AR168" i="6"/>
  <c r="AQ168" i="6"/>
  <c r="AP168" i="6"/>
  <c r="AO168" i="6"/>
  <c r="AN168" i="6"/>
  <c r="AM168" i="6"/>
  <c r="AL168" i="6"/>
  <c r="AK168" i="6"/>
  <c r="AJ168" i="6"/>
  <c r="AI168" i="6"/>
  <c r="AH168" i="6"/>
  <c r="AG168" i="6"/>
  <c r="AF168" i="6"/>
  <c r="AE168" i="6"/>
  <c r="AD168" i="6"/>
  <c r="AC168" i="6"/>
  <c r="AB168" i="6"/>
  <c r="AA168" i="6"/>
  <c r="Z168" i="6"/>
  <c r="Y168" i="6"/>
  <c r="X168" i="6"/>
  <c r="W168" i="6"/>
  <c r="V168" i="6"/>
  <c r="U168" i="6"/>
  <c r="T168" i="6"/>
  <c r="S168" i="6"/>
  <c r="R168" i="6"/>
  <c r="Q168" i="6"/>
  <c r="P168" i="6"/>
  <c r="O168" i="6"/>
  <c r="N168" i="6"/>
  <c r="M168" i="6"/>
  <c r="L168" i="6"/>
  <c r="K168" i="6"/>
  <c r="J168" i="6"/>
  <c r="I168" i="6"/>
  <c r="H168" i="6"/>
  <c r="G168" i="6"/>
  <c r="F168" i="6"/>
  <c r="CI166" i="6"/>
  <c r="CJ166" i="6" s="1"/>
  <c r="CG166" i="6"/>
  <c r="BR166" i="6"/>
  <c r="BT166" i="6" s="1"/>
  <c r="BT168" i="6" s="1"/>
  <c r="BO166" i="6"/>
  <c r="BO168" i="6" s="1"/>
  <c r="BN164" i="6"/>
  <c r="BM164" i="6"/>
  <c r="BL164" i="6"/>
  <c r="BK164" i="6"/>
  <c r="BJ164" i="6"/>
  <c r="BI164" i="6"/>
  <c r="BH164" i="6"/>
  <c r="BG164" i="6"/>
  <c r="BF164" i="6"/>
  <c r="BE164" i="6"/>
  <c r="BD164" i="6"/>
  <c r="BC164" i="6"/>
  <c r="BB164" i="6"/>
  <c r="BA164" i="6"/>
  <c r="AZ164" i="6"/>
  <c r="AY164" i="6"/>
  <c r="AX164" i="6"/>
  <c r="AW164" i="6"/>
  <c r="AV164" i="6"/>
  <c r="AU164" i="6"/>
  <c r="AT164" i="6"/>
  <c r="AS164" i="6"/>
  <c r="AR164" i="6"/>
  <c r="AQ164" i="6"/>
  <c r="AP164" i="6"/>
  <c r="AO164" i="6"/>
  <c r="AN164" i="6"/>
  <c r="AM164" i="6"/>
  <c r="AL164" i="6"/>
  <c r="AK164" i="6"/>
  <c r="AJ164" i="6"/>
  <c r="AI164" i="6"/>
  <c r="AH164" i="6"/>
  <c r="AG164" i="6"/>
  <c r="AF164" i="6"/>
  <c r="AE164" i="6"/>
  <c r="AD164" i="6"/>
  <c r="AC164" i="6"/>
  <c r="AB164" i="6"/>
  <c r="AA164" i="6"/>
  <c r="Z164" i="6"/>
  <c r="Y164" i="6"/>
  <c r="X164" i="6"/>
  <c r="W164" i="6"/>
  <c r="V164" i="6"/>
  <c r="U164" i="6"/>
  <c r="T164" i="6"/>
  <c r="S164" i="6"/>
  <c r="R164" i="6"/>
  <c r="Q164" i="6"/>
  <c r="P164" i="6"/>
  <c r="O164" i="6"/>
  <c r="N164" i="6"/>
  <c r="M164" i="6"/>
  <c r="L164" i="6"/>
  <c r="K164" i="6"/>
  <c r="J164" i="6"/>
  <c r="I164" i="6"/>
  <c r="H164" i="6"/>
  <c r="G164" i="6"/>
  <c r="F164" i="6"/>
  <c r="CI161" i="6"/>
  <c r="CJ161" i="6" s="1"/>
  <c r="CG161" i="6"/>
  <c r="BY161" i="6"/>
  <c r="BR161" i="6"/>
  <c r="BT161" i="6" s="1"/>
  <c r="BO161" i="6"/>
  <c r="CI158" i="6"/>
  <c r="CJ158" i="6" s="1"/>
  <c r="CG158" i="6"/>
  <c r="BY158" i="6"/>
  <c r="BR158" i="6"/>
  <c r="BT158" i="6" s="1"/>
  <c r="BO158" i="6"/>
  <c r="CI155" i="6"/>
  <c r="CG155" i="6"/>
  <c r="BY155" i="6"/>
  <c r="BR155" i="6"/>
  <c r="BT155" i="6" s="1"/>
  <c r="BO155" i="6"/>
  <c r="CI152" i="6"/>
  <c r="CJ152" i="6" s="1"/>
  <c r="CG152" i="6"/>
  <c r="BY152" i="6"/>
  <c r="BR152" i="6"/>
  <c r="BT152" i="6" s="1"/>
  <c r="BO152" i="6"/>
  <c r="CI149" i="6"/>
  <c r="CJ149" i="6" s="1"/>
  <c r="CG149" i="6"/>
  <c r="BY149" i="6"/>
  <c r="BT149" i="6"/>
  <c r="BQ149" i="6"/>
  <c r="BO149" i="6"/>
  <c r="BS149" i="6" s="1"/>
  <c r="BV149" i="6" s="1"/>
  <c r="CJ146" i="6"/>
  <c r="CI146" i="6"/>
  <c r="CG146" i="6"/>
  <c r="BY146" i="6"/>
  <c r="BV146" i="6"/>
  <c r="BR146" i="6"/>
  <c r="BT146" i="6" s="1"/>
  <c r="BO146" i="6"/>
  <c r="CJ143" i="6"/>
  <c r="CI143" i="6"/>
  <c r="CG143" i="6"/>
  <c r="BY143" i="6"/>
  <c r="BV143" i="6"/>
  <c r="BR143" i="6"/>
  <c r="BT143" i="6" s="1"/>
  <c r="BO143" i="6"/>
  <c r="CJ140" i="6"/>
  <c r="CI140" i="6"/>
  <c r="BY140" i="6"/>
  <c r="BV140" i="6"/>
  <c r="BR140" i="6"/>
  <c r="BT140" i="6" s="1"/>
  <c r="BO140" i="6"/>
  <c r="CI138" i="6"/>
  <c r="CJ138" i="6" s="1"/>
  <c r="BY138" i="6"/>
  <c r="BR138" i="6"/>
  <c r="BO138" i="6"/>
  <c r="BO164" i="6" s="1"/>
  <c r="BN136" i="6"/>
  <c r="BM136" i="6"/>
  <c r="BL136" i="6"/>
  <c r="BK136" i="6"/>
  <c r="BJ136" i="6"/>
  <c r="BI136" i="6"/>
  <c r="BH136" i="6"/>
  <c r="BG136" i="6"/>
  <c r="BF136" i="6"/>
  <c r="BE136" i="6"/>
  <c r="BD136" i="6"/>
  <c r="BC136" i="6"/>
  <c r="BB136" i="6"/>
  <c r="BA136" i="6"/>
  <c r="AZ136" i="6"/>
  <c r="AY136" i="6"/>
  <c r="AX136" i="6"/>
  <c r="AW136" i="6"/>
  <c r="AV136" i="6"/>
  <c r="AU136" i="6"/>
  <c r="AT136" i="6"/>
  <c r="AS136" i="6"/>
  <c r="AR136" i="6"/>
  <c r="AQ136" i="6"/>
  <c r="AP136" i="6"/>
  <c r="AO136" i="6"/>
  <c r="AN136" i="6"/>
  <c r="AM136" i="6"/>
  <c r="AL136" i="6"/>
  <c r="AK136" i="6"/>
  <c r="AJ136" i="6"/>
  <c r="AI136" i="6"/>
  <c r="AH136" i="6"/>
  <c r="AG136" i="6"/>
  <c r="AF136" i="6"/>
  <c r="AE136" i="6"/>
  <c r="AD136" i="6"/>
  <c r="AC136" i="6"/>
  <c r="AB136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BR134" i="6"/>
  <c r="BT134" i="6" s="1"/>
  <c r="BO134" i="6"/>
  <c r="CI133" i="6"/>
  <c r="CJ133" i="6" s="1"/>
  <c r="CG133" i="6"/>
  <c r="BY133" i="6"/>
  <c r="BR133" i="6"/>
  <c r="BT133" i="6" s="1"/>
  <c r="BO133" i="6"/>
  <c r="CI130" i="6"/>
  <c r="CJ130" i="6" s="1"/>
  <c r="CG130" i="6"/>
  <c r="BY130" i="6"/>
  <c r="BP130" i="6"/>
  <c r="BR130" i="6" s="1"/>
  <c r="BO130" i="6"/>
  <c r="CI127" i="6"/>
  <c r="CJ127" i="6" s="1"/>
  <c r="CG127" i="6"/>
  <c r="BY127" i="6"/>
  <c r="BR127" i="6"/>
  <c r="BT127" i="6" s="1"/>
  <c r="BO127" i="6"/>
  <c r="CI124" i="6"/>
  <c r="CJ124" i="6" s="1"/>
  <c r="CG124" i="6"/>
  <c r="BY124" i="6"/>
  <c r="BR124" i="6"/>
  <c r="BT124" i="6" s="1"/>
  <c r="BO124" i="6"/>
  <c r="CI121" i="6"/>
  <c r="CJ121" i="6" s="1"/>
  <c r="CG121" i="6"/>
  <c r="BY121" i="6"/>
  <c r="BR121" i="6"/>
  <c r="BT121" i="6" s="1"/>
  <c r="BO121" i="6"/>
  <c r="CI118" i="6"/>
  <c r="CJ118" i="6" s="1"/>
  <c r="BY118" i="6"/>
  <c r="BR118" i="6"/>
  <c r="BT118" i="6" s="1"/>
  <c r="BO118" i="6"/>
  <c r="CI115" i="6"/>
  <c r="CJ115" i="6" s="1"/>
  <c r="BY115" i="6"/>
  <c r="BR115" i="6"/>
  <c r="BT115" i="6" s="1"/>
  <c r="BO115" i="6"/>
  <c r="CI112" i="6"/>
  <c r="CJ112" i="6" s="1"/>
  <c r="BY112" i="6"/>
  <c r="BT112" i="6"/>
  <c r="BO112" i="6"/>
  <c r="CD110" i="6"/>
  <c r="BN110" i="6"/>
  <c r="BM110" i="6"/>
  <c r="BL110" i="6"/>
  <c r="BK110" i="6"/>
  <c r="BJ110" i="6"/>
  <c r="BI110" i="6"/>
  <c r="BH110" i="6"/>
  <c r="BG110" i="6"/>
  <c r="BF110" i="6"/>
  <c r="BE110" i="6"/>
  <c r="BD110" i="6"/>
  <c r="BC110" i="6"/>
  <c r="BB110" i="6"/>
  <c r="BA110" i="6"/>
  <c r="AZ110" i="6"/>
  <c r="AY110" i="6"/>
  <c r="AX110" i="6"/>
  <c r="AW110" i="6"/>
  <c r="AV110" i="6"/>
  <c r="AU110" i="6"/>
  <c r="AT110" i="6"/>
  <c r="AS110" i="6"/>
  <c r="AR110" i="6"/>
  <c r="AQ110" i="6"/>
  <c r="AP110" i="6"/>
  <c r="AO110" i="6"/>
  <c r="AN110" i="6"/>
  <c r="AM110" i="6"/>
  <c r="AL110" i="6"/>
  <c r="AK110" i="6"/>
  <c r="AJ110" i="6"/>
  <c r="AI110" i="6"/>
  <c r="AH110" i="6"/>
  <c r="AG110" i="6"/>
  <c r="AF110" i="6"/>
  <c r="AE110" i="6"/>
  <c r="AD110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CI107" i="6"/>
  <c r="CJ107" i="6" s="1"/>
  <c r="CG107" i="6"/>
  <c r="BR107" i="6"/>
  <c r="BT107" i="6" s="1"/>
  <c r="BO107" i="6"/>
  <c r="CA107" i="6" s="1"/>
  <c r="CI104" i="6"/>
  <c r="CJ104" i="6" s="1"/>
  <c r="CG104" i="6"/>
  <c r="BR104" i="6"/>
  <c r="BO104" i="6"/>
  <c r="CA104" i="6" s="1"/>
  <c r="CI101" i="6"/>
  <c r="CJ101" i="6" s="1"/>
  <c r="CG101" i="6"/>
  <c r="BR101" i="6"/>
  <c r="BT101" i="6" s="1"/>
  <c r="BO101" i="6"/>
  <c r="CA101" i="6" s="1"/>
  <c r="CI98" i="6"/>
  <c r="CJ98" i="6" s="1"/>
  <c r="CG98" i="6"/>
  <c r="BR98" i="6"/>
  <c r="BT98" i="6" s="1"/>
  <c r="BO98" i="6"/>
  <c r="CA98" i="6" s="1"/>
  <c r="CI95" i="6"/>
  <c r="CJ95" i="6" s="1"/>
  <c r="CG95" i="6"/>
  <c r="BR95" i="6"/>
  <c r="BT95" i="6" s="1"/>
  <c r="BO95" i="6"/>
  <c r="CI92" i="6"/>
  <c r="CJ92" i="6" s="1"/>
  <c r="CG92" i="6"/>
  <c r="BY92" i="6"/>
  <c r="BR92" i="6"/>
  <c r="BT92" i="6" s="1"/>
  <c r="BO92" i="6"/>
  <c r="CI89" i="6"/>
  <c r="CJ89" i="6" s="1"/>
  <c r="CG89" i="6"/>
  <c r="BY89" i="6"/>
  <c r="BR89" i="6"/>
  <c r="BT89" i="6" s="1"/>
  <c r="BO89" i="6"/>
  <c r="CI86" i="6"/>
  <c r="CJ86" i="6" s="1"/>
  <c r="CG86" i="6"/>
  <c r="BY86" i="6"/>
  <c r="BR86" i="6"/>
  <c r="BT86" i="6" s="1"/>
  <c r="BO86" i="6"/>
  <c r="CI83" i="6"/>
  <c r="CJ83" i="6" s="1"/>
  <c r="BY83" i="6"/>
  <c r="BR83" i="6"/>
  <c r="BT83" i="6" s="1"/>
  <c r="BO83" i="6"/>
  <c r="BN81" i="6"/>
  <c r="BM81" i="6"/>
  <c r="BL81" i="6"/>
  <c r="BK81" i="6"/>
  <c r="BJ81" i="6"/>
  <c r="BI81" i="6"/>
  <c r="BH81" i="6"/>
  <c r="BG81" i="6"/>
  <c r="BF81" i="6"/>
  <c r="BE81" i="6"/>
  <c r="BD81" i="6"/>
  <c r="BC81" i="6"/>
  <c r="BB81" i="6"/>
  <c r="BA81" i="6"/>
  <c r="AZ81" i="6"/>
  <c r="AY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BY79" i="6"/>
  <c r="BP79" i="6"/>
  <c r="BR79" i="6" s="1"/>
  <c r="BO79" i="6"/>
  <c r="BY76" i="6"/>
  <c r="BP76" i="6"/>
  <c r="BR76" i="6" s="1"/>
  <c r="BO76" i="6"/>
  <c r="BY73" i="6"/>
  <c r="BP73" i="6"/>
  <c r="BR73" i="6" s="1"/>
  <c r="BO73" i="6"/>
  <c r="BY70" i="6"/>
  <c r="BP70" i="6"/>
  <c r="BR70" i="6" s="1"/>
  <c r="CH70" i="6" s="1"/>
  <c r="BO70" i="6"/>
  <c r="BY67" i="6"/>
  <c r="BP67" i="6"/>
  <c r="BR67" i="6" s="1"/>
  <c r="BO67" i="6"/>
  <c r="BY64" i="6"/>
  <c r="BP64" i="6"/>
  <c r="BR64" i="6" s="1"/>
  <c r="BO64" i="6"/>
  <c r="BY61" i="6"/>
  <c r="BP61" i="6"/>
  <c r="BR61" i="6" s="1"/>
  <c r="BO61" i="6"/>
  <c r="BY58" i="6"/>
  <c r="BP58" i="6"/>
  <c r="BR58" i="6" s="1"/>
  <c r="CH58" i="6" s="1"/>
  <c r="BO58" i="6"/>
  <c r="BY55" i="6"/>
  <c r="BP55" i="6"/>
  <c r="BO55" i="6"/>
  <c r="BY52" i="6"/>
  <c r="BR52" i="6"/>
  <c r="CH52" i="6" s="1"/>
  <c r="BO52" i="6"/>
  <c r="BY49" i="6"/>
  <c r="BP49" i="6"/>
  <c r="BR49" i="6" s="1"/>
  <c r="BO49" i="6"/>
  <c r="BY46" i="6"/>
  <c r="BP46" i="6"/>
  <c r="BR46" i="6" s="1"/>
  <c r="BO46" i="6"/>
  <c r="BY43" i="6"/>
  <c r="BP43" i="6"/>
  <c r="BR43" i="6" s="1"/>
  <c r="BO43" i="6"/>
  <c r="CI40" i="6"/>
  <c r="BY40" i="6"/>
  <c r="BP40" i="6"/>
  <c r="BR40" i="6" s="1"/>
  <c r="BO40" i="6"/>
  <c r="CK40" i="6" s="1"/>
  <c r="BY39" i="6"/>
  <c r="BP39" i="6"/>
  <c r="BR39" i="6" s="1"/>
  <c r="CH39" i="6" s="1"/>
  <c r="BO39" i="6"/>
  <c r="CI36" i="6"/>
  <c r="BY36" i="6"/>
  <c r="BP36" i="6"/>
  <c r="BR36" i="6" s="1"/>
  <c r="BO36" i="6"/>
  <c r="BY35" i="6"/>
  <c r="BP35" i="6"/>
  <c r="BR35" i="6" s="1"/>
  <c r="CH35" i="6" s="1"/>
  <c r="BO35" i="6"/>
  <c r="BN29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CI27" i="6"/>
  <c r="BP27" i="6"/>
  <c r="BR27" i="6" s="1"/>
  <c r="BO27" i="6"/>
  <c r="CA27" i="6" s="1"/>
  <c r="CD27" i="6" s="1"/>
  <c r="BP26" i="6"/>
  <c r="BR26" i="6" s="1"/>
  <c r="BO26" i="6"/>
  <c r="CA26" i="6" s="1"/>
  <c r="CD26" i="6" s="1"/>
  <c r="CI23" i="6"/>
  <c r="BP23" i="6"/>
  <c r="BR23" i="6" s="1"/>
  <c r="BO23" i="6"/>
  <c r="CA23" i="6" s="1"/>
  <c r="CD23" i="6" s="1"/>
  <c r="BP22" i="6"/>
  <c r="BR22" i="6" s="1"/>
  <c r="BO22" i="6"/>
  <c r="CA22" i="6" s="1"/>
  <c r="CD22" i="6" s="1"/>
  <c r="CI19" i="6"/>
  <c r="BP19" i="6"/>
  <c r="BR19" i="6" s="1"/>
  <c r="BO19" i="6"/>
  <c r="CA19" i="6" s="1"/>
  <c r="CD19" i="6" s="1"/>
  <c r="BP18" i="6"/>
  <c r="BR18" i="6" s="1"/>
  <c r="BO18" i="6"/>
  <c r="CA18" i="6" s="1"/>
  <c r="CD18" i="6" s="1"/>
  <c r="BP15" i="6"/>
  <c r="BR15" i="6" s="1"/>
  <c r="BO15" i="6"/>
  <c r="CA15" i="6" s="1"/>
  <c r="CD15" i="6" s="1"/>
  <c r="BP14" i="6"/>
  <c r="BR14" i="6" s="1"/>
  <c r="CH14" i="6" s="1"/>
  <c r="CL14" i="6" s="1"/>
  <c r="BO14" i="6"/>
  <c r="F54" i="9" l="1"/>
  <c r="H54" i="9" s="1"/>
  <c r="I54" i="9" s="1"/>
  <c r="F50" i="9"/>
  <c r="H50" i="9" s="1"/>
  <c r="I50" i="9" s="1"/>
  <c r="H46" i="9"/>
  <c r="I46" i="9" s="1"/>
  <c r="H48" i="9"/>
  <c r="I48" i="9" s="1"/>
  <c r="H43" i="9"/>
  <c r="I43" i="9" s="1"/>
  <c r="H44" i="9"/>
  <c r="I44" i="9" s="1"/>
  <c r="H51" i="9"/>
  <c r="I51" i="9" s="1"/>
  <c r="H55" i="9"/>
  <c r="I55" i="9" s="1"/>
  <c r="H42" i="9"/>
  <c r="I42" i="9" s="1"/>
  <c r="F41" i="9"/>
  <c r="G41" i="9"/>
  <c r="G60" i="9" s="1"/>
  <c r="G68" i="9" s="1"/>
  <c r="F40" i="9"/>
  <c r="H191" i="6"/>
  <c r="H198" i="6"/>
  <c r="T191" i="6"/>
  <c r="T198" i="6"/>
  <c r="AF191" i="6"/>
  <c r="AF198" i="6" s="1"/>
  <c r="AR191" i="6"/>
  <c r="AR198" i="6"/>
  <c r="I191" i="6"/>
  <c r="I198" i="6" s="1"/>
  <c r="U191" i="6"/>
  <c r="U198" i="6" s="1"/>
  <c r="AG191" i="6"/>
  <c r="AG198" i="6"/>
  <c r="AS191" i="6"/>
  <c r="AS198" i="6" s="1"/>
  <c r="J191" i="6"/>
  <c r="J198" i="6" s="1"/>
  <c r="AH191" i="6"/>
  <c r="AH198" i="6" s="1"/>
  <c r="AT191" i="6"/>
  <c r="AT198" i="6" s="1"/>
  <c r="V191" i="6"/>
  <c r="V198" i="6" s="1"/>
  <c r="K191" i="6"/>
  <c r="K198" i="6" s="1"/>
  <c r="W191" i="6"/>
  <c r="W198" i="6" s="1"/>
  <c r="AI198" i="6"/>
  <c r="AI191" i="6"/>
  <c r="AU191" i="6"/>
  <c r="AU198" i="6"/>
  <c r="L191" i="6"/>
  <c r="L198" i="6" s="1"/>
  <c r="X191" i="6"/>
  <c r="X198" i="6"/>
  <c r="AJ191" i="6"/>
  <c r="AJ198" i="6" s="1"/>
  <c r="AV191" i="6"/>
  <c r="AV198" i="6" s="1"/>
  <c r="M198" i="6"/>
  <c r="M191" i="6"/>
  <c r="Y191" i="6"/>
  <c r="Y198" i="6"/>
  <c r="AK191" i="6"/>
  <c r="AK198" i="6" s="1"/>
  <c r="AW191" i="6"/>
  <c r="AW198" i="6"/>
  <c r="N191" i="6"/>
  <c r="N198" i="6" s="1"/>
  <c r="Z191" i="6"/>
  <c r="Z198" i="6" s="1"/>
  <c r="AL191" i="6"/>
  <c r="AL198" i="6" s="1"/>
  <c r="AX191" i="6"/>
  <c r="AX198" i="6" s="1"/>
  <c r="CM191" i="6"/>
  <c r="O191" i="6"/>
  <c r="O198" i="6" s="1"/>
  <c r="AA198" i="6"/>
  <c r="AA191" i="6"/>
  <c r="AM191" i="6"/>
  <c r="AM198" i="6"/>
  <c r="AY191" i="6"/>
  <c r="AY198" i="6" s="1"/>
  <c r="P191" i="6"/>
  <c r="P198" i="6" s="1"/>
  <c r="AB191" i="6"/>
  <c r="AB198" i="6" s="1"/>
  <c r="AN191" i="6"/>
  <c r="AN198" i="6" s="1"/>
  <c r="AZ198" i="6"/>
  <c r="AZ191" i="6"/>
  <c r="Q191" i="6"/>
  <c r="Q198" i="6" s="1"/>
  <c r="AC191" i="6"/>
  <c r="AC198" i="6" s="1"/>
  <c r="AO191" i="6"/>
  <c r="AO198" i="6" s="1"/>
  <c r="BA191" i="6"/>
  <c r="BA198" i="6" s="1"/>
  <c r="CA70" i="6"/>
  <c r="CD70" i="6" s="1"/>
  <c r="F191" i="6"/>
  <c r="F198" i="6" s="1"/>
  <c r="R191" i="6"/>
  <c r="R198" i="6"/>
  <c r="AD191" i="6"/>
  <c r="AD198" i="6" s="1"/>
  <c r="AP191" i="6"/>
  <c r="AP198" i="6" s="1"/>
  <c r="BB191" i="6"/>
  <c r="BB198" i="6" s="1"/>
  <c r="CL155" i="6"/>
  <c r="CJ155" i="6"/>
  <c r="G191" i="6"/>
  <c r="G198" i="6"/>
  <c r="S191" i="6"/>
  <c r="S198" i="6" s="1"/>
  <c r="AE191" i="6"/>
  <c r="AE198" i="6" s="1"/>
  <c r="AQ191" i="6"/>
  <c r="AQ198" i="6"/>
  <c r="BC191" i="6"/>
  <c r="BC198" i="6"/>
  <c r="CA67" i="6"/>
  <c r="CD67" i="6" s="1"/>
  <c r="BS104" i="6"/>
  <c r="BV104" i="6" s="1"/>
  <c r="CE104" i="6" s="1"/>
  <c r="CA89" i="6"/>
  <c r="BS95" i="6"/>
  <c r="BV95" i="6" s="1"/>
  <c r="CE95" i="6" s="1"/>
  <c r="CA36" i="6"/>
  <c r="CD36" i="6" s="1"/>
  <c r="BT104" i="6"/>
  <c r="CL58" i="6"/>
  <c r="CA118" i="6"/>
  <c r="CD118" i="6" s="1"/>
  <c r="BS152" i="6"/>
  <c r="BV152" i="6" s="1"/>
  <c r="CA92" i="6"/>
  <c r="CJ35" i="6"/>
  <c r="CJ52" i="6"/>
  <c r="BS166" i="6"/>
  <c r="BV166" i="6" s="1"/>
  <c r="CE166" i="6" s="1"/>
  <c r="CL35" i="6"/>
  <c r="CL52" i="6"/>
  <c r="CK36" i="6"/>
  <c r="CK81" i="6" s="1"/>
  <c r="CJ39" i="6"/>
  <c r="CJ70" i="6"/>
  <c r="CA146" i="6"/>
  <c r="CD146" i="6" s="1"/>
  <c r="CL39" i="6"/>
  <c r="CL70" i="6"/>
  <c r="CJ58" i="6"/>
  <c r="CA161" i="6"/>
  <c r="CL76" i="6"/>
  <c r="CA115" i="6"/>
  <c r="CD115" i="6" s="1"/>
  <c r="BS138" i="6"/>
  <c r="BS164" i="6" s="1"/>
  <c r="BS155" i="6"/>
  <c r="BV155" i="6" s="1"/>
  <c r="CK27" i="6"/>
  <c r="BS118" i="6"/>
  <c r="BV118" i="6" s="1"/>
  <c r="CA130" i="6"/>
  <c r="CD130" i="6" s="1"/>
  <c r="BO174" i="6"/>
  <c r="CA133" i="6"/>
  <c r="CA40" i="6"/>
  <c r="CD40" i="6" s="1"/>
  <c r="BS158" i="6"/>
  <c r="BV158" i="6" s="1"/>
  <c r="CK19" i="6"/>
  <c r="BS52" i="6"/>
  <c r="BT52" i="6" s="1"/>
  <c r="BS98" i="6"/>
  <c r="BV98" i="6" s="1"/>
  <c r="CE98" i="6" s="1"/>
  <c r="CK23" i="6"/>
  <c r="BS86" i="6"/>
  <c r="BV86" i="6" s="1"/>
  <c r="CE86" i="6" s="1"/>
  <c r="CA143" i="6"/>
  <c r="CD143" i="6" s="1"/>
  <c r="CE143" i="6" s="1"/>
  <c r="BS161" i="6"/>
  <c r="BV161" i="6" s="1"/>
  <c r="CE161" i="6" s="1"/>
  <c r="CA172" i="6"/>
  <c r="CD172" i="6" s="1"/>
  <c r="CE172" i="6" s="1"/>
  <c r="BS43" i="6"/>
  <c r="BT43" i="6" s="1"/>
  <c r="CA52" i="6"/>
  <c r="CD52" i="6" s="1"/>
  <c r="BS55" i="6"/>
  <c r="BT55" i="6" s="1"/>
  <c r="BS49" i="6"/>
  <c r="BT49" i="6" s="1"/>
  <c r="CA49" i="6"/>
  <c r="CD49" i="6" s="1"/>
  <c r="CA46" i="6"/>
  <c r="CD46" i="6" s="1"/>
  <c r="CA61" i="6"/>
  <c r="CD61" i="6" s="1"/>
  <c r="CA55" i="6"/>
  <c r="CD55" i="6" s="1"/>
  <c r="CJ14" i="6"/>
  <c r="CI29" i="6"/>
  <c r="BS26" i="6"/>
  <c r="BT26" i="6" s="1"/>
  <c r="CE26" i="6" s="1"/>
  <c r="BO29" i="6"/>
  <c r="BS67" i="6"/>
  <c r="BT67" i="6" s="1"/>
  <c r="CH67" i="6"/>
  <c r="CJ67" i="6" s="1"/>
  <c r="CH40" i="6"/>
  <c r="CJ40" i="6" s="1"/>
  <c r="CL40" i="6" s="1"/>
  <c r="BS40" i="6"/>
  <c r="BT40" i="6" s="1"/>
  <c r="CM40" i="6" s="1"/>
  <c r="CH61" i="6"/>
  <c r="CJ61" i="6" s="1"/>
  <c r="BS61" i="6"/>
  <c r="BT61" i="6" s="1"/>
  <c r="BS130" i="6"/>
  <c r="BV130" i="6" s="1"/>
  <c r="BT130" i="6"/>
  <c r="BT136" i="6" s="1"/>
  <c r="CI81" i="6"/>
  <c r="BO81" i="6"/>
  <c r="CA43" i="6"/>
  <c r="CD43" i="6" s="1"/>
  <c r="CA124" i="6"/>
  <c r="CD124" i="6" s="1"/>
  <c r="BS133" i="6"/>
  <c r="BV133" i="6" s="1"/>
  <c r="BS178" i="6"/>
  <c r="BV178" i="6" s="1"/>
  <c r="CE178" i="6" s="1"/>
  <c r="CA14" i="6"/>
  <c r="CD14" i="6" s="1"/>
  <c r="CD29" i="6" s="1"/>
  <c r="CA152" i="6"/>
  <c r="CD152" i="6" s="1"/>
  <c r="CA158" i="6"/>
  <c r="CD158" i="6" s="1"/>
  <c r="BT174" i="6"/>
  <c r="CH49" i="6"/>
  <c r="CJ49" i="6" s="1"/>
  <c r="CA39" i="6"/>
  <c r="CD39" i="6" s="1"/>
  <c r="CA64" i="6"/>
  <c r="CD64" i="6" s="1"/>
  <c r="BS79" i="6"/>
  <c r="BT79" i="6" s="1"/>
  <c r="CA58" i="6"/>
  <c r="CD58" i="6" s="1"/>
  <c r="CA79" i="6"/>
  <c r="CD79" i="6" s="1"/>
  <c r="CA86" i="6"/>
  <c r="CA112" i="6"/>
  <c r="CD112" i="6" s="1"/>
  <c r="CA134" i="6"/>
  <c r="CA170" i="6"/>
  <c r="CD170" i="6" s="1"/>
  <c r="BO182" i="6"/>
  <c r="BS180" i="6"/>
  <c r="BV180" i="6" s="1"/>
  <c r="CE180" i="6" s="1"/>
  <c r="CA149" i="6"/>
  <c r="CD149" i="6" s="1"/>
  <c r="CE149" i="6" s="1"/>
  <c r="CA73" i="6"/>
  <c r="CD73" i="6" s="1"/>
  <c r="CA83" i="6"/>
  <c r="BS89" i="6"/>
  <c r="BV89" i="6" s="1"/>
  <c r="CE89" i="6" s="1"/>
  <c r="CA121" i="6"/>
  <c r="CD121" i="6" s="1"/>
  <c r="CA127" i="6"/>
  <c r="CD127" i="6" s="1"/>
  <c r="CA155" i="6"/>
  <c r="CD155" i="6" s="1"/>
  <c r="BS134" i="6"/>
  <c r="BV134" i="6" s="1"/>
  <c r="CA76" i="6"/>
  <c r="CD76" i="6" s="1"/>
  <c r="CA140" i="6"/>
  <c r="CD140" i="6" s="1"/>
  <c r="CE140" i="6" s="1"/>
  <c r="CH18" i="6"/>
  <c r="CJ18" i="6" s="1"/>
  <c r="BS18" i="6"/>
  <c r="BT18" i="6" s="1"/>
  <c r="BS23" i="6"/>
  <c r="BT23" i="6" s="1"/>
  <c r="CE23" i="6" s="1"/>
  <c r="CH23" i="6"/>
  <c r="CJ23" i="6" s="1"/>
  <c r="BS64" i="6"/>
  <c r="BT64" i="6" s="1"/>
  <c r="CH64" i="6"/>
  <c r="CJ64" i="6" s="1"/>
  <c r="CH19" i="6"/>
  <c r="CJ19" i="6" s="1"/>
  <c r="BS19" i="6"/>
  <c r="BT19" i="6" s="1"/>
  <c r="CH76" i="6"/>
  <c r="CJ76" i="6" s="1"/>
  <c r="BS76" i="6"/>
  <c r="BT76" i="6" s="1"/>
  <c r="CH15" i="6"/>
  <c r="CJ15" i="6" s="1"/>
  <c r="BS15" i="6"/>
  <c r="BT15" i="6" s="1"/>
  <c r="BS46" i="6"/>
  <c r="BT46" i="6" s="1"/>
  <c r="CH46" i="6"/>
  <c r="CJ46" i="6" s="1"/>
  <c r="BT182" i="6"/>
  <c r="BS73" i="6"/>
  <c r="BT73" i="6" s="1"/>
  <c r="CH73" i="6"/>
  <c r="CJ73" i="6" s="1"/>
  <c r="CD182" i="6"/>
  <c r="CH22" i="6"/>
  <c r="CJ22" i="6" s="1"/>
  <c r="BS22" i="6"/>
  <c r="BT22" i="6" s="1"/>
  <c r="CH36" i="6"/>
  <c r="CJ36" i="6" s="1"/>
  <c r="BS36" i="6"/>
  <c r="BT36" i="6" s="1"/>
  <c r="CH27" i="6"/>
  <c r="CJ27" i="6" s="1"/>
  <c r="BS27" i="6"/>
  <c r="BT27" i="6" s="1"/>
  <c r="CE27" i="6" s="1"/>
  <c r="BT110" i="6"/>
  <c r="BS14" i="6"/>
  <c r="BS35" i="6"/>
  <c r="BR55" i="6"/>
  <c r="CH55" i="6" s="1"/>
  <c r="CL55" i="6" s="1"/>
  <c r="BS70" i="6"/>
  <c r="BT70" i="6" s="1"/>
  <c r="BS92" i="6"/>
  <c r="BV92" i="6" s="1"/>
  <c r="CE92" i="6" s="1"/>
  <c r="BO110" i="6"/>
  <c r="CH26" i="6"/>
  <c r="CJ26" i="6" s="1"/>
  <c r="CH43" i="6"/>
  <c r="CL43" i="6" s="1"/>
  <c r="CH79" i="6"/>
  <c r="CL79" i="6" s="1"/>
  <c r="CA95" i="6"/>
  <c r="BS39" i="6"/>
  <c r="BT39" i="6" s="1"/>
  <c r="BS58" i="6"/>
  <c r="BT58" i="6" s="1"/>
  <c r="BS107" i="6"/>
  <c r="BV107" i="6" s="1"/>
  <c r="CE107" i="6" s="1"/>
  <c r="BS176" i="6"/>
  <c r="CA35" i="6"/>
  <c r="CD35" i="6" s="1"/>
  <c r="BS83" i="6"/>
  <c r="BS121" i="6"/>
  <c r="BV121" i="6" s="1"/>
  <c r="BS124" i="6"/>
  <c r="BV124" i="6" s="1"/>
  <c r="BS127" i="6"/>
  <c r="BV127" i="6" s="1"/>
  <c r="BS115" i="6"/>
  <c r="BV115" i="6" s="1"/>
  <c r="BS101" i="6"/>
  <c r="BV101" i="6" s="1"/>
  <c r="CE101" i="6" s="1"/>
  <c r="BS112" i="6"/>
  <c r="BT138" i="6"/>
  <c r="BT164" i="6" s="1"/>
  <c r="BO136" i="6"/>
  <c r="BS170" i="6"/>
  <c r="H41" i="9" l="1"/>
  <c r="I41" i="9" s="1"/>
  <c r="H40" i="9"/>
  <c r="F60" i="9"/>
  <c r="CM198" i="6"/>
  <c r="CL64" i="6"/>
  <c r="CE146" i="6"/>
  <c r="BS168" i="6"/>
  <c r="CE67" i="6"/>
  <c r="CL67" i="6"/>
  <c r="CM67" i="6" s="1"/>
  <c r="CK29" i="6"/>
  <c r="CE152" i="6"/>
  <c r="CJ55" i="6"/>
  <c r="CM55" i="6" s="1"/>
  <c r="CL36" i="6"/>
  <c r="CM52" i="6"/>
  <c r="CE115" i="6"/>
  <c r="BV138" i="6"/>
  <c r="BV164" i="6" s="1"/>
  <c r="CL27" i="6"/>
  <c r="CL18" i="6"/>
  <c r="CM18" i="6"/>
  <c r="CJ43" i="6"/>
  <c r="CM43" i="6" s="1"/>
  <c r="CL22" i="6"/>
  <c r="CM22" i="6" s="1"/>
  <c r="CE118" i="6"/>
  <c r="CL61" i="6"/>
  <c r="CM61" i="6" s="1"/>
  <c r="CL46" i="6"/>
  <c r="CM46" i="6" s="1"/>
  <c r="CM76" i="6"/>
  <c r="CM70" i="6"/>
  <c r="CL73" i="6"/>
  <c r="CM73" i="6" s="1"/>
  <c r="CM39" i="6"/>
  <c r="CD174" i="6"/>
  <c r="CE130" i="6"/>
  <c r="CD133" i="6"/>
  <c r="CD136" i="6" s="1"/>
  <c r="CJ79" i="6"/>
  <c r="CM79" i="6" s="1"/>
  <c r="CL26" i="6"/>
  <c r="CM26" i="6" s="1"/>
  <c r="CD164" i="6"/>
  <c r="CL15" i="6"/>
  <c r="CM15" i="6" s="1"/>
  <c r="CM64" i="6"/>
  <c r="BV168" i="6"/>
  <c r="CE168" i="6" s="1"/>
  <c r="CL19" i="6"/>
  <c r="CM58" i="6"/>
  <c r="CL49" i="6"/>
  <c r="CM49" i="6" s="1"/>
  <c r="CL23" i="6"/>
  <c r="CE124" i="6"/>
  <c r="CE52" i="6"/>
  <c r="CE158" i="6"/>
  <c r="CE61" i="6"/>
  <c r="CE43" i="6"/>
  <c r="CE49" i="6"/>
  <c r="CE55" i="6"/>
  <c r="CE79" i="6"/>
  <c r="CE40" i="6"/>
  <c r="CE121" i="6"/>
  <c r="CE155" i="6"/>
  <c r="CE127" i="6"/>
  <c r="CJ29" i="6"/>
  <c r="CD81" i="6"/>
  <c r="CE46" i="6"/>
  <c r="BV176" i="6"/>
  <c r="BS182" i="6"/>
  <c r="BV83" i="6"/>
  <c r="BS110" i="6"/>
  <c r="BS174" i="6"/>
  <c r="BV170" i="6"/>
  <c r="BS81" i="6"/>
  <c r="BT35" i="6"/>
  <c r="CM35" i="6" s="1"/>
  <c r="CE58" i="6"/>
  <c r="BS29" i="6"/>
  <c r="BT14" i="6"/>
  <c r="CM14" i="6" s="1"/>
  <c r="CE64" i="6"/>
  <c r="CE18" i="6"/>
  <c r="CE39" i="6"/>
  <c r="CM36" i="6"/>
  <c r="CE36" i="6"/>
  <c r="CE73" i="6"/>
  <c r="CE76" i="6"/>
  <c r="BS136" i="6"/>
  <c r="BV112" i="6"/>
  <c r="CE22" i="6"/>
  <c r="CM19" i="6"/>
  <c r="CE19" i="6"/>
  <c r="CE70" i="6"/>
  <c r="G35" i="26" l="1"/>
  <c r="I40" i="9"/>
  <c r="H60" i="9"/>
  <c r="CE138" i="6"/>
  <c r="CE133" i="6"/>
  <c r="CJ81" i="6"/>
  <c r="CL81" i="6"/>
  <c r="CE164" i="6"/>
  <c r="CL29" i="6"/>
  <c r="CE14" i="6"/>
  <c r="BT29" i="6"/>
  <c r="CE176" i="6"/>
  <c r="BV182" i="6"/>
  <c r="CE182" i="6" s="1"/>
  <c r="BV174" i="6"/>
  <c r="CE174" i="6" s="1"/>
  <c r="CE170" i="6"/>
  <c r="CE83" i="6"/>
  <c r="BV110" i="6"/>
  <c r="CE110" i="6" s="1"/>
  <c r="BT81" i="6"/>
  <c r="CE35" i="6"/>
  <c r="BV136" i="6"/>
  <c r="CE136" i="6" s="1"/>
  <c r="CE112" i="6"/>
  <c r="G39" i="26" l="1"/>
  <c r="F40" i="26" s="1"/>
  <c r="H35" i="26"/>
  <c r="I60" i="9"/>
  <c r="J53" i="9" s="1"/>
  <c r="J49" i="9"/>
  <c r="J45" i="9"/>
  <c r="J51" i="9"/>
  <c r="J48" i="9"/>
  <c r="J50" i="9"/>
  <c r="J44" i="9"/>
  <c r="J54" i="9"/>
  <c r="J43" i="9"/>
  <c r="J56" i="9"/>
  <c r="CM29" i="6"/>
  <c r="BV14" i="6" a="1"/>
  <c r="BV14" i="6" s="1"/>
  <c r="CM81" i="6"/>
  <c r="CE81" i="6"/>
  <c r="BV67" i="6"/>
  <c r="BV61" i="6"/>
  <c r="EO61" i="6" s="1"/>
  <c r="BV43" i="6"/>
  <c r="BV49" i="6"/>
  <c r="BV52" i="6"/>
  <c r="BV55" i="6"/>
  <c r="BV79" i="6"/>
  <c r="BV46" i="6"/>
  <c r="BV39" i="6"/>
  <c r="BV64" i="6"/>
  <c r="BV58" i="6"/>
  <c r="BV73" i="6"/>
  <c r="BV70" i="6"/>
  <c r="BV76" i="6"/>
  <c r="BV26" i="6"/>
  <c r="BV18" i="6"/>
  <c r="CE29" i="6"/>
  <c r="BV22" i="6" a="1"/>
  <c r="BV22" i="6" s="1"/>
  <c r="BV35" i="6"/>
  <c r="K35" i="26" l="1"/>
  <c r="H39" i="26"/>
  <c r="J41" i="9"/>
  <c r="J57" i="9"/>
  <c r="J46" i="9"/>
  <c r="J47" i="9"/>
  <c r="J52" i="9"/>
  <c r="J58" i="9"/>
  <c r="J40" i="9"/>
  <c r="J55" i="9"/>
  <c r="J42" i="9"/>
  <c r="J60" i="9" s="1"/>
  <c r="I30" i="26"/>
  <c r="I33" i="26"/>
  <c r="I31" i="26"/>
  <c r="I29" i="26"/>
  <c r="I32" i="26"/>
  <c r="L60" i="9"/>
  <c r="H33" i="9"/>
  <c r="F38" i="9"/>
  <c r="F68" i="9" s="1"/>
  <c r="H40" i="26" l="1"/>
  <c r="J27" i="26"/>
  <c r="J35" i="26"/>
  <c r="I35" i="26"/>
  <c r="J37" i="26"/>
  <c r="I33" i="9"/>
  <c r="H38" i="9"/>
  <c r="H68" i="9" s="1"/>
  <c r="J39" i="26" l="1"/>
  <c r="F69" i="9"/>
  <c r="I38" i="9"/>
  <c r="L38" i="9" l="1"/>
  <c r="I68" i="9"/>
  <c r="K38" i="9" s="1"/>
  <c r="G69" i="9"/>
  <c r="J33" i="9"/>
  <c r="J36" i="9"/>
  <c r="J32" i="9"/>
  <c r="J35" i="9"/>
  <c r="J34" i="9"/>
  <c r="I69" i="9" l="1"/>
  <c r="K66" i="9"/>
  <c r="K60" i="9"/>
  <c r="K23" i="9"/>
  <c r="K64" i="9"/>
  <c r="K30" i="9"/>
  <c r="J38" i="9"/>
  <c r="K68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<sst xmlns="http://schemas.openxmlformats.org/spreadsheetml/2006/main" count="3333" uniqueCount="411">
  <si>
    <t>CLIENT: SABESP</t>
  </si>
  <si>
    <t>CAMPAING: VERÃO 25/26</t>
  </si>
  <si>
    <t>F</t>
  </si>
  <si>
    <t>MARKET</t>
  </si>
  <si>
    <t>CHANNEL</t>
  </si>
  <si>
    <t>DEZEMBRO</t>
  </si>
  <si>
    <t>JANEIRO</t>
  </si>
  <si>
    <t>INS.</t>
  </si>
  <si>
    <t>CUSTO TABELA UNITÁRIO (BRUTO)</t>
  </si>
  <si>
    <t>DESC. %</t>
  </si>
  <si>
    <t>CUSTO NEGOCIADO UNITÁRIO
(BRUTO)</t>
  </si>
  <si>
    <t>CUSTO TOTAL NEGOCIADO (BRUTO)</t>
  </si>
  <si>
    <t>TRP</t>
  </si>
  <si>
    <t>M</t>
  </si>
  <si>
    <t>T</t>
  </si>
  <si>
    <t>W</t>
  </si>
  <si>
    <t>S</t>
  </si>
  <si>
    <t>BANDEIRANTES</t>
  </si>
  <si>
    <t>30"</t>
  </si>
  <si>
    <t>PROPERTY</t>
  </si>
  <si>
    <t>FORMAT: LOCUÇÃO DE CABINE</t>
  </si>
  <si>
    <t>OUTUBRO</t>
  </si>
  <si>
    <t>NOVEMBRO</t>
  </si>
  <si>
    <t>CUSTO TOTAL DESEMBOLSO CLIENTE</t>
  </si>
  <si>
    <t>SHARE DE INVESTIMENTO %</t>
  </si>
  <si>
    <t>SHARE DE AUDIÊNCIA %</t>
  </si>
  <si>
    <t xml:space="preserve">IA%
</t>
  </si>
  <si>
    <t>IA#</t>
  </si>
  <si>
    <t>POPULAÇÃO 
TT.</t>
  </si>
  <si>
    <t xml:space="preserve">UNIV. RÁDIO 
AS ABCDE 18+ </t>
  </si>
  <si>
    <t>IMPACTOS
 ESTIMADOS</t>
  </si>
  <si>
    <t>CPM</t>
  </si>
  <si>
    <t>RÁDIO</t>
  </si>
  <si>
    <t>VALOR UNITÁRIO LIQUIDO</t>
  </si>
  <si>
    <t>INV. LIQUIDO</t>
  </si>
  <si>
    <t>RÁDIO JORNALISMO</t>
  </si>
  <si>
    <t>JOVEM PAN</t>
  </si>
  <si>
    <t>SÃO PAULO - CAPITAL</t>
  </si>
  <si>
    <t>ROTATIVO</t>
  </si>
  <si>
    <t>SEG À SEX 06H00-19H00</t>
  </si>
  <si>
    <t>30''</t>
  </si>
  <si>
    <t>FAIXA MUSICAL</t>
  </si>
  <si>
    <t>SEG À SEX 14H00-24H00</t>
  </si>
  <si>
    <t>BAND NEWS FM</t>
  </si>
  <si>
    <t>BANDEIRANTES FM</t>
  </si>
  <si>
    <t>SEG À SEX 06H00-09H00</t>
  </si>
  <si>
    <t>CBN</t>
  </si>
  <si>
    <t>TOTAL RADIO SP CAPITAL - JORNALISMO</t>
  </si>
  <si>
    <t>FORMAT: SPOT</t>
  </si>
  <si>
    <t>RÁDIO MUSICAL</t>
  </si>
  <si>
    <t>NATIVA FM</t>
  </si>
  <si>
    <t>SEG À DOM 06H00-19H00</t>
  </si>
  <si>
    <t>NATIVA</t>
  </si>
  <si>
    <t>BAND FM</t>
  </si>
  <si>
    <t>89 ROCK FM</t>
  </si>
  <si>
    <t>ALPHA FM</t>
  </si>
  <si>
    <t>DISNEY FM</t>
  </si>
  <si>
    <t>ENERGIA 97 FM</t>
  </si>
  <si>
    <t>KISS FM</t>
  </si>
  <si>
    <t>GAZETA FM</t>
  </si>
  <si>
    <t>105 FM</t>
  </si>
  <si>
    <t>SEG À DOM 05H00-18H00</t>
  </si>
  <si>
    <t>RÁDIO MIX</t>
  </si>
  <si>
    <t>TRANSAMÉRICA FM</t>
  </si>
  <si>
    <t>MASSA FM</t>
  </si>
  <si>
    <t>ANTENA 1</t>
  </si>
  <si>
    <t>NOVABRASIL</t>
  </si>
  <si>
    <t>SEG À DOM 09H00-20H00</t>
  </si>
  <si>
    <t>TRANSCONTINENTAL</t>
  </si>
  <si>
    <t xml:space="preserve">TOTAL RADIO SP CAPITAL </t>
  </si>
  <si>
    <t>CARAGUATATUBA | SÃO SABASTIÃO | UBATUBA - LITORAL NORTE</t>
  </si>
  <si>
    <t>CARAGUA FM</t>
  </si>
  <si>
    <t>07h00 as 19h00</t>
  </si>
  <si>
    <t>(via Caraguatatuba)</t>
  </si>
  <si>
    <t>BEIRA MAR FM</t>
  </si>
  <si>
    <t>(via Ubatuba)</t>
  </si>
  <si>
    <t>MORADA FM</t>
  </si>
  <si>
    <t>(via São Sebastião)</t>
  </si>
  <si>
    <t>(via Ilha Bela - São Sebastião)</t>
  </si>
  <si>
    <t>RÁDIO PRAIA FM</t>
  </si>
  <si>
    <t>RÁDIO ANTENA 8</t>
  </si>
  <si>
    <t>ROCK NEWS LITORAL</t>
  </si>
  <si>
    <t>ONDA 101.1</t>
  </si>
  <si>
    <t>COSTA AZUL</t>
  </si>
  <si>
    <t>TOTAL RÁDIO LITORAL NORTE</t>
  </si>
  <si>
    <t>SANTOS - BAIXADA SANTISTA</t>
  </si>
  <si>
    <t>TRI FM</t>
  </si>
  <si>
    <t>06h00 as 19h00</t>
  </si>
  <si>
    <t>GUARUJA FM</t>
  </si>
  <si>
    <t>SAUDADE FM</t>
  </si>
  <si>
    <t>SANTA CECILIA FM</t>
  </si>
  <si>
    <t>JOVEM PAN FM</t>
  </si>
  <si>
    <t>MIX FM</t>
  </si>
  <si>
    <t>BOA NOVA FM</t>
  </si>
  <si>
    <t>TOTAL RÁDIO SANTOS - BAIXADA SANTISTA</t>
  </si>
  <si>
    <t>METROPOLITANA FM</t>
  </si>
  <si>
    <t>TAUBATE E SÃO JOSE DOS CAMPOS</t>
  </si>
  <si>
    <t>BAND VALE</t>
  </si>
  <si>
    <t>(via S.J.Campos)</t>
  </si>
  <si>
    <t>STEREO VALE</t>
  </si>
  <si>
    <t>ÓTIMA FM</t>
  </si>
  <si>
    <t>ANTENA 1 FM</t>
  </si>
  <si>
    <t>(via Taubaté)</t>
  </si>
  <si>
    <t>CANÇÃO NOVA FM</t>
  </si>
  <si>
    <t>TOTAL RÁDIO TAUBATE E SÃO JOSÉ DOS CAMPOS</t>
  </si>
  <si>
    <t>BOTUCATU</t>
  </si>
  <si>
    <t>CLUBE FM</t>
  </si>
  <si>
    <t>TOTAL RÁDIO BOTUCATU</t>
  </si>
  <si>
    <t>LINS</t>
  </si>
  <si>
    <t>RÁDIO AMIGA FM</t>
  </si>
  <si>
    <t>TOTAL RÁDIO LINS</t>
  </si>
  <si>
    <t>PRESIDENTE PRUDENTE</t>
  </si>
  <si>
    <t>FRONTEIRA FM</t>
  </si>
  <si>
    <t>RÁDIO 98,1</t>
  </si>
  <si>
    <t>101 FM</t>
  </si>
  <si>
    <t>TOTAL RÁDIO PRESIDENTE PRUDENTE</t>
  </si>
  <si>
    <t>TOTAL RÁDIO</t>
  </si>
  <si>
    <t>TOTAL BOTUCATU</t>
  </si>
  <si>
    <t>TOTAL LINS</t>
  </si>
  <si>
    <t xml:space="preserve"> - </t>
  </si>
  <si>
    <t xml:space="preserve"> -</t>
  </si>
  <si>
    <t>PRAÇA</t>
  </si>
  <si>
    <t>MEIO</t>
  </si>
  <si>
    <t>VEÍCULO</t>
  </si>
  <si>
    <t>TOTAL BRUTO</t>
  </si>
  <si>
    <t>VALOR DESEMBOLSO TT</t>
  </si>
  <si>
    <t>PART GERAL %</t>
  </si>
  <si>
    <t>SÃO PAULO</t>
  </si>
  <si>
    <t>RADIO</t>
  </si>
  <si>
    <t>TT RÁDIO</t>
  </si>
  <si>
    <t>Tactical Media Plan</t>
  </si>
  <si>
    <t>CONFIDENCIAL</t>
  </si>
  <si>
    <t>CLIENT:</t>
  </si>
  <si>
    <t>SABESP</t>
  </si>
  <si>
    <t>CAMPAING</t>
  </si>
  <si>
    <t>TARGET:</t>
  </si>
  <si>
    <t>AS ABCDE 25+</t>
  </si>
  <si>
    <t>VERSION</t>
  </si>
  <si>
    <t>UPDATE DATE</t>
  </si>
  <si>
    <t>UPDATES:</t>
  </si>
  <si>
    <t>FEVEREIRO</t>
  </si>
  <si>
    <t>TT JORNAL</t>
  </si>
  <si>
    <t>TT</t>
  </si>
  <si>
    <t>CAMPAING:  ESCASSEZ HIDRICA - CRÍTICO</t>
  </si>
  <si>
    <t>CAMPAING: ESCASSEZ HIDRICA - CRÍTICO</t>
  </si>
  <si>
    <t>JORNAL</t>
  </si>
  <si>
    <t xml:space="preserve">SÃO PAULO </t>
  </si>
  <si>
    <t>VEICULO</t>
  </si>
  <si>
    <t>DESCRIÇÃO</t>
  </si>
  <si>
    <t>DESTINO</t>
  </si>
  <si>
    <t>UF</t>
  </si>
  <si>
    <t>MATERIAL</t>
  </si>
  <si>
    <t>CUSTO UNITÁRIO</t>
  </si>
  <si>
    <t>QTD FILMES</t>
  </si>
  <si>
    <t>CUSTO LIQUIDO</t>
  </si>
  <si>
    <t>ENVIO DE MATERIAL</t>
  </si>
  <si>
    <t>SP</t>
  </si>
  <si>
    <t>GLOBO</t>
  </si>
  <si>
    <t>BAU</t>
  </si>
  <si>
    <t>CAM</t>
  </si>
  <si>
    <t>ITP</t>
  </si>
  <si>
    <t>MOC</t>
  </si>
  <si>
    <t>RIB</t>
  </si>
  <si>
    <t>SAN</t>
  </si>
  <si>
    <t>SCA</t>
  </si>
  <si>
    <t>SJC</t>
  </si>
  <si>
    <t>SJRP</t>
  </si>
  <si>
    <t>SOR</t>
  </si>
  <si>
    <t>SP1</t>
  </si>
  <si>
    <t>TAU</t>
  </si>
  <si>
    <t>TT PAY TV</t>
  </si>
  <si>
    <t>TT GERAL</t>
  </si>
  <si>
    <t>SEC</t>
  </si>
  <si>
    <t>PLANNED</t>
  </si>
  <si>
    <t>PROGRAMM</t>
  </si>
  <si>
    <t>START TIME</t>
  </si>
  <si>
    <t>END TIME</t>
  </si>
  <si>
    <t>CUSTO TOTAL DESEMBOLSO SABESP</t>
  </si>
  <si>
    <t>AUD. 
AS ABCDE 25+</t>
  </si>
  <si>
    <t>CPP</t>
  </si>
  <si>
    <t>RESUMO</t>
  </si>
  <si>
    <t>INS</t>
  </si>
  <si>
    <t>INVESTIMENTO $</t>
  </si>
  <si>
    <t>TV GLOBO</t>
  </si>
  <si>
    <t>JORNAL DA GLOBO</t>
  </si>
  <si>
    <t>PRACA TV 2 EDICAO</t>
  </si>
  <si>
    <t>JORNAL NACIONAL</t>
  </si>
  <si>
    <t>NOVELA II</t>
  </si>
  <si>
    <t xml:space="preserve"> 20:30</t>
  </si>
  <si>
    <t>TT OPEN TV</t>
  </si>
  <si>
    <t>TV ABERTA</t>
  </si>
  <si>
    <t>TT TV ABERTA</t>
  </si>
  <si>
    <t>ABCD</t>
  </si>
  <si>
    <t>DIGITAL</t>
  </si>
  <si>
    <t>TT DIGITAL</t>
  </si>
  <si>
    <t>TT GERAÇÃO</t>
  </si>
  <si>
    <t>NOVELA III</t>
  </si>
  <si>
    <t>NOVELA I</t>
  </si>
  <si>
    <t>FANTASTICO</t>
  </si>
  <si>
    <t>NOVELA I SAB</t>
  </si>
  <si>
    <t>DAY</t>
  </si>
  <si>
    <t>SEG-SEX</t>
  </si>
  <si>
    <t>SEG-SÁB</t>
  </si>
  <si>
    <t>DOM</t>
  </si>
  <si>
    <t>SÁB</t>
  </si>
  <si>
    <t>NOVELA III SAB</t>
  </si>
  <si>
    <t>SÃO PAULO CAPITAL</t>
  </si>
  <si>
    <t>SÃO PAULO ESTADO</t>
  </si>
  <si>
    <t>BORA BRASIL</t>
  </si>
  <si>
    <t>BRASIL URGENTE</t>
  </si>
  <si>
    <t>CANAL LIVRE</t>
  </si>
  <si>
    <t>JORNAL DA NOITE</t>
  </si>
  <si>
    <t xml:space="preserve"> 11:00</t>
  </si>
  <si>
    <t xml:space="preserve"> 17:30</t>
  </si>
  <si>
    <t xml:space="preserve"> 00:00</t>
  </si>
  <si>
    <t xml:space="preserve"> 01:15</t>
  </si>
  <si>
    <t xml:space="preserve"> 08:00</t>
  </si>
  <si>
    <t xml:space="preserve"> 21:25</t>
  </si>
  <si>
    <t>CIDADE ALERTA 2 SAB</t>
  </si>
  <si>
    <t>DOMINGO ESPETACULAR</t>
  </si>
  <si>
    <t>FALA BRASIL</t>
  </si>
  <si>
    <t>HOJE EM DIA</t>
  </si>
  <si>
    <t>NOVELA 22H</t>
  </si>
  <si>
    <t>NOVELA 3</t>
  </si>
  <si>
    <t>NOVELA DA TARDE 1</t>
  </si>
  <si>
    <t>RECORD</t>
  </si>
  <si>
    <t xml:space="preserve"> 22:30</t>
  </si>
  <si>
    <t xml:space="preserve"> 20:00</t>
  </si>
  <si>
    <t xml:space="preserve"> 09:35</t>
  </si>
  <si>
    <t xml:space="preserve"> 11:30</t>
  </si>
  <si>
    <t xml:space="preserve"> 22:00</t>
  </si>
  <si>
    <t xml:space="preserve"> 16:30</t>
  </si>
  <si>
    <t>SBT</t>
  </si>
  <si>
    <t>ALO VOCE</t>
  </si>
  <si>
    <t>DOMINGO LEGAL 1</t>
  </si>
  <si>
    <t>NOVELA NOITE</t>
  </si>
  <si>
    <t>NOVELA NOITE 18H</t>
  </si>
  <si>
    <t>NOVELA TARDE 14H</t>
  </si>
  <si>
    <t>PRIMEIRO IMPACTO</t>
  </si>
  <si>
    <t>SBT MANHA</t>
  </si>
  <si>
    <t>SBT NOTICIAS 1A ED</t>
  </si>
  <si>
    <t xml:space="preserve"> 13:45</t>
  </si>
  <si>
    <t xml:space="preserve"> 15:15</t>
  </si>
  <si>
    <t xml:space="preserve"> 22:15</t>
  </si>
  <si>
    <t xml:space="preserve"> 18:30</t>
  </si>
  <si>
    <t xml:space="preserve"> 15:30</t>
  </si>
  <si>
    <t xml:space="preserve"> 08:30</t>
  </si>
  <si>
    <t xml:space="preserve"> 15:00</t>
  </si>
  <si>
    <t>UTILIZAÇÃO DE PACOTE</t>
  </si>
  <si>
    <t>TOTAL FATURÁVEL</t>
  </si>
  <si>
    <t>REDE TV</t>
  </si>
  <si>
    <t xml:space="preserve"> 21:00</t>
  </si>
  <si>
    <t>PRACA TV 1 EDICAO</t>
  </si>
  <si>
    <t xml:space="preserve"> 13:00</t>
  </si>
  <si>
    <t xml:space="preserve"> 19:40</t>
  </si>
  <si>
    <t>JORNAL DA BAND</t>
  </si>
  <si>
    <t>JORNAL DA RECORD</t>
  </si>
  <si>
    <t>SBT BRASIL</t>
  </si>
  <si>
    <t>REDETV! NEWS</t>
  </si>
  <si>
    <t>GLOBONEWS</t>
  </si>
  <si>
    <t>GLOBO NEWS EM PAUTA</t>
  </si>
  <si>
    <t>JORNAL DAS DEZ P</t>
  </si>
  <si>
    <t>SANTOS</t>
  </si>
  <si>
    <t>CAMPINAS</t>
  </si>
  <si>
    <t>RIBEIRÃO PRETO</t>
  </si>
  <si>
    <t>SÃO JOSÉ DOS CAMPOS</t>
  </si>
  <si>
    <t>CNN BRASIL</t>
  </si>
  <si>
    <t>CNN PRIME TIME P</t>
  </si>
  <si>
    <t>RECORD NEWS</t>
  </si>
  <si>
    <t>JORNAL RECORD NEWS</t>
  </si>
  <si>
    <t>BAND NEWS</t>
  </si>
  <si>
    <t>JOR BANDNEWS 2ED NOT</t>
  </si>
  <si>
    <t>SAÕ PAULO CAPITAL</t>
  </si>
  <si>
    <t>BAND CAMPINAS</t>
  </si>
  <si>
    <t>BAND PAULISTA</t>
  </si>
  <si>
    <t>BAND VALE TAUBATÉ</t>
  </si>
  <si>
    <t>SP3 - SBT RIBEIRÃO PRETO</t>
  </si>
  <si>
    <t>SP1 - SBT SÃO PAULO</t>
  </si>
  <si>
    <t>SP5 - TV SOROCABA - SBT SOROCABA</t>
  </si>
  <si>
    <t>SP2 - SBT JAÚ</t>
  </si>
  <si>
    <t>SP6 - TV I ARAÇATUBA - SBT ARAÇATUBA</t>
  </si>
  <si>
    <t>SP7 - SBT SÃO JOSÉ DOS CAMPOS</t>
  </si>
  <si>
    <t>SP9 - REDE VTV - SBT SANTOS/CAMPINAS</t>
  </si>
  <si>
    <t>FRANCA</t>
  </si>
  <si>
    <t>BAURU</t>
  </si>
  <si>
    <t>SÃO JOSÉ DO RIO PRETO</t>
  </si>
  <si>
    <t>ADSTREAM</t>
  </si>
  <si>
    <t>TV CULTURA</t>
  </si>
  <si>
    <t>TV GAZETA</t>
  </si>
  <si>
    <t>60"</t>
  </si>
  <si>
    <t>BANDNEWS</t>
  </si>
  <si>
    <t>RESUMO DE MEIOS - SÃO PAULO ESTADO</t>
  </si>
  <si>
    <t>JORNAL NACIONAL - PRIMEIRISSIMA</t>
  </si>
  <si>
    <t>TT TV PAGA</t>
  </si>
  <si>
    <t>TV PAGA</t>
  </si>
  <si>
    <t>TOTAL GERAL CAMPANHA ESCASSEZ HIDRICA - CRÍTICO | SPE</t>
  </si>
  <si>
    <t>UTILIZAÇÃO DE SALDO DE PACOTES</t>
  </si>
  <si>
    <t>RESUMO DE MEIOS - SÃO PAULO CAPITAL</t>
  </si>
  <si>
    <t>SALDO PACOTE</t>
  </si>
  <si>
    <t>TOTAL A SER FATURADO</t>
  </si>
  <si>
    <t>TARGET AS ABCDE 25+ (32MM)</t>
  </si>
  <si>
    <t>COBERTURA</t>
  </si>
  <si>
    <t>ALCANCE</t>
  </si>
  <si>
    <t>FREQUÊNCIA</t>
  </si>
  <si>
    <t>IMPACTOS</t>
  </si>
  <si>
    <t>SPE:</t>
  </si>
  <si>
    <t>JORNAL HOJE</t>
  </si>
  <si>
    <t>DETALHE</t>
  </si>
  <si>
    <t>EMISSORA</t>
  </si>
  <si>
    <t>INSERÇÕES</t>
  </si>
  <si>
    <t>INVESTIMENTO</t>
  </si>
  <si>
    <t>% AUDIÊNCIA</t>
  </si>
  <si>
    <t>% INVESTIMENTO</t>
  </si>
  <si>
    <t>ESCASSEZ HIDRICA PCJ</t>
  </si>
  <si>
    <t>CAMPAING:  ESCASSEZ HIDRICA PCJ</t>
  </si>
  <si>
    <t>CALDEIRAO</t>
  </si>
  <si>
    <t>DOMINGAO COM HUCK</t>
  </si>
  <si>
    <t>ENCONTRO</t>
  </si>
  <si>
    <t>MAIS VOCE</t>
  </si>
  <si>
    <t>NOVELA DA TARDE ED E</t>
  </si>
  <si>
    <t>VALE A PENA VER DE N</t>
  </si>
  <si>
    <t xml:space="preserve"> 18:40</t>
  </si>
  <si>
    <t xml:space="preserve"> 17:40</t>
  </si>
  <si>
    <t xml:space="preserve"> 10:35</t>
  </si>
  <si>
    <t xml:space="preserve"> 14:45</t>
  </si>
  <si>
    <t xml:space="preserve"> 21:20</t>
  </si>
  <si>
    <t xml:space="preserve"> 11:45</t>
  </si>
  <si>
    <t xml:space="preserve"> 15:25</t>
  </si>
  <si>
    <t xml:space="preserve"> 19:10</t>
  </si>
  <si>
    <t xml:space="preserve"> 22:25</t>
  </si>
  <si>
    <t xml:space="preserve"> 18:25</t>
  </si>
  <si>
    <t>SABADAO DE TODOS</t>
  </si>
  <si>
    <t>CIDADE ALERTA</t>
  </si>
  <si>
    <t>SUPER TELA</t>
  </si>
  <si>
    <t xml:space="preserve"> 19:55</t>
  </si>
  <si>
    <t xml:space="preserve"> 00:15</t>
  </si>
  <si>
    <t>NOVELA NOITE 2</t>
  </si>
  <si>
    <t>CAMPINAS/SANTOS</t>
  </si>
  <si>
    <t xml:space="preserve"> 21:45</t>
  </si>
  <si>
    <t>SOROCABA</t>
  </si>
  <si>
    <t>AQUI AGORA</t>
  </si>
  <si>
    <t>18:30</t>
  </si>
  <si>
    <t>19:45</t>
  </si>
  <si>
    <t>JOGO ABERTO</t>
  </si>
  <si>
    <t>SÃO CARLOS</t>
  </si>
  <si>
    <t>CAMPAING: ESCASSESZ HIDRICA PCJ</t>
  </si>
  <si>
    <t>PROGRAM</t>
  </si>
  <si>
    <t>DEZEMBRO_2025</t>
  </si>
  <si>
    <t>INV LIQUIDO</t>
  </si>
  <si>
    <t>BAIXA MOGIANA</t>
  </si>
  <si>
    <t xml:space="preserve">CAMPINAS </t>
  </si>
  <si>
    <t>EDUCADORA</t>
  </si>
  <si>
    <t>MOCOCA</t>
  </si>
  <si>
    <t>TOTAL RÁDIO ESCASSEZ HIDRICA PCJ</t>
  </si>
  <si>
    <t>MOOCA</t>
  </si>
  <si>
    <t>TOTAL GERAL</t>
  </si>
  <si>
    <t>60'' - SOLUCOES PCJ</t>
  </si>
  <si>
    <t>30'' - SOLUCOES PCJ 01 DE 05</t>
  </si>
  <si>
    <t>5 PRAÇAS</t>
  </si>
  <si>
    <t>2 PRAÇAS</t>
  </si>
  <si>
    <t>4 PRAÇAS</t>
  </si>
  <si>
    <t>CAMPAING: ESCASSEZ HIDRICA  PCJ</t>
  </si>
  <si>
    <t>MUNICIPIOS</t>
  </si>
  <si>
    <t>COBERTURA DAS EMISSORAS</t>
  </si>
  <si>
    <t>Aguaí</t>
  </si>
  <si>
    <t>São Carlos</t>
  </si>
  <si>
    <t>Franca</t>
  </si>
  <si>
    <t>Ribeirão Preto</t>
  </si>
  <si>
    <t>Campinas</t>
  </si>
  <si>
    <t>BAND / NATIVA</t>
  </si>
  <si>
    <t>Águas de São Pedro</t>
  </si>
  <si>
    <t>Campinas/Santos</t>
  </si>
  <si>
    <t>BAND / NATIVA / EDUCADORA</t>
  </si>
  <si>
    <t>Campo Limpo Paulista</t>
  </si>
  <si>
    <t>Sorocaba</t>
  </si>
  <si>
    <t>Charqueada</t>
  </si>
  <si>
    <t>Divinolândia</t>
  </si>
  <si>
    <t>BAND (MOCOCA)</t>
  </si>
  <si>
    <t>Elias Fausto</t>
  </si>
  <si>
    <t>-</t>
  </si>
  <si>
    <t>Hortolândia</t>
  </si>
  <si>
    <t>Itatiba</t>
  </si>
  <si>
    <t>Itupeva</t>
  </si>
  <si>
    <t>Joanópolis</t>
  </si>
  <si>
    <t>São Jose Campos</t>
  </si>
  <si>
    <t>São Jose dos Campos</t>
  </si>
  <si>
    <t>Miguelópolis</t>
  </si>
  <si>
    <t>Mococa</t>
  </si>
  <si>
    <t>Monte Mor</t>
  </si>
  <si>
    <t>Nazaré Paulista</t>
  </si>
  <si>
    <t>São Paulo</t>
  </si>
  <si>
    <t>Paulínia</t>
  </si>
  <si>
    <t>Pedregulho</t>
  </si>
  <si>
    <t>Piracaia</t>
  </si>
  <si>
    <t>São José dos Campos</t>
  </si>
  <si>
    <t>São João da Boa Vista</t>
  </si>
  <si>
    <t>Serra Azul</t>
  </si>
  <si>
    <t>Serra Negra</t>
  </si>
  <si>
    <t>Socorro</t>
  </si>
  <si>
    <t>Tapiratiba</t>
  </si>
  <si>
    <t>Ajuste do período de veiculação para 15 dias; Redução do investimento de rádio; Ajuste do período de veiculação dos materiais de 60'' e 30'' de TV.</t>
  </si>
  <si>
    <t>Ajuste do share de investimentos de TV.</t>
  </si>
  <si>
    <t>CAM - CAMPINAS - EPTV CAMPINAS</t>
  </si>
  <si>
    <t>RIB - RIBEIRAO PRETO - EPTV RIBEIRÃO</t>
  </si>
  <si>
    <t>17:45</t>
  </si>
  <si>
    <t xml:space="preserve">A VOZ DA POPULACAO </t>
  </si>
  <si>
    <t>TUDO PODE REAP</t>
  </si>
  <si>
    <t>VTV DA GENTE</t>
  </si>
  <si>
    <t>SABORES DA VILLA</t>
  </si>
  <si>
    <t>Ajuste conforme compensações</t>
  </si>
  <si>
    <t>Campin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</si>
</sst>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_(&quot;R$&quot;* #,##0.00_);_(&quot;R$&quot;* \(#,##0.00\);_(&quot;R$&quot;* &quot;-&quot;??_);_(@_)"/>
    <numFmt numFmtId="168" formatCode="_(&quot;R$&quot;* #,##0_);_(&quot;R$&quot;* \(#,##0\);_(&quot;R$&quot;* &quot;-&quot;??_);_(@_)"/>
    <numFmt numFmtId="169" formatCode="_-* #,##0_-;\-* #,##0_-;_-* &quot;-&quot;??_-;_-@_-"/>
    <numFmt numFmtId="170" formatCode="#,##0_ ;\-#,##0\ "/>
    <numFmt numFmtId="171" formatCode="0.000%"/>
    <numFmt numFmtId="172" formatCode="dd/mm/yy;@"/>
    <numFmt numFmtId="173" formatCode="0.0"/>
    <numFmt numFmtId="174" formatCode="_-* #,##0.0_-;\-* #,##0.0_-;_-* &quot;-&quot;??_-;_-@_-"/>
    <numFmt numFmtId="175" formatCode="_-&quot;R$&quot;\ * #,##0_-;\-&quot;R$&quot;\ * #,##0_-;_-&quot;R$&quot;\ * &quot;-&quot;??_-;_-@_-"/>
    <numFmt numFmtId="176" formatCode="_(* #,##0_);_(* \(#,##0\);_(* &quot;-&quot;??_);_(@_)"/>
  </numFmts>
  <fonts count="6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color theme="0"/>
      <name val="Tahoma"/>
      <family val="2"/>
    </font>
    <font>
      <sz val="8"/>
      <name val="Tahoma"/>
      <family val="2"/>
    </font>
    <font>
      <b/>
      <u/>
      <sz val="8"/>
      <name val="Tahoma"/>
      <family val="2"/>
    </font>
    <font>
      <b/>
      <sz val="8"/>
      <name val="Tahoma"/>
      <family val="2"/>
    </font>
    <font>
      <b/>
      <sz val="8"/>
      <color theme="0" tint="-0.499984740745262"/>
      <name val="Tahoma"/>
      <family val="2"/>
    </font>
    <font>
      <b/>
      <sz val="8"/>
      <color rgb="FF808080"/>
      <name val="Tahoma"/>
      <family val="2"/>
    </font>
    <font>
      <sz val="8"/>
      <color theme="0"/>
      <name val="Tahoma"/>
      <family val="2"/>
    </font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9"/>
      <name val="Tahoma"/>
      <family val="2"/>
    </font>
    <font>
      <b/>
      <sz val="8"/>
      <color rgb="FFFF0000"/>
      <name val="Tahoma"/>
      <family val="2"/>
    </font>
    <font>
      <sz val="8"/>
      <color theme="1"/>
      <name val="Tahoma"/>
      <family val="2"/>
    </font>
    <font>
      <b/>
      <sz val="9"/>
      <color theme="0"/>
      <name val="Tahoma"/>
      <family val="2"/>
    </font>
    <font>
      <sz val="7"/>
      <name val="Tahoma"/>
      <family val="2"/>
    </font>
    <font>
      <b/>
      <i/>
      <u/>
      <sz val="8"/>
      <name val="Tahoma"/>
      <family val="2"/>
    </font>
    <font>
      <sz val="7"/>
      <color theme="1" tint="0.499984740745262"/>
      <name val="Tahoma"/>
      <family val="2"/>
    </font>
    <font>
      <sz val="8"/>
      <color theme="5"/>
      <name val="Tahoma"/>
      <family val="2"/>
    </font>
    <font>
      <b/>
      <sz val="8"/>
      <color theme="1"/>
      <name val="Tahoma"/>
      <family val="2"/>
    </font>
    <font>
      <sz val="9"/>
      <name val="Tahoma"/>
      <family val="2"/>
    </font>
    <font>
      <sz val="9"/>
      <name val="Arial"/>
      <family val="2"/>
    </font>
    <font>
      <sz val="7"/>
      <color theme="1"/>
      <name val="Tahoma"/>
      <family val="2"/>
    </font>
    <font>
      <sz val="11"/>
      <name val="Tahoma"/>
      <family val="2"/>
    </font>
    <font>
      <b/>
      <sz val="11"/>
      <color indexed="8"/>
      <name val="Tahoma"/>
      <family val="2"/>
    </font>
    <font>
      <b/>
      <sz val="11"/>
      <color indexed="9"/>
      <name val="Tahoma"/>
      <family val="2"/>
    </font>
    <font>
      <b/>
      <sz val="11"/>
      <color theme="1" tint="0.34998626667073579"/>
      <name val="Tahoma"/>
      <family val="2"/>
    </font>
    <font>
      <b/>
      <sz val="11"/>
      <name val="Tahoma"/>
      <family val="2"/>
    </font>
    <font>
      <sz val="11"/>
      <color theme="1" tint="0.34998626667073579"/>
      <name val="Tahoma"/>
      <family val="2"/>
    </font>
    <font>
      <sz val="11"/>
      <color indexed="8"/>
      <name val="Tahoma"/>
      <family val="2"/>
    </font>
    <font>
      <sz val="11"/>
      <color theme="1"/>
      <name val="Tahoma"/>
      <family val="2"/>
    </font>
    <font>
      <sz val="10"/>
      <name val="Arial"/>
      <family val="2"/>
    </font>
    <font>
      <sz val="8"/>
      <color theme="0" tint="-0.499984740745262"/>
      <name val="Tahoma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color theme="1" tint="0.499984740745262"/>
      <name val="Tahoma"/>
      <family val="2"/>
    </font>
    <font>
      <sz val="7"/>
      <color theme="1" tint="0.34998626667073579"/>
      <name val="Tahoma"/>
      <family val="2"/>
    </font>
    <font>
      <sz val="10"/>
      <color theme="0"/>
      <name val="Arial"/>
      <family val="2"/>
    </font>
    <font>
      <sz val="8"/>
      <color theme="0" tint="-0.249977111117893"/>
      <name val="Tahoma"/>
      <family val="2"/>
    </font>
    <font>
      <sz val="11"/>
      <name val="Calibri"/>
      <family val="2"/>
    </font>
    <font>
      <sz val="8"/>
      <color theme="2" tint="-0.499984740745262"/>
      <name val="Tahoma"/>
      <family val="2"/>
    </font>
    <font>
      <sz val="8"/>
      <color theme="2" tint="-0.499984740745262"/>
      <name val="Aptos Narrow"/>
      <family val="2"/>
      <scheme val="minor"/>
    </font>
    <font>
      <sz val="10"/>
      <name val="Tahoma"/>
      <family val="2"/>
    </font>
    <font>
      <b/>
      <sz val="8"/>
      <color theme="2"/>
      <name val="Tahoma"/>
      <family val="2"/>
    </font>
    <font>
      <sz val="6"/>
      <color theme="2" tint="-0.499984740745262"/>
      <name val="Tahoma"/>
      <family val="2"/>
    </font>
    <font>
      <sz val="6"/>
      <color theme="2" tint="-0.499984740745262"/>
      <name val="Aptos Narrow"/>
      <family val="2"/>
      <scheme val="minor"/>
    </font>
    <font>
      <sz val="6"/>
      <color theme="0" tint="-0.499984740745262"/>
      <name val="Tahoma"/>
      <family val="2"/>
    </font>
    <font>
      <sz val="6"/>
      <color theme="1" tint="0.499984740745262"/>
      <name val="Tahoma"/>
      <family val="2"/>
    </font>
    <font>
      <sz val="6"/>
      <name val="Tahoma"/>
      <family val="2"/>
    </font>
    <font>
      <sz val="6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000000"/>
        <bgColor rgb="FFD9E1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theme="1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5" fillId="0" borderId="0"/>
    <xf numFmtId="0" fontId="5" fillId="0" borderId="0"/>
    <xf numFmtId="43" fontId="1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" fillId="0" borderId="0"/>
    <xf numFmtId="0" fontId="5" fillId="0" borderId="0"/>
    <xf numFmtId="0" fontId="5" fillId="0" borderId="0"/>
    <xf numFmtId="0" fontId="36" fillId="0" borderId="0"/>
    <xf numFmtId="43" fontId="36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632">
    <xf numFmtId="0" fontId="0" fillId="0" borderId="0" xfId="0"/>
    <xf numFmtId="0" fontId="5" fillId="0" borderId="0" xfId="4"/>
    <xf numFmtId="0" fontId="8" fillId="0" borderId="0" xfId="4" applyFont="1"/>
    <xf numFmtId="0" fontId="9" fillId="0" borderId="0" xfId="4" applyFont="1" applyAlignment="1">
      <alignment horizontal="center" vertical="center" wrapText="1"/>
    </xf>
    <xf numFmtId="0" fontId="10" fillId="0" borderId="0" xfId="4" applyFont="1" applyAlignment="1">
      <alignment horizontal="center" vertical="center"/>
    </xf>
    <xf numFmtId="0" fontId="11" fillId="3" borderId="0" xfId="5" applyFont="1" applyFill="1" applyAlignment="1">
      <alignment horizontal="left"/>
    </xf>
    <xf numFmtId="0" fontId="12" fillId="3" borderId="0" xfId="4" applyFont="1" applyFill="1" applyAlignment="1">
      <alignment horizontal="left"/>
    </xf>
    <xf numFmtId="0" fontId="7" fillId="2" borderId="3" xfId="5" applyFont="1" applyFill="1" applyBorder="1" applyAlignment="1">
      <alignment horizontal="center" vertical="center"/>
    </xf>
    <xf numFmtId="0" fontId="7" fillId="4" borderId="3" xfId="5" applyFont="1" applyFill="1" applyBorder="1" applyAlignment="1">
      <alignment horizontal="center" vertical="center"/>
    </xf>
    <xf numFmtId="165" fontId="8" fillId="0" borderId="10" xfId="7" applyFont="1" applyFill="1" applyBorder="1" applyAlignment="1">
      <alignment vertical="center" wrapText="1"/>
    </xf>
    <xf numFmtId="165" fontId="8" fillId="0" borderId="0" xfId="7" applyFont="1" applyFill="1" applyBorder="1" applyAlignment="1">
      <alignment vertical="center" wrapText="1"/>
    </xf>
    <xf numFmtId="0" fontId="16" fillId="5" borderId="1" xfId="5" applyFont="1" applyFill="1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 wrapText="1"/>
    </xf>
    <xf numFmtId="0" fontId="16" fillId="6" borderId="1" xfId="5" applyFont="1" applyFill="1" applyBorder="1" applyAlignment="1">
      <alignment horizontal="center" vertical="center" wrapText="1"/>
    </xf>
    <xf numFmtId="0" fontId="8" fillId="0" borderId="12" xfId="8" applyNumberFormat="1" applyFont="1" applyFill="1" applyBorder="1" applyAlignment="1">
      <alignment horizontal="center" vertical="center" wrapText="1"/>
    </xf>
    <xf numFmtId="165" fontId="8" fillId="0" borderId="15" xfId="7" applyFont="1" applyBorder="1" applyAlignment="1">
      <alignment horizontal="center" vertical="center" wrapText="1"/>
    </xf>
    <xf numFmtId="9" fontId="8" fillId="0" borderId="12" xfId="8" applyFont="1" applyFill="1" applyBorder="1" applyAlignment="1">
      <alignment horizontal="center" vertical="center" wrapText="1"/>
    </xf>
    <xf numFmtId="165" fontId="8" fillId="0" borderId="12" xfId="7" applyFont="1" applyFill="1" applyBorder="1" applyAlignment="1">
      <alignment horizontal="center" vertical="center" wrapText="1"/>
    </xf>
    <xf numFmtId="165" fontId="8" fillId="0" borderId="12" xfId="7" applyFont="1" applyFill="1" applyBorder="1" applyAlignment="1">
      <alignment vertical="center" wrapText="1"/>
    </xf>
    <xf numFmtId="9" fontId="8" fillId="0" borderId="15" xfId="8" applyFont="1" applyFill="1" applyBorder="1" applyAlignment="1">
      <alignment horizontal="center" vertical="center" wrapText="1"/>
    </xf>
    <xf numFmtId="165" fontId="8" fillId="0" borderId="15" xfId="7" applyFont="1" applyFill="1" applyBorder="1" applyAlignment="1">
      <alignment horizontal="center" vertical="center" wrapText="1"/>
    </xf>
    <xf numFmtId="165" fontId="8" fillId="0" borderId="15" xfId="7" applyFont="1" applyFill="1" applyBorder="1" applyAlignment="1">
      <alignment vertical="center" wrapText="1"/>
    </xf>
    <xf numFmtId="165" fontId="8" fillId="0" borderId="15" xfId="7" applyFont="1" applyBorder="1" applyAlignment="1">
      <alignment vertical="center" wrapText="1"/>
    </xf>
    <xf numFmtId="165" fontId="8" fillId="0" borderId="1" xfId="7" applyFont="1" applyFill="1" applyBorder="1" applyAlignment="1">
      <alignment vertical="center" wrapText="1"/>
    </xf>
    <xf numFmtId="165" fontId="8" fillId="0" borderId="17" xfId="7" applyFont="1" applyFill="1" applyBorder="1" applyAlignment="1">
      <alignment vertical="center" wrapText="1"/>
    </xf>
    <xf numFmtId="167" fontId="7" fillId="2" borderId="17" xfId="7" applyNumberFormat="1" applyFont="1" applyFill="1" applyBorder="1" applyAlignment="1">
      <alignment horizontal="left" vertical="center"/>
    </xf>
    <xf numFmtId="167" fontId="7" fillId="2" borderId="17" xfId="7" applyNumberFormat="1" applyFont="1" applyFill="1" applyBorder="1" applyAlignment="1">
      <alignment horizontal="center" vertical="center"/>
    </xf>
    <xf numFmtId="0" fontId="7" fillId="2" borderId="7" xfId="5" applyFont="1" applyFill="1" applyBorder="1" applyAlignment="1">
      <alignment horizontal="center" vertical="center"/>
    </xf>
    <xf numFmtId="0" fontId="8" fillId="0" borderId="0" xfId="5" applyFont="1"/>
    <xf numFmtId="0" fontId="10" fillId="0" borderId="0" xfId="5" applyFont="1" applyAlignment="1">
      <alignment horizontal="center" vertical="center"/>
    </xf>
    <xf numFmtId="0" fontId="8" fillId="0" borderId="0" xfId="5" applyFont="1" applyAlignment="1">
      <alignment horizontal="center" vertical="center"/>
    </xf>
    <xf numFmtId="43" fontId="8" fillId="0" borderId="0" xfId="5" applyNumberFormat="1" applyFont="1"/>
    <xf numFmtId="0" fontId="10" fillId="0" borderId="0" xfId="5" applyFont="1" applyAlignment="1">
      <alignment vertical="center"/>
    </xf>
    <xf numFmtId="0" fontId="7" fillId="2" borderId="4" xfId="5" applyFont="1" applyFill="1" applyBorder="1" applyAlignment="1">
      <alignment horizontal="center" vertical="center"/>
    </xf>
    <xf numFmtId="0" fontId="8" fillId="0" borderId="13" xfId="5" applyFont="1" applyBorder="1" applyAlignment="1">
      <alignment horizontal="center" vertical="center"/>
    </xf>
    <xf numFmtId="0" fontId="8" fillId="0" borderId="12" xfId="5" applyFont="1" applyBorder="1" applyAlignment="1">
      <alignment horizontal="center" vertical="center"/>
    </xf>
    <xf numFmtId="0" fontId="10" fillId="0" borderId="15" xfId="5" applyFont="1" applyBorder="1" applyAlignment="1">
      <alignment horizontal="center" vertical="center" wrapText="1"/>
    </xf>
    <xf numFmtId="0" fontId="8" fillId="0" borderId="15" xfId="5" applyFont="1" applyBorder="1" applyAlignment="1">
      <alignment horizontal="center" vertical="center"/>
    </xf>
    <xf numFmtId="0" fontId="8" fillId="0" borderId="16" xfId="5" applyFont="1" applyBorder="1" applyAlignment="1">
      <alignment horizontal="center" vertical="center"/>
    </xf>
    <xf numFmtId="0" fontId="10" fillId="0" borderId="16" xfId="5" applyFont="1" applyBorder="1" applyAlignment="1">
      <alignment horizontal="center" vertical="center" wrapText="1"/>
    </xf>
    <xf numFmtId="0" fontId="7" fillId="2" borderId="17" xfId="5" applyFont="1" applyFill="1" applyBorder="1" applyAlignment="1">
      <alignment horizontal="center" vertical="center"/>
    </xf>
    <xf numFmtId="0" fontId="10" fillId="0" borderId="12" xfId="5" applyFont="1" applyBorder="1" applyAlignment="1">
      <alignment horizontal="center" vertical="center" wrapText="1"/>
    </xf>
    <xf numFmtId="0" fontId="8" fillId="0" borderId="15" xfId="5" applyFont="1" applyBorder="1" applyAlignment="1">
      <alignment horizontal="left" vertical="center" wrapText="1"/>
    </xf>
    <xf numFmtId="0" fontId="8" fillId="0" borderId="0" xfId="5" applyFont="1" applyAlignment="1">
      <alignment vertical="center"/>
    </xf>
    <xf numFmtId="0" fontId="10" fillId="0" borderId="15" xfId="5" applyFont="1" applyBorder="1" applyAlignment="1">
      <alignment horizontal="center" vertical="center"/>
    </xf>
    <xf numFmtId="0" fontId="5" fillId="0" borderId="0" xfId="5"/>
    <xf numFmtId="43" fontId="8" fillId="0" borderId="0" xfId="5" applyNumberFormat="1" applyFont="1" applyAlignment="1">
      <alignment horizontal="center"/>
    </xf>
    <xf numFmtId="169" fontId="8" fillId="0" borderId="0" xfId="1" applyNumberFormat="1" applyFont="1" applyAlignment="1">
      <alignment horizontal="center"/>
    </xf>
    <xf numFmtId="170" fontId="8" fillId="0" borderId="0" xfId="5" applyNumberFormat="1" applyFont="1" applyAlignment="1">
      <alignment horizontal="center" vertical="center"/>
    </xf>
    <xf numFmtId="169" fontId="8" fillId="0" borderId="0" xfId="1" applyNumberFormat="1" applyFont="1"/>
    <xf numFmtId="0" fontId="20" fillId="0" borderId="0" xfId="5" applyFont="1"/>
    <xf numFmtId="0" fontId="9" fillId="0" borderId="0" xfId="5" applyFont="1" applyAlignment="1">
      <alignment horizontal="left" vertical="center"/>
    </xf>
    <xf numFmtId="165" fontId="8" fillId="0" borderId="0" xfId="5" applyNumberFormat="1" applyFont="1"/>
    <xf numFmtId="3" fontId="10" fillId="0" borderId="0" xfId="5" applyNumberFormat="1" applyFont="1" applyAlignment="1">
      <alignment horizontal="center" vertical="center"/>
    </xf>
    <xf numFmtId="0" fontId="12" fillId="3" borderId="0" xfId="5" applyFont="1" applyFill="1" applyAlignment="1">
      <alignment horizontal="left"/>
    </xf>
    <xf numFmtId="43" fontId="7" fillId="0" borderId="0" xfId="6" applyFont="1" applyFill="1" applyBorder="1" applyAlignment="1">
      <alignment horizontal="center" vertical="center" wrapText="1"/>
    </xf>
    <xf numFmtId="0" fontId="7" fillId="0" borderId="0" xfId="5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3" fontId="7" fillId="0" borderId="0" xfId="6" applyFont="1" applyAlignment="1">
      <alignment horizontal="center" vertical="center" wrapText="1"/>
    </xf>
    <xf numFmtId="169" fontId="7" fillId="0" borderId="0" xfId="1" applyNumberFormat="1" applyFont="1" applyAlignment="1">
      <alignment horizontal="center" vertical="center" wrapText="1"/>
    </xf>
    <xf numFmtId="170" fontId="7" fillId="0" borderId="0" xfId="6" applyNumberFormat="1" applyFont="1" applyAlignment="1">
      <alignment horizontal="center" vertical="center" wrapText="1"/>
    </xf>
    <xf numFmtId="0" fontId="8" fillId="0" borderId="12" xfId="5" applyFont="1" applyBorder="1"/>
    <xf numFmtId="0" fontId="10" fillId="0" borderId="12" xfId="0" applyFont="1" applyBorder="1" applyAlignment="1">
      <alignment horizontal="left" vertical="center" wrapText="1"/>
    </xf>
    <xf numFmtId="0" fontId="16" fillId="5" borderId="1" xfId="4" applyFont="1" applyFill="1" applyBorder="1" applyAlignment="1">
      <alignment horizontal="center" vertical="center" wrapText="1"/>
    </xf>
    <xf numFmtId="0" fontId="16" fillId="6" borderId="1" xfId="4" applyFont="1" applyFill="1" applyBorder="1" applyAlignment="1">
      <alignment horizontal="center" vertical="center" wrapText="1"/>
    </xf>
    <xf numFmtId="3" fontId="8" fillId="0" borderId="12" xfId="8" applyNumberFormat="1" applyFont="1" applyBorder="1" applyAlignment="1">
      <alignment horizontal="center" vertical="center" wrapText="1"/>
    </xf>
    <xf numFmtId="165" fontId="8" fillId="0" borderId="12" xfId="7" applyFont="1" applyBorder="1" applyAlignment="1">
      <alignment vertical="center" wrapText="1"/>
    </xf>
    <xf numFmtId="9" fontId="8" fillId="0" borderId="12" xfId="3" applyFont="1" applyBorder="1" applyAlignment="1">
      <alignment horizontal="center" vertical="center" wrapText="1"/>
    </xf>
    <xf numFmtId="165" fontId="8" fillId="0" borderId="22" xfId="7" applyFont="1" applyBorder="1" applyAlignment="1">
      <alignment vertical="center" wrapText="1"/>
    </xf>
    <xf numFmtId="165" fontId="8" fillId="0" borderId="22" xfId="7" applyFont="1" applyBorder="1" applyAlignment="1">
      <alignment horizontal="center" vertical="center" wrapText="1"/>
    </xf>
    <xf numFmtId="169" fontId="8" fillId="0" borderId="22" xfId="1" applyNumberFormat="1" applyFont="1" applyBorder="1" applyAlignment="1">
      <alignment horizontal="center" vertical="center" wrapText="1"/>
    </xf>
    <xf numFmtId="170" fontId="8" fillId="0" borderId="22" xfId="7" applyNumberFormat="1" applyFont="1" applyBorder="1" applyAlignment="1">
      <alignment horizontal="center" vertical="center" wrapText="1"/>
    </xf>
    <xf numFmtId="169" fontId="8" fillId="0" borderId="22" xfId="1" applyNumberFormat="1" applyFont="1" applyBorder="1" applyAlignment="1">
      <alignment vertical="center" wrapText="1"/>
    </xf>
    <xf numFmtId="169" fontId="8" fillId="0" borderId="13" xfId="1" applyNumberFormat="1" applyFont="1" applyBorder="1" applyAlignment="1">
      <alignment vertical="center" wrapText="1"/>
    </xf>
    <xf numFmtId="169" fontId="8" fillId="0" borderId="12" xfId="1" applyNumberFormat="1" applyFont="1" applyBorder="1" applyAlignment="1">
      <alignment vertical="center" wrapText="1"/>
    </xf>
    <xf numFmtId="0" fontId="10" fillId="0" borderId="12" xfId="5" applyFont="1" applyBorder="1" applyAlignment="1">
      <alignment horizontal="center" vertical="center"/>
    </xf>
    <xf numFmtId="44" fontId="8" fillId="0" borderId="12" xfId="2" applyFont="1" applyBorder="1" applyAlignment="1">
      <alignment horizontal="center" vertical="center"/>
    </xf>
    <xf numFmtId="44" fontId="8" fillId="0" borderId="23" xfId="2" applyFont="1" applyBorder="1" applyAlignment="1">
      <alignment horizontal="center" vertical="center"/>
    </xf>
    <xf numFmtId="0" fontId="21" fillId="0" borderId="15" xfId="0" applyFont="1" applyBorder="1" applyAlignment="1">
      <alignment vertical="center"/>
    </xf>
    <xf numFmtId="0" fontId="10" fillId="0" borderId="15" xfId="0" applyFont="1" applyBorder="1" applyAlignment="1">
      <alignment horizontal="left" vertical="center" wrapText="1"/>
    </xf>
    <xf numFmtId="3" fontId="8" fillId="0" borderId="24" xfId="8" applyNumberFormat="1" applyFont="1" applyBorder="1" applyAlignment="1">
      <alignment horizontal="center" vertical="center" wrapText="1"/>
    </xf>
    <xf numFmtId="9" fontId="8" fillId="0" borderId="15" xfId="3" applyFont="1" applyBorder="1" applyAlignment="1">
      <alignment horizontal="center" vertical="center" wrapText="1"/>
    </xf>
    <xf numFmtId="165" fontId="8" fillId="0" borderId="25" xfId="7" applyFont="1" applyBorder="1" applyAlignment="1">
      <alignment vertical="center" wrapText="1"/>
    </xf>
    <xf numFmtId="165" fontId="8" fillId="0" borderId="25" xfId="7" applyFont="1" applyBorder="1" applyAlignment="1">
      <alignment horizontal="center" vertical="center" wrapText="1"/>
    </xf>
    <xf numFmtId="169" fontId="8" fillId="0" borderId="25" xfId="1" applyNumberFormat="1" applyFont="1" applyBorder="1" applyAlignment="1">
      <alignment horizontal="center" vertical="center" wrapText="1"/>
    </xf>
    <xf numFmtId="170" fontId="8" fillId="0" borderId="25" xfId="7" applyNumberFormat="1" applyFont="1" applyBorder="1" applyAlignment="1">
      <alignment horizontal="center" vertical="center" wrapText="1"/>
    </xf>
    <xf numFmtId="169" fontId="8" fillId="0" borderId="25" xfId="1" applyNumberFormat="1" applyFont="1" applyBorder="1" applyAlignment="1">
      <alignment vertical="center" wrapText="1"/>
    </xf>
    <xf numFmtId="169" fontId="8" fillId="0" borderId="16" xfId="1" applyNumberFormat="1" applyFont="1" applyBorder="1" applyAlignment="1">
      <alignment vertical="center" wrapText="1"/>
    </xf>
    <xf numFmtId="169" fontId="8" fillId="0" borderId="15" xfId="1" applyNumberFormat="1" applyFont="1" applyBorder="1" applyAlignment="1">
      <alignment vertical="center" wrapText="1"/>
    </xf>
    <xf numFmtId="44" fontId="8" fillId="0" borderId="15" xfId="2" applyFont="1" applyBorder="1" applyAlignment="1">
      <alignment horizontal="center" vertical="center"/>
    </xf>
    <xf numFmtId="44" fontId="8" fillId="0" borderId="24" xfId="2" applyFont="1" applyBorder="1" applyAlignment="1">
      <alignment horizontal="center" vertical="center"/>
    </xf>
    <xf numFmtId="0" fontId="10" fillId="7" borderId="15" xfId="0" applyFont="1" applyFill="1" applyBorder="1" applyAlignment="1">
      <alignment vertical="center"/>
    </xf>
    <xf numFmtId="0" fontId="10" fillId="0" borderId="15" xfId="0" applyFont="1" applyBorder="1" applyAlignment="1">
      <alignment horizontal="left" vertical="distributed"/>
    </xf>
    <xf numFmtId="0" fontId="10" fillId="0" borderId="15" xfId="5" applyFont="1" applyBorder="1" applyAlignment="1">
      <alignment horizontal="left" vertical="center" wrapText="1"/>
    </xf>
    <xf numFmtId="9" fontId="8" fillId="8" borderId="15" xfId="3" applyFont="1" applyFill="1" applyBorder="1" applyAlignment="1">
      <alignment horizontal="center" vertical="center" wrapText="1"/>
    </xf>
    <xf numFmtId="9" fontId="10" fillId="0" borderId="0" xfId="3" applyFont="1" applyAlignment="1">
      <alignment vertical="center"/>
    </xf>
    <xf numFmtId="9" fontId="8" fillId="0" borderId="25" xfId="3" applyFont="1" applyBorder="1" applyAlignment="1">
      <alignment vertical="center" wrapText="1"/>
    </xf>
    <xf numFmtId="2" fontId="8" fillId="0" borderId="25" xfId="7" applyNumberFormat="1" applyFont="1" applyBorder="1" applyAlignment="1">
      <alignment horizontal="center" vertical="center" wrapText="1"/>
    </xf>
    <xf numFmtId="169" fontId="6" fillId="0" borderId="0" xfId="1" applyNumberFormat="1" applyFont="1"/>
    <xf numFmtId="0" fontId="22" fillId="0" borderId="0" xfId="5" applyFont="1"/>
    <xf numFmtId="0" fontId="10" fillId="5" borderId="15" xfId="0" applyFont="1" applyFill="1" applyBorder="1" applyAlignment="1">
      <alignment vertical="center"/>
    </xf>
    <xf numFmtId="9" fontId="8" fillId="5" borderId="15" xfId="3" applyFont="1" applyFill="1" applyBorder="1" applyAlignment="1">
      <alignment horizontal="center" vertical="center" wrapText="1"/>
    </xf>
    <xf numFmtId="165" fontId="8" fillId="0" borderId="11" xfId="7" applyFont="1" applyBorder="1" applyAlignment="1">
      <alignment vertical="center" wrapText="1"/>
    </xf>
    <xf numFmtId="9" fontId="8" fillId="0" borderId="11" xfId="3" applyFont="1" applyBorder="1" applyAlignment="1">
      <alignment vertical="center" wrapText="1"/>
    </xf>
    <xf numFmtId="2" fontId="8" fillId="0" borderId="11" xfId="7" applyNumberFormat="1" applyFont="1" applyBorder="1" applyAlignment="1">
      <alignment horizontal="center" vertical="center" wrapText="1"/>
    </xf>
    <xf numFmtId="169" fontId="8" fillId="0" borderId="11" xfId="1" applyNumberFormat="1" applyFont="1" applyBorder="1" applyAlignment="1">
      <alignment horizontal="center" vertical="center" wrapText="1"/>
    </xf>
    <xf numFmtId="170" fontId="8" fillId="0" borderId="11" xfId="7" applyNumberFormat="1" applyFont="1" applyBorder="1" applyAlignment="1">
      <alignment horizontal="center" vertical="center" wrapText="1"/>
    </xf>
    <xf numFmtId="169" fontId="8" fillId="0" borderId="11" xfId="1" applyNumberFormat="1" applyFont="1" applyBorder="1" applyAlignment="1">
      <alignment vertical="center" wrapText="1"/>
    </xf>
    <xf numFmtId="169" fontId="8" fillId="0" borderId="18" xfId="1" applyNumberFormat="1" applyFont="1" applyBorder="1" applyAlignment="1">
      <alignment vertical="center" wrapText="1"/>
    </xf>
    <xf numFmtId="0" fontId="10" fillId="0" borderId="15" xfId="0" applyFont="1" applyBorder="1" applyAlignment="1">
      <alignment vertical="center"/>
    </xf>
    <xf numFmtId="9" fontId="8" fillId="5" borderId="12" xfId="3" applyFont="1" applyFill="1" applyBorder="1" applyAlignment="1">
      <alignment horizontal="center" vertical="center" wrapText="1"/>
    </xf>
    <xf numFmtId="171" fontId="8" fillId="0" borderId="0" xfId="3" applyNumberFormat="1" applyFont="1" applyFill="1" applyBorder="1" applyAlignment="1">
      <alignment vertical="center" wrapText="1"/>
    </xf>
    <xf numFmtId="165" fontId="8" fillId="0" borderId="11" xfId="7" applyFont="1" applyFill="1" applyBorder="1" applyAlignment="1">
      <alignment vertical="center" wrapText="1"/>
    </xf>
    <xf numFmtId="0" fontId="10" fillId="0" borderId="15" xfId="5" applyFont="1" applyBorder="1" applyAlignment="1">
      <alignment vertical="center" wrapText="1"/>
    </xf>
    <xf numFmtId="0" fontId="8" fillId="0" borderId="15" xfId="5" applyFont="1" applyBorder="1" applyAlignment="1">
      <alignment horizontal="left" vertical="distributed"/>
    </xf>
    <xf numFmtId="0" fontId="8" fillId="0" borderId="16" xfId="5" applyFont="1" applyBorder="1" applyAlignment="1">
      <alignment horizontal="center" vertical="center" wrapText="1"/>
    </xf>
    <xf numFmtId="0" fontId="8" fillId="0" borderId="23" xfId="8" applyNumberFormat="1" applyFont="1" applyBorder="1" applyAlignment="1">
      <alignment horizontal="center" vertical="center" wrapText="1"/>
    </xf>
    <xf numFmtId="165" fontId="8" fillId="5" borderId="12" xfId="7" applyFont="1" applyFill="1" applyBorder="1" applyAlignment="1">
      <alignment vertical="center" wrapText="1"/>
    </xf>
    <xf numFmtId="9" fontId="8" fillId="0" borderId="12" xfId="3" applyFont="1" applyBorder="1" applyAlignment="1">
      <alignment vertical="center" wrapText="1"/>
    </xf>
    <xf numFmtId="2" fontId="8" fillId="0" borderId="15" xfId="7" applyNumberFormat="1" applyFont="1" applyBorder="1" applyAlignment="1">
      <alignment horizontal="center" vertical="center" wrapText="1"/>
    </xf>
    <xf numFmtId="169" fontId="8" fillId="0" borderId="15" xfId="1" applyNumberFormat="1" applyFont="1" applyBorder="1" applyAlignment="1">
      <alignment horizontal="center" vertical="center" wrapText="1"/>
    </xf>
    <xf numFmtId="170" fontId="8" fillId="0" borderId="15" xfId="7" applyNumberFormat="1" applyFont="1" applyBorder="1" applyAlignment="1">
      <alignment horizontal="center" vertical="center" wrapText="1"/>
    </xf>
    <xf numFmtId="165" fontId="8" fillId="0" borderId="26" xfId="7" applyFont="1" applyBorder="1" applyAlignment="1">
      <alignment vertical="center" wrapText="1"/>
    </xf>
    <xf numFmtId="9" fontId="8" fillId="0" borderId="26" xfId="3" applyFont="1" applyBorder="1" applyAlignment="1">
      <alignment vertical="center" wrapText="1"/>
    </xf>
    <xf numFmtId="9" fontId="8" fillId="0" borderId="15" xfId="3" applyFont="1" applyBorder="1" applyAlignment="1">
      <alignment vertical="center" wrapText="1"/>
    </xf>
    <xf numFmtId="2" fontId="8" fillId="0" borderId="12" xfId="7" applyNumberFormat="1" applyFont="1" applyBorder="1" applyAlignment="1">
      <alignment horizontal="center" vertical="center" wrapText="1"/>
    </xf>
    <xf numFmtId="169" fontId="8" fillId="0" borderId="12" xfId="1" applyNumberFormat="1" applyFont="1" applyBorder="1" applyAlignment="1">
      <alignment horizontal="center" vertical="center" wrapText="1"/>
    </xf>
    <xf numFmtId="170" fontId="8" fillId="0" borderId="12" xfId="7" applyNumberFormat="1" applyFont="1" applyBorder="1" applyAlignment="1">
      <alignment horizontal="center" vertical="center" wrapText="1"/>
    </xf>
    <xf numFmtId="0" fontId="10" fillId="0" borderId="15" xfId="0" applyFont="1" applyBorder="1" applyAlignment="1">
      <alignment vertical="center" wrapText="1"/>
    </xf>
    <xf numFmtId="2" fontId="8" fillId="0" borderId="26" xfId="7" applyNumberFormat="1" applyFont="1" applyBorder="1" applyAlignment="1">
      <alignment horizontal="center" vertical="center" wrapText="1"/>
    </xf>
    <xf numFmtId="169" fontId="8" fillId="0" borderId="26" xfId="1" applyNumberFormat="1" applyFont="1" applyBorder="1" applyAlignment="1">
      <alignment horizontal="center" vertical="center" wrapText="1"/>
    </xf>
    <xf numFmtId="170" fontId="8" fillId="0" borderId="26" xfId="7" applyNumberFormat="1" applyFont="1" applyBorder="1" applyAlignment="1">
      <alignment horizontal="center" vertical="center" wrapText="1"/>
    </xf>
    <xf numFmtId="169" fontId="8" fillId="0" borderId="26" xfId="1" applyNumberFormat="1" applyFont="1" applyBorder="1" applyAlignment="1">
      <alignment vertical="center" wrapText="1"/>
    </xf>
    <xf numFmtId="0" fontId="10" fillId="0" borderId="11" xfId="5" applyFont="1" applyBorder="1" applyAlignment="1">
      <alignment horizontal="center" vertical="center"/>
    </xf>
    <xf numFmtId="44" fontId="8" fillId="0" borderId="11" xfId="2" applyFont="1" applyBorder="1" applyAlignment="1">
      <alignment horizontal="center" vertical="center"/>
    </xf>
    <xf numFmtId="0" fontId="8" fillId="0" borderId="11" xfId="5" applyFont="1" applyBorder="1" applyAlignment="1">
      <alignment horizontal="center" vertical="center"/>
    </xf>
    <xf numFmtId="44" fontId="8" fillId="0" borderId="27" xfId="2" applyFont="1" applyBorder="1" applyAlignment="1">
      <alignment horizontal="center" vertical="center"/>
    </xf>
    <xf numFmtId="0" fontId="10" fillId="2" borderId="17" xfId="5" applyFont="1" applyFill="1" applyBorder="1" applyAlignment="1">
      <alignment horizontal="center" vertical="center"/>
    </xf>
    <xf numFmtId="3" fontId="7" fillId="2" borderId="17" xfId="5" applyNumberFormat="1" applyFont="1" applyFill="1" applyBorder="1" applyAlignment="1">
      <alignment horizontal="center" vertical="center"/>
    </xf>
    <xf numFmtId="167" fontId="7" fillId="2" borderId="17" xfId="7" applyNumberFormat="1" applyFont="1" applyFill="1" applyBorder="1" applyAlignment="1">
      <alignment vertical="center"/>
    </xf>
    <xf numFmtId="9" fontId="7" fillId="2" borderId="17" xfId="3" applyFont="1" applyFill="1" applyBorder="1" applyAlignment="1">
      <alignment vertical="center"/>
    </xf>
    <xf numFmtId="167" fontId="7" fillId="2" borderId="10" xfId="7" applyNumberFormat="1" applyFont="1" applyFill="1" applyBorder="1" applyAlignment="1">
      <alignment horizontal="center" vertical="center"/>
    </xf>
    <xf numFmtId="169" fontId="7" fillId="2" borderId="10" xfId="1" applyNumberFormat="1" applyFont="1" applyFill="1" applyBorder="1" applyAlignment="1">
      <alignment horizontal="center" vertical="center"/>
    </xf>
    <xf numFmtId="170" fontId="7" fillId="2" borderId="10" xfId="7" applyNumberFormat="1" applyFont="1" applyFill="1" applyBorder="1" applyAlignment="1">
      <alignment horizontal="center" vertical="center"/>
    </xf>
    <xf numFmtId="169" fontId="7" fillId="2" borderId="10" xfId="1" applyNumberFormat="1" applyFont="1" applyFill="1" applyBorder="1" applyAlignment="1">
      <alignment vertical="center"/>
    </xf>
    <xf numFmtId="169" fontId="7" fillId="2" borderId="17" xfId="1" applyNumberFormat="1" applyFont="1" applyFill="1" applyBorder="1" applyAlignment="1">
      <alignment vertical="center"/>
    </xf>
    <xf numFmtId="169" fontId="7" fillId="2" borderId="27" xfId="1" applyNumberFormat="1" applyFont="1" applyFill="1" applyBorder="1" applyAlignment="1">
      <alignment vertical="center"/>
    </xf>
    <xf numFmtId="165" fontId="7" fillId="2" borderId="1" xfId="7" applyFont="1" applyFill="1" applyBorder="1" applyAlignment="1">
      <alignment vertical="center" wrapText="1"/>
    </xf>
    <xf numFmtId="44" fontId="7" fillId="2" borderId="27" xfId="2" applyFont="1" applyFill="1" applyBorder="1" applyAlignment="1">
      <alignment vertical="center"/>
    </xf>
    <xf numFmtId="0" fontId="20" fillId="0" borderId="0" xfId="5" applyFont="1" applyAlignment="1">
      <alignment vertical="center"/>
    </xf>
    <xf numFmtId="0" fontId="5" fillId="0" borderId="0" xfId="5" applyAlignment="1">
      <alignment vertical="center"/>
    </xf>
    <xf numFmtId="0" fontId="5" fillId="0" borderId="15" xfId="5" applyBorder="1" applyAlignment="1">
      <alignment vertical="center"/>
    </xf>
    <xf numFmtId="0" fontId="8" fillId="0" borderId="24" xfId="8" applyNumberFormat="1" applyFont="1" applyFill="1" applyBorder="1" applyAlignment="1">
      <alignment horizontal="center" vertical="center" wrapText="1"/>
    </xf>
    <xf numFmtId="9" fontId="8" fillId="0" borderId="15" xfId="3" applyFont="1" applyFill="1" applyBorder="1" applyAlignment="1">
      <alignment vertical="center" wrapText="1"/>
    </xf>
    <xf numFmtId="165" fontId="8" fillId="0" borderId="16" xfId="7" applyFont="1" applyBorder="1" applyAlignment="1">
      <alignment horizontal="center" vertical="center" wrapText="1"/>
    </xf>
    <xf numFmtId="169" fontId="8" fillId="0" borderId="16" xfId="1" applyNumberFormat="1" applyFont="1" applyBorder="1" applyAlignment="1">
      <alignment horizontal="center" vertical="center" wrapText="1"/>
    </xf>
    <xf numFmtId="170" fontId="8" fillId="0" borderId="16" xfId="7" applyNumberFormat="1" applyFont="1" applyBorder="1" applyAlignment="1">
      <alignment horizontal="center" vertical="center" wrapText="1"/>
    </xf>
    <xf numFmtId="167" fontId="7" fillId="0" borderId="15" xfId="7" applyNumberFormat="1" applyFont="1" applyFill="1" applyBorder="1" applyAlignment="1">
      <alignment vertical="center"/>
    </xf>
    <xf numFmtId="167" fontId="7" fillId="0" borderId="0" xfId="7" applyNumberFormat="1" applyFont="1" applyFill="1" applyBorder="1" applyAlignment="1">
      <alignment vertical="center"/>
    </xf>
    <xf numFmtId="9" fontId="8" fillId="5" borderId="15" xfId="3" applyFont="1" applyFill="1" applyBorder="1" applyAlignment="1">
      <alignment vertical="center" wrapText="1"/>
    </xf>
    <xf numFmtId="0" fontId="10" fillId="5" borderId="15" xfId="5" applyFont="1" applyFill="1" applyBorder="1" applyAlignment="1">
      <alignment horizontal="left" vertical="center" wrapText="1"/>
    </xf>
    <xf numFmtId="3" fontId="8" fillId="0" borderId="24" xfId="8" applyNumberFormat="1" applyFont="1" applyFill="1" applyBorder="1" applyAlignment="1">
      <alignment horizontal="center" vertical="center" wrapText="1"/>
    </xf>
    <xf numFmtId="9" fontId="23" fillId="5" borderId="15" xfId="3" applyFont="1" applyFill="1" applyBorder="1" applyAlignment="1">
      <alignment horizontal="center" vertical="center" wrapText="1"/>
    </xf>
    <xf numFmtId="9" fontId="8" fillId="0" borderId="11" xfId="3" applyFont="1" applyFill="1" applyBorder="1" applyAlignment="1">
      <alignment vertical="center" wrapText="1"/>
    </xf>
    <xf numFmtId="165" fontId="8" fillId="0" borderId="11" xfId="7" applyFont="1" applyBorder="1" applyAlignment="1">
      <alignment horizontal="center" vertical="center" wrapText="1"/>
    </xf>
    <xf numFmtId="0" fontId="8" fillId="0" borderId="23" xfId="8" applyNumberFormat="1" applyFont="1" applyFill="1" applyBorder="1" applyAlignment="1">
      <alignment horizontal="center" vertical="center" wrapText="1"/>
    </xf>
    <xf numFmtId="165" fontId="23" fillId="5" borderId="12" xfId="7" applyFont="1" applyFill="1" applyBorder="1" applyAlignment="1">
      <alignment vertical="center" wrapText="1"/>
    </xf>
    <xf numFmtId="9" fontId="18" fillId="5" borderId="15" xfId="3" applyFont="1" applyFill="1" applyBorder="1" applyAlignment="1">
      <alignment horizontal="center" vertical="center" wrapText="1"/>
    </xf>
    <xf numFmtId="165" fontId="8" fillId="5" borderId="15" xfId="7" applyFont="1" applyFill="1" applyBorder="1" applyAlignment="1">
      <alignment vertical="center" wrapText="1"/>
    </xf>
    <xf numFmtId="9" fontId="8" fillId="0" borderId="12" xfId="3" applyFont="1" applyFill="1" applyBorder="1" applyAlignment="1">
      <alignment vertical="center" wrapText="1"/>
    </xf>
    <xf numFmtId="0" fontId="8" fillId="0" borderId="11" xfId="8" applyNumberFormat="1" applyFont="1" applyFill="1" applyBorder="1" applyAlignment="1">
      <alignment horizontal="center" vertical="center" wrapText="1"/>
    </xf>
    <xf numFmtId="3" fontId="8" fillId="0" borderId="11" xfId="8" applyNumberFormat="1" applyFont="1" applyBorder="1" applyAlignment="1">
      <alignment horizontal="center" vertical="center" wrapText="1"/>
    </xf>
    <xf numFmtId="9" fontId="8" fillId="5" borderId="11" xfId="3" applyFont="1" applyFill="1" applyBorder="1" applyAlignment="1">
      <alignment horizontal="center" vertical="center" wrapText="1"/>
    </xf>
    <xf numFmtId="3" fontId="8" fillId="0" borderId="15" xfId="8" applyNumberFormat="1" applyFont="1" applyBorder="1" applyAlignment="1">
      <alignment horizontal="center" vertical="center" wrapText="1"/>
    </xf>
    <xf numFmtId="165" fontId="8" fillId="0" borderId="16" xfId="7" applyFont="1" applyBorder="1" applyAlignment="1">
      <alignment vertical="center" wrapText="1"/>
    </xf>
    <xf numFmtId="165" fontId="8" fillId="0" borderId="28" xfId="7" applyFont="1" applyBorder="1" applyAlignment="1">
      <alignment vertical="center" wrapText="1"/>
    </xf>
    <xf numFmtId="9" fontId="8" fillId="5" borderId="28" xfId="3" applyFont="1" applyFill="1" applyBorder="1" applyAlignment="1">
      <alignment horizontal="center" vertical="center" wrapText="1"/>
    </xf>
    <xf numFmtId="165" fontId="8" fillId="0" borderId="29" xfId="7" applyFont="1" applyBorder="1" applyAlignment="1">
      <alignment vertical="center" wrapText="1"/>
    </xf>
    <xf numFmtId="9" fontId="8" fillId="0" borderId="29" xfId="3" applyFont="1" applyBorder="1" applyAlignment="1">
      <alignment vertical="center" wrapText="1"/>
    </xf>
    <xf numFmtId="1" fontId="7" fillId="2" borderId="17" xfId="1" applyNumberFormat="1" applyFont="1" applyFill="1" applyBorder="1" applyAlignment="1">
      <alignment horizontal="center" vertical="center"/>
    </xf>
    <xf numFmtId="1" fontId="7" fillId="2" borderId="27" xfId="1" applyNumberFormat="1" applyFont="1" applyFill="1" applyBorder="1" applyAlignment="1">
      <alignment horizontal="center" vertical="center"/>
    </xf>
    <xf numFmtId="0" fontId="10" fillId="5" borderId="12" xfId="5" applyFont="1" applyFill="1" applyBorder="1" applyAlignment="1">
      <alignment vertical="center" wrapText="1"/>
    </xf>
    <xf numFmtId="0" fontId="8" fillId="0" borderId="30" xfId="5" applyFont="1" applyBorder="1" applyAlignment="1">
      <alignment horizontal="left" vertical="distributed"/>
    </xf>
    <xf numFmtId="0" fontId="8" fillId="0" borderId="30" xfId="5" applyFont="1" applyBorder="1" applyAlignment="1">
      <alignment horizontal="left" vertical="center" wrapText="1"/>
    </xf>
    <xf numFmtId="0" fontId="8" fillId="0" borderId="31" xfId="5" applyFont="1" applyBorder="1" applyAlignment="1">
      <alignment horizontal="center" vertical="center" wrapText="1"/>
    </xf>
    <xf numFmtId="0" fontId="8" fillId="0" borderId="12" xfId="8" applyNumberFormat="1" applyFont="1" applyBorder="1" applyAlignment="1">
      <alignment horizontal="center" vertical="center" wrapText="1"/>
    </xf>
    <xf numFmtId="2" fontId="8" fillId="0" borderId="30" xfId="7" applyNumberFormat="1" applyFont="1" applyBorder="1" applyAlignment="1">
      <alignment horizontal="center" vertical="center" wrapText="1"/>
    </xf>
    <xf numFmtId="169" fontId="8" fillId="0" borderId="30" xfId="1" applyNumberFormat="1" applyFont="1" applyBorder="1" applyAlignment="1">
      <alignment horizontal="center" vertical="center" wrapText="1"/>
    </xf>
    <xf numFmtId="170" fontId="8" fillId="0" borderId="30" xfId="7" applyNumberFormat="1" applyFont="1" applyBorder="1" applyAlignment="1">
      <alignment horizontal="center" vertical="center" wrapText="1"/>
    </xf>
    <xf numFmtId="169" fontId="8" fillId="0" borderId="30" xfId="1" applyNumberFormat="1" applyFont="1" applyBorder="1" applyAlignment="1">
      <alignment vertical="center" wrapText="1"/>
    </xf>
    <xf numFmtId="169" fontId="8" fillId="0" borderId="31" xfId="1" applyNumberFormat="1" applyFont="1" applyBorder="1" applyAlignment="1">
      <alignment vertical="center" wrapText="1"/>
    </xf>
    <xf numFmtId="167" fontId="7" fillId="0" borderId="12" xfId="7" applyNumberFormat="1" applyFont="1" applyFill="1" applyBorder="1" applyAlignment="1">
      <alignment vertical="center"/>
    </xf>
    <xf numFmtId="44" fontId="8" fillId="0" borderId="0" xfId="2" applyFont="1" applyAlignment="1">
      <alignment horizontal="center" vertical="center"/>
    </xf>
    <xf numFmtId="9" fontId="8" fillId="0" borderId="11" xfId="3" applyFont="1" applyBorder="1" applyAlignment="1">
      <alignment horizontal="center" vertical="center" wrapText="1"/>
    </xf>
    <xf numFmtId="2" fontId="7" fillId="2" borderId="17" xfId="7" applyNumberFormat="1" applyFont="1" applyFill="1" applyBorder="1" applyAlignment="1">
      <alignment horizontal="center" vertical="center"/>
    </xf>
    <xf numFmtId="169" fontId="7" fillId="2" borderId="17" xfId="1" applyNumberFormat="1" applyFont="1" applyFill="1" applyBorder="1" applyAlignment="1">
      <alignment horizontal="center" vertical="center"/>
    </xf>
    <xf numFmtId="170" fontId="7" fillId="2" borderId="17" xfId="7" applyNumberFormat="1" applyFont="1" applyFill="1" applyBorder="1" applyAlignment="1">
      <alignment horizontal="center" vertical="center"/>
    </xf>
    <xf numFmtId="169" fontId="7" fillId="2" borderId="14" xfId="1" applyNumberFormat="1" applyFont="1" applyFill="1" applyBorder="1" applyAlignment="1">
      <alignment vertical="center"/>
    </xf>
    <xf numFmtId="165" fontId="8" fillId="0" borderId="30" xfId="7" applyFont="1" applyBorder="1" applyAlignment="1">
      <alignment vertical="center" wrapText="1"/>
    </xf>
    <xf numFmtId="2" fontId="8" fillId="0" borderId="16" xfId="7" applyNumberFormat="1" applyFont="1" applyBorder="1" applyAlignment="1">
      <alignment horizontal="center" vertical="center" wrapText="1"/>
    </xf>
    <xf numFmtId="0" fontId="10" fillId="5" borderId="15" xfId="5" applyFont="1" applyFill="1" applyBorder="1" applyAlignment="1">
      <alignment vertical="center" wrapText="1"/>
    </xf>
    <xf numFmtId="0" fontId="8" fillId="0" borderId="24" xfId="8" applyNumberFormat="1" applyFont="1" applyBorder="1" applyAlignment="1">
      <alignment horizontal="center" vertical="center" wrapText="1"/>
    </xf>
    <xf numFmtId="0" fontId="7" fillId="2" borderId="10" xfId="5" applyFont="1" applyFill="1" applyBorder="1" applyAlignment="1">
      <alignment horizontal="center" vertical="center"/>
    </xf>
    <xf numFmtId="167" fontId="7" fillId="2" borderId="10" xfId="7" applyNumberFormat="1" applyFont="1" applyFill="1" applyBorder="1" applyAlignment="1">
      <alignment vertical="center"/>
    </xf>
    <xf numFmtId="0" fontId="5" fillId="0" borderId="0" xfId="5" applyAlignment="1">
      <alignment horizontal="center"/>
    </xf>
    <xf numFmtId="169" fontId="5" fillId="0" borderId="0" xfId="1" applyNumberFormat="1" applyFont="1" applyAlignment="1">
      <alignment horizontal="center"/>
    </xf>
    <xf numFmtId="170" fontId="5" fillId="0" borderId="0" xfId="5" applyNumberFormat="1" applyAlignment="1">
      <alignment horizontal="center" vertical="center"/>
    </xf>
    <xf numFmtId="169" fontId="5" fillId="0" borderId="0" xfId="1" applyNumberFormat="1" applyFont="1"/>
    <xf numFmtId="169" fontId="5" fillId="0" borderId="24" xfId="1" applyNumberFormat="1" applyFont="1" applyBorder="1"/>
    <xf numFmtId="169" fontId="5" fillId="0" borderId="0" xfId="1" applyNumberFormat="1" applyFont="1" applyBorder="1"/>
    <xf numFmtId="164" fontId="5" fillId="0" borderId="0" xfId="5" applyNumberFormat="1"/>
    <xf numFmtId="10" fontId="5" fillId="0" borderId="0" xfId="3" applyNumberFormat="1" applyFont="1"/>
    <xf numFmtId="0" fontId="16" fillId="0" borderId="1" xfId="4" applyFont="1" applyBorder="1" applyAlignment="1">
      <alignment horizontal="center" vertical="center" wrapText="1"/>
    </xf>
    <xf numFmtId="0" fontId="7" fillId="2" borderId="5" xfId="5" applyFont="1" applyFill="1" applyBorder="1" applyAlignment="1">
      <alignment vertical="center"/>
    </xf>
    <xf numFmtId="0" fontId="7" fillId="2" borderId="6" xfId="5" applyFont="1" applyFill="1" applyBorder="1" applyAlignment="1">
      <alignment vertical="center"/>
    </xf>
    <xf numFmtId="9" fontId="8" fillId="0" borderId="15" xfId="3" applyFont="1" applyFill="1" applyBorder="1" applyAlignment="1">
      <alignment horizontal="center" vertical="center" wrapText="1"/>
    </xf>
    <xf numFmtId="0" fontId="18" fillId="0" borderId="31" xfId="5" applyFont="1" applyBorder="1" applyAlignment="1">
      <alignment horizontal="center" vertical="center" wrapText="1"/>
    </xf>
    <xf numFmtId="0" fontId="24" fillId="0" borderId="16" xfId="5" applyFont="1" applyBorder="1" applyAlignment="1">
      <alignment horizontal="center" vertical="center" wrapText="1"/>
    </xf>
    <xf numFmtId="0" fontId="17" fillId="2" borderId="17" xfId="5" applyFont="1" applyFill="1" applyBorder="1" applyAlignment="1">
      <alignment horizontal="center" vertical="center"/>
    </xf>
    <xf numFmtId="0" fontId="7" fillId="4" borderId="4" xfId="5" applyFont="1" applyFill="1" applyBorder="1" applyAlignment="1">
      <alignment horizontal="center" vertical="center"/>
    </xf>
    <xf numFmtId="0" fontId="8" fillId="0" borderId="12" xfId="5" applyFont="1" applyBorder="1" applyAlignment="1">
      <alignment horizontal="left" vertical="distributed"/>
    </xf>
    <xf numFmtId="0" fontId="18" fillId="0" borderId="13" xfId="5" applyFont="1" applyBorder="1" applyAlignment="1">
      <alignment horizontal="center" vertical="center" wrapText="1"/>
    </xf>
    <xf numFmtId="0" fontId="5" fillId="0" borderId="32" xfId="5" applyBorder="1"/>
    <xf numFmtId="0" fontId="5" fillId="0" borderId="18" xfId="5" applyBorder="1"/>
    <xf numFmtId="0" fontId="5" fillId="0" borderId="10" xfId="5" applyBorder="1"/>
    <xf numFmtId="0" fontId="10" fillId="5" borderId="13" xfId="5" applyFont="1" applyFill="1" applyBorder="1" applyAlignment="1">
      <alignment vertical="center" wrapText="1"/>
    </xf>
    <xf numFmtId="0" fontId="10" fillId="7" borderId="16" xfId="0" applyFont="1" applyFill="1" applyBorder="1" applyAlignment="1">
      <alignment vertical="center"/>
    </xf>
    <xf numFmtId="0" fontId="8" fillId="0" borderId="13" xfId="5" applyFont="1" applyBorder="1" applyAlignment="1">
      <alignment horizontal="left" vertical="center" wrapText="1"/>
    </xf>
    <xf numFmtId="0" fontId="10" fillId="0" borderId="16" xfId="5" applyFont="1" applyBorder="1" applyAlignment="1">
      <alignment horizontal="left" vertical="center" wrapText="1"/>
    </xf>
    <xf numFmtId="0" fontId="16" fillId="0" borderId="33" xfId="4" applyFont="1" applyBorder="1" applyAlignment="1">
      <alignment horizontal="center" vertical="center" wrapText="1"/>
    </xf>
    <xf numFmtId="9" fontId="8" fillId="0" borderId="16" xfId="3" applyFont="1" applyFill="1" applyBorder="1" applyAlignment="1">
      <alignment horizontal="center" vertical="center" wrapText="1"/>
    </xf>
    <xf numFmtId="0" fontId="5" fillId="0" borderId="13" xfId="5" applyBorder="1"/>
    <xf numFmtId="3" fontId="8" fillId="0" borderId="16" xfId="8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0" xfId="5" applyFont="1" applyAlignment="1">
      <alignment horizontal="left" vertical="center" wrapText="1"/>
    </xf>
    <xf numFmtId="0" fontId="10" fillId="0" borderId="16" xfId="0" applyFont="1" applyBorder="1" applyAlignment="1">
      <alignment vertical="center"/>
    </xf>
    <xf numFmtId="0" fontId="5" fillId="0" borderId="12" xfId="5" applyBorder="1"/>
    <xf numFmtId="0" fontId="5" fillId="0" borderId="11" xfId="5" applyBorder="1"/>
    <xf numFmtId="0" fontId="5" fillId="0" borderId="15" xfId="5" applyBorder="1"/>
    <xf numFmtId="0" fontId="0" fillId="0" borderId="15" xfId="0" applyBorder="1"/>
    <xf numFmtId="44" fontId="5" fillId="0" borderId="11" xfId="5" applyNumberFormat="1" applyBorder="1"/>
    <xf numFmtId="0" fontId="6" fillId="0" borderId="0" xfId="5" applyFont="1"/>
    <xf numFmtId="169" fontId="7" fillId="2" borderId="0" xfId="1" applyNumberFormat="1" applyFont="1" applyFill="1" applyBorder="1" applyAlignment="1">
      <alignment horizontal="center" vertical="center"/>
    </xf>
    <xf numFmtId="170" fontId="7" fillId="2" borderId="0" xfId="7" applyNumberFormat="1" applyFont="1" applyFill="1" applyBorder="1" applyAlignment="1">
      <alignment horizontal="center" vertical="center"/>
    </xf>
    <xf numFmtId="169" fontId="7" fillId="2" borderId="0" xfId="1" applyNumberFormat="1" applyFont="1" applyFill="1" applyBorder="1" applyAlignment="1">
      <alignment vertical="center"/>
    </xf>
    <xf numFmtId="169" fontId="7" fillId="2" borderId="24" xfId="1" applyNumberFormat="1" applyFont="1" applyFill="1" applyBorder="1" applyAlignment="1">
      <alignment vertical="center"/>
    </xf>
    <xf numFmtId="165" fontId="7" fillId="2" borderId="11" xfId="7" applyFont="1" applyFill="1" applyBorder="1" applyAlignment="1">
      <alignment vertical="center" wrapText="1"/>
    </xf>
    <xf numFmtId="165" fontId="7" fillId="2" borderId="15" xfId="7" applyFont="1" applyFill="1" applyBorder="1" applyAlignment="1">
      <alignment vertical="center" wrapText="1"/>
    </xf>
    <xf numFmtId="9" fontId="7" fillId="2" borderId="0" xfId="3" applyFont="1" applyFill="1" applyBorder="1" applyAlignment="1">
      <alignment vertical="center"/>
    </xf>
    <xf numFmtId="0" fontId="5" fillId="0" borderId="12" xfId="5" applyBorder="1" applyAlignment="1">
      <alignment horizontal="center"/>
    </xf>
    <xf numFmtId="169" fontId="5" fillId="0" borderId="12" xfId="1" applyNumberFormat="1" applyFont="1" applyBorder="1" applyAlignment="1">
      <alignment horizontal="center"/>
    </xf>
    <xf numFmtId="170" fontId="5" fillId="0" borderId="12" xfId="5" applyNumberFormat="1" applyBorder="1" applyAlignment="1">
      <alignment horizontal="center" vertical="center"/>
    </xf>
    <xf numFmtId="169" fontId="5" fillId="0" borderId="12" xfId="1" applyNumberFormat="1" applyFont="1" applyBorder="1"/>
    <xf numFmtId="0" fontId="5" fillId="0" borderId="15" xfId="5" applyBorder="1" applyAlignment="1">
      <alignment horizontal="center"/>
    </xf>
    <xf numFmtId="169" fontId="5" fillId="0" borderId="15" xfId="1" applyNumberFormat="1" applyFont="1" applyBorder="1" applyAlignment="1">
      <alignment horizontal="center"/>
    </xf>
    <xf numFmtId="170" fontId="5" fillId="0" borderId="15" xfId="5" applyNumberFormat="1" applyBorder="1" applyAlignment="1">
      <alignment horizontal="center" vertical="center"/>
    </xf>
    <xf numFmtId="169" fontId="5" fillId="0" borderId="15" xfId="1" applyNumberFormat="1" applyFont="1" applyBorder="1"/>
    <xf numFmtId="0" fontId="5" fillId="0" borderId="11" xfId="5" applyBorder="1" applyAlignment="1">
      <alignment horizontal="center"/>
    </xf>
    <xf numFmtId="169" fontId="5" fillId="0" borderId="11" xfId="1" applyNumberFormat="1" applyFont="1" applyBorder="1" applyAlignment="1">
      <alignment horizontal="center"/>
    </xf>
    <xf numFmtId="169" fontId="5" fillId="0" borderId="11" xfId="1" applyNumberFormat="1" applyFont="1" applyBorder="1"/>
    <xf numFmtId="0" fontId="6" fillId="0" borderId="11" xfId="5" applyFont="1" applyBorder="1"/>
    <xf numFmtId="170" fontId="5" fillId="0" borderId="11" xfId="5" applyNumberFormat="1" applyBorder="1" applyAlignment="1">
      <alignment horizontal="center" vertical="center"/>
    </xf>
    <xf numFmtId="1" fontId="7" fillId="2" borderId="32" xfId="1" applyNumberFormat="1" applyFont="1" applyFill="1" applyBorder="1" applyAlignment="1">
      <alignment horizontal="center" vertical="center"/>
    </xf>
    <xf numFmtId="167" fontId="7" fillId="2" borderId="32" xfId="7" applyNumberFormat="1" applyFont="1" applyFill="1" applyBorder="1" applyAlignment="1">
      <alignment vertical="center"/>
    </xf>
    <xf numFmtId="1" fontId="7" fillId="2" borderId="24" xfId="1" applyNumberFormat="1" applyFont="1" applyFill="1" applyBorder="1" applyAlignment="1">
      <alignment horizontal="center" vertical="center"/>
    </xf>
    <xf numFmtId="0" fontId="8" fillId="0" borderId="32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/>
    </xf>
    <xf numFmtId="0" fontId="8" fillId="0" borderId="10" xfId="5" applyFont="1" applyBorder="1" applyAlignment="1">
      <alignment horizontal="center" vertical="center"/>
    </xf>
    <xf numFmtId="0" fontId="0" fillId="0" borderId="16" xfId="0" applyBorder="1"/>
    <xf numFmtId="164" fontId="8" fillId="0" borderId="12" xfId="5" applyNumberFormat="1" applyFont="1" applyBorder="1" applyAlignment="1">
      <alignment horizontal="center" vertical="center"/>
    </xf>
    <xf numFmtId="164" fontId="8" fillId="0" borderId="15" xfId="5" applyNumberFormat="1" applyFont="1" applyBorder="1" applyAlignment="1">
      <alignment horizontal="center" vertical="center"/>
    </xf>
    <xf numFmtId="164" fontId="8" fillId="0" borderId="11" xfId="5" applyNumberFormat="1" applyFont="1" applyBorder="1" applyAlignment="1">
      <alignment horizontal="center" vertical="center"/>
    </xf>
    <xf numFmtId="164" fontId="7" fillId="2" borderId="24" xfId="2" applyNumberFormat="1" applyFont="1" applyFill="1" applyBorder="1" applyAlignment="1">
      <alignment vertical="center"/>
    </xf>
    <xf numFmtId="164" fontId="0" fillId="0" borderId="15" xfId="0" applyNumberFormat="1" applyBorder="1"/>
    <xf numFmtId="164" fontId="7" fillId="2" borderId="27" xfId="2" applyNumberFormat="1" applyFont="1" applyFill="1" applyBorder="1" applyAlignment="1">
      <alignment vertical="center"/>
    </xf>
    <xf numFmtId="0" fontId="16" fillId="0" borderId="0" xfId="5" applyFont="1" applyAlignment="1">
      <alignment vertical="center"/>
    </xf>
    <xf numFmtId="167" fontId="19" fillId="2" borderId="17" xfId="7" applyNumberFormat="1" applyFont="1" applyFill="1" applyBorder="1" applyAlignment="1">
      <alignment horizontal="left" vertical="center"/>
    </xf>
    <xf numFmtId="0" fontId="16" fillId="2" borderId="17" xfId="5" applyFont="1" applyFill="1" applyBorder="1" applyAlignment="1">
      <alignment horizontal="center" vertical="center"/>
    </xf>
    <xf numFmtId="0" fontId="19" fillId="2" borderId="17" xfId="5" applyFont="1" applyFill="1" applyBorder="1" applyAlignment="1">
      <alignment horizontal="center" vertical="center"/>
    </xf>
    <xf numFmtId="1" fontId="19" fillId="2" borderId="32" xfId="1" applyNumberFormat="1" applyFont="1" applyFill="1" applyBorder="1" applyAlignment="1">
      <alignment horizontal="center" vertical="center"/>
    </xf>
    <xf numFmtId="167" fontId="19" fillId="2" borderId="32" xfId="7" applyNumberFormat="1" applyFont="1" applyFill="1" applyBorder="1" applyAlignment="1">
      <alignment vertical="center"/>
    </xf>
    <xf numFmtId="0" fontId="25" fillId="0" borderId="0" xfId="5" applyFont="1" applyAlignment="1">
      <alignment vertical="center"/>
    </xf>
    <xf numFmtId="9" fontId="19" fillId="2" borderId="0" xfId="3" applyFont="1" applyFill="1" applyBorder="1" applyAlignment="1">
      <alignment vertical="center"/>
    </xf>
    <xf numFmtId="167" fontId="19" fillId="2" borderId="0" xfId="7" applyNumberFormat="1" applyFont="1" applyFill="1" applyBorder="1" applyAlignment="1">
      <alignment horizontal="center" vertical="center"/>
    </xf>
    <xf numFmtId="169" fontId="19" fillId="2" borderId="0" xfId="1" applyNumberFormat="1" applyFont="1" applyFill="1" applyBorder="1" applyAlignment="1">
      <alignment horizontal="center" vertical="center"/>
    </xf>
    <xf numFmtId="170" fontId="19" fillId="2" borderId="0" xfId="7" applyNumberFormat="1" applyFont="1" applyFill="1" applyBorder="1" applyAlignment="1">
      <alignment horizontal="center" vertical="center"/>
    </xf>
    <xf numFmtId="169" fontId="19" fillId="2" borderId="0" xfId="1" applyNumberFormat="1" applyFont="1" applyFill="1" applyBorder="1" applyAlignment="1">
      <alignment vertical="center"/>
    </xf>
    <xf numFmtId="169" fontId="19" fillId="2" borderId="24" xfId="1" applyNumberFormat="1" applyFont="1" applyFill="1" applyBorder="1" applyAlignment="1">
      <alignment vertical="center"/>
    </xf>
    <xf numFmtId="165" fontId="19" fillId="2" borderId="15" xfId="7" applyFont="1" applyFill="1" applyBorder="1" applyAlignment="1">
      <alignment vertical="center" wrapText="1"/>
    </xf>
    <xf numFmtId="165" fontId="25" fillId="0" borderId="0" xfId="7" applyFont="1" applyFill="1" applyBorder="1" applyAlignment="1">
      <alignment vertical="center" wrapText="1"/>
    </xf>
    <xf numFmtId="164" fontId="19" fillId="2" borderId="24" xfId="2" applyNumberFormat="1" applyFont="1" applyFill="1" applyBorder="1" applyAlignment="1">
      <alignment vertical="center"/>
    </xf>
    <xf numFmtId="1" fontId="19" fillId="2" borderId="24" xfId="1" applyNumberFormat="1" applyFont="1" applyFill="1" applyBorder="1" applyAlignment="1">
      <alignment horizontal="center" vertical="center"/>
    </xf>
    <xf numFmtId="0" fontId="26" fillId="0" borderId="0" xfId="5" applyFont="1"/>
    <xf numFmtId="9" fontId="5" fillId="0" borderId="12" xfId="3" applyFont="1" applyBorder="1"/>
    <xf numFmtId="9" fontId="5" fillId="0" borderId="15" xfId="3" applyFont="1" applyBorder="1"/>
    <xf numFmtId="9" fontId="5" fillId="0" borderId="11" xfId="3" applyFont="1" applyBorder="1"/>
    <xf numFmtId="9" fontId="0" fillId="0" borderId="15" xfId="3" applyFont="1" applyBorder="1"/>
    <xf numFmtId="9" fontId="7" fillId="2" borderId="10" xfId="3" applyFont="1" applyFill="1" applyBorder="1" applyAlignment="1">
      <alignment horizontal="center" vertical="center"/>
    </xf>
    <xf numFmtId="9" fontId="5" fillId="0" borderId="12" xfId="3" applyFont="1" applyBorder="1" applyAlignment="1">
      <alignment horizontal="center"/>
    </xf>
    <xf numFmtId="9" fontId="5" fillId="0" borderId="15" xfId="3" applyFont="1" applyBorder="1" applyAlignment="1">
      <alignment horizontal="center"/>
    </xf>
    <xf numFmtId="9" fontId="5" fillId="0" borderId="11" xfId="3" applyFont="1" applyBorder="1" applyAlignment="1">
      <alignment horizontal="center"/>
    </xf>
    <xf numFmtId="9" fontId="7" fillId="2" borderId="0" xfId="3" applyFont="1" applyFill="1" applyBorder="1" applyAlignment="1">
      <alignment horizontal="center" vertical="center"/>
    </xf>
    <xf numFmtId="9" fontId="0" fillId="0" borderId="15" xfId="3" applyFont="1" applyBorder="1" applyAlignment="1">
      <alignment horizontal="center"/>
    </xf>
    <xf numFmtId="43" fontId="7" fillId="2" borderId="0" xfId="1" applyFont="1" applyFill="1" applyBorder="1" applyAlignment="1">
      <alignment horizontal="center" vertical="center"/>
    </xf>
    <xf numFmtId="3" fontId="8" fillId="0" borderId="0" xfId="5" applyNumberFormat="1" applyFont="1" applyAlignment="1">
      <alignment horizontal="center" vertical="center"/>
    </xf>
    <xf numFmtId="3" fontId="7" fillId="2" borderId="3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44" fontId="18" fillId="0" borderId="0" xfId="2" applyFont="1" applyAlignment="1">
      <alignment vertical="center"/>
    </xf>
    <xf numFmtId="44" fontId="18" fillId="0" borderId="0" xfId="0" applyNumberFormat="1" applyFont="1" applyAlignment="1">
      <alignment vertical="center"/>
    </xf>
    <xf numFmtId="9" fontId="18" fillId="0" borderId="0" xfId="3" applyFont="1" applyAlignment="1">
      <alignment horizontal="center" vertical="center"/>
    </xf>
    <xf numFmtId="0" fontId="28" fillId="9" borderId="0" xfId="5" applyFont="1" applyFill="1" applyAlignment="1">
      <alignment vertical="center"/>
    </xf>
    <xf numFmtId="0" fontId="29" fillId="9" borderId="0" xfId="5" applyFont="1" applyFill="1" applyAlignment="1">
      <alignment vertical="center"/>
    </xf>
    <xf numFmtId="0" fontId="32" fillId="9" borderId="0" xfId="5" applyFont="1" applyFill="1" applyAlignment="1">
      <alignment vertical="center"/>
    </xf>
    <xf numFmtId="0" fontId="33" fillId="9" borderId="0" xfId="5" applyFont="1" applyFill="1" applyAlignment="1">
      <alignment vertical="center"/>
    </xf>
    <xf numFmtId="0" fontId="29" fillId="9" borderId="0" xfId="5" applyFont="1" applyFill="1" applyAlignment="1">
      <alignment horizontal="center" vertical="center"/>
    </xf>
    <xf numFmtId="172" fontId="34" fillId="9" borderId="0" xfId="5" applyNumberFormat="1" applyFont="1" applyFill="1" applyAlignment="1">
      <alignment horizontal="center" vertical="center"/>
    </xf>
    <xf numFmtId="0" fontId="28" fillId="9" borderId="0" xfId="5" applyFont="1" applyFill="1" applyAlignment="1">
      <alignment horizontal="center" vertical="center"/>
    </xf>
    <xf numFmtId="172" fontId="34" fillId="9" borderId="0" xfId="5" applyNumberFormat="1" applyFont="1" applyFill="1" applyAlignment="1">
      <alignment vertical="center"/>
    </xf>
    <xf numFmtId="0" fontId="34" fillId="0" borderId="0" xfId="5" applyFont="1" applyAlignment="1">
      <alignment vertical="center"/>
    </xf>
    <xf numFmtId="0" fontId="34" fillId="0" borderId="0" xfId="5" applyFont="1" applyAlignment="1">
      <alignment horizontal="center" vertical="center"/>
    </xf>
    <xf numFmtId="17" fontId="18" fillId="0" borderId="0" xfId="0" applyNumberFormat="1" applyFont="1" applyAlignment="1">
      <alignment vertical="center"/>
    </xf>
    <xf numFmtId="44" fontId="18" fillId="5" borderId="0" xfId="0" applyNumberFormat="1" applyFont="1" applyFill="1" applyAlignment="1">
      <alignment vertical="center"/>
    </xf>
    <xf numFmtId="0" fontId="18" fillId="5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vertical="center"/>
    </xf>
    <xf numFmtId="44" fontId="13" fillId="2" borderId="0" xfId="0" applyNumberFormat="1" applyFont="1" applyFill="1" applyAlignment="1">
      <alignment vertical="center"/>
    </xf>
    <xf numFmtId="9" fontId="13" fillId="2" borderId="0" xfId="3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13" fillId="2" borderId="0" xfId="0" applyNumberFormat="1" applyFont="1" applyFill="1" applyAlignment="1">
      <alignment horizontal="center" vertical="center"/>
    </xf>
    <xf numFmtId="9" fontId="27" fillId="0" borderId="0" xfId="3" applyFont="1" applyAlignment="1">
      <alignment horizontal="center" vertical="center"/>
    </xf>
    <xf numFmtId="44" fontId="18" fillId="0" borderId="0" xfId="0" applyNumberFormat="1" applyFont="1" applyAlignment="1">
      <alignment horizontal="center" vertical="center"/>
    </xf>
    <xf numFmtId="0" fontId="8" fillId="0" borderId="15" xfId="8" applyNumberFormat="1" applyFont="1" applyFill="1" applyBorder="1" applyAlignment="1">
      <alignment horizontal="center" vertical="center" wrapText="1"/>
    </xf>
    <xf numFmtId="165" fontId="8" fillId="5" borderId="15" xfId="7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44" fontId="38" fillId="0" borderId="0" xfId="21" applyFont="1" applyAlignment="1">
      <alignment horizontal="center" vertical="center"/>
    </xf>
    <xf numFmtId="0" fontId="39" fillId="11" borderId="1" xfId="0" applyFont="1" applyFill="1" applyBorder="1" applyAlignment="1">
      <alignment horizontal="center" vertical="center"/>
    </xf>
    <xf numFmtId="0" fontId="40" fillId="5" borderId="1" xfId="20" applyFont="1" applyFill="1" applyBorder="1" applyAlignment="1">
      <alignment horizontal="center"/>
    </xf>
    <xf numFmtId="0" fontId="40" fillId="0" borderId="1" xfId="20" applyFont="1" applyBorder="1" applyAlignment="1">
      <alignment horizontal="center"/>
    </xf>
    <xf numFmtId="165" fontId="41" fillId="5" borderId="1" xfId="22" applyFont="1" applyFill="1" applyBorder="1"/>
    <xf numFmtId="1" fontId="41" fillId="0" borderId="1" xfId="2" applyNumberFormat="1" applyFont="1" applyBorder="1" applyAlignment="1">
      <alignment horizontal="center" vertical="center"/>
    </xf>
    <xf numFmtId="44" fontId="41" fillId="0" borderId="1" xfId="2" applyFont="1" applyFill="1" applyBorder="1" applyAlignment="1">
      <alignment horizontal="center" vertical="center"/>
    </xf>
    <xf numFmtId="165" fontId="42" fillId="12" borderId="1" xfId="22" applyFont="1" applyFill="1" applyBorder="1"/>
    <xf numFmtId="1" fontId="42" fillId="12" borderId="1" xfId="22" applyNumberFormat="1" applyFont="1" applyFill="1" applyBorder="1" applyAlignment="1">
      <alignment horizontal="center"/>
    </xf>
    <xf numFmtId="0" fontId="40" fillId="12" borderId="1" xfId="20" applyFont="1" applyFill="1" applyBorder="1" applyAlignment="1">
      <alignment horizontal="center"/>
    </xf>
    <xf numFmtId="0" fontId="38" fillId="0" borderId="0" xfId="20" applyFont="1"/>
    <xf numFmtId="44" fontId="38" fillId="0" borderId="0" xfId="20" applyNumberFormat="1" applyFont="1"/>
    <xf numFmtId="0" fontId="43" fillId="2" borderId="1" xfId="20" applyFont="1" applyFill="1" applyBorder="1" applyAlignment="1">
      <alignment horizontal="left" vertical="center"/>
    </xf>
    <xf numFmtId="0" fontId="44" fillId="2" borderId="1" xfId="20" applyFont="1" applyFill="1" applyBorder="1" applyAlignment="1">
      <alignment horizontal="right" vertical="center"/>
    </xf>
    <xf numFmtId="165" fontId="44" fillId="2" borderId="1" xfId="22" applyFont="1" applyFill="1" applyBorder="1" applyAlignment="1">
      <alignment horizontal="left" vertical="center"/>
    </xf>
    <xf numFmtId="1" fontId="44" fillId="2" borderId="1" xfId="22" applyNumberFormat="1" applyFont="1" applyFill="1" applyBorder="1" applyAlignment="1">
      <alignment horizontal="center" vertical="center"/>
    </xf>
    <xf numFmtId="0" fontId="5" fillId="0" borderId="0" xfId="4" applyAlignment="1">
      <alignment horizontal="center"/>
    </xf>
    <xf numFmtId="0" fontId="6" fillId="0" borderId="0" xfId="4" applyFont="1"/>
    <xf numFmtId="0" fontId="45" fillId="0" borderId="0" xfId="4" applyFont="1"/>
    <xf numFmtId="0" fontId="8" fillId="0" borderId="0" xfId="4" applyFont="1" applyAlignment="1">
      <alignment horizontal="center"/>
    </xf>
    <xf numFmtId="0" fontId="8" fillId="0" borderId="0" xfId="4" applyFont="1" applyAlignment="1">
      <alignment horizontal="center" vertical="center"/>
    </xf>
    <xf numFmtId="164" fontId="8" fillId="0" borderId="0" xfId="4" applyNumberFormat="1" applyFont="1"/>
    <xf numFmtId="44" fontId="5" fillId="0" borderId="0" xfId="4" applyNumberFormat="1" applyAlignment="1">
      <alignment horizontal="center"/>
    </xf>
    <xf numFmtId="43" fontId="10" fillId="0" borderId="0" xfId="4" applyNumberFormat="1" applyFont="1" applyAlignment="1">
      <alignment horizontal="center" vertical="center"/>
    </xf>
    <xf numFmtId="0" fontId="10" fillId="0" borderId="0" xfId="4" applyFont="1" applyAlignment="1">
      <alignment horizontal="center"/>
    </xf>
    <xf numFmtId="164" fontId="10" fillId="0" borderId="0" xfId="4" applyNumberFormat="1" applyFont="1" applyAlignment="1">
      <alignment horizontal="center"/>
    </xf>
    <xf numFmtId="0" fontId="10" fillId="0" borderId="0" xfId="4" applyFont="1" applyAlignment="1">
      <alignment vertical="center"/>
    </xf>
    <xf numFmtId="0" fontId="7" fillId="2" borderId="3" xfId="4" applyFont="1" applyFill="1" applyBorder="1" applyAlignment="1">
      <alignment horizontal="center" vertical="center"/>
    </xf>
    <xf numFmtId="0" fontId="10" fillId="0" borderId="10" xfId="4" applyFont="1" applyBorder="1" applyAlignment="1">
      <alignment horizontal="center" vertical="center" wrapText="1"/>
    </xf>
    <xf numFmtId="0" fontId="8" fillId="0" borderId="10" xfId="4" applyFont="1" applyBorder="1" applyAlignment="1">
      <alignment horizontal="center" vertical="center" wrapText="1"/>
    </xf>
    <xf numFmtId="0" fontId="10" fillId="0" borderId="12" xfId="4" applyFont="1" applyBorder="1" applyAlignment="1">
      <alignment vertical="center" wrapText="1"/>
    </xf>
    <xf numFmtId="0" fontId="8" fillId="0" borderId="12" xfId="4" applyFont="1" applyBorder="1" applyAlignment="1">
      <alignment horizontal="center" vertical="center"/>
    </xf>
    <xf numFmtId="0" fontId="8" fillId="0" borderId="12" xfId="4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 wrapText="1"/>
    </xf>
    <xf numFmtId="165" fontId="8" fillId="0" borderId="12" xfId="7" applyFont="1" applyBorder="1" applyAlignment="1">
      <alignment horizontal="center" vertical="center" wrapText="1"/>
    </xf>
    <xf numFmtId="173" fontId="8" fillId="0" borderId="12" xfId="7" applyNumberFormat="1" applyFont="1" applyFill="1" applyBorder="1" applyAlignment="1">
      <alignment horizontal="right" vertical="center" wrapText="1"/>
    </xf>
    <xf numFmtId="174" fontId="8" fillId="0" borderId="12" xfId="1" applyNumberFormat="1" applyFont="1" applyFill="1" applyBorder="1" applyAlignment="1">
      <alignment vertical="center" wrapText="1"/>
    </xf>
    <xf numFmtId="0" fontId="10" fillId="0" borderId="15" xfId="4" applyFont="1" applyBorder="1" applyAlignment="1">
      <alignment horizontal="center" vertical="center" wrapText="1"/>
    </xf>
    <xf numFmtId="0" fontId="10" fillId="0" borderId="0" xfId="4" applyFont="1" applyAlignment="1">
      <alignment horizontal="left" vertical="center" wrapText="1"/>
    </xf>
    <xf numFmtId="20" fontId="10" fillId="0" borderId="16" xfId="4" applyNumberFormat="1" applyFont="1" applyBorder="1" applyAlignment="1">
      <alignment horizontal="center" vertical="center" wrapText="1"/>
    </xf>
    <xf numFmtId="0" fontId="8" fillId="0" borderId="15" xfId="8" applyNumberFormat="1" applyFont="1" applyBorder="1" applyAlignment="1">
      <alignment horizontal="center" vertical="center" wrapText="1"/>
    </xf>
    <xf numFmtId="173" fontId="8" fillId="0" borderId="15" xfId="9" applyNumberFormat="1" applyFont="1" applyFill="1" applyBorder="1" applyAlignment="1">
      <alignment horizontal="right" vertical="center" wrapText="1"/>
    </xf>
    <xf numFmtId="174" fontId="8" fillId="0" borderId="15" xfId="1" applyNumberFormat="1" applyFont="1" applyFill="1" applyBorder="1" applyAlignment="1">
      <alignment vertical="center" wrapText="1"/>
    </xf>
    <xf numFmtId="175" fontId="8" fillId="0" borderId="15" xfId="2" applyNumberFormat="1" applyFont="1" applyFill="1" applyBorder="1" applyAlignment="1">
      <alignment vertical="center" wrapText="1"/>
    </xf>
    <xf numFmtId="44" fontId="10" fillId="0" borderId="37" xfId="2" applyFont="1" applyFill="1" applyBorder="1" applyAlignment="1">
      <alignment horizontal="center"/>
    </xf>
    <xf numFmtId="1" fontId="8" fillId="0" borderId="37" xfId="2" applyNumberFormat="1" applyFont="1" applyFill="1" applyBorder="1" applyAlignment="1">
      <alignment horizontal="center"/>
    </xf>
    <xf numFmtId="44" fontId="8" fillId="0" borderId="37" xfId="2" applyFont="1" applyFill="1" applyBorder="1" applyAlignment="1">
      <alignment horizontal="center"/>
    </xf>
    <xf numFmtId="9" fontId="8" fillId="0" borderId="15" xfId="8" applyFont="1" applyBorder="1" applyAlignment="1">
      <alignment horizontal="center" vertical="center" wrapText="1"/>
    </xf>
    <xf numFmtId="174" fontId="8" fillId="0" borderId="15" xfId="1" applyNumberFormat="1" applyFont="1" applyBorder="1" applyAlignment="1">
      <alignment vertical="center" wrapText="1"/>
    </xf>
    <xf numFmtId="0" fontId="46" fillId="0" borderId="0" xfId="4" applyFont="1"/>
    <xf numFmtId="0" fontId="10" fillId="0" borderId="15" xfId="4" applyFont="1" applyBorder="1" applyAlignment="1">
      <alignment horizontal="left" vertical="center" wrapText="1"/>
    </xf>
    <xf numFmtId="164" fontId="8" fillId="0" borderId="15" xfId="8" applyNumberFormat="1" applyFont="1" applyFill="1" applyBorder="1" applyAlignment="1">
      <alignment horizontal="center" vertical="center" wrapText="1"/>
    </xf>
    <xf numFmtId="0" fontId="10" fillId="0" borderId="15" xfId="4" applyFont="1" applyBorder="1" applyAlignment="1">
      <alignment horizontal="center" vertical="distributed"/>
    </xf>
    <xf numFmtId="173" fontId="8" fillId="0" borderId="15" xfId="7" applyNumberFormat="1" applyFont="1" applyFill="1" applyBorder="1" applyAlignment="1">
      <alignment horizontal="right" vertical="center" wrapText="1"/>
    </xf>
    <xf numFmtId="0" fontId="10" fillId="5" borderId="15" xfId="4" applyFont="1" applyFill="1" applyBorder="1" applyAlignment="1">
      <alignment horizontal="left" vertical="center" wrapText="1"/>
    </xf>
    <xf numFmtId="0" fontId="10" fillId="5" borderId="16" xfId="4" applyFont="1" applyFill="1" applyBorder="1" applyAlignment="1">
      <alignment horizontal="center" vertical="center" wrapText="1"/>
    </xf>
    <xf numFmtId="175" fontId="8" fillId="0" borderId="15" xfId="2" applyNumberFormat="1" applyFont="1" applyBorder="1" applyAlignment="1">
      <alignment vertical="center" wrapText="1"/>
    </xf>
    <xf numFmtId="0" fontId="10" fillId="5" borderId="0" xfId="4" applyFont="1" applyFill="1" applyAlignment="1">
      <alignment horizontal="left" vertical="center" wrapText="1"/>
    </xf>
    <xf numFmtId="0" fontId="10" fillId="0" borderId="17" xfId="4" applyFont="1" applyBorder="1" applyAlignment="1">
      <alignment horizontal="center" vertical="center" wrapText="1"/>
    </xf>
    <xf numFmtId="0" fontId="8" fillId="0" borderId="17" xfId="4" applyFont="1" applyBorder="1" applyAlignment="1">
      <alignment horizontal="center" vertical="center" wrapText="1"/>
    </xf>
    <xf numFmtId="175" fontId="5" fillId="0" borderId="0" xfId="2" applyNumberFormat="1" applyFont="1"/>
    <xf numFmtId="0" fontId="7" fillId="5" borderId="37" xfId="4" applyFont="1" applyFill="1" applyBorder="1" applyAlignment="1">
      <alignment horizontal="left"/>
    </xf>
    <xf numFmtId="1" fontId="7" fillId="5" borderId="37" xfId="2" applyNumberFormat="1" applyFont="1" applyFill="1" applyBorder="1" applyAlignment="1">
      <alignment horizontal="center"/>
    </xf>
    <xf numFmtId="44" fontId="7" fillId="5" borderId="37" xfId="2" applyFont="1" applyFill="1" applyBorder="1" applyAlignment="1">
      <alignment horizontal="center"/>
    </xf>
    <xf numFmtId="0" fontId="7" fillId="2" borderId="17" xfId="4" applyFont="1" applyFill="1" applyBorder="1" applyAlignment="1">
      <alignment horizontal="center" vertical="center"/>
    </xf>
    <xf numFmtId="1" fontId="7" fillId="2" borderId="17" xfId="7" applyNumberFormat="1" applyFont="1" applyFill="1" applyBorder="1" applyAlignment="1">
      <alignment horizontal="center" vertical="center"/>
    </xf>
    <xf numFmtId="168" fontId="7" fillId="2" borderId="17" xfId="7" applyNumberFormat="1" applyFont="1" applyFill="1" applyBorder="1" applyAlignment="1"/>
    <xf numFmtId="164" fontId="7" fillId="2" borderId="17" xfId="7" applyNumberFormat="1" applyFont="1" applyFill="1" applyBorder="1" applyAlignment="1"/>
    <xf numFmtId="168" fontId="7" fillId="2" borderId="0" xfId="7" applyNumberFormat="1" applyFont="1" applyFill="1" applyBorder="1" applyAlignment="1"/>
    <xf numFmtId="176" fontId="7" fillId="2" borderId="0" xfId="9" applyNumberFormat="1" applyFont="1" applyFill="1" applyBorder="1" applyAlignment="1"/>
    <xf numFmtId="44" fontId="7" fillId="2" borderId="0" xfId="2" applyFont="1" applyFill="1" applyBorder="1" applyAlignment="1"/>
    <xf numFmtId="1" fontId="7" fillId="2" borderId="38" xfId="2" applyNumberFormat="1" applyFont="1" applyFill="1" applyBorder="1" applyAlignment="1">
      <alignment horizontal="center"/>
    </xf>
    <xf numFmtId="44" fontId="7" fillId="2" borderId="38" xfId="2" applyFont="1" applyFill="1" applyBorder="1" applyAlignment="1">
      <alignment horizontal="center"/>
    </xf>
    <xf numFmtId="44" fontId="8" fillId="5" borderId="0" xfId="4" applyNumberFormat="1" applyFont="1" applyFill="1" applyAlignment="1">
      <alignment horizontal="center" vertical="center"/>
    </xf>
    <xf numFmtId="164" fontId="5" fillId="0" borderId="0" xfId="4" applyNumberFormat="1"/>
    <xf numFmtId="44" fontId="6" fillId="0" borderId="0" xfId="2" applyFont="1"/>
    <xf numFmtId="164" fontId="18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0" fontId="7" fillId="2" borderId="0" xfId="4" applyFont="1" applyFill="1" applyAlignment="1">
      <alignment horizontal="center" vertical="center"/>
    </xf>
    <xf numFmtId="0" fontId="10" fillId="0" borderId="15" xfId="4" applyFont="1" applyBorder="1" applyAlignment="1">
      <alignment vertical="center" wrapText="1"/>
    </xf>
    <xf numFmtId="0" fontId="8" fillId="0" borderId="15" xfId="4" applyFont="1" applyBorder="1" applyAlignment="1">
      <alignment horizontal="center" vertical="center"/>
    </xf>
    <xf numFmtId="0" fontId="8" fillId="0" borderId="15" xfId="4" applyFont="1" applyBorder="1" applyAlignment="1">
      <alignment horizontal="center" vertical="center" wrapText="1"/>
    </xf>
    <xf numFmtId="165" fontId="8" fillId="13" borderId="15" xfId="7" applyFont="1" applyFill="1" applyBorder="1" applyAlignment="1">
      <alignment vertical="center" wrapText="1"/>
    </xf>
    <xf numFmtId="0" fontId="8" fillId="0" borderId="0" xfId="4" applyFont="1" applyAlignment="1">
      <alignment horizontal="right"/>
    </xf>
    <xf numFmtId="164" fontId="8" fillId="0" borderId="0" xfId="4" applyNumberFormat="1" applyFont="1" applyAlignment="1">
      <alignment horizontal="right"/>
    </xf>
    <xf numFmtId="0" fontId="7" fillId="2" borderId="37" xfId="4" applyFont="1" applyFill="1" applyBorder="1" applyAlignment="1">
      <alignment horizontal="center"/>
    </xf>
    <xf numFmtId="1" fontId="7" fillId="2" borderId="3" xfId="4" applyNumberFormat="1" applyFont="1" applyFill="1" applyBorder="1" applyAlignment="1">
      <alignment horizontal="center" vertical="center"/>
    </xf>
    <xf numFmtId="44" fontId="7" fillId="2" borderId="3" xfId="4" applyNumberFormat="1" applyFont="1" applyFill="1" applyBorder="1" applyAlignment="1">
      <alignment horizontal="center" vertical="center"/>
    </xf>
    <xf numFmtId="0" fontId="7" fillId="2" borderId="38" xfId="4" applyFont="1" applyFill="1" applyBorder="1" applyAlignment="1">
      <alignment horizontal="center" vertical="center"/>
    </xf>
    <xf numFmtId="0" fontId="47" fillId="0" borderId="0" xfId="4" applyFont="1" applyAlignment="1">
      <alignment horizontal="center"/>
    </xf>
    <xf numFmtId="44" fontId="47" fillId="0" borderId="0" xfId="4" applyNumberFormat="1" applyFont="1" applyAlignment="1">
      <alignment horizontal="center"/>
    </xf>
    <xf numFmtId="0" fontId="7" fillId="2" borderId="0" xfId="4" applyFont="1" applyFill="1" applyAlignment="1">
      <alignment horizontal="center"/>
    </xf>
    <xf numFmtId="44" fontId="7" fillId="2" borderId="0" xfId="4" applyNumberFormat="1" applyFont="1" applyFill="1" applyAlignment="1">
      <alignment horizontal="center"/>
    </xf>
    <xf numFmtId="0" fontId="48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168" fontId="7" fillId="2" borderId="17" xfId="7" applyNumberFormat="1" applyFont="1" applyFill="1" applyBorder="1" applyAlignment="1">
      <alignment vertical="center"/>
    </xf>
    <xf numFmtId="164" fontId="7" fillId="2" borderId="17" xfId="7" applyNumberFormat="1" applyFont="1" applyFill="1" applyBorder="1" applyAlignment="1">
      <alignment vertical="center"/>
    </xf>
    <xf numFmtId="0" fontId="5" fillId="0" borderId="0" xfId="4" applyAlignment="1">
      <alignment vertical="center"/>
    </xf>
    <xf numFmtId="168" fontId="7" fillId="2" borderId="0" xfId="7" applyNumberFormat="1" applyFont="1" applyFill="1" applyBorder="1" applyAlignment="1">
      <alignment vertical="center"/>
    </xf>
    <xf numFmtId="176" fontId="7" fillId="2" borderId="0" xfId="9" applyNumberFormat="1" applyFont="1" applyFill="1" applyBorder="1" applyAlignment="1">
      <alignment vertical="center"/>
    </xf>
    <xf numFmtId="44" fontId="7" fillId="2" borderId="0" xfId="2" applyFont="1" applyFill="1" applyBorder="1" applyAlignment="1">
      <alignment vertical="center"/>
    </xf>
    <xf numFmtId="1" fontId="7" fillId="2" borderId="38" xfId="2" applyNumberFormat="1" applyFont="1" applyFill="1" applyBorder="1" applyAlignment="1">
      <alignment horizontal="center" vertical="center"/>
    </xf>
    <xf numFmtId="44" fontId="7" fillId="2" borderId="38" xfId="2" applyFont="1" applyFill="1" applyBorder="1" applyAlignment="1">
      <alignment horizontal="center" vertical="center"/>
    </xf>
    <xf numFmtId="0" fontId="45" fillId="0" borderId="0" xfId="4" applyFont="1" applyAlignment="1">
      <alignment vertical="center"/>
    </xf>
    <xf numFmtId="44" fontId="6" fillId="0" borderId="0" xfId="2" applyFont="1" applyAlignment="1">
      <alignment vertical="center"/>
    </xf>
    <xf numFmtId="0" fontId="5" fillId="0" borderId="0" xfId="4" applyAlignment="1">
      <alignment horizontal="center" vertical="center"/>
    </xf>
    <xf numFmtId="164" fontId="8" fillId="0" borderId="0" xfId="4" applyNumberFormat="1" applyFont="1" applyAlignment="1">
      <alignment horizontal="right" vertical="center"/>
    </xf>
    <xf numFmtId="164" fontId="8" fillId="0" borderId="0" xfId="4" applyNumberFormat="1" applyFont="1" applyAlignment="1">
      <alignment vertical="center"/>
    </xf>
    <xf numFmtId="44" fontId="7" fillId="2" borderId="0" xfId="4" applyNumberFormat="1" applyFont="1" applyFill="1" applyAlignment="1">
      <alignment horizontal="center" vertical="center"/>
    </xf>
    <xf numFmtId="44" fontId="10" fillId="0" borderId="37" xfId="2" applyFont="1" applyFill="1" applyBorder="1" applyAlignment="1">
      <alignment horizontal="center" vertical="center"/>
    </xf>
    <xf numFmtId="1" fontId="8" fillId="0" borderId="37" xfId="2" applyNumberFormat="1" applyFont="1" applyFill="1" applyBorder="1" applyAlignment="1">
      <alignment horizontal="center" vertical="center"/>
    </xf>
    <xf numFmtId="44" fontId="8" fillId="0" borderId="37" xfId="2" applyFont="1" applyFill="1" applyBorder="1" applyAlignment="1">
      <alignment horizontal="center" vertical="center"/>
    </xf>
    <xf numFmtId="0" fontId="7" fillId="2" borderId="37" xfId="4" applyFont="1" applyFill="1" applyBorder="1" applyAlignment="1">
      <alignment horizontal="center" vertical="center"/>
    </xf>
    <xf numFmtId="0" fontId="7" fillId="5" borderId="37" xfId="4" applyFont="1" applyFill="1" applyBorder="1" applyAlignment="1">
      <alignment horizontal="left" vertical="center"/>
    </xf>
    <xf numFmtId="1" fontId="7" fillId="5" borderId="37" xfId="2" applyNumberFormat="1" applyFont="1" applyFill="1" applyBorder="1" applyAlignment="1">
      <alignment horizontal="center" vertical="center"/>
    </xf>
    <xf numFmtId="44" fontId="7" fillId="5" borderId="37" xfId="2" applyFont="1" applyFill="1" applyBorder="1" applyAlignment="1">
      <alignment horizontal="center" vertical="center"/>
    </xf>
    <xf numFmtId="173" fontId="8" fillId="0" borderId="11" xfId="9" applyNumberFormat="1" applyFont="1" applyFill="1" applyBorder="1" applyAlignment="1">
      <alignment horizontal="right" vertical="center" wrapText="1"/>
    </xf>
    <xf numFmtId="174" fontId="8" fillId="0" borderId="11" xfId="1" applyNumberFormat="1" applyFont="1" applyBorder="1" applyAlignment="1">
      <alignment vertical="center" wrapText="1"/>
    </xf>
    <xf numFmtId="175" fontId="8" fillId="0" borderId="11" xfId="2" applyNumberFormat="1" applyFont="1" applyFill="1" applyBorder="1" applyAlignment="1">
      <alignment vertical="center" wrapText="1"/>
    </xf>
    <xf numFmtId="0" fontId="40" fillId="5" borderId="1" xfId="10" applyFont="1" applyFill="1" applyBorder="1" applyAlignment="1">
      <alignment horizontal="center"/>
    </xf>
    <xf numFmtId="165" fontId="49" fillId="5" borderId="1" xfId="12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44" fontId="13" fillId="0" borderId="0" xfId="0" applyNumberFormat="1" applyFont="1" applyAlignment="1">
      <alignment vertical="center"/>
    </xf>
    <xf numFmtId="9" fontId="13" fillId="0" borderId="0" xfId="0" applyNumberFormat="1" applyFont="1" applyAlignment="1">
      <alignment horizontal="center" vertical="center"/>
    </xf>
    <xf numFmtId="9" fontId="13" fillId="0" borderId="0" xfId="3" applyFont="1" applyFill="1" applyAlignment="1">
      <alignment horizontal="center" vertical="center"/>
    </xf>
    <xf numFmtId="0" fontId="11" fillId="3" borderId="0" xfId="5" applyFont="1" applyFill="1" applyAlignment="1">
      <alignment horizontal="left" vertical="center"/>
    </xf>
    <xf numFmtId="0" fontId="12" fillId="3" borderId="0" xfId="4" applyFont="1" applyFill="1" applyAlignment="1">
      <alignment horizontal="left" vertical="center"/>
    </xf>
    <xf numFmtId="0" fontId="24" fillId="0" borderId="0" xfId="0" applyFont="1" applyAlignment="1">
      <alignment vertical="center"/>
    </xf>
    <xf numFmtId="44" fontId="37" fillId="0" borderId="0" xfId="2" applyFont="1" applyAlignment="1">
      <alignment vertical="center"/>
    </xf>
    <xf numFmtId="164" fontId="37" fillId="0" borderId="0" xfId="0" applyNumberFormat="1" applyFont="1" applyAlignment="1">
      <alignment vertical="center"/>
    </xf>
    <xf numFmtId="0" fontId="13" fillId="14" borderId="0" xfId="0" applyFont="1" applyFill="1" applyAlignment="1">
      <alignment vertical="center"/>
    </xf>
    <xf numFmtId="0" fontId="13" fillId="14" borderId="0" xfId="0" applyFont="1" applyFill="1" applyAlignment="1">
      <alignment horizontal="center" vertical="center"/>
    </xf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44" fontId="18" fillId="13" borderId="0" xfId="0" applyNumberFormat="1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8" fillId="0" borderId="39" xfId="0" applyFont="1" applyBorder="1" applyAlignment="1">
      <alignment vertical="center"/>
    </xf>
    <xf numFmtId="44" fontId="18" fillId="13" borderId="39" xfId="0" applyNumberFormat="1" applyFont="1" applyFill="1" applyBorder="1" applyAlignment="1">
      <alignment vertical="center"/>
    </xf>
    <xf numFmtId="0" fontId="18" fillId="5" borderId="39" xfId="0" applyFont="1" applyFill="1" applyBorder="1" applyAlignment="1">
      <alignment vertical="center"/>
    </xf>
    <xf numFmtId="44" fontId="18" fillId="5" borderId="39" xfId="0" applyNumberFormat="1" applyFont="1" applyFill="1" applyBorder="1" applyAlignment="1">
      <alignment vertical="center"/>
    </xf>
    <xf numFmtId="173" fontId="8" fillId="0" borderId="15" xfId="7" applyNumberFormat="1" applyFont="1" applyFill="1" applyBorder="1" applyAlignment="1">
      <alignment horizontal="center" vertical="center" wrapText="1"/>
    </xf>
    <xf numFmtId="173" fontId="8" fillId="0" borderId="12" xfId="7" applyNumberFormat="1" applyFont="1" applyFill="1" applyBorder="1" applyAlignment="1">
      <alignment horizontal="center" vertical="center" wrapText="1"/>
    </xf>
    <xf numFmtId="173" fontId="8" fillId="0" borderId="15" xfId="9" applyNumberFormat="1" applyFont="1" applyFill="1" applyBorder="1" applyAlignment="1">
      <alignment horizontal="center" vertical="center" wrapText="1"/>
    </xf>
    <xf numFmtId="174" fontId="8" fillId="0" borderId="40" xfId="1" applyNumberFormat="1" applyFont="1" applyBorder="1" applyAlignment="1">
      <alignment vertical="center" wrapText="1"/>
    </xf>
    <xf numFmtId="175" fontId="8" fillId="0" borderId="40" xfId="2" applyNumberFormat="1" applyFont="1" applyFill="1" applyBorder="1" applyAlignment="1">
      <alignment vertical="center" wrapText="1"/>
    </xf>
    <xf numFmtId="174" fontId="8" fillId="0" borderId="12" xfId="1" applyNumberFormat="1" applyFont="1" applyFill="1" applyBorder="1" applyAlignment="1">
      <alignment horizontal="center" vertical="center" wrapText="1"/>
    </xf>
    <xf numFmtId="174" fontId="8" fillId="0" borderId="15" xfId="1" applyNumberFormat="1" applyFont="1" applyFill="1" applyBorder="1" applyAlignment="1">
      <alignment horizontal="center" vertical="center" wrapText="1"/>
    </xf>
    <xf numFmtId="174" fontId="8" fillId="0" borderId="15" xfId="1" applyNumberFormat="1" applyFont="1" applyBorder="1" applyAlignment="1">
      <alignment horizontal="center" vertical="center" wrapText="1"/>
    </xf>
    <xf numFmtId="173" fontId="8" fillId="0" borderId="40" xfId="9" applyNumberFormat="1" applyFont="1" applyFill="1" applyBorder="1" applyAlignment="1">
      <alignment horizontal="right" vertical="center" wrapText="1"/>
    </xf>
    <xf numFmtId="0" fontId="8" fillId="0" borderId="39" xfId="4" applyFont="1" applyBorder="1"/>
    <xf numFmtId="9" fontId="8" fillId="0" borderId="39" xfId="4" applyNumberFormat="1" applyFont="1" applyBorder="1"/>
    <xf numFmtId="3" fontId="8" fillId="0" borderId="39" xfId="4" applyNumberFormat="1" applyFont="1" applyBorder="1"/>
    <xf numFmtId="44" fontId="8" fillId="0" borderId="39" xfId="2" applyFont="1" applyBorder="1"/>
    <xf numFmtId="3" fontId="7" fillId="2" borderId="0" xfId="4" applyNumberFormat="1" applyFont="1" applyFill="1" applyAlignment="1">
      <alignment horizontal="center" vertical="center"/>
    </xf>
    <xf numFmtId="0" fontId="28" fillId="9" borderId="0" xfId="5" applyFont="1" applyFill="1" applyAlignment="1">
      <alignment vertical="center" wrapText="1"/>
    </xf>
    <xf numFmtId="2" fontId="8" fillId="0" borderId="15" xfId="7" applyNumberFormat="1" applyFont="1" applyFill="1" applyBorder="1" applyAlignment="1">
      <alignment horizontal="right" vertical="center" wrapText="1"/>
    </xf>
    <xf numFmtId="2" fontId="8" fillId="0" borderId="15" xfId="9" applyNumberFormat="1" applyFont="1" applyFill="1" applyBorder="1" applyAlignment="1">
      <alignment horizontal="right" vertical="center" wrapText="1"/>
    </xf>
    <xf numFmtId="44" fontId="8" fillId="0" borderId="0" xfId="4" applyNumberFormat="1" applyFont="1" applyAlignment="1">
      <alignment horizontal="center" vertical="center"/>
    </xf>
    <xf numFmtId="0" fontId="7" fillId="2" borderId="0" xfId="4" applyFont="1" applyFill="1" applyAlignment="1">
      <alignment vertical="center"/>
    </xf>
    <xf numFmtId="44" fontId="7" fillId="2" borderId="0" xfId="4" applyNumberFormat="1" applyFont="1" applyFill="1" applyAlignment="1">
      <alignment vertical="center"/>
    </xf>
    <xf numFmtId="0" fontId="31" fillId="9" borderId="0" xfId="5" applyFont="1" applyFill="1" applyAlignment="1">
      <alignment horizontal="left" vertical="center"/>
    </xf>
    <xf numFmtId="165" fontId="8" fillId="0" borderId="0" xfId="4" applyNumberFormat="1" applyFont="1" applyAlignment="1">
      <alignment horizontal="center" vertical="center"/>
    </xf>
    <xf numFmtId="43" fontId="8" fillId="0" borderId="0" xfId="4" applyNumberFormat="1" applyFont="1" applyAlignment="1">
      <alignment horizontal="center" vertical="center"/>
    </xf>
    <xf numFmtId="0" fontId="38" fillId="0" borderId="0" xfId="20" applyFont="1" applyAlignment="1">
      <alignment horizontal="left" vertical="center"/>
    </xf>
    <xf numFmtId="0" fontId="7" fillId="2" borderId="4" xfId="4" applyFont="1" applyFill="1" applyBorder="1" applyAlignment="1">
      <alignment horizontal="center" vertical="center"/>
    </xf>
    <xf numFmtId="0" fontId="8" fillId="5" borderId="15" xfId="8" applyNumberFormat="1" applyFont="1" applyFill="1" applyBorder="1" applyAlignment="1">
      <alignment horizontal="center" vertical="center" wrapText="1"/>
    </xf>
    <xf numFmtId="164" fontId="8" fillId="5" borderId="15" xfId="8" applyNumberFormat="1" applyFont="1" applyFill="1" applyBorder="1" applyAlignment="1">
      <alignment horizontal="center" vertical="center" wrapText="1"/>
    </xf>
    <xf numFmtId="9" fontId="8" fillId="5" borderId="15" xfId="8" applyFont="1" applyFill="1" applyBorder="1" applyAlignment="1">
      <alignment horizontal="center" vertical="center" wrapText="1"/>
    </xf>
    <xf numFmtId="0" fontId="10" fillId="0" borderId="16" xfId="4" quotePrefix="1" applyFont="1" applyBorder="1" applyAlignment="1">
      <alignment horizontal="center" vertical="center" wrapText="1"/>
    </xf>
    <xf numFmtId="20" fontId="10" fillId="0" borderId="16" xfId="4" quotePrefix="1" applyNumberFormat="1" applyFont="1" applyBorder="1" applyAlignment="1">
      <alignment horizontal="center" vertical="center" wrapText="1"/>
    </xf>
    <xf numFmtId="173" fontId="8" fillId="0" borderId="11" xfId="7" applyNumberFormat="1" applyFont="1" applyFill="1" applyBorder="1" applyAlignment="1">
      <alignment horizontal="center" vertical="center" wrapText="1"/>
    </xf>
    <xf numFmtId="174" fontId="8" fillId="0" borderId="11" xfId="1" applyNumberFormat="1" applyFont="1" applyFill="1" applyBorder="1" applyAlignment="1">
      <alignment horizontal="center" vertical="center" wrapText="1"/>
    </xf>
    <xf numFmtId="44" fontId="7" fillId="2" borderId="4" xfId="2" applyFont="1" applyFill="1" applyBorder="1" applyAlignment="1">
      <alignment horizontal="center" vertical="center"/>
    </xf>
    <xf numFmtId="0" fontId="8" fillId="0" borderId="11" xfId="4" applyFont="1" applyBorder="1" applyAlignment="1">
      <alignment horizontal="center" vertical="center"/>
    </xf>
    <xf numFmtId="1" fontId="8" fillId="0" borderId="12" xfId="4" applyNumberFormat="1" applyFont="1" applyBorder="1" applyAlignment="1">
      <alignment horizontal="center" vertical="center"/>
    </xf>
    <xf numFmtId="1" fontId="8" fillId="0" borderId="15" xfId="4" applyNumberFormat="1" applyFont="1" applyBorder="1" applyAlignment="1">
      <alignment horizontal="center" vertical="center"/>
    </xf>
    <xf numFmtId="1" fontId="8" fillId="0" borderId="11" xfId="4" applyNumberFormat="1" applyFont="1" applyBorder="1" applyAlignment="1">
      <alignment horizontal="center" vertical="center"/>
    </xf>
    <xf numFmtId="9" fontId="8" fillId="0" borderId="12" xfId="4" applyNumberFormat="1" applyFont="1" applyBorder="1" applyAlignment="1">
      <alignment horizontal="center" vertical="center"/>
    </xf>
    <xf numFmtId="9" fontId="8" fillId="0" borderId="15" xfId="4" applyNumberFormat="1" applyFont="1" applyBorder="1" applyAlignment="1">
      <alignment horizontal="center" vertical="center"/>
    </xf>
    <xf numFmtId="9" fontId="8" fillId="0" borderId="11" xfId="4" applyNumberFormat="1" applyFont="1" applyBorder="1" applyAlignment="1">
      <alignment horizontal="center" vertical="center"/>
    </xf>
    <xf numFmtId="0" fontId="10" fillId="15" borderId="2" xfId="5" applyFont="1" applyFill="1" applyBorder="1" applyAlignment="1">
      <alignment horizontal="centerContinuous" vertical="center"/>
    </xf>
    <xf numFmtId="3" fontId="10" fillId="15" borderId="2" xfId="5" applyNumberFormat="1" applyFont="1" applyFill="1" applyBorder="1" applyAlignment="1">
      <alignment horizontal="centerContinuous" vertical="center"/>
    </xf>
    <xf numFmtId="3" fontId="7" fillId="0" borderId="0" xfId="5" applyNumberFormat="1" applyFont="1" applyAlignment="1">
      <alignment horizontal="center" vertical="center" wrapText="1"/>
    </xf>
    <xf numFmtId="0" fontId="16" fillId="6" borderId="41" xfId="4" applyFont="1" applyFill="1" applyBorder="1" applyAlignment="1">
      <alignment horizontal="center" vertical="center" wrapText="1"/>
    </xf>
    <xf numFmtId="3" fontId="8" fillId="0" borderId="13" xfId="1" applyNumberFormat="1" applyFont="1" applyBorder="1" applyAlignment="1">
      <alignment horizontal="center" vertical="center" wrapText="1"/>
    </xf>
    <xf numFmtId="0" fontId="52" fillId="0" borderId="0" xfId="5" applyFont="1" applyAlignment="1">
      <alignment vertical="center"/>
    </xf>
    <xf numFmtId="0" fontId="16" fillId="6" borderId="41" xfId="5" applyFont="1" applyFill="1" applyBorder="1" applyAlignment="1">
      <alignment horizontal="center" vertical="center" wrapText="1"/>
    </xf>
    <xf numFmtId="3" fontId="8" fillId="0" borderId="16" xfId="1" applyNumberFormat="1" applyFont="1" applyBorder="1" applyAlignment="1">
      <alignment horizontal="center" vertical="center" wrapText="1"/>
    </xf>
    <xf numFmtId="0" fontId="7" fillId="2" borderId="32" xfId="5" applyFont="1" applyFill="1" applyBorder="1" applyAlignment="1">
      <alignment horizontal="center" vertical="center"/>
    </xf>
    <xf numFmtId="3" fontId="7" fillId="2" borderId="26" xfId="1" applyNumberFormat="1" applyFont="1" applyFill="1" applyBorder="1" applyAlignment="1">
      <alignment horizontal="center" vertical="center" wrapText="1"/>
    </xf>
    <xf numFmtId="44" fontId="18" fillId="5" borderId="0" xfId="2" applyFont="1" applyFill="1" applyAlignment="1">
      <alignment vertical="center"/>
    </xf>
    <xf numFmtId="3" fontId="8" fillId="0" borderId="15" xfId="1" applyNumberFormat="1" applyFont="1" applyBorder="1" applyAlignment="1">
      <alignment horizontal="center" vertical="center" wrapText="1"/>
    </xf>
    <xf numFmtId="3" fontId="8" fillId="0" borderId="12" xfId="1" applyNumberFormat="1" applyFont="1" applyBorder="1" applyAlignment="1">
      <alignment horizontal="center" vertical="center" wrapText="1"/>
    </xf>
    <xf numFmtId="3" fontId="13" fillId="2" borderId="18" xfId="1" applyNumberFormat="1" applyFont="1" applyFill="1" applyBorder="1" applyAlignment="1">
      <alignment horizontal="center" vertical="center" wrapText="1"/>
    </xf>
    <xf numFmtId="44" fontId="13" fillId="2" borderId="18" xfId="2" applyFont="1" applyFill="1" applyBorder="1" applyAlignment="1">
      <alignment horizontal="center" vertical="center" wrapText="1"/>
    </xf>
    <xf numFmtId="44" fontId="7" fillId="2" borderId="26" xfId="2" applyFont="1" applyFill="1" applyBorder="1" applyAlignment="1">
      <alignment horizontal="center" vertical="center" wrapText="1"/>
    </xf>
    <xf numFmtId="3" fontId="52" fillId="0" borderId="0" xfId="5" applyNumberFormat="1" applyFont="1" applyAlignment="1">
      <alignment vertical="center"/>
    </xf>
    <xf numFmtId="43" fontId="8" fillId="0" borderId="0" xfId="5" applyNumberFormat="1" applyFont="1" applyAlignment="1">
      <alignment vertical="center"/>
    </xf>
    <xf numFmtId="3" fontId="52" fillId="0" borderId="0" xfId="5" applyNumberFormat="1" applyFont="1" applyAlignment="1">
      <alignment horizontal="center" vertical="center"/>
    </xf>
    <xf numFmtId="165" fontId="8" fillId="0" borderId="0" xfId="5" applyNumberFormat="1" applyFont="1" applyAlignment="1">
      <alignment vertical="center"/>
    </xf>
    <xf numFmtId="0" fontId="12" fillId="3" borderId="0" xfId="5" applyFont="1" applyFill="1" applyAlignment="1">
      <alignment horizontal="left" vertical="center"/>
    </xf>
    <xf numFmtId="0" fontId="8" fillId="0" borderId="30" xfId="5" applyFont="1" applyBorder="1" applyAlignment="1">
      <alignment horizontal="left" vertical="center"/>
    </xf>
    <xf numFmtId="0" fontId="8" fillId="0" borderId="15" xfId="5" applyFont="1" applyBorder="1" applyAlignment="1">
      <alignment horizontal="left" vertical="center"/>
    </xf>
    <xf numFmtId="9" fontId="52" fillId="0" borderId="0" xfId="5" applyNumberFormat="1" applyFont="1" applyAlignment="1">
      <alignment vertical="center"/>
    </xf>
    <xf numFmtId="164" fontId="52" fillId="0" borderId="0" xfId="5" applyNumberFormat="1" applyFont="1" applyAlignment="1">
      <alignment vertical="center"/>
    </xf>
    <xf numFmtId="44" fontId="52" fillId="0" borderId="0" xfId="5" applyNumberFormat="1" applyFont="1" applyAlignment="1">
      <alignment vertical="center"/>
    </xf>
    <xf numFmtId="44" fontId="42" fillId="12" borderId="1" xfId="2" applyFont="1" applyFill="1" applyBorder="1" applyAlignment="1">
      <alignment horizontal="center"/>
    </xf>
    <xf numFmtId="0" fontId="18" fillId="0" borderId="0" xfId="23" applyFont="1"/>
    <xf numFmtId="0" fontId="53" fillId="2" borderId="1" xfId="23" applyFont="1" applyFill="1" applyBorder="1" applyAlignment="1">
      <alignment horizontal="center"/>
    </xf>
    <xf numFmtId="0" fontId="53" fillId="2" borderId="15" xfId="23" applyFont="1" applyFill="1" applyBorder="1" applyAlignment="1">
      <alignment horizontal="center"/>
    </xf>
    <xf numFmtId="0" fontId="18" fillId="0" borderId="1" xfId="23" applyFont="1" applyBorder="1"/>
    <xf numFmtId="0" fontId="18" fillId="0" borderId="1" xfId="23" applyFont="1" applyBorder="1" applyAlignment="1">
      <alignment horizontal="center"/>
    </xf>
    <xf numFmtId="165" fontId="52" fillId="0" borderId="0" xfId="5" applyNumberFormat="1" applyFont="1" applyAlignment="1">
      <alignment vertical="center"/>
    </xf>
    <xf numFmtId="1" fontId="34" fillId="9" borderId="0" xfId="1" applyNumberFormat="1" applyFont="1" applyFill="1" applyAlignment="1">
      <alignment horizontal="center" vertical="center"/>
    </xf>
    <xf numFmtId="9" fontId="8" fillId="0" borderId="0" xfId="4" applyNumberFormat="1" applyFont="1" applyAlignment="1">
      <alignment horizontal="center" vertical="center"/>
    </xf>
    <xf numFmtId="0" fontId="10" fillId="16" borderId="0" xfId="4" applyFont="1" applyFill="1" applyAlignment="1">
      <alignment horizontal="left" vertical="center" wrapText="1"/>
    </xf>
    <xf numFmtId="0" fontId="6" fillId="0" borderId="0" xfId="4" applyFont="1" applyAlignment="1">
      <alignment vertical="center"/>
    </xf>
    <xf numFmtId="164" fontId="10" fillId="0" borderId="0" xfId="4" applyNumberFormat="1" applyFont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46" fillId="0" borderId="0" xfId="4" applyFont="1" applyAlignment="1">
      <alignment vertical="center"/>
    </xf>
    <xf numFmtId="175" fontId="5" fillId="0" borderId="0" xfId="2" applyNumberFormat="1" applyFont="1" applyAlignment="1">
      <alignment vertical="center"/>
    </xf>
    <xf numFmtId="0" fontId="8" fillId="0" borderId="0" xfId="4" applyFont="1" applyAlignment="1">
      <alignment horizontal="right" vertical="center"/>
    </xf>
    <xf numFmtId="0" fontId="13" fillId="0" borderId="0" xfId="4" applyFont="1" applyAlignment="1">
      <alignment horizontal="center" vertical="center"/>
    </xf>
    <xf numFmtId="44" fontId="13" fillId="0" borderId="0" xfId="4" applyNumberFormat="1" applyFont="1" applyAlignment="1">
      <alignment horizontal="center" vertical="center"/>
    </xf>
    <xf numFmtId="9" fontId="8" fillId="0" borderId="0" xfId="4" applyNumberFormat="1" applyFont="1" applyAlignment="1">
      <alignment vertical="center"/>
    </xf>
    <xf numFmtId="43" fontId="8" fillId="0" borderId="0" xfId="4" applyNumberFormat="1" applyFont="1" applyAlignment="1">
      <alignment vertical="center"/>
    </xf>
    <xf numFmtId="44" fontId="10" fillId="0" borderId="0" xfId="2" applyFont="1" applyAlignment="1">
      <alignment vertical="center"/>
    </xf>
    <xf numFmtId="9" fontId="5" fillId="0" borderId="0" xfId="4" applyNumberFormat="1" applyAlignment="1">
      <alignment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44" fontId="56" fillId="0" borderId="0" xfId="2" applyFont="1" applyAlignment="1">
      <alignment vertical="center"/>
    </xf>
    <xf numFmtId="0" fontId="57" fillId="0" borderId="0" xfId="4" applyFont="1" applyAlignment="1">
      <alignment vertical="center"/>
    </xf>
    <xf numFmtId="0" fontId="58" fillId="0" borderId="0" xfId="4" applyFont="1" applyAlignment="1">
      <alignment vertical="center"/>
    </xf>
    <xf numFmtId="0" fontId="59" fillId="0" borderId="0" xfId="4" applyFont="1" applyAlignment="1">
      <alignment vertical="center"/>
    </xf>
    <xf numFmtId="44" fontId="18" fillId="13" borderId="0" xfId="2" applyFont="1" applyFill="1" applyAlignment="1">
      <alignment vertical="center"/>
    </xf>
    <xf numFmtId="0" fontId="34" fillId="0" borderId="0" xfId="5" applyFont="1" applyAlignment="1">
      <alignment horizontal="left" vertical="center" wrapText="1"/>
    </xf>
    <xf numFmtId="0" fontId="28" fillId="10" borderId="0" xfId="5" applyFont="1" applyFill="1" applyAlignment="1">
      <alignment horizontal="center" vertical="center"/>
    </xf>
    <xf numFmtId="0" fontId="29" fillId="9" borderId="0" xfId="5" applyFont="1" applyFill="1" applyAlignment="1">
      <alignment horizontal="left" vertical="center"/>
    </xf>
    <xf numFmtId="0" fontId="30" fillId="10" borderId="0" xfId="5" applyFont="1" applyFill="1" applyAlignment="1">
      <alignment horizontal="center" vertical="center"/>
    </xf>
    <xf numFmtId="0" fontId="31" fillId="9" borderId="0" xfId="5" applyFont="1" applyFill="1" applyAlignment="1">
      <alignment horizontal="left" vertical="center" wrapText="1"/>
    </xf>
    <xf numFmtId="0" fontId="34" fillId="9" borderId="0" xfId="5" applyFont="1" applyFill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17" fontId="7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7" fillId="2" borderId="5" xfId="4" applyFont="1" applyFill="1" applyBorder="1" applyAlignment="1">
      <alignment horizontal="center" vertical="center"/>
    </xf>
    <xf numFmtId="0" fontId="7" fillId="2" borderId="6" xfId="4" applyFont="1" applyFill="1" applyBorder="1" applyAlignment="1">
      <alignment horizontal="center" vertical="center"/>
    </xf>
    <xf numFmtId="0" fontId="7" fillId="2" borderId="7" xfId="4" applyFont="1" applyFill="1" applyBorder="1" applyAlignment="1">
      <alignment horizontal="center" vertical="center"/>
    </xf>
    <xf numFmtId="0" fontId="7" fillId="2" borderId="34" xfId="4" applyFont="1" applyFill="1" applyBorder="1" applyAlignment="1">
      <alignment horizontal="center" vertical="center"/>
    </xf>
    <xf numFmtId="0" fontId="7" fillId="2" borderId="0" xfId="4" applyFont="1" applyFill="1" applyAlignment="1">
      <alignment horizontal="center" vertical="center"/>
    </xf>
    <xf numFmtId="0" fontId="7" fillId="2" borderId="35" xfId="4" applyFont="1" applyFill="1" applyBorder="1" applyAlignment="1">
      <alignment horizontal="center" vertical="center"/>
    </xf>
    <xf numFmtId="0" fontId="7" fillId="2" borderId="36" xfId="4" applyFont="1" applyFill="1" applyBorder="1" applyAlignment="1">
      <alignment horizontal="center" vertical="center"/>
    </xf>
    <xf numFmtId="0" fontId="7" fillId="2" borderId="3" xfId="4" applyFont="1" applyFill="1" applyBorder="1" applyAlignment="1">
      <alignment horizontal="center" vertical="center"/>
    </xf>
    <xf numFmtId="43" fontId="7" fillId="2" borderId="3" xfId="6" applyFont="1" applyFill="1" applyBorder="1" applyAlignment="1">
      <alignment horizontal="center" vertical="center" wrapText="1"/>
    </xf>
    <xf numFmtId="43" fontId="7" fillId="2" borderId="4" xfId="6" applyFont="1" applyFill="1" applyBorder="1" applyAlignment="1">
      <alignment horizontal="center" vertical="center" wrapText="1"/>
    </xf>
    <xf numFmtId="43" fontId="7" fillId="2" borderId="8" xfId="6" applyFont="1" applyFill="1" applyBorder="1" applyAlignment="1">
      <alignment horizontal="center" vertical="center" wrapText="1"/>
    </xf>
    <xf numFmtId="43" fontId="7" fillId="2" borderId="9" xfId="6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4" applyFont="1" applyFill="1" applyBorder="1" applyAlignment="1">
      <alignment horizontal="center" vertical="center" wrapText="1"/>
    </xf>
    <xf numFmtId="0" fontId="7" fillId="2" borderId="4" xfId="4" applyFont="1" applyFill="1" applyBorder="1" applyAlignment="1">
      <alignment horizontal="center" vertical="center"/>
    </xf>
    <xf numFmtId="0" fontId="7" fillId="2" borderId="8" xfId="4" applyFont="1" applyFill="1" applyBorder="1" applyAlignment="1">
      <alignment horizontal="center" vertical="center"/>
    </xf>
    <xf numFmtId="0" fontId="7" fillId="2" borderId="9" xfId="4" applyFont="1" applyFill="1" applyBorder="1" applyAlignment="1">
      <alignment horizontal="center" vertical="center"/>
    </xf>
    <xf numFmtId="0" fontId="7" fillId="2" borderId="4" xfId="4" applyFont="1" applyFill="1" applyBorder="1" applyAlignment="1">
      <alignment horizontal="center" vertical="center" wrapText="1"/>
    </xf>
    <xf numFmtId="0" fontId="7" fillId="2" borderId="8" xfId="4" applyFont="1" applyFill="1" applyBorder="1" applyAlignment="1">
      <alignment horizontal="center" vertical="center" wrapText="1"/>
    </xf>
    <xf numFmtId="0" fontId="7" fillId="2" borderId="9" xfId="4" applyFont="1" applyFill="1" applyBorder="1" applyAlignment="1">
      <alignment horizontal="center" vertical="center" wrapText="1"/>
    </xf>
    <xf numFmtId="0" fontId="7" fillId="2" borderId="5" xfId="5" applyFont="1" applyFill="1" applyBorder="1" applyAlignment="1">
      <alignment horizontal="center" vertical="center"/>
    </xf>
    <xf numFmtId="0" fontId="7" fillId="2" borderId="6" xfId="5" applyFont="1" applyFill="1" applyBorder="1" applyAlignment="1">
      <alignment horizontal="center" vertical="center"/>
    </xf>
    <xf numFmtId="0" fontId="7" fillId="2" borderId="7" xfId="5" applyFont="1" applyFill="1" applyBorder="1" applyAlignment="1">
      <alignment horizontal="center" vertical="center"/>
    </xf>
    <xf numFmtId="0" fontId="7" fillId="2" borderId="3" xfId="5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5" applyFont="1" applyFill="1" applyBorder="1" applyAlignment="1">
      <alignment horizontal="center" vertical="center" wrapText="1"/>
    </xf>
    <xf numFmtId="169" fontId="7" fillId="2" borderId="19" xfId="1" applyNumberFormat="1" applyFont="1" applyFill="1" applyBorder="1" applyAlignment="1">
      <alignment horizontal="center" vertical="center" wrapText="1"/>
    </xf>
    <xf numFmtId="169" fontId="7" fillId="2" borderId="20" xfId="1" applyNumberFormat="1" applyFont="1" applyFill="1" applyBorder="1" applyAlignment="1">
      <alignment horizontal="center" vertical="center" wrapText="1"/>
    </xf>
    <xf numFmtId="169" fontId="7" fillId="2" borderId="21" xfId="1" applyNumberFormat="1" applyFont="1" applyFill="1" applyBorder="1" applyAlignment="1">
      <alignment horizontal="center" vertical="center" wrapText="1"/>
    </xf>
    <xf numFmtId="170" fontId="7" fillId="2" borderId="19" xfId="5" applyNumberFormat="1" applyFont="1" applyFill="1" applyBorder="1" applyAlignment="1">
      <alignment horizontal="center" vertical="center" wrapText="1"/>
    </xf>
    <xf numFmtId="170" fontId="7" fillId="2" borderId="20" xfId="5" applyNumberFormat="1" applyFont="1" applyFill="1" applyBorder="1" applyAlignment="1">
      <alignment horizontal="center" vertical="center" wrapText="1"/>
    </xf>
    <xf numFmtId="170" fontId="7" fillId="2" borderId="21" xfId="5" applyNumberFormat="1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left" vertical="center" wrapText="1"/>
    </xf>
    <xf numFmtId="169" fontId="7" fillId="2" borderId="3" xfId="1" applyNumberFormat="1" applyFont="1" applyFill="1" applyBorder="1" applyAlignment="1">
      <alignment horizontal="center" vertical="center" wrapText="1"/>
    </xf>
    <xf numFmtId="170" fontId="7" fillId="2" borderId="3" xfId="5" applyNumberFormat="1" applyFont="1" applyFill="1" applyBorder="1" applyAlignment="1">
      <alignment horizontal="center" vertical="center" wrapText="1"/>
    </xf>
    <xf numFmtId="0" fontId="7" fillId="2" borderId="4" xfId="5" applyFont="1" applyFill="1" applyBorder="1" applyAlignment="1">
      <alignment horizontal="center" vertical="center" wrapText="1"/>
    </xf>
    <xf numFmtId="0" fontId="7" fillId="2" borderId="4" xfId="5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69" fontId="7" fillId="2" borderId="4" xfId="1" applyNumberFormat="1" applyFont="1" applyFill="1" applyBorder="1" applyAlignment="1">
      <alignment horizontal="center" vertical="center" wrapText="1"/>
    </xf>
    <xf numFmtId="170" fontId="7" fillId="2" borderId="4" xfId="5" applyNumberFormat="1" applyFont="1" applyFill="1" applyBorder="1" applyAlignment="1">
      <alignment horizontal="center" vertical="center" wrapText="1"/>
    </xf>
    <xf numFmtId="0" fontId="40" fillId="2" borderId="1" xfId="20" applyFont="1" applyFill="1" applyBorder="1" applyAlignment="1">
      <alignment horizontal="right" vertical="center"/>
    </xf>
    <xf numFmtId="3" fontId="7" fillId="2" borderId="3" xfId="5" applyNumberFormat="1" applyFont="1" applyFill="1" applyBorder="1" applyAlignment="1">
      <alignment horizontal="center" vertical="center" wrapText="1"/>
    </xf>
    <xf numFmtId="0" fontId="53" fillId="2" borderId="24" xfId="23" applyFont="1" applyFill="1" applyBorder="1" applyAlignment="1">
      <alignment horizontal="center" vertical="center"/>
    </xf>
    <xf numFmtId="0" fontId="53" fillId="2" borderId="27" xfId="23" applyFont="1" applyFill="1" applyBorder="1" applyAlignment="1">
      <alignment horizontal="center" vertical="center"/>
    </xf>
    <xf numFmtId="0" fontId="53" fillId="2" borderId="16" xfId="23" applyFont="1" applyFill="1" applyBorder="1" applyAlignment="1">
      <alignment horizontal="center"/>
    </xf>
    <xf numFmtId="0" fontId="53" fillId="2" borderId="0" xfId="23" applyFont="1" applyFill="1" applyAlignment="1">
      <alignment horizontal="center"/>
    </xf>
  </cellXfs>
  <cellStyles count="24">
    <cellStyle name="=C:\WINNT\SYSTEM32\COMMAND.COM 2" xfId="19" xr:uid="{62C20835-F8D2-4C0D-B710-353D7AEB33B5}"/>
    <cellStyle name="Moeda" xfId="2" builtinId="4"/>
    <cellStyle name="Moeda 13" xfId="15" xr:uid="{AF1E0E40-909B-4888-AC3A-EDD4097FD92A}"/>
    <cellStyle name="Moeda 2" xfId="17" xr:uid="{2EFB0274-4A48-48AA-A5B3-8AFC77968D26}"/>
    <cellStyle name="Moeda 3" xfId="7" xr:uid="{4F2E1348-F317-4DF1-A29D-9C9560EE7356}"/>
    <cellStyle name="Moeda 7" xfId="12" xr:uid="{ED7FE915-A827-4141-AFEC-CCDC6A509ED8}"/>
    <cellStyle name="Moeda 7 2" xfId="22" xr:uid="{ECFAE3E3-3EB4-4013-8E3F-3CA63E3FC050}"/>
    <cellStyle name="Moeda 7 3" xfId="11" xr:uid="{85F32364-577F-44B1-82CF-7351FDB7723E}"/>
    <cellStyle name="Moeda 7 3 2" xfId="21" xr:uid="{71183A44-DCC8-4A4D-A70C-086DB9982925}"/>
    <cellStyle name="Normal" xfId="0" builtinId="0"/>
    <cellStyle name="Normal 10 2 2 2" xfId="5" xr:uid="{5DAB806B-A545-4A3D-8A8C-3558C715CFF4}"/>
    <cellStyle name="Normal 2" xfId="4" xr:uid="{DD22E96C-5388-471A-A47D-1D0AA10C25F3}"/>
    <cellStyle name="Normal 2 2 2 2 3" xfId="14" xr:uid="{A3662FE9-D964-4290-A2FA-CAF377B29B70}"/>
    <cellStyle name="Normal 3" xfId="16" xr:uid="{415CE65C-D0DC-4B93-A9D3-5B6E90A782C7}"/>
    <cellStyle name="Normal 4" xfId="23" xr:uid="{EE4A39BF-BDFC-4A6F-A667-51ACA796B5CA}"/>
    <cellStyle name="Normal 5 4" xfId="13" xr:uid="{8173A727-1BAE-4CDA-9DAE-BA4393A03B88}"/>
    <cellStyle name="Normal 69" xfId="10" xr:uid="{F82067D5-5486-4A7D-A3B5-146AAA0D71A8}"/>
    <cellStyle name="Normal 69 2" xfId="20" xr:uid="{9F4F817F-B927-4D16-8AB0-D4E73D2F4A5A}"/>
    <cellStyle name="Porcentagem" xfId="3" builtinId="5"/>
    <cellStyle name="Porcentagem 2 2 4" xfId="18" xr:uid="{D855637D-A1A3-4C8D-8E80-0C5291C1601C}"/>
    <cellStyle name="Porcentagem 3 2" xfId="8" xr:uid="{49DAB729-EC94-463B-8EAE-B9233620F5FD}"/>
    <cellStyle name="Vírgula" xfId="1" builtinId="3"/>
    <cellStyle name="Vírgula 2" xfId="9" xr:uid="{2A7DAA06-3C72-4C8E-A46B-9EDC1BDEBCCB}"/>
    <cellStyle name="Vírgula 3" xfId="6" xr:uid="{1E18DA6B-2ECD-41E5-B083-7A6DFC776428}"/>
  </cellStyles>
  <dxfs count="133"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1"/>
      </font>
      <fill>
        <patternFill>
          <bgColor theme="3" tint="0.749961851863155"/>
        </patternFill>
      </fill>
    </dxf>
    <dxf>
      <font>
        <color theme="1"/>
      </font>
      <fill>
        <patternFill>
          <bgColor theme="3" tint="0.749961851863155"/>
        </patternFill>
      </fill>
    </dxf>
    <dxf>
      <font>
        <color theme="1"/>
      </font>
      <fill>
        <patternFill>
          <bgColor theme="3" tint="0.749961851863155"/>
        </patternFill>
      </fill>
    </dxf>
    <dxf>
      <font>
        <color theme="1"/>
      </font>
      <fill>
        <patternFill>
          <bgColor theme="3" tint="0.749961851863155"/>
        </patternFill>
      </fill>
    </dxf>
    <dxf>
      <font>
        <color theme="1"/>
      </font>
      <fill>
        <patternFill>
          <bgColor theme="3" tint="0.749961851863155"/>
        </patternFill>
      </fill>
    </dxf>
    <dxf>
      <font>
        <color theme="1"/>
      </font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142875</xdr:rowOff>
    </xdr:from>
    <xdr:ext cx="3047546" cy="1103539"/>
    <xdr:pic>
      <xdr:nvPicPr>
        <xdr:cNvPr id="2" name="Imagem 2">
          <a:extLst>
            <a:ext uri="{FF2B5EF4-FFF2-40B4-BE49-F238E27FC236}">
              <a16:creationId xmlns:a16="http://schemas.microsoft.com/office/drawing/2014/main" id="{90754E43-52E3-4DE5-A561-CD0C09C1D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38100" y="142875"/>
          <a:ext cx="3047546" cy="11035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177799</xdr:colOff>
      <xdr:row>1</xdr:row>
      <xdr:rowOff>0</xdr:rowOff>
    </xdr:from>
    <xdr:to>
      <xdr:col>1</xdr:col>
      <xdr:colOff>1481818</xdr:colOff>
      <xdr:row>4</xdr:row>
      <xdr:rowOff>127000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7ABA5A-91A9-4E3C-91A9-46A97D5B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177799" y="165100"/>
          <a:ext cx="1558019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177799</xdr:colOff>
      <xdr:row>1</xdr:row>
      <xdr:rowOff>0</xdr:rowOff>
    </xdr:from>
    <xdr:to>
      <xdr:col>1</xdr:col>
      <xdr:colOff>1481818</xdr:colOff>
      <xdr:row>4</xdr:row>
      <xdr:rowOff>127000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79B34C-ABD9-4055-A42A-5EF4102E4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177799" y="165100"/>
          <a:ext cx="1558019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219449</xdr:colOff>
      <xdr:row>1</xdr:row>
      <xdr:rowOff>83920</xdr:rowOff>
    </xdr:from>
    <xdr:to>
      <xdr:col>1</xdr:col>
      <xdr:colOff>1465228</xdr:colOff>
      <xdr:row>4</xdr:row>
      <xdr:rowOff>149412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ACA8CB-8ACE-459F-ACB3-64CD9FDE9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19449" y="245783"/>
          <a:ext cx="1560353" cy="65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229</xdr:row>
      <xdr:rowOff>1</xdr:rowOff>
    </xdr:from>
    <xdr:to>
      <xdr:col>3</xdr:col>
      <xdr:colOff>2030246</xdr:colOff>
      <xdr:row>243</xdr:row>
      <xdr:rowOff>136355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1914FFF-C336-3527-5200-57C3ADC6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295" y="18855766"/>
          <a:ext cx="4594412" cy="2381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2</xdr:col>
      <xdr:colOff>70565</xdr:colOff>
      <xdr:row>4</xdr:row>
      <xdr:rowOff>78287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58E52E-479E-415C-9827-F52742C80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676550" cy="682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2</xdr:col>
      <xdr:colOff>70565</xdr:colOff>
      <xdr:row>4</xdr:row>
      <xdr:rowOff>78287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CDE22B-F35F-4434-8A30-AB1FA28EC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673940" cy="694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2</xdr:col>
      <xdr:colOff>70565</xdr:colOff>
      <xdr:row>4</xdr:row>
      <xdr:rowOff>78287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E6DB92-590B-42C5-A66E-405462D40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673940" cy="694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2</xdr:col>
      <xdr:colOff>70565</xdr:colOff>
      <xdr:row>4</xdr:row>
      <xdr:rowOff>78287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0C748F-9EF9-438D-957E-EAC3C0C4D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673940" cy="694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2</xdr:col>
      <xdr:colOff>70565</xdr:colOff>
      <xdr:row>4</xdr:row>
      <xdr:rowOff>78287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B6F528-9AFE-42C5-AA8F-1FABA8143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673940" cy="694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2" name="Imagem 1">
          <a:extLst>
            <a:ext uri="{FF2B5EF4-FFF2-40B4-BE49-F238E27FC236}">
              <a16:creationId xmlns:a16="http://schemas.microsoft.com/office/drawing/2014/main" id="{937A710E-78DD-4DCE-ADA1-BDC875F2F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3" name="Imagem 2">
          <a:extLst>
            <a:ext uri="{FF2B5EF4-FFF2-40B4-BE49-F238E27FC236}">
              <a16:creationId xmlns:a16="http://schemas.microsoft.com/office/drawing/2014/main" id="{205A8D3D-5234-4DCF-8BD1-C2DE3F63C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208643</xdr:colOff>
      <xdr:row>0</xdr:row>
      <xdr:rowOff>18144</xdr:rowOff>
    </xdr:from>
    <xdr:ext cx="1412475" cy="525362"/>
    <xdr:pic>
      <xdr:nvPicPr>
        <xdr:cNvPr id="2" name="Imagem 1">
          <a:extLst>
            <a:ext uri="{FF2B5EF4-FFF2-40B4-BE49-F238E27FC236}">
              <a16:creationId xmlns:a16="http://schemas.microsoft.com/office/drawing/2014/main" id="{1D66F4F9-E989-411E-A2DD-B5DDEBD3E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08643" y="18144"/>
          <a:ext cx="1412475" cy="525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2" name="Imagem 1">
          <a:extLst>
            <a:ext uri="{FF2B5EF4-FFF2-40B4-BE49-F238E27FC236}">
              <a16:creationId xmlns:a16="http://schemas.microsoft.com/office/drawing/2014/main" id="{72F4F1D3-1B11-44BC-AA56-9F388B1E5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3" name="Imagem 2">
          <a:extLst>
            <a:ext uri="{FF2B5EF4-FFF2-40B4-BE49-F238E27FC236}">
              <a16:creationId xmlns:a16="http://schemas.microsoft.com/office/drawing/2014/main" id="{77B13754-1B02-44D0-B50C-463DA0DD2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4" name="Imagem 3">
          <a:extLst>
            <a:ext uri="{FF2B5EF4-FFF2-40B4-BE49-F238E27FC236}">
              <a16:creationId xmlns:a16="http://schemas.microsoft.com/office/drawing/2014/main" id="{80FB3DC2-DABA-40C3-A858-F1FE73FD4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5" name="Imagem 4">
          <a:extLst>
            <a:ext uri="{FF2B5EF4-FFF2-40B4-BE49-F238E27FC236}">
              <a16:creationId xmlns:a16="http://schemas.microsoft.com/office/drawing/2014/main" id="{991BB6D1-0668-4C14-87DA-68500034D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253093</xdr:colOff>
      <xdr:row>0</xdr:row>
      <xdr:rowOff>195944</xdr:rowOff>
    </xdr:from>
    <xdr:ext cx="1412475" cy="525362"/>
    <xdr:pic>
      <xdr:nvPicPr>
        <xdr:cNvPr id="2" name="Imagem 1">
          <a:extLst>
            <a:ext uri="{FF2B5EF4-FFF2-40B4-BE49-F238E27FC236}">
              <a16:creationId xmlns:a16="http://schemas.microsoft.com/office/drawing/2014/main" id="{407E5B5E-470E-41A6-9992-20D32CAE0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53093" y="195944"/>
          <a:ext cx="1412475" cy="525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jank\My%20Documents\userdata\Legislation%20&amp;%20EHS\RG%20depots%20jaa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ACSNA1/PROJETOS/MESA/Caixa/offshore/Curve%20Comparis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Ntfmoh0/departments/IAS%20&amp;%20GAAP%20%20Reports/IAS%20&amp;%20GAAP%20YEAR%202002/2002%20Q3%20Consolidation%20Model/A%20Consolidation%20&amp;%20Reporting/GAAP%20&amp;%20IAS%20Group%20TB%20&amp;%20Reports%20Q3%20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ELZA\BAND%20Projeto%20Especial%20Sabesp_22.08_vs%20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btfs\inte_mkt\Tabela%20de%20Pre&#231;os\03%20-%20TABELAS%20SBT%20POR%20ANO\2011\TABELAS_2011\TABELAS_NET\07%20-%20JULHO_2011\TABELA%20SBT_%20A%20PARTIR%20DE%2004_JULH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G Depots"/>
      <sheetName val="Launch and Maintenanc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ARdistr (2)"/>
      <sheetName val="Assumptions"/>
      <sheetName val="Validate List"/>
      <sheetName val="Agrega Spend Taxonomy"/>
      <sheetName val="HUB Structure"/>
      <sheetName val="Titles"/>
      <sheetName val="Backbone"/>
      <sheetName val="Validation"/>
      <sheetName val="lists"/>
      <sheetName val="Sheet3"/>
      <sheetName val="Hoja1"/>
      <sheetName val="Distribución D"/>
      <sheetName val="BASE"/>
      <sheetName val="source"/>
      <sheetName val="Status"/>
      <sheetName val="RG depots jaar"/>
      <sheetName val="Файл_список_ТМ_программ_сроков"/>
      <sheetName val="Back-up"/>
      <sheetName val="Tabelle1"/>
      <sheetName val="Datos por SKU-categoria 2011 Ac"/>
      <sheetName val="Datos"/>
      <sheetName val="Lista total"/>
      <sheetName val="Tablas"/>
      <sheetName val="Legend"/>
      <sheetName val="List"/>
      <sheetName val="Controls data"/>
      <sheetName val="Лист2"/>
      <sheetName val="МВЗ"/>
      <sheetName val="Лист5"/>
      <sheetName val="RG_Depots"/>
      <sheetName val="sourсe"/>
      <sheetName val="drop-downs"/>
      <sheetName val="Sheet2"/>
      <sheetName val="СКЮ"/>
      <sheetName val="ПОДСКАЗКА"/>
      <sheetName val="список SKU"/>
      <sheetName val="СЗ"/>
      <sheetName val="RG_Depots1"/>
      <sheetName val="Справочник"/>
      <sheetName val="ARdistr_(2)"/>
      <sheetName val="Launch_and_Maintenance"/>
      <sheetName val="Validate_List"/>
      <sheetName val="Agrega_Spend_Taxonomy"/>
      <sheetName val="HUB_Structure"/>
      <sheetName val="filt"/>
      <sheetName val="Price list"/>
      <sheetName val="Budget Summary"/>
      <sheetName val="Contract"/>
      <sheetName val="support"/>
      <sheetName val="BD"/>
      <sheetName val="Parametros"/>
      <sheetName val="RG_Depots2"/>
      <sheetName val="Distribución_D"/>
      <sheetName val="RG_depots_jaar"/>
      <sheetName val="Hoja2"/>
      <sheetName val="Monthly Updating&gt;&gt;&gt;"/>
      <sheetName val="Map"/>
      <sheetName val="DePara"/>
      <sheetName val="capex"/>
      <sheetName val="RG_Depots3"/>
      <sheetName val="ARdistr_(2)1"/>
      <sheetName val="Launch_and_Maintenance1"/>
      <sheetName val="Distribución_D1"/>
      <sheetName val="Validate_List1"/>
      <sheetName val="Agrega_Spend_Taxonomy1"/>
      <sheetName val="HUB_Structure1"/>
      <sheetName val="RG_depots_jaar1"/>
      <sheetName val="Datos_por_SKU-categoria_2011_Ac"/>
      <sheetName val="Lista_total"/>
      <sheetName val="Controls_data"/>
      <sheetName val="список_SKU"/>
      <sheetName val="Price_list"/>
      <sheetName val="Budget_Summary"/>
      <sheetName val="Monthly_Updating&gt;&gt;&gt;"/>
      <sheetName val="PLMM-R$"/>
      <sheetName val="Tables"/>
      <sheetName val="LE - Input"/>
      <sheetName val="Списки"/>
      <sheetName val="Лист1"/>
      <sheetName val="Drop down list"/>
      <sheetName val="Data"/>
      <sheetName val="NNS_BGT_ACT"/>
      <sheetName val="drop downs"/>
      <sheetName val="BASE LISTAS"/>
      <sheetName val="Misc"/>
      <sheetName val="Sheet1"/>
      <sheetName val="drop-down"/>
      <sheetName val="menu"/>
      <sheetName val="LookUp"/>
      <sheetName val="2 - KPIs Impacted "/>
      <sheetName val="Basetables"/>
      <sheetName val="FX lookup"/>
      <sheetName val="Drop Down Menus"/>
      <sheetName val="FX - Assumptions"/>
      <sheetName val="은행"/>
      <sheetName val="BU17 Summary"/>
      <sheetName val="LookUps"/>
      <sheetName val="COMPS"/>
      <sheetName val="Descriptions"/>
      <sheetName val="Financial info"/>
      <sheetName val="Completion Instructions"/>
      <sheetName val="CostModel"/>
      <sheetName val="Help"/>
      <sheetName val="Reference"/>
      <sheetName val="MappingBrands"/>
      <sheetName val="Tipos de iniciativas"/>
      <sheetName val="Supply Cost Centers"/>
      <sheetName val="RG_Depots4"/>
      <sheetName val="Launch_and_Maintenance2"/>
      <sheetName val="ARdistr_(2)2"/>
      <sheetName val="Distribución_D2"/>
      <sheetName val="Validate_List2"/>
      <sheetName val="Agrega_Spend_Taxonomy2"/>
      <sheetName val="HUB_Structure2"/>
      <sheetName val="RG_depots_jaar2"/>
      <sheetName val="Datos_por_SKU-categoria_2011_A1"/>
      <sheetName val="Lista_total1"/>
      <sheetName val="Controls_data1"/>
      <sheetName val="список_SKU1"/>
      <sheetName val="Budget_Summary1"/>
      <sheetName val="Price_list1"/>
      <sheetName val="Monthly_Updating&gt;&gt;&gt;1"/>
      <sheetName val="LE_-_Input"/>
      <sheetName val="Drop_down_list"/>
      <sheetName val="drop_downs"/>
      <sheetName val="2_-_KPIs_Impacted_"/>
      <sheetName val="FX_lookup"/>
      <sheetName val="Drop_Down_Menus"/>
      <sheetName val="VIC R&amp;O List"/>
      <sheetName val="Instruction"/>
      <sheetName val="Hide"/>
      <sheetName val="Sheet4"/>
      <sheetName val="Selection Lists"/>
      <sheetName val="LD"/>
      <sheetName val="DROP"/>
      <sheetName val="Referencia"/>
      <sheetName val="Master"/>
      <sheetName val="Sales Package Input"/>
      <sheetName val="GCOA_SUBP"/>
      <sheetName val="Overview"/>
      <sheetName val="RG%20depots%20jaar.XLS"/>
      <sheetName val="est.rev."/>
      <sheetName val="RG_Depots5"/>
      <sheetName val="Launch_and_Maintenance3"/>
      <sheetName val="ARdistr_(2)3"/>
      <sheetName val="Validate_List3"/>
      <sheetName val="Agrega_Spend_Taxonomy3"/>
      <sheetName val="HUB_Structure3"/>
      <sheetName val="Distribución_D3"/>
      <sheetName val="RG_depots_jaar3"/>
      <sheetName val="Datos_por_SKU-categoria_2011_A2"/>
      <sheetName val="Lista_total2"/>
      <sheetName val="Controls_data2"/>
      <sheetName val="список_SKU2"/>
      <sheetName val="Price_list2"/>
      <sheetName val="Budget_Summary2"/>
      <sheetName val="Monthly_Updating&gt;&gt;&gt;2"/>
      <sheetName val="BASE_LISTAS"/>
      <sheetName val="LE_-_Input1"/>
      <sheetName val="Drop_down_list1"/>
      <sheetName val="drop_downs1"/>
      <sheetName val="2_-_KPIs_Impacted_1"/>
      <sheetName val="FX_lookup1"/>
      <sheetName val="Drop_Down_Menus1"/>
      <sheetName val="FX_-_Assumptions"/>
      <sheetName val="BU17_Summary"/>
      <sheetName val="Financial_info"/>
      <sheetName val="Completion_Instructions"/>
      <sheetName val="Tipos_de_iniciativas"/>
      <sheetName val="Supply_Cost_Centers"/>
      <sheetName val="VIC_R&amp;O_List"/>
      <sheetName val="Selection_Lists"/>
      <sheetName val="LookUp2"/>
      <sheetName val="Info"/>
      <sheetName val="Assumption"/>
      <sheetName val="Key"/>
      <sheetName val="7월_공유용"/>
      <sheetName val="Other Listings"/>
      <sheetName val="Cuentas y CeCos"/>
      <sheetName val=""/>
      <sheetName val="Помощник"/>
      <sheetName val="Validacion #1"/>
      <sheetName val="1.2.1 OM"/>
      <sheetName val="Efeitos vs. ppto10"/>
      <sheetName val="Sales_Package_Input"/>
      <sheetName val="Basis"/>
      <sheetName val="Resumo"/>
      <sheetName val="P&amp;L_Operação"/>
      <sheetName val="DE PARA (N EXCLUIR)"/>
      <sheetName val="P&amp;L_Incentivo"/>
      <sheetName val="Premissas"/>
      <sheetName val="Base Canibalizacao Vol"/>
      <sheetName val="Isla"/>
      <sheetName val="R&amp;O List"/>
      <sheetName val="Apoio"/>
      <sheetName val="MasterData"/>
      <sheetName val="요일 테이블"/>
      <sheetName val="구분"/>
      <sheetName val="MD"/>
      <sheetName val="RG_Depots6"/>
      <sheetName val="Launch_and_Maintenance4"/>
      <sheetName val="ARdistr_(2)4"/>
      <sheetName val="Validate_List4"/>
      <sheetName val="Agrega_Spend_Taxonomy4"/>
      <sheetName val="HUB_Structure4"/>
      <sheetName val="Distribución_D4"/>
      <sheetName val="RG_depots_jaar4"/>
      <sheetName val="Datos_por_SKU-categoria_2011_A3"/>
      <sheetName val="Controls_data3"/>
      <sheetName val="Lista_total3"/>
      <sheetName val="список_SKU3"/>
      <sheetName val="Budget_Summary3"/>
      <sheetName val="Price_list3"/>
      <sheetName val="Monthly_Updating&gt;&gt;&gt;3"/>
      <sheetName val="LE_-_Input2"/>
      <sheetName val="drop_downs2"/>
      <sheetName val="Drop_down_list2"/>
      <sheetName val="2_-_KPIs_Impacted_2"/>
      <sheetName val="FX_lookup2"/>
      <sheetName val="Drop_Down_Menus2"/>
      <sheetName val="FX_-_Assumptions1"/>
      <sheetName val="BU17_Summary1"/>
      <sheetName val="Financial_info1"/>
      <sheetName val="Completion_Instructions1"/>
      <sheetName val="Tipos_de_iniciativas1"/>
      <sheetName val="Supply_Cost_Centers1"/>
      <sheetName val="VIC_R&amp;O_List1"/>
      <sheetName val="Selection_Lists1"/>
      <sheetName val="Sales_Package_Input1"/>
      <sheetName val="Other_Listings"/>
      <sheetName val="Cuentas_y_CeCos"/>
      <sheetName val="요일_테이블"/>
      <sheetName val="Validacion_#1"/>
      <sheetName val="Sheet1 (2)"/>
      <sheetName val="FAROL"/>
      <sheetName val="Dropdown list LATAM"/>
      <sheetName val="dep pre"/>
      <sheetName val="RG%20depots%20jaar_XLS"/>
      <sheetName val="Mapping"/>
      <sheetName val="Master_Data&amp;Mapping"/>
      <sheetName val="Munka1"/>
      <sheetName val="Department"/>
      <sheetName val="dados blp"/>
      <sheetName val="Settings"/>
      <sheetName val="Moedas"/>
      <sheetName val="share price 2002"/>
      <sheetName val="Inf"/>
      <sheetName val="BASE_LISTAS1"/>
      <sheetName val="est_rev_"/>
      <sheetName val="Efeitos_vs__ppto10"/>
      <sheetName val="1_2_1_OM"/>
      <sheetName val="Other_Listings1"/>
      <sheetName val="RG_Depots7"/>
      <sheetName val="Launch_and_Maintenance5"/>
      <sheetName val="ARdistr_(2)5"/>
      <sheetName val="Validate_List5"/>
      <sheetName val="Agrega_Spend_Taxonomy5"/>
      <sheetName val="HUB_Structure5"/>
      <sheetName val="Distribución_D5"/>
      <sheetName val="RG_depots_jaar5"/>
      <sheetName val="Lista_total4"/>
      <sheetName val="Datos_por_SKU-categoria_2011_A4"/>
      <sheetName val="Controls_data4"/>
      <sheetName val="список_SKU4"/>
      <sheetName val="Price_list4"/>
      <sheetName val="Budget_Summary4"/>
      <sheetName val="Monthly_Updating&gt;&gt;&gt;4"/>
      <sheetName val="LE_-_Input3"/>
      <sheetName val="drop_downs3"/>
      <sheetName val="Drop_down_list3"/>
      <sheetName val="2_-_KPIs_Impacted_3"/>
      <sheetName val="FX_lookup3"/>
      <sheetName val="Drop_Down_Menus3"/>
      <sheetName val="FX_-_Assumptions2"/>
      <sheetName val="BU17_Summary2"/>
      <sheetName val="Financial_info2"/>
      <sheetName val="Completion_Instructions2"/>
      <sheetName val="Tipos_de_iniciativas2"/>
      <sheetName val="Supply_Cost_Centers2"/>
      <sheetName val="VIC_R&amp;O_List2"/>
      <sheetName val="Selection_Lists2"/>
      <sheetName val="Sales_Package_Input2"/>
      <sheetName val="Validacion_#11"/>
      <sheetName val="R&amp;O_List"/>
      <sheetName val="Cuentas_y_CeCos1"/>
      <sheetName val="요일_테이블1"/>
      <sheetName val="Sheet1_(2)"/>
      <sheetName val="Reference tab"/>
      <sheetName val="Figures Report"/>
      <sheetName val="POC 등급_2020"/>
      <sheetName val="NR 정리"/>
      <sheetName val="Price Off 기준"/>
      <sheetName val="HE_판매증대활동 가이드_20년"/>
      <sheetName val="요약"/>
      <sheetName val="20, 2월 POCs"/>
      <sheetName val="년간 POCs Price Off"/>
      <sheetName val="POC수"/>
      <sheetName val="중복확인"/>
      <sheetName val="목록"/>
      <sheetName val="WS 코드"/>
      <sheetName val="차량운행일지 요일테이블 업뎃 완료"/>
      <sheetName val="FY-nonDGO"/>
      <sheetName val="销量预估"/>
      <sheetName val="Category-2"/>
      <sheetName val="Cur.Ex Rate"/>
      <sheetName val="Data Lists"/>
      <sheetName val="Other Performance"/>
      <sheetName val="Reference_tab"/>
      <sheetName val="Reference_tab1"/>
      <sheetName val="Reference_tab2"/>
      <sheetName val="R&amp;O_List1"/>
      <sheetName val="RG%20depots%20jaar_XLS1"/>
      <sheetName val="RG_Depots8"/>
      <sheetName val="Launch_and_Maintenance6"/>
      <sheetName val="ARdistr_(2)6"/>
      <sheetName val="Distribución_D6"/>
      <sheetName val="Validate_List6"/>
      <sheetName val="Agrega_Spend_Taxonomy6"/>
      <sheetName val="HUB_Structure6"/>
      <sheetName val="RG_depots_jaar6"/>
      <sheetName val="Datos_por_SKU-categoria_2011_A5"/>
      <sheetName val="Lista_total5"/>
      <sheetName val="Controls_data5"/>
      <sheetName val="список_SKU5"/>
      <sheetName val="Price_list5"/>
      <sheetName val="Budget_Summary5"/>
      <sheetName val="Monthly_Updating&gt;&gt;&gt;5"/>
      <sheetName val="LE_-_Input4"/>
      <sheetName val="drop_downs4"/>
      <sheetName val="Drop_down_list4"/>
      <sheetName val="2_-_KPIs_Impacted_4"/>
      <sheetName val="FX_lookup4"/>
      <sheetName val="Drop_Down_Menus4"/>
      <sheetName val="FX_-_Assumptions3"/>
      <sheetName val="BU17_Summary3"/>
      <sheetName val="Financial_info3"/>
      <sheetName val="Completion_Instructions3"/>
      <sheetName val="Tipos_de_iniciativas3"/>
      <sheetName val="Supply_Cost_Centers3"/>
      <sheetName val="VIC_R&amp;O_List3"/>
      <sheetName val="Selection_Lists3"/>
      <sheetName val="Sales_Package_Input3"/>
      <sheetName val="Reference_tab3"/>
      <sheetName val="Other_Listings2"/>
      <sheetName val="Validacion_#12"/>
      <sheetName val="BASE_LISTAS2"/>
      <sheetName val="R&amp;O_List2"/>
      <sheetName val="Cuentas_y_CeCos2"/>
      <sheetName val="RG%20depots%20jaar_XLS2"/>
      <sheetName val="SNs Meta_Categorias"/>
      <sheetName val="BUD"/>
      <sheetName val="Listas"/>
      <sheetName val="요일_테이블2"/>
      <sheetName val="Sheet1_(2)1"/>
      <sheetName val="DE_PARA_(N_EXCLUIR)"/>
      <sheetName val="Base_Canibalizacao_Vol"/>
      <sheetName val="Dropdown_list_LATAM"/>
      <sheetName val="dep_pre"/>
      <sheetName val="Figures_Report"/>
      <sheetName val="POC_등급_2020"/>
      <sheetName val="NR_정리"/>
      <sheetName val="Price_Off_기준"/>
      <sheetName val="HE_판매증대활동_가이드_20년"/>
      <sheetName val="20,_2월_POCs"/>
      <sheetName val="년간_POCs_Price_Off"/>
      <sheetName val="WS_코드"/>
      <sheetName val="차량운행일지_요일테이블_업뎃_완료"/>
      <sheetName val="Data_Lists"/>
      <sheetName val="dados_blp"/>
      <sheetName val="share_price_2002"/>
      <sheetName val="Cur_Ex_Rate"/>
      <sheetName val="FX"/>
      <sheetName val="规则"/>
      <sheetName val="经销商"/>
      <sheetName val="有效性"/>
      <sheetName val="SAP品牌"/>
      <sheetName val="销售组织"/>
      <sheetName val="MMR12活动类型"/>
      <sheetName val="Territory"/>
      <sheetName val="TRCode"/>
      <sheetName val="Distribución C"/>
      <sheetName val="MMR12"/>
      <sheetName val="Extract Loss"/>
      <sheetName val="RG_Depots9"/>
      <sheetName val="ARdistr_(2)7"/>
      <sheetName val="Launch_and_Maintenance7"/>
      <sheetName val="Distribución_D7"/>
      <sheetName val="Validate_List7"/>
      <sheetName val="Agrega_Spend_Taxonomy7"/>
      <sheetName val="HUB_Structure7"/>
      <sheetName val="RG_depots_jaar7"/>
      <sheetName val="Datos_por_SKU-categoria_2011_A6"/>
      <sheetName val="Lista_total6"/>
      <sheetName val="Controls_data6"/>
      <sheetName val="список_SKU6"/>
      <sheetName val="Price_list6"/>
      <sheetName val="Budget_Summary6"/>
      <sheetName val="Monthly_Updating&gt;&gt;&gt;6"/>
      <sheetName val="LE_-_Input5"/>
      <sheetName val="Drop_down_list5"/>
      <sheetName val="drop_downs5"/>
      <sheetName val="2_-_KPIs_Impacted_5"/>
      <sheetName val="FX_lookup5"/>
      <sheetName val="Drop_Down_Menus5"/>
      <sheetName val="FX_-_Assumptions4"/>
      <sheetName val="BU17_Summary4"/>
      <sheetName val="Financial_info4"/>
      <sheetName val="Completion_Instructions4"/>
      <sheetName val="Tipos_de_iniciativas4"/>
      <sheetName val="Supply_Cost_Centers4"/>
      <sheetName val="VIC_R&amp;O_List4"/>
      <sheetName val="Selection_Lists4"/>
      <sheetName val="Sales_Package_Input4"/>
      <sheetName val="Other_Listings3"/>
      <sheetName val="Cuentas_y_CeCos3"/>
      <sheetName val="BASE_LISTAS3"/>
      <sheetName val="Validacion_#13"/>
      <sheetName val="RG%20depots%20jaar_XLS3"/>
      <sheetName val="R&amp;O_List3"/>
      <sheetName val="DE_PARA_(N_EXCLUIR)1"/>
      <sheetName val="Base_Canibalizacao_Vol1"/>
      <sheetName val="요일_테이블3"/>
      <sheetName val="Sheet1_(2)2"/>
      <sheetName val="Dropdown_list_LATAM1"/>
      <sheetName val="dep_pre1"/>
      <sheetName val="dados_blp1"/>
      <sheetName val="share_price_20021"/>
      <sheetName val="Reference_tab4"/>
      <sheetName val="Figures_Report1"/>
      <sheetName val="POC_등급_20201"/>
      <sheetName val="NR_정리1"/>
      <sheetName val="Price_Off_기준1"/>
      <sheetName val="HE_판매증대활동_가이드_20년1"/>
      <sheetName val="20,_2월_POCs1"/>
      <sheetName val="년간_POCs_Price_Off1"/>
      <sheetName val="WS_코드1"/>
      <sheetName val="차량운행일지_요일테이블_업뎃_완료1"/>
      <sheetName val="Cur_Ex_Rate1"/>
      <sheetName val="Data_Lists1"/>
      <sheetName val="Other_Performance"/>
      <sheetName val="SNs_Meta_Categorias"/>
      <sheetName val="Distribución_C"/>
      <sheetName val="Extract_Loss"/>
      <sheetName val="Cambio - contas"/>
      <sheetName val="RG_Depots10"/>
      <sheetName val="Launch_and_Maintenance8"/>
      <sheetName val="ARdistr_(2)8"/>
      <sheetName val="Distribución_D8"/>
      <sheetName val="Validate_List8"/>
      <sheetName val="Agrega_Spend_Taxonomy8"/>
      <sheetName val="HUB_Structure8"/>
      <sheetName val="RG_depots_jaar8"/>
      <sheetName val="Datos_por_SKU-categoria_2011_A7"/>
      <sheetName val="Lista_total7"/>
      <sheetName val="Controls_data7"/>
      <sheetName val="список_SKU7"/>
      <sheetName val="Price_list7"/>
      <sheetName val="Budget_Summary7"/>
      <sheetName val="Monthly_Updating&gt;&gt;&gt;7"/>
      <sheetName val="LE_-_Input6"/>
      <sheetName val="Drop_Down_Menus6"/>
      <sheetName val="2_-_KPIs_Impacted_6"/>
      <sheetName val="drop_downs6"/>
      <sheetName val="Drop_down_list6"/>
      <sheetName val="FX_lookup6"/>
      <sheetName val="FX_-_Assumptions5"/>
      <sheetName val="BU17_Summary5"/>
      <sheetName val="Supply_Cost_Centers5"/>
      <sheetName val="Financial_info5"/>
      <sheetName val="Completion_Instructions5"/>
      <sheetName val="Tipos_de_iniciativas5"/>
      <sheetName val="VIC_R&amp;O_List5"/>
      <sheetName val="Selection_Lists5"/>
      <sheetName val="Sales_Package_Input5"/>
      <sheetName val="Other_Listings4"/>
      <sheetName val="Cuentas_y_CeCos4"/>
      <sheetName val="BASE_LISTAS4"/>
      <sheetName val="요일_테이블4"/>
      <sheetName val="Validacion_#14"/>
      <sheetName val="Sheet1_(2)3"/>
      <sheetName val="DE_PARA_(N_EXCLUIR)2"/>
      <sheetName val="Base_Canibalizacao_Vol2"/>
      <sheetName val="Figures_Report2"/>
      <sheetName val="POC_등급_20202"/>
      <sheetName val="NR_정리2"/>
      <sheetName val="Price_Off_기준2"/>
      <sheetName val="HE_판매증대활동_가이드_20년2"/>
      <sheetName val="20,_2월_POCs2"/>
      <sheetName val="년간_POCs_Price_Off2"/>
      <sheetName val="WS_코드2"/>
      <sheetName val="차량운행일지_요일테이블_업뎃_완료2"/>
      <sheetName val="Dropdown_list_LATAM2"/>
      <sheetName val="dep_pre2"/>
      <sheetName val="RG_Depots11"/>
      <sheetName val="Launch_and_Maintenance9"/>
      <sheetName val="ARdistr_(2)9"/>
      <sheetName val="Distribución_D9"/>
      <sheetName val="Validate_List9"/>
      <sheetName val="Agrega_Spend_Taxonomy9"/>
      <sheetName val="HUB_Structure9"/>
      <sheetName val="RG_depots_jaar9"/>
      <sheetName val="Datos_por_SKU-categoria_2011_A8"/>
      <sheetName val="Lista_total8"/>
      <sheetName val="Controls_data8"/>
      <sheetName val="список_SKU8"/>
      <sheetName val="Price_list8"/>
      <sheetName val="Budget_Summary8"/>
      <sheetName val="Monthly_Updating&gt;&gt;&gt;8"/>
      <sheetName val="LE_-_Input7"/>
      <sheetName val="Drop_Down_Menus7"/>
      <sheetName val="2_-_KPIs_Impacted_7"/>
      <sheetName val="drop_downs7"/>
      <sheetName val="Drop_down_list7"/>
      <sheetName val="FX_lookup7"/>
      <sheetName val="FX_-_Assumptions6"/>
      <sheetName val="BU17_Summary6"/>
      <sheetName val="Supply_Cost_Centers6"/>
      <sheetName val="Financial_info6"/>
      <sheetName val="Completion_Instructions6"/>
      <sheetName val="Tipos_de_iniciativas6"/>
      <sheetName val="VIC_R&amp;O_List6"/>
      <sheetName val="Selection_Lists6"/>
      <sheetName val="Sales_Package_Input6"/>
      <sheetName val="Other_Listings5"/>
      <sheetName val="Cuentas_y_CeCos5"/>
      <sheetName val="BASE_LISTAS5"/>
      <sheetName val="요일_테이블5"/>
      <sheetName val="Validacion_#15"/>
      <sheetName val="R&amp;O_List4"/>
      <sheetName val="RG%20depots%20jaar_XLS4"/>
      <sheetName val="Sheet1_(2)4"/>
      <sheetName val="DE_PARA_(N_EXCLUIR)3"/>
      <sheetName val="Base_Canibalizacao_Vol3"/>
      <sheetName val="Figures_Report3"/>
      <sheetName val="POC_등급_20203"/>
      <sheetName val="NR_정리3"/>
      <sheetName val="Price_Off_기준3"/>
      <sheetName val="HE_판매증대활동_가이드_20년3"/>
      <sheetName val="20,_2월_POCs3"/>
      <sheetName val="년간_POCs_Price_Off3"/>
      <sheetName val="WS_코드3"/>
      <sheetName val="차량운행일지_요일테이블_업뎃_완료3"/>
      <sheetName val="Dropdown_list_LATAM3"/>
      <sheetName val="dep_pre3"/>
      <sheetName val="Data_Lists2"/>
      <sheetName val="dados_blp2"/>
      <sheetName val="share_price_20022"/>
      <sheetName val="Cur_Ex_Rate2"/>
      <sheetName val="Distribución_C1"/>
      <sheetName val="Extract_Loss1"/>
      <sheetName val="G WPS"/>
      <sheetName val="G GFP"/>
      <sheetName val="G GL"/>
      <sheetName val="G LSA"/>
      <sheetName val="Data_Lists3"/>
      <sheetName val="dados_blp3"/>
      <sheetName val="share_price_20023"/>
      <sheetName val="Cur_Ex_Rate3"/>
      <sheetName val="Distribución_C2"/>
      <sheetName val="Extract_Loss2"/>
      <sheetName val="G_WPS"/>
      <sheetName val="G_GFP"/>
      <sheetName val="G_GL"/>
      <sheetName val="G_LSA"/>
      <sheetName val="BALANCE"/>
      <sheetName val="G_WPS1"/>
      <sheetName val="G_GFP1"/>
      <sheetName val="G_GL1"/>
      <sheetName val="G_LSA1"/>
      <sheetName val="est_rev_1"/>
      <sheetName val="SNs_Meta_Categorias1"/>
      <sheetName val="RG_Depots12"/>
      <sheetName val="ARdistr_(2)10"/>
      <sheetName val="Launch_and_Maintenance10"/>
      <sheetName val="Distribución_D10"/>
      <sheetName val="Validate_List10"/>
      <sheetName val="Agrega_Spend_Taxonomy10"/>
      <sheetName val="HUB_Structure10"/>
      <sheetName val="RG_depots_jaar10"/>
      <sheetName val="Datos_por_SKU-categoria_2011_A9"/>
      <sheetName val="Lista_total9"/>
      <sheetName val="Controls_data9"/>
      <sheetName val="список_SKU9"/>
      <sheetName val="Price_list9"/>
      <sheetName val="Budget_Summary9"/>
      <sheetName val="Monthly_Updating&gt;&gt;&gt;9"/>
      <sheetName val="LE_-_Input8"/>
      <sheetName val="drop_downs8"/>
      <sheetName val="Drop_down_list8"/>
      <sheetName val="2_-_KPIs_Impacted_8"/>
      <sheetName val="FX_lookup8"/>
      <sheetName val="Drop_Down_Menus8"/>
      <sheetName val="FX_-_Assumptions7"/>
      <sheetName val="BU17_Summary7"/>
      <sheetName val="Financial_info7"/>
      <sheetName val="Completion_Instructions7"/>
      <sheetName val="Tipos_de_iniciativas7"/>
      <sheetName val="Supply_Cost_Centers7"/>
      <sheetName val="VIC_R&amp;O_List7"/>
      <sheetName val="Selection_Lists7"/>
      <sheetName val="Sales_Package_Input7"/>
      <sheetName val="Validacion_#16"/>
      <sheetName val="Other_Listings6"/>
      <sheetName val="BASE_LISTAS6"/>
      <sheetName val="R&amp;O_List5"/>
      <sheetName val="Cuentas_y_CeCos6"/>
      <sheetName val="RG%20depots%20jaar_XLS5"/>
      <sheetName val="요일_테이블6"/>
      <sheetName val="Sheet1_(2)5"/>
      <sheetName val="DE_PARA_(N_EXCLUIR)4"/>
      <sheetName val="Base_Canibalizacao_Vol4"/>
      <sheetName val="Figures_Report4"/>
      <sheetName val="POC_등급_20204"/>
      <sheetName val="NR_정리4"/>
      <sheetName val="Price_Off_기준4"/>
      <sheetName val="HE_판매증대활동_가이드_20년4"/>
      <sheetName val="20,_2월_POCs4"/>
      <sheetName val="년간_POCs_Price_Off4"/>
      <sheetName val="WS_코드4"/>
      <sheetName val="차량운행일지_요일테이블_업뎃_완료4"/>
      <sheetName val="Dropdown_list_LATAM4"/>
      <sheetName val="dep_pre4"/>
      <sheetName val="Data_Lists4"/>
      <sheetName val="dados_blp4"/>
      <sheetName val="share_price_20024"/>
      <sheetName val="Cur_Ex_Rate4"/>
      <sheetName val="Distribución_C3"/>
      <sheetName val="Extract_Loss3"/>
      <sheetName val="G_WPS2"/>
      <sheetName val="G_GFP2"/>
      <sheetName val="G_GL2"/>
      <sheetName val="G_LSA2"/>
      <sheetName val="est_rev_2"/>
      <sheetName val="SNs_Meta_Categorias2"/>
      <sheetName val="ZAGREBAČKA PIVOVARA"/>
      <sheetName val="TIA PARTNER"/>
      <sheetName val="K PIVOVARI"/>
      <sheetName val="PEMO"/>
      <sheetName val="Parámetros"/>
      <sheetName val="tdBBDD"/>
      <sheetName val="ZAGREBAČKA_PIVOVARA1"/>
      <sheetName val="TIA_PARTNER1"/>
      <sheetName val="K_PIVOVARI1"/>
      <sheetName val="ZAGREBAČKA_PIVOVARA"/>
      <sheetName val="TIA_PARTNER"/>
      <sheetName val="K_PIVOVARI"/>
      <sheetName val="Munka2"/>
      <sheetName val="RG_Depots13"/>
      <sheetName val="ARdistr_(2)11"/>
      <sheetName val="Launch_and_Maintenance11"/>
      <sheetName val="Distribución_D11"/>
      <sheetName val="Validate_List11"/>
      <sheetName val="Agrega_Spend_Taxonomy11"/>
      <sheetName val="HUB_Structure11"/>
      <sheetName val="RG_depots_jaar11"/>
      <sheetName val="Datos_por_SKU-categoria_2011_10"/>
      <sheetName val="Lista_total10"/>
      <sheetName val="Controls_data10"/>
      <sheetName val="список_SKU10"/>
      <sheetName val="Price_list10"/>
      <sheetName val="Budget_Summary10"/>
      <sheetName val="Monthly_Updating&gt;&gt;&gt;10"/>
      <sheetName val="LE_-_Input9"/>
      <sheetName val="drop_downs9"/>
      <sheetName val="Drop_down_list9"/>
      <sheetName val="2_-_KPIs_Impacted_9"/>
      <sheetName val="FX_lookup9"/>
      <sheetName val="Drop_Down_Menus9"/>
      <sheetName val="FX_-_Assumptions8"/>
      <sheetName val="BU17_Summary8"/>
      <sheetName val="Financial_info8"/>
      <sheetName val="Completion_Instructions8"/>
      <sheetName val="Tipos_de_iniciativas8"/>
      <sheetName val="Supply_Cost_Centers8"/>
      <sheetName val="VIC_R&amp;O_List8"/>
      <sheetName val="Selection_Lists8"/>
      <sheetName val="Sales_Package_Input8"/>
      <sheetName val="Validacion_#17"/>
      <sheetName val="Other_Listings7"/>
      <sheetName val="BASE_LISTAS7"/>
      <sheetName val="R&amp;O_List6"/>
      <sheetName val="Cuentas_y_CeCos7"/>
      <sheetName val="RG%20depots%20jaar_XLS6"/>
      <sheetName val="요일_테이블7"/>
      <sheetName val="Sheet1_(2)6"/>
      <sheetName val="DE_PARA_(N_EXCLUIR)5"/>
      <sheetName val="Base_Canibalizacao_Vol5"/>
      <sheetName val="Reference_tab5"/>
      <sheetName val="Figures_Report5"/>
      <sheetName val="POC_등급_20205"/>
      <sheetName val="NR_정리5"/>
      <sheetName val="Price_Off_기준5"/>
      <sheetName val="HE_판매증대활동_가이드_20년5"/>
      <sheetName val="20,_2월_POCs5"/>
      <sheetName val="년간_POCs_Price_Off5"/>
      <sheetName val="WS_코드5"/>
      <sheetName val="차량운행일지_요일테이블_업뎃_완료5"/>
      <sheetName val="Dropdown_list_LATAM5"/>
      <sheetName val="dep_pre5"/>
      <sheetName val="Data_Lists5"/>
      <sheetName val="dados_blp5"/>
      <sheetName val="share_price_20025"/>
      <sheetName val="Cur_Ex_Rate5"/>
      <sheetName val="Distribución_C4"/>
      <sheetName val="Extract_Loss4"/>
      <sheetName val="G_WPS3"/>
      <sheetName val="G_GFP3"/>
      <sheetName val="G_GL3"/>
      <sheetName val="G_LSA3"/>
      <sheetName val="est_rev_3"/>
      <sheetName val="SNs_Meta_Categorias3"/>
      <sheetName val="ZAGREBAČKA_PIVOVARA2"/>
      <sheetName val="TIA_PARTNER2"/>
      <sheetName val="K_PIVOVARI2"/>
      <sheetName val="RG_Depots14"/>
      <sheetName val="Launch_and_Maintenance12"/>
      <sheetName val="ARdistr_(2)12"/>
      <sheetName val="Validate_List12"/>
      <sheetName val="Agrega_Spend_Taxonomy12"/>
      <sheetName val="HUB_Structure12"/>
      <sheetName val="Distribución_D12"/>
      <sheetName val="RG_depots_jaar12"/>
      <sheetName val="Lista_total11"/>
      <sheetName val="Datos_por_SKU-categoria_2011_11"/>
      <sheetName val="Controls_data11"/>
      <sheetName val="список_SKU11"/>
      <sheetName val="Price_list11"/>
      <sheetName val="Budget_Summary11"/>
      <sheetName val="Monthly_Updating&gt;&gt;&gt;11"/>
      <sheetName val="LE_-_Input10"/>
      <sheetName val="drop_downs10"/>
      <sheetName val="Drop_down_list10"/>
      <sheetName val="2_-_KPIs_Impacted_10"/>
      <sheetName val="FX_lookup10"/>
      <sheetName val="Drop_Down_Menus10"/>
      <sheetName val="FX_-_Assumptions9"/>
      <sheetName val="BU17_Summary9"/>
      <sheetName val="Financial_info9"/>
      <sheetName val="Completion_Instructions9"/>
      <sheetName val="Tipos_de_iniciativas9"/>
      <sheetName val="Supply_Cost_Centers9"/>
      <sheetName val="VIC_R&amp;O_List9"/>
      <sheetName val="Selection_Lists9"/>
      <sheetName val="Sales_Package_Input9"/>
      <sheetName val="Validacion_#18"/>
      <sheetName val="Other_Listings8"/>
      <sheetName val="BASE_LISTAS8"/>
      <sheetName val="R&amp;O_List7"/>
      <sheetName val="Cuentas_y_CeCos8"/>
      <sheetName val="RG%20depots%20jaar_XLS7"/>
      <sheetName val="요일_테이블8"/>
      <sheetName val="Sheet1_(2)7"/>
      <sheetName val="DE_PARA_(N_EXCLUIR)6"/>
      <sheetName val="Base_Canibalizacao_Vol6"/>
      <sheetName val="Reference_tab6"/>
      <sheetName val="Dropdown_list_LATAM6"/>
      <sheetName val="dep_pre6"/>
      <sheetName val="Figures_Report6"/>
      <sheetName val="POC_등급_20206"/>
      <sheetName val="NR_정리6"/>
      <sheetName val="Price_Off_기준6"/>
      <sheetName val="HE_판매증대활동_가이드_20년6"/>
      <sheetName val="20,_2월_POCs6"/>
      <sheetName val="년간_POCs_Price_Off6"/>
      <sheetName val="WS_코드6"/>
      <sheetName val="차량운행일지_요일테이블_업뎃_완료6"/>
      <sheetName val="Data_Lists6"/>
      <sheetName val="dados_blp6"/>
      <sheetName val="share_price_20026"/>
      <sheetName val="Cur_Ex_Rate6"/>
      <sheetName val="Distribución_C5"/>
      <sheetName val="Extract_Loss5"/>
      <sheetName val="G_WPS4"/>
      <sheetName val="G_GFP4"/>
      <sheetName val="G_GL4"/>
      <sheetName val="G_LSA4"/>
      <sheetName val="est_rev_4"/>
      <sheetName val="SNs_Meta_Categorias4"/>
      <sheetName val="ZAGREBAČKA_PIVOVARA3"/>
      <sheetName val="TIA_PARTNER3"/>
      <sheetName val="K_PIVOVARI3"/>
      <sheetName val="Other_Performance1"/>
      <sheetName val="RG_Depots15"/>
      <sheetName val="Launch_and_Maintenance13"/>
      <sheetName val="ARdistr_(2)13"/>
      <sheetName val="Validate_List13"/>
      <sheetName val="Agrega_Spend_Taxonomy13"/>
      <sheetName val="HUB_Structure13"/>
      <sheetName val="Distribución_D13"/>
      <sheetName val="RG_depots_jaar13"/>
      <sheetName val="Lista_total12"/>
      <sheetName val="Datos_por_SKU-categoria_2011_12"/>
      <sheetName val="Controls_data12"/>
      <sheetName val="список_SKU12"/>
      <sheetName val="Price_list12"/>
      <sheetName val="Budget_Summary12"/>
      <sheetName val="Monthly_Updating&gt;&gt;&gt;12"/>
      <sheetName val="LE_-_Input11"/>
      <sheetName val="drop_downs11"/>
      <sheetName val="Drop_down_list11"/>
      <sheetName val="2_-_KPIs_Impacted_11"/>
      <sheetName val="BU17_Summary10"/>
      <sheetName val="FX_lookup11"/>
      <sheetName val="Drop_Down_Menus11"/>
      <sheetName val="FX_-_Assumptions10"/>
      <sheetName val="Financial_info10"/>
      <sheetName val="Completion_Instructions10"/>
      <sheetName val="Tipos_de_iniciativas10"/>
      <sheetName val="Supply_Cost_Centers10"/>
      <sheetName val="VIC_R&amp;O_List10"/>
      <sheetName val="Selection_Lists10"/>
      <sheetName val="Sales_Package_Input10"/>
      <sheetName val="Other_Listings9"/>
      <sheetName val="Validacion_#19"/>
      <sheetName val="BASE_LISTAS9"/>
      <sheetName val="Cuentas_y_CeCos9"/>
      <sheetName val="R&amp;O_List8"/>
      <sheetName val="RG%20depots%20jaar_XLS8"/>
      <sheetName val="요일_테이블9"/>
      <sheetName val="Sheet1_(2)8"/>
      <sheetName val="DE_PARA_(N_EXCLUIR)7"/>
      <sheetName val="Base_Canibalizacao_Vol7"/>
      <sheetName val="Reference_tab7"/>
      <sheetName val="Dropdown_list_LATAM7"/>
      <sheetName val="dep_pre7"/>
      <sheetName val="Figures_Report7"/>
      <sheetName val="POC_등급_20207"/>
      <sheetName val="NR_정리7"/>
      <sheetName val="Price_Off_기준7"/>
      <sheetName val="HE_판매증대활동_가이드_20년7"/>
      <sheetName val="20,_2월_POCs7"/>
      <sheetName val="년간_POCs_Price_Off7"/>
      <sheetName val="WS_코드7"/>
      <sheetName val="차량운행일지_요일테이블_업뎃_완료7"/>
      <sheetName val="Data_Lists7"/>
      <sheetName val="dados_blp7"/>
      <sheetName val="share_price_20027"/>
      <sheetName val="Cur_Ex_Rate7"/>
      <sheetName val="Distribución_C6"/>
      <sheetName val="Extract_Loss6"/>
      <sheetName val="G_WPS5"/>
      <sheetName val="G_GFP5"/>
      <sheetName val="G_GL5"/>
      <sheetName val="G_LSA5"/>
      <sheetName val="est_rev_5"/>
      <sheetName val="SNs_Meta_Categorias5"/>
      <sheetName val="RG_Depots16"/>
      <sheetName val="Launch_and_Maintenance14"/>
      <sheetName val="ARdistr_(2)14"/>
      <sheetName val="Validate_List14"/>
      <sheetName val="Agrega_Spend_Taxonomy14"/>
      <sheetName val="HUB_Structure14"/>
      <sheetName val="Distribución_D14"/>
      <sheetName val="RG_depots_jaar14"/>
      <sheetName val="Lista_total13"/>
      <sheetName val="Datos_por_SKU-categoria_2011_13"/>
      <sheetName val="Controls_data13"/>
      <sheetName val="список_SKU13"/>
      <sheetName val="Price_list13"/>
      <sheetName val="Budget_Summary13"/>
      <sheetName val="Monthly_Updating&gt;&gt;&gt;13"/>
      <sheetName val="LE_-_Input12"/>
      <sheetName val="drop_downs12"/>
      <sheetName val="Drop_down_list12"/>
      <sheetName val="2_-_KPIs_Impacted_12"/>
      <sheetName val="FX_lookup12"/>
      <sheetName val="Drop_Down_Menus12"/>
      <sheetName val="FX_-_Assumptions11"/>
      <sheetName val="BU17_Summary11"/>
      <sheetName val="Financial_info11"/>
      <sheetName val="Completion_Instructions11"/>
      <sheetName val="Tipos_de_iniciativas11"/>
      <sheetName val="Supply_Cost_Centers11"/>
      <sheetName val="VIC_R&amp;O_List11"/>
      <sheetName val="Selection_Lists11"/>
      <sheetName val="Sales_Package_Input11"/>
      <sheetName val="Validacion_#110"/>
      <sheetName val="Other_Listings10"/>
      <sheetName val="BASE_LISTAS10"/>
      <sheetName val="R&amp;O_List9"/>
      <sheetName val="Cuentas_y_CeCos10"/>
      <sheetName val="RG%20depots%20jaar_XLS9"/>
      <sheetName val="요일_테이블10"/>
      <sheetName val="Sheet1_(2)9"/>
      <sheetName val="DE_PARA_(N_EXCLUIR)8"/>
      <sheetName val="Base_Canibalizacao_Vol8"/>
      <sheetName val="Reference_tab8"/>
      <sheetName val="Dropdown_list_LATAM8"/>
      <sheetName val="dep_pre8"/>
      <sheetName val="Figures_Report8"/>
      <sheetName val="POC_등급_20208"/>
      <sheetName val="NR_정리8"/>
      <sheetName val="Price_Off_기준8"/>
      <sheetName val="HE_판매증대활동_가이드_20년8"/>
      <sheetName val="20,_2월_POCs8"/>
      <sheetName val="년간_POCs_Price_Off8"/>
      <sheetName val="WS_코드8"/>
      <sheetName val="차량운행일지_요일테이블_업뎃_완료8"/>
      <sheetName val="Data_Lists8"/>
      <sheetName val="dados_blp8"/>
      <sheetName val="share_price_20028"/>
      <sheetName val="Cur_Ex_Rate8"/>
      <sheetName val="Distribución_C7"/>
      <sheetName val="Extract_Loss7"/>
      <sheetName val="G_WPS6"/>
      <sheetName val="G_GFP6"/>
      <sheetName val="G_GL6"/>
      <sheetName val="G_LSA6"/>
      <sheetName val="est_rev_6"/>
      <sheetName val="SNs_Meta_Categorias6"/>
      <sheetName val="ZAGREBAČKA_PIVOVARA4"/>
      <sheetName val="TIA_PARTNER4"/>
      <sheetName val="K_PIVOVARI4"/>
      <sheetName val="Other_Performance2"/>
      <sheetName val="RG_Depots17"/>
      <sheetName val="Launch_and_Maintenance15"/>
      <sheetName val="ARdistr_(2)15"/>
      <sheetName val="Validate_List15"/>
      <sheetName val="Agrega_Spend_Taxonomy15"/>
      <sheetName val="HUB_Structure15"/>
      <sheetName val="Distribución_D15"/>
      <sheetName val="RG_depots_jaar15"/>
      <sheetName val="Lista_total14"/>
      <sheetName val="Datos_por_SKU-categoria_2011_14"/>
      <sheetName val="Controls_data14"/>
      <sheetName val="список_SKU14"/>
      <sheetName val="Price_list14"/>
      <sheetName val="Budget_Summary14"/>
      <sheetName val="Monthly_Updating&gt;&gt;&gt;14"/>
      <sheetName val="LE_-_Input13"/>
      <sheetName val="drop_downs13"/>
      <sheetName val="Drop_down_list13"/>
      <sheetName val="2_-_KPIs_Impacted_13"/>
      <sheetName val="FX_lookup13"/>
      <sheetName val="Drop_Down_Menus13"/>
      <sheetName val="FX_-_Assumptions12"/>
      <sheetName val="BU17_Summary12"/>
      <sheetName val="Financial_info12"/>
      <sheetName val="Completion_Instructions12"/>
      <sheetName val="Tipos_de_iniciativas12"/>
      <sheetName val="Supply_Cost_Centers12"/>
      <sheetName val="VIC_R&amp;O_List12"/>
      <sheetName val="Selection_Lists12"/>
      <sheetName val="Sales_Package_Input12"/>
      <sheetName val="Validacion_#111"/>
      <sheetName val="Other_Listings11"/>
      <sheetName val="BASE_LISTAS11"/>
      <sheetName val="R&amp;O_List10"/>
      <sheetName val="Cuentas_y_CeCos11"/>
      <sheetName val="RG%20depots%20jaar_XLS10"/>
      <sheetName val="요일_테이블11"/>
      <sheetName val="Sheet1_(2)10"/>
      <sheetName val="DE_PARA_(N_EXCLUIR)9"/>
      <sheetName val="Base_Canibalizacao_Vol9"/>
      <sheetName val="Reference_tab9"/>
      <sheetName val="Dropdown_list_LATAM9"/>
      <sheetName val="dep_pre9"/>
      <sheetName val="Figures_Report9"/>
      <sheetName val="POC_등급_20209"/>
      <sheetName val="NR_정리9"/>
      <sheetName val="Price_Off_기준9"/>
      <sheetName val="HE_판매증대활동_가이드_20년9"/>
      <sheetName val="20,_2월_POCs9"/>
      <sheetName val="년간_POCs_Price_Off9"/>
      <sheetName val="WS_코드9"/>
      <sheetName val="차량운행일지_요일테이블_업뎃_완료9"/>
      <sheetName val="Data_Lists9"/>
      <sheetName val="dados_blp9"/>
      <sheetName val="share_price_20029"/>
      <sheetName val="Cur_Ex_Rate9"/>
      <sheetName val="Distribución_C8"/>
      <sheetName val="Extract_Loss8"/>
      <sheetName val="G_WPS7"/>
      <sheetName val="G_GFP7"/>
      <sheetName val="G_GL7"/>
      <sheetName val="G_LSA7"/>
      <sheetName val="est_rev_7"/>
      <sheetName val="SNs_Meta_Categorias7"/>
      <sheetName val="ZAGREBAČKA_PIVOVARA5"/>
      <sheetName val="TIA_PARTNER5"/>
      <sheetName val="K_PIVOVARI5"/>
      <sheetName val="Other_Performance3"/>
      <sheetName val="RG_Depots18"/>
      <sheetName val="Launch_and_Maintenance16"/>
      <sheetName val="ARdistr_(2)16"/>
      <sheetName val="Validate_List16"/>
      <sheetName val="Agrega_Spend_Taxonomy16"/>
      <sheetName val="HUB_Structure16"/>
      <sheetName val="Distribución_D16"/>
      <sheetName val="RG_depots_jaar16"/>
      <sheetName val="Lista_total15"/>
      <sheetName val="Datos_por_SKU-categoria_2011_15"/>
      <sheetName val="Controls_data15"/>
      <sheetName val="список_SKU15"/>
      <sheetName val="Price_list15"/>
      <sheetName val="Budget_Summary15"/>
      <sheetName val="Monthly_Updating&gt;&gt;&gt;15"/>
      <sheetName val="LE_-_Input14"/>
      <sheetName val="drop_downs14"/>
      <sheetName val="Drop_down_list14"/>
      <sheetName val="2_-_KPIs_Impacted_14"/>
      <sheetName val="FX_lookup14"/>
      <sheetName val="Drop_Down_Menus14"/>
      <sheetName val="FX_-_Assumptions13"/>
      <sheetName val="BU17_Summary13"/>
      <sheetName val="Financial_info13"/>
      <sheetName val="Completion_Instructions13"/>
      <sheetName val="Tipos_de_iniciativas13"/>
      <sheetName val="Supply_Cost_Centers13"/>
      <sheetName val="VIC_R&amp;O_List13"/>
      <sheetName val="Selection_Lists13"/>
      <sheetName val="Sales_Package_Input13"/>
      <sheetName val="Validacion_#112"/>
      <sheetName val="Other_Listings12"/>
      <sheetName val="BASE_LISTAS12"/>
      <sheetName val="R&amp;O_List11"/>
      <sheetName val="Cuentas_y_CeCos12"/>
      <sheetName val="RG%20depots%20jaar_XLS11"/>
      <sheetName val="요일_테이블12"/>
      <sheetName val="Sheet1_(2)11"/>
      <sheetName val="DE_PARA_(N_EXCLUIR)10"/>
      <sheetName val="Base_Canibalizacao_Vol10"/>
      <sheetName val="Reference_tab10"/>
      <sheetName val="Dropdown_list_LATAM10"/>
      <sheetName val="dep_pre10"/>
      <sheetName val="Figures_Report10"/>
      <sheetName val="POC_등급_202010"/>
      <sheetName val="NR_정리10"/>
      <sheetName val="Price_Off_기준10"/>
      <sheetName val="HE_판매증대활동_가이드_20년10"/>
      <sheetName val="20,_2월_POCs10"/>
      <sheetName val="년간_POCs_Price_Off10"/>
      <sheetName val="WS_코드10"/>
      <sheetName val="차량운행일지_요일테이블_업뎃_완료10"/>
      <sheetName val="Data_Lists10"/>
      <sheetName val="dados_blp10"/>
      <sheetName val="share_price_200210"/>
      <sheetName val="Cur_Ex_Rate10"/>
      <sheetName val="Distribución_C9"/>
      <sheetName val="Extract_Loss9"/>
      <sheetName val="G_WPS8"/>
      <sheetName val="G_GFP8"/>
      <sheetName val="G_GL8"/>
      <sheetName val="G_LSA8"/>
      <sheetName val="est_rev_8"/>
      <sheetName val="SNs_Meta_Categorias8"/>
      <sheetName val="ZAGREBAČKA_PIVOVARA6"/>
      <sheetName val="TIA_PARTNER6"/>
      <sheetName val="K_PIVOVARI6"/>
      <sheetName val="Other_Performance4"/>
      <sheetName val="RG_Depots19"/>
      <sheetName val="Launch_and_Maintenance17"/>
      <sheetName val="ARdistr_(2)17"/>
      <sheetName val="Validate_List17"/>
      <sheetName val="Agrega_Spend_Taxonomy17"/>
      <sheetName val="HUB_Structure17"/>
      <sheetName val="Distribución_D17"/>
      <sheetName val="RG_depots_jaar17"/>
      <sheetName val="Lista_total16"/>
      <sheetName val="Datos_por_SKU-categoria_2011_16"/>
      <sheetName val="Controls_data16"/>
      <sheetName val="список_SKU16"/>
      <sheetName val="Price_list16"/>
      <sheetName val="Budget_Summary16"/>
      <sheetName val="Monthly_Updating&gt;&gt;&gt;16"/>
      <sheetName val="LE_-_Input15"/>
      <sheetName val="drop_downs15"/>
      <sheetName val="Drop_down_list15"/>
      <sheetName val="2_-_KPIs_Impacted_15"/>
      <sheetName val="FX_lookup15"/>
      <sheetName val="Drop_Down_Menus15"/>
      <sheetName val="FX_-_Assumptions14"/>
      <sheetName val="BU17_Summary14"/>
      <sheetName val="Financial_info14"/>
      <sheetName val="Completion_Instructions14"/>
      <sheetName val="Tipos_de_iniciativas14"/>
      <sheetName val="Supply_Cost_Centers14"/>
      <sheetName val="VIC_R&amp;O_List14"/>
      <sheetName val="Selection_Lists14"/>
      <sheetName val="Sales_Package_Input14"/>
      <sheetName val="Validacion_#113"/>
      <sheetName val="Other_Listings13"/>
      <sheetName val="BASE_LISTAS13"/>
      <sheetName val="R&amp;O_List12"/>
      <sheetName val="Cuentas_y_CeCos13"/>
      <sheetName val="RG%20depots%20jaar_XLS12"/>
      <sheetName val="요일_테이블13"/>
      <sheetName val="Sheet1_(2)12"/>
      <sheetName val="DE_PARA_(N_EXCLUIR)11"/>
      <sheetName val="Base_Canibalizacao_Vol11"/>
      <sheetName val="Reference_tab11"/>
      <sheetName val="Figures_Report11"/>
      <sheetName val="POC_등급_202011"/>
      <sheetName val="NR_정리11"/>
      <sheetName val="Price_Off_기준11"/>
      <sheetName val="HE_판매증대활동_가이드_20년11"/>
      <sheetName val="20,_2월_POCs11"/>
      <sheetName val="년간_POCs_Price_Off11"/>
      <sheetName val="WS_코드11"/>
      <sheetName val="차량운행일지_요일테이블_업뎃_완료11"/>
      <sheetName val="Dropdown_list_LATAM11"/>
      <sheetName val="dep_pre11"/>
      <sheetName val="Data_Lists11"/>
      <sheetName val="dados_blp11"/>
      <sheetName val="share_price_200211"/>
      <sheetName val="Cur_Ex_Rate11"/>
      <sheetName val="Distribución_C10"/>
      <sheetName val="Extract_Loss10"/>
      <sheetName val="G_WPS9"/>
      <sheetName val="G_GFP9"/>
      <sheetName val="G_GL9"/>
      <sheetName val="G_LSA9"/>
      <sheetName val="est_rev_9"/>
      <sheetName val="SNs_Meta_Categorias9"/>
      <sheetName val="ZAGREBAČKA_PIVOVARA7"/>
      <sheetName val="TIA_PARTNER7"/>
      <sheetName val="K_PIVOVARI7"/>
      <sheetName val="Other_Performance5"/>
      <sheetName val="Cuota x Hl Global Brands"/>
      <sheetName val="Data validation"/>
      <sheetName val="BDPL"/>
      <sheetName val="Mex"/>
      <sheetName val="RG_Depots20"/>
      <sheetName val="Launch_and_Maintenance18"/>
      <sheetName val="ARdistr_(2)18"/>
      <sheetName val="Validate_List18"/>
      <sheetName val="Agrega_Spend_Taxonomy18"/>
      <sheetName val="HUB_Structure18"/>
      <sheetName val="Distribución_D18"/>
      <sheetName val="RG_depots_jaar18"/>
      <sheetName val="Datos_por_SKU-categoria_2011_17"/>
      <sheetName val="Lista_total17"/>
      <sheetName val="Controls_data17"/>
      <sheetName val="список_SKU17"/>
      <sheetName val="Price_list17"/>
      <sheetName val="Budget_Summary17"/>
      <sheetName val="Monthly_Updating&gt;&gt;&gt;17"/>
      <sheetName val="LE_-_Input16"/>
      <sheetName val="Drop_down_list16"/>
      <sheetName val="drop_downs16"/>
      <sheetName val="2_-_KPIs_Impacted_16"/>
      <sheetName val="Supply_Cost_Centers15"/>
      <sheetName val="FX_lookup16"/>
      <sheetName val="BU17_Summary15"/>
      <sheetName val="Drop_Down_Menus16"/>
      <sheetName val="FX_-_Assumptions15"/>
      <sheetName val="Financial_info15"/>
      <sheetName val="Completion_Instructions15"/>
      <sheetName val="Tipos_de_iniciativas15"/>
      <sheetName val="VIC_R&amp;O_List15"/>
      <sheetName val="Selection_Lists15"/>
      <sheetName val="Sales_Package_Input15"/>
      <sheetName val="Other_Listings14"/>
      <sheetName val="Validacion_#114"/>
      <sheetName val="BASE_LISTAS14"/>
      <sheetName val="R&amp;O_List13"/>
      <sheetName val="Cuentas_y_CeCos14"/>
      <sheetName val="RG%20depots%20jaar_XLS13"/>
      <sheetName val="요일_테이블14"/>
      <sheetName val="Sheet1_(2)13"/>
      <sheetName val="DE_PARA_(N_EXCLUIR)12"/>
      <sheetName val="Base_Canibalizacao_Vol12"/>
      <sheetName val="Reference_tab12"/>
      <sheetName val="Figures_Report12"/>
      <sheetName val="POC_등급_202012"/>
      <sheetName val="NR_정리12"/>
      <sheetName val="Price_Off_기준12"/>
      <sheetName val="HE_판매증대활동_가이드_20년12"/>
      <sheetName val="20,_2월_POCs12"/>
      <sheetName val="년간_POCs_Price_Off12"/>
      <sheetName val="WS_코드12"/>
      <sheetName val="차량운행일지_요일테이블_업뎃_완료12"/>
      <sheetName val="Dropdown_list_LATAM12"/>
      <sheetName val="dep_pre12"/>
      <sheetName val="Data_Lists12"/>
      <sheetName val="dados_blp12"/>
      <sheetName val="share_price_200212"/>
      <sheetName val="Cur_Ex_Rate12"/>
      <sheetName val="Distribución_C11"/>
      <sheetName val="Extract_Loss11"/>
      <sheetName val="G_WPS10"/>
      <sheetName val="G_GFP10"/>
      <sheetName val="G_GL10"/>
      <sheetName val="G_LSA10"/>
      <sheetName val="est_rev_10"/>
      <sheetName val="SNs_Meta_Categorias10"/>
      <sheetName val="ZAGREBAČKA_PIVOVARA8"/>
      <sheetName val="TIA_PARTNER8"/>
      <sheetName val="K_PIVOVARI8"/>
      <sheetName val="Other_Performance6"/>
      <sheetName val="Data_validation"/>
      <sheetName val="Cuota_x_Hl_Global_Brands"/>
      <sheetName val="Plan3"/>
      <sheetName val="REF"/>
      <sheetName val="NIELSEN_TOOL"/>
      <sheetName val="Données LMU"/>
      <sheetName val="eqpmad2"/>
      <sheetName val="Meta"/>
      <sheetName val="Data USA Adj US$"/>
      <sheetName val="Données_LMU"/>
      <sheetName val="1_Overview"/>
      <sheetName val="Setting"/>
      <sheetName val="AS"/>
      <sheetName val="10IM"/>
      <sheetName val="RAW AUS"/>
      <sheetName val="RAW NZP"/>
      <sheetName val="Cockpit"/>
      <sheetName val="Qs"/>
      <sheetName val="BLP"/>
      <sheetName val="Données_LMU1"/>
      <sheetName val="Data_USA_Adj_US$"/>
      <sheetName val="back MTD"/>
      <sheetName val="Back HK0010"/>
      <sheetName val="Données_LMU2"/>
      <sheetName val="Data_USA_Adj_US$1"/>
      <sheetName val="RAW_AUS"/>
      <sheetName val="RAW_NZP"/>
      <sheetName val="back_MTD"/>
      <sheetName val="Back_HK0010"/>
      <sheetName val="COLOR별 인쇄"/>
      <sheetName val="PROJECT LIST"/>
      <sheetName val="MACOMixData"/>
      <sheetName val="NRMixData"/>
      <sheetName val="NRMixData_YTD"/>
      <sheetName val="NRMixData_YTG"/>
      <sheetName val="Selection_Setting"/>
      <sheetName val="Brazil Sovereign"/>
      <sheetName val="RAW_AUS1"/>
      <sheetName val="RAW_NZP1"/>
      <sheetName val="Brazil_Sovereign"/>
      <sheetName val="Report-Daily"/>
      <sheetName val="GraphData"/>
      <sheetName val="PBO子渠道匹配"/>
      <sheetName val="LEGAL GUJ"/>
      <sheetName val="POWER ASSUMPTIONS"/>
      <sheetName val="Budget"/>
      <sheetName val="2019"/>
      <sheetName val="2020"/>
      <sheetName val="2021"/>
      <sheetName val="TARGETS BY MONTH"/>
      <sheetName val="2021 Customer Targets By Month"/>
      <sheetName val="Customer Data"/>
      <sheetName val="Targets"/>
      <sheetName val="Sheet5"/>
      <sheetName val="Total Sales"/>
      <sheetName val="Jan'21"/>
      <sheetName val="Mar'21"/>
      <sheetName val="April'21"/>
      <sheetName val="April'21 (2)"/>
      <sheetName val="May'21"/>
      <sheetName val="NEW"/>
      <sheetName val="JUNE"/>
      <sheetName val="July'21"/>
      <sheetName val="August'21"/>
      <sheetName val="September"/>
      <sheetName val="OCTOBER"/>
      <sheetName val="November"/>
      <sheetName val="December"/>
      <sheetName val="Sheet7"/>
      <sheetName val="Sheet6"/>
      <sheetName val="CLOSED OUT LETS _x0009_"/>
      <sheetName val="Swaziland_Data"/>
      <sheetName val="2019_Cases"/>
      <sheetName val="Sheet9"/>
      <sheetName val="perfil_fx_Hor"/>
      <sheetName val="Efeitos_vs__ppto101"/>
      <sheetName val="1_2_1_OM1"/>
    </sheetNames>
    <sheetDataSet>
      <sheetData sheetId="0" refreshError="1">
        <row r="42">
          <cell r="C42" t="str">
            <v>Centrum</v>
          </cell>
          <cell r="D42" t="str">
            <v>Sud</v>
          </cell>
          <cell r="E42" t="str">
            <v>België/Belgique</v>
          </cell>
        </row>
        <row r="43">
          <cell r="C43">
            <v>24.85</v>
          </cell>
          <cell r="D43">
            <v>38.06</v>
          </cell>
          <cell r="E43">
            <v>26.31</v>
          </cell>
        </row>
        <row r="44">
          <cell r="C44">
            <v>37.799999999999997</v>
          </cell>
          <cell r="D44">
            <v>38.479999999999997</v>
          </cell>
          <cell r="E44">
            <v>28.67</v>
          </cell>
        </row>
        <row r="45">
          <cell r="C45">
            <v>18.61</v>
          </cell>
          <cell r="D45">
            <v>34.11</v>
          </cell>
          <cell r="E45">
            <v>21.08</v>
          </cell>
        </row>
        <row r="46">
          <cell r="C46">
            <v>27.06</v>
          </cell>
          <cell r="D46">
            <v>23.95</v>
          </cell>
          <cell r="E46">
            <v>19.34</v>
          </cell>
        </row>
        <row r="48">
          <cell r="C48">
            <v>18</v>
          </cell>
          <cell r="D48">
            <v>18</v>
          </cell>
          <cell r="E48">
            <v>15.3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42">
          <cell r="C42" t="str">
            <v>Centrum</v>
          </cell>
        </row>
      </sheetData>
      <sheetData sheetId="81">
        <row r="42">
          <cell r="C42" t="str">
            <v>Centrum</v>
          </cell>
        </row>
      </sheetData>
      <sheetData sheetId="82">
        <row r="42">
          <cell r="C42" t="str">
            <v>Centrum</v>
          </cell>
        </row>
      </sheetData>
      <sheetData sheetId="83">
        <row r="42">
          <cell r="C42" t="str">
            <v>Centrum</v>
          </cell>
        </row>
      </sheetData>
      <sheetData sheetId="84">
        <row r="42">
          <cell r="C42" t="str">
            <v>Centrum</v>
          </cell>
        </row>
      </sheetData>
      <sheetData sheetId="85">
        <row r="42">
          <cell r="C42" t="str">
            <v>Centrum</v>
          </cell>
        </row>
      </sheetData>
      <sheetData sheetId="86">
        <row r="42">
          <cell r="C42" t="str">
            <v>Centrum</v>
          </cell>
        </row>
      </sheetData>
      <sheetData sheetId="87">
        <row r="42">
          <cell r="C42" t="str">
            <v>Centrum</v>
          </cell>
        </row>
      </sheetData>
      <sheetData sheetId="88">
        <row r="42">
          <cell r="C42" t="str">
            <v>Centrum</v>
          </cell>
        </row>
      </sheetData>
      <sheetData sheetId="89">
        <row r="42">
          <cell r="C42" t="str">
            <v>Centrum</v>
          </cell>
        </row>
      </sheetData>
      <sheetData sheetId="90">
        <row r="42">
          <cell r="C42" t="str">
            <v>Centrum</v>
          </cell>
        </row>
      </sheetData>
      <sheetData sheetId="91">
        <row r="42">
          <cell r="C42" t="str">
            <v>Centrum</v>
          </cell>
        </row>
      </sheetData>
      <sheetData sheetId="92">
        <row r="42">
          <cell r="C42" t="str">
            <v>Centrum</v>
          </cell>
        </row>
      </sheetData>
      <sheetData sheetId="93">
        <row r="42">
          <cell r="C42" t="str">
            <v>Centrum</v>
          </cell>
        </row>
      </sheetData>
      <sheetData sheetId="94">
        <row r="42">
          <cell r="C42" t="str">
            <v>Centrum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42">
          <cell r="C42" t="str">
            <v>Centrum</v>
          </cell>
        </row>
      </sheetData>
      <sheetData sheetId="165">
        <row r="42">
          <cell r="C42" t="str">
            <v>Centrum</v>
          </cell>
        </row>
      </sheetData>
      <sheetData sheetId="166">
        <row r="42">
          <cell r="C42" t="str">
            <v>Centrum</v>
          </cell>
        </row>
      </sheetData>
      <sheetData sheetId="167">
        <row r="42">
          <cell r="C42" t="str">
            <v>Centrum</v>
          </cell>
        </row>
      </sheetData>
      <sheetData sheetId="168">
        <row r="42">
          <cell r="C42" t="str">
            <v>Centrum</v>
          </cell>
        </row>
      </sheetData>
      <sheetData sheetId="169">
        <row r="42">
          <cell r="C42" t="str">
            <v>Centrum</v>
          </cell>
        </row>
      </sheetData>
      <sheetData sheetId="170">
        <row r="42">
          <cell r="C42" t="str">
            <v>Centrum</v>
          </cell>
        </row>
      </sheetData>
      <sheetData sheetId="171">
        <row r="42">
          <cell r="C42" t="str">
            <v>Centrum</v>
          </cell>
        </row>
      </sheetData>
      <sheetData sheetId="172">
        <row r="42">
          <cell r="C42" t="str">
            <v>Centrum</v>
          </cell>
        </row>
      </sheetData>
      <sheetData sheetId="173">
        <row r="42">
          <cell r="C42" t="str">
            <v>Centrum</v>
          </cell>
        </row>
      </sheetData>
      <sheetData sheetId="174">
        <row r="42">
          <cell r="C42" t="str">
            <v>Centrum</v>
          </cell>
        </row>
      </sheetData>
      <sheetData sheetId="175">
        <row r="42">
          <cell r="C42" t="str">
            <v>Centrum</v>
          </cell>
        </row>
      </sheetData>
      <sheetData sheetId="176">
        <row r="42">
          <cell r="C42" t="str">
            <v>Centrum</v>
          </cell>
        </row>
      </sheetData>
      <sheetData sheetId="177">
        <row r="42">
          <cell r="C42" t="str">
            <v>Centrum</v>
          </cell>
        </row>
      </sheetData>
      <sheetData sheetId="178">
        <row r="42">
          <cell r="C42" t="str">
            <v>Centrum</v>
          </cell>
        </row>
      </sheetData>
      <sheetData sheetId="179">
        <row r="42">
          <cell r="C42" t="str">
            <v>Centrum</v>
          </cell>
        </row>
      </sheetData>
      <sheetData sheetId="180">
        <row r="42">
          <cell r="C42" t="str">
            <v>Centrum</v>
          </cell>
        </row>
      </sheetData>
      <sheetData sheetId="181">
        <row r="42">
          <cell r="C42" t="str">
            <v>Centrum</v>
          </cell>
        </row>
      </sheetData>
      <sheetData sheetId="182">
        <row r="42">
          <cell r="C42" t="str">
            <v>Centrum</v>
          </cell>
        </row>
      </sheetData>
      <sheetData sheetId="183">
        <row r="42">
          <cell r="C42" t="str">
            <v>Centrum</v>
          </cell>
        </row>
      </sheetData>
      <sheetData sheetId="184">
        <row r="42">
          <cell r="C42" t="str">
            <v>Centrum</v>
          </cell>
        </row>
      </sheetData>
      <sheetData sheetId="185">
        <row r="42">
          <cell r="C42" t="str">
            <v>Centrum</v>
          </cell>
        </row>
      </sheetData>
      <sheetData sheetId="186">
        <row r="42">
          <cell r="C42" t="str">
            <v>Centrum</v>
          </cell>
        </row>
      </sheetData>
      <sheetData sheetId="187">
        <row r="42">
          <cell r="C42" t="str">
            <v>Centrum</v>
          </cell>
        </row>
      </sheetData>
      <sheetData sheetId="188">
        <row r="42">
          <cell r="C42" t="str">
            <v>Centrum</v>
          </cell>
        </row>
      </sheetData>
      <sheetData sheetId="189"/>
      <sheetData sheetId="190"/>
      <sheetData sheetId="191">
        <row r="42">
          <cell r="C42" t="str">
            <v>Centrum</v>
          </cell>
        </row>
      </sheetData>
      <sheetData sheetId="192">
        <row r="42">
          <cell r="C42" t="str">
            <v>Centrum</v>
          </cell>
        </row>
      </sheetData>
      <sheetData sheetId="193">
        <row r="42">
          <cell r="C42" t="str">
            <v>Centrum</v>
          </cell>
        </row>
      </sheetData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>
        <row r="42">
          <cell r="C42">
            <v>0</v>
          </cell>
        </row>
      </sheetData>
      <sheetData sheetId="209">
        <row r="42">
          <cell r="C42">
            <v>0</v>
          </cell>
        </row>
      </sheetData>
      <sheetData sheetId="210">
        <row r="42">
          <cell r="C42">
            <v>0</v>
          </cell>
        </row>
      </sheetData>
      <sheetData sheetId="211">
        <row r="42">
          <cell r="C42">
            <v>0</v>
          </cell>
        </row>
      </sheetData>
      <sheetData sheetId="212">
        <row r="42">
          <cell r="C42">
            <v>0</v>
          </cell>
        </row>
      </sheetData>
      <sheetData sheetId="213">
        <row r="42">
          <cell r="C42">
            <v>0</v>
          </cell>
        </row>
      </sheetData>
      <sheetData sheetId="214">
        <row r="42">
          <cell r="C42">
            <v>0</v>
          </cell>
        </row>
      </sheetData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>
        <row r="42">
          <cell r="C42" t="str">
            <v>Centrum</v>
          </cell>
        </row>
      </sheetData>
      <sheetData sheetId="222">
        <row r="42">
          <cell r="C42" t="str">
            <v>Centrum</v>
          </cell>
        </row>
      </sheetData>
      <sheetData sheetId="223">
        <row r="42">
          <cell r="C42" t="str">
            <v>Centrum</v>
          </cell>
        </row>
      </sheetData>
      <sheetData sheetId="224">
        <row r="42">
          <cell r="C42" t="str">
            <v>Centrum</v>
          </cell>
        </row>
      </sheetData>
      <sheetData sheetId="225">
        <row r="42">
          <cell r="C42" t="str">
            <v>Centrum</v>
          </cell>
        </row>
      </sheetData>
      <sheetData sheetId="226">
        <row r="42">
          <cell r="C42" t="str">
            <v>Centrum</v>
          </cell>
        </row>
      </sheetData>
      <sheetData sheetId="227">
        <row r="42">
          <cell r="C42" t="str">
            <v>Centrum</v>
          </cell>
        </row>
      </sheetData>
      <sheetData sheetId="228">
        <row r="42">
          <cell r="C42" t="str">
            <v>Centrum</v>
          </cell>
        </row>
      </sheetData>
      <sheetData sheetId="229">
        <row r="42">
          <cell r="C42" t="str">
            <v>Centrum</v>
          </cell>
        </row>
      </sheetData>
      <sheetData sheetId="230">
        <row r="42">
          <cell r="C42" t="str">
            <v>Centrum</v>
          </cell>
        </row>
      </sheetData>
      <sheetData sheetId="231">
        <row r="42">
          <cell r="C42" t="str">
            <v>Centrum</v>
          </cell>
        </row>
      </sheetData>
      <sheetData sheetId="232">
        <row r="42">
          <cell r="C42" t="str">
            <v>Centrum</v>
          </cell>
        </row>
      </sheetData>
      <sheetData sheetId="233">
        <row r="42">
          <cell r="C42" t="str">
            <v>Centrum</v>
          </cell>
        </row>
      </sheetData>
      <sheetData sheetId="234">
        <row r="42">
          <cell r="C42" t="str">
            <v>Centrum</v>
          </cell>
        </row>
      </sheetData>
      <sheetData sheetId="235">
        <row r="42">
          <cell r="C42" t="str">
            <v>Centrum</v>
          </cell>
        </row>
      </sheetData>
      <sheetData sheetId="236">
        <row r="42">
          <cell r="C42" t="str">
            <v>Centrum</v>
          </cell>
        </row>
      </sheetData>
      <sheetData sheetId="237">
        <row r="42">
          <cell r="C42" t="str">
            <v>Centrum</v>
          </cell>
        </row>
      </sheetData>
      <sheetData sheetId="238">
        <row r="42">
          <cell r="C42" t="str">
            <v>Centrum</v>
          </cell>
        </row>
      </sheetData>
      <sheetData sheetId="239">
        <row r="42">
          <cell r="C42" t="str">
            <v>Centrum</v>
          </cell>
        </row>
      </sheetData>
      <sheetData sheetId="240"/>
      <sheetData sheetId="241"/>
      <sheetData sheetId="242"/>
      <sheetData sheetId="243"/>
      <sheetData sheetId="244"/>
      <sheetData sheetId="245"/>
      <sheetData sheetId="246">
        <row r="42">
          <cell r="C42">
            <v>0</v>
          </cell>
        </row>
      </sheetData>
      <sheetData sheetId="247">
        <row r="42">
          <cell r="C42" t="str">
            <v>Centrum</v>
          </cell>
        </row>
      </sheetData>
      <sheetData sheetId="248">
        <row r="42">
          <cell r="C42">
            <v>0</v>
          </cell>
        </row>
      </sheetData>
      <sheetData sheetId="249">
        <row r="42">
          <cell r="C42">
            <v>0</v>
          </cell>
        </row>
      </sheetData>
      <sheetData sheetId="250">
        <row r="42">
          <cell r="C42">
            <v>0</v>
          </cell>
        </row>
      </sheetData>
      <sheetData sheetId="251">
        <row r="42">
          <cell r="C42" t="str">
            <v>Centrum</v>
          </cell>
        </row>
      </sheetData>
      <sheetData sheetId="252">
        <row r="42">
          <cell r="C42">
            <v>0</v>
          </cell>
        </row>
      </sheetData>
      <sheetData sheetId="253">
        <row r="42">
          <cell r="C42">
            <v>0</v>
          </cell>
        </row>
      </sheetData>
      <sheetData sheetId="254">
        <row r="42">
          <cell r="C42">
            <v>0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>
        <row r="42">
          <cell r="C42" t="str">
            <v>Centrum</v>
          </cell>
        </row>
      </sheetData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>
        <row r="42">
          <cell r="C42" t="str">
            <v>Centrum</v>
          </cell>
        </row>
      </sheetData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>
        <row r="42">
          <cell r="C42" t="str">
            <v>서서울 West Seoul</v>
          </cell>
        </row>
      </sheetData>
      <sheetData sheetId="319">
        <row r="42">
          <cell r="C42" t="str">
            <v>서서울 West Seoul</v>
          </cell>
        </row>
      </sheetData>
      <sheetData sheetId="320">
        <row r="42">
          <cell r="C42" t="str">
            <v>일</v>
          </cell>
        </row>
      </sheetData>
      <sheetData sheetId="321">
        <row r="42">
          <cell r="C42" t="str">
            <v>서서울 West Seoul</v>
          </cell>
        </row>
      </sheetData>
      <sheetData sheetId="322">
        <row r="42">
          <cell r="C42" t="str">
            <v>일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>
        <row r="42">
          <cell r="C42" t="str">
            <v>Centrum</v>
          </cell>
        </row>
      </sheetData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/>
      <sheetData sheetId="128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zil Sovereign"/>
      <sheetName val="Desconto"/>
      <sheetName val="Yield Curve"/>
      <sheetName val="Yield Curve (2)"/>
      <sheetName val="dados"/>
      <sheetName val="Brazil Swap"/>
      <sheetName val="Sheet2"/>
      <sheetName val="Treasuries"/>
      <sheetName val="Industrials"/>
      <sheetName val="Price"/>
      <sheetName val="Price (2)"/>
      <sheetName val="Feriados"/>
      <sheetName val="Sheet1"/>
      <sheetName val="Dados Cash"/>
      <sheetName val="MOL"/>
      <sheetName val="Sig Cycles_Accts &amp; Processes"/>
      <sheetName val="ACA"/>
      <sheetName val="PackAppear. (2)"/>
      <sheetName val="DePara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Pleitos"/>
      <sheetName val="Data"/>
      <sheetName val="Calc 1"/>
      <sheetName val="Dotaciones"/>
      <sheetName val="Worksheet"/>
      <sheetName val="Tudo"/>
      <sheetName val="Yield_Curve"/>
      <sheetName val="Yield_Curve_(2)"/>
      <sheetName val="Brazil_Sovereign"/>
      <sheetName val="Brazil_Swap"/>
      <sheetName val="Price_(2)"/>
      <sheetName val="Dados_Cash"/>
      <sheetName val="Relatório"/>
      <sheetName val="Recon_Pivot"/>
      <sheetName val="3-column"/>
      <sheetName val="Lists"/>
      <sheetName val="Step2_Histogram"/>
      <sheetName val="Step2_Correlation"/>
      <sheetName val="FLOWCHART-03"/>
      <sheetName val="Yield_Curve1"/>
      <sheetName val="Yield_Curve_(2)1"/>
      <sheetName val="Brazil_Sovereign1"/>
      <sheetName val="Brazil_Swap1"/>
      <sheetName val="Price_(2)1"/>
      <sheetName val="Dados_Cash1"/>
      <sheetName val="PackAppear__(2)"/>
      <sheetName val="Resu_Capex"/>
      <sheetName val="Efic_Consumo"/>
      <sheetName val="OOO_(2)"/>
      <sheetName val="PackAppear_"/>
      <sheetName val="PQCM_(2)"/>
      <sheetName val="PQRM_(2)"/>
      <sheetName val="Res_Executivo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Sig_Cycles_Accts_&amp;_Processes"/>
      <sheetName val="Calc_1"/>
      <sheetName val="WF China_YTD"/>
      <sheetName val="Parameters"/>
      <sheetName val="Yield_Curve2"/>
      <sheetName val="Yield_Curve_(2)2"/>
      <sheetName val="Brazil_Sovereign2"/>
      <sheetName val="Brazil_Swap2"/>
      <sheetName val="Price_(2)2"/>
      <sheetName val="Dados_Cash2"/>
      <sheetName val="PackAppear__(2)1"/>
      <sheetName val="Resu_Capex1"/>
      <sheetName val="Efic_Consumo1"/>
      <sheetName val="OOO_(2)1"/>
      <sheetName val="PackAppear_1"/>
      <sheetName val="PQCM_(2)1"/>
      <sheetName val="PQRM_(2)1"/>
      <sheetName val="Res_Executivo1"/>
      <sheetName val="Sig_Cycles_Accts_&amp;_Processes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Calc_11"/>
      <sheetName val="VOLUME"/>
      <sheetName val="Curve Comparisons"/>
      <sheetName val="bud99"/>
      <sheetName val="Riscos-Oport."/>
      <sheetName val="RET"/>
      <sheetName val="Parametrização"/>
      <sheetName val=""/>
      <sheetName val="[Curve Comp_x0000__x0000__x0000__x0000__x0000__x0000__x0000__x0000__x0000__x0000__x0000__x0000_Brazil S"/>
      <sheetName val="_Curve Comp"/>
      <sheetName val="Summary"/>
      <sheetName val="Hoja2"/>
      <sheetName val="Relatório SDG"/>
      <sheetName val="Reference"/>
      <sheetName val="Engine"/>
      <sheetName val="Assumptions"/>
      <sheetName val="Validate"/>
      <sheetName val="Financials"/>
      <sheetName val="EI Calc"/>
      <sheetName val="기간별 판매진척"/>
      <sheetName val="Table"/>
      <sheetName val="Graph"/>
      <sheetName val="요일 테이블"/>
      <sheetName val="기간별_판매진척"/>
      <sheetName val="Curve_Comparisons"/>
      <sheetName val="요일_테이블"/>
      <sheetName val="Controls"/>
      <sheetName val="LBO Model"/>
      <sheetName val="은행"/>
      <sheetName val="[Curve Comp????????????Brazil S"/>
      <sheetName val="Balance Fin ajust 2004"/>
      <sheetName val="Formulario"/>
      <sheetName val="bdic07"/>
      <sheetName val="EFECTIVO"/>
      <sheetName val="Bloomberg"/>
      <sheetName val="DATOS PARA INTERPOLACION"/>
      <sheetName val="DPN VALUE"/>
      <sheetName val="EVOLUMERCC"/>
      <sheetName val="PROM"/>
      <sheetName val="Tabla de amortización"/>
      <sheetName val="B-111"/>
      <sheetName val="Yield_Curve3"/>
      <sheetName val="Yield_Curve_(2)3"/>
      <sheetName val="Brazil_Sovereign3"/>
      <sheetName val="Brazil_Swap3"/>
      <sheetName val="Price_(2)3"/>
      <sheetName val="Dados_Cash3"/>
      <sheetName val="PackAppear__(2)2"/>
      <sheetName val="Resu_Capex2"/>
      <sheetName val="Efic_Consumo2"/>
      <sheetName val="OOO_(2)2"/>
      <sheetName val="PackAppear_2"/>
      <sheetName val="PQCM_(2)2"/>
      <sheetName val="PQRM_(2)2"/>
      <sheetName val="Res_Executivo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Sig_Cycles_Accts_&amp;_Processes2"/>
      <sheetName val="Calc_12"/>
      <sheetName val="Riscos-Oport_"/>
      <sheetName val="WF_China_YTD"/>
      <sheetName val="Database"/>
      <sheetName val="MATRICES"/>
      <sheetName val="PE1"/>
      <sheetName val="RS1"/>
      <sheetName val="SC1"/>
      <sheetName val="SP1"/>
      <sheetName val="BAU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Curve%20Comparisons.xls"/>
      <sheetName val="SJC"/>
      <sheetName val="SJR"/>
      <sheetName val="SOR"/>
      <sheetName val="Yield_Curve4"/>
      <sheetName val="Yield_Curve_(2)4"/>
      <sheetName val="Brazil_Sovereign4"/>
      <sheetName val="Brazil_Swap4"/>
      <sheetName val="Price_(2)4"/>
      <sheetName val="Dados_Cash4"/>
      <sheetName val="PackAppear__(2)3"/>
      <sheetName val="Resu_Capex3"/>
      <sheetName val="Efic_Consumo3"/>
      <sheetName val="OOO_(2)3"/>
      <sheetName val="PackAppear_3"/>
      <sheetName val="PQCM_(2)3"/>
      <sheetName val="PQRM_(2)3"/>
      <sheetName val="Res_Executivo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Sig_Cycles_Accts_&amp;_Processes3"/>
      <sheetName val="Calc_13"/>
      <sheetName val="WF_China_YTD1"/>
      <sheetName val="Curve_Comparisons1"/>
      <sheetName val="Riscos-Oport_1"/>
      <sheetName val="[Curve_CompBrazil_S"/>
      <sheetName val="_Curve_Comp"/>
      <sheetName val="Relatório_SDG"/>
      <sheetName val="기간별_판매진척1"/>
      <sheetName val="요일_테이블1"/>
      <sheetName val="EI_Calc"/>
      <sheetName val="LBO_Model"/>
      <sheetName val="[Curve_Comp????????????Brazil_S"/>
      <sheetName val="Balance_Fin_ajust_2004"/>
      <sheetName val="DATOS_PARA_INTERPOLACION"/>
      <sheetName val="DPN_VALUE"/>
      <sheetName val="Tabla_de_amortización"/>
      <sheetName val="Motivos"/>
      <sheetName val="Plan5"/>
      <sheetName val="Diária"/>
      <sheetName val="Plan2"/>
      <sheetName val="Plan3"/>
      <sheetName val="Coleta dados"/>
      <sheetName val="IV Confiabilidade"/>
      <sheetName val="IV Indisponibilidade"/>
      <sheetName val="Check R. Diária"/>
      <sheetName val="Histórico_Check R. Diária"/>
      <sheetName val="[Curve Comp_x005f_x0000__x005f_x0000__x0000"/>
      <sheetName val="_Curve Comp_x005f_x0000__x005f_x0000__x0000"/>
      <sheetName val="BaseDados"/>
      <sheetName val="Datos"/>
      <sheetName val="_Curve Comp____________Brazil S"/>
      <sheetName val="[Curve Comp"/>
      <sheetName val="Comparativo 99X00"/>
      <sheetName val="validaciones"/>
      <sheetName val="Tabela de Parâmetros"/>
      <sheetName val="Versao 1b ($=R$2,13)"/>
      <sheetName val="CRITERIOS"/>
      <sheetName val="BANCO"/>
      <sheetName val="2.주요계수총괄"/>
      <sheetName val="Pg 1"/>
      <sheetName val="STARTSHEET"/>
      <sheetName val="Vol-Mix x Seg AN"/>
      <sheetName val="Listas"/>
      <sheetName val="Fechamento Mês"/>
      <sheetName val="Recebimento"/>
      <sheetName val="Fechamento Diário"/>
      <sheetName val="High Light"/>
      <sheetName val="% Dispersão"/>
      <sheetName val="% Reprovação"/>
      <sheetName val="% Caco Limpo Unid."/>
      <sheetName val="Limpeza de Flint"/>
      <sheetName val="Recb. Coop."/>
      <sheetName val="Recb. Flint"/>
      <sheetName val="Apoio Material"/>
      <sheetName val="Apoio transp."/>
      <sheetName val="VLC_Packages"/>
      <sheetName val="BD"/>
      <sheetName val="Indice"/>
      <sheetName val="5.1"/>
      <sheetName val="INVESTMENTS EUR"/>
      <sheetName val="DIVESTMENTS EUR"/>
      <sheetName val="Empresas"/>
      <sheetName val="Price DB"/>
      <sheetName val="CostComponent"/>
      <sheetName val="source"/>
      <sheetName val="BLP"/>
      <sheetName val="_Curve Comp_x005f_x005f_x005f_x0000__x005f_x005f_"/>
      <sheetName val="[Curve Comp_x005f_x005f_x005f_x0000__x005f_x005f_"/>
      <sheetName val="1o_Sem"/>
      <sheetName val="2o_Sem"/>
      <sheetName val="ID_Ano"/>
      <sheetName val="Sistema"/>
      <sheetName val="Données LMU"/>
      <sheetName val="Pareto"/>
      <sheetName val="CONTADOR"/>
      <sheetName val="PGK-1610"/>
      <sheetName val="Passo2_Histograma"/>
      <sheetName val="Total CDD"/>
      <sheetName val="total list"/>
      <sheetName val="Tables"/>
      <sheetName val="Catalogo"/>
      <sheetName val="Setup"/>
      <sheetName val="producto"/>
      <sheetName val="_Curve_CompBrazil_S"/>
      <sheetName val="_Curve_Comp____________Brazil_S"/>
      <sheetName val="판매진척"/>
      <sheetName val="LISTA SUSPENSA"/>
      <sheetName val="Directrices de Metas 2017"/>
      <sheetName val="base"/>
      <sheetName val="Tabelas"/>
      <sheetName val="VICTEL ($R)"/>
      <sheetName val="PLMM-R$"/>
      <sheetName val="BC - Main model"/>
      <sheetName val="BEAT "/>
      <sheetName val="CIEL PURIFICADA "/>
      <sheetName val="FANTA "/>
      <sheetName val="FRESCA "/>
      <sheetName val="COCA-COLA EXPORT"/>
      <sheetName val="COCA-COLA LIGHT "/>
      <sheetName val="LIFT "/>
      <sheetName val="NESTEA "/>
      <sheetName val="POWERADE "/>
      <sheetName val="DISNEY "/>
      <sheetName val="SENZAO "/>
      <sheetName val="SPRITE"/>
      <sheetName val="TABELA DE PREÇOS"/>
      <sheetName val="COEFICIENTES"/>
      <sheetName val="Integração - Earned Value"/>
      <sheetName val="Lojas"/>
      <sheetName val="Yield_Curve6"/>
      <sheetName val="Yield_Curve_(2)6"/>
      <sheetName val="Brazil_Sovereign6"/>
      <sheetName val="Brazil_Swap6"/>
      <sheetName val="Price_(2)6"/>
      <sheetName val="Dados_Cash6"/>
      <sheetName val="기간별_판매진척3"/>
      <sheetName val="Curve_Comparisons3"/>
      <sheetName val="요일_테이블3"/>
      <sheetName val="PackAppear__(2)5"/>
      <sheetName val="Resu_Capex5"/>
      <sheetName val="Efic_Consumo5"/>
      <sheetName val="OOO_(2)5"/>
      <sheetName val="PackAppear_5"/>
      <sheetName val="PQCM_(2)5"/>
      <sheetName val="PQRM_(2)5"/>
      <sheetName val="Res_Executivo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Sig_Cycles_Accts_&amp;_Processes5"/>
      <sheetName val="Calc_15"/>
      <sheetName val="_Curve_Comp2"/>
      <sheetName val="WF_China_YTD3"/>
      <sheetName val="Riscos-Oport_3"/>
      <sheetName val="Relatório_SDG2"/>
      <sheetName val="EI_Calc2"/>
      <sheetName val="LBO_Model2"/>
      <sheetName val="[Curve_Comp????????????Brazil_2"/>
      <sheetName val="Balance_Fin_ajust_20042"/>
      <sheetName val="DATOS_PARA_INTERPOLACION2"/>
      <sheetName val="DPN_VALUE2"/>
      <sheetName val="Tabla_de_amortización2"/>
      <sheetName val="Coleta_dados1"/>
      <sheetName val="IV_Confiabilidade1"/>
      <sheetName val="IV_Indisponibilidade1"/>
      <sheetName val="Check_R__Diária1"/>
      <sheetName val="Histórico_Check_R__Diária1"/>
      <sheetName val="[Curve_Comp_x005f_x0000__x005f_x0000__x0001"/>
      <sheetName val="_Curve_Comp_x005f_x0000__x005f_x0000__x0001"/>
      <sheetName val="_Curve_Comp____________Brazil_1"/>
      <sheetName val="2_주요계수총괄1"/>
      <sheetName val="[Curve_Comp1"/>
      <sheetName val="Comparativo_99X001"/>
      <sheetName val="Tabela_de_Parâmetros1"/>
      <sheetName val="Versao_1b_($=R$2,13)1"/>
      <sheetName val="Pg_11"/>
      <sheetName val="Vol-Mix_x_Seg_AN1"/>
      <sheetName val="Fechamento_Mês1"/>
      <sheetName val="Fechamento_Diário1"/>
      <sheetName val="High_Light1"/>
      <sheetName val="%_Dispersão1"/>
      <sheetName val="%_Reprovação1"/>
      <sheetName val="%_Caco_Limpo_Unid_1"/>
      <sheetName val="Limpeza_de_Flint1"/>
      <sheetName val="Recb__Coop_1"/>
      <sheetName val="Recb__Flint1"/>
      <sheetName val="Apoio_Material1"/>
      <sheetName val="Apoio_transp_1"/>
      <sheetName val="INVESTMENTS_EUR"/>
      <sheetName val="DIVESTMENTS_EUR"/>
      <sheetName val="5_1"/>
      <sheetName val="Price_DB"/>
      <sheetName val="_Curve_Comp_x005f_x005f_x005f_x0000__x005f_x005f_"/>
      <sheetName val="[Curve_Comp_x005f_x005f_x005f_x0000__x005f_x005f_"/>
      <sheetName val="Données_LMU"/>
      <sheetName val="total_list"/>
      <sheetName val="Yield_Curve5"/>
      <sheetName val="Yield_Curve_(2)5"/>
      <sheetName val="Brazil_Sovereign5"/>
      <sheetName val="Brazil_Swap5"/>
      <sheetName val="Price_(2)5"/>
      <sheetName val="Dados_Cash5"/>
      <sheetName val="기간별_판매진척2"/>
      <sheetName val="Curve_Comparisons2"/>
      <sheetName val="요일_테이블2"/>
      <sheetName val="PackAppear__(2)4"/>
      <sheetName val="Resu_Capex4"/>
      <sheetName val="Efic_Consumo4"/>
      <sheetName val="OOO_(2)4"/>
      <sheetName val="PackAppear_4"/>
      <sheetName val="PQCM_(2)4"/>
      <sheetName val="PQRM_(2)4"/>
      <sheetName val="Res_Executivo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Sig_Cycles_Accts_&amp;_Processes4"/>
      <sheetName val="Calc_14"/>
      <sheetName val="_Curve_Comp1"/>
      <sheetName val="WF_China_YTD2"/>
      <sheetName val="Riscos-Oport_2"/>
      <sheetName val="Relatório_SDG1"/>
      <sheetName val="EI_Calc1"/>
      <sheetName val="LBO_Model1"/>
      <sheetName val="[Curve_Comp????????????Brazil_1"/>
      <sheetName val="Balance_Fin_ajust_20041"/>
      <sheetName val="DATOS_PARA_INTERPOLACION1"/>
      <sheetName val="DPN_VALUE1"/>
      <sheetName val="Tabla_de_amortización1"/>
      <sheetName val="Coleta_dados"/>
      <sheetName val="IV_Confiabilidade"/>
      <sheetName val="IV_Indisponibilidade"/>
      <sheetName val="Check_R__Diária"/>
      <sheetName val="Histórico_Check_R__Diária"/>
      <sheetName val="[Curve_Comp_x005f_x0000__x005f_x0000__x0000"/>
      <sheetName val="_Curve_Comp_x005f_x0000__x005f_x0000__x0000"/>
      <sheetName val="2_주요계수총괄"/>
      <sheetName val="[Curve_Comp"/>
      <sheetName val="Comparativo_99X00"/>
      <sheetName val="Tabela_de_Parâmetros"/>
      <sheetName val="Versao_1b_($=R$2,13)"/>
      <sheetName val="Pg_1"/>
      <sheetName val="Vol-Mix_x_Seg_AN"/>
      <sheetName val="Fechamento_Mês"/>
      <sheetName val="Fechamento_Diário"/>
      <sheetName val="High_Light"/>
      <sheetName val="%_Dispersão"/>
      <sheetName val="%_Reprovação"/>
      <sheetName val="%_Caco_Limpo_Unid_"/>
      <sheetName val="Limpeza_de_Flint"/>
      <sheetName val="Recb__Coop_"/>
      <sheetName val="Recb__Flint"/>
      <sheetName val="Apoio_Material"/>
      <sheetName val="Apoio_transp_"/>
      <sheetName val="코드"/>
      <sheetName val="_Curve Comp_x0000__x0000__x0000"/>
      <sheetName val="_Curve Comp_x005f_x0000__"/>
      <sheetName val="CausasProblemasFolios"/>
      <sheetName val="Base de datos"/>
      <sheetName val="TOP KPIs MTM"/>
      <sheetName val="Total_CDD"/>
      <sheetName val="Data Validation"/>
      <sheetName val="PozoPivot"/>
      <sheetName val="InyeccionPivot"/>
      <sheetName val="RG Depots"/>
      <sheetName val="plamarc"/>
      <sheetName val="Outubro 2018"/>
      <sheetName val="Datos Cta Balance"/>
      <sheetName val="IMMATREN"/>
      <sheetName val="prog. tv aberta ca"/>
      <sheetName val="prog. tv aberta fox"/>
      <sheetName val="TABELA_DE_PREÇOS"/>
      <sheetName val="Yield_Curve7"/>
      <sheetName val="Yield_Curve_(2)7"/>
      <sheetName val="Brazil_Sovereign7"/>
      <sheetName val="Brazil_Swap7"/>
      <sheetName val="Price_(2)7"/>
      <sheetName val="Dados_Cash7"/>
      <sheetName val="Sig_Cycles_Accts_&amp;_Processes6"/>
      <sheetName val="PackAppear__(2)6"/>
      <sheetName val="Resu_Capex6"/>
      <sheetName val="Efic_Consumo6"/>
      <sheetName val="OOO_(2)6"/>
      <sheetName val="PackAppear_6"/>
      <sheetName val="PQCM_(2)6"/>
      <sheetName val="PQRM_(2)6"/>
      <sheetName val="Res_Executivo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Calc_16"/>
      <sheetName val="WF_China_YTD4"/>
      <sheetName val="Curve_Comparisons4"/>
      <sheetName val="Riscos-Oport_4"/>
      <sheetName val="_Curve_Comp3"/>
      <sheetName val="Relatório_SDG3"/>
      <sheetName val="EI_Calc3"/>
      <sheetName val="기간별_판매진척4"/>
      <sheetName val="요일_테이블4"/>
      <sheetName val="LBO_Model3"/>
      <sheetName val="[Curve_Comp????????????Brazil_3"/>
      <sheetName val="Balance_Fin_ajust_20043"/>
      <sheetName val="DATOS_PARA_INTERPOLACION3"/>
      <sheetName val="DPN_VALUE3"/>
      <sheetName val="Tabla_de_amortización3"/>
      <sheetName val="Curve%20Comparisons_xls"/>
      <sheetName val="Coleta_dados2"/>
      <sheetName val="IV_Confiabilidade2"/>
      <sheetName val="IV_Indisponibilidade2"/>
      <sheetName val="Check_R__Diária2"/>
      <sheetName val="Histórico_Check_R__Diária2"/>
      <sheetName val="[Curve_Comp_x005f_x0000__x005f_x0000__x0002"/>
      <sheetName val="_Curve_Comp_x005f_x0000__x005f_x0000__x0002"/>
      <sheetName val="_Curve_Comp____________Brazil_2"/>
      <sheetName val="[Curve_Comp2"/>
      <sheetName val="Comparativo_99X002"/>
      <sheetName val="Tabela_de_Parâmetros2"/>
      <sheetName val="Versao_1b_($=R$2,13)2"/>
      <sheetName val="2_주요계수총괄2"/>
      <sheetName val="Pg_12"/>
      <sheetName val="Vol-Mix_x_Seg_AN2"/>
      <sheetName val="Fechamento_Mês2"/>
      <sheetName val="Fechamento_Diário2"/>
      <sheetName val="High_Light2"/>
      <sheetName val="%_Dispersão2"/>
      <sheetName val="%_Reprovação2"/>
      <sheetName val="%_Caco_Limpo_Unid_2"/>
      <sheetName val="Limpeza_de_Flint2"/>
      <sheetName val="Recb__Coop_2"/>
      <sheetName val="Recb__Flint2"/>
      <sheetName val="Apoio_Material2"/>
      <sheetName val="Apoio_transp_2"/>
      <sheetName val="5_11"/>
      <sheetName val="INVESTMENTS_EUR1"/>
      <sheetName val="DIVESTMENTS_EUR1"/>
      <sheetName val="Price_DB1"/>
      <sheetName val="_Curve_Comp_x005f_x005f_x005f_x0000__x005f1"/>
      <sheetName val="[Curve_Comp_x005f_x005f_x005f_x0000__x005f1"/>
      <sheetName val="Données_LMU1"/>
      <sheetName val="Total_CDD1"/>
      <sheetName val="total_list1"/>
      <sheetName val="LISTA_SUSPENSA"/>
      <sheetName val="Directrices_de_Metas_2017"/>
      <sheetName val="VICTEL_($R)"/>
      <sheetName val="BC_-_Main_model"/>
      <sheetName val="Integração_-_Earned_Value"/>
      <sheetName val="BEAT_"/>
      <sheetName val="CIEL_PURIFICADA_"/>
      <sheetName val="DISNEY_"/>
      <sheetName val="FANTA_"/>
      <sheetName val="FRESCA_"/>
      <sheetName val="COCA-COLA_EXPORT"/>
      <sheetName val="COCA-COLA_LIGHT_"/>
      <sheetName val="LIFT_"/>
      <sheetName val="NESTEA_"/>
      <sheetName val="POWERADE_"/>
      <sheetName val="SENZAO_"/>
      <sheetName val="_Curve_Comp_x0000"/>
      <sheetName val="_Curve_Comp_x005f_x0000__"/>
      <sheetName val="Base_de_datos"/>
      <sheetName val="TOP_KPIs_MTM"/>
      <sheetName val="Data_Validation"/>
      <sheetName val="RG_Depots"/>
      <sheetName val="Outubro_2018"/>
      <sheetName val="prog__tv_aberta_ca"/>
      <sheetName val="prog__tv_aberta_fox"/>
      <sheetName val="TABELA_DE_PREÇOS1"/>
      <sheetName val="Yield_Curve8"/>
      <sheetName val="Yield_Curve_(2)8"/>
      <sheetName val="Brazil_Sovereign8"/>
      <sheetName val="Brazil_Swap8"/>
      <sheetName val="Price_(2)8"/>
      <sheetName val="Dados_Cash8"/>
      <sheetName val="Sig_Cycles_Accts_&amp;_Processes7"/>
      <sheetName val="PackAppear__(2)7"/>
      <sheetName val="Resu_Capex7"/>
      <sheetName val="Efic_Consumo7"/>
      <sheetName val="OOO_(2)7"/>
      <sheetName val="PackAppear_7"/>
      <sheetName val="PQCM_(2)7"/>
      <sheetName val="PQRM_(2)7"/>
      <sheetName val="Res_Executivo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Calc_17"/>
      <sheetName val="WF_China_YTD5"/>
      <sheetName val="Curve_Comparisons5"/>
      <sheetName val="Riscos-Oport_5"/>
      <sheetName val="_Curve_Comp4"/>
      <sheetName val="Relatório_SDG4"/>
      <sheetName val="EI_Calc4"/>
      <sheetName val="기간별_판매진척5"/>
      <sheetName val="요일_테이블5"/>
      <sheetName val="LBO_Model4"/>
      <sheetName val="[Curve_Comp????????????Brazil_4"/>
      <sheetName val="Balance_Fin_ajust_20044"/>
      <sheetName val="DATOS_PARA_INTERPOLACION4"/>
      <sheetName val="DPN_VALUE4"/>
      <sheetName val="Tabla_de_amortización4"/>
      <sheetName val="Curve%20Comparisons_xls1"/>
      <sheetName val="Coleta_dados3"/>
      <sheetName val="IV_Confiabilidade3"/>
      <sheetName val="IV_Indisponibilidade3"/>
      <sheetName val="Check_R__Diária3"/>
      <sheetName val="Histórico_Check_R__Diária3"/>
      <sheetName val="[Curve_Comp_x005f_x0000__x005f_x0000__x0003"/>
      <sheetName val="_Curve_Comp_x005f_x0000__x005f_x0000__x0003"/>
      <sheetName val="_Curve_Comp____________Brazil_3"/>
      <sheetName val="[Curve_Comp3"/>
      <sheetName val="Comparativo_99X003"/>
      <sheetName val="Tabela_de_Parâmetros3"/>
      <sheetName val="Versao_1b_($=R$2,13)3"/>
      <sheetName val="2_주요계수총괄3"/>
      <sheetName val="Pg_13"/>
      <sheetName val="Vol-Mix_x_Seg_AN3"/>
      <sheetName val="Fechamento_Mês3"/>
      <sheetName val="Fechamento_Diário3"/>
      <sheetName val="High_Light3"/>
      <sheetName val="%_Dispersão3"/>
      <sheetName val="%_Reprovação3"/>
      <sheetName val="%_Caco_Limpo_Unid_3"/>
      <sheetName val="Limpeza_de_Flint3"/>
      <sheetName val="Recb__Coop_3"/>
      <sheetName val="Recb__Flint3"/>
      <sheetName val="Apoio_Material3"/>
      <sheetName val="Apoio_transp_3"/>
      <sheetName val="5_12"/>
      <sheetName val="INVESTMENTS_EUR2"/>
      <sheetName val="DIVESTMENTS_EUR2"/>
      <sheetName val="Price_DB2"/>
      <sheetName val="_Curve_Comp_x005f_x005f_x005f_x0000__x005f2"/>
      <sheetName val="[Curve_Comp_x005f_x005f_x005f_x0000__x005f2"/>
      <sheetName val="Données_LMU2"/>
      <sheetName val="Total_CDD2"/>
      <sheetName val="total_list2"/>
      <sheetName val="LISTA_SUSPENSA1"/>
      <sheetName val="Directrices_de_Metas_20171"/>
      <sheetName val="VICTEL_($R)1"/>
      <sheetName val="BC_-_Main_model1"/>
      <sheetName val="Integração_-_Earned_Value1"/>
      <sheetName val="BEAT_1"/>
      <sheetName val="CIEL_PURIFICADA_1"/>
      <sheetName val="DISNEY_1"/>
      <sheetName val="FANTA_1"/>
      <sheetName val="FRESCA_1"/>
      <sheetName val="COCA-COLA_EXPORT1"/>
      <sheetName val="COCA-COLA_LIGHT_1"/>
      <sheetName val="LIFT_1"/>
      <sheetName val="NESTEA_1"/>
      <sheetName val="POWERADE_1"/>
      <sheetName val="SENZAO_1"/>
      <sheetName val="_Curve_Comp_x005f_x0000__1"/>
      <sheetName val="Base_de_datos1"/>
      <sheetName val="TOP_KPIs_MTM1"/>
      <sheetName val="Data_Validation1"/>
      <sheetName val="RG_Depots1"/>
      <sheetName val="Outubro_20181"/>
      <sheetName val="prog__tv_aberta_ca1"/>
      <sheetName val="prog__tv_aberta_fox1"/>
      <sheetName val="distr.outdoor"/>
      <sheetName val="Datos_Cta_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 refreshError="1"/>
      <sheetData sheetId="69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 Price 2002"/>
      <sheetName val="Group Comparative GAAP"/>
      <sheetName val="Group Comparative IAS"/>
      <sheetName val="R-U IAS History"/>
      <sheetName val="Cash Flow Working"/>
      <sheetName val="REPO"/>
      <sheetName val="TB GAAP"/>
      <sheetName val="TB IAS"/>
      <sheetName val="Income Statement"/>
      <sheetName val="Balance Sheet"/>
      <sheetName val="Cash Flow"/>
      <sheetName val="G-I-F Total"/>
      <sheetName val="G-I-F (RU)"/>
      <sheetName val="G-I-F (UA)"/>
      <sheetName val="FLash IAS"/>
      <sheetName val="Loans"/>
      <sheetName val="Cash Flow support"/>
      <sheetName val="Income Statement Russia and Ukr"/>
      <sheetName val="Class A Shares Outstanding"/>
      <sheetName val="Class B Shares Outstanding"/>
      <sheetName val="Dilutive Shares Outstanding"/>
      <sheetName val="EPS Working"/>
      <sheetName val="RE Working"/>
      <sheetName val="Change of Equity"/>
      <sheetName val="Sheet1"/>
      <sheetName val="Sheet2"/>
      <sheetName val="Sheet3"/>
      <sheetName val="Dados BLP"/>
      <sheetName val="Brazil Sovereign"/>
      <sheetName val="COTAÇÕES"/>
      <sheetName val="BLP"/>
      <sheetName val="bud99"/>
      <sheetName val="Par"/>
      <sheetName val="Reference"/>
      <sheetName val="Ventas"/>
      <sheetName val="Parameters"/>
      <sheetName val="Lists"/>
      <sheetName val="FR"/>
      <sheetName val="Library"/>
      <sheetName val="Cover &amp; Parameters"/>
      <sheetName val="XLR_NoRangeSheet"/>
      <sheetName val="GAAP &amp; IAS Group TB &amp; Reports Q"/>
      <sheetName val="STARTSHEET"/>
      <sheetName val="REALxMETA - CERVEJA"/>
      <sheetName val="Unidades SAC-REVENDA"/>
      <sheetName val="FX-Rates"/>
      <sheetName val="Menu"/>
      <sheetName val="Data"/>
      <sheetName val="Setting"/>
      <sheetName val="dep pre"/>
      <sheetName val="Front"/>
      <sheetName val="Версия"/>
      <sheetName val="Инструкция"/>
      <sheetName val="Расчет цикла"/>
      <sheetName val="Диаграмма"/>
      <sheetName val="Главный лист"/>
      <sheetName val="Факт"/>
      <sheetName val="Уборки"/>
      <sheetName val="Рецепты партий"/>
      <sheetName val="Рецепты"/>
      <sheetName val="Переменные"/>
      <sheetName val="Тоннаж из графика"/>
      <sheetName val="Операции"/>
      <sheetName val="Количество"/>
      <sheetName val="Прод-ть"/>
      <sheetName val="POCE"/>
      <sheetName val="MOL"/>
      <sheetName val="Empresas"/>
      <sheetName val="Participantes"/>
      <sheetName val="Tabelas"/>
      <sheetName val="FLOWCHART-03"/>
      <sheetName val="Plan1"/>
      <sheetName val="brand definitions"/>
      <sheetName val="plant"/>
      <sheetName val="PREMISAS"/>
      <sheetName val="Controls"/>
      <sheetName val="LBO Model"/>
      <sheetName val="Calc 1"/>
      <sheetName val="Eviews_Suporte"/>
      <sheetName val="WIP"/>
      <sheetName val="Validation"/>
      <sheetName val="Selection Lists"/>
      <sheetName val="progr"/>
      <sheetName val="Group_Comparative_GAAP"/>
      <sheetName val="Group_Comparative_IAS"/>
      <sheetName val="R-U_IAS_History"/>
      <sheetName val="Cash_Flow_Working"/>
      <sheetName val="TB_GAAP"/>
      <sheetName val="TB_IAS"/>
      <sheetName val="Income_Statement"/>
      <sheetName val="Balance_Sheet"/>
      <sheetName val="Cash_Flow"/>
      <sheetName val="G-I-F_Total"/>
      <sheetName val="G-I-F_(RU)"/>
      <sheetName val="G-I-F_(UA)"/>
      <sheetName val="FLash_IAS"/>
      <sheetName val="Cash_Flow_support"/>
      <sheetName val="Income_Statement_Russia_and_Ukr"/>
      <sheetName val="Class_A_Shares_Outstanding"/>
      <sheetName val="Class_B_Shares_Outstanding"/>
      <sheetName val="Dilutive_Shares_Outstanding"/>
      <sheetName val="EPS_Working"/>
      <sheetName val="Share_Price_2002"/>
      <sheetName val="RE_Working"/>
      <sheetName val="Change_of_Equity"/>
      <sheetName val="Dados_BLP"/>
      <sheetName val="Brazil_Sovereign"/>
      <sheetName val="Cover_&amp;_Parameters"/>
      <sheetName val="REALxMETA_-_CERVEJA"/>
      <sheetName val="Unidades_SAC-REVENDA"/>
      <sheetName val="GAAP_&amp;_IAS_Group_TB_&amp;_Reports_Q"/>
      <sheetName val="dep_pre"/>
      <sheetName val="Расчет_цикла"/>
      <sheetName val="Главный_лист"/>
      <sheetName val="Рецепты_партий"/>
      <sheetName val="Тоннаж_из_графика"/>
      <sheetName val="brand_definitions"/>
      <sheetName val="Group_Comparative_GAAP1"/>
      <sheetName val="Group_Comparative_IAS1"/>
      <sheetName val="R-U_IAS_History1"/>
      <sheetName val="Cash_Flow_Working1"/>
      <sheetName val="TB_GAAP1"/>
      <sheetName val="TB_IAS1"/>
      <sheetName val="Income_Statement1"/>
      <sheetName val="Balance_Sheet1"/>
      <sheetName val="Cash_Flow1"/>
      <sheetName val="G-I-F_Total1"/>
      <sheetName val="G-I-F_(RU)1"/>
      <sheetName val="G-I-F_(UA)1"/>
      <sheetName val="FLash_IAS1"/>
      <sheetName val="Cash_Flow_support1"/>
      <sheetName val="Income_Statement_Russia_and_Uk1"/>
      <sheetName val="Class_A_Shares_Outstanding1"/>
      <sheetName val="Class_B_Shares_Outstanding1"/>
      <sheetName val="Dilutive_Shares_Outstanding1"/>
      <sheetName val="EPS_Working1"/>
      <sheetName val="Share_Price_20021"/>
      <sheetName val="RE_Working1"/>
      <sheetName val="Change_of_Equity1"/>
      <sheetName val="Dados_BLP1"/>
      <sheetName val="Brazil_Sovereign1"/>
      <sheetName val="Cover_&amp;_Parameters1"/>
      <sheetName val="REALxMETA_-_CERVEJA1"/>
      <sheetName val="Unidades_SAC-REVENDA1"/>
      <sheetName val="GAAP_&amp;_IAS_Group_TB_&amp;_Reports_1"/>
      <sheetName val="dep_pre1"/>
      <sheetName val="Расчет_цикла1"/>
      <sheetName val="Главный_лист1"/>
      <sheetName val="Рецепты_партий1"/>
      <sheetName val="Тоннаж_из_графика1"/>
      <sheetName val="brand_definitions1"/>
      <sheetName val="Step2_Correlation"/>
      <sheetName val="Step2_Histogram"/>
      <sheetName val="C90_NET"/>
      <sheetName val="Data Input Sheet"/>
      <sheetName val="Volume per Region"/>
      <sheetName val="db"/>
      <sheetName val="Assum"/>
      <sheetName val="ProjectList"/>
      <sheetName val="Group_Comparative_GAAP2"/>
      <sheetName val="Group_Comparative_IAS2"/>
      <sheetName val="R-U_IAS_History2"/>
      <sheetName val="Cash_Flow_Working2"/>
      <sheetName val="TB_GAAP2"/>
      <sheetName val="TB_IAS2"/>
      <sheetName val="Income_Statement2"/>
      <sheetName val="Balance_Sheet2"/>
      <sheetName val="Cash_Flow2"/>
      <sheetName val="G-I-F_Total2"/>
      <sheetName val="G-I-F_(RU)2"/>
      <sheetName val="G-I-F_(UA)2"/>
      <sheetName val="FLash_IAS2"/>
      <sheetName val="Cash_Flow_support2"/>
      <sheetName val="Income_Statement_Russia_and_Uk2"/>
      <sheetName val="Class_A_Shares_Outstanding2"/>
      <sheetName val="Class_B_Shares_Outstanding2"/>
      <sheetName val="Dilutive_Shares_Outstanding2"/>
      <sheetName val="EPS_Working2"/>
      <sheetName val="Share_Price_20022"/>
      <sheetName val="RE_Working2"/>
      <sheetName val="Change_of_Equity2"/>
      <sheetName val="Dados_BLP2"/>
      <sheetName val="Brazil_Sovereign2"/>
      <sheetName val="Cover_&amp;_Parameters2"/>
      <sheetName val="GAAP_&amp;_IAS_Group_TB_&amp;_Reports_2"/>
      <sheetName val="REALxMETA_-_CERVEJA2"/>
      <sheetName val="Unidades_SAC-REVENDA2"/>
      <sheetName val="dep_pre2"/>
      <sheetName val="Расчет_цикла2"/>
      <sheetName val="Главный_лист2"/>
      <sheetName val="Рецепты_партий2"/>
      <sheetName val="Тоннаж_из_графика2"/>
      <sheetName val="brand_definitions2"/>
      <sheetName val="LBO_Model"/>
      <sheetName val="Calc_1"/>
      <sheetName val="Selection_Lists"/>
      <sheetName val="Data_Input_Sheet"/>
      <sheetName val="Data USA Cdn$"/>
      <sheetName val="Data USA US$"/>
      <sheetName val="FC-Bav"/>
      <sheetName val="Load Data"/>
      <sheetName val="вспом"/>
      <sheetName val="Setup"/>
      <sheetName val="UNIDADES"/>
      <sheetName val="BNR_2012 в ящике"/>
      <sheetName val="Group_Comparative_GAAP3"/>
      <sheetName val="Group_Comparative_IAS3"/>
      <sheetName val="R-U_IAS_History3"/>
      <sheetName val="Cash_Flow_Working3"/>
      <sheetName val="TB_GAAP3"/>
      <sheetName val="TB_IAS3"/>
      <sheetName val="Income_Statement3"/>
      <sheetName val="Balance_Sheet3"/>
      <sheetName val="Cash_Flow3"/>
      <sheetName val="G-I-F_Total3"/>
      <sheetName val="G-I-F_(RU)3"/>
      <sheetName val="G-I-F_(UA)3"/>
      <sheetName val="FLash_IAS3"/>
      <sheetName val="Cash_Flow_support3"/>
      <sheetName val="Income_Statement_Russia_and_Uk3"/>
      <sheetName val="Class_A_Shares_Outstanding3"/>
      <sheetName val="Class_B_Shares_Outstanding3"/>
      <sheetName val="Dilutive_Shares_Outstanding3"/>
      <sheetName val="EPS_Working3"/>
      <sheetName val="Share_Price_20023"/>
      <sheetName val="RE_Working3"/>
      <sheetName val="Change_of_Equity3"/>
      <sheetName val="Dados_BLP3"/>
      <sheetName val="Brazil_Sovereign3"/>
      <sheetName val="Cover_&amp;_Parameters3"/>
      <sheetName val="REALxMETA_-_CERVEJA3"/>
      <sheetName val="Unidades_SAC-REVENDA3"/>
      <sheetName val="GAAP_&amp;_IAS_Group_TB_&amp;_Reports_3"/>
      <sheetName val="dep_pre3"/>
      <sheetName val="Расчет_цикла3"/>
      <sheetName val="Главный_лист3"/>
      <sheetName val="Рецепты_партий3"/>
      <sheetName val="Тоннаж_из_графика3"/>
      <sheetName val="brand_definitions3"/>
      <sheetName val="LBO_Model1"/>
      <sheetName val="Calc_11"/>
      <sheetName val="Selection_Lists1"/>
      <sheetName val="Data_Input_Sheet1"/>
      <sheetName val="Volume_per_Region"/>
      <sheetName val="Data_USA_Cdn$"/>
      <sheetName val="Data_USA_US$"/>
      <sheetName val="Load_Data"/>
      <sheetName val="BNR_2012_в_ящике"/>
      <sheetName val="TGU"/>
      <sheetName val="Group_Comparative_GAAP4"/>
      <sheetName val="Group_Comparative_IAS4"/>
      <sheetName val="R-U_IAS_History4"/>
      <sheetName val="Cash_Flow_Working4"/>
      <sheetName val="TB_GAAP4"/>
      <sheetName val="TB_IAS4"/>
      <sheetName val="Income_Statement4"/>
      <sheetName val="Balance_Sheet4"/>
      <sheetName val="Cash_Flow4"/>
      <sheetName val="G-I-F_Total4"/>
      <sheetName val="G-I-F_(RU)4"/>
      <sheetName val="G-I-F_(UA)4"/>
      <sheetName val="FLash_IAS4"/>
      <sheetName val="Cash_Flow_support4"/>
      <sheetName val="Income_Statement_Russia_and_Uk4"/>
      <sheetName val="Class_A_Shares_Outstanding4"/>
      <sheetName val="Class_B_Shares_Outstanding4"/>
      <sheetName val="Dilutive_Shares_Outstanding4"/>
      <sheetName val="EPS_Working4"/>
      <sheetName val="Share_Price_20024"/>
      <sheetName val="RE_Working4"/>
      <sheetName val="Change_of_Equity4"/>
      <sheetName val="Dados_BLP4"/>
      <sheetName val="Brazil_Sovereign4"/>
      <sheetName val="Cover_&amp;_Parameters4"/>
      <sheetName val="REALxMETA_-_CERVEJA4"/>
      <sheetName val="Unidades_SAC-REVENDA4"/>
      <sheetName val="GAAP_&amp;_IAS_Group_TB_&amp;_Reports_4"/>
      <sheetName val="dep_pre4"/>
      <sheetName val="Расчет_цикла4"/>
      <sheetName val="Главный_лист4"/>
      <sheetName val="Рецепты_партий4"/>
      <sheetName val="Тоннаж_из_графика4"/>
      <sheetName val="brand_definitions4"/>
      <sheetName val="LBO_Model2"/>
      <sheetName val="Calc_12"/>
      <sheetName val="Selection_Lists2"/>
      <sheetName val="Data_Input_Sheet2"/>
      <sheetName val="Volume_per_Region1"/>
      <sheetName val="Data_USA_Cdn$1"/>
      <sheetName val="Data_USA_US$1"/>
      <sheetName val="Load_Data1"/>
      <sheetName val="BNR_2012_в_ящике1"/>
      <sheetName val="Dub. L+L"/>
      <sheetName val="Diaria"/>
      <sheetName val="ТехЛинии"/>
      <sheetName val="DATVAR"/>
      <sheetName val="#BEZUG"/>
      <sheetName val="Group_Comparative_GAAP5"/>
      <sheetName val="Group_Comparative_IAS5"/>
      <sheetName val="R-U_IAS_History5"/>
      <sheetName val="Cash_Flow_Working5"/>
      <sheetName val="TB_GAAP5"/>
      <sheetName val="TB_IAS5"/>
      <sheetName val="Income_Statement5"/>
      <sheetName val="Balance_Sheet5"/>
      <sheetName val="Cash_Flow5"/>
      <sheetName val="G-I-F_Total5"/>
      <sheetName val="G-I-F_(RU)5"/>
      <sheetName val="G-I-F_(UA)5"/>
      <sheetName val="FLash_IAS5"/>
      <sheetName val="Cash_Flow_support5"/>
      <sheetName val="Income_Statement_Russia_and_Uk5"/>
      <sheetName val="Class_A_Shares_Outstanding5"/>
      <sheetName val="Class_B_Shares_Outstanding5"/>
      <sheetName val="Dilutive_Shares_Outstanding5"/>
      <sheetName val="EPS_Working5"/>
      <sheetName val="Share_Price_20025"/>
      <sheetName val="RE_Working5"/>
      <sheetName val="Change_of_Equity5"/>
      <sheetName val="Dados_BLP5"/>
      <sheetName val="Brazil_Sovereign5"/>
      <sheetName val="Cover_&amp;_Parameters5"/>
      <sheetName val="REALxMETA_-_CERVEJA5"/>
      <sheetName val="Unidades_SAC-REVENDA5"/>
      <sheetName val="GAAP_&amp;_IAS_Group_TB_&amp;_Reports_5"/>
      <sheetName val="dep_pre5"/>
      <sheetName val="Расчет_цикла5"/>
      <sheetName val="Главный_лист5"/>
      <sheetName val="Рецепты_партий5"/>
      <sheetName val="Тоннаж_из_графика5"/>
      <sheetName val="brand_definitions5"/>
      <sheetName val="LBO_Model3"/>
      <sheetName val="Calc_13"/>
      <sheetName val="Selection_Lists3"/>
      <sheetName val="Data_Input_Sheet3"/>
      <sheetName val="Volume_per_Region2"/>
      <sheetName val="Data_USA_Cdn$2"/>
      <sheetName val="Data_USA_US$2"/>
      <sheetName val="Load_Data2"/>
      <sheetName val="BNR_2012_в_ящике2"/>
      <sheetName val="Dub__L+L"/>
      <sheetName val="Mapping"/>
      <sheetName val="Database"/>
      <sheetName val="Changes made Zone DB (Nikhil)"/>
      <sheetName val="Changes made Cat DForm (Nikhil)"/>
      <sheetName val="DForm Database"/>
      <sheetName val="Changes made FX DForm (Nikhil)"/>
      <sheetName val="FX"/>
      <sheetName val="Country table"/>
      <sheetName val="Consol"/>
      <sheetName val="Manual Corrections"/>
      <sheetName val="Summary"/>
      <sheetName val="Instructions"/>
      <sheetName val="Subreason code"/>
      <sheetName val="Remarks"/>
      <sheetName val="Cover"/>
      <sheetName val="2ITW"/>
      <sheetName val="2ITW (excl BASS)"/>
      <sheetName val="X1AME"/>
      <sheetName val="X2BU"/>
      <sheetName val="X2CA"/>
      <sheetName val="X2US"/>
      <sheetName val="X1WEU"/>
      <sheetName val="X2BE"/>
      <sheetName val="X2FR"/>
      <sheetName val="X2NL"/>
      <sheetName val="X2LU"/>
      <sheetName val="X2MA"/>
      <sheetName val="X2GB"/>
      <sheetName val="X2IT"/>
      <sheetName val="X2ES"/>
      <sheetName val="X2DE"/>
      <sheetName val="X1CEU"/>
      <sheetName val="X2BG"/>
      <sheetName val="X2BH"/>
      <sheetName val="X2CR"/>
      <sheetName val="X2CZ"/>
      <sheetName val="X2HU"/>
      <sheetName val="X2MO"/>
      <sheetName val="X2RO"/>
      <sheetName val="X2SL"/>
      <sheetName val="X1EEU"/>
      <sheetName val="X2RU"/>
      <sheetName val="X2UA"/>
      <sheetName val="X1ASI"/>
      <sheetName val="X2CN"/>
      <sheetName val="X2KR"/>
      <sheetName val="PARE"/>
      <sheetName val="X1UK"/>
      <sheetName val="INTE"/>
      <sheetName val="SD"/>
      <sheetName val="Check Zones"/>
      <sheetName val="Check Countries"/>
      <sheetName val="Overview check"/>
      <sheetName val="LUSA"/>
      <sheetName val="BNA"/>
      <sheetName val="BASSUS"/>
      <sheetName val="DB2002"/>
      <sheetName val="Changes_made_Zone_DB_(Nikhil)"/>
      <sheetName val="Changes_made_Cat_DForm_(Nikhil)"/>
      <sheetName val="DForm_Database"/>
      <sheetName val="Changes_made_FX_DForm_(Nikhil)"/>
      <sheetName val="Country_table"/>
      <sheetName val="Manual_Corrections"/>
      <sheetName val="은행"/>
      <sheetName val="6 - Analítico"/>
      <sheetName val=""/>
      <sheetName val="Group_Comparative_GAAP6"/>
      <sheetName val="Group_Comparative_IAS6"/>
      <sheetName val="R-U_IAS_History6"/>
      <sheetName val="Cash_Flow_Working6"/>
      <sheetName val="TB_GAAP6"/>
      <sheetName val="TB_IAS6"/>
      <sheetName val="Income_Statement6"/>
      <sheetName val="Balance_Sheet6"/>
      <sheetName val="Cash_Flow6"/>
      <sheetName val="G-I-F_Total6"/>
      <sheetName val="G-I-F_(RU)6"/>
      <sheetName val="G-I-F_(UA)6"/>
      <sheetName val="FLash_IAS6"/>
      <sheetName val="Cash_Flow_support6"/>
      <sheetName val="Income_Statement_Russia_and_Uk6"/>
      <sheetName val="Class_A_Shares_Outstanding6"/>
      <sheetName val="Class_B_Shares_Outstanding6"/>
      <sheetName val="Dilutive_Shares_Outstanding6"/>
      <sheetName val="EPS_Working6"/>
      <sheetName val="Share_Price_20026"/>
      <sheetName val="RE_Working6"/>
      <sheetName val="Change_of_Equity6"/>
      <sheetName val="Dados_BLP6"/>
      <sheetName val="Brazil_Sovereign6"/>
      <sheetName val="Cover_&amp;_Parameters6"/>
      <sheetName val="GAAP_&amp;_IAS_Group_TB_&amp;_Reports_6"/>
      <sheetName val="REALxMETA_-_CERVEJA6"/>
      <sheetName val="Unidades_SAC-REVENDA6"/>
      <sheetName val="dep_pre6"/>
      <sheetName val="Расчет_цикла6"/>
      <sheetName val="Главный_лист6"/>
      <sheetName val="Рецепты_партий6"/>
      <sheetName val="Тоннаж_из_графика6"/>
      <sheetName val="brand_definitions6"/>
      <sheetName val="LBO_Model4"/>
      <sheetName val="Calc_14"/>
      <sheetName val="Selection_Lists4"/>
      <sheetName val="Data_Input_Sheet4"/>
      <sheetName val="Volume_per_Region3"/>
      <sheetName val="Data_USA_Cdn$3"/>
      <sheetName val="Data_USA_US$3"/>
      <sheetName val="Load_Data3"/>
      <sheetName val="BNR_2012_в_ящике3"/>
      <sheetName val="Dub__L+L1"/>
      <sheetName val="Group_Comparative_GAAP7"/>
      <sheetName val="Group_Comparative_IAS7"/>
      <sheetName val="R-U_IAS_History7"/>
      <sheetName val="Cash_Flow_Working7"/>
      <sheetName val="TB_GAAP7"/>
      <sheetName val="TB_IAS7"/>
      <sheetName val="Income_Statement7"/>
      <sheetName val="Balance_Sheet7"/>
      <sheetName val="Cash_Flow7"/>
      <sheetName val="G-I-F_Total7"/>
      <sheetName val="G-I-F_(RU)7"/>
      <sheetName val="G-I-F_(UA)7"/>
      <sheetName val="FLash_IAS7"/>
      <sheetName val="Cash_Flow_support7"/>
      <sheetName val="Income_Statement_Russia_and_Uk7"/>
      <sheetName val="Class_A_Shares_Outstanding7"/>
      <sheetName val="Class_B_Shares_Outstanding7"/>
      <sheetName val="Dilutive_Shares_Outstanding7"/>
      <sheetName val="EPS_Working7"/>
      <sheetName val="Share_Price_20027"/>
      <sheetName val="RE_Working7"/>
      <sheetName val="Change_of_Equity7"/>
      <sheetName val="Dados_BLP7"/>
      <sheetName val="Brazil_Sovereign7"/>
      <sheetName val="Cover_&amp;_Parameters7"/>
      <sheetName val="GAAP_&amp;_IAS_Group_TB_&amp;_Reports_7"/>
      <sheetName val="REALxMETA_-_CERVEJA7"/>
      <sheetName val="Unidades_SAC-REVENDA7"/>
      <sheetName val="dep_pre7"/>
      <sheetName val="Расчет_цикла7"/>
      <sheetName val="Главный_лист7"/>
      <sheetName val="Рецепты_партий7"/>
      <sheetName val="Тоннаж_из_графика7"/>
      <sheetName val="brand_definitions7"/>
      <sheetName val="LBO_Model5"/>
      <sheetName val="Calc_15"/>
      <sheetName val="Selection_Lists5"/>
      <sheetName val="Data_Input_Sheet5"/>
      <sheetName val="Volume_per_Region4"/>
      <sheetName val="Data_USA_Cdn$4"/>
      <sheetName val="Data_USA_US$4"/>
      <sheetName val="Load_Data4"/>
      <sheetName val="BNR_2012_в_ящике4"/>
      <sheetName val="Dub__L+L2"/>
      <sheetName val="References"/>
      <sheetName val="SysCategory"/>
      <sheetName val="2ITW_(excl_BASS)"/>
      <sheetName val="Check_Zones"/>
      <sheetName val="Check_Countries"/>
      <sheetName val="Overview_check"/>
      <sheetName val="Data USA Adj US$"/>
      <sheetName val="BU16 FX"/>
      <sheetName val="Valsu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 MERCHAN"/>
      <sheetName val="Proposta Comercial"/>
      <sheetName val="base TV"/>
      <sheetName val="Proposta Comercial-Projeto"/>
      <sheetName val="PLANOS COMERCIAIS SEMANA"/>
      <sheetName val="SABESP"/>
      <sheetName val="BRANDED CONTENT"/>
      <sheetName val="BAND REDE"/>
      <sheetName val="Conversão-Mercha"/>
      <sheetName val="base radio"/>
      <sheetName val="Tabela Vibra"/>
      <sheetName val="Simulcast"/>
      <sheetName val="Impressões_Simulcast"/>
      <sheetName val="base paytv"/>
      <sheetName val="GRADE TV"/>
      <sheetName val="TABELA NET"/>
      <sheetName val="TABELA LOCAL"/>
      <sheetName val="Pesquisa TV"/>
      <sheetName val="Ranking de adequação"/>
      <sheetName val="calculo rk"/>
    </sheetNames>
    <sheetDataSet>
      <sheetData sheetId="0" refreshError="1"/>
      <sheetData sheetId="1" refreshError="1"/>
      <sheetData sheetId="2">
        <row r="2">
          <cell r="D2" t="str">
            <v>NACIONAL</v>
          </cell>
          <cell r="M2" t="str">
            <v>SÃO PAULO</v>
          </cell>
          <cell r="N2" t="str">
            <v>PRESIDENTE PRUDENTE</v>
          </cell>
          <cell r="O2" t="str">
            <v>CAMPINAS</v>
          </cell>
          <cell r="P2" t="str">
            <v>TAUBATÉ</v>
          </cell>
          <cell r="Q2" t="str">
            <v>RIBEIRÃO PRETO</v>
          </cell>
          <cell r="R2" t="str">
            <v>SANTOS</v>
          </cell>
          <cell r="S2" t="str">
            <v>RIO DE JANEIRO</v>
          </cell>
          <cell r="T2" t="str">
            <v>BARRA MANSA</v>
          </cell>
          <cell r="U2" t="str">
            <v>BELO HORIZONTE</v>
          </cell>
          <cell r="V2" t="str">
            <v>UBERABA</v>
          </cell>
          <cell r="W2" t="str">
            <v>VITÓRIA</v>
          </cell>
          <cell r="X2" t="str">
            <v>CURITIBA</v>
          </cell>
          <cell r="Y2" t="str">
            <v>CASCAVEL</v>
          </cell>
          <cell r="Z2" t="str">
            <v>MARINGÁ</v>
          </cell>
          <cell r="AA2" t="str">
            <v>LONDRINA</v>
          </cell>
          <cell r="AB2" t="str">
            <v>PORTO ALEGRE</v>
          </cell>
          <cell r="AC2" t="str">
            <v>FLORIANÓPOLIS</v>
          </cell>
          <cell r="AD2" t="str">
            <v>BRASÍLIA</v>
          </cell>
          <cell r="AE2" t="str">
            <v>GOIÂNIA</v>
          </cell>
          <cell r="AF2" t="str">
            <v>RIO VERDE</v>
          </cell>
          <cell r="AG2" t="str">
            <v>CUIABÁ</v>
          </cell>
          <cell r="AH2" t="str">
            <v>CÁCERES</v>
          </cell>
          <cell r="AI2" t="str">
            <v>NOVA MUTUM</v>
          </cell>
          <cell r="AJ2" t="str">
            <v>CAMPO GRANDE</v>
          </cell>
          <cell r="AK2" t="str">
            <v>SALVADOR</v>
          </cell>
          <cell r="AL2" t="str">
            <v>ARACAJU</v>
          </cell>
          <cell r="AM2" t="str">
            <v>RECIFE</v>
          </cell>
          <cell r="AN2" t="str">
            <v>NATAL</v>
          </cell>
          <cell r="AO2" t="str">
            <v>MACEIÓ</v>
          </cell>
          <cell r="AP2" t="str">
            <v>FORTALEZA</v>
          </cell>
          <cell r="AQ2" t="str">
            <v>JOÃO PESSOA</v>
          </cell>
          <cell r="AR2" t="str">
            <v>TERESINA</v>
          </cell>
          <cell r="AS2" t="str">
            <v>SÃO LUÍS</v>
          </cell>
          <cell r="AT2" t="str">
            <v>IMPERATRIZ</v>
          </cell>
          <cell r="AU2" t="str">
            <v>BELÉM</v>
          </cell>
          <cell r="AV2" t="str">
            <v>MARABÁ</v>
          </cell>
          <cell r="AW2" t="str">
            <v>SANTARÉM</v>
          </cell>
          <cell r="AX2" t="str">
            <v>MANAUS</v>
          </cell>
          <cell r="AY2" t="str">
            <v>PORTO VELHO</v>
          </cell>
          <cell r="AZ2" t="str">
            <v>RIO BRANCO</v>
          </cell>
          <cell r="BA2" t="str">
            <v>GURUPI</v>
          </cell>
          <cell r="BB2" t="str">
            <v>ARAGUAÍNA</v>
          </cell>
          <cell r="BC2" t="str">
            <v>BOA VISTA</v>
          </cell>
          <cell r="BD2" t="str">
            <v>MACAPÁ</v>
          </cell>
        </row>
        <row r="3">
          <cell r="M3" t="str">
            <v>SAO</v>
          </cell>
          <cell r="N3" t="str">
            <v>PPB</v>
          </cell>
          <cell r="O3" t="str">
            <v>CPQ</v>
          </cell>
          <cell r="P3" t="str">
            <v>TAU</v>
          </cell>
          <cell r="Q3" t="str">
            <v>RAO</v>
          </cell>
          <cell r="R3" t="str">
            <v>SAN</v>
          </cell>
          <cell r="S3" t="str">
            <v>RIO</v>
          </cell>
          <cell r="T3" t="str">
            <v>BAM</v>
          </cell>
          <cell r="U3" t="str">
            <v>BHZ</v>
          </cell>
          <cell r="V3" t="str">
            <v>UBA</v>
          </cell>
          <cell r="W3" t="str">
            <v>VIX</v>
          </cell>
          <cell r="X3" t="str">
            <v>CWB</v>
          </cell>
          <cell r="Y3" t="str">
            <v>CAC</v>
          </cell>
          <cell r="Z3" t="str">
            <v>MGF</v>
          </cell>
          <cell r="AA3" t="str">
            <v>LDB</v>
          </cell>
          <cell r="AB3" t="str">
            <v>POA</v>
          </cell>
          <cell r="AC3" t="str">
            <v>FLN</v>
          </cell>
          <cell r="AD3" t="str">
            <v>BSB</v>
          </cell>
          <cell r="AE3" t="str">
            <v>GYN</v>
          </cell>
          <cell r="AF3" t="str">
            <v>RVD</v>
          </cell>
          <cell r="AG3" t="str">
            <v>CGB</v>
          </cell>
          <cell r="AH3" t="str">
            <v>CCR</v>
          </cell>
          <cell r="AI3" t="str">
            <v>MTU</v>
          </cell>
          <cell r="AJ3" t="str">
            <v>CGR</v>
          </cell>
          <cell r="AK3" t="str">
            <v>SSA</v>
          </cell>
          <cell r="AL3" t="str">
            <v>AJU</v>
          </cell>
          <cell r="AM3" t="str">
            <v>REC</v>
          </cell>
          <cell r="AN3" t="str">
            <v>NAT</v>
          </cell>
          <cell r="AO3" t="str">
            <v>MCZ</v>
          </cell>
          <cell r="AP3" t="str">
            <v>FOR</v>
          </cell>
          <cell r="AQ3" t="str">
            <v>JPA</v>
          </cell>
          <cell r="AR3" t="str">
            <v>THE</v>
          </cell>
          <cell r="AS3" t="str">
            <v>SLZ</v>
          </cell>
          <cell r="AT3" t="str">
            <v>IMP</v>
          </cell>
          <cell r="AU3" t="str">
            <v>BEL</v>
          </cell>
          <cell r="AV3" t="str">
            <v>MAB</v>
          </cell>
          <cell r="AW3" t="str">
            <v>STM</v>
          </cell>
          <cell r="AX3" t="str">
            <v>MAO</v>
          </cell>
          <cell r="AY3" t="str">
            <v>PVH</v>
          </cell>
          <cell r="AZ3" t="str">
            <v>RBR</v>
          </cell>
          <cell r="BA3" t="str">
            <v>GRP</v>
          </cell>
          <cell r="BB3" t="str">
            <v>AUX</v>
          </cell>
          <cell r="BC3" t="str">
            <v>BVB</v>
          </cell>
          <cell r="BD3" t="str">
            <v>MCP</v>
          </cell>
        </row>
        <row r="4">
          <cell r="M4" t="str">
            <v>SP1</v>
          </cell>
          <cell r="N4" t="str">
            <v>SP2</v>
          </cell>
          <cell r="O4" t="str">
            <v>SP3</v>
          </cell>
          <cell r="P4" t="str">
            <v>SP4</v>
          </cell>
          <cell r="Q4" t="str">
            <v xml:space="preserve">  SP5</v>
          </cell>
          <cell r="R4" t="str">
            <v>SP7</v>
          </cell>
          <cell r="S4" t="str">
            <v>RJ1</v>
          </cell>
          <cell r="T4" t="str">
            <v>RJ2</v>
          </cell>
          <cell r="U4" t="str">
            <v>MG1</v>
          </cell>
          <cell r="V4" t="str">
            <v>MG2</v>
          </cell>
          <cell r="W4" t="str">
            <v>VIT</v>
          </cell>
          <cell r="X4" t="str">
            <v>PR1</v>
          </cell>
          <cell r="Y4" t="str">
            <v>PR2</v>
          </cell>
          <cell r="Z4" t="str">
            <v>PR3</v>
          </cell>
          <cell r="AA4" t="str">
            <v>PR4</v>
          </cell>
          <cell r="AB4" t="str">
            <v>RS1</v>
          </cell>
          <cell r="AC4" t="str">
            <v>SC1</v>
          </cell>
          <cell r="AD4" t="str">
            <v>BRA</v>
          </cell>
          <cell r="AE4" t="str">
            <v>GOI</v>
          </cell>
          <cell r="AF4" t="str">
            <v>GO2</v>
          </cell>
          <cell r="AG4" t="str">
            <v>MT1</v>
          </cell>
          <cell r="AH4" t="str">
            <v>MT2</v>
          </cell>
          <cell r="AI4" t="str">
            <v>MT3</v>
          </cell>
          <cell r="AJ4" t="str">
            <v>CGR</v>
          </cell>
          <cell r="AK4" t="str">
            <v>SAL</v>
          </cell>
          <cell r="AL4" t="str">
            <v>AJU</v>
          </cell>
          <cell r="AM4" t="str">
            <v>REC</v>
          </cell>
          <cell r="AN4" t="str">
            <v>NAT</v>
          </cell>
          <cell r="AO4" t="str">
            <v>MAC</v>
          </cell>
          <cell r="AP4" t="str">
            <v>CE1</v>
          </cell>
          <cell r="AQ4" t="str">
            <v>JPE</v>
          </cell>
          <cell r="AR4" t="str">
            <v>PI1</v>
          </cell>
          <cell r="AS4" t="str">
            <v>MA1</v>
          </cell>
          <cell r="AT4" t="str">
            <v>MA4</v>
          </cell>
          <cell r="AU4" t="str">
            <v>BEL</v>
          </cell>
          <cell r="AV4" t="str">
            <v>PA2</v>
          </cell>
          <cell r="AW4" t="str">
            <v>PA3</v>
          </cell>
          <cell r="AX4" t="str">
            <v>MAN</v>
          </cell>
          <cell r="AY4" t="str">
            <v>POV</v>
          </cell>
          <cell r="AZ4" t="str">
            <v>RBR</v>
          </cell>
          <cell r="BA4" t="str">
            <v>TO2</v>
          </cell>
          <cell r="BB4" t="str">
            <v>TO3</v>
          </cell>
          <cell r="BC4" t="str">
            <v>BVT</v>
          </cell>
          <cell r="BD4" t="str">
            <v>MCP</v>
          </cell>
        </row>
        <row r="5">
          <cell r="G5" t="str">
            <v>-Selecionar-</v>
          </cell>
        </row>
        <row r="6">
          <cell r="G6" t="str">
            <v>AGRO BAND</v>
          </cell>
        </row>
        <row r="7">
          <cell r="G7" t="str">
            <v>APITO FINAL</v>
          </cell>
        </row>
        <row r="8">
          <cell r="G8" t="str">
            <v>ALMA DE GIGANTE</v>
          </cell>
        </row>
        <row r="9">
          <cell r="G9" t="str">
            <v>BAND ESPORTE CLUBE</v>
          </cell>
        </row>
        <row r="10">
          <cell r="G10" t="str">
            <v>BAND ESPORTE</v>
          </cell>
        </row>
        <row r="11">
          <cell r="G11" t="str">
            <v>BORA BRASIL</v>
          </cell>
        </row>
        <row r="12">
          <cell r="G12" t="str">
            <v>BRASIL URGENTE</v>
          </cell>
        </row>
        <row r="13">
          <cell r="G13" t="str">
            <v>BWF LUTA LIVRE</v>
          </cell>
        </row>
        <row r="14">
          <cell r="G14" t="str">
            <v>CAFÉ COM AROMA DE MULHER</v>
          </cell>
        </row>
        <row r="15">
          <cell r="G15" t="str">
            <v>CAMPEONATO SAUDITA</v>
          </cell>
        </row>
        <row r="16">
          <cell r="G16" t="str">
            <v>CANAL LIVRE</v>
          </cell>
        </row>
        <row r="17">
          <cell r="G17" t="str">
            <v>CINE CLUBE</v>
          </cell>
        </row>
        <row r="18">
          <cell r="G18" t="str">
            <v>PAPO COM SABOR - REAPRESENTAÇÃO</v>
          </cell>
        </row>
        <row r="19">
          <cell r="G19" t="str">
            <v>CINE PRIVÉ</v>
          </cell>
        </row>
        <row r="20">
          <cell r="G20" t="str">
            <v>CHAMA NO PRIVÉ</v>
          </cell>
        </row>
        <row r="21">
          <cell r="G21" t="str">
            <v>CINEMA NA MADRUGADA</v>
          </cell>
        </row>
        <row r="22">
          <cell r="G22" t="str">
            <v>COPA TRUCK</v>
          </cell>
        </row>
        <row r="23">
          <cell r="G23" t="str">
            <v>DESTINOS</v>
          </cell>
        </row>
        <row r="24">
          <cell r="G24" t="str">
            <v>DE ONDE VEM</v>
          </cell>
        </row>
        <row r="25">
          <cell r="G25" t="str">
            <v>DO LEVAIN AO PÃO</v>
          </cell>
        </row>
        <row r="26">
          <cell r="G26" t="str">
            <v xml:space="preserve">DOCUMENTO BAND </v>
          </cell>
        </row>
        <row r="27">
          <cell r="G27" t="str">
            <v>DOMINGO NO CINEMA</v>
          </cell>
        </row>
        <row r="28">
          <cell r="G28" t="str">
            <v>ECONOMIA PRA VOCÊ</v>
          </cell>
        </row>
        <row r="29">
          <cell r="G29" t="str">
            <v>EUROPA LEAGUE</v>
          </cell>
        </row>
        <row r="30">
          <cell r="G30" t="str">
            <v>ESPORTE TOTAL</v>
          </cell>
        </row>
        <row r="31">
          <cell r="G31" t="str">
            <v>ESTILO ARTE1</v>
          </cell>
        </row>
        <row r="32">
          <cell r="G32" t="str">
            <v>ESTAÇÃO CINEMA</v>
          </cell>
        </row>
        <row r="33">
          <cell r="G33" t="str">
            <v>FÓRMULA 1</v>
          </cell>
        </row>
        <row r="34">
          <cell r="G34" t="str">
            <v>FÓRMULA 1 - TREINO CLASSIFICATÓRIO</v>
          </cell>
        </row>
        <row r="35">
          <cell r="G35" t="str">
            <v>FÓRMULA 2</v>
          </cell>
        </row>
        <row r="36">
          <cell r="G36" t="str">
            <v>FÓRMULA 3</v>
          </cell>
        </row>
        <row r="37">
          <cell r="G37" t="str">
            <v>FÓRMULA E</v>
          </cell>
        </row>
        <row r="38">
          <cell r="G38" t="str">
            <v>FÓRMULA BAND</v>
          </cell>
        </row>
        <row r="39">
          <cell r="G39" t="str">
            <v>FÓRMULA 1 - COMPACTO</v>
          </cell>
        </row>
        <row r="40">
          <cell r="G40" t="str">
            <v>GALVÃO &amp; AMIGOS</v>
          </cell>
        </row>
        <row r="41">
          <cell r="G41" t="str">
            <v>GAME SHOW BANDBET</v>
          </cell>
        </row>
        <row r="42">
          <cell r="G42" t="str">
            <v>LARGADOS E PELADOS</v>
          </cell>
        </row>
        <row r="43">
          <cell r="G43" t="str">
            <v>O MUNDO SEGUNDO OS BRASILEIROS - EM DEFINIÇÃO</v>
          </cell>
        </row>
        <row r="44">
          <cell r="G44" t="str">
            <v>JANTAR O QUÊ</v>
          </cell>
        </row>
        <row r="45">
          <cell r="G45" t="str">
            <v>JOGO ABERTO</v>
          </cell>
        </row>
        <row r="46">
          <cell r="G46" t="str">
            <v>JORNAL BANDNEWS - GIRO DE NOTÍCIAS</v>
          </cell>
        </row>
        <row r="47">
          <cell r="G47" t="str">
            <v>JORNAL DA BAND</v>
          </cell>
        </row>
        <row r="48">
          <cell r="G48" t="str">
            <v>JORNAL DA BAND - REAPRESENTAÇÃO</v>
          </cell>
        </row>
        <row r="49">
          <cell r="G49" t="str">
            <v>JORNAL DA NOITE</v>
          </cell>
        </row>
        <row r="50">
          <cell r="G50" t="str">
            <v>LADIES CUP FINAL</v>
          </cell>
        </row>
        <row r="51">
          <cell r="G51" t="str">
            <v>LÁ NO MERCADÃO</v>
          </cell>
        </row>
        <row r="52">
          <cell r="G52" t="str">
            <v xml:space="preserve">DO SIMPLES AO ESPETACULAR </v>
          </cell>
        </row>
        <row r="53">
          <cell r="G53" t="str">
            <v xml:space="preserve">DIRETO NA BRASA </v>
          </cell>
        </row>
        <row r="54">
          <cell r="G54" t="str">
            <v>SABORES DE SP</v>
          </cell>
        </row>
        <row r="55">
          <cell r="G55" t="str">
            <v>LINHA DE COMBATE - REAPRESENTAÇÃO</v>
          </cell>
        </row>
        <row r="56">
          <cell r="G56" t="str">
            <v>MASTERCHEF AMADORES</v>
          </cell>
        </row>
        <row r="57">
          <cell r="G57" t="str">
            <v>MASTERCHEF AMADORES - REAPRESENTAÇÃO</v>
          </cell>
        </row>
        <row r="58">
          <cell r="G58" t="str">
            <v>MASTERCHEF A PRÉVIA</v>
          </cell>
        </row>
        <row r="59">
          <cell r="G59" t="str">
            <v>MELHOR DA NOITE</v>
          </cell>
        </row>
        <row r="60">
          <cell r="G60" t="str">
            <v>MELHOR DA TARDE</v>
          </cell>
        </row>
        <row r="61">
          <cell r="G61" t="str">
            <v>MESTRE DO DRYWALL</v>
          </cell>
        </row>
        <row r="62">
          <cell r="G62" t="str">
            <v>NA COZINHA DA HELÔ</v>
          </cell>
        </row>
        <row r="63">
          <cell r="G63" t="str">
            <v>ORIGENS DO SABOR</v>
          </cell>
        </row>
        <row r="64">
          <cell r="G64" t="str">
            <v>O MELHOR DO UFC</v>
          </cell>
        </row>
        <row r="65">
          <cell r="G65" t="str">
            <v>O MELHOR PRATO</v>
          </cell>
        </row>
        <row r="66">
          <cell r="G66" t="str">
            <v>PAPO COM SABOR - REAPRESENTAÇÃO</v>
          </cell>
        </row>
        <row r="67">
          <cell r="G67" t="str">
            <v>PERRENGUE DO DIA</v>
          </cell>
        </row>
        <row r="68">
          <cell r="G68" t="str">
            <v>PERRENGUE NA BAND</v>
          </cell>
        </row>
        <row r="69">
          <cell r="G69" t="str">
            <v xml:space="preserve">PESADELO NA COZINHA </v>
          </cell>
        </row>
        <row r="70">
          <cell r="G70" t="str">
            <v xml:space="preserve">PLANETA SELVAGEM </v>
          </cell>
        </row>
        <row r="71">
          <cell r="G71" t="str">
            <v>PLANETA SELVAGEM</v>
          </cell>
        </row>
        <row r="72">
          <cell r="G72" t="str">
            <v>PORSCHE CUP</v>
          </cell>
        </row>
        <row r="73">
          <cell r="G73" t="str">
            <v>PURA PESCA</v>
          </cell>
        </row>
        <row r="74">
          <cell r="G74" t="str">
            <v xml:space="preserve">REMO E RUMOS </v>
          </cell>
        </row>
        <row r="75">
          <cell r="G75" t="str">
            <v>RESENHA DO GALINHO</v>
          </cell>
        </row>
        <row r="76">
          <cell r="G76" t="str">
            <v>SABADÃO DE TODOS</v>
          </cell>
        </row>
        <row r="77">
          <cell r="G77" t="str">
            <v>SESSÃO ESPECIAL</v>
          </cell>
        </row>
        <row r="78">
          <cell r="G78" t="str">
            <v xml:space="preserve">SESSÃO ESPECIAL </v>
          </cell>
        </row>
        <row r="79">
          <cell r="G79" t="str">
            <v>SEX PRIVÉ CLUBE</v>
          </cell>
        </row>
        <row r="80">
          <cell r="G80" t="str">
            <v>CHAMA NO PRIVÊ</v>
          </cell>
        </row>
        <row r="81">
          <cell r="G81" t="str">
            <v>SFT</v>
          </cell>
        </row>
        <row r="82">
          <cell r="G82" t="str">
            <v>SHOW DO ESPORTE</v>
          </cell>
        </row>
        <row r="83">
          <cell r="G83" t="str">
            <v>STOCK CAR</v>
          </cell>
        </row>
        <row r="84">
          <cell r="G84" t="str">
            <v>NOVELA I</v>
          </cell>
        </row>
        <row r="85">
          <cell r="G85" t="str">
            <v>VIDA DE MERENDEIRA</v>
          </cell>
        </row>
        <row r="86">
          <cell r="G86" t="str">
            <v>DESAFIO EM DOSE DUPLA</v>
          </cell>
        </row>
        <row r="87">
          <cell r="G87" t="str">
            <v>THE BLACKLIST</v>
          </cell>
        </row>
        <row r="88">
          <cell r="G88" t="str">
            <v>TOP CINE</v>
          </cell>
        </row>
        <row r="89">
          <cell r="G89" t="str">
            <v>UFC</v>
          </cell>
        </row>
        <row r="90">
          <cell r="G90" t="str">
            <v>WEC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B2" t="str">
            <v xml:space="preserve"> -FORMATOS- (Selecionar)</v>
          </cell>
        </row>
        <row r="57">
          <cell r="B57" t="str">
            <v>CACHE</v>
          </cell>
          <cell r="C57" t="str">
            <v>APRESENTADOR</v>
          </cell>
        </row>
        <row r="58">
          <cell r="B58" t="str">
            <v>PROGRAMA</v>
          </cell>
          <cell r="C58" t="str">
            <v>COD.</v>
          </cell>
          <cell r="D58" t="str">
            <v>Selecionar</v>
          </cell>
          <cell r="F58" t="str">
            <v>Porcentagem</v>
          </cell>
          <cell r="G58" t="str">
            <v>Mínimo</v>
          </cell>
          <cell r="H58" t="str">
            <v>Adicional</v>
          </cell>
        </row>
        <row r="59">
          <cell r="A59" t="str">
            <v>0</v>
          </cell>
          <cell r="B59" t="str">
            <v>APRESENTADOR COMERCIAL</v>
          </cell>
          <cell r="D59" t="str">
            <v xml:space="preserve"> Felipe Fonseca</v>
          </cell>
          <cell r="G59">
            <v>250</v>
          </cell>
          <cell r="I59" t="str">
            <v>Felipe Fonseca - Testemunhal / Ação diferenciada é negociado o valor</v>
          </cell>
          <cell r="M59" t="str">
            <v>--Selecionar--</v>
          </cell>
          <cell r="N59" t="str">
            <v>--Selecionar--</v>
          </cell>
          <cell r="O59" t="str">
            <v>--Selecionar--</v>
          </cell>
          <cell r="P59" t="str">
            <v>--Selecionar--</v>
          </cell>
          <cell r="Q59" t="str">
            <v>--Selecionar--</v>
          </cell>
          <cell r="R59" t="str">
            <v>--Selecionar--</v>
          </cell>
          <cell r="S59" t="str">
            <v>--Selecionar--</v>
          </cell>
          <cell r="T59" t="str">
            <v>--Selecionar--</v>
          </cell>
          <cell r="U59" t="str">
            <v>--Selecionar--</v>
          </cell>
          <cell r="V59" t="str">
            <v>--Selecionar--</v>
          </cell>
        </row>
        <row r="60">
          <cell r="A60" t="str">
            <v>APIT1</v>
          </cell>
          <cell r="B60" t="str">
            <v>APITO FINAL</v>
          </cell>
          <cell r="C60" t="str">
            <v>APIT</v>
          </cell>
          <cell r="D60" t="str">
            <v xml:space="preserve"> Neto</v>
          </cell>
          <cell r="F60">
            <v>0.1</v>
          </cell>
          <cell r="G60">
            <v>3000</v>
          </cell>
          <cell r="I60" t="str">
            <v>Neto - 10% do líquido - por ação / Ação Especial valor sob consulta</v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</row>
        <row r="61">
          <cell r="A61" t="str">
            <v>FOLB1</v>
          </cell>
          <cell r="B61" t="str">
            <v>BAND FOLIA</v>
          </cell>
          <cell r="C61" t="str">
            <v>FOLB</v>
          </cell>
          <cell r="D61" t="str">
            <v xml:space="preserve"> Betinho</v>
          </cell>
          <cell r="F61">
            <v>0.1</v>
          </cell>
          <cell r="G61">
            <v>2000</v>
          </cell>
          <cell r="I61" t="str">
            <v>Betinho - 10% do líquido - por ação / Ação Especial valor sob consulta</v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</row>
        <row r="62">
          <cell r="A62" t="str">
            <v>CLUS1</v>
          </cell>
          <cell r="B62" t="str">
            <v>BAND ESPORTE CLUBE</v>
          </cell>
          <cell r="C62" t="str">
            <v>CLUS</v>
          </cell>
          <cell r="D62" t="str">
            <v xml:space="preserve"> Kalinka Schutel</v>
          </cell>
          <cell r="F62">
            <v>0.1</v>
          </cell>
          <cell r="G62">
            <v>1500</v>
          </cell>
          <cell r="I62" t="str">
            <v>Kalinka Schutel - 10% do líquido - por ação / Ação Especial valor sob consulta</v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</row>
        <row r="63">
          <cell r="A63" t="str">
            <v>BECL1</v>
          </cell>
          <cell r="B63" t="str">
            <v xml:space="preserve">BAND ESPORTE CLUBE - LOCAL </v>
          </cell>
          <cell r="C63" t="str">
            <v>BECL</v>
          </cell>
          <cell r="D63" t="str">
            <v xml:space="preserve"> Kalinka Schutel</v>
          </cell>
          <cell r="F63">
            <v>0.1</v>
          </cell>
          <cell r="G63">
            <v>1500</v>
          </cell>
          <cell r="I63" t="str">
            <v>Kalinka Schutel - 10% do líquido - por ação / Ação Especial valor sob consulta</v>
          </cell>
        </row>
        <row r="64">
          <cell r="A64" t="str">
            <v>BOBR1</v>
          </cell>
          <cell r="B64" t="str">
            <v>BORA BRASIL</v>
          </cell>
          <cell r="C64" t="str">
            <v>BOBR</v>
          </cell>
          <cell r="D64" t="str">
            <v xml:space="preserve"> Cynthia de Paula da S Martins</v>
          </cell>
          <cell r="F64">
            <v>0.1</v>
          </cell>
          <cell r="G64">
            <v>2000</v>
          </cell>
          <cell r="I64" t="str">
            <v>Cynthia de Paula da S Martins - 10% do líquido - por ação / Ação Especial valor sob consulta</v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</row>
        <row r="65">
          <cell r="A65" t="str">
            <v>BOBR2</v>
          </cell>
          <cell r="B65" t="str">
            <v>BORA BRASIL</v>
          </cell>
          <cell r="C65" t="str">
            <v>BOBR</v>
          </cell>
          <cell r="D65" t="str">
            <v xml:space="preserve"> Rodrigo Nascimento Alvarez</v>
          </cell>
          <cell r="F65">
            <v>0.1</v>
          </cell>
          <cell r="G65">
            <v>2000</v>
          </cell>
          <cell r="I65" t="str">
            <v>Rodrigo Nascimento Alvarez - 10% do líquido - por ação / Ação Especial valor sob consulta</v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</row>
        <row r="66">
          <cell r="A66" t="str">
            <v>BOBR3</v>
          </cell>
          <cell r="B66" t="str">
            <v>BORA BRASIL</v>
          </cell>
          <cell r="C66" t="str">
            <v>BOBR</v>
          </cell>
          <cell r="D66" t="str">
            <v xml:space="preserve">Patricia Rocha </v>
          </cell>
          <cell r="F66">
            <v>0.1</v>
          </cell>
          <cell r="G66">
            <v>2000</v>
          </cell>
          <cell r="I66" t="str">
            <v>Rodrigo Nascimento Alvarez - 10% do líquido - por ação / Ação Especial valor sob consulta</v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</row>
        <row r="67">
          <cell r="A67" t="str">
            <v>BRUR1</v>
          </cell>
          <cell r="B67" t="str">
            <v>BRASIL URGENTE</v>
          </cell>
          <cell r="C67" t="str">
            <v>BRUR</v>
          </cell>
          <cell r="D67" t="str">
            <v xml:space="preserve"> Joel Datena</v>
          </cell>
          <cell r="F67">
            <v>0.15</v>
          </cell>
          <cell r="G67">
            <v>3000</v>
          </cell>
          <cell r="I67" t="str">
            <v>Joel Datena - 15% do líquido - por ação / Ação Especial valor sob consulta</v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</row>
        <row r="68">
          <cell r="A68" t="str">
            <v>BRLO1</v>
          </cell>
          <cell r="B68" t="str">
            <v>BRASIL URGENTE LOCAL</v>
          </cell>
          <cell r="C68" t="str">
            <v>BRLO</v>
          </cell>
          <cell r="D68" t="str">
            <v xml:space="preserve"> Joel Datena</v>
          </cell>
          <cell r="F68">
            <v>0.15</v>
          </cell>
          <cell r="G68">
            <v>2500</v>
          </cell>
          <cell r="I68" t="str">
            <v>Joel Datena - 15% do líquido - por ação / Ação Especial valor sob consulta</v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BRUR2</v>
          </cell>
          <cell r="B69" t="str">
            <v>BRASIL URGENTE</v>
          </cell>
          <cell r="C69" t="str">
            <v>BRUR</v>
          </cell>
          <cell r="D69" t="str">
            <v xml:space="preserve"> Felipe Garrafa Fernandes</v>
          </cell>
          <cell r="F69">
            <v>0.1</v>
          </cell>
          <cell r="G69">
            <v>1000</v>
          </cell>
          <cell r="I69" t="str">
            <v>Felipe Garrafa Fernandes - 10% do líquido - por ação / Ação Especial valor sob consulta</v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CARI1</v>
          </cell>
          <cell r="B70" t="str">
            <v>CAMPEONATO CARIOCA</v>
          </cell>
          <cell r="C70" t="str">
            <v>CARI</v>
          </cell>
          <cell r="D70" t="str">
            <v xml:space="preserve"> Athirson Mazolli</v>
          </cell>
          <cell r="F70">
            <v>0.1</v>
          </cell>
          <cell r="I70" t="str">
            <v>Athirson Mazolli - 10% do líquido negociado - por ação / Ação Especial valor sob consulta</v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 t="str">
            <v>CARI2</v>
          </cell>
          <cell r="B71" t="str">
            <v>CAMPEONATO CARIOCA</v>
          </cell>
          <cell r="C71" t="str">
            <v>CARI</v>
          </cell>
          <cell r="D71" t="str">
            <v xml:space="preserve"> Washington Cerqueira</v>
          </cell>
          <cell r="F71">
            <v>0.1</v>
          </cell>
          <cell r="I71" t="str">
            <v>Washington Cerqueira - 10% do líquido negociado - por ação / Ação Especial valor sob consulta</v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</row>
        <row r="72">
          <cell r="A72" t="str">
            <v>FUTB1</v>
          </cell>
          <cell r="B72" t="str">
            <v>ESPORTE TOTAL</v>
          </cell>
          <cell r="C72" t="str">
            <v>FUTB</v>
          </cell>
          <cell r="D72" t="str">
            <v xml:space="preserve"> Fernando Fernandes</v>
          </cell>
          <cell r="F72">
            <v>0.1</v>
          </cell>
          <cell r="G72">
            <v>2000</v>
          </cell>
          <cell r="I72" t="str">
            <v>Fernando Fernandes - 10% do líquido - por ação / Ação Especial valor sob consulta</v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</row>
        <row r="73">
          <cell r="A73" t="str">
            <v>FOR11</v>
          </cell>
          <cell r="B73" t="str">
            <v>FORMULA 1</v>
          </cell>
          <cell r="C73" t="str">
            <v>FOR1</v>
          </cell>
          <cell r="D73" t="str">
            <v xml:space="preserve"> Felipe Giaffone</v>
          </cell>
          <cell r="F73">
            <v>0.1</v>
          </cell>
          <cell r="I73" t="str">
            <v>Felipe Giaffone - 10% do líquido negociado - por ação / Ação Especial valor sob consulta</v>
          </cell>
        </row>
        <row r="74">
          <cell r="A74" t="str">
            <v>FOR12</v>
          </cell>
          <cell r="B74" t="str">
            <v>FORMULA 1</v>
          </cell>
          <cell r="C74" t="str">
            <v>FOR1</v>
          </cell>
          <cell r="D74" t="str">
            <v xml:space="preserve"> Max Wilson</v>
          </cell>
          <cell r="F74">
            <v>0.1</v>
          </cell>
          <cell r="I74" t="str">
            <v>Max Wilson - 10% do líquido negociado - por ação / Ação Especial valor sob consulta</v>
          </cell>
        </row>
        <row r="75">
          <cell r="A75" t="str">
            <v>FOR13</v>
          </cell>
          <cell r="B75" t="str">
            <v>FORMULA 1</v>
          </cell>
          <cell r="C75" t="str">
            <v>FOR1</v>
          </cell>
          <cell r="D75" t="str">
            <v xml:space="preserve"> Sérgio Maurício</v>
          </cell>
          <cell r="F75">
            <v>0.1</v>
          </cell>
          <cell r="I75" t="str">
            <v>Sergio Maurício - 10% do líquido negociado - por ação / Ação Especial valor sob consulta</v>
          </cell>
        </row>
        <row r="76">
          <cell r="A76" t="str">
            <v>FOR14</v>
          </cell>
          <cell r="B76" t="str">
            <v>FORMULA 1</v>
          </cell>
          <cell r="C76" t="str">
            <v>FOR1</v>
          </cell>
          <cell r="D76" t="str">
            <v xml:space="preserve"> Tiago Mendonça</v>
          </cell>
          <cell r="F76">
            <v>0.1</v>
          </cell>
          <cell r="I76" t="str">
            <v>Tiago Mendonça - 10% do líquido negociado - por ação / Ação Especial valor sob consulta</v>
          </cell>
        </row>
        <row r="77">
          <cell r="A77" t="str">
            <v>GALV1</v>
          </cell>
          <cell r="B77" t="str">
            <v>GALVÃO &amp; AMIGOS</v>
          </cell>
          <cell r="C77" t="str">
            <v>GALV</v>
          </cell>
          <cell r="D77" t="str">
            <v xml:space="preserve"> Galvão Bueno</v>
          </cell>
          <cell r="G77">
            <v>35000</v>
          </cell>
          <cell r="I77" t="str">
            <v>Ação Diferencia valor sob consulta</v>
          </cell>
        </row>
        <row r="78">
          <cell r="A78" t="str">
            <v>GALV2</v>
          </cell>
          <cell r="B78" t="str">
            <v>GALVÃO &amp; AMIGOS</v>
          </cell>
          <cell r="C78" t="str">
            <v>GALV</v>
          </cell>
          <cell r="D78" t="str">
            <v xml:space="preserve"> Mauro Naves</v>
          </cell>
          <cell r="F78">
            <v>0.1</v>
          </cell>
          <cell r="I78" t="str">
            <v>Mauro Naves - 10% do líquido negociado - por ação / Ação Especial valor sob consulta</v>
          </cell>
        </row>
        <row r="79">
          <cell r="A79" t="str">
            <v>GALV3</v>
          </cell>
          <cell r="B79" t="str">
            <v>GALVÃO &amp; AMIGOS</v>
          </cell>
          <cell r="C79" t="str">
            <v>GALV</v>
          </cell>
          <cell r="D79" t="str">
            <v xml:space="preserve"> Walter Casagrande</v>
          </cell>
          <cell r="F79">
            <v>0.1</v>
          </cell>
          <cell r="I79" t="str">
            <v>Casagrande - 10% do líquido negociado - por ação / Ação Especial valor sob consulta</v>
          </cell>
        </row>
        <row r="80">
          <cell r="A80" t="str">
            <v>JGAB1</v>
          </cell>
          <cell r="B80" t="str">
            <v>JOGO ABERTO</v>
          </cell>
          <cell r="C80" t="str">
            <v>JGAB</v>
          </cell>
          <cell r="D80" t="str">
            <v xml:space="preserve"> Renata Fan</v>
          </cell>
          <cell r="F80">
            <v>0.15</v>
          </cell>
          <cell r="G80">
            <v>2500</v>
          </cell>
          <cell r="I80" t="str">
            <v>Renata Fan - 15% do líquido - por ação / Ação Especial valor sob consulta</v>
          </cell>
        </row>
        <row r="81">
          <cell r="A81" t="str">
            <v>JGAB2</v>
          </cell>
          <cell r="B81" t="str">
            <v>JOGO ABERTO</v>
          </cell>
          <cell r="C81" t="str">
            <v>JGAB</v>
          </cell>
          <cell r="D81" t="str">
            <v xml:space="preserve"> Cícelo João de Césare</v>
          </cell>
          <cell r="F81">
            <v>0.1</v>
          </cell>
          <cell r="G81">
            <v>2000</v>
          </cell>
          <cell r="I81" t="str">
            <v>Cícero João de Césare - 10% do líquido - por ação / Ação Especial valor sob consulta</v>
          </cell>
        </row>
        <row r="82">
          <cell r="A82" t="str">
            <v>JGAB3</v>
          </cell>
          <cell r="B82" t="str">
            <v>JOGO ABERTO</v>
          </cell>
          <cell r="C82" t="str">
            <v>JGAB</v>
          </cell>
          <cell r="D82" t="str">
            <v xml:space="preserve"> Eduardo Luiz Abronízio de Souza</v>
          </cell>
          <cell r="F82">
            <v>0.1</v>
          </cell>
          <cell r="G82">
            <v>1500</v>
          </cell>
          <cell r="I82" t="str">
            <v>Eduardo Luiz Abrozínio de Souza - 10% do líquido - por ação / Ação Especial valor sob consulta</v>
          </cell>
        </row>
        <row r="83">
          <cell r="A83" t="str">
            <v>JGAB4</v>
          </cell>
          <cell r="B83" t="str">
            <v>JOGO ABERTO</v>
          </cell>
          <cell r="C83" t="str">
            <v>JGAB</v>
          </cell>
          <cell r="D83" t="str">
            <v xml:space="preserve"> Francisco Garcia Borges</v>
          </cell>
          <cell r="F83">
            <v>0.1</v>
          </cell>
          <cell r="G83">
            <v>1000</v>
          </cell>
          <cell r="I83" t="str">
            <v>Francisco Garcia Borges - 10% do líquido - por ação / Ação Especial valor sob consulta</v>
          </cell>
        </row>
        <row r="84">
          <cell r="A84" t="str">
            <v>JGAB5</v>
          </cell>
          <cell r="B84" t="str">
            <v>JOGO ABERTO</v>
          </cell>
          <cell r="C84" t="str">
            <v>JGAB</v>
          </cell>
          <cell r="D84" t="str">
            <v xml:space="preserve"> João Paulo Haddad Cappellanes</v>
          </cell>
          <cell r="F84">
            <v>0.2</v>
          </cell>
          <cell r="I84" t="str">
            <v>João Paulo Haddad Cappellanes - 20% do líquido c/ Repasse de 10% - por ação / Ação Especial valor sob consulta</v>
          </cell>
        </row>
        <row r="85">
          <cell r="A85" t="str">
            <v>JGAB6</v>
          </cell>
          <cell r="B85" t="str">
            <v>JOGO ABERTO</v>
          </cell>
          <cell r="C85" t="str">
            <v>JGAB</v>
          </cell>
          <cell r="D85" t="str">
            <v xml:space="preserve"> João Pedro Reis Sgarbi</v>
          </cell>
          <cell r="F85">
            <v>0.1</v>
          </cell>
          <cell r="G85">
            <v>1000</v>
          </cell>
          <cell r="I85" t="str">
            <v>João Pedro Sgarbi - 10% do líquido - por ação / Ação Especial valor sob consulta</v>
          </cell>
        </row>
        <row r="86">
          <cell r="A86" t="str">
            <v>JGAB7</v>
          </cell>
          <cell r="B86" t="str">
            <v>JOGO ABERTO</v>
          </cell>
          <cell r="C86" t="str">
            <v>JGAB</v>
          </cell>
          <cell r="D86" t="str">
            <v xml:space="preserve"> Marco Aurélio de Almeida Cunha</v>
          </cell>
          <cell r="F86">
            <v>0.1</v>
          </cell>
          <cell r="I86" t="str">
            <v>Marco Aurélio de Almeida Cunha - 10% do líquido negociado - por ação / Ação Especial valor sob consulta</v>
          </cell>
        </row>
        <row r="87">
          <cell r="A87" t="str">
            <v>JGAB8</v>
          </cell>
          <cell r="B87" t="str">
            <v>JOGO ABERTO</v>
          </cell>
          <cell r="C87" t="str">
            <v>JGAB</v>
          </cell>
          <cell r="D87" t="str">
            <v xml:space="preserve"> Ronaldo Soares Giovaneli</v>
          </cell>
          <cell r="F87">
            <v>0.1</v>
          </cell>
          <cell r="G87">
            <v>2000</v>
          </cell>
          <cell r="I87" t="str">
            <v>Ronaldo Soares Giovaneli - 10% do líquido - por ação / Ação Especial valor sob consulta</v>
          </cell>
        </row>
        <row r="88">
          <cell r="A88" t="str">
            <v>JGAB9</v>
          </cell>
          <cell r="B88" t="str">
            <v>JOGO ABERTO</v>
          </cell>
          <cell r="C88" t="str">
            <v>JGAB</v>
          </cell>
          <cell r="D88" t="str">
            <v xml:space="preserve"> Ulisses Chiaveli Costa </v>
          </cell>
          <cell r="F88">
            <v>0.1</v>
          </cell>
          <cell r="G88">
            <v>2000</v>
          </cell>
          <cell r="I88" t="str">
            <v>Ulisses Chiaveli Costa - 10% do líquido - por ação / Ação Especial valor sob consulta</v>
          </cell>
        </row>
        <row r="89">
          <cell r="A89" t="str">
            <v>MENO1</v>
          </cell>
          <cell r="B89" t="str">
            <v>MELHOR DA NOITE</v>
          </cell>
          <cell r="C89" t="str">
            <v>MENO</v>
          </cell>
          <cell r="D89" t="str">
            <v xml:space="preserve"> Otaviano Costa</v>
          </cell>
          <cell r="F89">
            <v>0.2</v>
          </cell>
          <cell r="G89">
            <v>6000</v>
          </cell>
          <cell r="I89" t="str">
            <v>Otaviano Costa - 20% do líquido - por ação / Ação Especial valor sob consulta</v>
          </cell>
        </row>
        <row r="90">
          <cell r="A90" t="str">
            <v>MENO2</v>
          </cell>
          <cell r="B90" t="str">
            <v>MELHOR DA NOITE</v>
          </cell>
          <cell r="C90" t="str">
            <v>MENO</v>
          </cell>
          <cell r="D90" t="str">
            <v xml:space="preserve"> Altair Gonçalves (Thaíde)</v>
          </cell>
          <cell r="F90">
            <v>0.1</v>
          </cell>
          <cell r="G90">
            <v>2000</v>
          </cell>
          <cell r="I90" t="str">
            <v>Thaíde - 10% do líquido - por ação / Ação Especial valor sob consulta</v>
          </cell>
        </row>
        <row r="91">
          <cell r="A91" t="str">
            <v>MENO3</v>
          </cell>
          <cell r="B91" t="str">
            <v>MELHOR DA NOITE</v>
          </cell>
          <cell r="C91" t="str">
            <v>MENO</v>
          </cell>
          <cell r="D91" t="str">
            <v xml:space="preserve"> Catia Damasceno Ferreira</v>
          </cell>
          <cell r="F91">
            <v>0.1</v>
          </cell>
          <cell r="I91" t="str">
            <v>Catia Damasceno Ferreira - 10% do líquido - por ação / Ação Especial valor sob consulta</v>
          </cell>
        </row>
        <row r="92">
          <cell r="A92" t="str">
            <v>MENO4</v>
          </cell>
          <cell r="B92" t="str">
            <v>MELHOR DA NOITE</v>
          </cell>
          <cell r="C92" t="str">
            <v>MENO</v>
          </cell>
          <cell r="D92" t="str">
            <v xml:space="preserve"> Panela Lucciola do Valle Nunes</v>
          </cell>
          <cell r="F92">
            <v>0.1</v>
          </cell>
          <cell r="G92">
            <v>2000</v>
          </cell>
          <cell r="I92" t="str">
            <v>Pamela Lucciola do Valle Nunes - 10% do líquido - por ação / Ação Especial valor sob consulta</v>
          </cell>
        </row>
        <row r="93">
          <cell r="A93" t="str">
            <v>MENO5</v>
          </cell>
          <cell r="B93" t="str">
            <v>MELHOR DA NOITE</v>
          </cell>
          <cell r="C93" t="str">
            <v>MENO</v>
          </cell>
          <cell r="D93" t="str">
            <v xml:space="preserve"> Viviane Graciela Gusciora</v>
          </cell>
          <cell r="F93">
            <v>0.1</v>
          </cell>
          <cell r="I93" t="str">
            <v>Viviane Graciela Gusciora - 10% do líquido - por ação / Ação Especial valor sob consulta</v>
          </cell>
        </row>
        <row r="94">
          <cell r="A94" t="str">
            <v>MELH1</v>
          </cell>
          <cell r="B94" t="str">
            <v>MELHOR DA TARDE</v>
          </cell>
          <cell r="C94" t="str">
            <v>MELH</v>
          </cell>
          <cell r="D94" t="str">
            <v>Pâmela Lucciola do Valle Nunes</v>
          </cell>
          <cell r="F94">
            <v>0.1</v>
          </cell>
          <cell r="G94">
            <v>2000</v>
          </cell>
          <cell r="I94" t="str">
            <v>Pâmela Lucciola do Valle Nunes - 10% do líquido por ação com o valor mínimo de R$ 2.000,00.</v>
          </cell>
        </row>
        <row r="95">
          <cell r="A95" t="str">
            <v>MELH2</v>
          </cell>
          <cell r="B95" t="str">
            <v>MELHOR DA TARDE</v>
          </cell>
          <cell r="C95" t="str">
            <v>MELH</v>
          </cell>
          <cell r="D95" t="str">
            <v>Bruno Hashimoto</v>
          </cell>
          <cell r="F95">
            <v>0.1</v>
          </cell>
          <cell r="G95">
            <v>800</v>
          </cell>
          <cell r="I95" t="str">
            <v>Bruno Hashimoto  - 10% do líquido  por ação com o valor mínimo de R$ 800,00 - Chef de Cozinha do Programa. Cachê Ação Receita com a Pamela</v>
          </cell>
        </row>
        <row r="96">
          <cell r="A96" t="str">
            <v>MCAM1</v>
          </cell>
          <cell r="B96" t="str">
            <v>MASTERCHEF AMADORES</v>
          </cell>
          <cell r="C96" t="str">
            <v>MCAM</v>
          </cell>
          <cell r="D96" t="str">
            <v xml:space="preserve"> Erick Jacquin  Ação Integrada (Prova)</v>
          </cell>
          <cell r="G96">
            <v>9000</v>
          </cell>
          <cell r="I96" t="str">
            <v>Tabela Masterchef 2025 - Erick Jacquin</v>
          </cell>
        </row>
        <row r="97">
          <cell r="A97" t="str">
            <v>MCAM2</v>
          </cell>
          <cell r="B97" t="str">
            <v>MASTERCHEF AMADORES</v>
          </cell>
          <cell r="C97" t="str">
            <v>MCAM</v>
          </cell>
          <cell r="D97" t="str">
            <v xml:space="preserve"> Erick Jacquin  Ação Especial (Estúdio / Externa)</v>
          </cell>
          <cell r="G97">
            <v>26000</v>
          </cell>
          <cell r="I97" t="str">
            <v>Tabela Masterchef 2025 - Erick Jacquin</v>
          </cell>
        </row>
        <row r="98">
          <cell r="A98" t="str">
            <v>MCAM3</v>
          </cell>
          <cell r="B98" t="str">
            <v>MASTERCHEF AMADORES</v>
          </cell>
          <cell r="C98" t="str">
            <v>MCAM</v>
          </cell>
          <cell r="D98" t="str">
            <v xml:space="preserve"> Erick Jacquin  Merchanbreak (Estúdio / Externa)</v>
          </cell>
          <cell r="G98">
            <v>26000</v>
          </cell>
          <cell r="I98" t="str">
            <v>Tabela Masterchef 2025 - Erick Jacquin</v>
          </cell>
        </row>
        <row r="99">
          <cell r="A99" t="str">
            <v>MCAM4</v>
          </cell>
          <cell r="B99" t="str">
            <v>MASTERCHEF AMADORES</v>
          </cell>
          <cell r="C99" t="str">
            <v>MCAM</v>
          </cell>
          <cell r="D99" t="str">
            <v xml:space="preserve"> Helena / Fogaça  Ação Integrada (Prova)</v>
          </cell>
          <cell r="G99">
            <v>9000</v>
          </cell>
          <cell r="I99" t="str">
            <v>Tabela Masterchef 2025 - Valor unitário para Helena Rizzo / Valor unitário para Fogaça</v>
          </cell>
        </row>
        <row r="100">
          <cell r="A100" t="str">
            <v>MCAM5</v>
          </cell>
          <cell r="B100" t="str">
            <v>MASTERCHEF AMADORES</v>
          </cell>
          <cell r="C100" t="str">
            <v>MCAM</v>
          </cell>
          <cell r="D100" t="str">
            <v xml:space="preserve"> Helena / Fogaça  Ação Especial (Estúdio)</v>
          </cell>
          <cell r="G100">
            <v>10901.47</v>
          </cell>
          <cell r="I100" t="str">
            <v>Tabela Masterchef 2025 - Valor unitário para Helena Rizzo / Valor unitário para Fogaça</v>
          </cell>
        </row>
        <row r="101">
          <cell r="A101" t="str">
            <v>MCAM6</v>
          </cell>
          <cell r="B101" t="str">
            <v>MASTERCHEF AMADORES</v>
          </cell>
          <cell r="C101" t="str">
            <v>MCAM</v>
          </cell>
          <cell r="D101" t="str">
            <v xml:space="preserve"> Helena / Fogaça  Ação Especial (Externa)</v>
          </cell>
          <cell r="G101">
            <v>21796.18</v>
          </cell>
          <cell r="I101" t="str">
            <v>Tabela Masterchef 2025 - Valor unitário para Helena Rizzo / Valor unitário para Fogaça</v>
          </cell>
        </row>
        <row r="102">
          <cell r="A102" t="str">
            <v>MCAM7</v>
          </cell>
          <cell r="B102" t="str">
            <v>MASTERCHEF AMADORES</v>
          </cell>
          <cell r="C102" t="str">
            <v>MCAM</v>
          </cell>
          <cell r="D102" t="str">
            <v xml:space="preserve"> Helena / Fogaça  Merchanbreak (Estúdio)</v>
          </cell>
          <cell r="G102">
            <v>8176.09</v>
          </cell>
          <cell r="I102" t="str">
            <v>Tabela Masterchef 2025 - Valor unitário para Helena Rizzo / Valor unitário para Fogaça</v>
          </cell>
        </row>
        <row r="103">
          <cell r="A103" t="str">
            <v>MCAM8</v>
          </cell>
          <cell r="B103" t="str">
            <v>MASTERCHEF AMADORES</v>
          </cell>
          <cell r="C103" t="str">
            <v>MCAM</v>
          </cell>
          <cell r="D103" t="str">
            <v xml:space="preserve"> Helena / Fogaça  Merchanbreak (Externa)</v>
          </cell>
          <cell r="G103">
            <v>16352.18</v>
          </cell>
          <cell r="I103" t="str">
            <v>Tabela Masterchef 2025 - Valor unitário para Helena Rizzo / Valor unitário para Fogaça</v>
          </cell>
        </row>
        <row r="104">
          <cell r="A104" t="str">
            <v>MCHP1</v>
          </cell>
          <cell r="B104" t="str">
            <v>MASTERCHEF A PRÉVIA</v>
          </cell>
          <cell r="C104" t="str">
            <v>MCHP</v>
          </cell>
          <cell r="D104" t="str">
            <v xml:space="preserve"> Otaviano Costa</v>
          </cell>
          <cell r="F104">
            <v>0.2</v>
          </cell>
          <cell r="G104">
            <v>6000</v>
          </cell>
          <cell r="I104" t="str">
            <v>Otaviano Costa - 20% do líquido - por ação / Ação Especial valor sob consulta</v>
          </cell>
        </row>
        <row r="105">
          <cell r="A105" t="str">
            <v>DONO1</v>
          </cell>
          <cell r="B105" t="str">
            <v xml:space="preserve">OS DONOS DA BOLA </v>
          </cell>
          <cell r="C105" t="str">
            <v>DONO</v>
          </cell>
          <cell r="D105" t="str">
            <v xml:space="preserve"> José Ferreira (Neto)</v>
          </cell>
          <cell r="F105">
            <v>0.1</v>
          </cell>
          <cell r="G105">
            <v>2500</v>
          </cell>
          <cell r="I105" t="str">
            <v>Neto - 10% do líquido negociado - por ação / Ação Especial valor sob consulta</v>
          </cell>
        </row>
        <row r="106">
          <cell r="A106" t="str">
            <v>DONO2</v>
          </cell>
          <cell r="B106" t="str">
            <v>OS DONOS DA BOLA</v>
          </cell>
          <cell r="C106" t="str">
            <v>DONO</v>
          </cell>
          <cell r="D106" t="str">
            <v xml:space="preserve"> Wagner Fernando (Veloso)</v>
          </cell>
          <cell r="F106">
            <v>0.1</v>
          </cell>
          <cell r="G106">
            <v>2000</v>
          </cell>
          <cell r="I106" t="str">
            <v>Veloso - 10% do líquido negociado - por ação / Ação Especial valor sob consulta</v>
          </cell>
        </row>
        <row r="107">
          <cell r="A107" t="str">
            <v>DONO3</v>
          </cell>
          <cell r="B107" t="str">
            <v>OS DONOS DA BOLA</v>
          </cell>
          <cell r="C107" t="str">
            <v>DONO</v>
          </cell>
          <cell r="D107" t="str">
            <v xml:space="preserve"> Willamis de Souza Silva</v>
          </cell>
          <cell r="F107">
            <v>0.1</v>
          </cell>
          <cell r="G107">
            <v>2000</v>
          </cell>
          <cell r="I107" t="str">
            <v>Willamis - 10% do líquido - por ação / Ação Especial valor sob consulta</v>
          </cell>
        </row>
        <row r="108">
          <cell r="A108" t="str">
            <v>PER1</v>
          </cell>
          <cell r="B108" t="str">
            <v>PERRENGUE</v>
          </cell>
          <cell r="C108" t="str">
            <v>PER</v>
          </cell>
          <cell r="D108" t="str">
            <v xml:space="preserve"> Elenco</v>
          </cell>
          <cell r="F108">
            <v>0.15</v>
          </cell>
          <cell r="G108">
            <v>2000</v>
          </cell>
          <cell r="I108" t="str">
            <v>Tatola, Angêlo, Denis, Ricardo - 15% do líquido negociado - por ação / Ação Especial valor sob consulta</v>
          </cell>
        </row>
        <row r="109">
          <cell r="A109" t="str">
            <v>PECO1</v>
          </cell>
          <cell r="B109" t="str">
            <v>PESADELO NA COZINHA</v>
          </cell>
          <cell r="C109" t="str">
            <v>PECO</v>
          </cell>
          <cell r="D109" t="str">
            <v xml:space="preserve"> Erick Jacquin</v>
          </cell>
          <cell r="I109" t="str">
            <v>Tabela Pesadelo na Cozinha 2025 - Sob Consulta</v>
          </cell>
        </row>
        <row r="110">
          <cell r="A110" t="str">
            <v>JOAO1</v>
          </cell>
          <cell r="B110" t="str">
            <v>PROGRAMA DO JOÃO</v>
          </cell>
          <cell r="C110" t="str">
            <v>JOAO</v>
          </cell>
          <cell r="D110" t="str">
            <v xml:space="preserve"> João Guilherme</v>
          </cell>
          <cell r="F110">
            <v>0.2</v>
          </cell>
          <cell r="G110">
            <v>5000</v>
          </cell>
          <cell r="I110" t="str">
            <v>João Guilherme - 20% do líquido da mídia e mínimo de R$ 5.000,00 / Ação Especial valor sob consulta</v>
          </cell>
        </row>
        <row r="111">
          <cell r="A111" t="str">
            <v>SHOE1</v>
          </cell>
          <cell r="B111" t="str">
            <v>SHOW DO ESPORTE</v>
          </cell>
          <cell r="C111" t="str">
            <v>SHOE</v>
          </cell>
          <cell r="D111" t="str">
            <v xml:space="preserve"> Glenda dos Reis Kozlowski</v>
          </cell>
          <cell r="F111">
            <v>0.1</v>
          </cell>
          <cell r="G111">
            <v>4000</v>
          </cell>
          <cell r="I111" t="str">
            <v>Glenda Kozlowski - 10% do líquido negociado - por ação / Ação Especial valor sob consulta</v>
          </cell>
        </row>
        <row r="112">
          <cell r="A112" t="str">
            <v>SHOE2</v>
          </cell>
          <cell r="B112" t="str">
            <v>SHOW DO ESPORTE</v>
          </cell>
          <cell r="C112" t="str">
            <v>SHOE</v>
          </cell>
          <cell r="D112" t="str">
            <v xml:space="preserve"> José Elia Junior</v>
          </cell>
          <cell r="F112">
            <v>0.1</v>
          </cell>
          <cell r="G112">
            <v>4000</v>
          </cell>
          <cell r="I112" t="str">
            <v>Elia Junior - 10% do líquido negociado - por ação / Ação Especial valor sob consulta</v>
          </cell>
        </row>
        <row r="119">
          <cell r="B119" t="str">
            <v>EXIBIÇÕES</v>
          </cell>
        </row>
        <row r="120">
          <cell r="B120" t="str">
            <v>MÊS PADRÃO</v>
          </cell>
        </row>
        <row r="121">
          <cell r="B121" t="str">
            <v>JANEIRO</v>
          </cell>
        </row>
        <row r="122">
          <cell r="B122" t="str">
            <v>FEVEREIRO</v>
          </cell>
        </row>
        <row r="123">
          <cell r="B123" t="str">
            <v>MARÇO</v>
          </cell>
        </row>
        <row r="124">
          <cell r="B124" t="str">
            <v>ABRIL</v>
          </cell>
        </row>
        <row r="125">
          <cell r="B125" t="str">
            <v>MAIO</v>
          </cell>
        </row>
        <row r="126">
          <cell r="B126" t="str">
            <v>JUNHO</v>
          </cell>
        </row>
        <row r="127">
          <cell r="B127" t="str">
            <v>JULHO</v>
          </cell>
        </row>
        <row r="128">
          <cell r="B128" t="str">
            <v>AGOSTO</v>
          </cell>
        </row>
        <row r="129">
          <cell r="B129" t="str">
            <v>SETEMBRO</v>
          </cell>
        </row>
        <row r="130">
          <cell r="B130" t="str">
            <v>OUTUBRO</v>
          </cell>
        </row>
        <row r="131">
          <cell r="B131" t="str">
            <v>NOVEMBRO</v>
          </cell>
        </row>
        <row r="132">
          <cell r="B132" t="str">
            <v>DEZEMBRO</v>
          </cell>
        </row>
        <row r="241">
          <cell r="B241" t="str">
            <v>-</v>
          </cell>
        </row>
        <row r="242">
          <cell r="B242" t="str">
            <v>30"</v>
          </cell>
        </row>
        <row r="243">
          <cell r="B243" t="str">
            <v>5"</v>
          </cell>
        </row>
        <row r="244">
          <cell r="B244" t="str">
            <v>10"</v>
          </cell>
        </row>
        <row r="245">
          <cell r="B245" t="str">
            <v>15"</v>
          </cell>
        </row>
        <row r="246">
          <cell r="B246" t="str">
            <v>45"</v>
          </cell>
        </row>
        <row r="247">
          <cell r="B247" t="str">
            <v>60"</v>
          </cell>
        </row>
        <row r="248">
          <cell r="B248" t="str">
            <v>75"</v>
          </cell>
        </row>
        <row r="249">
          <cell r="B249" t="str">
            <v>90"</v>
          </cell>
        </row>
        <row r="250">
          <cell r="B250" t="str">
            <v>105"</v>
          </cell>
        </row>
        <row r="251">
          <cell r="B251" t="str">
            <v>120"</v>
          </cell>
        </row>
        <row r="252">
          <cell r="B252" t="str">
            <v>135"</v>
          </cell>
        </row>
        <row r="253">
          <cell r="B253" t="str">
            <v>150"</v>
          </cell>
        </row>
        <row r="254">
          <cell r="B254" t="str">
            <v>175"</v>
          </cell>
        </row>
        <row r="255">
          <cell r="B255" t="str">
            <v>180"</v>
          </cell>
        </row>
        <row r="256">
          <cell r="B256" t="str">
            <v>195"</v>
          </cell>
        </row>
        <row r="257">
          <cell r="B257" t="str">
            <v>210"</v>
          </cell>
        </row>
        <row r="258">
          <cell r="B258" t="str">
            <v>225"</v>
          </cell>
        </row>
        <row r="259">
          <cell r="B259" t="str">
            <v>240"</v>
          </cell>
        </row>
        <row r="260">
          <cell r="B260" t="str">
            <v>300"</v>
          </cell>
        </row>
      </sheetData>
      <sheetData sheetId="9">
        <row r="1">
          <cell r="C1" t="str">
            <v>Selecionar</v>
          </cell>
        </row>
      </sheetData>
      <sheetData sheetId="10">
        <row r="1">
          <cell r="A1" t="str">
            <v>CONCATENAR</v>
          </cell>
        </row>
      </sheetData>
      <sheetData sheetId="11">
        <row r="1">
          <cell r="B1">
            <v>0.1</v>
          </cell>
        </row>
      </sheetData>
      <sheetData sheetId="12" refreshError="1"/>
      <sheetData sheetId="13">
        <row r="1">
          <cell r="B1" t="str">
            <v>Selecionar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ÇÃ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3784-97EF-4DC5-BE84-9C7803E04746}">
  <sheetPr>
    <pageSetUpPr fitToPage="1"/>
  </sheetPr>
  <dimension ref="B1:N36"/>
  <sheetViews>
    <sheetView showGridLines="0" zoomScale="62" zoomScaleNormal="47" zoomScaleSheetLayoutView="47" workbookViewId="0">
      <selection activeCell="D27" sqref="D27:K28"/>
    </sheetView>
  </sheetViews>
  <sheetFormatPr defaultColWidth="11.5" defaultRowHeight="20.25" customHeight="1" x14ac:dyDescent="0.3"/>
  <cols>
    <col min="1" max="1" width="2.5" style="313" customWidth="1"/>
    <col min="2" max="2" width="15" style="313" customWidth="1"/>
    <col min="3" max="3" width="25.296875" style="319" customWidth="1"/>
    <col min="4" max="6" width="11.5" style="313" customWidth="1"/>
    <col min="7" max="7" width="27.796875" style="313" customWidth="1"/>
    <col min="8" max="10" width="11.5" style="313" customWidth="1"/>
    <col min="11" max="11" width="25.296875" style="313" customWidth="1"/>
    <col min="12" max="16384" width="11.5" style="313"/>
  </cols>
  <sheetData>
    <row r="1" spans="2:11" ht="12" customHeight="1" x14ac:dyDescent="0.3"/>
    <row r="6" spans="2:11" ht="20.25" customHeight="1" x14ac:dyDescent="0.3">
      <c r="B6" s="576" t="s">
        <v>130</v>
      </c>
      <c r="C6" s="576"/>
      <c r="D6" s="576"/>
      <c r="E6" s="576"/>
      <c r="F6" s="576"/>
      <c r="G6" s="576"/>
      <c r="I6" s="577" t="s">
        <v>131</v>
      </c>
      <c r="J6" s="577"/>
      <c r="K6" s="577"/>
    </row>
    <row r="8" spans="2:11" ht="20.25" customHeight="1" x14ac:dyDescent="0.3">
      <c r="B8" s="314" t="s">
        <v>132</v>
      </c>
      <c r="C8" s="578" t="s">
        <v>133</v>
      </c>
      <c r="D8" s="578"/>
      <c r="E8" s="578"/>
      <c r="F8" s="578"/>
      <c r="G8" s="578"/>
      <c r="H8" s="578"/>
      <c r="I8" s="578"/>
      <c r="J8" s="578"/>
      <c r="K8" s="578"/>
    </row>
    <row r="9" spans="2:11" ht="20.25" customHeight="1" x14ac:dyDescent="0.3">
      <c r="B9" s="314" t="s">
        <v>134</v>
      </c>
      <c r="C9" s="578" t="s">
        <v>313</v>
      </c>
      <c r="D9" s="578"/>
      <c r="E9" s="578"/>
      <c r="F9" s="578"/>
      <c r="G9" s="578"/>
      <c r="H9" s="578"/>
      <c r="I9" s="578"/>
      <c r="J9" s="578"/>
      <c r="K9" s="578"/>
    </row>
    <row r="10" spans="2:11" ht="20.25" customHeight="1" x14ac:dyDescent="0.3">
      <c r="B10" s="315" t="s">
        <v>135</v>
      </c>
      <c r="C10" s="499" t="s">
        <v>136</v>
      </c>
      <c r="D10" s="316"/>
      <c r="E10" s="316"/>
      <c r="F10" s="316"/>
      <c r="G10" s="316"/>
      <c r="H10" s="316"/>
      <c r="I10" s="316"/>
      <c r="J10" s="316"/>
      <c r="K10" s="316"/>
    </row>
    <row r="11" spans="2:11" ht="20.25" customHeight="1" x14ac:dyDescent="0.3">
      <c r="B11" s="579"/>
      <c r="C11" s="579"/>
      <c r="D11" s="579"/>
      <c r="E11" s="579"/>
      <c r="F11" s="579"/>
      <c r="G11" s="579"/>
      <c r="H11" s="579"/>
      <c r="I11" s="579"/>
      <c r="J11" s="579"/>
      <c r="K11" s="579"/>
    </row>
    <row r="12" spans="2:11" ht="13.5" customHeight="1" x14ac:dyDescent="0.3">
      <c r="B12" s="575"/>
      <c r="C12" s="575"/>
      <c r="D12" s="575"/>
      <c r="E12" s="575"/>
      <c r="F12" s="575"/>
      <c r="G12" s="575"/>
      <c r="H12" s="575"/>
      <c r="I12" s="575"/>
      <c r="J12" s="575"/>
      <c r="K12" s="575"/>
    </row>
    <row r="14" spans="2:11" ht="20.25" customHeight="1" x14ac:dyDescent="0.3">
      <c r="B14" s="317" t="s">
        <v>137</v>
      </c>
      <c r="C14" s="317" t="s">
        <v>138</v>
      </c>
      <c r="D14" s="317" t="s">
        <v>139</v>
      </c>
      <c r="E14" s="317"/>
      <c r="F14" s="314"/>
      <c r="G14" s="314"/>
      <c r="H14" s="314"/>
      <c r="I14" s="314"/>
      <c r="J14" s="314"/>
      <c r="K14" s="314"/>
    </row>
    <row r="15" spans="2:11" ht="20.25" customHeight="1" x14ac:dyDescent="0.3">
      <c r="B15" s="552">
        <v>1</v>
      </c>
      <c r="C15" s="318">
        <v>46062</v>
      </c>
      <c r="D15" s="580" t="s">
        <v>400</v>
      </c>
      <c r="E15" s="580"/>
      <c r="F15" s="580"/>
      <c r="G15" s="580"/>
      <c r="H15" s="580"/>
      <c r="I15" s="580"/>
      <c r="J15" s="580"/>
      <c r="K15" s="580"/>
    </row>
    <row r="16" spans="2:11" ht="20.25" customHeight="1" x14ac:dyDescent="0.3">
      <c r="B16" s="552">
        <v>2</v>
      </c>
      <c r="C16" s="318">
        <v>46062</v>
      </c>
      <c r="D16" s="580" t="s">
        <v>401</v>
      </c>
      <c r="E16" s="580"/>
      <c r="F16" s="580"/>
      <c r="G16" s="580"/>
      <c r="H16" s="580"/>
      <c r="I16" s="580"/>
      <c r="J16" s="580"/>
      <c r="K16" s="580"/>
    </row>
    <row r="17" spans="2:14" ht="20.25" customHeight="1" x14ac:dyDescent="0.3">
      <c r="B17" s="552">
        <v>3</v>
      </c>
      <c r="C17" s="318">
        <v>46078</v>
      </c>
      <c r="D17" s="580" t="s">
        <v>409</v>
      </c>
      <c r="E17" s="580"/>
      <c r="F17" s="580"/>
      <c r="G17" s="580"/>
      <c r="H17" s="580"/>
      <c r="I17" s="580"/>
      <c r="J17" s="580"/>
      <c r="K17" s="580"/>
    </row>
    <row r="18" spans="2:14" ht="20.25" customHeight="1" x14ac:dyDescent="0.3">
      <c r="B18" s="319"/>
      <c r="C18" s="318"/>
      <c r="D18" s="493"/>
      <c r="E18" s="493"/>
      <c r="F18" s="493"/>
      <c r="G18" s="493"/>
      <c r="H18" s="493"/>
      <c r="I18" s="493"/>
      <c r="J18" s="493"/>
      <c r="K18" s="493"/>
    </row>
    <row r="19" spans="2:14" ht="20.25" customHeight="1" x14ac:dyDescent="0.3">
      <c r="B19" s="319"/>
      <c r="C19" s="318"/>
      <c r="D19" s="493"/>
      <c r="E19" s="493"/>
      <c r="F19" s="493"/>
      <c r="G19" s="493"/>
      <c r="H19" s="493"/>
      <c r="I19" s="493"/>
      <c r="J19" s="493"/>
      <c r="K19" s="493"/>
      <c r="L19" s="321"/>
      <c r="M19" s="321"/>
      <c r="N19" s="321"/>
    </row>
    <row r="20" spans="2:14" ht="20.25" customHeight="1" x14ac:dyDescent="0.3">
      <c r="B20" s="322"/>
      <c r="C20" s="318"/>
      <c r="D20" s="493"/>
      <c r="E20" s="493"/>
      <c r="F20" s="493"/>
      <c r="G20" s="493"/>
      <c r="H20" s="493"/>
      <c r="I20" s="493"/>
      <c r="J20" s="493"/>
      <c r="K20" s="493"/>
      <c r="L20" s="321"/>
      <c r="M20" s="321"/>
      <c r="N20" s="321"/>
    </row>
    <row r="21" spans="2:14" ht="20.25" customHeight="1" x14ac:dyDescent="0.3">
      <c r="B21" s="322"/>
      <c r="C21" s="318"/>
      <c r="D21" s="574"/>
      <c r="E21" s="574"/>
      <c r="F21" s="574"/>
      <c r="G21" s="574"/>
      <c r="H21" s="574"/>
      <c r="I21" s="574"/>
      <c r="J21" s="574"/>
      <c r="K21" s="574"/>
      <c r="L21" s="321"/>
      <c r="M21" s="321"/>
      <c r="N21" s="321"/>
    </row>
    <row r="22" spans="2:14" ht="20.25" customHeight="1" x14ac:dyDescent="0.3">
      <c r="B22" s="322"/>
      <c r="C22" s="318"/>
      <c r="D22" s="574"/>
      <c r="E22" s="574"/>
      <c r="F22" s="574"/>
      <c r="G22" s="574"/>
      <c r="H22" s="574"/>
      <c r="I22" s="574"/>
      <c r="J22" s="574"/>
      <c r="K22" s="574"/>
      <c r="L22" s="321"/>
      <c r="M22" s="321"/>
      <c r="N22" s="321"/>
    </row>
    <row r="23" spans="2:14" ht="20.25" customHeight="1" x14ac:dyDescent="0.3">
      <c r="B23" s="322"/>
      <c r="C23" s="318"/>
      <c r="D23" s="320"/>
      <c r="E23" s="321"/>
      <c r="F23" s="321"/>
      <c r="G23" s="321"/>
      <c r="H23" s="321"/>
      <c r="I23" s="321"/>
      <c r="J23" s="321"/>
      <c r="K23" s="321"/>
      <c r="L23" s="321"/>
      <c r="M23" s="321"/>
      <c r="N23" s="321"/>
    </row>
    <row r="24" spans="2:14" ht="20.25" customHeight="1" x14ac:dyDescent="0.3">
      <c r="B24" s="322"/>
      <c r="C24" s="318"/>
      <c r="D24" s="321"/>
      <c r="E24" s="321"/>
      <c r="F24" s="321"/>
      <c r="G24" s="321"/>
      <c r="H24" s="321"/>
      <c r="I24" s="321"/>
      <c r="J24" s="321"/>
      <c r="K24" s="321"/>
      <c r="L24" s="321"/>
      <c r="M24" s="321"/>
      <c r="N24" s="321"/>
    </row>
    <row r="25" spans="2:14" ht="20.25" customHeight="1" x14ac:dyDescent="0.3">
      <c r="B25" s="322"/>
      <c r="C25" s="318"/>
      <c r="D25" s="574"/>
      <c r="E25" s="574"/>
      <c r="F25" s="574"/>
      <c r="G25" s="574"/>
      <c r="H25" s="574"/>
      <c r="I25" s="574"/>
      <c r="J25" s="574"/>
      <c r="K25" s="574"/>
      <c r="L25" s="321"/>
      <c r="M25" s="321"/>
      <c r="N25" s="321"/>
    </row>
    <row r="26" spans="2:14" ht="20.25" customHeight="1" x14ac:dyDescent="0.3">
      <c r="B26" s="322"/>
      <c r="C26" s="318"/>
      <c r="D26" s="574"/>
      <c r="E26" s="574"/>
      <c r="F26" s="574"/>
      <c r="G26" s="574"/>
      <c r="H26" s="574"/>
      <c r="I26" s="574"/>
      <c r="J26" s="574"/>
      <c r="K26" s="574"/>
      <c r="L26" s="321"/>
      <c r="M26" s="321"/>
      <c r="N26" s="321"/>
    </row>
    <row r="27" spans="2:14" ht="20.25" customHeight="1" x14ac:dyDescent="0.3">
      <c r="B27" s="322"/>
      <c r="C27" s="318"/>
      <c r="D27" s="574"/>
      <c r="E27" s="574"/>
      <c r="F27" s="574"/>
      <c r="G27" s="574"/>
      <c r="H27" s="574"/>
      <c r="I27" s="574"/>
      <c r="J27" s="574"/>
      <c r="K27" s="574"/>
      <c r="L27" s="321"/>
      <c r="M27" s="321"/>
      <c r="N27" s="321"/>
    </row>
    <row r="28" spans="2:14" ht="20.25" customHeight="1" x14ac:dyDescent="0.3">
      <c r="B28" s="322"/>
      <c r="C28" s="318"/>
      <c r="D28" s="574"/>
      <c r="E28" s="574"/>
      <c r="F28" s="574"/>
      <c r="G28" s="574"/>
      <c r="H28" s="574"/>
      <c r="I28" s="574"/>
      <c r="J28" s="574"/>
      <c r="K28" s="574"/>
      <c r="L28" s="321"/>
      <c r="M28" s="321"/>
      <c r="N28" s="321"/>
    </row>
    <row r="29" spans="2:14" ht="20.25" customHeight="1" x14ac:dyDescent="0.3">
      <c r="B29" s="322"/>
      <c r="C29" s="318"/>
      <c r="D29" s="321"/>
      <c r="E29" s="321"/>
      <c r="F29" s="321"/>
      <c r="G29" s="321"/>
      <c r="H29" s="321"/>
      <c r="I29" s="321"/>
      <c r="J29" s="321"/>
      <c r="K29" s="321"/>
      <c r="L29" s="321"/>
      <c r="M29" s="321"/>
      <c r="N29" s="321"/>
    </row>
    <row r="30" spans="2:14" ht="20.25" customHeight="1" x14ac:dyDescent="0.3">
      <c r="B30" s="322"/>
      <c r="C30" s="322"/>
      <c r="D30" s="321"/>
      <c r="E30" s="321"/>
      <c r="F30" s="321"/>
      <c r="G30" s="321"/>
      <c r="H30" s="321"/>
      <c r="I30" s="321"/>
      <c r="J30" s="321"/>
      <c r="K30" s="321"/>
      <c r="L30" s="321"/>
      <c r="M30" s="321"/>
      <c r="N30" s="321"/>
    </row>
    <row r="31" spans="2:14" ht="20.25" customHeight="1" x14ac:dyDescent="0.3">
      <c r="B31" s="322"/>
      <c r="C31" s="322"/>
      <c r="D31" s="321"/>
      <c r="E31" s="321"/>
      <c r="F31" s="321"/>
      <c r="G31" s="321"/>
      <c r="H31" s="321"/>
      <c r="I31" s="321"/>
      <c r="J31" s="321"/>
      <c r="K31" s="321"/>
      <c r="L31" s="321"/>
      <c r="M31" s="321"/>
      <c r="N31" s="321"/>
    </row>
    <row r="32" spans="2:14" ht="20.25" customHeight="1" x14ac:dyDescent="0.3">
      <c r="B32" s="319"/>
    </row>
    <row r="33" spans="2:4" ht="20.25" customHeight="1" x14ac:dyDescent="0.3">
      <c r="B33" s="319"/>
    </row>
    <row r="34" spans="2:4" ht="20.25" customHeight="1" x14ac:dyDescent="0.3">
      <c r="B34" s="319"/>
    </row>
    <row r="35" spans="2:4" ht="20.25" customHeight="1" x14ac:dyDescent="0.3">
      <c r="B35" s="319"/>
    </row>
    <row r="36" spans="2:4" ht="20.25" customHeight="1" x14ac:dyDescent="0.3">
      <c r="B36" s="319"/>
      <c r="D36" s="321"/>
    </row>
  </sheetData>
  <mergeCells count="12">
    <mergeCell ref="D27:K28"/>
    <mergeCell ref="D21:K22"/>
    <mergeCell ref="D25:K26"/>
    <mergeCell ref="B12:K12"/>
    <mergeCell ref="B6:G6"/>
    <mergeCell ref="I6:K6"/>
    <mergeCell ref="C8:K8"/>
    <mergeCell ref="C9:K9"/>
    <mergeCell ref="B11:K11"/>
    <mergeCell ref="D16:K16"/>
    <mergeCell ref="D17:K17"/>
    <mergeCell ref="D15:K15"/>
  </mergeCells>
  <pageMargins left="0.25" right="0.25" top="0.75" bottom="0.75" header="0.3" footer="0.3"/>
  <pageSetup paperSize="9" scale="62" orientation="landscape" r:id="rId1"/>
  <headerFooter>
    <oddFooter>&amp;C_x000D_&amp;1#&amp;"Calibri"&amp;10&amp;K000000 Confidential - Not for Public Consumption or Distribution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7710-8166-460C-92A0-0E4856DDD7E3}">
  <dimension ref="B1:P45"/>
  <sheetViews>
    <sheetView showGridLines="0" zoomScale="104" zoomScaleNormal="90" workbookViewId="0">
      <pane ySplit="11" topLeftCell="A12" activePane="bottomLeft" state="frozen"/>
      <selection pane="bottomLeft" activeCell="G41" sqref="G41"/>
    </sheetView>
  </sheetViews>
  <sheetFormatPr defaultColWidth="8.69921875" defaultRowHeight="22.5" customHeight="1" x14ac:dyDescent="0.3"/>
  <cols>
    <col min="1" max="1" width="3.296875" style="309" customWidth="1"/>
    <col min="2" max="2" width="24.5" style="309" customWidth="1"/>
    <col min="3" max="3" width="18.796875" style="308" customWidth="1"/>
    <col min="4" max="4" width="17.8984375" style="309" bestFit="1" customWidth="1"/>
    <col min="5" max="5" width="1.69921875" style="309" customWidth="1"/>
    <col min="6" max="6" width="15.5" style="309" customWidth="1"/>
    <col min="7" max="7" width="15.296875" style="309" customWidth="1"/>
    <col min="8" max="8" width="19.09765625" style="309" customWidth="1"/>
    <col min="9" max="9" width="11.296875" style="308" customWidth="1"/>
    <col min="10" max="10" width="10.5" style="308" customWidth="1"/>
    <col min="11" max="11" width="14.19921875" style="567" customWidth="1"/>
    <col min="12" max="12" width="5.796875" style="309" customWidth="1"/>
    <col min="13" max="13" width="13.796875" style="309" customWidth="1"/>
    <col min="14" max="14" width="15.796875" style="309" customWidth="1"/>
    <col min="15" max="16384" width="8.69921875" style="309"/>
  </cols>
  <sheetData>
    <row r="1" spans="2:16" ht="13.05" customHeight="1" x14ac:dyDescent="0.3"/>
    <row r="2" spans="2:16" ht="13.05" customHeight="1" x14ac:dyDescent="0.3"/>
    <row r="3" spans="2:16" ht="13.05" customHeight="1" x14ac:dyDescent="0.3"/>
    <row r="4" spans="2:16" ht="13.05" customHeight="1" x14ac:dyDescent="0.3"/>
    <row r="5" spans="2:16" ht="13.05" customHeight="1" x14ac:dyDescent="0.3">
      <c r="B5" s="464" t="s">
        <v>0</v>
      </c>
    </row>
    <row r="6" spans="2:16" ht="13.05" customHeight="1" x14ac:dyDescent="0.3">
      <c r="B6" s="465" t="s">
        <v>361</v>
      </c>
    </row>
    <row r="7" spans="2:16" ht="13.05" customHeight="1" x14ac:dyDescent="0.3">
      <c r="B7" s="465"/>
      <c r="I7" s="309"/>
    </row>
    <row r="8" spans="2:16" ht="13.05" customHeight="1" x14ac:dyDescent="0.3">
      <c r="B8" s="466" t="s">
        <v>297</v>
      </c>
    </row>
    <row r="9" spans="2:16" ht="13.05" customHeight="1" x14ac:dyDescent="0.3"/>
    <row r="10" spans="2:16" ht="22.5" customHeight="1" x14ac:dyDescent="0.3">
      <c r="B10" s="581" t="s">
        <v>121</v>
      </c>
      <c r="C10" s="581" t="s">
        <v>122</v>
      </c>
      <c r="D10" s="581" t="s">
        <v>123</v>
      </c>
      <c r="F10" s="582" t="s">
        <v>140</v>
      </c>
      <c r="G10" s="581" t="s">
        <v>124</v>
      </c>
      <c r="H10" s="581" t="s">
        <v>125</v>
      </c>
      <c r="I10" s="581" t="s">
        <v>126</v>
      </c>
    </row>
    <row r="11" spans="2:16" ht="22.5" customHeight="1" x14ac:dyDescent="0.3">
      <c r="B11" s="581"/>
      <c r="C11" s="581"/>
      <c r="D11" s="581"/>
      <c r="F11" s="582"/>
      <c r="G11" s="581"/>
      <c r="H11" s="581"/>
      <c r="I11" s="581"/>
    </row>
    <row r="12" spans="2:16" ht="13.5" customHeight="1" x14ac:dyDescent="0.3">
      <c r="F12" s="323"/>
      <c r="O12" s="325"/>
    </row>
    <row r="13" spans="2:16" ht="13.5" customHeight="1" x14ac:dyDescent="0.3">
      <c r="B13" s="309" t="s">
        <v>263</v>
      </c>
      <c r="C13" s="308" t="s">
        <v>190</v>
      </c>
      <c r="D13" s="309" t="s">
        <v>157</v>
      </c>
      <c r="F13" s="529">
        <f>'TV ABERTA'!AX30*1.25</f>
        <v>294327.90000000002</v>
      </c>
      <c r="G13" s="324">
        <f t="shared" ref="G13:G25" si="0">SUM(F13:F13)</f>
        <v>294327.90000000002</v>
      </c>
      <c r="H13" s="324">
        <f>G13*0.8</f>
        <v>235462.32000000004</v>
      </c>
      <c r="I13" s="312">
        <f t="shared" ref="I13:I25" si="1">H13/$H$27</f>
        <v>0.30086698825273306</v>
      </c>
      <c r="J13" s="335"/>
      <c r="O13" s="325"/>
      <c r="P13" s="325"/>
    </row>
    <row r="14" spans="2:16" ht="13.5" customHeight="1" x14ac:dyDescent="0.3">
      <c r="B14" s="309" t="s">
        <v>263</v>
      </c>
      <c r="C14" s="308" t="s">
        <v>190</v>
      </c>
      <c r="D14" s="309" t="s">
        <v>17</v>
      </c>
      <c r="F14" s="529">
        <f>'TV ABERTA'!AX43*1.25</f>
        <v>20698.950000000004</v>
      </c>
      <c r="G14" s="324">
        <f t="shared" si="0"/>
        <v>20698.950000000004</v>
      </c>
      <c r="H14" s="324">
        <f>G14*0.8</f>
        <v>16559.160000000003</v>
      </c>
      <c r="I14" s="312">
        <f t="shared" si="1"/>
        <v>2.1158818944768436E-2</v>
      </c>
      <c r="J14" s="335"/>
      <c r="O14" s="325"/>
      <c r="P14" s="325"/>
    </row>
    <row r="15" spans="2:16" ht="13.5" customHeight="1" x14ac:dyDescent="0.3">
      <c r="B15" s="309" t="s">
        <v>263</v>
      </c>
      <c r="C15" s="308" t="s">
        <v>190</v>
      </c>
      <c r="D15" s="309" t="s">
        <v>225</v>
      </c>
      <c r="F15" s="529">
        <f>'TV ABERTA'!AX58*1.25</f>
        <v>67579.599999999977</v>
      </c>
      <c r="G15" s="324">
        <f t="shared" si="0"/>
        <v>67579.599999999977</v>
      </c>
      <c r="H15" s="324">
        <f>G15*0.8</f>
        <v>54063.679999999986</v>
      </c>
      <c r="I15" s="312">
        <f t="shared" si="1"/>
        <v>6.9081017189754665E-2</v>
      </c>
      <c r="J15" s="335"/>
      <c r="O15" s="325"/>
      <c r="P15" s="325"/>
    </row>
    <row r="16" spans="2:16" ht="13.5" customHeight="1" x14ac:dyDescent="0.3">
      <c r="B16" s="309" t="s">
        <v>337</v>
      </c>
      <c r="C16" s="308" t="s">
        <v>190</v>
      </c>
      <c r="D16" s="309" t="s">
        <v>232</v>
      </c>
      <c r="F16" s="529">
        <f>'TV ABERTA'!AX75*1.25</f>
        <v>46601</v>
      </c>
      <c r="G16" s="324">
        <f t="shared" si="0"/>
        <v>46601</v>
      </c>
      <c r="H16" s="324">
        <f t="shared" ref="H16" si="2">G16*0.8</f>
        <v>37280.800000000003</v>
      </c>
      <c r="I16" s="312">
        <f t="shared" si="1"/>
        <v>4.7636335255902051E-2</v>
      </c>
      <c r="J16" s="335"/>
      <c r="P16" s="325"/>
    </row>
    <row r="17" spans="2:16" ht="13.5" customHeight="1" x14ac:dyDescent="0.3">
      <c r="B17" s="309" t="s">
        <v>339</v>
      </c>
      <c r="C17" s="308" t="s">
        <v>190</v>
      </c>
      <c r="D17" s="309" t="s">
        <v>157</v>
      </c>
      <c r="F17" s="529">
        <f>'TV ABERTA'!AX93*1.25</f>
        <v>119680.20000000003</v>
      </c>
      <c r="G17" s="324">
        <f t="shared" si="0"/>
        <v>119680.20000000003</v>
      </c>
      <c r="H17" s="324">
        <f>G17*0.8</f>
        <v>95744.160000000033</v>
      </c>
      <c r="I17" s="312">
        <f t="shared" si="1"/>
        <v>0.12233913715785949</v>
      </c>
      <c r="J17" s="335"/>
      <c r="O17" s="325"/>
      <c r="P17" s="325"/>
    </row>
    <row r="18" spans="2:16" ht="13.5" customHeight="1" x14ac:dyDescent="0.3">
      <c r="B18" s="309" t="s">
        <v>339</v>
      </c>
      <c r="C18" s="308" t="s">
        <v>190</v>
      </c>
      <c r="D18" s="309" t="s">
        <v>232</v>
      </c>
      <c r="F18" s="529">
        <f>'TV ABERTA'!AX108*1.25</f>
        <v>20792.75</v>
      </c>
      <c r="G18" s="324">
        <f t="shared" si="0"/>
        <v>20792.75</v>
      </c>
      <c r="H18" s="324">
        <f>G18*0.8</f>
        <v>16634.2</v>
      </c>
      <c r="I18" s="312">
        <f t="shared" si="1"/>
        <v>2.1254702901057E-2</v>
      </c>
      <c r="J18" s="335"/>
      <c r="O18" s="325"/>
      <c r="P18" s="325"/>
    </row>
    <row r="19" spans="2:16" ht="13.5" customHeight="1" x14ac:dyDescent="0.3">
      <c r="B19" s="309" t="s">
        <v>264</v>
      </c>
      <c r="C19" s="308" t="s">
        <v>190</v>
      </c>
      <c r="D19" s="309" t="s">
        <v>157</v>
      </c>
      <c r="F19" s="573">
        <f>'TV ABERTA'!AX126*1.25</f>
        <v>160146.9</v>
      </c>
      <c r="G19" s="473">
        <f t="shared" si="0"/>
        <v>160146.9</v>
      </c>
      <c r="H19" s="473">
        <f>G19*0.8</f>
        <v>128117.52</v>
      </c>
      <c r="I19" s="312">
        <f t="shared" si="1"/>
        <v>0.16370488656023305</v>
      </c>
      <c r="J19" s="335"/>
      <c r="O19" s="325"/>
      <c r="P19" s="325"/>
    </row>
    <row r="20" spans="2:16" ht="13.5" customHeight="1" x14ac:dyDescent="0.3">
      <c r="B20" s="309" t="s">
        <v>264</v>
      </c>
      <c r="C20" s="308" t="s">
        <v>190</v>
      </c>
      <c r="D20" s="309" t="s">
        <v>17</v>
      </c>
      <c r="F20" s="529">
        <f>'TV ABERTA'!AX139*1.25</f>
        <v>11295.300000000003</v>
      </c>
      <c r="G20" s="324">
        <f t="shared" si="0"/>
        <v>11295.300000000003</v>
      </c>
      <c r="H20" s="324">
        <f t="shared" ref="H20" si="3">G20*0.8</f>
        <v>9036.2400000000034</v>
      </c>
      <c r="I20" s="312">
        <f t="shared" si="1"/>
        <v>1.1546247883435775E-2</v>
      </c>
      <c r="J20" s="335"/>
      <c r="P20" s="325"/>
    </row>
    <row r="21" spans="2:16" ht="13.5" customHeight="1" x14ac:dyDescent="0.3">
      <c r="B21" s="309" t="s">
        <v>264</v>
      </c>
      <c r="C21" s="308" t="s">
        <v>190</v>
      </c>
      <c r="D21" s="309" t="s">
        <v>232</v>
      </c>
      <c r="F21" s="529">
        <f>'TV ABERTA'!AX152*1.25</f>
        <v>22686.75</v>
      </c>
      <c r="G21" s="324">
        <f t="shared" si="0"/>
        <v>22686.75</v>
      </c>
      <c r="H21" s="324">
        <f t="shared" ref="H21" si="4">G21*0.8</f>
        <v>18149.400000000001</v>
      </c>
      <c r="I21" s="312">
        <f t="shared" si="1"/>
        <v>2.3190781933152417E-2</v>
      </c>
      <c r="J21" s="335"/>
      <c r="P21" s="325"/>
    </row>
    <row r="22" spans="2:16" ht="13.5" customHeight="1" x14ac:dyDescent="0.3">
      <c r="B22" s="309" t="s">
        <v>265</v>
      </c>
      <c r="C22" s="308" t="s">
        <v>190</v>
      </c>
      <c r="D22" s="309" t="s">
        <v>157</v>
      </c>
      <c r="F22" s="529">
        <f>'TV ABERTA'!AX170*1.25</f>
        <v>95413.5</v>
      </c>
      <c r="G22" s="324">
        <f t="shared" si="0"/>
        <v>95413.5</v>
      </c>
      <c r="H22" s="324">
        <f>G22*0.8</f>
        <v>76330.8</v>
      </c>
      <c r="I22" s="312">
        <f t="shared" si="1"/>
        <v>9.7533303447115083E-2</v>
      </c>
      <c r="J22" s="335"/>
      <c r="O22" s="325"/>
      <c r="P22" s="325"/>
    </row>
    <row r="23" spans="2:16" ht="13.5" customHeight="1" x14ac:dyDescent="0.3">
      <c r="B23" s="309" t="s">
        <v>265</v>
      </c>
      <c r="C23" s="308" t="s">
        <v>190</v>
      </c>
      <c r="D23" s="309" t="s">
        <v>232</v>
      </c>
      <c r="F23" s="529">
        <f>'TV ABERTA'!AX185*1.25</f>
        <v>17058.499999999996</v>
      </c>
      <c r="G23" s="324">
        <f t="shared" si="0"/>
        <v>17058.499999999996</v>
      </c>
      <c r="H23" s="324">
        <f t="shared" ref="H23" si="5">G23*0.8</f>
        <v>13646.799999999997</v>
      </c>
      <c r="I23" s="312">
        <f t="shared" si="1"/>
        <v>1.7437489001583761E-2</v>
      </c>
      <c r="J23" s="335"/>
      <c r="P23" s="325"/>
    </row>
    <row r="24" spans="2:16" ht="13.5" customHeight="1" x14ac:dyDescent="0.3">
      <c r="B24" s="309" t="s">
        <v>344</v>
      </c>
      <c r="C24" s="308" t="s">
        <v>190</v>
      </c>
      <c r="D24" s="309" t="s">
        <v>157</v>
      </c>
      <c r="F24" s="529">
        <f>'TV ABERTA'!AX203*1.25</f>
        <v>71724.600000000006</v>
      </c>
      <c r="G24" s="324">
        <f t="shared" si="0"/>
        <v>71724.600000000006</v>
      </c>
      <c r="H24" s="324">
        <f>G24*0.8</f>
        <v>57379.680000000008</v>
      </c>
      <c r="I24" s="312">
        <f t="shared" si="1"/>
        <v>7.3318106729372168E-2</v>
      </c>
      <c r="J24" s="335"/>
      <c r="O24" s="325"/>
      <c r="P24" s="325"/>
    </row>
    <row r="25" spans="2:16" ht="13.5" customHeight="1" x14ac:dyDescent="0.3">
      <c r="B25" s="309" t="s">
        <v>283</v>
      </c>
      <c r="C25" s="308" t="s">
        <v>190</v>
      </c>
      <c r="D25" s="309" t="s">
        <v>225</v>
      </c>
      <c r="F25" s="529">
        <f>'TV ABERTA'!AX218*1.25</f>
        <v>30259.899999999998</v>
      </c>
      <c r="G25" s="324">
        <f t="shared" si="0"/>
        <v>30259.899999999998</v>
      </c>
      <c r="H25" s="324">
        <f>G25*0.8</f>
        <v>24207.919999999998</v>
      </c>
      <c r="I25" s="312">
        <f t="shared" si="1"/>
        <v>3.0932184743032772E-2</v>
      </c>
      <c r="J25" s="335"/>
      <c r="O25" s="325"/>
      <c r="P25" s="325"/>
    </row>
    <row r="26" spans="2:16" ht="13.5" customHeight="1" x14ac:dyDescent="0.3">
      <c r="F26" s="310"/>
      <c r="G26" s="311"/>
      <c r="H26" s="311"/>
      <c r="I26" s="312"/>
      <c r="O26" s="325"/>
    </row>
    <row r="27" spans="2:16" ht="13.5" customHeight="1" x14ac:dyDescent="0.3">
      <c r="B27" s="326" t="s">
        <v>191</v>
      </c>
      <c r="C27" s="327"/>
      <c r="D27" s="328"/>
      <c r="F27" s="329">
        <f>SUM(F13:F25)</f>
        <v>978265.85000000009</v>
      </c>
      <c r="G27" s="329">
        <f>SUM(G13:G25)</f>
        <v>978265.85000000009</v>
      </c>
      <c r="H27" s="329">
        <f>SUM(H13:H25)</f>
        <v>782612.68000000028</v>
      </c>
      <c r="I27" s="333">
        <f>SUM(I13:I25)</f>
        <v>0.99999999999999967</v>
      </c>
      <c r="J27" s="330">
        <f>H27/H39</f>
        <v>0.8706345659506457</v>
      </c>
      <c r="K27" s="568" t="b">
        <f>H27=SUM('TV ABERTA'!AP220)</f>
        <v>0</v>
      </c>
      <c r="L27" s="416"/>
      <c r="O27" s="325"/>
    </row>
    <row r="28" spans="2:16" s="331" customFormat="1" ht="13.5" customHeight="1" x14ac:dyDescent="0.3">
      <c r="C28" s="332"/>
      <c r="J28" s="332"/>
      <c r="K28" s="568"/>
    </row>
    <row r="29" spans="2:16" s="331" customFormat="1" ht="13.5" customHeight="1" x14ac:dyDescent="0.3">
      <c r="B29" s="309" t="s">
        <v>349</v>
      </c>
      <c r="C29" s="308" t="s">
        <v>128</v>
      </c>
      <c r="D29" s="309" t="s">
        <v>53</v>
      </c>
      <c r="F29" s="310">
        <f>'RÁDIO '!BJ16*1.25</f>
        <v>6204.0000000000009</v>
      </c>
      <c r="G29" s="311">
        <f>SUM(F29:F29)</f>
        <v>6204.0000000000009</v>
      </c>
      <c r="H29" s="311">
        <f>G29*0.8</f>
        <v>4963.2000000000007</v>
      </c>
      <c r="I29" s="312">
        <f>H29/$H$35</f>
        <v>4.7046119453464236E-2</v>
      </c>
      <c r="J29" s="308"/>
      <c r="K29" s="568"/>
    </row>
    <row r="30" spans="2:16" s="331" customFormat="1" ht="13.5" customHeight="1" x14ac:dyDescent="0.3">
      <c r="B30" s="309" t="s">
        <v>263</v>
      </c>
      <c r="C30" s="308" t="s">
        <v>128</v>
      </c>
      <c r="D30" s="309" t="s">
        <v>53</v>
      </c>
      <c r="F30" s="310">
        <f>'RÁDIO '!BJ20*1.25</f>
        <v>50301</v>
      </c>
      <c r="G30" s="311">
        <f>SUM(F30:F30)</f>
        <v>50301</v>
      </c>
      <c r="H30" s="311">
        <f t="shared" ref="H30:H33" si="6">G30*0.8</f>
        <v>40240.800000000003</v>
      </c>
      <c r="I30" s="312">
        <f>H30/$H$35</f>
        <v>0.38144211067516193</v>
      </c>
      <c r="J30" s="308"/>
      <c r="K30" s="568"/>
    </row>
    <row r="31" spans="2:16" s="331" customFormat="1" ht="13.5" customHeight="1" x14ac:dyDescent="0.3">
      <c r="B31" s="309" t="s">
        <v>263</v>
      </c>
      <c r="C31" s="308" t="s">
        <v>128</v>
      </c>
      <c r="D31" s="309" t="s">
        <v>50</v>
      </c>
      <c r="F31" s="310">
        <f>'RÁDIO '!BJ24*1.25</f>
        <v>56448</v>
      </c>
      <c r="G31" s="311">
        <f>SUM(F31:F31)</f>
        <v>56448</v>
      </c>
      <c r="H31" s="311">
        <f t="shared" si="6"/>
        <v>45158.400000000001</v>
      </c>
      <c r="I31" s="312">
        <f>H31/$H$35</f>
        <v>0.42805598821875385</v>
      </c>
      <c r="J31" s="308"/>
      <c r="K31" s="568"/>
    </row>
    <row r="32" spans="2:16" s="331" customFormat="1" ht="13.5" customHeight="1" x14ac:dyDescent="0.3">
      <c r="B32" s="309" t="s">
        <v>263</v>
      </c>
      <c r="C32" s="308" t="s">
        <v>128</v>
      </c>
      <c r="D32" s="309" t="s">
        <v>351</v>
      </c>
      <c r="F32" s="310">
        <f>'RÁDIO '!BJ28*1.25</f>
        <v>16508.600000000002</v>
      </c>
      <c r="G32" s="311">
        <f>SUM(F32:F32)</f>
        <v>16508.600000000002</v>
      </c>
      <c r="H32" s="311">
        <f t="shared" si="6"/>
        <v>13206.880000000003</v>
      </c>
      <c r="I32" s="312">
        <f>H32/$H$35</f>
        <v>0.12518787356696642</v>
      </c>
      <c r="J32" s="308"/>
      <c r="K32" s="568"/>
    </row>
    <row r="33" spans="2:15" s="331" customFormat="1" ht="13.5" customHeight="1" x14ac:dyDescent="0.3">
      <c r="B33" s="309" t="s">
        <v>354</v>
      </c>
      <c r="C33" s="308" t="s">
        <v>128</v>
      </c>
      <c r="D33" s="309" t="s">
        <v>53</v>
      </c>
      <c r="F33" s="310">
        <f>'RÁDIO '!BJ32*1.25</f>
        <v>2409.0000000000005</v>
      </c>
      <c r="G33" s="311">
        <f>SUM(F33:F33)</f>
        <v>2409.0000000000005</v>
      </c>
      <c r="H33" s="311">
        <f t="shared" si="6"/>
        <v>1927.2000000000005</v>
      </c>
      <c r="I33" s="312">
        <f>H33/$H$35</f>
        <v>1.8267908085653668E-2</v>
      </c>
      <c r="J33" s="308"/>
      <c r="K33" s="568"/>
    </row>
    <row r="34" spans="2:15" ht="13.5" customHeight="1" x14ac:dyDescent="0.3">
      <c r="M34" s="331"/>
      <c r="N34" s="331"/>
      <c r="O34" s="331"/>
    </row>
    <row r="35" spans="2:15" ht="13.5" customHeight="1" x14ac:dyDescent="0.3">
      <c r="B35" s="326" t="s">
        <v>129</v>
      </c>
      <c r="C35" s="327"/>
      <c r="D35" s="328"/>
      <c r="F35" s="329">
        <f>SUM(F29:F33)</f>
        <v>131870.6</v>
      </c>
      <c r="G35" s="329">
        <f>SUM(G29:G33)</f>
        <v>131870.6</v>
      </c>
      <c r="H35" s="329">
        <f>SUM(H29:H33)</f>
        <v>105496.48</v>
      </c>
      <c r="I35" s="330">
        <f>SUM(I29:I33)</f>
        <v>1</v>
      </c>
      <c r="J35" s="330">
        <f>H35/H39</f>
        <v>0.11736186292575906</v>
      </c>
      <c r="K35" s="567" t="b">
        <f>H35='RÁDIO '!BJ33</f>
        <v>1</v>
      </c>
      <c r="L35" s="415"/>
      <c r="M35" s="331"/>
      <c r="N35" s="331"/>
      <c r="O35" s="331"/>
    </row>
    <row r="36" spans="2:15" s="331" customFormat="1" ht="13.5" customHeight="1" x14ac:dyDescent="0.3">
      <c r="K36" s="568"/>
      <c r="M36" s="309"/>
      <c r="N36" s="309"/>
      <c r="O36" s="309"/>
    </row>
    <row r="37" spans="2:15" s="331" customFormat="1" ht="13.5" customHeight="1" x14ac:dyDescent="0.3">
      <c r="B37" s="326" t="s">
        <v>195</v>
      </c>
      <c r="C37" s="327"/>
      <c r="D37" s="328"/>
      <c r="E37" s="309"/>
      <c r="F37" s="329">
        <f>'CUSTO GERAÇÃO'!I43*1.25</f>
        <v>13487.5</v>
      </c>
      <c r="G37" s="329">
        <f>SUM(F37:F37)</f>
        <v>13487.5</v>
      </c>
      <c r="H37" s="329">
        <f>G37*0.8</f>
        <v>10790</v>
      </c>
      <c r="I37" s="330">
        <v>1</v>
      </c>
      <c r="J37" s="330">
        <f>H37/H39</f>
        <v>1.2003571123595217E-2</v>
      </c>
      <c r="K37" s="568"/>
      <c r="M37" s="309"/>
      <c r="N37" s="309"/>
      <c r="O37" s="309"/>
    </row>
    <row r="38" spans="2:15" ht="13.5" customHeight="1" x14ac:dyDescent="0.3"/>
    <row r="39" spans="2:15" ht="18" customHeight="1" x14ac:dyDescent="0.3">
      <c r="B39" s="326" t="s">
        <v>355</v>
      </c>
      <c r="C39" s="327"/>
      <c r="D39" s="328"/>
      <c r="F39" s="329">
        <f t="shared" ref="F39:G39" si="7">SUM(F27,F35,F37)</f>
        <v>1123623.9500000002</v>
      </c>
      <c r="G39" s="329">
        <f t="shared" si="7"/>
        <v>1123623.9500000002</v>
      </c>
      <c r="H39" s="329">
        <f>SUM(H27,H35,H37)</f>
        <v>898899.16000000027</v>
      </c>
      <c r="I39" s="329"/>
      <c r="J39" s="330">
        <f>SUM(J10:J38)</f>
        <v>0.99999999999999989</v>
      </c>
    </row>
    <row r="40" spans="2:15" ht="13.5" customHeight="1" x14ac:dyDescent="0.3">
      <c r="F40" s="334">
        <f>F39/G39</f>
        <v>1</v>
      </c>
      <c r="G40" s="308"/>
      <c r="H40" s="569" t="b">
        <f>SUM('TV ABERTA'!AX220,'RÁDIO '!BJ33,'CUSTO GERAÇÃO'!I43)=H39</f>
        <v>1</v>
      </c>
    </row>
    <row r="41" spans="2:15" ht="16.95" customHeight="1" x14ac:dyDescent="0.3">
      <c r="F41" s="311"/>
      <c r="G41" s="415"/>
      <c r="H41" s="468"/>
    </row>
    <row r="42" spans="2:15" ht="16.95" customHeight="1" x14ac:dyDescent="0.3">
      <c r="F42" s="311"/>
      <c r="G42" s="415"/>
      <c r="H42" s="415"/>
    </row>
    <row r="43" spans="2:15" ht="16.95" customHeight="1" x14ac:dyDescent="0.3"/>
    <row r="44" spans="2:15" ht="16.95" customHeight="1" x14ac:dyDescent="0.3"/>
    <row r="45" spans="2:15" ht="16.95" customHeight="1" x14ac:dyDescent="0.3"/>
  </sheetData>
  <mergeCells count="7">
    <mergeCell ref="H10:H11"/>
    <mergeCell ref="I10:I11"/>
    <mergeCell ref="B10:B11"/>
    <mergeCell ref="C10:C11"/>
    <mergeCell ref="D10:D11"/>
    <mergeCell ref="F10:F11"/>
    <mergeCell ref="G10:G1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02EBD-798F-464C-BF31-5172D0ADFDC0}">
  <dimension ref="B1:S74"/>
  <sheetViews>
    <sheetView showGridLines="0" zoomScaleNormal="100" workbookViewId="0">
      <pane ySplit="11" topLeftCell="A12" activePane="bottomLeft" state="frozen"/>
      <selection pane="bottomLeft" activeCell="P12" sqref="P12:Q13"/>
    </sheetView>
  </sheetViews>
  <sheetFormatPr defaultColWidth="8.69921875" defaultRowHeight="22.5" customHeight="1" x14ac:dyDescent="0.3"/>
  <cols>
    <col min="1" max="1" width="3.296875" style="309" customWidth="1"/>
    <col min="2" max="2" width="24.5" style="309" customWidth="1"/>
    <col min="3" max="3" width="18.796875" style="308" customWidth="1"/>
    <col min="4" max="4" width="17.8984375" style="309" bestFit="1" customWidth="1"/>
    <col min="5" max="5" width="1.69921875" style="309" customWidth="1"/>
    <col min="6" max="7" width="15.5" style="309" customWidth="1"/>
    <col min="8" max="8" width="15.296875" style="309" customWidth="1"/>
    <col min="9" max="9" width="19.09765625" style="309" customWidth="1"/>
    <col min="10" max="10" width="11.296875" style="308" customWidth="1"/>
    <col min="11" max="11" width="10.5" style="308" customWidth="1"/>
    <col min="12" max="12" width="14.19921875" style="471" customWidth="1"/>
    <col min="13" max="13" width="5.796875" style="309" customWidth="1"/>
    <col min="14" max="14" width="13.796875" style="309" customWidth="1"/>
    <col min="15" max="15" width="15.796875" style="309" customWidth="1"/>
    <col min="16" max="16" width="14.8984375" style="309" customWidth="1"/>
    <col min="17" max="17" width="15.09765625" style="309" customWidth="1"/>
    <col min="18" max="16384" width="8.69921875" style="309"/>
  </cols>
  <sheetData>
    <row r="1" spans="2:19" ht="13.05" customHeight="1" x14ac:dyDescent="0.3"/>
    <row r="2" spans="2:19" ht="13.05" customHeight="1" x14ac:dyDescent="0.3"/>
    <row r="3" spans="2:19" ht="13.05" customHeight="1" x14ac:dyDescent="0.3"/>
    <row r="4" spans="2:19" ht="13.05" customHeight="1" x14ac:dyDescent="0.3"/>
    <row r="5" spans="2:19" ht="13.05" customHeight="1" x14ac:dyDescent="0.3">
      <c r="B5" s="464" t="s">
        <v>0</v>
      </c>
    </row>
    <row r="6" spans="2:19" ht="13.05" customHeight="1" x14ac:dyDescent="0.3">
      <c r="B6" s="465" t="s">
        <v>144</v>
      </c>
    </row>
    <row r="7" spans="2:19" ht="13.05" customHeight="1" x14ac:dyDescent="0.3">
      <c r="B7" s="465"/>
      <c r="F7" s="311"/>
    </row>
    <row r="8" spans="2:19" ht="13.05" customHeight="1" x14ac:dyDescent="0.3">
      <c r="B8" s="466" t="s">
        <v>291</v>
      </c>
    </row>
    <row r="9" spans="2:19" ht="13.05" customHeight="1" x14ac:dyDescent="0.3"/>
    <row r="10" spans="2:19" ht="22.5" customHeight="1" x14ac:dyDescent="0.3">
      <c r="B10" s="581" t="s">
        <v>121</v>
      </c>
      <c r="C10" s="581" t="s">
        <v>122</v>
      </c>
      <c r="D10" s="581" t="s">
        <v>123</v>
      </c>
      <c r="F10" s="582" t="s">
        <v>6</v>
      </c>
      <c r="G10" s="582" t="s">
        <v>140</v>
      </c>
      <c r="H10" s="581" t="s">
        <v>124</v>
      </c>
      <c r="I10" s="581" t="s">
        <v>125</v>
      </c>
      <c r="J10" s="581" t="s">
        <v>126</v>
      </c>
    </row>
    <row r="11" spans="2:19" ht="22.5" customHeight="1" x14ac:dyDescent="0.3">
      <c r="B11" s="581"/>
      <c r="C11" s="581"/>
      <c r="D11" s="581"/>
      <c r="F11" s="582"/>
      <c r="G11" s="582"/>
      <c r="H11" s="581"/>
      <c r="I11" s="581"/>
      <c r="J11" s="581"/>
    </row>
    <row r="12" spans="2:19" ht="13.5" customHeight="1" x14ac:dyDescent="0.3">
      <c r="F12" s="323"/>
      <c r="G12" s="323"/>
      <c r="N12" s="583" t="s">
        <v>296</v>
      </c>
      <c r="O12" s="583"/>
      <c r="P12" s="474" t="s">
        <v>298</v>
      </c>
      <c r="Q12" s="326" t="s">
        <v>299</v>
      </c>
    </row>
    <row r="13" spans="2:19" ht="13.5" customHeight="1" x14ac:dyDescent="0.3">
      <c r="B13" s="309" t="s">
        <v>207</v>
      </c>
      <c r="C13" s="308" t="s">
        <v>190</v>
      </c>
      <c r="D13" s="309" t="s">
        <v>157</v>
      </c>
      <c r="F13" s="310">
        <f>'TV ABERTA - SPE'!CC32*1.25</f>
        <v>3234841.4400000004</v>
      </c>
      <c r="G13" s="310">
        <f>'TV ABERTA - SPE'!CE32*1.25</f>
        <v>1220562</v>
      </c>
      <c r="H13" s="311">
        <f>SUM(F13:G13)</f>
        <v>4455403.4400000004</v>
      </c>
      <c r="I13" s="324">
        <f>H13*0.8</f>
        <v>3564322.7520000003</v>
      </c>
      <c r="J13" s="312">
        <f>I13/$I$23</f>
        <v>0.45681235842143386</v>
      </c>
      <c r="K13" s="335"/>
      <c r="N13" s="475" t="s">
        <v>232</v>
      </c>
      <c r="O13" s="476">
        <f>I16+I21</f>
        <v>1109489.6000000001</v>
      </c>
      <c r="P13" s="477">
        <v>567311.6</v>
      </c>
      <c r="Q13" s="478">
        <f>O13-P13</f>
        <v>542178.00000000012</v>
      </c>
      <c r="R13" s="325"/>
      <c r="S13" s="325"/>
    </row>
    <row r="14" spans="2:19" ht="13.5" customHeight="1" x14ac:dyDescent="0.3">
      <c r="B14" s="309" t="s">
        <v>207</v>
      </c>
      <c r="C14" s="308" t="s">
        <v>190</v>
      </c>
      <c r="D14" s="309" t="s">
        <v>17</v>
      </c>
      <c r="F14" s="310">
        <f>'TV ABERTA - SPE'!CC44*1.25</f>
        <v>118538.85000000002</v>
      </c>
      <c r="G14" s="310">
        <f>'TV ABERTA - SPE'!CE44*1.25</f>
        <v>77298.600000000006</v>
      </c>
      <c r="H14" s="311">
        <f>SUM(F14:G14)</f>
        <v>195837.45</v>
      </c>
      <c r="I14" s="324">
        <f>H14*0.8</f>
        <v>156669.96000000002</v>
      </c>
      <c r="J14" s="312">
        <f t="shared" ref="J14:J16" si="0">I14/$I$23</f>
        <v>2.0079206879128241E-2</v>
      </c>
      <c r="K14" s="335"/>
      <c r="P14" s="325"/>
      <c r="Q14" s="325"/>
      <c r="R14" s="325"/>
      <c r="S14" s="325"/>
    </row>
    <row r="15" spans="2:19" ht="13.5" customHeight="1" x14ac:dyDescent="0.3">
      <c r="B15" s="309" t="s">
        <v>207</v>
      </c>
      <c r="C15" s="308" t="s">
        <v>190</v>
      </c>
      <c r="D15" s="309" t="s">
        <v>225</v>
      </c>
      <c r="F15" s="310">
        <f>'TV ABERTA - SPE'!CC57*1.25</f>
        <v>602332.6</v>
      </c>
      <c r="G15" s="310">
        <f>'TV ABERTA - SPE'!CE57*1.25</f>
        <v>574113.19999999995</v>
      </c>
      <c r="H15" s="311">
        <f>SUM(F15:G15)</f>
        <v>1176445.7999999998</v>
      </c>
      <c r="I15" s="311">
        <f>H15*0.8</f>
        <v>941156.6399999999</v>
      </c>
      <c r="J15" s="312">
        <f t="shared" si="0"/>
        <v>0.12062094660792164</v>
      </c>
      <c r="K15" s="335"/>
      <c r="P15" s="325"/>
      <c r="Q15" s="325"/>
      <c r="R15" s="325"/>
      <c r="S15" s="325"/>
    </row>
    <row r="16" spans="2:19" ht="13.5" customHeight="1" x14ac:dyDescent="0.3">
      <c r="B16" s="309" t="s">
        <v>207</v>
      </c>
      <c r="C16" s="308" t="s">
        <v>190</v>
      </c>
      <c r="D16" s="309" t="s">
        <v>232</v>
      </c>
      <c r="F16" s="310">
        <f>'TV ABERTA - SPE'!CC70*1.25</f>
        <v>510641.49999999994</v>
      </c>
      <c r="G16" s="310">
        <f>'TV ABERTA - SPE'!CE70*1.25</f>
        <v>573264.00000000012</v>
      </c>
      <c r="H16" s="311">
        <f>SUM(F16:G16)</f>
        <v>1083905.5</v>
      </c>
      <c r="I16" s="473">
        <f t="shared" ref="I16" si="1">H16*0.8</f>
        <v>867124.4</v>
      </c>
      <c r="J16" s="312">
        <f t="shared" si="0"/>
        <v>0.11113279289494903</v>
      </c>
      <c r="K16" s="335"/>
      <c r="P16" s="325"/>
      <c r="Q16" s="325"/>
      <c r="R16" s="325"/>
      <c r="S16" s="325"/>
    </row>
    <row r="17" spans="2:19" ht="13.5" customHeight="1" x14ac:dyDescent="0.3">
      <c r="F17" s="310"/>
      <c r="G17" s="310"/>
      <c r="H17" s="311"/>
      <c r="I17" s="311"/>
      <c r="J17" s="312"/>
    </row>
    <row r="18" spans="2:19" ht="13.5" customHeight="1" x14ac:dyDescent="0.3">
      <c r="B18" s="469" t="s">
        <v>207</v>
      </c>
      <c r="C18" s="470" t="s">
        <v>190</v>
      </c>
      <c r="D18" s="469" t="s">
        <v>157</v>
      </c>
      <c r="F18" s="310">
        <f>'TV ABERTA - COLCHÃO REP - SPE'!CC17*1.25</f>
        <v>830408.40000000014</v>
      </c>
      <c r="G18" s="310">
        <f>'TV ABERTA - COLCHÃO REP - SPE'!CE17*1.25</f>
        <v>830408.40000000014</v>
      </c>
      <c r="H18" s="311">
        <f>SUM(F18:G18)</f>
        <v>1660816.8000000003</v>
      </c>
      <c r="I18" s="324">
        <f>H18*0.8</f>
        <v>1328653.4400000004</v>
      </c>
      <c r="J18" s="312">
        <f>I18/$I$23</f>
        <v>0.17028348824768583</v>
      </c>
      <c r="K18" s="335"/>
      <c r="P18" s="325"/>
      <c r="Q18" s="325"/>
      <c r="R18" s="325"/>
      <c r="S18" s="325"/>
    </row>
    <row r="19" spans="2:19" ht="13.5" customHeight="1" x14ac:dyDescent="0.3">
      <c r="B19" s="469" t="s">
        <v>207</v>
      </c>
      <c r="C19" s="470" t="s">
        <v>190</v>
      </c>
      <c r="D19" s="469" t="s">
        <v>17</v>
      </c>
      <c r="F19" s="310">
        <f>'TV ABERTA - COLCHÃO REP - SPE'!CC20*1.25</f>
        <v>114500.40000000002</v>
      </c>
      <c r="G19" s="310">
        <f>'TV ABERTA - COLCHÃO REP - SPE'!CE20*1.25</f>
        <v>114500.40000000002</v>
      </c>
      <c r="H19" s="311">
        <f>SUM(F19:G19)</f>
        <v>229000.80000000005</v>
      </c>
      <c r="I19" s="324">
        <f>H19*0.8</f>
        <v>183200.64000000004</v>
      </c>
      <c r="J19" s="312">
        <f t="shared" ref="J19:J21" si="2">I19/$I$23</f>
        <v>2.3479443991360545E-2</v>
      </c>
      <c r="K19" s="335"/>
      <c r="P19" s="325"/>
      <c r="Q19" s="325"/>
      <c r="R19" s="325"/>
      <c r="S19" s="325"/>
    </row>
    <row r="20" spans="2:19" ht="13.5" customHeight="1" x14ac:dyDescent="0.3">
      <c r="B20" s="469" t="s">
        <v>207</v>
      </c>
      <c r="C20" s="470" t="s">
        <v>190</v>
      </c>
      <c r="D20" s="469" t="s">
        <v>225</v>
      </c>
      <c r="F20" s="310">
        <f>'TV ABERTA - COLCHÃO REP - SPE'!CC23*1.25</f>
        <v>324439.99999999994</v>
      </c>
      <c r="G20" s="310">
        <f>'TV ABERTA - COLCHÃO REP - SPE'!CE23*1.25</f>
        <v>324439.99999999994</v>
      </c>
      <c r="H20" s="311">
        <f>SUM(F20:G20)</f>
        <v>648879.99999999988</v>
      </c>
      <c r="I20" s="311">
        <f>H20*0.8</f>
        <v>519103.99999999994</v>
      </c>
      <c r="J20" s="312">
        <f t="shared" si="2"/>
        <v>6.6529643639297448E-2</v>
      </c>
      <c r="K20" s="335"/>
      <c r="P20" s="325"/>
      <c r="Q20" s="325"/>
      <c r="R20" s="325"/>
      <c r="S20" s="325"/>
    </row>
    <row r="21" spans="2:19" ht="13.5" customHeight="1" x14ac:dyDescent="0.3">
      <c r="B21" s="469" t="s">
        <v>207</v>
      </c>
      <c r="C21" s="470" t="s">
        <v>190</v>
      </c>
      <c r="D21" s="469" t="s">
        <v>232</v>
      </c>
      <c r="F21" s="310">
        <f>'TV ABERTA - COLCHÃO REP - SPE'!CC25*1.25</f>
        <v>100985.50000000001</v>
      </c>
      <c r="G21" s="310">
        <f>'TV ABERTA - COLCHÃO REP - SPE'!CE25*1.25</f>
        <v>201971.00000000003</v>
      </c>
      <c r="H21" s="311">
        <f>SUM(F21:G21)</f>
        <v>302956.50000000006</v>
      </c>
      <c r="I21" s="473">
        <f t="shared" ref="I21" si="3">H21*0.8</f>
        <v>242365.20000000007</v>
      </c>
      <c r="J21" s="312">
        <f t="shared" si="2"/>
        <v>3.1062119318223436E-2</v>
      </c>
      <c r="K21" s="335"/>
      <c r="P21" s="325"/>
      <c r="Q21" s="325"/>
      <c r="R21" s="325"/>
      <c r="S21" s="325"/>
    </row>
    <row r="22" spans="2:19" ht="13.5" customHeight="1" x14ac:dyDescent="0.3">
      <c r="F22" s="310"/>
      <c r="G22" s="310"/>
      <c r="H22" s="311"/>
      <c r="I22" s="311"/>
      <c r="J22" s="312"/>
    </row>
    <row r="23" spans="2:19" ht="13.5" customHeight="1" x14ac:dyDescent="0.3">
      <c r="B23" s="326" t="s">
        <v>191</v>
      </c>
      <c r="C23" s="327"/>
      <c r="D23" s="328"/>
      <c r="F23" s="329">
        <f>SUM(F13:F21)</f>
        <v>5836688.6900000013</v>
      </c>
      <c r="G23" s="329">
        <f>SUM(G13:G21)</f>
        <v>3916557.6</v>
      </c>
      <c r="H23" s="329">
        <f>SUM(H13:H21)</f>
        <v>9753246.290000001</v>
      </c>
      <c r="I23" s="329">
        <f>SUM(I13:I21)</f>
        <v>7802597.0320000006</v>
      </c>
      <c r="J23" s="333">
        <f>SUM(J13:J21)</f>
        <v>1</v>
      </c>
      <c r="K23" s="330" t="e">
        <f>I23/I68</f>
        <v>#REF!</v>
      </c>
      <c r="L23" s="472" t="b">
        <f>I23=SUM('TV ABERTA - SPE'!BU72,'TV ABERTA - COLCHÃO REP - SPE'!BU27)</f>
        <v>1</v>
      </c>
      <c r="M23" s="416"/>
      <c r="N23" s="416"/>
      <c r="O23" s="331"/>
    </row>
    <row r="24" spans="2:19" ht="13.5" customHeight="1" x14ac:dyDescent="0.3">
      <c r="F24" s="323"/>
      <c r="G24" s="323"/>
    </row>
    <row r="25" spans="2:19" ht="13.5" customHeight="1" x14ac:dyDescent="0.3">
      <c r="B25" s="309" t="s">
        <v>207</v>
      </c>
      <c r="C25" s="308" t="s">
        <v>294</v>
      </c>
      <c r="D25" s="309" t="s">
        <v>259</v>
      </c>
      <c r="F25" s="310">
        <f>'TV PAGA - COLCHÃO REP - SPE'!CC37*1.25</f>
        <v>38904.000000000015</v>
      </c>
      <c r="G25" s="310">
        <f>'TV PAGA - COLCHÃO REP - SPE'!CE37*1.25</f>
        <v>38904</v>
      </c>
      <c r="H25" s="311">
        <f>SUM(F25:G25)</f>
        <v>77808.000000000015</v>
      </c>
      <c r="I25" s="324">
        <f>H25*0.8</f>
        <v>62246.400000000016</v>
      </c>
      <c r="J25" s="312">
        <f>I25/$I$30</f>
        <v>0.41072114795842957</v>
      </c>
      <c r="K25" s="335"/>
      <c r="P25" s="325"/>
      <c r="Q25" s="325"/>
      <c r="R25" s="325"/>
      <c r="S25" s="325"/>
    </row>
    <row r="26" spans="2:19" ht="13.5" customHeight="1" x14ac:dyDescent="0.3">
      <c r="B26" s="309" t="s">
        <v>207</v>
      </c>
      <c r="C26" s="308" t="s">
        <v>294</v>
      </c>
      <c r="D26" s="309" t="s">
        <v>266</v>
      </c>
      <c r="F26" s="310">
        <f>'TV PAGA - COLCHÃO REP - SPE'!CC40*1.25</f>
        <v>22260</v>
      </c>
      <c r="G26" s="310">
        <f>'TV PAGA - COLCHÃO REP - SPE'!CE40*1.25</f>
        <v>22260</v>
      </c>
      <c r="H26" s="311">
        <f>SUM(F26:G26)</f>
        <v>44520</v>
      </c>
      <c r="I26" s="324">
        <f>H26*0.8</f>
        <v>35616</v>
      </c>
      <c r="J26" s="312">
        <f t="shared" ref="J26:J28" si="4">I26/$I$30</f>
        <v>0.23500546868071767</v>
      </c>
      <c r="K26" s="335"/>
      <c r="P26" s="325"/>
      <c r="Q26" s="325"/>
      <c r="R26" s="325"/>
      <c r="S26" s="325"/>
    </row>
    <row r="27" spans="2:19" ht="13.5" customHeight="1" x14ac:dyDescent="0.3">
      <c r="B27" s="309" t="s">
        <v>207</v>
      </c>
      <c r="C27" s="308" t="s">
        <v>294</v>
      </c>
      <c r="D27" s="309" t="s">
        <v>268</v>
      </c>
      <c r="F27" s="310">
        <f>'TV PAGA - COLCHÃO REP - SPE'!CC43*1.25</f>
        <v>22000</v>
      </c>
      <c r="G27" s="310">
        <f>'TV PAGA - COLCHÃO REP - SPE'!CE43*1.25</f>
        <v>22000</v>
      </c>
      <c r="H27" s="311">
        <f>SUM(F27:G27)</f>
        <v>44000</v>
      </c>
      <c r="I27" s="311">
        <f>H27*0.8</f>
        <v>35200</v>
      </c>
      <c r="J27" s="312">
        <f t="shared" si="4"/>
        <v>0.2322605710231711</v>
      </c>
      <c r="K27" s="335"/>
      <c r="P27" s="325"/>
      <c r="Q27" s="325"/>
      <c r="R27" s="325"/>
      <c r="S27" s="325"/>
    </row>
    <row r="28" spans="2:19" ht="13.5" customHeight="1" x14ac:dyDescent="0.3">
      <c r="B28" s="309" t="s">
        <v>207</v>
      </c>
      <c r="C28" s="308" t="s">
        <v>294</v>
      </c>
      <c r="D28" s="309" t="s">
        <v>270</v>
      </c>
      <c r="F28" s="310">
        <f>'TV PAGA - COLCHÃO REP - SPE'!CC46*1.25</f>
        <v>11557.200000000003</v>
      </c>
      <c r="G28" s="310">
        <f>'TV PAGA - COLCHÃO REP - SPE'!CE46*1.25</f>
        <v>11557.200000000003</v>
      </c>
      <c r="H28" s="311">
        <f>SUM(F28:G28)</f>
        <v>23114.400000000005</v>
      </c>
      <c r="I28" s="311">
        <f t="shared" ref="I28" si="5">H28*0.8</f>
        <v>18491.520000000004</v>
      </c>
      <c r="J28" s="312">
        <f t="shared" si="4"/>
        <v>0.12201281233768152</v>
      </c>
      <c r="K28" s="335"/>
      <c r="P28" s="325"/>
      <c r="Q28" s="325"/>
      <c r="R28" s="325"/>
      <c r="S28" s="325"/>
    </row>
    <row r="29" spans="2:19" ht="13.5" customHeight="1" x14ac:dyDescent="0.3">
      <c r="F29" s="310"/>
      <c r="G29" s="310"/>
      <c r="H29" s="311"/>
      <c r="I29" s="311"/>
      <c r="J29" s="312"/>
    </row>
    <row r="30" spans="2:19" ht="13.5" customHeight="1" x14ac:dyDescent="0.3">
      <c r="B30" s="326" t="s">
        <v>293</v>
      </c>
      <c r="C30" s="327"/>
      <c r="D30" s="328"/>
      <c r="F30" s="329">
        <f>SUM(F25:F29)</f>
        <v>94721.200000000012</v>
      </c>
      <c r="G30" s="329">
        <f>SUM(G25:G29)</f>
        <v>94721.2</v>
      </c>
      <c r="H30" s="329">
        <f>SUM(H25:H29)</f>
        <v>189442.4</v>
      </c>
      <c r="I30" s="329">
        <f>SUM(I25:I29)</f>
        <v>151553.92000000004</v>
      </c>
      <c r="J30" s="333">
        <f>SUM(J25:J29)</f>
        <v>0.99999999999999978</v>
      </c>
      <c r="K30" s="330" t="e">
        <f>I30/I68</f>
        <v>#REF!</v>
      </c>
      <c r="L30" s="472" t="b">
        <f>I30='TV PAGA - COLCHÃO REP - SPE'!BU48</f>
        <v>1</v>
      </c>
      <c r="M30" s="416"/>
      <c r="N30" s="416"/>
      <c r="O30" s="331"/>
    </row>
    <row r="31" spans="2:19" ht="13.5" customHeight="1" x14ac:dyDescent="0.3">
      <c r="B31" s="460"/>
      <c r="F31" s="461"/>
      <c r="G31" s="461"/>
      <c r="H31" s="461"/>
      <c r="I31" s="461"/>
      <c r="J31" s="462"/>
      <c r="K31" s="463"/>
      <c r="L31" s="472"/>
      <c r="M31" s="416"/>
      <c r="N31" s="416"/>
      <c r="O31" s="331"/>
    </row>
    <row r="32" spans="2:19" ht="13.5" customHeight="1" x14ac:dyDescent="0.3">
      <c r="B32" s="309" t="s">
        <v>146</v>
      </c>
      <c r="C32" s="308" t="s">
        <v>145</v>
      </c>
      <c r="D32" s="309" t="e">
        <f>#REF!</f>
        <v>#REF!</v>
      </c>
      <c r="F32" s="310" t="e">
        <f>SUM(#REF!)*1.25</f>
        <v>#REF!</v>
      </c>
      <c r="G32" s="310" t="e" cm="1">
        <f t="array" ref="G32">SUM(#REF!*1.25)</f>
        <v>#REF!</v>
      </c>
      <c r="H32" s="311" t="e">
        <f>SUM(F32:G32)</f>
        <v>#REF!</v>
      </c>
      <c r="I32" s="324" t="e">
        <f>H32*0.8</f>
        <v>#REF!</v>
      </c>
      <c r="J32" s="312" t="e">
        <f>I32/$I$38</f>
        <v>#REF!</v>
      </c>
      <c r="K32" s="335"/>
      <c r="P32" s="325"/>
      <c r="Q32" s="325"/>
      <c r="R32" s="325"/>
      <c r="S32" s="325"/>
    </row>
    <row r="33" spans="2:19" ht="13.5" customHeight="1" x14ac:dyDescent="0.3">
      <c r="B33" s="309" t="s">
        <v>146</v>
      </c>
      <c r="C33" s="308" t="s">
        <v>145</v>
      </c>
      <c r="D33" s="309" t="e">
        <f>#REF!</f>
        <v>#REF!</v>
      </c>
      <c r="F33" s="310" t="e">
        <f>SUM(#REF!)*1.25</f>
        <v>#REF!</v>
      </c>
      <c r="G33" s="310" t="e">
        <f>SUM(#REF!)*1.25</f>
        <v>#REF!</v>
      </c>
      <c r="H33" s="311" t="e">
        <f>SUM(F33:G33)</f>
        <v>#REF!</v>
      </c>
      <c r="I33" s="324" t="e">
        <f>H33*0.8</f>
        <v>#REF!</v>
      </c>
      <c r="J33" s="312" t="e">
        <f>I33/$I$38</f>
        <v>#REF!</v>
      </c>
      <c r="K33" s="335"/>
      <c r="P33" s="325"/>
      <c r="Q33" s="325"/>
      <c r="R33" s="325"/>
      <c r="S33" s="325"/>
    </row>
    <row r="34" spans="2:19" ht="13.5" customHeight="1" x14ac:dyDescent="0.3">
      <c r="B34" s="309" t="s">
        <v>146</v>
      </c>
      <c r="C34" s="308" t="s">
        <v>145</v>
      </c>
      <c r="D34" s="309" t="e">
        <f>#REF!</f>
        <v>#REF!</v>
      </c>
      <c r="F34" s="310" t="e">
        <f>SUM(#REF!)*1.25</f>
        <v>#REF!</v>
      </c>
      <c r="G34" s="310" t="e">
        <f>SUM(#REF!)*1.25</f>
        <v>#REF!</v>
      </c>
      <c r="H34" s="311" t="e">
        <f>SUM(F34:G34)</f>
        <v>#REF!</v>
      </c>
      <c r="I34" s="311" t="e">
        <f>H34*0.8</f>
        <v>#REF!</v>
      </c>
      <c r="J34" s="312" t="e">
        <f>I34/$I$38</f>
        <v>#REF!</v>
      </c>
      <c r="K34" s="335"/>
      <c r="P34" s="325"/>
      <c r="Q34" s="325"/>
      <c r="R34" s="325"/>
      <c r="S34" s="325"/>
    </row>
    <row r="35" spans="2:19" ht="13.5" customHeight="1" x14ac:dyDescent="0.3">
      <c r="B35" s="309" t="s">
        <v>146</v>
      </c>
      <c r="C35" s="308" t="s">
        <v>145</v>
      </c>
      <c r="D35" s="309" t="e">
        <f>#REF!</f>
        <v>#REF!</v>
      </c>
      <c r="F35" s="310" t="e">
        <f>SUM(#REF!)*1.25</f>
        <v>#REF!</v>
      </c>
      <c r="G35" s="310" t="e">
        <f>SUM(#REF!)*1.25</f>
        <v>#REF!</v>
      </c>
      <c r="H35" s="311" t="e">
        <f>SUM(F35:G35)</f>
        <v>#REF!</v>
      </c>
      <c r="I35" s="311" t="e">
        <f t="shared" ref="I35:I36" si="6">H35*0.8</f>
        <v>#REF!</v>
      </c>
      <c r="J35" s="312" t="e">
        <f>I35/$I$38</f>
        <v>#REF!</v>
      </c>
      <c r="K35" s="335"/>
      <c r="P35" s="325"/>
      <c r="Q35" s="325"/>
      <c r="R35" s="325"/>
      <c r="S35" s="325"/>
    </row>
    <row r="36" spans="2:19" ht="13.5" customHeight="1" x14ac:dyDescent="0.3">
      <c r="B36" s="309" t="e">
        <f>#REF!</f>
        <v>#REF!</v>
      </c>
      <c r="C36" s="308" t="s">
        <v>145</v>
      </c>
      <c r="D36" s="309" t="e">
        <f>#REF!</f>
        <v>#REF!</v>
      </c>
      <c r="F36" s="310" t="e">
        <f>SUM(#REF!)*1.25</f>
        <v>#REF!</v>
      </c>
      <c r="G36" s="310" t="e">
        <f>SUM(#REF!)*1.25</f>
        <v>#REF!</v>
      </c>
      <c r="H36" s="311" t="e">
        <f>SUM(F36:G36)</f>
        <v>#REF!</v>
      </c>
      <c r="I36" s="311" t="e">
        <f t="shared" si="6"/>
        <v>#REF!</v>
      </c>
      <c r="J36" s="312" t="e">
        <f>I36/$I$38</f>
        <v>#REF!</v>
      </c>
      <c r="K36" s="335"/>
    </row>
    <row r="37" spans="2:19" ht="13.5" customHeight="1" x14ac:dyDescent="0.3">
      <c r="F37" s="310"/>
      <c r="G37" s="310"/>
      <c r="H37" s="311"/>
      <c r="I37" s="311"/>
      <c r="J37" s="312"/>
    </row>
    <row r="38" spans="2:19" ht="13.5" customHeight="1" x14ac:dyDescent="0.3">
      <c r="B38" s="326" t="s">
        <v>141</v>
      </c>
      <c r="C38" s="327"/>
      <c r="D38" s="328"/>
      <c r="F38" s="329" t="e">
        <f t="shared" ref="F38:J38" si="7">SUM(F32:F36)</f>
        <v>#REF!</v>
      </c>
      <c r="G38" s="329" t="e">
        <f t="shared" si="7"/>
        <v>#REF!</v>
      </c>
      <c r="H38" s="329" t="e">
        <f t="shared" si="7"/>
        <v>#REF!</v>
      </c>
      <c r="I38" s="329" t="e">
        <f t="shared" si="7"/>
        <v>#REF!</v>
      </c>
      <c r="J38" s="333" t="e">
        <f t="shared" si="7"/>
        <v>#REF!</v>
      </c>
      <c r="K38" s="330" t="e">
        <f>I38/I68</f>
        <v>#REF!</v>
      </c>
      <c r="L38" s="472" t="e">
        <f>I38=#REF!</f>
        <v>#REF!</v>
      </c>
      <c r="M38" s="416"/>
      <c r="N38" s="416"/>
      <c r="O38" s="331"/>
    </row>
    <row r="39" spans="2:19" s="331" customFormat="1" ht="13.5" customHeight="1" x14ac:dyDescent="0.3">
      <c r="C39" s="332"/>
      <c r="K39" s="332"/>
      <c r="L39" s="472"/>
    </row>
    <row r="40" spans="2:19" s="331" customFormat="1" ht="13.5" customHeight="1" x14ac:dyDescent="0.3">
      <c r="B40" s="309" t="s">
        <v>127</v>
      </c>
      <c r="C40" s="308" t="s">
        <v>128</v>
      </c>
      <c r="D40" s="309" t="s">
        <v>91</v>
      </c>
      <c r="F40" s="310" t="e">
        <f>SUM(#REF!)*1.25</f>
        <v>#REF!</v>
      </c>
      <c r="G40" s="310" t="e">
        <f>SUM(#REF!)*1.25</f>
        <v>#REF!</v>
      </c>
      <c r="H40" s="311" t="e">
        <f t="shared" ref="H40:H58" si="8">SUM(F40:G40)</f>
        <v>#REF!</v>
      </c>
      <c r="I40" s="311" t="e">
        <f>H40*0.8</f>
        <v>#REF!</v>
      </c>
      <c r="J40" s="312" t="e">
        <f>I40/$I$60</f>
        <v>#REF!</v>
      </c>
      <c r="K40" s="308"/>
      <c r="L40" s="472"/>
    </row>
    <row r="41" spans="2:19" s="331" customFormat="1" ht="13.5" customHeight="1" x14ac:dyDescent="0.3">
      <c r="B41" s="309" t="s">
        <v>127</v>
      </c>
      <c r="C41" s="308" t="s">
        <v>128</v>
      </c>
      <c r="D41" s="309" t="s">
        <v>43</v>
      </c>
      <c r="F41" s="310" t="e">
        <f>SUM(#REF!)*1.25</f>
        <v>#REF!</v>
      </c>
      <c r="G41" s="310" t="e">
        <f>SUM(#REF!)*1.25</f>
        <v>#REF!</v>
      </c>
      <c r="H41" s="311" t="e">
        <f t="shared" si="8"/>
        <v>#REF!</v>
      </c>
      <c r="I41" s="311" t="e">
        <f t="shared" ref="I41:I58" si="9">H41*0.8</f>
        <v>#REF!</v>
      </c>
      <c r="J41" s="312" t="e">
        <f t="shared" ref="J41:J58" si="10">I41/$I$60</f>
        <v>#REF!</v>
      </c>
      <c r="K41" s="308"/>
      <c r="L41" s="472"/>
    </row>
    <row r="42" spans="2:19" s="331" customFormat="1" ht="13.5" customHeight="1" x14ac:dyDescent="0.3">
      <c r="B42" s="309" t="s">
        <v>127</v>
      </c>
      <c r="C42" s="308" t="s">
        <v>128</v>
      </c>
      <c r="D42" s="309" t="s">
        <v>17</v>
      </c>
      <c r="F42" s="310" t="e">
        <f>SUM(#REF!)*1.25</f>
        <v>#REF!</v>
      </c>
      <c r="G42" s="310" t="e">
        <f>SUM(#REF!)*1.25</f>
        <v>#REF!</v>
      </c>
      <c r="H42" s="311" t="e">
        <f t="shared" si="8"/>
        <v>#REF!</v>
      </c>
      <c r="I42" s="311" t="e">
        <f t="shared" si="9"/>
        <v>#REF!</v>
      </c>
      <c r="J42" s="312" t="e">
        <f t="shared" si="10"/>
        <v>#REF!</v>
      </c>
      <c r="K42" s="308"/>
      <c r="L42" s="472"/>
    </row>
    <row r="43" spans="2:19" s="331" customFormat="1" ht="13.5" customHeight="1" x14ac:dyDescent="0.3">
      <c r="B43" s="309" t="s">
        <v>127</v>
      </c>
      <c r="C43" s="308" t="s">
        <v>128</v>
      </c>
      <c r="D43" s="309" t="s">
        <v>46</v>
      </c>
      <c r="F43" s="310" t="e">
        <f>SUM(#REF!)*1.25</f>
        <v>#REF!</v>
      </c>
      <c r="G43" s="310" t="e">
        <f>SUM(#REF!)*1.25</f>
        <v>#REF!</v>
      </c>
      <c r="H43" s="311" t="e">
        <f t="shared" si="8"/>
        <v>#REF!</v>
      </c>
      <c r="I43" s="311" t="e">
        <f t="shared" si="9"/>
        <v>#REF!</v>
      </c>
      <c r="J43" s="312" t="e">
        <f t="shared" si="10"/>
        <v>#REF!</v>
      </c>
      <c r="K43" s="308"/>
      <c r="L43" s="472"/>
    </row>
    <row r="44" spans="2:19" s="331" customFormat="1" ht="13.5" customHeight="1" x14ac:dyDescent="0.3">
      <c r="B44" s="309" t="s">
        <v>127</v>
      </c>
      <c r="C44" s="308" t="s">
        <v>128</v>
      </c>
      <c r="D44" s="309" t="s">
        <v>50</v>
      </c>
      <c r="F44" s="310" t="e">
        <f>SUM(#REF!)*1.25</f>
        <v>#REF!</v>
      </c>
      <c r="G44" s="310" t="e">
        <f>SUM(#REF!)*1.25</f>
        <v>#REF!</v>
      </c>
      <c r="H44" s="311" t="e">
        <f t="shared" si="8"/>
        <v>#REF!</v>
      </c>
      <c r="I44" s="311" t="e">
        <f t="shared" si="9"/>
        <v>#REF!</v>
      </c>
      <c r="J44" s="312" t="e">
        <f t="shared" si="10"/>
        <v>#REF!</v>
      </c>
      <c r="K44" s="308"/>
      <c r="L44" s="472"/>
    </row>
    <row r="45" spans="2:19" s="331" customFormat="1" ht="13.5" customHeight="1" x14ac:dyDescent="0.3">
      <c r="B45" s="309" t="s">
        <v>127</v>
      </c>
      <c r="C45" s="308" t="s">
        <v>128</v>
      </c>
      <c r="D45" s="309" t="s">
        <v>53</v>
      </c>
      <c r="F45" s="310" t="e">
        <f>SUM(#REF!)*1.25</f>
        <v>#REF!</v>
      </c>
      <c r="G45" s="310" t="e">
        <f>SUM(#REF!)*1.25</f>
        <v>#REF!</v>
      </c>
      <c r="H45" s="311" t="e">
        <f t="shared" si="8"/>
        <v>#REF!</v>
      </c>
      <c r="I45" s="311" t="e">
        <f t="shared" si="9"/>
        <v>#REF!</v>
      </c>
      <c r="J45" s="312" t="e">
        <f t="shared" si="10"/>
        <v>#REF!</v>
      </c>
      <c r="K45" s="308"/>
      <c r="L45" s="472"/>
    </row>
    <row r="46" spans="2:19" s="331" customFormat="1" ht="13.5" customHeight="1" x14ac:dyDescent="0.3">
      <c r="B46" s="309" t="s">
        <v>127</v>
      </c>
      <c r="C46" s="308" t="s">
        <v>128</v>
      </c>
      <c r="D46" s="309" t="s">
        <v>54</v>
      </c>
      <c r="F46" s="310" t="e">
        <f>SUM(#REF!)*1.25</f>
        <v>#REF!</v>
      </c>
      <c r="G46" s="310" t="e">
        <f>SUM(#REF!)*1.25</f>
        <v>#REF!</v>
      </c>
      <c r="H46" s="311" t="e">
        <f t="shared" si="8"/>
        <v>#REF!</v>
      </c>
      <c r="I46" s="311" t="e">
        <f t="shared" si="9"/>
        <v>#REF!</v>
      </c>
      <c r="J46" s="312" t="e">
        <f t="shared" si="10"/>
        <v>#REF!</v>
      </c>
      <c r="K46" s="308"/>
      <c r="L46" s="472"/>
    </row>
    <row r="47" spans="2:19" s="331" customFormat="1" ht="13.5" customHeight="1" x14ac:dyDescent="0.3">
      <c r="B47" s="309" t="s">
        <v>127</v>
      </c>
      <c r="C47" s="308" t="s">
        <v>128</v>
      </c>
      <c r="D47" s="309" t="s">
        <v>55</v>
      </c>
      <c r="F47" s="310" t="e">
        <f>SUM(#REF!)*1.25</f>
        <v>#REF!</v>
      </c>
      <c r="G47" s="310" t="e">
        <f>SUM(#REF!)*1.25</f>
        <v>#REF!</v>
      </c>
      <c r="H47" s="311" t="e">
        <f t="shared" si="8"/>
        <v>#REF!</v>
      </c>
      <c r="I47" s="311" t="e">
        <f t="shared" si="9"/>
        <v>#REF!</v>
      </c>
      <c r="J47" s="312" t="e">
        <f t="shared" si="10"/>
        <v>#REF!</v>
      </c>
      <c r="K47" s="308"/>
      <c r="L47" s="472"/>
    </row>
    <row r="48" spans="2:19" s="331" customFormat="1" ht="13.5" customHeight="1" x14ac:dyDescent="0.3">
      <c r="B48" s="309" t="s">
        <v>127</v>
      </c>
      <c r="C48" s="308" t="s">
        <v>128</v>
      </c>
      <c r="D48" s="309" t="s">
        <v>56</v>
      </c>
      <c r="F48" s="310" t="e">
        <f>SUM(#REF!)*1.25</f>
        <v>#REF!</v>
      </c>
      <c r="G48" s="310" t="e">
        <f>SUM(#REF!)*1.25</f>
        <v>#REF!</v>
      </c>
      <c r="H48" s="311" t="e">
        <f t="shared" si="8"/>
        <v>#REF!</v>
      </c>
      <c r="I48" s="311" t="e">
        <f t="shared" si="9"/>
        <v>#REF!</v>
      </c>
      <c r="J48" s="312" t="e">
        <f t="shared" si="10"/>
        <v>#REF!</v>
      </c>
      <c r="K48" s="308"/>
      <c r="L48" s="472"/>
    </row>
    <row r="49" spans="2:15" s="331" customFormat="1" ht="13.5" customHeight="1" x14ac:dyDescent="0.3">
      <c r="B49" s="309" t="s">
        <v>127</v>
      </c>
      <c r="C49" s="308" t="s">
        <v>128</v>
      </c>
      <c r="D49" s="309" t="s">
        <v>57</v>
      </c>
      <c r="F49" s="310" t="e">
        <f>SUM(#REF!)*1.25</f>
        <v>#REF!</v>
      </c>
      <c r="G49" s="310" t="e">
        <f>SUM(#REF!)*1.25</f>
        <v>#REF!</v>
      </c>
      <c r="H49" s="311" t="e">
        <f t="shared" si="8"/>
        <v>#REF!</v>
      </c>
      <c r="I49" s="311" t="e">
        <f t="shared" si="9"/>
        <v>#REF!</v>
      </c>
      <c r="J49" s="312" t="e">
        <f t="shared" si="10"/>
        <v>#REF!</v>
      </c>
      <c r="K49" s="308"/>
      <c r="L49" s="472"/>
    </row>
    <row r="50" spans="2:15" s="331" customFormat="1" ht="13.5" customHeight="1" x14ac:dyDescent="0.3">
      <c r="B50" s="309" t="s">
        <v>127</v>
      </c>
      <c r="C50" s="308" t="s">
        <v>128</v>
      </c>
      <c r="D50" s="309" t="s">
        <v>58</v>
      </c>
      <c r="F50" s="310" t="e">
        <f>SUM(#REF!)*1.25</f>
        <v>#REF!</v>
      </c>
      <c r="G50" s="310" t="e">
        <f>SUM(#REF!)*1.25</f>
        <v>#REF!</v>
      </c>
      <c r="H50" s="311" t="e">
        <f t="shared" si="8"/>
        <v>#REF!</v>
      </c>
      <c r="I50" s="311" t="e">
        <f t="shared" si="9"/>
        <v>#REF!</v>
      </c>
      <c r="J50" s="312" t="e">
        <f t="shared" si="10"/>
        <v>#REF!</v>
      </c>
      <c r="K50" s="308"/>
      <c r="L50" s="472"/>
    </row>
    <row r="51" spans="2:15" s="331" customFormat="1" ht="13.5" customHeight="1" x14ac:dyDescent="0.3">
      <c r="B51" s="309" t="s">
        <v>127</v>
      </c>
      <c r="C51" s="308" t="s">
        <v>128</v>
      </c>
      <c r="D51" s="309" t="s">
        <v>59</v>
      </c>
      <c r="F51" s="310" t="e">
        <f>SUM(#REF!)*1.25</f>
        <v>#REF!</v>
      </c>
      <c r="G51" s="310" t="e">
        <f>SUM(#REF!)*1.25</f>
        <v>#REF!</v>
      </c>
      <c r="H51" s="311" t="e">
        <f t="shared" si="8"/>
        <v>#REF!</v>
      </c>
      <c r="I51" s="311" t="e">
        <f t="shared" si="9"/>
        <v>#REF!</v>
      </c>
      <c r="J51" s="312" t="e">
        <f t="shared" si="10"/>
        <v>#REF!</v>
      </c>
      <c r="K51" s="308"/>
      <c r="L51" s="472"/>
    </row>
    <row r="52" spans="2:15" s="331" customFormat="1" ht="13.5" customHeight="1" x14ac:dyDescent="0.3">
      <c r="B52" s="309" t="s">
        <v>127</v>
      </c>
      <c r="C52" s="308" t="s">
        <v>128</v>
      </c>
      <c r="D52" s="309" t="s">
        <v>60</v>
      </c>
      <c r="F52" s="310" t="e">
        <f>SUM(#REF!)*1.25</f>
        <v>#REF!</v>
      </c>
      <c r="G52" s="310" t="e">
        <f>SUM(#REF!)*1.25</f>
        <v>#REF!</v>
      </c>
      <c r="H52" s="311" t="e">
        <f t="shared" si="8"/>
        <v>#REF!</v>
      </c>
      <c r="I52" s="311" t="e">
        <f t="shared" si="9"/>
        <v>#REF!</v>
      </c>
      <c r="J52" s="312" t="e">
        <f t="shared" si="10"/>
        <v>#REF!</v>
      </c>
      <c r="K52" s="308"/>
      <c r="L52" s="472"/>
      <c r="O52" s="309"/>
    </row>
    <row r="53" spans="2:15" s="331" customFormat="1" ht="13.5" customHeight="1" x14ac:dyDescent="0.3">
      <c r="B53" s="309" t="s">
        <v>127</v>
      </c>
      <c r="C53" s="308" t="s">
        <v>128</v>
      </c>
      <c r="D53" s="309" t="s">
        <v>62</v>
      </c>
      <c r="F53" s="310" t="e">
        <f>SUM(#REF!+#REF!)*1.25</f>
        <v>#REF!</v>
      </c>
      <c r="G53" s="310" t="e">
        <f>SUM(#REF!+#REF!)*1.25</f>
        <v>#REF!</v>
      </c>
      <c r="H53" s="311" t="e">
        <f t="shared" si="8"/>
        <v>#REF!</v>
      </c>
      <c r="I53" s="311" t="e">
        <f t="shared" si="9"/>
        <v>#REF!</v>
      </c>
      <c r="J53" s="312" t="e">
        <f t="shared" si="10"/>
        <v>#REF!</v>
      </c>
      <c r="K53" s="308"/>
      <c r="L53" s="471"/>
      <c r="M53" s="309"/>
      <c r="N53" s="309"/>
      <c r="O53" s="309"/>
    </row>
    <row r="54" spans="2:15" s="331" customFormat="1" ht="13.5" customHeight="1" x14ac:dyDescent="0.3">
      <c r="B54" s="309" t="s">
        <v>127</v>
      </c>
      <c r="C54" s="308" t="s">
        <v>128</v>
      </c>
      <c r="D54" s="309" t="s">
        <v>63</v>
      </c>
      <c r="F54" s="310" t="e">
        <f>SUM(#REF!)*1.25</f>
        <v>#REF!</v>
      </c>
      <c r="G54" s="310" t="e">
        <f>SUM(#REF!)*1.25</f>
        <v>#REF!</v>
      </c>
      <c r="H54" s="311" t="e">
        <f t="shared" si="8"/>
        <v>#REF!</v>
      </c>
      <c r="I54" s="311" t="e">
        <f t="shared" si="9"/>
        <v>#REF!</v>
      </c>
      <c r="J54" s="312" t="e">
        <f t="shared" si="10"/>
        <v>#REF!</v>
      </c>
      <c r="K54" s="308"/>
      <c r="L54" s="471"/>
      <c r="M54" s="309"/>
      <c r="N54" s="309"/>
      <c r="O54" s="309"/>
    </row>
    <row r="55" spans="2:15" s="331" customFormat="1" ht="13.5" customHeight="1" x14ac:dyDescent="0.3">
      <c r="B55" s="309" t="s">
        <v>127</v>
      </c>
      <c r="C55" s="308" t="s">
        <v>128</v>
      </c>
      <c r="D55" s="309" t="s">
        <v>64</v>
      </c>
      <c r="F55" s="310" t="e">
        <f>SUM(#REF!)*1.25</f>
        <v>#REF!</v>
      </c>
      <c r="G55" s="310" t="e">
        <f>SUM(#REF!)*1.25</f>
        <v>#REF!</v>
      </c>
      <c r="H55" s="311" t="e">
        <f t="shared" si="8"/>
        <v>#REF!</v>
      </c>
      <c r="I55" s="311" t="e">
        <f t="shared" si="9"/>
        <v>#REF!</v>
      </c>
      <c r="J55" s="312" t="e">
        <f t="shared" si="10"/>
        <v>#REF!</v>
      </c>
      <c r="K55" s="308"/>
      <c r="L55" s="471"/>
      <c r="M55" s="309"/>
      <c r="N55" s="309"/>
      <c r="O55" s="309"/>
    </row>
    <row r="56" spans="2:15" s="331" customFormat="1" ht="13.5" customHeight="1" x14ac:dyDescent="0.3">
      <c r="B56" s="309" t="s">
        <v>127</v>
      </c>
      <c r="C56" s="308" t="s">
        <v>128</v>
      </c>
      <c r="D56" s="309" t="s">
        <v>101</v>
      </c>
      <c r="F56" s="310" t="e">
        <f>SUM(#REF!)*1.25</f>
        <v>#REF!</v>
      </c>
      <c r="G56" s="310" t="e">
        <f>SUM(#REF!)*1.25</f>
        <v>#REF!</v>
      </c>
      <c r="H56" s="311" t="e">
        <f t="shared" si="8"/>
        <v>#REF!</v>
      </c>
      <c r="I56" s="311" t="e">
        <f t="shared" si="9"/>
        <v>#REF!</v>
      </c>
      <c r="J56" s="312" t="e">
        <f t="shared" si="10"/>
        <v>#REF!</v>
      </c>
      <c r="K56" s="308"/>
      <c r="L56" s="471"/>
      <c r="M56" s="309"/>
      <c r="N56" s="309"/>
      <c r="O56" s="309"/>
    </row>
    <row r="57" spans="2:15" s="331" customFormat="1" ht="13.5" customHeight="1" x14ac:dyDescent="0.3">
      <c r="B57" s="309" t="s">
        <v>127</v>
      </c>
      <c r="C57" s="308" t="s">
        <v>128</v>
      </c>
      <c r="D57" s="309" t="s">
        <v>66</v>
      </c>
      <c r="F57" s="310" t="e">
        <f>SUM(#REF!)*1.25</f>
        <v>#REF!</v>
      </c>
      <c r="G57" s="310" t="e">
        <f>SUM(#REF!)*1.25</f>
        <v>#REF!</v>
      </c>
      <c r="H57" s="311" t="e">
        <f t="shared" si="8"/>
        <v>#REF!</v>
      </c>
      <c r="I57" s="311" t="e">
        <f t="shared" si="9"/>
        <v>#REF!</v>
      </c>
      <c r="J57" s="312" t="e">
        <f t="shared" si="10"/>
        <v>#REF!</v>
      </c>
      <c r="K57" s="308"/>
      <c r="L57" s="471"/>
      <c r="M57" s="309"/>
      <c r="N57" s="309"/>
      <c r="O57" s="309"/>
    </row>
    <row r="58" spans="2:15" s="331" customFormat="1" ht="13.5" customHeight="1" x14ac:dyDescent="0.3">
      <c r="B58" s="309" t="s">
        <v>127</v>
      </c>
      <c r="C58" s="308" t="s">
        <v>128</v>
      </c>
      <c r="D58" s="309" t="s">
        <v>68</v>
      </c>
      <c r="F58" s="310" t="e">
        <f>SUM(#REF!)*1.25</f>
        <v>#REF!</v>
      </c>
      <c r="G58" s="310" t="e">
        <f>SUM(#REF!)*1.25</f>
        <v>#REF!</v>
      </c>
      <c r="H58" s="311" t="e">
        <f t="shared" si="8"/>
        <v>#REF!</v>
      </c>
      <c r="I58" s="311" t="e">
        <f t="shared" si="9"/>
        <v>#REF!</v>
      </c>
      <c r="J58" s="312" t="e">
        <f t="shared" si="10"/>
        <v>#REF!</v>
      </c>
      <c r="K58" s="308"/>
      <c r="L58" s="471"/>
      <c r="M58" s="309"/>
      <c r="N58" s="309"/>
      <c r="O58" s="309"/>
    </row>
    <row r="59" spans="2:15" ht="13.5" customHeight="1" x14ac:dyDescent="0.3"/>
    <row r="60" spans="2:15" ht="13.5" customHeight="1" x14ac:dyDescent="0.3">
      <c r="B60" s="326" t="s">
        <v>129</v>
      </c>
      <c r="C60" s="327"/>
      <c r="D60" s="328"/>
      <c r="F60" s="329" t="e">
        <f>SUM(F40:F58)</f>
        <v>#REF!</v>
      </c>
      <c r="G60" s="329" t="e">
        <f t="shared" ref="G60:I60" si="11">SUM(G40:G58)</f>
        <v>#REF!</v>
      </c>
      <c r="H60" s="329" t="e">
        <f t="shared" si="11"/>
        <v>#REF!</v>
      </c>
      <c r="I60" s="329" t="e">
        <f t="shared" si="11"/>
        <v>#REF!</v>
      </c>
      <c r="J60" s="330" t="e">
        <f>SUM(J40:J58)</f>
        <v>#REF!</v>
      </c>
      <c r="K60" s="330" t="e">
        <f>I60/I68</f>
        <v>#REF!</v>
      </c>
      <c r="L60" s="471" t="e">
        <f>I60=#REF!</f>
        <v>#REF!</v>
      </c>
      <c r="M60" s="415"/>
      <c r="N60" s="415"/>
    </row>
    <row r="61" spans="2:15" s="331" customFormat="1" ht="13.5" customHeight="1" x14ac:dyDescent="0.3">
      <c r="L61" s="472"/>
    </row>
    <row r="62" spans="2:15" s="331" customFormat="1" ht="13.5" customHeight="1" x14ac:dyDescent="0.3">
      <c r="B62" s="309" t="s">
        <v>192</v>
      </c>
      <c r="C62" s="308" t="s">
        <v>193</v>
      </c>
      <c r="D62" s="309"/>
      <c r="E62" s="309"/>
      <c r="F62" s="310" t="e">
        <f>SUM(#REF!)*1.25</f>
        <v>#REF!</v>
      </c>
      <c r="G62" s="310" t="e" cm="1">
        <f t="array" ref="G62">SUM(#REF!*1.25)</f>
        <v>#REF!</v>
      </c>
      <c r="H62" s="311" t="e">
        <f>SUM(F62:G62)</f>
        <v>#REF!</v>
      </c>
      <c r="I62" s="324" t="e">
        <f>H62*0.8</f>
        <v>#REF!</v>
      </c>
      <c r="J62" s="312">
        <v>1</v>
      </c>
      <c r="L62" s="472"/>
    </row>
    <row r="63" spans="2:15" s="331" customFormat="1" ht="13.5" customHeight="1" x14ac:dyDescent="0.3">
      <c r="L63" s="472"/>
    </row>
    <row r="64" spans="2:15" s="331" customFormat="1" ht="13.5" customHeight="1" x14ac:dyDescent="0.3">
      <c r="B64" s="326" t="s">
        <v>194</v>
      </c>
      <c r="C64" s="327"/>
      <c r="D64" s="328"/>
      <c r="E64" s="309"/>
      <c r="F64" s="329" t="e">
        <f>F62</f>
        <v>#REF!</v>
      </c>
      <c r="G64" s="329" t="e">
        <f>G62</f>
        <v>#REF!</v>
      </c>
      <c r="H64" s="329" t="e">
        <f>H62</f>
        <v>#REF!</v>
      </c>
      <c r="I64" s="329" t="e">
        <f>I62</f>
        <v>#REF!</v>
      </c>
      <c r="J64" s="330">
        <f>J62</f>
        <v>1</v>
      </c>
      <c r="K64" s="330" t="e">
        <f>I64/I68</f>
        <v>#REF!</v>
      </c>
      <c r="L64" s="472"/>
    </row>
    <row r="65" spans="2:12" s="331" customFormat="1" ht="13.5" customHeight="1" x14ac:dyDescent="0.3">
      <c r="L65" s="472"/>
    </row>
    <row r="66" spans="2:12" s="331" customFormat="1" ht="13.5" customHeight="1" x14ac:dyDescent="0.3">
      <c r="B66" s="326" t="s">
        <v>195</v>
      </c>
      <c r="C66" s="327"/>
      <c r="D66" s="328"/>
      <c r="E66" s="309"/>
      <c r="F66" s="329">
        <f>'CUSTO GERAÇÃO SPE'!I93*1.25</f>
        <v>36975</v>
      </c>
      <c r="G66" s="329">
        <v>0</v>
      </c>
      <c r="H66" s="329">
        <f>SUM(F66:G66)</f>
        <v>36975</v>
      </c>
      <c r="I66" s="329">
        <f>H66*0.8</f>
        <v>29580</v>
      </c>
      <c r="J66" s="330">
        <v>1</v>
      </c>
      <c r="K66" s="330" t="e">
        <f>I66/I68</f>
        <v>#REF!</v>
      </c>
      <c r="L66" s="472"/>
    </row>
    <row r="67" spans="2:12" ht="13.5" customHeight="1" x14ac:dyDescent="0.3"/>
    <row r="68" spans="2:12" ht="18" customHeight="1" x14ac:dyDescent="0.3">
      <c r="B68" s="326" t="s">
        <v>295</v>
      </c>
      <c r="C68" s="327"/>
      <c r="D68" s="328"/>
      <c r="F68" s="329" t="e">
        <f>SUM(F23,F30,F38,F60,F64,F66)</f>
        <v>#REF!</v>
      </c>
      <c r="G68" s="329" t="e">
        <f>SUM(G23,G30,G38,G60,G64,G66)</f>
        <v>#REF!</v>
      </c>
      <c r="H68" s="329" t="e">
        <f>SUM(H23,H30,H38,H60,H64,H66)</f>
        <v>#REF!</v>
      </c>
      <c r="I68" s="329" t="e">
        <f>SUM(I23,I30,I38,I60,I64,I66)</f>
        <v>#REF!</v>
      </c>
      <c r="J68" s="329"/>
      <c r="K68" s="330" t="e">
        <f>SUM(K10:K67)</f>
        <v>#REF!</v>
      </c>
    </row>
    <row r="69" spans="2:12" ht="13.5" customHeight="1" x14ac:dyDescent="0.3">
      <c r="F69" s="334" t="e">
        <f>F68/H68</f>
        <v>#REF!</v>
      </c>
      <c r="G69" s="334" t="e">
        <f>G68/H68</f>
        <v>#REF!</v>
      </c>
      <c r="H69" s="308"/>
      <c r="I69" s="467" t="e">
        <f>SUM('TV ABERTA - SPE'!BU72,'TV PAGA - COLCHÃO REP - SPE'!BU48,'TV ABERTA - COLCHÃO REP - SPE'!BU27,#REF!,#REF!,#REF!,'CUSTO GERAÇÃO SPE'!I93)=I68</f>
        <v>#REF!</v>
      </c>
    </row>
    <row r="70" spans="2:12" ht="16.95" customHeight="1" x14ac:dyDescent="0.3">
      <c r="H70" s="415"/>
      <c r="I70" s="468"/>
    </row>
    <row r="71" spans="2:12" ht="16.95" customHeight="1" x14ac:dyDescent="0.3">
      <c r="H71" s="415"/>
      <c r="I71" s="415"/>
    </row>
    <row r="72" spans="2:12" ht="16.95" customHeight="1" x14ac:dyDescent="0.3"/>
    <row r="73" spans="2:12" ht="16.95" customHeight="1" x14ac:dyDescent="0.3"/>
    <row r="74" spans="2:12" ht="16.95" customHeight="1" x14ac:dyDescent="0.3"/>
  </sheetData>
  <mergeCells count="9">
    <mergeCell ref="N12:O12"/>
    <mergeCell ref="H10:H11"/>
    <mergeCell ref="I10:I11"/>
    <mergeCell ref="J10:J11"/>
    <mergeCell ref="B10:B11"/>
    <mergeCell ref="C10:C11"/>
    <mergeCell ref="D10:D11"/>
    <mergeCell ref="F10:F11"/>
    <mergeCell ref="G10:G1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CDE1-AF42-443D-AF66-87F389210C7A}">
  <dimension ref="A1:BU230"/>
  <sheetViews>
    <sheetView showGridLines="0" tabSelected="1" zoomScale="86" zoomScaleNormal="100" workbookViewId="0">
      <pane xSplit="4" ySplit="10" topLeftCell="W156" activePane="bottomRight" state="frozen"/>
      <selection pane="topRight" activeCell="E1" sqref="E1"/>
      <selection pane="bottomLeft" activeCell="A14" sqref="A14"/>
      <selection pane="bottomRight" activeCell="AP110" sqref="AP110:AP125"/>
    </sheetView>
  </sheetViews>
  <sheetFormatPr defaultColWidth="8.796875" defaultRowHeight="13.2" x14ac:dyDescent="0.3"/>
  <cols>
    <col min="1" max="1" width="4" style="436" customWidth="1"/>
    <col min="2" max="2" width="20.19921875" style="436" customWidth="1"/>
    <col min="3" max="3" width="13.5" style="436" customWidth="1"/>
    <col min="4" max="4" width="30.296875" style="436" bestFit="1" customWidth="1"/>
    <col min="5" max="7" width="13.69921875" style="436" customWidth="1"/>
    <col min="8" max="8" width="10.3984375" style="444" customWidth="1"/>
    <col min="9" max="17" width="4.296875" style="436" hidden="1" customWidth="1"/>
    <col min="18" max="36" width="4.296875" style="436" customWidth="1"/>
    <col min="37" max="37" width="9" style="436" customWidth="1"/>
    <col min="38" max="38" width="12.5" style="436" customWidth="1"/>
    <col min="39" max="39" width="14.5" style="436" customWidth="1"/>
    <col min="40" max="40" width="14.796875" style="436" customWidth="1"/>
    <col min="41" max="41" width="16.59765625" style="436" customWidth="1"/>
    <col min="42" max="42" width="18.296875" style="436" customWidth="1"/>
    <col min="43" max="43" width="3.19921875" style="436" customWidth="1"/>
    <col min="44" max="45" width="11.69921875" style="436" customWidth="1"/>
    <col min="46" max="46" width="14" style="436" customWidth="1"/>
    <col min="47" max="47" width="3.19921875" style="436" customWidth="1"/>
    <col min="48" max="48" width="16.3984375" style="444" customWidth="1"/>
    <col min="49" max="49" width="3.69921875" style="444" customWidth="1"/>
    <col min="50" max="50" width="14.796875" style="444" customWidth="1"/>
    <col min="51" max="51" width="11.59765625" style="570" customWidth="1"/>
    <col min="52" max="16384" width="8.796875" style="436"/>
  </cols>
  <sheetData>
    <row r="1" spans="1:51" x14ac:dyDescent="0.3">
      <c r="N1" s="555"/>
      <c r="O1" s="555"/>
    </row>
    <row r="2" spans="1:51" ht="15.6" x14ac:dyDescent="0.3"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1"/>
      <c r="AK2" s="331"/>
    </row>
    <row r="3" spans="1:51" ht="15.6" x14ac:dyDescent="0.3">
      <c r="A3" s="433"/>
      <c r="B3" s="3"/>
      <c r="C3" s="433"/>
      <c r="D3" s="433"/>
      <c r="E3" s="433"/>
      <c r="F3" s="433"/>
      <c r="G3" s="433"/>
      <c r="H3" s="359"/>
      <c r="I3" s="433"/>
      <c r="J3" s="433"/>
      <c r="K3" s="433"/>
      <c r="L3" s="433"/>
      <c r="M3" s="433"/>
      <c r="V3" s="433"/>
      <c r="W3" s="433"/>
      <c r="Z3" s="331"/>
      <c r="AA3" s="331"/>
      <c r="AB3" s="331"/>
      <c r="AC3" s="331"/>
      <c r="AD3" s="331"/>
      <c r="AE3" s="331"/>
      <c r="AF3" s="331"/>
      <c r="AG3" s="331"/>
      <c r="AH3" s="331"/>
      <c r="AI3" s="331"/>
      <c r="AJ3" s="331"/>
      <c r="AK3" s="331"/>
      <c r="AL3" s="194"/>
      <c r="AM3" s="496"/>
      <c r="AN3" s="359"/>
      <c r="AO3" s="433"/>
      <c r="AP3" s="433"/>
    </row>
    <row r="4" spans="1:51" ht="13.95" customHeight="1" x14ac:dyDescent="0.3">
      <c r="A4" s="433"/>
      <c r="B4" s="3"/>
      <c r="C4" s="433"/>
      <c r="D4" s="433"/>
      <c r="E4" s="433"/>
      <c r="F4" s="433"/>
      <c r="G4" s="433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433"/>
      <c r="X4" s="433"/>
      <c r="Y4" s="433"/>
      <c r="Z4" s="331"/>
      <c r="AA4" s="331"/>
      <c r="AB4" s="331"/>
      <c r="AC4" s="331"/>
      <c r="AD4" s="331"/>
      <c r="AE4" s="331"/>
      <c r="AF4" s="331"/>
      <c r="AG4" s="331"/>
      <c r="AH4" s="331"/>
      <c r="AI4" s="331"/>
      <c r="AJ4" s="331"/>
      <c r="AK4" s="331"/>
      <c r="AL4" s="194"/>
      <c r="AM4" s="496"/>
      <c r="AN4" s="359"/>
      <c r="AO4" s="433"/>
      <c r="AP4" s="433"/>
    </row>
    <row r="5" spans="1:51" ht="13.95" customHeight="1" x14ac:dyDescent="0.3">
      <c r="A5" s="433"/>
      <c r="B5" s="464" t="s">
        <v>0</v>
      </c>
      <c r="C5" s="433"/>
      <c r="D5" s="433"/>
      <c r="E5" s="433"/>
      <c r="F5" s="433"/>
      <c r="G5" s="433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433"/>
      <c r="X5" s="433"/>
      <c r="Y5" s="433"/>
      <c r="Z5" s="331"/>
      <c r="AA5" s="331"/>
      <c r="AB5" s="331"/>
      <c r="AC5" s="331"/>
      <c r="AD5" s="331"/>
      <c r="AE5" s="331"/>
      <c r="AF5" s="331"/>
      <c r="AG5" s="331"/>
      <c r="AH5" s="331"/>
      <c r="AI5" s="331"/>
      <c r="AJ5" s="331"/>
      <c r="AK5" s="331"/>
      <c r="AL5" s="194"/>
      <c r="AM5" s="496"/>
      <c r="AN5" s="359"/>
      <c r="AO5" s="433"/>
      <c r="AP5" s="446"/>
    </row>
    <row r="6" spans="1:51" ht="13.95" customHeight="1" x14ac:dyDescent="0.3">
      <c r="A6" s="433"/>
      <c r="B6" s="465" t="s">
        <v>314</v>
      </c>
      <c r="C6" s="4"/>
      <c r="D6" s="4"/>
      <c r="E6" s="4"/>
      <c r="F6" s="4"/>
      <c r="G6" s="4"/>
      <c r="H6" s="331"/>
      <c r="I6" s="331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500"/>
      <c r="AM6" s="496"/>
      <c r="AN6" s="501"/>
      <c r="AO6" s="4"/>
      <c r="AP6" s="556"/>
    </row>
    <row r="7" spans="1:51" s="442" customFormat="1" ht="13.95" customHeight="1" x14ac:dyDescent="0.3">
      <c r="A7" s="43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359"/>
      <c r="AM7" s="359"/>
      <c r="AN7" s="359"/>
      <c r="AO7" s="4"/>
      <c r="AP7" s="4"/>
      <c r="AQ7" s="436"/>
      <c r="AR7" s="596" t="s">
        <v>173</v>
      </c>
      <c r="AS7" s="596"/>
      <c r="AT7" s="596"/>
      <c r="AU7" s="436"/>
      <c r="AV7" s="444"/>
      <c r="AW7" s="444"/>
      <c r="AX7" s="444"/>
      <c r="AY7" s="570"/>
    </row>
    <row r="8" spans="1:51" s="442" customFormat="1" ht="15.75" customHeight="1" x14ac:dyDescent="0.3">
      <c r="A8" s="365"/>
      <c r="B8" s="597" t="s">
        <v>3</v>
      </c>
      <c r="C8" s="591" t="s">
        <v>4</v>
      </c>
      <c r="D8" s="591" t="s">
        <v>174</v>
      </c>
      <c r="E8" s="598" t="s">
        <v>200</v>
      </c>
      <c r="F8" s="598" t="s">
        <v>175</v>
      </c>
      <c r="G8" s="598" t="s">
        <v>176</v>
      </c>
      <c r="H8" s="601" t="s">
        <v>172</v>
      </c>
      <c r="I8" s="604" t="s">
        <v>140</v>
      </c>
      <c r="J8" s="605"/>
      <c r="K8" s="605"/>
      <c r="L8" s="605"/>
      <c r="M8" s="605"/>
      <c r="N8" s="605"/>
      <c r="O8" s="605"/>
      <c r="P8" s="605"/>
      <c r="Q8" s="605"/>
      <c r="R8" s="605"/>
      <c r="S8" s="605"/>
      <c r="T8" s="605"/>
      <c r="U8" s="605"/>
      <c r="V8" s="605"/>
      <c r="W8" s="605"/>
      <c r="X8" s="605"/>
      <c r="Y8" s="605"/>
      <c r="Z8" s="605"/>
      <c r="AA8" s="605"/>
      <c r="AB8" s="605"/>
      <c r="AC8" s="605"/>
      <c r="AD8" s="605"/>
      <c r="AE8" s="605"/>
      <c r="AF8" s="605"/>
      <c r="AG8" s="605"/>
      <c r="AH8" s="605"/>
      <c r="AI8" s="605"/>
      <c r="AJ8" s="606"/>
      <c r="AK8" s="597" t="s">
        <v>7</v>
      </c>
      <c r="AL8" s="592" t="s">
        <v>8</v>
      </c>
      <c r="AM8" s="597" t="s">
        <v>9</v>
      </c>
      <c r="AN8" s="592" t="s">
        <v>10</v>
      </c>
      <c r="AO8" s="592" t="s">
        <v>11</v>
      </c>
      <c r="AP8" s="592" t="s">
        <v>177</v>
      </c>
      <c r="AQ8" s="436"/>
      <c r="AR8" s="593" t="s">
        <v>178</v>
      </c>
      <c r="AS8" s="593" t="s">
        <v>12</v>
      </c>
      <c r="AT8" s="593" t="s">
        <v>179</v>
      </c>
      <c r="AU8" s="436"/>
      <c r="AV8" s="587" t="s">
        <v>180</v>
      </c>
      <c r="AW8" s="588"/>
      <c r="AX8" s="588"/>
      <c r="AY8" s="570"/>
    </row>
    <row r="9" spans="1:51" s="442" customFormat="1" ht="15.75" customHeight="1" x14ac:dyDescent="0.3">
      <c r="A9" s="365"/>
      <c r="B9" s="597"/>
      <c r="C9" s="591"/>
      <c r="D9" s="591"/>
      <c r="E9" s="599"/>
      <c r="F9" s="599"/>
      <c r="G9" s="599"/>
      <c r="H9" s="602"/>
      <c r="I9" s="8" t="s">
        <v>16</v>
      </c>
      <c r="J9" s="7" t="s">
        <v>13</v>
      </c>
      <c r="K9" s="7" t="s">
        <v>14</v>
      </c>
      <c r="L9" s="7" t="s">
        <v>15</v>
      </c>
      <c r="M9" s="7" t="s">
        <v>14</v>
      </c>
      <c r="N9" s="7" t="s">
        <v>2</v>
      </c>
      <c r="O9" s="8" t="s">
        <v>16</v>
      </c>
      <c r="P9" s="8" t="s">
        <v>16</v>
      </c>
      <c r="Q9" s="7" t="s">
        <v>13</v>
      </c>
      <c r="R9" s="7" t="s">
        <v>14</v>
      </c>
      <c r="S9" s="7" t="s">
        <v>15</v>
      </c>
      <c r="T9" s="7" t="s">
        <v>14</v>
      </c>
      <c r="U9" s="7" t="s">
        <v>2</v>
      </c>
      <c r="V9" s="8" t="s">
        <v>16</v>
      </c>
      <c r="W9" s="8" t="s">
        <v>16</v>
      </c>
      <c r="X9" s="7" t="s">
        <v>13</v>
      </c>
      <c r="Y9" s="7" t="s">
        <v>14</v>
      </c>
      <c r="Z9" s="7" t="s">
        <v>15</v>
      </c>
      <c r="AA9" s="7" t="s">
        <v>14</v>
      </c>
      <c r="AB9" s="7" t="s">
        <v>2</v>
      </c>
      <c r="AC9" s="8" t="s">
        <v>16</v>
      </c>
      <c r="AD9" s="8" t="s">
        <v>16</v>
      </c>
      <c r="AE9" s="7" t="s">
        <v>13</v>
      </c>
      <c r="AF9" s="7" t="s">
        <v>14</v>
      </c>
      <c r="AG9" s="7" t="s">
        <v>15</v>
      </c>
      <c r="AH9" s="7" t="s">
        <v>14</v>
      </c>
      <c r="AI9" s="7" t="s">
        <v>2</v>
      </c>
      <c r="AJ9" s="8" t="s">
        <v>16</v>
      </c>
      <c r="AK9" s="597"/>
      <c r="AL9" s="592"/>
      <c r="AM9" s="597"/>
      <c r="AN9" s="592"/>
      <c r="AO9" s="592"/>
      <c r="AP9" s="592"/>
      <c r="AQ9" s="436"/>
      <c r="AR9" s="594"/>
      <c r="AS9" s="594"/>
      <c r="AT9" s="594"/>
      <c r="AU9" s="436"/>
      <c r="AV9" s="587"/>
      <c r="AW9" s="588"/>
      <c r="AX9" s="588"/>
      <c r="AY9" s="570"/>
    </row>
    <row r="10" spans="1:51" s="442" customFormat="1" ht="15.75" customHeight="1" x14ac:dyDescent="0.3">
      <c r="A10" s="365"/>
      <c r="B10" s="597"/>
      <c r="C10" s="591"/>
      <c r="D10" s="591"/>
      <c r="E10" s="600"/>
      <c r="F10" s="600"/>
      <c r="G10" s="600"/>
      <c r="H10" s="603"/>
      <c r="I10" s="8">
        <v>1</v>
      </c>
      <c r="J10" s="7">
        <v>2</v>
      </c>
      <c r="K10" s="7">
        <v>3</v>
      </c>
      <c r="L10" s="7">
        <v>4</v>
      </c>
      <c r="M10" s="7">
        <v>5</v>
      </c>
      <c r="N10" s="7">
        <v>6</v>
      </c>
      <c r="O10" s="8">
        <v>7</v>
      </c>
      <c r="P10" s="8">
        <v>8</v>
      </c>
      <c r="Q10" s="7">
        <v>9</v>
      </c>
      <c r="R10" s="7">
        <v>10</v>
      </c>
      <c r="S10" s="7">
        <v>11</v>
      </c>
      <c r="T10" s="7">
        <v>12</v>
      </c>
      <c r="U10" s="7">
        <v>13</v>
      </c>
      <c r="V10" s="8">
        <v>14</v>
      </c>
      <c r="W10" s="8">
        <v>15</v>
      </c>
      <c r="X10" s="7">
        <v>16</v>
      </c>
      <c r="Y10" s="7">
        <v>17</v>
      </c>
      <c r="Z10" s="7">
        <f>Y10+1</f>
        <v>18</v>
      </c>
      <c r="AA10" s="7">
        <f>Z10+1</f>
        <v>19</v>
      </c>
      <c r="AB10" s="7">
        <f t="shared" ref="AB10:AG10" si="0">AA10+1</f>
        <v>20</v>
      </c>
      <c r="AC10" s="8">
        <f t="shared" si="0"/>
        <v>21</v>
      </c>
      <c r="AD10" s="8">
        <f t="shared" si="0"/>
        <v>22</v>
      </c>
      <c r="AE10" s="7">
        <f t="shared" si="0"/>
        <v>23</v>
      </c>
      <c r="AF10" s="7">
        <f t="shared" si="0"/>
        <v>24</v>
      </c>
      <c r="AG10" s="7">
        <f t="shared" si="0"/>
        <v>25</v>
      </c>
      <c r="AH10" s="7">
        <f>AG10+1</f>
        <v>26</v>
      </c>
      <c r="AI10" s="7">
        <f t="shared" ref="AI10:AJ10" si="1">AH10+1</f>
        <v>27</v>
      </c>
      <c r="AJ10" s="8">
        <f t="shared" si="1"/>
        <v>28</v>
      </c>
      <c r="AK10" s="597"/>
      <c r="AL10" s="592"/>
      <c r="AM10" s="597"/>
      <c r="AN10" s="592"/>
      <c r="AO10" s="592"/>
      <c r="AP10" s="592"/>
      <c r="AQ10" s="436"/>
      <c r="AR10" s="595"/>
      <c r="AS10" s="595"/>
      <c r="AT10" s="595"/>
      <c r="AU10" s="436"/>
      <c r="AV10" s="589" t="s">
        <v>4</v>
      </c>
      <c r="AW10" s="591" t="s">
        <v>140</v>
      </c>
      <c r="AX10" s="591"/>
      <c r="AY10" s="570"/>
    </row>
    <row r="11" spans="1:51" s="442" customFormat="1" ht="16.05" customHeight="1" x14ac:dyDescent="0.3">
      <c r="A11" s="365"/>
      <c r="B11" s="367"/>
      <c r="C11" s="368"/>
      <c r="D11" s="368"/>
      <c r="E11" s="368"/>
      <c r="F11" s="368"/>
      <c r="G11" s="368"/>
      <c r="H11" s="433"/>
      <c r="I11" s="433"/>
      <c r="J11" s="433"/>
      <c r="K11" s="433"/>
      <c r="L11" s="433"/>
      <c r="M11" s="433"/>
      <c r="N11" s="433"/>
      <c r="O11" s="433"/>
      <c r="P11" s="433"/>
      <c r="Q11" s="433"/>
      <c r="R11" s="433"/>
      <c r="S11" s="433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  <c r="AD11" s="433"/>
      <c r="AE11" s="433"/>
      <c r="AH11" s="433"/>
      <c r="AI11" s="433"/>
      <c r="AJ11" s="433"/>
      <c r="AK11" s="433"/>
      <c r="AL11" s="433"/>
      <c r="AM11" s="433"/>
      <c r="AN11" s="433"/>
      <c r="AO11" s="433"/>
      <c r="AP11" s="9"/>
      <c r="AQ11" s="436"/>
      <c r="AR11" s="10"/>
      <c r="AS11" s="10"/>
      <c r="AT11" s="10"/>
      <c r="AU11" s="436"/>
      <c r="AV11" s="587"/>
      <c r="AW11" s="591"/>
      <c r="AX11" s="591"/>
      <c r="AY11" s="570"/>
    </row>
    <row r="12" spans="1:51" s="442" customFormat="1" ht="13.95" customHeight="1" x14ac:dyDescent="0.3">
      <c r="A12" s="365"/>
      <c r="B12" s="369"/>
      <c r="C12" s="370"/>
      <c r="D12" s="371"/>
      <c r="E12" s="372"/>
      <c r="F12" s="372"/>
      <c r="G12" s="372"/>
      <c r="H12" s="372"/>
      <c r="I12" s="13"/>
      <c r="J12" s="11"/>
      <c r="K12" s="12"/>
      <c r="L12" s="12"/>
      <c r="M12" s="12"/>
      <c r="N12" s="11"/>
      <c r="O12" s="13"/>
      <c r="P12" s="13"/>
      <c r="Q12" s="11"/>
      <c r="R12" s="12"/>
      <c r="S12" s="12"/>
      <c r="T12" s="12"/>
      <c r="U12" s="11"/>
      <c r="V12" s="13"/>
      <c r="W12" s="13"/>
      <c r="X12" s="11"/>
      <c r="Y12" s="12"/>
      <c r="Z12" s="12"/>
      <c r="AA12" s="12"/>
      <c r="AB12" s="11"/>
      <c r="AC12" s="13"/>
      <c r="AD12" s="13"/>
      <c r="AE12" s="11"/>
      <c r="AF12" s="12"/>
      <c r="AG12" s="12"/>
      <c r="AH12" s="12"/>
      <c r="AI12" s="11"/>
      <c r="AJ12" s="13"/>
      <c r="AK12" s="14"/>
      <c r="AL12" s="373"/>
      <c r="AM12" s="16"/>
      <c r="AN12" s="17"/>
      <c r="AO12" s="18"/>
      <c r="AP12" s="18"/>
      <c r="AQ12" s="436"/>
      <c r="AR12" s="480"/>
      <c r="AS12" s="484"/>
      <c r="AT12" s="18"/>
      <c r="AU12" s="433"/>
      <c r="AV12" s="590"/>
      <c r="AW12" s="366" t="s">
        <v>181</v>
      </c>
      <c r="AX12" s="366" t="s">
        <v>182</v>
      </c>
      <c r="AY12" s="570"/>
    </row>
    <row r="13" spans="1:51" ht="13.95" hidden="1" customHeight="1" x14ac:dyDescent="0.3">
      <c r="A13" s="365"/>
      <c r="B13" s="557" t="s">
        <v>263</v>
      </c>
      <c r="C13" s="376" t="s">
        <v>157</v>
      </c>
      <c r="D13" s="377" t="s">
        <v>315</v>
      </c>
      <c r="E13" s="378" t="s">
        <v>204</v>
      </c>
      <c r="F13" s="378">
        <v>0.67708333333333337</v>
      </c>
      <c r="G13" s="378" t="s">
        <v>321</v>
      </c>
      <c r="H13" s="394">
        <v>60</v>
      </c>
      <c r="I13" s="13"/>
      <c r="J13" s="11"/>
      <c r="K13" s="12"/>
      <c r="L13" s="12"/>
      <c r="M13" s="12"/>
      <c r="N13" s="11"/>
      <c r="O13" s="13"/>
      <c r="P13" s="13"/>
      <c r="Q13" s="11"/>
      <c r="R13" s="12"/>
      <c r="S13" s="12"/>
      <c r="T13" s="12"/>
      <c r="U13" s="11"/>
      <c r="V13" s="13"/>
      <c r="W13" s="13"/>
      <c r="X13" s="11"/>
      <c r="Y13" s="12"/>
      <c r="Z13" s="12"/>
      <c r="AA13" s="12"/>
      <c r="AB13" s="11"/>
      <c r="AC13" s="13"/>
      <c r="AD13" s="13"/>
      <c r="AE13" s="11"/>
      <c r="AF13" s="12"/>
      <c r="AG13" s="12"/>
      <c r="AH13" s="12"/>
      <c r="AI13" s="11"/>
      <c r="AJ13" s="13"/>
      <c r="AK13" s="379">
        <f>SUM(I13:AJ13)</f>
        <v>0</v>
      </c>
      <c r="AL13" s="15">
        <v>16272</v>
      </c>
      <c r="AM13" s="19">
        <v>0.1</v>
      </c>
      <c r="AN13" s="20">
        <f>AL13*(1-AM13)</f>
        <v>14644.800000000001</v>
      </c>
      <c r="AO13" s="21">
        <f>AN13*AK13</f>
        <v>0</v>
      </c>
      <c r="AP13" s="21">
        <f>AO13*0.8</f>
        <v>0</v>
      </c>
      <c r="AR13" s="479">
        <v>5.59</v>
      </c>
      <c r="AS13" s="485">
        <f>AR13*AK13</f>
        <v>0</v>
      </c>
      <c r="AT13" s="382">
        <f>IFERROR(AP13/AS13,0)</f>
        <v>0</v>
      </c>
      <c r="AU13" s="433"/>
      <c r="AV13" s="448" t="s">
        <v>183</v>
      </c>
      <c r="AW13" s="449">
        <f>SUM(I13:AJ13)</f>
        <v>0</v>
      </c>
      <c r="AX13" s="450">
        <f t="shared" ref="AX13:AX29" si="2">AW13*AN13*0.8</f>
        <v>0</v>
      </c>
      <c r="AY13" s="570" t="b">
        <f>SUM(AX13)=AP13</f>
        <v>1</v>
      </c>
    </row>
    <row r="14" spans="1:51" s="558" customFormat="1" ht="13.95" customHeight="1" x14ac:dyDescent="0.3">
      <c r="A14" s="365"/>
      <c r="B14" s="557" t="s">
        <v>263</v>
      </c>
      <c r="C14" s="376" t="s">
        <v>157</v>
      </c>
      <c r="D14" s="389" t="s">
        <v>315</v>
      </c>
      <c r="E14" s="378" t="s">
        <v>204</v>
      </c>
      <c r="F14" s="378">
        <v>0.67708333333333337</v>
      </c>
      <c r="G14" s="378" t="s">
        <v>321</v>
      </c>
      <c r="H14" s="394">
        <v>30</v>
      </c>
      <c r="I14" s="13"/>
      <c r="J14" s="11"/>
      <c r="K14" s="12"/>
      <c r="L14" s="12"/>
      <c r="M14" s="12"/>
      <c r="N14" s="11"/>
      <c r="O14" s="13"/>
      <c r="P14" s="13"/>
      <c r="Q14" s="11"/>
      <c r="R14" s="12"/>
      <c r="S14" s="12"/>
      <c r="T14" s="12"/>
      <c r="U14" s="11"/>
      <c r="V14" s="13">
        <v>1</v>
      </c>
      <c r="W14" s="13"/>
      <c r="X14" s="11"/>
      <c r="Y14" s="12"/>
      <c r="Z14" s="12"/>
      <c r="AA14" s="12"/>
      <c r="AB14" s="11"/>
      <c r="AC14" s="13"/>
      <c r="AD14" s="13"/>
      <c r="AE14" s="11"/>
      <c r="AF14" s="12"/>
      <c r="AG14" s="12"/>
      <c r="AH14" s="12"/>
      <c r="AI14" s="11"/>
      <c r="AJ14" s="13"/>
      <c r="AK14" s="379">
        <f t="shared" ref="AK14:AK29" si="3">SUM(I14:AJ14)</f>
        <v>1</v>
      </c>
      <c r="AL14" s="15">
        <v>8136</v>
      </c>
      <c r="AM14" s="19">
        <v>0.1</v>
      </c>
      <c r="AN14" s="20">
        <f t="shared" ref="AN14:AN29" si="4">AL14*(1-AM14)</f>
        <v>7322.4000000000005</v>
      </c>
      <c r="AO14" s="21">
        <f t="shared" ref="AO14:AO29" si="5">AN14*AK14</f>
        <v>7322.4000000000005</v>
      </c>
      <c r="AP14" s="21">
        <f t="shared" ref="AP14:AP29" si="6">AO14*0.8</f>
        <v>5857.920000000001</v>
      </c>
      <c r="AQ14" s="436"/>
      <c r="AR14" s="479">
        <v>5.59</v>
      </c>
      <c r="AS14" s="485">
        <f t="shared" ref="AS14:AS29" si="7">AR14*AK14</f>
        <v>5.59</v>
      </c>
      <c r="AT14" s="382">
        <f t="shared" ref="AT14:AT29" si="8">IFERROR(AP14/AS14,0)</f>
        <v>1047.928443649374</v>
      </c>
      <c r="AU14" s="433"/>
      <c r="AV14" s="448" t="s">
        <v>183</v>
      </c>
      <c r="AW14" s="449">
        <f t="shared" ref="AW14:AW82" si="9">SUM(I14:AJ14)</f>
        <v>1</v>
      </c>
      <c r="AX14" s="450">
        <f t="shared" si="2"/>
        <v>5857.920000000001</v>
      </c>
      <c r="AY14" s="570" t="b">
        <f t="shared" ref="AY14:AY82" si="10">SUM(AX14)=AP14</f>
        <v>1</v>
      </c>
    </row>
    <row r="15" spans="1:51" s="558" customFormat="1" ht="13.95" hidden="1" customHeight="1" x14ac:dyDescent="0.3">
      <c r="A15" s="365"/>
      <c r="B15" s="376"/>
      <c r="C15" s="376"/>
      <c r="D15" s="377" t="s">
        <v>316</v>
      </c>
      <c r="E15" s="378" t="s">
        <v>203</v>
      </c>
      <c r="F15" s="378">
        <v>0.625</v>
      </c>
      <c r="G15" s="378" t="s">
        <v>322</v>
      </c>
      <c r="H15" s="394">
        <v>60</v>
      </c>
      <c r="I15" s="13"/>
      <c r="J15" s="11"/>
      <c r="K15" s="12"/>
      <c r="L15" s="12"/>
      <c r="M15" s="12"/>
      <c r="N15" s="11"/>
      <c r="O15" s="13"/>
      <c r="P15" s="13"/>
      <c r="Q15" s="11"/>
      <c r="R15" s="12"/>
      <c r="S15" s="12"/>
      <c r="T15" s="12"/>
      <c r="U15" s="11"/>
      <c r="V15" s="13"/>
      <c r="W15" s="13"/>
      <c r="X15" s="11"/>
      <c r="Y15" s="12"/>
      <c r="Z15" s="12"/>
      <c r="AA15" s="12"/>
      <c r="AB15" s="11"/>
      <c r="AC15" s="13"/>
      <c r="AD15" s="13"/>
      <c r="AE15" s="11"/>
      <c r="AF15" s="12"/>
      <c r="AG15" s="12"/>
      <c r="AH15" s="12"/>
      <c r="AI15" s="11"/>
      <c r="AJ15" s="13"/>
      <c r="AK15" s="379">
        <f t="shared" si="3"/>
        <v>0</v>
      </c>
      <c r="AL15" s="15">
        <v>25890</v>
      </c>
      <c r="AM15" s="19">
        <v>0.1</v>
      </c>
      <c r="AN15" s="20">
        <f t="shared" si="4"/>
        <v>23301</v>
      </c>
      <c r="AO15" s="21">
        <f t="shared" si="5"/>
        <v>0</v>
      </c>
      <c r="AP15" s="21">
        <f t="shared" si="6"/>
        <v>0</v>
      </c>
      <c r="AQ15" s="436"/>
      <c r="AR15" s="481">
        <v>8.57</v>
      </c>
      <c r="AS15" s="485">
        <f t="shared" si="7"/>
        <v>0</v>
      </c>
      <c r="AT15" s="382">
        <f t="shared" si="8"/>
        <v>0</v>
      </c>
      <c r="AU15" s="433"/>
      <c r="AV15" s="448" t="s">
        <v>183</v>
      </c>
      <c r="AW15" s="449">
        <f t="shared" si="9"/>
        <v>0</v>
      </c>
      <c r="AX15" s="450">
        <f t="shared" si="2"/>
        <v>0</v>
      </c>
      <c r="AY15" s="570" t="b">
        <f t="shared" si="10"/>
        <v>1</v>
      </c>
    </row>
    <row r="16" spans="1:51" ht="13.95" customHeight="1" x14ac:dyDescent="0.3">
      <c r="A16" s="365"/>
      <c r="B16" s="376"/>
      <c r="C16" s="376"/>
      <c r="D16" s="377" t="s">
        <v>316</v>
      </c>
      <c r="E16" s="378" t="s">
        <v>203</v>
      </c>
      <c r="F16" s="378">
        <v>0.625</v>
      </c>
      <c r="G16" s="378" t="s">
        <v>322</v>
      </c>
      <c r="H16" s="394">
        <v>30</v>
      </c>
      <c r="I16" s="13"/>
      <c r="J16" s="11"/>
      <c r="K16" s="12"/>
      <c r="L16" s="12"/>
      <c r="M16" s="12"/>
      <c r="N16" s="11"/>
      <c r="O16" s="13"/>
      <c r="P16" s="13"/>
      <c r="Q16" s="11"/>
      <c r="R16" s="12"/>
      <c r="S16" s="12"/>
      <c r="T16" s="12"/>
      <c r="U16" s="11"/>
      <c r="V16" s="13"/>
      <c r="W16" s="13">
        <v>1</v>
      </c>
      <c r="X16" s="11"/>
      <c r="Y16" s="12"/>
      <c r="Z16" s="12"/>
      <c r="AA16" s="12"/>
      <c r="AB16" s="11"/>
      <c r="AC16" s="13"/>
      <c r="AD16" s="13">
        <v>1</v>
      </c>
      <c r="AE16" s="11"/>
      <c r="AF16" s="12"/>
      <c r="AG16" s="12"/>
      <c r="AH16" s="12"/>
      <c r="AI16" s="11"/>
      <c r="AJ16" s="13"/>
      <c r="AK16" s="379">
        <f t="shared" si="3"/>
        <v>2</v>
      </c>
      <c r="AL16" s="15">
        <v>12945</v>
      </c>
      <c r="AM16" s="19">
        <v>0.1</v>
      </c>
      <c r="AN16" s="20">
        <f t="shared" si="4"/>
        <v>11650.5</v>
      </c>
      <c r="AO16" s="21">
        <f t="shared" si="5"/>
        <v>23301</v>
      </c>
      <c r="AP16" s="21">
        <f t="shared" si="6"/>
        <v>18640.8</v>
      </c>
      <c r="AR16" s="481">
        <v>8.57</v>
      </c>
      <c r="AS16" s="485">
        <f t="shared" si="7"/>
        <v>17.14</v>
      </c>
      <c r="AT16" s="382">
        <f t="shared" si="8"/>
        <v>1087.561260210035</v>
      </c>
      <c r="AU16" s="433"/>
      <c r="AV16" s="448" t="s">
        <v>183</v>
      </c>
      <c r="AW16" s="449">
        <f t="shared" si="9"/>
        <v>2</v>
      </c>
      <c r="AX16" s="450">
        <f t="shared" si="2"/>
        <v>18640.8</v>
      </c>
      <c r="AY16" s="570" t="b">
        <f t="shared" si="10"/>
        <v>1</v>
      </c>
    </row>
    <row r="17" spans="1:51" ht="13.95" customHeight="1" x14ac:dyDescent="0.3">
      <c r="A17" s="365"/>
      <c r="B17" s="376"/>
      <c r="C17" s="376"/>
      <c r="D17" s="393" t="s">
        <v>317</v>
      </c>
      <c r="E17" s="378" t="s">
        <v>201</v>
      </c>
      <c r="F17" s="378">
        <v>0.39583333333333331</v>
      </c>
      <c r="G17" s="378" t="s">
        <v>323</v>
      </c>
      <c r="H17" s="394">
        <v>30</v>
      </c>
      <c r="I17" s="13"/>
      <c r="J17" s="11"/>
      <c r="K17" s="12"/>
      <c r="L17" s="12"/>
      <c r="M17" s="12"/>
      <c r="N17" s="11"/>
      <c r="O17" s="13"/>
      <c r="P17" s="13"/>
      <c r="Q17" s="11"/>
      <c r="R17" s="12"/>
      <c r="S17" s="12"/>
      <c r="T17" s="12"/>
      <c r="U17" s="11"/>
      <c r="V17" s="13"/>
      <c r="W17" s="13"/>
      <c r="X17" s="11"/>
      <c r="Y17" s="12"/>
      <c r="Z17" s="12">
        <v>1</v>
      </c>
      <c r="AA17" s="12"/>
      <c r="AB17" s="11"/>
      <c r="AC17" s="13"/>
      <c r="AD17" s="13"/>
      <c r="AE17" s="11"/>
      <c r="AF17" s="12">
        <v>1</v>
      </c>
      <c r="AG17" s="12"/>
      <c r="AH17" s="12"/>
      <c r="AI17" s="11"/>
      <c r="AJ17" s="13"/>
      <c r="AK17" s="379">
        <f t="shared" si="3"/>
        <v>2</v>
      </c>
      <c r="AL17" s="15">
        <v>3137</v>
      </c>
      <c r="AM17" s="19">
        <v>0.1</v>
      </c>
      <c r="AN17" s="20">
        <f t="shared" si="4"/>
        <v>2823.3</v>
      </c>
      <c r="AO17" s="21">
        <f t="shared" si="5"/>
        <v>5646.6</v>
      </c>
      <c r="AP17" s="21">
        <f t="shared" si="6"/>
        <v>4517.2800000000007</v>
      </c>
      <c r="AR17" s="479">
        <v>3.89</v>
      </c>
      <c r="AS17" s="485">
        <f t="shared" si="7"/>
        <v>7.78</v>
      </c>
      <c r="AT17" s="382">
        <f t="shared" si="8"/>
        <v>580.62724935732649</v>
      </c>
      <c r="AU17" s="433"/>
      <c r="AV17" s="448" t="s">
        <v>183</v>
      </c>
      <c r="AW17" s="449">
        <f t="shared" si="9"/>
        <v>2</v>
      </c>
      <c r="AX17" s="450">
        <f t="shared" si="2"/>
        <v>4517.2800000000007</v>
      </c>
      <c r="AY17" s="570" t="b">
        <f t="shared" si="10"/>
        <v>1</v>
      </c>
    </row>
    <row r="18" spans="1:51" ht="13.95" customHeight="1" x14ac:dyDescent="0.3">
      <c r="A18" s="365"/>
      <c r="B18" s="376"/>
      <c r="C18" s="376"/>
      <c r="D18" s="393" t="s">
        <v>306</v>
      </c>
      <c r="E18" s="378" t="s">
        <v>202</v>
      </c>
      <c r="F18" s="378">
        <v>0.55902777777777779</v>
      </c>
      <c r="G18" s="378" t="s">
        <v>324</v>
      </c>
      <c r="H18" s="394">
        <v>30</v>
      </c>
      <c r="I18" s="13"/>
      <c r="J18" s="11"/>
      <c r="K18" s="12"/>
      <c r="L18" s="12"/>
      <c r="M18" s="12"/>
      <c r="N18" s="11"/>
      <c r="O18" s="13"/>
      <c r="P18" s="13"/>
      <c r="Q18" s="11"/>
      <c r="R18" s="12"/>
      <c r="S18" s="12"/>
      <c r="T18" s="12"/>
      <c r="U18" s="11"/>
      <c r="V18" s="13"/>
      <c r="W18" s="13"/>
      <c r="X18" s="11">
        <v>1</v>
      </c>
      <c r="Y18" s="12"/>
      <c r="Z18" s="12"/>
      <c r="AA18" s="12"/>
      <c r="AB18" s="11"/>
      <c r="AC18" s="13"/>
      <c r="AD18" s="13"/>
      <c r="AE18" s="11">
        <v>1</v>
      </c>
      <c r="AF18" s="12"/>
      <c r="AG18" s="12"/>
      <c r="AH18" s="12"/>
      <c r="AI18" s="11"/>
      <c r="AJ18" s="13"/>
      <c r="AK18" s="379">
        <f t="shared" si="3"/>
        <v>2</v>
      </c>
      <c r="AL18" s="15">
        <v>7947</v>
      </c>
      <c r="AM18" s="19">
        <v>0.1</v>
      </c>
      <c r="AN18" s="20">
        <f t="shared" si="4"/>
        <v>7152.3</v>
      </c>
      <c r="AO18" s="21">
        <f t="shared" si="5"/>
        <v>14304.6</v>
      </c>
      <c r="AP18" s="21">
        <f t="shared" si="6"/>
        <v>11443.68</v>
      </c>
      <c r="AR18" s="479">
        <v>5.92</v>
      </c>
      <c r="AS18" s="485">
        <f t="shared" si="7"/>
        <v>11.84</v>
      </c>
      <c r="AT18" s="382">
        <f t="shared" si="8"/>
        <v>966.52702702702709</v>
      </c>
      <c r="AU18" s="433"/>
      <c r="AV18" s="448" t="s">
        <v>183</v>
      </c>
      <c r="AW18" s="449">
        <f t="shared" si="9"/>
        <v>2</v>
      </c>
      <c r="AX18" s="450">
        <f t="shared" si="2"/>
        <v>11443.68</v>
      </c>
      <c r="AY18" s="570" t="b">
        <f t="shared" si="10"/>
        <v>1</v>
      </c>
    </row>
    <row r="19" spans="1:51" s="558" customFormat="1" ht="13.95" customHeight="1" x14ac:dyDescent="0.3">
      <c r="A19" s="365"/>
      <c r="B19" s="376"/>
      <c r="C19" s="376"/>
      <c r="D19" s="396" t="s">
        <v>186</v>
      </c>
      <c r="E19" s="378" t="s">
        <v>201</v>
      </c>
      <c r="F19" s="378">
        <v>0.85416666666666663</v>
      </c>
      <c r="G19" s="378" t="s">
        <v>325</v>
      </c>
      <c r="H19" s="394">
        <v>60</v>
      </c>
      <c r="I19" s="13"/>
      <c r="J19" s="11"/>
      <c r="K19" s="12"/>
      <c r="L19" s="12"/>
      <c r="M19" s="12"/>
      <c r="N19" s="11"/>
      <c r="O19" s="13"/>
      <c r="P19" s="13"/>
      <c r="Q19" s="11"/>
      <c r="R19" s="12"/>
      <c r="S19" s="12">
        <v>1</v>
      </c>
      <c r="T19" s="12"/>
      <c r="U19" s="11"/>
      <c r="V19" s="13"/>
      <c r="W19" s="13"/>
      <c r="X19" s="11"/>
      <c r="Y19" s="12"/>
      <c r="Z19" s="12"/>
      <c r="AA19" s="12"/>
      <c r="AB19" s="11"/>
      <c r="AC19" s="13"/>
      <c r="AD19" s="13"/>
      <c r="AE19" s="11"/>
      <c r="AF19" s="12"/>
      <c r="AG19" s="12"/>
      <c r="AH19" s="12"/>
      <c r="AI19" s="11"/>
      <c r="AJ19" s="13"/>
      <c r="AK19" s="379">
        <f t="shared" si="3"/>
        <v>1</v>
      </c>
      <c r="AL19" s="15">
        <v>72530</v>
      </c>
      <c r="AM19" s="19">
        <v>0.1</v>
      </c>
      <c r="AN19" s="20">
        <f t="shared" si="4"/>
        <v>65277</v>
      </c>
      <c r="AO19" s="21">
        <f t="shared" si="5"/>
        <v>65277</v>
      </c>
      <c r="AP19" s="21">
        <f t="shared" si="6"/>
        <v>52221.600000000006</v>
      </c>
      <c r="AQ19" s="436"/>
      <c r="AR19" s="479">
        <v>13.07</v>
      </c>
      <c r="AS19" s="485">
        <f t="shared" si="7"/>
        <v>13.07</v>
      </c>
      <c r="AT19" s="382">
        <f t="shared" si="8"/>
        <v>3995.5317521040556</v>
      </c>
      <c r="AU19" s="433"/>
      <c r="AV19" s="448" t="s">
        <v>183</v>
      </c>
      <c r="AW19" s="449">
        <f t="shared" si="9"/>
        <v>1</v>
      </c>
      <c r="AX19" s="450">
        <f t="shared" si="2"/>
        <v>52221.600000000006</v>
      </c>
      <c r="AY19" s="570" t="b">
        <f t="shared" si="10"/>
        <v>1</v>
      </c>
    </row>
    <row r="20" spans="1:51" s="558" customFormat="1" ht="13.95" hidden="1" customHeight="1" x14ac:dyDescent="0.3">
      <c r="A20" s="365"/>
      <c r="B20" s="376"/>
      <c r="C20" s="376"/>
      <c r="D20" s="396" t="s">
        <v>186</v>
      </c>
      <c r="E20" s="378" t="s">
        <v>201</v>
      </c>
      <c r="F20" s="378">
        <v>0.85416666666666663</v>
      </c>
      <c r="G20" s="378" t="s">
        <v>325</v>
      </c>
      <c r="H20" s="394">
        <v>30</v>
      </c>
      <c r="I20" s="13"/>
      <c r="J20" s="11"/>
      <c r="K20" s="12"/>
      <c r="L20" s="12"/>
      <c r="M20" s="12"/>
      <c r="N20" s="11"/>
      <c r="O20" s="13"/>
      <c r="P20" s="13"/>
      <c r="Q20" s="11"/>
      <c r="R20" s="12"/>
      <c r="S20" s="12"/>
      <c r="T20" s="12"/>
      <c r="U20" s="11"/>
      <c r="V20" s="13"/>
      <c r="W20" s="13"/>
      <c r="X20" s="11"/>
      <c r="Y20" s="12"/>
      <c r="Z20" s="12"/>
      <c r="AA20" s="12"/>
      <c r="AB20" s="11"/>
      <c r="AC20" s="13"/>
      <c r="AD20" s="13"/>
      <c r="AE20" s="11"/>
      <c r="AF20" s="12"/>
      <c r="AG20" s="12"/>
      <c r="AH20" s="12"/>
      <c r="AI20" s="11"/>
      <c r="AJ20" s="13"/>
      <c r="AK20" s="379">
        <f t="shared" si="3"/>
        <v>0</v>
      </c>
      <c r="AL20" s="15">
        <v>36265</v>
      </c>
      <c r="AM20" s="19">
        <v>0.1</v>
      </c>
      <c r="AN20" s="20">
        <f t="shared" si="4"/>
        <v>32638.5</v>
      </c>
      <c r="AO20" s="21">
        <f t="shared" si="5"/>
        <v>0</v>
      </c>
      <c r="AP20" s="21">
        <f t="shared" si="6"/>
        <v>0</v>
      </c>
      <c r="AQ20" s="436"/>
      <c r="AR20" s="479">
        <v>13.07</v>
      </c>
      <c r="AS20" s="485">
        <f t="shared" si="7"/>
        <v>0</v>
      </c>
      <c r="AT20" s="382">
        <f t="shared" si="8"/>
        <v>0</v>
      </c>
      <c r="AU20" s="433"/>
      <c r="AV20" s="448" t="s">
        <v>183</v>
      </c>
      <c r="AW20" s="449">
        <f t="shared" si="9"/>
        <v>0</v>
      </c>
      <c r="AX20" s="450">
        <f t="shared" si="2"/>
        <v>0</v>
      </c>
      <c r="AY20" s="570" t="b">
        <f t="shared" si="10"/>
        <v>1</v>
      </c>
    </row>
    <row r="21" spans="1:51" s="558" customFormat="1" ht="13.95" hidden="1" customHeight="1" x14ac:dyDescent="0.3">
      <c r="A21" s="365"/>
      <c r="B21" s="376"/>
      <c r="C21" s="376"/>
      <c r="D21" s="377" t="s">
        <v>318</v>
      </c>
      <c r="E21" s="378" t="s">
        <v>201</v>
      </c>
      <c r="F21" s="378">
        <v>0.44097222222222221</v>
      </c>
      <c r="G21" s="378" t="s">
        <v>326</v>
      </c>
      <c r="H21" s="394">
        <v>60</v>
      </c>
      <c r="I21" s="13"/>
      <c r="J21" s="11"/>
      <c r="K21" s="12"/>
      <c r="L21" s="12"/>
      <c r="M21" s="12"/>
      <c r="N21" s="11"/>
      <c r="O21" s="13"/>
      <c r="P21" s="13"/>
      <c r="Q21" s="11"/>
      <c r="R21" s="12"/>
      <c r="S21" s="12"/>
      <c r="T21" s="12"/>
      <c r="U21" s="11"/>
      <c r="V21" s="13"/>
      <c r="W21" s="13"/>
      <c r="X21" s="11"/>
      <c r="Y21" s="12"/>
      <c r="Z21" s="12"/>
      <c r="AA21" s="12"/>
      <c r="AB21" s="11"/>
      <c r="AC21" s="13"/>
      <c r="AD21" s="13"/>
      <c r="AE21" s="11"/>
      <c r="AF21" s="12"/>
      <c r="AG21" s="12"/>
      <c r="AH21" s="12"/>
      <c r="AI21" s="11"/>
      <c r="AJ21" s="13"/>
      <c r="AK21" s="379">
        <f t="shared" si="3"/>
        <v>0</v>
      </c>
      <c r="AL21" s="15">
        <v>8322</v>
      </c>
      <c r="AM21" s="19">
        <v>0.1</v>
      </c>
      <c r="AN21" s="20">
        <f t="shared" si="4"/>
        <v>7489.8</v>
      </c>
      <c r="AO21" s="21">
        <f t="shared" si="5"/>
        <v>0</v>
      </c>
      <c r="AP21" s="21">
        <f t="shared" si="6"/>
        <v>0</v>
      </c>
      <c r="AQ21" s="436"/>
      <c r="AR21" s="479">
        <v>3.79</v>
      </c>
      <c r="AS21" s="485">
        <f t="shared" si="7"/>
        <v>0</v>
      </c>
      <c r="AT21" s="382">
        <f t="shared" si="8"/>
        <v>0</v>
      </c>
      <c r="AU21" s="433"/>
      <c r="AV21" s="448" t="s">
        <v>183</v>
      </c>
      <c r="AW21" s="449">
        <f t="shared" si="9"/>
        <v>0</v>
      </c>
      <c r="AX21" s="450">
        <f t="shared" si="2"/>
        <v>0</v>
      </c>
      <c r="AY21" s="570" t="b">
        <f t="shared" si="10"/>
        <v>1</v>
      </c>
    </row>
    <row r="22" spans="1:51" ht="13.95" customHeight="1" x14ac:dyDescent="0.3">
      <c r="A22" s="365"/>
      <c r="B22" s="376"/>
      <c r="C22" s="376"/>
      <c r="D22" s="377" t="s">
        <v>318</v>
      </c>
      <c r="E22" s="378" t="s">
        <v>201</v>
      </c>
      <c r="F22" s="378">
        <v>0.44097222222222221</v>
      </c>
      <c r="G22" s="378" t="s">
        <v>326</v>
      </c>
      <c r="H22" s="394">
        <v>30</v>
      </c>
      <c r="I22" s="13"/>
      <c r="J22" s="11"/>
      <c r="K22" s="12"/>
      <c r="L22" s="12"/>
      <c r="M22" s="12"/>
      <c r="N22" s="11"/>
      <c r="O22" s="13"/>
      <c r="P22" s="13"/>
      <c r="Q22" s="11"/>
      <c r="R22" s="12"/>
      <c r="S22" s="12"/>
      <c r="T22" s="12"/>
      <c r="U22" s="11">
        <v>1</v>
      </c>
      <c r="V22" s="13"/>
      <c r="W22" s="13"/>
      <c r="X22" s="11"/>
      <c r="Y22" s="12">
        <v>1</v>
      </c>
      <c r="Z22" s="12"/>
      <c r="AA22" s="12"/>
      <c r="AB22" s="11"/>
      <c r="AC22" s="13"/>
      <c r="AD22" s="13"/>
      <c r="AE22" s="11"/>
      <c r="AF22" s="12"/>
      <c r="AG22" s="12">
        <v>1</v>
      </c>
      <c r="AH22" s="12"/>
      <c r="AI22" s="11"/>
      <c r="AJ22" s="13"/>
      <c r="AK22" s="379">
        <f t="shared" si="3"/>
        <v>3</v>
      </c>
      <c r="AL22" s="15">
        <v>4161</v>
      </c>
      <c r="AM22" s="19">
        <v>0.1</v>
      </c>
      <c r="AN22" s="20">
        <f t="shared" si="4"/>
        <v>3744.9</v>
      </c>
      <c r="AO22" s="21">
        <f t="shared" si="5"/>
        <v>11234.7</v>
      </c>
      <c r="AP22" s="21">
        <f t="shared" si="6"/>
        <v>8987.76</v>
      </c>
      <c r="AR22" s="479">
        <v>3.79</v>
      </c>
      <c r="AS22" s="485">
        <f t="shared" si="7"/>
        <v>11.370000000000001</v>
      </c>
      <c r="AT22" s="382">
        <f t="shared" si="8"/>
        <v>790.4802110817941</v>
      </c>
      <c r="AU22" s="433"/>
      <c r="AV22" s="448" t="s">
        <v>183</v>
      </c>
      <c r="AW22" s="449">
        <f t="shared" si="9"/>
        <v>3</v>
      </c>
      <c r="AX22" s="450">
        <f t="shared" si="2"/>
        <v>8987.76</v>
      </c>
      <c r="AY22" s="570" t="b">
        <f t="shared" si="10"/>
        <v>1</v>
      </c>
    </row>
    <row r="23" spans="1:51" ht="13.95" customHeight="1" x14ac:dyDescent="0.3">
      <c r="A23" s="365"/>
      <c r="B23" s="376"/>
      <c r="C23" s="376"/>
      <c r="D23" s="393" t="s">
        <v>319</v>
      </c>
      <c r="E23" s="378" t="s">
        <v>202</v>
      </c>
      <c r="F23" s="378">
        <v>0.61458333333333337</v>
      </c>
      <c r="G23" s="378" t="s">
        <v>327</v>
      </c>
      <c r="H23" s="394">
        <v>30</v>
      </c>
      <c r="I23" s="13"/>
      <c r="J23" s="11"/>
      <c r="K23" s="12"/>
      <c r="L23" s="12"/>
      <c r="M23" s="12"/>
      <c r="N23" s="11"/>
      <c r="O23" s="13"/>
      <c r="P23" s="13"/>
      <c r="Q23" s="11"/>
      <c r="R23" s="12"/>
      <c r="S23" s="12"/>
      <c r="T23" s="12"/>
      <c r="U23" s="11"/>
      <c r="V23" s="13"/>
      <c r="W23" s="13"/>
      <c r="X23" s="11"/>
      <c r="Y23" s="12">
        <v>1</v>
      </c>
      <c r="Z23" s="12"/>
      <c r="AA23" s="12"/>
      <c r="AB23" s="11"/>
      <c r="AC23" s="13"/>
      <c r="AD23" s="13"/>
      <c r="AE23" s="11"/>
      <c r="AF23" s="12"/>
      <c r="AG23" s="12"/>
      <c r="AH23" s="12"/>
      <c r="AI23" s="11"/>
      <c r="AJ23" s="13"/>
      <c r="AK23" s="379">
        <f t="shared" si="3"/>
        <v>1</v>
      </c>
      <c r="AL23" s="15">
        <v>5441</v>
      </c>
      <c r="AM23" s="19">
        <v>0.1</v>
      </c>
      <c r="AN23" s="20">
        <f t="shared" si="4"/>
        <v>4896.9000000000005</v>
      </c>
      <c r="AO23" s="21">
        <f t="shared" si="5"/>
        <v>4896.9000000000005</v>
      </c>
      <c r="AP23" s="21">
        <f t="shared" si="6"/>
        <v>3917.5200000000004</v>
      </c>
      <c r="AR23" s="481">
        <v>6.47</v>
      </c>
      <c r="AS23" s="485">
        <f t="shared" si="7"/>
        <v>6.47</v>
      </c>
      <c r="AT23" s="382">
        <f t="shared" si="8"/>
        <v>605.48995363214851</v>
      </c>
      <c r="AU23" s="433"/>
      <c r="AV23" s="448" t="s">
        <v>183</v>
      </c>
      <c r="AW23" s="449">
        <f t="shared" si="9"/>
        <v>1</v>
      </c>
      <c r="AX23" s="450">
        <f t="shared" si="2"/>
        <v>3917.5200000000004</v>
      </c>
      <c r="AY23" s="570" t="b">
        <f t="shared" si="10"/>
        <v>1</v>
      </c>
    </row>
    <row r="24" spans="1:51" s="558" customFormat="1" ht="13.95" customHeight="1" x14ac:dyDescent="0.3">
      <c r="A24" s="365"/>
      <c r="B24" s="376"/>
      <c r="C24" s="376"/>
      <c r="D24" s="377" t="s">
        <v>197</v>
      </c>
      <c r="E24" s="378" t="s">
        <v>201</v>
      </c>
      <c r="F24" s="378">
        <v>0.76736111111111116</v>
      </c>
      <c r="G24" s="378" t="s">
        <v>328</v>
      </c>
      <c r="H24" s="394">
        <v>30</v>
      </c>
      <c r="I24" s="13"/>
      <c r="J24" s="11"/>
      <c r="K24" s="12"/>
      <c r="L24" s="12"/>
      <c r="M24" s="12"/>
      <c r="N24" s="11"/>
      <c r="O24" s="13"/>
      <c r="P24" s="13"/>
      <c r="Q24" s="11"/>
      <c r="R24" s="12"/>
      <c r="S24" s="12"/>
      <c r="T24" s="12"/>
      <c r="U24" s="11"/>
      <c r="V24" s="13"/>
      <c r="W24" s="13"/>
      <c r="X24" s="11"/>
      <c r="Y24" s="12"/>
      <c r="Z24" s="12"/>
      <c r="AA24" s="12">
        <v>1</v>
      </c>
      <c r="AB24" s="11"/>
      <c r="AC24" s="13"/>
      <c r="AD24" s="13"/>
      <c r="AE24" s="11"/>
      <c r="AF24" s="12"/>
      <c r="AG24" s="12"/>
      <c r="AH24" s="12"/>
      <c r="AI24" s="11"/>
      <c r="AJ24" s="13"/>
      <c r="AK24" s="379">
        <f t="shared" si="3"/>
        <v>1</v>
      </c>
      <c r="AL24" s="15">
        <v>17217</v>
      </c>
      <c r="AM24" s="19">
        <v>0.1</v>
      </c>
      <c r="AN24" s="20">
        <f t="shared" si="4"/>
        <v>15495.300000000001</v>
      </c>
      <c r="AO24" s="21">
        <f t="shared" si="5"/>
        <v>15495.300000000001</v>
      </c>
      <c r="AP24" s="21">
        <f t="shared" si="6"/>
        <v>12396.240000000002</v>
      </c>
      <c r="AQ24" s="436"/>
      <c r="AR24" s="479">
        <v>8.5</v>
      </c>
      <c r="AS24" s="485">
        <f t="shared" si="7"/>
        <v>8.5</v>
      </c>
      <c r="AT24" s="382">
        <f t="shared" si="8"/>
        <v>1458.3811764705883</v>
      </c>
      <c r="AU24" s="433"/>
      <c r="AV24" s="448" t="s">
        <v>183</v>
      </c>
      <c r="AW24" s="449">
        <f t="shared" si="9"/>
        <v>1</v>
      </c>
      <c r="AX24" s="450">
        <f t="shared" si="2"/>
        <v>12396.240000000002</v>
      </c>
      <c r="AY24" s="570" t="b">
        <f t="shared" si="10"/>
        <v>1</v>
      </c>
    </row>
    <row r="25" spans="1:51" s="558" customFormat="1" ht="13.95" hidden="1" customHeight="1" x14ac:dyDescent="0.3">
      <c r="A25" s="365"/>
      <c r="B25" s="376"/>
      <c r="C25" s="376"/>
      <c r="D25" s="389" t="s">
        <v>187</v>
      </c>
      <c r="E25" s="378" t="s">
        <v>201</v>
      </c>
      <c r="F25" s="378">
        <v>0.81944444444444442</v>
      </c>
      <c r="G25" s="378" t="s">
        <v>188</v>
      </c>
      <c r="H25" s="394">
        <v>60</v>
      </c>
      <c r="I25" s="13"/>
      <c r="J25" s="11"/>
      <c r="K25" s="12"/>
      <c r="L25" s="12"/>
      <c r="M25" s="12"/>
      <c r="N25" s="11"/>
      <c r="O25" s="13"/>
      <c r="P25" s="13"/>
      <c r="Q25" s="11"/>
      <c r="R25" s="12"/>
      <c r="S25" s="12"/>
      <c r="T25" s="12"/>
      <c r="U25" s="11"/>
      <c r="V25" s="13"/>
      <c r="W25" s="13"/>
      <c r="X25" s="11"/>
      <c r="Y25" s="12"/>
      <c r="Z25" s="12"/>
      <c r="AA25" s="12"/>
      <c r="AB25" s="11"/>
      <c r="AC25" s="13"/>
      <c r="AD25" s="13"/>
      <c r="AE25" s="11"/>
      <c r="AF25" s="12"/>
      <c r="AG25" s="12"/>
      <c r="AH25" s="12"/>
      <c r="AI25" s="11"/>
      <c r="AJ25" s="13"/>
      <c r="AK25" s="379">
        <f t="shared" si="3"/>
        <v>0</v>
      </c>
      <c r="AL25" s="15">
        <v>46286</v>
      </c>
      <c r="AM25" s="19">
        <v>0.1</v>
      </c>
      <c r="AN25" s="20">
        <f t="shared" si="4"/>
        <v>41657.4</v>
      </c>
      <c r="AO25" s="21">
        <f t="shared" si="5"/>
        <v>0</v>
      </c>
      <c r="AP25" s="21">
        <f t="shared" si="6"/>
        <v>0</v>
      </c>
      <c r="AQ25" s="436"/>
      <c r="AR25" s="479">
        <v>12.33</v>
      </c>
      <c r="AS25" s="485">
        <f t="shared" si="7"/>
        <v>0</v>
      </c>
      <c r="AT25" s="382">
        <f t="shared" si="8"/>
        <v>0</v>
      </c>
      <c r="AU25" s="433"/>
      <c r="AV25" s="448" t="s">
        <v>183</v>
      </c>
      <c r="AW25" s="449">
        <f t="shared" si="9"/>
        <v>0</v>
      </c>
      <c r="AX25" s="450">
        <f t="shared" si="2"/>
        <v>0</v>
      </c>
      <c r="AY25" s="570" t="b">
        <f t="shared" si="10"/>
        <v>1</v>
      </c>
    </row>
    <row r="26" spans="1:51" s="558" customFormat="1" ht="13.95" customHeight="1" x14ac:dyDescent="0.3">
      <c r="A26" s="365"/>
      <c r="B26" s="376"/>
      <c r="C26" s="376"/>
      <c r="D26" s="377" t="s">
        <v>187</v>
      </c>
      <c r="E26" s="378" t="s">
        <v>201</v>
      </c>
      <c r="F26" s="378">
        <v>0.81944444444444442</v>
      </c>
      <c r="G26" s="378" t="s">
        <v>188</v>
      </c>
      <c r="H26" s="394">
        <v>30</v>
      </c>
      <c r="I26" s="13"/>
      <c r="J26" s="11"/>
      <c r="K26" s="12"/>
      <c r="L26" s="12"/>
      <c r="M26" s="12"/>
      <c r="N26" s="11"/>
      <c r="O26" s="13"/>
      <c r="P26" s="13"/>
      <c r="Q26" s="11"/>
      <c r="R26" s="12"/>
      <c r="S26" s="12"/>
      <c r="T26" s="12"/>
      <c r="U26" s="11">
        <v>1</v>
      </c>
      <c r="V26" s="13"/>
      <c r="W26" s="13"/>
      <c r="X26" s="11"/>
      <c r="Y26" s="12"/>
      <c r="Z26" s="11">
        <v>1</v>
      </c>
      <c r="AA26" s="12"/>
      <c r="AB26" s="11"/>
      <c r="AC26" s="13"/>
      <c r="AD26" s="13"/>
      <c r="AE26" s="11"/>
      <c r="AF26" s="12"/>
      <c r="AG26" s="12"/>
      <c r="AH26" s="12"/>
      <c r="AI26" s="11"/>
      <c r="AJ26" s="13"/>
      <c r="AK26" s="379">
        <f t="shared" si="3"/>
        <v>2</v>
      </c>
      <c r="AL26" s="15">
        <v>23143</v>
      </c>
      <c r="AM26" s="19">
        <v>0.1</v>
      </c>
      <c r="AN26" s="20">
        <f t="shared" si="4"/>
        <v>20828.7</v>
      </c>
      <c r="AO26" s="21">
        <f t="shared" si="5"/>
        <v>41657.4</v>
      </c>
      <c r="AP26" s="21">
        <f t="shared" si="6"/>
        <v>33325.920000000006</v>
      </c>
      <c r="AQ26" s="436"/>
      <c r="AR26" s="479">
        <v>12.33</v>
      </c>
      <c r="AS26" s="485">
        <f t="shared" si="7"/>
        <v>24.66</v>
      </c>
      <c r="AT26" s="382">
        <f t="shared" si="8"/>
        <v>1351.4160583941607</v>
      </c>
      <c r="AU26" s="433"/>
      <c r="AV26" s="448" t="s">
        <v>183</v>
      </c>
      <c r="AW26" s="449">
        <f t="shared" si="9"/>
        <v>2</v>
      </c>
      <c r="AX26" s="450">
        <f t="shared" si="2"/>
        <v>33325.920000000006</v>
      </c>
      <c r="AY26" s="570" t="b">
        <f t="shared" si="10"/>
        <v>1</v>
      </c>
    </row>
    <row r="27" spans="1:51" s="558" customFormat="1" ht="13.95" customHeight="1" x14ac:dyDescent="0.3">
      <c r="A27" s="365"/>
      <c r="B27" s="376"/>
      <c r="C27" s="376"/>
      <c r="D27" s="396" t="s">
        <v>196</v>
      </c>
      <c r="E27" s="378" t="s">
        <v>201</v>
      </c>
      <c r="F27" s="378">
        <v>0.88888888888888884</v>
      </c>
      <c r="G27" s="378" t="s">
        <v>329</v>
      </c>
      <c r="H27" s="394">
        <v>60</v>
      </c>
      <c r="I27" s="13"/>
      <c r="J27" s="11"/>
      <c r="K27" s="12"/>
      <c r="L27" s="12"/>
      <c r="M27" s="12"/>
      <c r="N27" s="11"/>
      <c r="O27" s="13"/>
      <c r="P27" s="13"/>
      <c r="Q27" s="11"/>
      <c r="R27" s="12"/>
      <c r="S27" s="12"/>
      <c r="T27" s="12">
        <v>1</v>
      </c>
      <c r="U27" s="11"/>
      <c r="V27" s="13"/>
      <c r="W27" s="13"/>
      <c r="X27" s="11"/>
      <c r="Y27" s="12"/>
      <c r="Z27" s="12"/>
      <c r="AA27" s="12"/>
      <c r="AB27" s="11"/>
      <c r="AC27" s="13"/>
      <c r="AD27" s="13"/>
      <c r="AE27" s="11"/>
      <c r="AF27" s="12"/>
      <c r="AG27" s="12"/>
      <c r="AH27" s="12"/>
      <c r="AI27" s="11"/>
      <c r="AJ27" s="13"/>
      <c r="AK27" s="379">
        <f t="shared" si="3"/>
        <v>1</v>
      </c>
      <c r="AL27" s="15">
        <v>67712</v>
      </c>
      <c r="AM27" s="19">
        <v>0.1</v>
      </c>
      <c r="AN27" s="20">
        <f t="shared" si="4"/>
        <v>60940.800000000003</v>
      </c>
      <c r="AO27" s="21">
        <f t="shared" si="5"/>
        <v>60940.800000000003</v>
      </c>
      <c r="AP27" s="21">
        <f t="shared" si="6"/>
        <v>48752.640000000007</v>
      </c>
      <c r="AQ27" s="436"/>
      <c r="AR27" s="481">
        <v>13.4</v>
      </c>
      <c r="AS27" s="485">
        <f t="shared" si="7"/>
        <v>13.4</v>
      </c>
      <c r="AT27" s="382">
        <f t="shared" si="8"/>
        <v>3638.2567164179109</v>
      </c>
      <c r="AU27" s="433"/>
      <c r="AV27" s="448" t="s">
        <v>183</v>
      </c>
      <c r="AW27" s="449">
        <f t="shared" si="9"/>
        <v>1</v>
      </c>
      <c r="AX27" s="450">
        <f t="shared" si="2"/>
        <v>48752.640000000007</v>
      </c>
      <c r="AY27" s="570" t="b">
        <f t="shared" si="10"/>
        <v>1</v>
      </c>
    </row>
    <row r="28" spans="1:51" s="558" customFormat="1" ht="13.95" customHeight="1" x14ac:dyDescent="0.3">
      <c r="A28" s="365"/>
      <c r="B28" s="376"/>
      <c r="C28" s="376"/>
      <c r="D28" s="377" t="s">
        <v>196</v>
      </c>
      <c r="E28" s="378" t="s">
        <v>201</v>
      </c>
      <c r="F28" s="378">
        <v>0.88888888888888884</v>
      </c>
      <c r="G28" s="378" t="s">
        <v>329</v>
      </c>
      <c r="H28" s="394">
        <v>30</v>
      </c>
      <c r="I28" s="13"/>
      <c r="J28" s="11"/>
      <c r="K28" s="12"/>
      <c r="L28" s="12"/>
      <c r="M28" s="12"/>
      <c r="N28" s="11"/>
      <c r="O28" s="13"/>
      <c r="P28" s="13"/>
      <c r="Q28" s="11"/>
      <c r="R28" s="12"/>
      <c r="S28" s="12"/>
      <c r="T28" s="12"/>
      <c r="U28" s="11"/>
      <c r="V28" s="13"/>
      <c r="W28" s="13"/>
      <c r="X28" s="11"/>
      <c r="Y28" s="12"/>
      <c r="Z28" s="12"/>
      <c r="AA28" s="12"/>
      <c r="AB28" s="11"/>
      <c r="AC28" s="13"/>
      <c r="AD28" s="13"/>
      <c r="AE28" s="11"/>
      <c r="AF28" s="12">
        <v>1</v>
      </c>
      <c r="AG28" s="12"/>
      <c r="AH28" s="12"/>
      <c r="AI28" s="11"/>
      <c r="AJ28" s="13"/>
      <c r="AK28" s="379">
        <f t="shared" si="3"/>
        <v>1</v>
      </c>
      <c r="AL28" s="15">
        <v>33856</v>
      </c>
      <c r="AM28" s="19">
        <v>0.1</v>
      </c>
      <c r="AN28" s="20">
        <f t="shared" si="4"/>
        <v>30470.400000000001</v>
      </c>
      <c r="AO28" s="21">
        <f t="shared" si="5"/>
        <v>30470.400000000001</v>
      </c>
      <c r="AP28" s="21">
        <f t="shared" si="6"/>
        <v>24376.320000000003</v>
      </c>
      <c r="AQ28" s="436"/>
      <c r="AR28" s="481">
        <v>13.4</v>
      </c>
      <c r="AS28" s="485">
        <f t="shared" si="7"/>
        <v>13.4</v>
      </c>
      <c r="AT28" s="382">
        <f t="shared" si="8"/>
        <v>1819.1283582089554</v>
      </c>
      <c r="AU28" s="433"/>
      <c r="AV28" s="448" t="s">
        <v>183</v>
      </c>
      <c r="AW28" s="449">
        <f t="shared" si="9"/>
        <v>1</v>
      </c>
      <c r="AX28" s="450">
        <f t="shared" si="2"/>
        <v>24376.320000000003</v>
      </c>
      <c r="AY28" s="570" t="b">
        <f t="shared" si="10"/>
        <v>1</v>
      </c>
    </row>
    <row r="29" spans="1:51" s="558" customFormat="1" ht="13.95" customHeight="1" x14ac:dyDescent="0.3">
      <c r="A29" s="365"/>
      <c r="B29" s="376"/>
      <c r="C29" s="376"/>
      <c r="D29" s="377" t="s">
        <v>320</v>
      </c>
      <c r="E29" s="378" t="s">
        <v>201</v>
      </c>
      <c r="F29" s="378">
        <v>0.71180555555555558</v>
      </c>
      <c r="G29" s="378" t="s">
        <v>330</v>
      </c>
      <c r="H29" s="394">
        <v>30</v>
      </c>
      <c r="I29" s="13"/>
      <c r="J29" s="11"/>
      <c r="K29" s="12"/>
      <c r="L29" s="12"/>
      <c r="M29" s="12"/>
      <c r="N29" s="11"/>
      <c r="O29" s="13"/>
      <c r="P29" s="13"/>
      <c r="Q29" s="11"/>
      <c r="R29" s="12"/>
      <c r="S29" s="12"/>
      <c r="T29" s="12"/>
      <c r="U29" s="11"/>
      <c r="V29" s="13"/>
      <c r="W29" s="13"/>
      <c r="X29" s="11">
        <v>1</v>
      </c>
      <c r="Y29" s="12"/>
      <c r="Z29" s="12"/>
      <c r="AA29" s="12"/>
      <c r="AB29" s="11"/>
      <c r="AC29" s="13"/>
      <c r="AD29" s="13"/>
      <c r="AE29" s="11"/>
      <c r="AF29" s="12"/>
      <c r="AG29" s="12">
        <v>1</v>
      </c>
      <c r="AH29" s="12"/>
      <c r="AI29" s="11"/>
      <c r="AJ29" s="13"/>
      <c r="AK29" s="379">
        <f t="shared" si="3"/>
        <v>2</v>
      </c>
      <c r="AL29" s="15">
        <v>7656</v>
      </c>
      <c r="AM29" s="19">
        <v>0.1</v>
      </c>
      <c r="AN29" s="20">
        <f t="shared" si="4"/>
        <v>6890.4000000000005</v>
      </c>
      <c r="AO29" s="21">
        <f t="shared" si="5"/>
        <v>13780.800000000001</v>
      </c>
      <c r="AP29" s="21">
        <f t="shared" si="6"/>
        <v>11024.640000000001</v>
      </c>
      <c r="AQ29" s="436"/>
      <c r="AR29" s="479">
        <v>9.2100000000000009</v>
      </c>
      <c r="AS29" s="485">
        <f t="shared" si="7"/>
        <v>18.420000000000002</v>
      </c>
      <c r="AT29" s="382">
        <f t="shared" si="8"/>
        <v>598.51465798045604</v>
      </c>
      <c r="AU29" s="433"/>
      <c r="AV29" s="448" t="s">
        <v>183</v>
      </c>
      <c r="AW29" s="449">
        <f t="shared" si="9"/>
        <v>2</v>
      </c>
      <c r="AX29" s="450">
        <f t="shared" si="2"/>
        <v>11024.640000000001</v>
      </c>
      <c r="AY29" s="570" t="b">
        <f t="shared" si="10"/>
        <v>1</v>
      </c>
    </row>
    <row r="30" spans="1:51" s="442" customFormat="1" ht="13.95" customHeight="1" x14ac:dyDescent="0.3">
      <c r="A30" s="365"/>
      <c r="B30" s="418"/>
      <c r="C30" s="419"/>
      <c r="D30" s="420"/>
      <c r="E30" s="420"/>
      <c r="F30" s="420"/>
      <c r="G30" s="420"/>
      <c r="H30" s="420"/>
      <c r="I30" s="13"/>
      <c r="J30" s="11"/>
      <c r="K30" s="12"/>
      <c r="L30" s="12"/>
      <c r="M30" s="12"/>
      <c r="N30" s="11"/>
      <c r="O30" s="13"/>
      <c r="P30" s="13"/>
      <c r="Q30" s="11"/>
      <c r="R30" s="12"/>
      <c r="S30" s="12"/>
      <c r="T30" s="12"/>
      <c r="U30" s="11"/>
      <c r="V30" s="13"/>
      <c r="W30" s="13"/>
      <c r="X30" s="11"/>
      <c r="Y30" s="12"/>
      <c r="Z30" s="12"/>
      <c r="AA30" s="12"/>
      <c r="AB30" s="11"/>
      <c r="AC30" s="13"/>
      <c r="AD30" s="13"/>
      <c r="AE30" s="11"/>
      <c r="AF30" s="12"/>
      <c r="AG30" s="12"/>
      <c r="AH30" s="12"/>
      <c r="AI30" s="11"/>
      <c r="AJ30" s="13"/>
      <c r="AK30" s="336"/>
      <c r="AL30" s="15"/>
      <c r="AM30" s="19"/>
      <c r="AN30" s="20"/>
      <c r="AO30" s="21"/>
      <c r="AP30" s="21"/>
      <c r="AQ30" s="436"/>
      <c r="AR30" s="479"/>
      <c r="AS30" s="485"/>
      <c r="AT30" s="21"/>
      <c r="AU30" s="433"/>
      <c r="AV30" s="451" t="s">
        <v>142</v>
      </c>
      <c r="AW30" s="425">
        <f>SUM(AW13:AW29)</f>
        <v>19</v>
      </c>
      <c r="AX30" s="426">
        <f>SUM(AX13:AX29)</f>
        <v>235462.32000000004</v>
      </c>
      <c r="AY30" s="570" t="b">
        <f>SUM(AP13:AP29)=AX30</f>
        <v>1</v>
      </c>
    </row>
    <row r="31" spans="1:51" ht="13.95" customHeight="1" x14ac:dyDescent="0.3">
      <c r="A31" s="365"/>
      <c r="B31" s="557"/>
      <c r="C31" s="376" t="s">
        <v>17</v>
      </c>
      <c r="D31" s="377" t="s">
        <v>208</v>
      </c>
      <c r="E31" s="378" t="s">
        <v>201</v>
      </c>
      <c r="F31" s="378">
        <v>0.375</v>
      </c>
      <c r="G31" s="378" t="s">
        <v>212</v>
      </c>
      <c r="H31" s="394">
        <v>30</v>
      </c>
      <c r="I31" s="13"/>
      <c r="J31" s="11"/>
      <c r="K31" s="12"/>
      <c r="L31" s="12"/>
      <c r="M31" s="12"/>
      <c r="N31" s="11"/>
      <c r="O31" s="13"/>
      <c r="P31" s="13"/>
      <c r="Q31" s="11"/>
      <c r="R31" s="12"/>
      <c r="S31" s="12"/>
      <c r="T31" s="12"/>
      <c r="U31" s="11"/>
      <c r="V31" s="13"/>
      <c r="W31" s="13"/>
      <c r="X31" s="11">
        <v>1</v>
      </c>
      <c r="Y31" s="12"/>
      <c r="Z31" s="12"/>
      <c r="AA31" s="12"/>
      <c r="AB31" s="11"/>
      <c r="AC31" s="13"/>
      <c r="AD31" s="13"/>
      <c r="AE31" s="11">
        <v>1</v>
      </c>
      <c r="AF31" s="12"/>
      <c r="AG31" s="12"/>
      <c r="AH31" s="12"/>
      <c r="AI31" s="11"/>
      <c r="AJ31" s="13"/>
      <c r="AK31" s="379">
        <f t="shared" ref="AK31:AK42" si="11">SUM(I31:AJ31)</f>
        <v>2</v>
      </c>
      <c r="AL31" s="15">
        <v>2662</v>
      </c>
      <c r="AM31" s="19">
        <v>0.85</v>
      </c>
      <c r="AN31" s="20">
        <f>AL31*(1-AM31)</f>
        <v>399.30000000000007</v>
      </c>
      <c r="AO31" s="21">
        <f>AN31*AK31</f>
        <v>798.60000000000014</v>
      </c>
      <c r="AP31" s="21">
        <f t="shared" ref="AP31:AP41" si="12">AO31*0.8</f>
        <v>638.88000000000011</v>
      </c>
      <c r="AR31" s="479">
        <v>0.24</v>
      </c>
      <c r="AS31" s="485">
        <f t="shared" ref="AS31:AS41" si="13">AR31*AK31</f>
        <v>0.48</v>
      </c>
      <c r="AT31" s="382">
        <f t="shared" ref="AT31:AT41" si="14">IFERROR(AP31/AS31,0)</f>
        <v>1331.0000000000002</v>
      </c>
      <c r="AU31" s="433"/>
      <c r="AV31" s="448" t="s">
        <v>17</v>
      </c>
      <c r="AW31" s="449">
        <f t="shared" si="9"/>
        <v>2</v>
      </c>
      <c r="AX31" s="450">
        <f t="shared" ref="AX31:AX42" si="15">AW31*AN31*0.8</f>
        <v>638.88000000000011</v>
      </c>
      <c r="AY31" s="570" t="b">
        <f t="shared" si="10"/>
        <v>1</v>
      </c>
    </row>
    <row r="32" spans="1:51" s="558" customFormat="1" ht="13.95" customHeight="1" x14ac:dyDescent="0.3">
      <c r="A32" s="365"/>
      <c r="B32" s="376"/>
      <c r="C32" s="376"/>
      <c r="D32" s="389" t="s">
        <v>209</v>
      </c>
      <c r="E32" s="378" t="s">
        <v>202</v>
      </c>
      <c r="F32" s="378">
        <v>0.66666666666666663</v>
      </c>
      <c r="G32" s="378" t="s">
        <v>213</v>
      </c>
      <c r="H32" s="394">
        <v>60</v>
      </c>
      <c r="I32" s="13"/>
      <c r="J32" s="11"/>
      <c r="K32" s="12"/>
      <c r="L32" s="12"/>
      <c r="M32" s="12"/>
      <c r="N32" s="11"/>
      <c r="O32" s="13"/>
      <c r="P32" s="13"/>
      <c r="Q32" s="11"/>
      <c r="R32" s="12"/>
      <c r="S32" s="12"/>
      <c r="T32" s="12">
        <v>1</v>
      </c>
      <c r="U32" s="11"/>
      <c r="V32" s="13"/>
      <c r="W32" s="13"/>
      <c r="X32" s="11"/>
      <c r="Y32" s="12"/>
      <c r="Z32" s="12"/>
      <c r="AA32" s="12"/>
      <c r="AB32" s="11"/>
      <c r="AC32" s="13"/>
      <c r="AD32" s="13"/>
      <c r="AE32" s="11"/>
      <c r="AF32" s="12"/>
      <c r="AG32" s="12"/>
      <c r="AH32" s="12"/>
      <c r="AI32" s="11"/>
      <c r="AJ32" s="13"/>
      <c r="AK32" s="379">
        <f t="shared" si="11"/>
        <v>1</v>
      </c>
      <c r="AL32" s="390">
        <v>18856</v>
      </c>
      <c r="AM32" s="19">
        <v>0.85</v>
      </c>
      <c r="AN32" s="20">
        <f t="shared" ref="AN32:AN41" si="16">AL32*(1-AM32)</f>
        <v>2828.4000000000005</v>
      </c>
      <c r="AO32" s="21">
        <f t="shared" ref="AO32:AO41" si="17">AN32*AK32</f>
        <v>2828.4000000000005</v>
      </c>
      <c r="AP32" s="22">
        <f t="shared" si="12"/>
        <v>2262.7200000000007</v>
      </c>
      <c r="AQ32" s="436"/>
      <c r="AR32" s="479">
        <v>1.43</v>
      </c>
      <c r="AS32" s="485">
        <f t="shared" si="13"/>
        <v>1.43</v>
      </c>
      <c r="AT32" s="382">
        <f t="shared" si="14"/>
        <v>1582.321678321679</v>
      </c>
      <c r="AU32" s="433"/>
      <c r="AV32" s="448" t="s">
        <v>17</v>
      </c>
      <c r="AW32" s="449">
        <f t="shared" si="9"/>
        <v>1</v>
      </c>
      <c r="AX32" s="450">
        <f t="shared" si="15"/>
        <v>2262.7200000000007</v>
      </c>
      <c r="AY32" s="570" t="b">
        <f t="shared" si="10"/>
        <v>1</v>
      </c>
    </row>
    <row r="33" spans="1:51" s="558" customFormat="1" ht="13.95" customHeight="1" x14ac:dyDescent="0.3">
      <c r="A33" s="365"/>
      <c r="B33" s="376"/>
      <c r="C33" s="376"/>
      <c r="D33" s="377" t="s">
        <v>209</v>
      </c>
      <c r="E33" s="378" t="s">
        <v>202</v>
      </c>
      <c r="F33" s="378">
        <v>0.66666666666666663</v>
      </c>
      <c r="G33" s="378" t="s">
        <v>213</v>
      </c>
      <c r="H33" s="394">
        <v>30</v>
      </c>
      <c r="I33" s="13"/>
      <c r="J33" s="11"/>
      <c r="K33" s="12"/>
      <c r="L33" s="12"/>
      <c r="M33" s="12"/>
      <c r="N33" s="11"/>
      <c r="O33" s="13"/>
      <c r="P33" s="13"/>
      <c r="Q33" s="11"/>
      <c r="R33" s="12"/>
      <c r="S33" s="12"/>
      <c r="T33" s="12"/>
      <c r="U33" s="11"/>
      <c r="V33" s="13"/>
      <c r="W33" s="13"/>
      <c r="X33" s="11"/>
      <c r="Y33" s="12"/>
      <c r="Z33" s="12">
        <v>1</v>
      </c>
      <c r="AA33" s="12"/>
      <c r="AB33" s="11"/>
      <c r="AC33" s="13"/>
      <c r="AD33" s="13"/>
      <c r="AE33" s="11"/>
      <c r="AF33" s="12"/>
      <c r="AG33" s="12"/>
      <c r="AH33" s="12"/>
      <c r="AI33" s="11"/>
      <c r="AJ33" s="13"/>
      <c r="AK33" s="379">
        <f t="shared" si="11"/>
        <v>1</v>
      </c>
      <c r="AL33" s="390">
        <v>9428</v>
      </c>
      <c r="AM33" s="19">
        <v>0.85</v>
      </c>
      <c r="AN33" s="20">
        <f t="shared" si="16"/>
        <v>1414.2000000000003</v>
      </c>
      <c r="AO33" s="21">
        <f t="shared" si="17"/>
        <v>1414.2000000000003</v>
      </c>
      <c r="AP33" s="22">
        <f t="shared" si="12"/>
        <v>1131.3600000000004</v>
      </c>
      <c r="AQ33" s="436"/>
      <c r="AR33" s="479">
        <v>1.43</v>
      </c>
      <c r="AS33" s="485">
        <f t="shared" si="13"/>
        <v>1.43</v>
      </c>
      <c r="AT33" s="382">
        <f t="shared" si="14"/>
        <v>791.16083916083949</v>
      </c>
      <c r="AU33" s="433"/>
      <c r="AV33" s="448" t="s">
        <v>17</v>
      </c>
      <c r="AW33" s="449">
        <f t="shared" si="9"/>
        <v>1</v>
      </c>
      <c r="AX33" s="450">
        <f t="shared" si="15"/>
        <v>1131.3600000000004</v>
      </c>
      <c r="AY33" s="570" t="b">
        <f t="shared" si="10"/>
        <v>1</v>
      </c>
    </row>
    <row r="34" spans="1:51" ht="13.95" hidden="1" customHeight="1" x14ac:dyDescent="0.3">
      <c r="A34" s="365"/>
      <c r="B34" s="376"/>
      <c r="C34" s="376"/>
      <c r="D34" s="377" t="s">
        <v>210</v>
      </c>
      <c r="E34" s="378" t="s">
        <v>203</v>
      </c>
      <c r="F34" s="378">
        <v>0.95833333333333337</v>
      </c>
      <c r="G34" s="378" t="s">
        <v>214</v>
      </c>
      <c r="H34" s="394">
        <v>60</v>
      </c>
      <c r="I34" s="13"/>
      <c r="J34" s="11"/>
      <c r="K34" s="12"/>
      <c r="L34" s="12"/>
      <c r="M34" s="12"/>
      <c r="N34" s="11"/>
      <c r="O34" s="13"/>
      <c r="P34" s="13"/>
      <c r="Q34" s="11"/>
      <c r="R34" s="12"/>
      <c r="S34" s="12"/>
      <c r="T34" s="12"/>
      <c r="U34" s="11"/>
      <c r="V34" s="13"/>
      <c r="W34" s="13"/>
      <c r="X34" s="11"/>
      <c r="Y34" s="12"/>
      <c r="Z34" s="12"/>
      <c r="AA34" s="12"/>
      <c r="AB34" s="11"/>
      <c r="AC34" s="13"/>
      <c r="AD34" s="13"/>
      <c r="AE34" s="11"/>
      <c r="AF34" s="12"/>
      <c r="AG34" s="12"/>
      <c r="AH34" s="12"/>
      <c r="AI34" s="11"/>
      <c r="AJ34" s="13"/>
      <c r="AK34" s="379">
        <f t="shared" si="11"/>
        <v>0</v>
      </c>
      <c r="AL34" s="390">
        <v>9740</v>
      </c>
      <c r="AM34" s="19">
        <v>0.85</v>
      </c>
      <c r="AN34" s="20">
        <f t="shared" si="16"/>
        <v>1461.0000000000002</v>
      </c>
      <c r="AO34" s="21">
        <f t="shared" si="17"/>
        <v>0</v>
      </c>
      <c r="AP34" s="22">
        <f t="shared" si="12"/>
        <v>0</v>
      </c>
      <c r="AR34" s="479">
        <v>0.21</v>
      </c>
      <c r="AS34" s="485">
        <f t="shared" si="13"/>
        <v>0</v>
      </c>
      <c r="AT34" s="382">
        <f t="shared" si="14"/>
        <v>0</v>
      </c>
      <c r="AU34" s="433"/>
      <c r="AV34" s="448" t="s">
        <v>17</v>
      </c>
      <c r="AW34" s="449">
        <f t="shared" si="9"/>
        <v>0</v>
      </c>
      <c r="AX34" s="450">
        <f t="shared" si="15"/>
        <v>0</v>
      </c>
      <c r="AY34" s="570" t="b">
        <f t="shared" si="10"/>
        <v>1</v>
      </c>
    </row>
    <row r="35" spans="1:51" ht="13.95" customHeight="1" x14ac:dyDescent="0.3">
      <c r="A35" s="365"/>
      <c r="B35" s="376"/>
      <c r="C35" s="376"/>
      <c r="D35" s="393" t="s">
        <v>210</v>
      </c>
      <c r="E35" s="378" t="s">
        <v>203</v>
      </c>
      <c r="F35" s="378">
        <v>0.95833333333333337</v>
      </c>
      <c r="G35" s="378" t="s">
        <v>214</v>
      </c>
      <c r="H35" s="394">
        <v>30</v>
      </c>
      <c r="I35" s="13"/>
      <c r="J35" s="11"/>
      <c r="K35" s="12"/>
      <c r="L35" s="12"/>
      <c r="M35" s="12"/>
      <c r="N35" s="11"/>
      <c r="O35" s="13"/>
      <c r="P35" s="13"/>
      <c r="Q35" s="11"/>
      <c r="R35" s="12"/>
      <c r="S35" s="12"/>
      <c r="T35" s="12"/>
      <c r="U35" s="11"/>
      <c r="V35" s="13"/>
      <c r="W35" s="13"/>
      <c r="X35" s="11"/>
      <c r="Y35" s="12"/>
      <c r="Z35" s="12"/>
      <c r="AA35" s="12"/>
      <c r="AB35" s="11"/>
      <c r="AC35" s="13"/>
      <c r="AD35" s="13">
        <v>1</v>
      </c>
      <c r="AE35" s="11"/>
      <c r="AF35" s="12"/>
      <c r="AG35" s="12"/>
      <c r="AH35" s="12"/>
      <c r="AI35" s="11"/>
      <c r="AJ35" s="13"/>
      <c r="AK35" s="379">
        <f t="shared" si="11"/>
        <v>1</v>
      </c>
      <c r="AL35" s="390">
        <v>4870</v>
      </c>
      <c r="AM35" s="19">
        <v>0.85</v>
      </c>
      <c r="AN35" s="20">
        <f t="shared" si="16"/>
        <v>730.50000000000011</v>
      </c>
      <c r="AO35" s="21">
        <f t="shared" si="17"/>
        <v>730.50000000000011</v>
      </c>
      <c r="AP35" s="22">
        <f t="shared" si="12"/>
        <v>584.40000000000009</v>
      </c>
      <c r="AR35" s="479">
        <v>0.21</v>
      </c>
      <c r="AS35" s="485">
        <f t="shared" si="13"/>
        <v>0.21</v>
      </c>
      <c r="AT35" s="382">
        <f t="shared" si="14"/>
        <v>2782.8571428571436</v>
      </c>
      <c r="AU35" s="433"/>
      <c r="AV35" s="448" t="s">
        <v>17</v>
      </c>
      <c r="AW35" s="449">
        <f t="shared" si="9"/>
        <v>1</v>
      </c>
      <c r="AX35" s="450">
        <f t="shared" si="15"/>
        <v>584.40000000000009</v>
      </c>
      <c r="AY35" s="570" t="b">
        <f t="shared" si="10"/>
        <v>1</v>
      </c>
    </row>
    <row r="36" spans="1:51" s="558" customFormat="1" ht="13.95" customHeight="1" x14ac:dyDescent="0.3">
      <c r="A36" s="365"/>
      <c r="B36" s="376"/>
      <c r="C36" s="376"/>
      <c r="D36" s="396" t="s">
        <v>211</v>
      </c>
      <c r="E36" s="378" t="s">
        <v>201</v>
      </c>
      <c r="F36" s="378">
        <v>1.0416666666666666E-2</v>
      </c>
      <c r="G36" s="378" t="s">
        <v>215</v>
      </c>
      <c r="H36" s="394">
        <v>60</v>
      </c>
      <c r="I36" s="13"/>
      <c r="J36" s="11"/>
      <c r="K36" s="12"/>
      <c r="L36" s="12"/>
      <c r="M36" s="12"/>
      <c r="N36" s="11"/>
      <c r="O36" s="13"/>
      <c r="P36" s="13"/>
      <c r="Q36" s="11"/>
      <c r="R36" s="12"/>
      <c r="S36" s="12"/>
      <c r="T36" s="12">
        <v>1</v>
      </c>
      <c r="U36" s="11"/>
      <c r="V36" s="13"/>
      <c r="W36" s="13"/>
      <c r="X36" s="11"/>
      <c r="Y36" s="12"/>
      <c r="Z36" s="12"/>
      <c r="AA36" s="12"/>
      <c r="AB36" s="11"/>
      <c r="AC36" s="13"/>
      <c r="AD36" s="13"/>
      <c r="AE36" s="11"/>
      <c r="AF36" s="12"/>
      <c r="AG36" s="12"/>
      <c r="AH36" s="12"/>
      <c r="AI36" s="11"/>
      <c r="AJ36" s="13"/>
      <c r="AK36" s="379">
        <f t="shared" si="11"/>
        <v>1</v>
      </c>
      <c r="AL36" s="390">
        <v>10226</v>
      </c>
      <c r="AM36" s="19">
        <v>0.85</v>
      </c>
      <c r="AN36" s="20">
        <f t="shared" si="16"/>
        <v>1533.9000000000003</v>
      </c>
      <c r="AO36" s="21">
        <f t="shared" si="17"/>
        <v>1533.9000000000003</v>
      </c>
      <c r="AP36" s="22">
        <f t="shared" si="12"/>
        <v>1227.1200000000003</v>
      </c>
      <c r="AQ36" s="436"/>
      <c r="AR36" s="479">
        <v>0.34</v>
      </c>
      <c r="AS36" s="485">
        <f t="shared" si="13"/>
        <v>0.34</v>
      </c>
      <c r="AT36" s="382">
        <f t="shared" si="14"/>
        <v>3609.176470588236</v>
      </c>
      <c r="AU36" s="433"/>
      <c r="AV36" s="448" t="s">
        <v>17</v>
      </c>
      <c r="AW36" s="449">
        <f t="shared" si="9"/>
        <v>1</v>
      </c>
      <c r="AX36" s="450">
        <f t="shared" si="15"/>
        <v>1227.1200000000003</v>
      </c>
      <c r="AY36" s="570" t="b">
        <f t="shared" si="10"/>
        <v>1</v>
      </c>
    </row>
    <row r="37" spans="1:51" s="558" customFormat="1" ht="13.95" customHeight="1" x14ac:dyDescent="0.3">
      <c r="A37" s="365"/>
      <c r="B37" s="376"/>
      <c r="C37" s="376"/>
      <c r="D37" s="396" t="s">
        <v>211</v>
      </c>
      <c r="E37" s="378" t="s">
        <v>201</v>
      </c>
      <c r="F37" s="378">
        <v>1.0416666666666666E-2</v>
      </c>
      <c r="G37" s="378" t="s">
        <v>215</v>
      </c>
      <c r="H37" s="394">
        <v>30</v>
      </c>
      <c r="I37" s="13"/>
      <c r="J37" s="11"/>
      <c r="K37" s="12"/>
      <c r="L37" s="12"/>
      <c r="M37" s="12"/>
      <c r="N37" s="11"/>
      <c r="O37" s="13"/>
      <c r="P37" s="13"/>
      <c r="Q37" s="11"/>
      <c r="R37" s="12"/>
      <c r="S37" s="12"/>
      <c r="T37" s="12"/>
      <c r="U37" s="11"/>
      <c r="V37" s="13"/>
      <c r="W37" s="13"/>
      <c r="X37" s="11"/>
      <c r="Y37" s="12">
        <v>1</v>
      </c>
      <c r="Z37" s="12"/>
      <c r="AA37" s="12"/>
      <c r="AB37" s="11"/>
      <c r="AC37" s="13"/>
      <c r="AD37" s="13"/>
      <c r="AE37" s="11"/>
      <c r="AF37" s="12">
        <v>1</v>
      </c>
      <c r="AG37" s="12"/>
      <c r="AH37" s="12"/>
      <c r="AI37" s="11"/>
      <c r="AJ37" s="13"/>
      <c r="AK37" s="379">
        <f t="shared" si="11"/>
        <v>2</v>
      </c>
      <c r="AL37" s="390">
        <v>5113</v>
      </c>
      <c r="AM37" s="19">
        <v>0.85</v>
      </c>
      <c r="AN37" s="20">
        <f t="shared" si="16"/>
        <v>766.95000000000016</v>
      </c>
      <c r="AO37" s="21">
        <f t="shared" si="17"/>
        <v>1533.9000000000003</v>
      </c>
      <c r="AP37" s="22">
        <f t="shared" si="12"/>
        <v>1227.1200000000003</v>
      </c>
      <c r="AQ37" s="436"/>
      <c r="AR37" s="479">
        <v>0.34</v>
      </c>
      <c r="AS37" s="485">
        <f t="shared" si="13"/>
        <v>0.68</v>
      </c>
      <c r="AT37" s="382">
        <f t="shared" si="14"/>
        <v>1804.588235294118</v>
      </c>
      <c r="AU37" s="433"/>
      <c r="AV37" s="448" t="s">
        <v>17</v>
      </c>
      <c r="AW37" s="449">
        <f t="shared" si="9"/>
        <v>2</v>
      </c>
      <c r="AX37" s="450">
        <f t="shared" si="15"/>
        <v>1227.1200000000003</v>
      </c>
      <c r="AY37" s="570" t="b">
        <f t="shared" si="10"/>
        <v>1</v>
      </c>
    </row>
    <row r="38" spans="1:51" s="558" customFormat="1" ht="13.95" customHeight="1" x14ac:dyDescent="0.3">
      <c r="A38" s="365"/>
      <c r="B38" s="376"/>
      <c r="C38" s="376"/>
      <c r="D38" s="377" t="s">
        <v>197</v>
      </c>
      <c r="E38" s="378" t="s">
        <v>201</v>
      </c>
      <c r="F38" s="378">
        <v>0.29166666666666669</v>
      </c>
      <c r="G38" s="378" t="s">
        <v>216</v>
      </c>
      <c r="H38" s="394">
        <v>30</v>
      </c>
      <c r="I38" s="13"/>
      <c r="J38" s="11"/>
      <c r="K38" s="12"/>
      <c r="L38" s="12"/>
      <c r="M38" s="12"/>
      <c r="N38" s="11"/>
      <c r="O38" s="13"/>
      <c r="P38" s="13"/>
      <c r="Q38" s="11"/>
      <c r="R38" s="12"/>
      <c r="S38" s="12"/>
      <c r="T38" s="12"/>
      <c r="U38" s="11"/>
      <c r="V38" s="13"/>
      <c r="W38" s="13"/>
      <c r="X38" s="11"/>
      <c r="Y38" s="12"/>
      <c r="Z38" s="12"/>
      <c r="AA38" s="12">
        <v>1</v>
      </c>
      <c r="AB38" s="11"/>
      <c r="AC38" s="13"/>
      <c r="AD38" s="13"/>
      <c r="AE38" s="11"/>
      <c r="AF38" s="12"/>
      <c r="AG38" s="12">
        <v>1</v>
      </c>
      <c r="AH38" s="12"/>
      <c r="AI38" s="11"/>
      <c r="AJ38" s="13"/>
      <c r="AK38" s="379">
        <f t="shared" si="11"/>
        <v>2</v>
      </c>
      <c r="AL38" s="390">
        <v>2662</v>
      </c>
      <c r="AM38" s="19">
        <v>0.85</v>
      </c>
      <c r="AN38" s="20">
        <f t="shared" si="16"/>
        <v>399.30000000000007</v>
      </c>
      <c r="AO38" s="21">
        <f t="shared" si="17"/>
        <v>798.60000000000014</v>
      </c>
      <c r="AP38" s="22">
        <f t="shared" si="12"/>
        <v>638.88000000000011</v>
      </c>
      <c r="AQ38" s="436"/>
      <c r="AR38" s="479">
        <v>0.1</v>
      </c>
      <c r="AS38" s="485">
        <f t="shared" si="13"/>
        <v>0.2</v>
      </c>
      <c r="AT38" s="382">
        <f t="shared" si="14"/>
        <v>3194.4000000000005</v>
      </c>
      <c r="AU38" s="433"/>
      <c r="AV38" s="448" t="s">
        <v>17</v>
      </c>
      <c r="AW38" s="449">
        <f t="shared" si="9"/>
        <v>2</v>
      </c>
      <c r="AX38" s="450">
        <f t="shared" si="15"/>
        <v>638.88000000000011</v>
      </c>
      <c r="AY38" s="570" t="b">
        <f t="shared" si="10"/>
        <v>1</v>
      </c>
    </row>
    <row r="39" spans="1:51" ht="13.95" customHeight="1" x14ac:dyDescent="0.3">
      <c r="A39" s="365"/>
      <c r="B39" s="376"/>
      <c r="C39" s="376"/>
      <c r="D39" s="377" t="s">
        <v>187</v>
      </c>
      <c r="E39" s="378" t="s">
        <v>201</v>
      </c>
      <c r="F39" s="378">
        <v>0.85416666666666663</v>
      </c>
      <c r="G39" s="378" t="s">
        <v>217</v>
      </c>
      <c r="H39" s="394">
        <v>60</v>
      </c>
      <c r="I39" s="13"/>
      <c r="J39" s="11"/>
      <c r="K39" s="12"/>
      <c r="L39" s="12"/>
      <c r="M39" s="12"/>
      <c r="N39" s="11"/>
      <c r="O39" s="13"/>
      <c r="P39" s="13"/>
      <c r="Q39" s="11"/>
      <c r="R39" s="12"/>
      <c r="S39" s="12"/>
      <c r="T39" s="12"/>
      <c r="U39" s="12">
        <v>1</v>
      </c>
      <c r="V39" s="13"/>
      <c r="W39" s="13"/>
      <c r="X39" s="11"/>
      <c r="Y39" s="12"/>
      <c r="Z39" s="12"/>
      <c r="AA39" s="12"/>
      <c r="AB39" s="11"/>
      <c r="AC39" s="13"/>
      <c r="AD39" s="13"/>
      <c r="AE39" s="11"/>
      <c r="AF39" s="12"/>
      <c r="AG39" s="12"/>
      <c r="AH39" s="12"/>
      <c r="AI39" s="11"/>
      <c r="AJ39" s="13"/>
      <c r="AK39" s="379">
        <f t="shared" si="11"/>
        <v>1</v>
      </c>
      <c r="AL39" s="390">
        <v>33370</v>
      </c>
      <c r="AM39" s="19">
        <v>0.85</v>
      </c>
      <c r="AN39" s="20">
        <f t="shared" si="16"/>
        <v>5005.5000000000009</v>
      </c>
      <c r="AO39" s="21">
        <f t="shared" si="17"/>
        <v>5005.5000000000009</v>
      </c>
      <c r="AP39" s="22">
        <f t="shared" si="12"/>
        <v>4004.400000000001</v>
      </c>
      <c r="AR39" s="479">
        <v>0.71</v>
      </c>
      <c r="AS39" s="485">
        <f t="shared" si="13"/>
        <v>0.71</v>
      </c>
      <c r="AT39" s="382">
        <f t="shared" si="14"/>
        <v>5640.0000000000018</v>
      </c>
      <c r="AU39" s="433"/>
      <c r="AV39" s="448" t="s">
        <v>17</v>
      </c>
      <c r="AW39" s="449">
        <f t="shared" si="9"/>
        <v>1</v>
      </c>
      <c r="AX39" s="450">
        <f t="shared" si="15"/>
        <v>4004.400000000001</v>
      </c>
      <c r="AY39" s="570" t="b">
        <f t="shared" si="10"/>
        <v>1</v>
      </c>
    </row>
    <row r="40" spans="1:51" ht="13.95" customHeight="1" x14ac:dyDescent="0.3">
      <c r="A40" s="365"/>
      <c r="B40" s="376"/>
      <c r="C40" s="376"/>
      <c r="D40" s="393" t="s">
        <v>187</v>
      </c>
      <c r="E40" s="378" t="s">
        <v>201</v>
      </c>
      <c r="F40" s="378">
        <v>0.85416666666666663</v>
      </c>
      <c r="G40" s="378" t="s">
        <v>217</v>
      </c>
      <c r="H40" s="394">
        <v>30</v>
      </c>
      <c r="I40" s="13"/>
      <c r="J40" s="11"/>
      <c r="K40" s="12"/>
      <c r="L40" s="12"/>
      <c r="M40" s="12"/>
      <c r="N40" s="11"/>
      <c r="O40" s="13"/>
      <c r="P40" s="13"/>
      <c r="Q40" s="11"/>
      <c r="R40" s="12"/>
      <c r="S40" s="12"/>
      <c r="T40" s="12"/>
      <c r="U40" s="11"/>
      <c r="V40" s="13"/>
      <c r="W40" s="13"/>
      <c r="X40" s="11"/>
      <c r="Y40" s="12"/>
      <c r="Z40" s="12"/>
      <c r="AA40" s="12"/>
      <c r="AB40" s="11">
        <v>1</v>
      </c>
      <c r="AC40" s="13"/>
      <c r="AD40" s="13"/>
      <c r="AE40" s="11"/>
      <c r="AF40" s="12"/>
      <c r="AG40" s="12"/>
      <c r="AH40" s="12"/>
      <c r="AI40" s="11"/>
      <c r="AJ40" s="13"/>
      <c r="AK40" s="379">
        <f t="shared" si="11"/>
        <v>1</v>
      </c>
      <c r="AL40" s="390">
        <v>16685</v>
      </c>
      <c r="AM40" s="19">
        <v>0.85</v>
      </c>
      <c r="AN40" s="20">
        <f t="shared" si="16"/>
        <v>2502.7500000000005</v>
      </c>
      <c r="AO40" s="21">
        <f t="shared" si="17"/>
        <v>2502.7500000000005</v>
      </c>
      <c r="AP40" s="22">
        <f t="shared" si="12"/>
        <v>2002.2000000000005</v>
      </c>
      <c r="AR40" s="479">
        <v>0.71</v>
      </c>
      <c r="AS40" s="485">
        <f t="shared" si="13"/>
        <v>0.71</v>
      </c>
      <c r="AT40" s="382">
        <f t="shared" si="14"/>
        <v>2820.0000000000009</v>
      </c>
      <c r="AU40" s="433"/>
      <c r="AV40" s="448" t="s">
        <v>17</v>
      </c>
      <c r="AW40" s="449">
        <f t="shared" si="9"/>
        <v>1</v>
      </c>
      <c r="AX40" s="450">
        <f t="shared" si="15"/>
        <v>2002.2000000000005</v>
      </c>
      <c r="AY40" s="570" t="b">
        <f t="shared" si="10"/>
        <v>1</v>
      </c>
    </row>
    <row r="41" spans="1:51" s="558" customFormat="1" ht="13.95" hidden="1" customHeight="1" x14ac:dyDescent="0.3">
      <c r="A41" s="365"/>
      <c r="B41" s="376"/>
      <c r="C41" s="376"/>
      <c r="D41" s="377" t="s">
        <v>331</v>
      </c>
      <c r="E41" s="378" t="s">
        <v>204</v>
      </c>
      <c r="F41" s="378">
        <v>0.85416666666666663</v>
      </c>
      <c r="G41" s="378" t="s">
        <v>226</v>
      </c>
      <c r="H41" s="394">
        <v>60</v>
      </c>
      <c r="I41" s="13"/>
      <c r="J41" s="11"/>
      <c r="K41" s="12"/>
      <c r="L41" s="12"/>
      <c r="M41" s="12"/>
      <c r="N41" s="11"/>
      <c r="O41" s="13"/>
      <c r="P41" s="13"/>
      <c r="Q41" s="11"/>
      <c r="R41" s="12"/>
      <c r="S41" s="12"/>
      <c r="T41" s="12"/>
      <c r="U41" s="11"/>
      <c r="V41" s="13"/>
      <c r="W41" s="13"/>
      <c r="X41" s="11"/>
      <c r="Y41" s="12"/>
      <c r="Z41" s="12"/>
      <c r="AA41" s="12"/>
      <c r="AB41" s="11"/>
      <c r="AC41" s="13"/>
      <c r="AD41" s="13"/>
      <c r="AE41" s="11"/>
      <c r="AF41" s="12"/>
      <c r="AG41" s="12"/>
      <c r="AH41" s="12"/>
      <c r="AI41" s="11"/>
      <c r="AJ41" s="13"/>
      <c r="AK41" s="379">
        <f t="shared" si="11"/>
        <v>0</v>
      </c>
      <c r="AL41" s="390">
        <v>23684</v>
      </c>
      <c r="AM41" s="19">
        <v>0.85</v>
      </c>
      <c r="AN41" s="20">
        <f t="shared" si="16"/>
        <v>3552.6000000000004</v>
      </c>
      <c r="AO41" s="21">
        <f t="shared" si="17"/>
        <v>0</v>
      </c>
      <c r="AP41" s="22">
        <f t="shared" si="12"/>
        <v>0</v>
      </c>
      <c r="AQ41" s="436"/>
      <c r="AR41" s="479">
        <v>0.54</v>
      </c>
      <c r="AS41" s="485">
        <f t="shared" si="13"/>
        <v>0</v>
      </c>
      <c r="AT41" s="382">
        <f t="shared" si="14"/>
        <v>0</v>
      </c>
      <c r="AU41" s="433"/>
      <c r="AV41" s="448" t="s">
        <v>17</v>
      </c>
      <c r="AW41" s="449">
        <f t="shared" si="9"/>
        <v>0</v>
      </c>
      <c r="AX41" s="450">
        <f t="shared" si="15"/>
        <v>0</v>
      </c>
      <c r="AY41" s="570" t="b">
        <f t="shared" si="10"/>
        <v>1</v>
      </c>
    </row>
    <row r="42" spans="1:51" s="558" customFormat="1" ht="13.95" customHeight="1" x14ac:dyDescent="0.3">
      <c r="A42" s="365"/>
      <c r="B42" s="376"/>
      <c r="C42" s="376"/>
      <c r="D42" s="389" t="s">
        <v>331</v>
      </c>
      <c r="E42" s="378" t="s">
        <v>204</v>
      </c>
      <c r="F42" s="378">
        <v>0.85416666666666663</v>
      </c>
      <c r="G42" s="378" t="s">
        <v>226</v>
      </c>
      <c r="H42" s="394">
        <v>30</v>
      </c>
      <c r="I42" s="13"/>
      <c r="J42" s="11"/>
      <c r="K42" s="12"/>
      <c r="L42" s="12"/>
      <c r="M42" s="12"/>
      <c r="N42" s="11"/>
      <c r="O42" s="13"/>
      <c r="P42" s="13"/>
      <c r="Q42" s="11"/>
      <c r="R42" s="12"/>
      <c r="S42" s="12"/>
      <c r="T42" s="12"/>
      <c r="U42" s="11"/>
      <c r="V42" s="13">
        <v>1</v>
      </c>
      <c r="W42" s="13"/>
      <c r="X42" s="11"/>
      <c r="Y42" s="12"/>
      <c r="Z42" s="12"/>
      <c r="AA42" s="12"/>
      <c r="AB42" s="11"/>
      <c r="AC42" s="13">
        <v>1</v>
      </c>
      <c r="AD42" s="13"/>
      <c r="AE42" s="11"/>
      <c r="AF42" s="12"/>
      <c r="AG42" s="12"/>
      <c r="AH42" s="12"/>
      <c r="AI42" s="11"/>
      <c r="AJ42" s="13"/>
      <c r="AK42" s="379">
        <f t="shared" si="11"/>
        <v>2</v>
      </c>
      <c r="AL42" s="390">
        <v>11842</v>
      </c>
      <c r="AM42" s="19">
        <v>0.85</v>
      </c>
      <c r="AN42" s="20">
        <f t="shared" ref="AN42" si="18">AL42*(1-AM42)</f>
        <v>1776.3000000000002</v>
      </c>
      <c r="AO42" s="21">
        <f t="shared" ref="AO42" si="19">AN42*AK42</f>
        <v>3552.6000000000004</v>
      </c>
      <c r="AP42" s="22">
        <f t="shared" ref="AP42" si="20">AO42*0.8</f>
        <v>2842.0800000000004</v>
      </c>
      <c r="AQ42" s="436"/>
      <c r="AR42" s="479">
        <v>0.54</v>
      </c>
      <c r="AS42" s="485">
        <f t="shared" ref="AS42" si="21">AR42*AK42</f>
        <v>1.08</v>
      </c>
      <c r="AT42" s="382">
        <f t="shared" ref="AT42" si="22">IFERROR(AP42/AS42,0)</f>
        <v>2631.5555555555557</v>
      </c>
      <c r="AU42" s="433"/>
      <c r="AV42" s="448" t="s">
        <v>17</v>
      </c>
      <c r="AW42" s="449">
        <f t="shared" ref="AW42" si="23">SUM(I42:AJ42)</f>
        <v>2</v>
      </c>
      <c r="AX42" s="450">
        <f t="shared" si="15"/>
        <v>2842.0800000000004</v>
      </c>
      <c r="AY42" s="570" t="b">
        <f t="shared" si="10"/>
        <v>1</v>
      </c>
    </row>
    <row r="43" spans="1:51" s="558" customFormat="1" ht="13.95" customHeight="1" x14ac:dyDescent="0.3">
      <c r="A43" s="365"/>
      <c r="B43" s="376"/>
      <c r="C43" s="376"/>
      <c r="D43" s="396"/>
      <c r="E43" s="378"/>
      <c r="F43" s="378"/>
      <c r="G43" s="378"/>
      <c r="H43" s="394"/>
      <c r="I43" s="13"/>
      <c r="J43" s="11"/>
      <c r="K43" s="12"/>
      <c r="L43" s="12"/>
      <c r="M43" s="12"/>
      <c r="N43" s="11"/>
      <c r="O43" s="13"/>
      <c r="P43" s="13"/>
      <c r="Q43" s="11"/>
      <c r="R43" s="12"/>
      <c r="S43" s="12"/>
      <c r="T43" s="12"/>
      <c r="U43" s="11"/>
      <c r="V43" s="13"/>
      <c r="W43" s="13"/>
      <c r="X43" s="11"/>
      <c r="Y43" s="12"/>
      <c r="Z43" s="12"/>
      <c r="AA43" s="12"/>
      <c r="AB43" s="11"/>
      <c r="AC43" s="13"/>
      <c r="AD43" s="13"/>
      <c r="AE43" s="11"/>
      <c r="AF43" s="12"/>
      <c r="AG43" s="12"/>
      <c r="AH43" s="12"/>
      <c r="AI43" s="11"/>
      <c r="AJ43" s="13"/>
      <c r="AK43" s="504"/>
      <c r="AL43" s="505"/>
      <c r="AM43" s="506"/>
      <c r="AN43" s="337"/>
      <c r="AO43" s="170"/>
      <c r="AP43" s="170"/>
      <c r="AQ43" s="436"/>
      <c r="AR43" s="479"/>
      <c r="AS43" s="485"/>
      <c r="AT43" s="382"/>
      <c r="AU43" s="433"/>
      <c r="AV43" s="451" t="s">
        <v>142</v>
      </c>
      <c r="AW43" s="425">
        <f>SUM(AW31:AW42)</f>
        <v>14</v>
      </c>
      <c r="AX43" s="426">
        <f>SUM(AX31:AX42)</f>
        <v>16559.160000000003</v>
      </c>
      <c r="AY43" s="570" t="b">
        <f>SUM(AP31:AP42)=AX43</f>
        <v>1</v>
      </c>
    </row>
    <row r="44" spans="1:51" s="558" customFormat="1" ht="13.95" customHeight="1" x14ac:dyDescent="0.3">
      <c r="A44" s="365"/>
      <c r="B44" s="376"/>
      <c r="C44" s="376" t="s">
        <v>225</v>
      </c>
      <c r="D44" s="396" t="s">
        <v>332</v>
      </c>
      <c r="E44" s="378" t="s">
        <v>201</v>
      </c>
      <c r="F44" s="378">
        <v>0.6875</v>
      </c>
      <c r="G44" s="378" t="s">
        <v>334</v>
      </c>
      <c r="H44" s="394">
        <v>60</v>
      </c>
      <c r="I44" s="13"/>
      <c r="J44" s="11"/>
      <c r="K44" s="12"/>
      <c r="L44" s="12"/>
      <c r="M44" s="12"/>
      <c r="N44" s="11"/>
      <c r="O44" s="13"/>
      <c r="P44" s="13"/>
      <c r="Q44" s="11"/>
      <c r="R44" s="12"/>
      <c r="S44" s="12"/>
      <c r="T44" s="12"/>
      <c r="U44" s="12">
        <v>1</v>
      </c>
      <c r="V44" s="13"/>
      <c r="W44" s="13"/>
      <c r="X44" s="11"/>
      <c r="Y44" s="12"/>
      <c r="Z44" s="12"/>
      <c r="AA44" s="12"/>
      <c r="AB44" s="11"/>
      <c r="AC44" s="13"/>
      <c r="AD44" s="13"/>
      <c r="AE44" s="11"/>
      <c r="AF44" s="12"/>
      <c r="AG44" s="12"/>
      <c r="AH44" s="12"/>
      <c r="AI44" s="11"/>
      <c r="AJ44" s="13"/>
      <c r="AK44" s="379">
        <f t="shared" ref="AK44:AK57" si="24">SUM(I44:AJ44)</f>
        <v>1</v>
      </c>
      <c r="AL44" s="390">
        <v>10374</v>
      </c>
      <c r="AM44" s="19">
        <v>0.78</v>
      </c>
      <c r="AN44" s="20">
        <f t="shared" ref="AN44:AN57" si="25">AL44*(1-AM44)</f>
        <v>2282.2799999999997</v>
      </c>
      <c r="AO44" s="21">
        <f t="shared" ref="AO44:AO57" si="26">AN44*AK44</f>
        <v>2282.2799999999997</v>
      </c>
      <c r="AP44" s="22">
        <f t="shared" ref="AP44:AP57" si="27">AO44*0.8</f>
        <v>1825.8239999999998</v>
      </c>
      <c r="AQ44" s="436"/>
      <c r="AR44" s="479">
        <v>2.19</v>
      </c>
      <c r="AS44" s="485">
        <f t="shared" ref="AS44:AS55" si="28">AR44*AK44</f>
        <v>2.19</v>
      </c>
      <c r="AT44" s="382">
        <f t="shared" ref="AT44:AT55" si="29">IFERROR(AP44/AS44,0)</f>
        <v>833.7095890410958</v>
      </c>
      <c r="AU44" s="433"/>
      <c r="AV44" s="448" t="s">
        <v>225</v>
      </c>
      <c r="AW44" s="449">
        <f>SUM(I44:AJ44)</f>
        <v>1</v>
      </c>
      <c r="AX44" s="450">
        <f t="shared" ref="AX44:AX55" si="30">AW44*AN44*0.8</f>
        <v>1825.8239999999998</v>
      </c>
      <c r="AY44" s="570" t="b">
        <f t="shared" si="10"/>
        <v>1</v>
      </c>
    </row>
    <row r="45" spans="1:51" s="558" customFormat="1" ht="13.95" customHeight="1" x14ac:dyDescent="0.3">
      <c r="A45" s="365"/>
      <c r="B45" s="376"/>
      <c r="C45" s="376"/>
      <c r="D45" s="377" t="s">
        <v>332</v>
      </c>
      <c r="E45" s="378" t="s">
        <v>201</v>
      </c>
      <c r="F45" s="378">
        <v>0.6875</v>
      </c>
      <c r="G45" s="378" t="s">
        <v>334</v>
      </c>
      <c r="H45" s="394">
        <v>30</v>
      </c>
      <c r="I45" s="13"/>
      <c r="J45" s="11"/>
      <c r="K45" s="12"/>
      <c r="L45" s="12"/>
      <c r="M45" s="12"/>
      <c r="N45" s="11"/>
      <c r="O45" s="13"/>
      <c r="P45" s="13"/>
      <c r="Q45" s="11"/>
      <c r="R45" s="12"/>
      <c r="S45" s="12"/>
      <c r="T45" s="12"/>
      <c r="U45" s="11"/>
      <c r="V45" s="13"/>
      <c r="W45" s="13"/>
      <c r="X45" s="11"/>
      <c r="Y45" s="12">
        <v>1</v>
      </c>
      <c r="Z45" s="12"/>
      <c r="AA45" s="12">
        <v>1</v>
      </c>
      <c r="AB45" s="11"/>
      <c r="AC45" s="13"/>
      <c r="AD45" s="13"/>
      <c r="AE45" s="11"/>
      <c r="AF45" s="12">
        <v>1</v>
      </c>
      <c r="AG45" s="12"/>
      <c r="AH45" s="12"/>
      <c r="AI45" s="11"/>
      <c r="AJ45" s="13"/>
      <c r="AK45" s="379">
        <f t="shared" si="24"/>
        <v>3</v>
      </c>
      <c r="AL45" s="390">
        <v>5187</v>
      </c>
      <c r="AM45" s="19">
        <v>0.78</v>
      </c>
      <c r="AN45" s="20">
        <f t="shared" si="25"/>
        <v>1141.1399999999999</v>
      </c>
      <c r="AO45" s="21">
        <f t="shared" si="26"/>
        <v>3423.4199999999996</v>
      </c>
      <c r="AP45" s="22">
        <f t="shared" si="27"/>
        <v>2738.7359999999999</v>
      </c>
      <c r="AQ45" s="436"/>
      <c r="AR45" s="479">
        <v>2.19</v>
      </c>
      <c r="AS45" s="485">
        <f t="shared" si="28"/>
        <v>6.57</v>
      </c>
      <c r="AT45" s="382">
        <f t="shared" si="29"/>
        <v>416.8547945205479</v>
      </c>
      <c r="AU45" s="433"/>
      <c r="AV45" s="448" t="s">
        <v>225</v>
      </c>
      <c r="AW45" s="449">
        <f t="shared" si="9"/>
        <v>3</v>
      </c>
      <c r="AX45" s="450">
        <f t="shared" si="30"/>
        <v>2738.7359999999999</v>
      </c>
      <c r="AY45" s="570" t="b">
        <f t="shared" si="10"/>
        <v>1</v>
      </c>
    </row>
    <row r="46" spans="1:51" s="558" customFormat="1" ht="13.95" hidden="1" customHeight="1" x14ac:dyDescent="0.3">
      <c r="A46" s="365"/>
      <c r="B46" s="376"/>
      <c r="C46" s="376"/>
      <c r="D46" s="377" t="s">
        <v>219</v>
      </c>
      <c r="E46" s="378" t="s">
        <v>203</v>
      </c>
      <c r="F46" s="378">
        <v>0.75</v>
      </c>
      <c r="G46" s="378" t="s">
        <v>227</v>
      </c>
      <c r="H46" s="394">
        <v>60</v>
      </c>
      <c r="I46" s="13"/>
      <c r="J46" s="11"/>
      <c r="K46" s="12"/>
      <c r="L46" s="12"/>
      <c r="M46" s="12"/>
      <c r="N46" s="11"/>
      <c r="O46" s="13"/>
      <c r="P46" s="13"/>
      <c r="Q46" s="11"/>
      <c r="R46" s="12"/>
      <c r="S46" s="12"/>
      <c r="T46" s="12"/>
      <c r="U46" s="11"/>
      <c r="V46" s="13"/>
      <c r="W46" s="13"/>
      <c r="X46" s="11"/>
      <c r="Y46" s="12"/>
      <c r="Z46" s="12"/>
      <c r="AA46" s="12"/>
      <c r="AB46" s="11"/>
      <c r="AC46" s="13"/>
      <c r="AD46" s="13"/>
      <c r="AE46" s="11"/>
      <c r="AF46" s="12"/>
      <c r="AG46" s="12"/>
      <c r="AH46" s="12"/>
      <c r="AI46" s="11"/>
      <c r="AJ46" s="13"/>
      <c r="AK46" s="379">
        <f t="shared" si="24"/>
        <v>0</v>
      </c>
      <c r="AL46" s="390">
        <v>50240</v>
      </c>
      <c r="AM46" s="19">
        <v>0.78</v>
      </c>
      <c r="AN46" s="20">
        <f t="shared" si="25"/>
        <v>11052.8</v>
      </c>
      <c r="AO46" s="21">
        <f t="shared" si="26"/>
        <v>0</v>
      </c>
      <c r="AP46" s="22">
        <f t="shared" si="27"/>
        <v>0</v>
      </c>
      <c r="AQ46" s="436"/>
      <c r="AR46" s="479">
        <v>3.05</v>
      </c>
      <c r="AS46" s="485">
        <f t="shared" si="28"/>
        <v>0</v>
      </c>
      <c r="AT46" s="382">
        <f t="shared" si="29"/>
        <v>0</v>
      </c>
      <c r="AU46" s="433"/>
      <c r="AV46" s="448" t="s">
        <v>225</v>
      </c>
      <c r="AW46" s="449">
        <f t="shared" si="9"/>
        <v>0</v>
      </c>
      <c r="AX46" s="450">
        <f t="shared" si="30"/>
        <v>0</v>
      </c>
      <c r="AY46" s="570" t="b">
        <f t="shared" si="10"/>
        <v>1</v>
      </c>
    </row>
    <row r="47" spans="1:51" s="558" customFormat="1" ht="13.95" customHeight="1" x14ac:dyDescent="0.3">
      <c r="A47" s="365"/>
      <c r="B47" s="376"/>
      <c r="C47" s="376"/>
      <c r="D47" s="389" t="s">
        <v>219</v>
      </c>
      <c r="E47" s="378" t="s">
        <v>203</v>
      </c>
      <c r="F47" s="378">
        <v>0.75</v>
      </c>
      <c r="G47" s="378" t="s">
        <v>227</v>
      </c>
      <c r="H47" s="394">
        <v>30</v>
      </c>
      <c r="I47" s="13"/>
      <c r="J47" s="11"/>
      <c r="K47" s="12"/>
      <c r="L47" s="12"/>
      <c r="M47" s="12"/>
      <c r="N47" s="11"/>
      <c r="O47" s="13"/>
      <c r="P47" s="13"/>
      <c r="Q47" s="11"/>
      <c r="R47" s="12"/>
      <c r="S47" s="12"/>
      <c r="T47" s="12"/>
      <c r="U47" s="11"/>
      <c r="V47" s="13"/>
      <c r="W47" s="13">
        <v>1</v>
      </c>
      <c r="X47" s="11"/>
      <c r="Y47" s="12"/>
      <c r="Z47" s="12"/>
      <c r="AA47" s="12"/>
      <c r="AB47" s="11"/>
      <c r="AC47" s="13"/>
      <c r="AD47" s="13">
        <v>1</v>
      </c>
      <c r="AE47" s="11"/>
      <c r="AF47" s="12"/>
      <c r="AG47" s="12"/>
      <c r="AH47" s="12"/>
      <c r="AI47" s="11"/>
      <c r="AJ47" s="13"/>
      <c r="AK47" s="379">
        <f t="shared" si="24"/>
        <v>2</v>
      </c>
      <c r="AL47" s="390">
        <v>25120</v>
      </c>
      <c r="AM47" s="19">
        <v>0.78</v>
      </c>
      <c r="AN47" s="20">
        <f t="shared" si="25"/>
        <v>5526.4</v>
      </c>
      <c r="AO47" s="21">
        <f t="shared" si="26"/>
        <v>11052.8</v>
      </c>
      <c r="AP47" s="22">
        <f t="shared" si="27"/>
        <v>8842.24</v>
      </c>
      <c r="AQ47" s="436"/>
      <c r="AR47" s="479">
        <v>3.05</v>
      </c>
      <c r="AS47" s="485">
        <f t="shared" si="28"/>
        <v>6.1</v>
      </c>
      <c r="AT47" s="382">
        <f t="shared" si="29"/>
        <v>1449.5475409836065</v>
      </c>
      <c r="AU47" s="433"/>
      <c r="AV47" s="448" t="s">
        <v>225</v>
      </c>
      <c r="AW47" s="449">
        <f t="shared" si="9"/>
        <v>2</v>
      </c>
      <c r="AX47" s="450">
        <f t="shared" si="30"/>
        <v>8842.24</v>
      </c>
      <c r="AY47" s="570" t="b">
        <f t="shared" si="10"/>
        <v>1</v>
      </c>
    </row>
    <row r="48" spans="1:51" s="558" customFormat="1" ht="13.95" customHeight="1" x14ac:dyDescent="0.3">
      <c r="A48" s="365"/>
      <c r="B48" s="376"/>
      <c r="C48" s="376"/>
      <c r="D48" s="396" t="s">
        <v>220</v>
      </c>
      <c r="E48" s="378" t="s">
        <v>201</v>
      </c>
      <c r="F48" s="378">
        <v>0.35416666666666669</v>
      </c>
      <c r="G48" s="378" t="s">
        <v>228</v>
      </c>
      <c r="H48" s="394">
        <v>30</v>
      </c>
      <c r="I48" s="13"/>
      <c r="J48" s="11"/>
      <c r="K48" s="12"/>
      <c r="L48" s="12"/>
      <c r="M48" s="12"/>
      <c r="N48" s="11"/>
      <c r="O48" s="13"/>
      <c r="P48" s="13"/>
      <c r="Q48" s="11"/>
      <c r="R48" s="12"/>
      <c r="S48" s="12"/>
      <c r="T48" s="12"/>
      <c r="U48" s="11"/>
      <c r="V48" s="13"/>
      <c r="W48" s="13"/>
      <c r="X48" s="11"/>
      <c r="Y48" s="12"/>
      <c r="Z48" s="12">
        <v>1</v>
      </c>
      <c r="AA48" s="12"/>
      <c r="AB48" s="11">
        <v>1</v>
      </c>
      <c r="AC48" s="13"/>
      <c r="AD48" s="13"/>
      <c r="AE48" s="11">
        <v>1</v>
      </c>
      <c r="AF48" s="12"/>
      <c r="AG48" s="12">
        <v>1</v>
      </c>
      <c r="AH48" s="12"/>
      <c r="AI48" s="11"/>
      <c r="AJ48" s="13"/>
      <c r="AK48" s="379">
        <f t="shared" si="24"/>
        <v>4</v>
      </c>
      <c r="AL48" s="390">
        <v>5113</v>
      </c>
      <c r="AM48" s="19">
        <v>0.78</v>
      </c>
      <c r="AN48" s="20">
        <f t="shared" si="25"/>
        <v>1124.8599999999999</v>
      </c>
      <c r="AO48" s="21">
        <f t="shared" si="26"/>
        <v>4499.4399999999996</v>
      </c>
      <c r="AP48" s="22">
        <f t="shared" si="27"/>
        <v>3599.5519999999997</v>
      </c>
      <c r="AQ48" s="436"/>
      <c r="AR48" s="479">
        <v>1.95</v>
      </c>
      <c r="AS48" s="485">
        <f t="shared" si="28"/>
        <v>7.8</v>
      </c>
      <c r="AT48" s="382">
        <f t="shared" si="29"/>
        <v>461.48102564102561</v>
      </c>
      <c r="AU48" s="433"/>
      <c r="AV48" s="448" t="s">
        <v>225</v>
      </c>
      <c r="AW48" s="449">
        <f t="shared" si="9"/>
        <v>4</v>
      </c>
      <c r="AX48" s="450">
        <f t="shared" si="30"/>
        <v>3599.5519999999997</v>
      </c>
      <c r="AY48" s="570" t="b">
        <f t="shared" si="10"/>
        <v>1</v>
      </c>
    </row>
    <row r="49" spans="1:51" s="558" customFormat="1" ht="13.95" customHeight="1" x14ac:dyDescent="0.3">
      <c r="A49" s="365"/>
      <c r="B49" s="376"/>
      <c r="C49" s="376"/>
      <c r="D49" s="377" t="s">
        <v>221</v>
      </c>
      <c r="E49" s="378" t="s">
        <v>201</v>
      </c>
      <c r="F49" s="378">
        <v>0.39930555555555558</v>
      </c>
      <c r="G49" s="378" t="s">
        <v>229</v>
      </c>
      <c r="H49" s="394">
        <v>60</v>
      </c>
      <c r="I49" s="13"/>
      <c r="J49" s="11"/>
      <c r="K49" s="12"/>
      <c r="L49" s="12"/>
      <c r="M49" s="12"/>
      <c r="N49" s="11"/>
      <c r="O49" s="13"/>
      <c r="P49" s="13"/>
      <c r="Q49" s="11"/>
      <c r="R49" s="12"/>
      <c r="S49" s="12"/>
      <c r="T49" s="12">
        <v>1</v>
      </c>
      <c r="U49" s="11"/>
      <c r="V49" s="13"/>
      <c r="W49" s="13"/>
      <c r="X49" s="11"/>
      <c r="Y49" s="12"/>
      <c r="Z49" s="12"/>
      <c r="AA49" s="12"/>
      <c r="AB49" s="11"/>
      <c r="AC49" s="13"/>
      <c r="AD49" s="13"/>
      <c r="AE49" s="11"/>
      <c r="AF49" s="12"/>
      <c r="AG49" s="12"/>
      <c r="AH49" s="12"/>
      <c r="AI49" s="11"/>
      <c r="AJ49" s="13"/>
      <c r="AK49" s="379">
        <f t="shared" si="24"/>
        <v>1</v>
      </c>
      <c r="AL49" s="390">
        <v>12230</v>
      </c>
      <c r="AM49" s="19">
        <v>0.78</v>
      </c>
      <c r="AN49" s="20">
        <f t="shared" si="25"/>
        <v>2690.5999999999995</v>
      </c>
      <c r="AO49" s="21">
        <f t="shared" si="26"/>
        <v>2690.5999999999995</v>
      </c>
      <c r="AP49" s="22">
        <f t="shared" si="27"/>
        <v>2152.4799999999996</v>
      </c>
      <c r="AQ49" s="436"/>
      <c r="AR49" s="479">
        <v>2.0099999999999998</v>
      </c>
      <c r="AS49" s="485">
        <f t="shared" si="28"/>
        <v>2.0099999999999998</v>
      </c>
      <c r="AT49" s="382">
        <f t="shared" si="29"/>
        <v>1070.8855721393033</v>
      </c>
      <c r="AU49" s="433"/>
      <c r="AV49" s="448" t="s">
        <v>225</v>
      </c>
      <c r="AW49" s="449">
        <f t="shared" si="9"/>
        <v>1</v>
      </c>
      <c r="AX49" s="450">
        <f t="shared" si="30"/>
        <v>2152.4799999999996</v>
      </c>
      <c r="AY49" s="570" t="b">
        <f t="shared" si="10"/>
        <v>1</v>
      </c>
    </row>
    <row r="50" spans="1:51" s="558" customFormat="1" ht="13.95" customHeight="1" x14ac:dyDescent="0.3">
      <c r="A50" s="365"/>
      <c r="B50" s="376"/>
      <c r="C50" s="376"/>
      <c r="D50" s="389" t="s">
        <v>221</v>
      </c>
      <c r="E50" s="378" t="s">
        <v>201</v>
      </c>
      <c r="F50" s="378">
        <v>0.39930555555555558</v>
      </c>
      <c r="G50" s="378" t="s">
        <v>229</v>
      </c>
      <c r="H50" s="394">
        <v>30</v>
      </c>
      <c r="I50" s="13"/>
      <c r="J50" s="11"/>
      <c r="K50" s="12"/>
      <c r="L50" s="12"/>
      <c r="M50" s="12"/>
      <c r="N50" s="11"/>
      <c r="O50" s="13"/>
      <c r="P50" s="13"/>
      <c r="Q50" s="11"/>
      <c r="R50" s="12"/>
      <c r="S50" s="12"/>
      <c r="T50" s="12"/>
      <c r="U50" s="11"/>
      <c r="V50" s="13"/>
      <c r="W50" s="13"/>
      <c r="X50" s="11">
        <v>1</v>
      </c>
      <c r="Y50" s="12"/>
      <c r="Z50" s="12"/>
      <c r="AA50" s="12">
        <v>1</v>
      </c>
      <c r="AB50" s="11"/>
      <c r="AC50" s="13"/>
      <c r="AD50" s="13"/>
      <c r="AE50" s="11"/>
      <c r="AF50" s="12">
        <v>1</v>
      </c>
      <c r="AG50" s="12"/>
      <c r="AH50" s="12"/>
      <c r="AI50" s="11"/>
      <c r="AJ50" s="13"/>
      <c r="AK50" s="379">
        <f t="shared" si="24"/>
        <v>3</v>
      </c>
      <c r="AL50" s="390">
        <v>6115</v>
      </c>
      <c r="AM50" s="19">
        <v>0.78</v>
      </c>
      <c r="AN50" s="20">
        <f t="shared" si="25"/>
        <v>1345.2999999999997</v>
      </c>
      <c r="AO50" s="21">
        <f t="shared" si="26"/>
        <v>4035.8999999999992</v>
      </c>
      <c r="AP50" s="22">
        <f t="shared" si="27"/>
        <v>3228.7199999999993</v>
      </c>
      <c r="AQ50" s="436"/>
      <c r="AR50" s="479">
        <v>2</v>
      </c>
      <c r="AS50" s="485">
        <f t="shared" si="28"/>
        <v>6</v>
      </c>
      <c r="AT50" s="382">
        <f t="shared" si="29"/>
        <v>538.11999999999989</v>
      </c>
      <c r="AU50" s="433"/>
      <c r="AV50" s="448" t="s">
        <v>225</v>
      </c>
      <c r="AW50" s="449">
        <f t="shared" si="9"/>
        <v>3</v>
      </c>
      <c r="AX50" s="450">
        <f t="shared" si="30"/>
        <v>3228.7199999999993</v>
      </c>
      <c r="AY50" s="570" t="b">
        <f t="shared" si="10"/>
        <v>1</v>
      </c>
    </row>
    <row r="51" spans="1:51" s="558" customFormat="1" ht="13.95" customHeight="1" x14ac:dyDescent="0.3">
      <c r="A51" s="365"/>
      <c r="B51" s="376"/>
      <c r="C51" s="376"/>
      <c r="D51" s="396" t="s">
        <v>222</v>
      </c>
      <c r="E51" s="378" t="s">
        <v>201</v>
      </c>
      <c r="F51" s="378">
        <v>0.91666666666666663</v>
      </c>
      <c r="G51" s="378" t="s">
        <v>226</v>
      </c>
      <c r="H51" s="394">
        <v>30</v>
      </c>
      <c r="I51" s="13"/>
      <c r="J51" s="11"/>
      <c r="K51" s="12"/>
      <c r="L51" s="12"/>
      <c r="M51" s="12"/>
      <c r="N51" s="11"/>
      <c r="O51" s="13"/>
      <c r="P51" s="13"/>
      <c r="Q51" s="11"/>
      <c r="R51" s="12"/>
      <c r="S51" s="12"/>
      <c r="T51" s="12"/>
      <c r="U51" s="11"/>
      <c r="V51" s="13"/>
      <c r="W51" s="13"/>
      <c r="X51" s="11"/>
      <c r="Y51" s="12"/>
      <c r="Z51" s="12">
        <v>1</v>
      </c>
      <c r="AA51" s="12"/>
      <c r="AB51" s="11"/>
      <c r="AC51" s="13"/>
      <c r="AD51" s="13"/>
      <c r="AE51" s="11">
        <v>1</v>
      </c>
      <c r="AF51" s="12"/>
      <c r="AG51" s="12"/>
      <c r="AH51" s="12"/>
      <c r="AI51" s="11"/>
      <c r="AJ51" s="13"/>
      <c r="AK51" s="379">
        <f t="shared" si="24"/>
        <v>2</v>
      </c>
      <c r="AL51" s="390">
        <v>17866</v>
      </c>
      <c r="AM51" s="19">
        <v>0.78</v>
      </c>
      <c r="AN51" s="20">
        <f t="shared" si="25"/>
        <v>3930.5199999999995</v>
      </c>
      <c r="AO51" s="21">
        <f t="shared" si="26"/>
        <v>7861.0399999999991</v>
      </c>
      <c r="AP51" s="22">
        <f t="shared" si="27"/>
        <v>6288.8319999999994</v>
      </c>
      <c r="AQ51" s="436"/>
      <c r="AR51" s="479">
        <v>2.27</v>
      </c>
      <c r="AS51" s="485">
        <f t="shared" si="28"/>
        <v>4.54</v>
      </c>
      <c r="AT51" s="382">
        <f t="shared" si="29"/>
        <v>1385.2052863436122</v>
      </c>
      <c r="AU51" s="433"/>
      <c r="AV51" s="448" t="s">
        <v>225</v>
      </c>
      <c r="AW51" s="449">
        <f t="shared" si="9"/>
        <v>2</v>
      </c>
      <c r="AX51" s="450">
        <f t="shared" si="30"/>
        <v>6288.8319999999994</v>
      </c>
      <c r="AY51" s="570" t="b">
        <f t="shared" si="10"/>
        <v>1</v>
      </c>
    </row>
    <row r="52" spans="1:51" s="558" customFormat="1" ht="13.95" customHeight="1" x14ac:dyDescent="0.3">
      <c r="A52" s="365"/>
      <c r="B52" s="376"/>
      <c r="C52" s="376"/>
      <c r="D52" s="377" t="s">
        <v>223</v>
      </c>
      <c r="E52" s="378" t="s">
        <v>201</v>
      </c>
      <c r="F52" s="378">
        <v>0.875</v>
      </c>
      <c r="G52" s="378" t="s">
        <v>230</v>
      </c>
      <c r="H52" s="394">
        <v>60</v>
      </c>
      <c r="I52" s="13"/>
      <c r="J52" s="11"/>
      <c r="K52" s="12"/>
      <c r="L52" s="12"/>
      <c r="M52" s="12"/>
      <c r="N52" s="11"/>
      <c r="O52" s="13"/>
      <c r="P52" s="13"/>
      <c r="Q52" s="11"/>
      <c r="R52" s="12"/>
      <c r="S52" s="12"/>
      <c r="T52" s="12">
        <v>1</v>
      </c>
      <c r="U52" s="11"/>
      <c r="V52" s="13"/>
      <c r="W52" s="13"/>
      <c r="X52" s="11"/>
      <c r="Y52" s="12"/>
      <c r="Z52" s="12"/>
      <c r="AA52" s="12"/>
      <c r="AB52" s="11"/>
      <c r="AC52" s="13"/>
      <c r="AD52" s="13"/>
      <c r="AE52" s="11"/>
      <c r="AF52" s="12"/>
      <c r="AG52" s="12"/>
      <c r="AH52" s="12"/>
      <c r="AI52" s="11"/>
      <c r="AJ52" s="13"/>
      <c r="AK52" s="379">
        <f t="shared" si="24"/>
        <v>1</v>
      </c>
      <c r="AL52" s="390">
        <v>44392</v>
      </c>
      <c r="AM52" s="19">
        <v>0.78</v>
      </c>
      <c r="AN52" s="20">
        <f t="shared" si="25"/>
        <v>9766.239999999998</v>
      </c>
      <c r="AO52" s="21">
        <f t="shared" si="26"/>
        <v>9766.239999999998</v>
      </c>
      <c r="AP52" s="22">
        <f t="shared" si="27"/>
        <v>7812.9919999999984</v>
      </c>
      <c r="AQ52" s="436"/>
      <c r="AR52" s="479">
        <v>2.56</v>
      </c>
      <c r="AS52" s="485">
        <f t="shared" si="28"/>
        <v>2.56</v>
      </c>
      <c r="AT52" s="382">
        <f t="shared" si="29"/>
        <v>3051.9499999999994</v>
      </c>
      <c r="AU52" s="433"/>
      <c r="AV52" s="448" t="s">
        <v>225</v>
      </c>
      <c r="AW52" s="449">
        <f t="shared" si="9"/>
        <v>1</v>
      </c>
      <c r="AX52" s="450">
        <f t="shared" si="30"/>
        <v>7812.9919999999984</v>
      </c>
      <c r="AY52" s="570" t="b">
        <f t="shared" si="10"/>
        <v>1</v>
      </c>
    </row>
    <row r="53" spans="1:51" s="558" customFormat="1" ht="13.95" customHeight="1" x14ac:dyDescent="0.3">
      <c r="A53" s="365"/>
      <c r="B53" s="376"/>
      <c r="C53" s="376"/>
      <c r="D53" s="377" t="s">
        <v>223</v>
      </c>
      <c r="E53" s="378" t="s">
        <v>201</v>
      </c>
      <c r="F53" s="378">
        <v>0.875</v>
      </c>
      <c r="G53" s="378" t="s">
        <v>230</v>
      </c>
      <c r="H53" s="394">
        <v>30</v>
      </c>
      <c r="I53" s="13"/>
      <c r="J53" s="11"/>
      <c r="K53" s="12"/>
      <c r="L53" s="12"/>
      <c r="M53" s="12"/>
      <c r="N53" s="11"/>
      <c r="O53" s="13"/>
      <c r="P53" s="13"/>
      <c r="Q53" s="11"/>
      <c r="R53" s="12"/>
      <c r="S53" s="12"/>
      <c r="T53" s="12"/>
      <c r="U53" s="11"/>
      <c r="V53" s="13"/>
      <c r="W53" s="13"/>
      <c r="X53" s="11"/>
      <c r="Y53" s="12"/>
      <c r="Z53" s="12"/>
      <c r="AA53" s="12"/>
      <c r="AB53" s="11">
        <v>1</v>
      </c>
      <c r="AC53" s="13"/>
      <c r="AD53" s="13"/>
      <c r="AE53" s="12">
        <v>1</v>
      </c>
      <c r="AF53" s="12"/>
      <c r="AH53" s="12"/>
      <c r="AI53" s="11"/>
      <c r="AJ53" s="13"/>
      <c r="AK53" s="379">
        <f t="shared" si="24"/>
        <v>2</v>
      </c>
      <c r="AL53" s="390">
        <v>22196</v>
      </c>
      <c r="AM53" s="19">
        <v>0.78</v>
      </c>
      <c r="AN53" s="20">
        <f t="shared" si="25"/>
        <v>4883.119999999999</v>
      </c>
      <c r="AO53" s="21">
        <f t="shared" si="26"/>
        <v>9766.239999999998</v>
      </c>
      <c r="AP53" s="22">
        <f t="shared" si="27"/>
        <v>7812.9919999999984</v>
      </c>
      <c r="AQ53" s="436"/>
      <c r="AR53" s="479">
        <v>2.56</v>
      </c>
      <c r="AS53" s="485">
        <f t="shared" si="28"/>
        <v>5.12</v>
      </c>
      <c r="AT53" s="382">
        <f t="shared" si="29"/>
        <v>1525.9749999999997</v>
      </c>
      <c r="AU53" s="433"/>
      <c r="AV53" s="448" t="s">
        <v>225</v>
      </c>
      <c r="AW53" s="449">
        <f t="shared" si="9"/>
        <v>2</v>
      </c>
      <c r="AX53" s="450">
        <f t="shared" si="30"/>
        <v>7812.9919999999984</v>
      </c>
      <c r="AY53" s="570" t="b">
        <f t="shared" si="10"/>
        <v>1</v>
      </c>
    </row>
    <row r="54" spans="1:51" s="558" customFormat="1" ht="13.95" customHeight="1" x14ac:dyDescent="0.3">
      <c r="A54" s="365"/>
      <c r="B54" s="376"/>
      <c r="C54" s="376"/>
      <c r="D54" s="389" t="s">
        <v>224</v>
      </c>
      <c r="E54" s="378" t="s">
        <v>201</v>
      </c>
      <c r="F54" s="378">
        <v>0.64583333333333337</v>
      </c>
      <c r="G54" s="378" t="s">
        <v>231</v>
      </c>
      <c r="H54" s="394">
        <v>60</v>
      </c>
      <c r="I54" s="13"/>
      <c r="J54" s="11"/>
      <c r="K54" s="12"/>
      <c r="L54" s="12"/>
      <c r="M54" s="12"/>
      <c r="N54" s="11"/>
      <c r="O54" s="13"/>
      <c r="P54" s="13"/>
      <c r="Q54" s="11"/>
      <c r="R54" s="12"/>
      <c r="S54" s="12"/>
      <c r="T54" s="12"/>
      <c r="U54" s="12">
        <v>1</v>
      </c>
      <c r="V54" s="13"/>
      <c r="W54" s="13"/>
      <c r="X54" s="11"/>
      <c r="Y54" s="12"/>
      <c r="Z54" s="12"/>
      <c r="AA54" s="12"/>
      <c r="AB54" s="11"/>
      <c r="AC54" s="13"/>
      <c r="AD54" s="13"/>
      <c r="AE54" s="11"/>
      <c r="AF54" s="12"/>
      <c r="AG54" s="12"/>
      <c r="AH54" s="12"/>
      <c r="AI54" s="11"/>
      <c r="AJ54" s="13"/>
      <c r="AK54" s="379">
        <f t="shared" ref="AK54" si="31">SUM(I54:AJ54)</f>
        <v>1</v>
      </c>
      <c r="AL54" s="390">
        <f>AL55* 2</f>
        <v>15770</v>
      </c>
      <c r="AM54" s="19">
        <v>0.78</v>
      </c>
      <c r="AN54" s="20">
        <f t="shared" ref="AN54" si="32">AL54*(1-AM54)</f>
        <v>3469.3999999999996</v>
      </c>
      <c r="AO54" s="21">
        <f t="shared" ref="AO54" si="33">AN54*AK54</f>
        <v>3469.3999999999996</v>
      </c>
      <c r="AP54" s="22">
        <f t="shared" ref="AP54" si="34">AO54*0.8</f>
        <v>2775.52</v>
      </c>
      <c r="AQ54" s="436"/>
      <c r="AR54" s="479">
        <v>2.39</v>
      </c>
      <c r="AS54" s="485">
        <f t="shared" ref="AS54" si="35">AR54*AK54</f>
        <v>2.39</v>
      </c>
      <c r="AT54" s="382">
        <f t="shared" ref="AT54" si="36">IFERROR(AP54/AS54,0)</f>
        <v>1161.3054393305438</v>
      </c>
      <c r="AU54" s="433"/>
      <c r="AV54" s="448" t="s">
        <v>225</v>
      </c>
      <c r="AW54" s="449">
        <f t="shared" ref="AW54" si="37">SUM(I54:AJ54)</f>
        <v>1</v>
      </c>
      <c r="AX54" s="450">
        <f t="shared" ref="AX54" si="38">AW54*AN54*0.8</f>
        <v>2775.52</v>
      </c>
      <c r="AY54" s="570" t="b">
        <f t="shared" ref="AY54" si="39">SUM(AX54)=AP54</f>
        <v>1</v>
      </c>
    </row>
    <row r="55" spans="1:51" s="558" customFormat="1" ht="13.95" customHeight="1" x14ac:dyDescent="0.3">
      <c r="A55" s="365"/>
      <c r="B55" s="376"/>
      <c r="C55" s="376"/>
      <c r="D55" s="389" t="s">
        <v>224</v>
      </c>
      <c r="E55" s="378" t="s">
        <v>201</v>
      </c>
      <c r="F55" s="378">
        <v>0.64583333333333337</v>
      </c>
      <c r="G55" s="378" t="s">
        <v>231</v>
      </c>
      <c r="H55" s="394">
        <v>30</v>
      </c>
      <c r="I55" s="13"/>
      <c r="J55" s="11"/>
      <c r="K55" s="12"/>
      <c r="L55" s="12"/>
      <c r="M55" s="12"/>
      <c r="N55" s="11"/>
      <c r="O55" s="13"/>
      <c r="P55" s="13"/>
      <c r="Q55" s="11"/>
      <c r="R55" s="12"/>
      <c r="S55" s="12"/>
      <c r="T55" s="12"/>
      <c r="U55" s="11"/>
      <c r="V55" s="13"/>
      <c r="W55" s="13"/>
      <c r="X55" s="11"/>
      <c r="Y55" s="12">
        <v>1</v>
      </c>
      <c r="Z55" s="12"/>
      <c r="AA55" s="12">
        <v>1</v>
      </c>
      <c r="AB55" s="11"/>
      <c r="AC55" s="13"/>
      <c r="AD55" s="13"/>
      <c r="AE55" s="11"/>
      <c r="AF55" s="12"/>
      <c r="AG55" s="12"/>
      <c r="AH55" s="12"/>
      <c r="AI55" s="11"/>
      <c r="AJ55" s="13"/>
      <c r="AK55" s="379">
        <f t="shared" si="24"/>
        <v>2</v>
      </c>
      <c r="AL55" s="390">
        <v>7885</v>
      </c>
      <c r="AM55" s="19">
        <v>0.78</v>
      </c>
      <c r="AN55" s="20">
        <f t="shared" si="25"/>
        <v>1734.6999999999998</v>
      </c>
      <c r="AO55" s="21">
        <f t="shared" si="26"/>
        <v>3469.3999999999996</v>
      </c>
      <c r="AP55" s="22">
        <f t="shared" si="27"/>
        <v>2775.52</v>
      </c>
      <c r="AQ55" s="436"/>
      <c r="AR55" s="479">
        <v>2.39</v>
      </c>
      <c r="AS55" s="485">
        <f t="shared" si="28"/>
        <v>4.78</v>
      </c>
      <c r="AT55" s="382">
        <f t="shared" si="29"/>
        <v>580.65271966527189</v>
      </c>
      <c r="AU55" s="433"/>
      <c r="AV55" s="448" t="s">
        <v>225</v>
      </c>
      <c r="AW55" s="449">
        <f t="shared" si="9"/>
        <v>2</v>
      </c>
      <c r="AX55" s="450">
        <f t="shared" si="30"/>
        <v>2775.52</v>
      </c>
      <c r="AY55" s="570" t="b">
        <f t="shared" si="10"/>
        <v>1</v>
      </c>
    </row>
    <row r="56" spans="1:51" s="558" customFormat="1" ht="13.95" hidden="1" customHeight="1" x14ac:dyDescent="0.3">
      <c r="A56" s="365"/>
      <c r="B56" s="376"/>
      <c r="C56" s="376"/>
      <c r="D56" s="396" t="s">
        <v>333</v>
      </c>
      <c r="E56" s="378" t="s">
        <v>204</v>
      </c>
      <c r="F56" s="378">
        <v>0.9375</v>
      </c>
      <c r="G56" s="378" t="s">
        <v>335</v>
      </c>
      <c r="H56" s="394">
        <v>60</v>
      </c>
      <c r="I56" s="13"/>
      <c r="J56" s="11"/>
      <c r="K56" s="12"/>
      <c r="L56" s="12"/>
      <c r="M56" s="12"/>
      <c r="N56" s="11"/>
      <c r="O56" s="13"/>
      <c r="P56" s="13"/>
      <c r="Q56" s="11"/>
      <c r="R56" s="12"/>
      <c r="S56" s="12"/>
      <c r="T56" s="12"/>
      <c r="U56" s="11"/>
      <c r="V56" s="13"/>
      <c r="W56" s="13"/>
      <c r="X56" s="11"/>
      <c r="Y56" s="12"/>
      <c r="Z56" s="12"/>
      <c r="AA56" s="12"/>
      <c r="AB56" s="11"/>
      <c r="AC56" s="13"/>
      <c r="AD56" s="13"/>
      <c r="AE56" s="11"/>
      <c r="AF56" s="12"/>
      <c r="AG56" s="12"/>
      <c r="AH56" s="12"/>
      <c r="AI56" s="11"/>
      <c r="AJ56" s="13"/>
      <c r="AK56" s="379">
        <f t="shared" si="24"/>
        <v>0</v>
      </c>
      <c r="AL56" s="390">
        <v>23922</v>
      </c>
      <c r="AM56" s="19">
        <v>0.78</v>
      </c>
      <c r="AN56" s="20">
        <f t="shared" si="25"/>
        <v>5262.8399999999992</v>
      </c>
      <c r="AO56" s="21">
        <f t="shared" si="26"/>
        <v>0</v>
      </c>
      <c r="AP56" s="22">
        <f t="shared" si="27"/>
        <v>0</v>
      </c>
      <c r="AQ56" s="436"/>
      <c r="AR56" s="479">
        <v>1.7</v>
      </c>
      <c r="AS56" s="485">
        <f t="shared" ref="AS56:AS57" si="40">AR56*AK56</f>
        <v>0</v>
      </c>
      <c r="AT56" s="382">
        <f t="shared" ref="AT56:AT57" si="41">IFERROR(AP56/AS56,0)</f>
        <v>0</v>
      </c>
      <c r="AU56" s="433"/>
      <c r="AV56" s="448" t="s">
        <v>225</v>
      </c>
      <c r="AW56" s="449">
        <f t="shared" si="9"/>
        <v>0</v>
      </c>
      <c r="AX56" s="450">
        <f t="shared" ref="AX56:AX57" si="42">AW56*AN56*0.8</f>
        <v>0</v>
      </c>
      <c r="AY56" s="570" t="b">
        <f t="shared" si="10"/>
        <v>1</v>
      </c>
    </row>
    <row r="57" spans="1:51" s="558" customFormat="1" ht="13.95" customHeight="1" x14ac:dyDescent="0.3">
      <c r="A57" s="365"/>
      <c r="B57" s="376"/>
      <c r="C57" s="376"/>
      <c r="D57" s="389" t="s">
        <v>333</v>
      </c>
      <c r="E57" s="378" t="s">
        <v>204</v>
      </c>
      <c r="F57" s="378">
        <v>0.9375</v>
      </c>
      <c r="G57" s="378" t="s">
        <v>335</v>
      </c>
      <c r="H57" s="394">
        <v>30</v>
      </c>
      <c r="I57" s="13"/>
      <c r="J57" s="11"/>
      <c r="K57" s="12"/>
      <c r="L57" s="12"/>
      <c r="M57" s="12"/>
      <c r="N57" s="11"/>
      <c r="O57" s="13"/>
      <c r="P57" s="13"/>
      <c r="Q57" s="11"/>
      <c r="R57" s="12"/>
      <c r="S57" s="12"/>
      <c r="T57" s="12"/>
      <c r="U57" s="11"/>
      <c r="V57" s="13">
        <v>1</v>
      </c>
      <c r="W57" s="13"/>
      <c r="X57" s="11"/>
      <c r="Y57" s="12"/>
      <c r="Z57" s="12"/>
      <c r="AA57" s="12"/>
      <c r="AB57" s="11"/>
      <c r="AC57" s="13">
        <v>1</v>
      </c>
      <c r="AD57" s="13"/>
      <c r="AE57" s="11"/>
      <c r="AF57" s="12"/>
      <c r="AG57" s="12"/>
      <c r="AH57" s="12"/>
      <c r="AI57" s="11"/>
      <c r="AJ57" s="13"/>
      <c r="AK57" s="379">
        <f t="shared" si="24"/>
        <v>2</v>
      </c>
      <c r="AL57" s="390">
        <v>11961</v>
      </c>
      <c r="AM57" s="19">
        <v>0.78</v>
      </c>
      <c r="AN57" s="20">
        <f t="shared" si="25"/>
        <v>2631.4199999999996</v>
      </c>
      <c r="AO57" s="21">
        <f t="shared" si="26"/>
        <v>5262.8399999999992</v>
      </c>
      <c r="AP57" s="22">
        <f t="shared" si="27"/>
        <v>4210.2719999999999</v>
      </c>
      <c r="AQ57" s="436"/>
      <c r="AR57" s="479">
        <v>1.7</v>
      </c>
      <c r="AS57" s="485">
        <f t="shared" si="40"/>
        <v>3.4</v>
      </c>
      <c r="AT57" s="382">
        <f t="shared" si="41"/>
        <v>1238.315294117647</v>
      </c>
      <c r="AU57" s="433"/>
      <c r="AV57" s="448" t="s">
        <v>225</v>
      </c>
      <c r="AW57" s="449">
        <f t="shared" si="9"/>
        <v>2</v>
      </c>
      <c r="AX57" s="450">
        <f t="shared" si="42"/>
        <v>4210.2719999999999</v>
      </c>
      <c r="AY57" s="570" t="b">
        <f t="shared" si="10"/>
        <v>1</v>
      </c>
    </row>
    <row r="58" spans="1:51" s="558" customFormat="1" ht="13.95" customHeight="1" x14ac:dyDescent="0.3">
      <c r="A58" s="365"/>
      <c r="B58" s="376"/>
      <c r="C58" s="376"/>
      <c r="D58" s="396"/>
      <c r="E58" s="378"/>
      <c r="F58" s="378"/>
      <c r="G58" s="378"/>
      <c r="H58" s="394"/>
      <c r="I58" s="13"/>
      <c r="J58" s="11"/>
      <c r="K58" s="12"/>
      <c r="L58" s="12"/>
      <c r="M58" s="12"/>
      <c r="N58" s="11"/>
      <c r="O58" s="13"/>
      <c r="P58" s="13"/>
      <c r="Q58" s="11"/>
      <c r="R58" s="12"/>
      <c r="S58" s="12"/>
      <c r="T58" s="12"/>
      <c r="U58" s="11"/>
      <c r="V58" s="13"/>
      <c r="W58" s="13"/>
      <c r="X58" s="11"/>
      <c r="Y58" s="12"/>
      <c r="Z58" s="12"/>
      <c r="AA58" s="12"/>
      <c r="AB58" s="11"/>
      <c r="AC58" s="13"/>
      <c r="AD58" s="13"/>
      <c r="AE58" s="11"/>
      <c r="AF58" s="12"/>
      <c r="AG58" s="12"/>
      <c r="AH58" s="12"/>
      <c r="AI58" s="11"/>
      <c r="AJ58" s="13"/>
      <c r="AK58" s="504"/>
      <c r="AL58" s="505"/>
      <c r="AM58" s="506"/>
      <c r="AN58" s="337"/>
      <c r="AO58" s="170"/>
      <c r="AP58" s="170"/>
      <c r="AQ58" s="436"/>
      <c r="AR58" s="479"/>
      <c r="AS58" s="485"/>
      <c r="AT58" s="382"/>
      <c r="AU58" s="433"/>
      <c r="AV58" s="451" t="s">
        <v>142</v>
      </c>
      <c r="AW58" s="425">
        <f>SUM(AW44:AW57)</f>
        <v>24</v>
      </c>
      <c r="AX58" s="426">
        <f>SUM(AX44:AX57)</f>
        <v>54063.679999999978</v>
      </c>
      <c r="AY58" s="570" t="b">
        <f>SUM(AP44:AP57)=AX58</f>
        <v>1</v>
      </c>
    </row>
    <row r="59" spans="1:51" s="558" customFormat="1" ht="13.95" customHeight="1" x14ac:dyDescent="0.3">
      <c r="A59" s="365"/>
      <c r="B59" s="376" t="s">
        <v>337</v>
      </c>
      <c r="C59" s="376" t="s">
        <v>232</v>
      </c>
      <c r="D59" s="377" t="s">
        <v>340</v>
      </c>
      <c r="E59" s="378" t="s">
        <v>201</v>
      </c>
      <c r="F59" s="507" t="s">
        <v>341</v>
      </c>
      <c r="G59" s="508" t="s">
        <v>342</v>
      </c>
      <c r="H59" s="394">
        <v>60</v>
      </c>
      <c r="I59" s="13"/>
      <c r="J59" s="11"/>
      <c r="K59" s="12"/>
      <c r="L59" s="12"/>
      <c r="M59" s="12"/>
      <c r="N59" s="11"/>
      <c r="O59" s="13"/>
      <c r="P59" s="13"/>
      <c r="Q59" s="11"/>
      <c r="R59" s="12"/>
      <c r="S59" s="12"/>
      <c r="T59" s="12"/>
      <c r="U59" s="12">
        <v>1</v>
      </c>
      <c r="V59" s="13"/>
      <c r="W59" s="13"/>
      <c r="X59" s="11"/>
      <c r="Y59" s="12"/>
      <c r="Z59" s="12"/>
      <c r="AA59" s="12"/>
      <c r="AB59" s="11"/>
      <c r="AC59" s="13"/>
      <c r="AD59" s="13"/>
      <c r="AE59" s="11"/>
      <c r="AF59" s="12"/>
      <c r="AG59" s="12"/>
      <c r="AH59" s="12"/>
      <c r="AI59" s="11"/>
      <c r="AJ59" s="13"/>
      <c r="AK59" s="379">
        <f t="shared" ref="AK59:AK74" si="43">SUM(I59:AJ59)</f>
        <v>1</v>
      </c>
      <c r="AL59" s="505">
        <v>34582</v>
      </c>
      <c r="AM59" s="19">
        <v>0.75</v>
      </c>
      <c r="AN59" s="20">
        <f t="shared" ref="AN59:AN74" si="44">AL59*(1-AM59)</f>
        <v>8645.5</v>
      </c>
      <c r="AO59" s="21">
        <f t="shared" ref="AO59:AO74" si="45">AN59*AK59</f>
        <v>8645.5</v>
      </c>
      <c r="AP59" s="22">
        <f t="shared" ref="AP59:AP74" si="46">AO59*0.8</f>
        <v>6916.4000000000005</v>
      </c>
      <c r="AQ59" s="436"/>
      <c r="AR59" s="479">
        <v>1.38</v>
      </c>
      <c r="AS59" s="485">
        <f t="shared" ref="AS59:AS68" si="47">AR59*AK59</f>
        <v>1.38</v>
      </c>
      <c r="AT59" s="382">
        <f t="shared" ref="AT59:AT68" si="48">IFERROR(AP59/AS59,0)</f>
        <v>5011.884057971015</v>
      </c>
      <c r="AU59" s="433"/>
      <c r="AV59" s="448" t="s">
        <v>232</v>
      </c>
      <c r="AW59" s="449">
        <f t="shared" si="9"/>
        <v>1</v>
      </c>
      <c r="AX59" s="450">
        <f t="shared" ref="AX59:AX74" si="49">AW59*AN59*0.8</f>
        <v>6916.4000000000005</v>
      </c>
      <c r="AY59" s="570" t="b">
        <f t="shared" si="10"/>
        <v>1</v>
      </c>
    </row>
    <row r="60" spans="1:51" s="558" customFormat="1" ht="13.95" customHeight="1" x14ac:dyDescent="0.3">
      <c r="A60" s="365"/>
      <c r="B60" s="376"/>
      <c r="C60" s="376"/>
      <c r="D60" s="377" t="s">
        <v>340</v>
      </c>
      <c r="E60" s="378" t="s">
        <v>201</v>
      </c>
      <c r="F60" s="507" t="s">
        <v>341</v>
      </c>
      <c r="G60" s="508" t="s">
        <v>342</v>
      </c>
      <c r="H60" s="394">
        <v>30</v>
      </c>
      <c r="I60" s="13"/>
      <c r="J60" s="11"/>
      <c r="K60" s="12"/>
      <c r="L60" s="12"/>
      <c r="M60" s="12"/>
      <c r="N60" s="11"/>
      <c r="O60" s="13"/>
      <c r="P60" s="13"/>
      <c r="Q60" s="11"/>
      <c r="R60" s="12"/>
      <c r="S60" s="12"/>
      <c r="T60" s="12"/>
      <c r="U60" s="11"/>
      <c r="V60" s="13"/>
      <c r="W60" s="13"/>
      <c r="X60" s="11">
        <v>1</v>
      </c>
      <c r="Y60" s="12"/>
      <c r="Z60" s="12"/>
      <c r="AA60" s="12"/>
      <c r="AB60" s="11"/>
      <c r="AC60" s="13"/>
      <c r="AD60" s="13"/>
      <c r="AE60" s="11"/>
      <c r="AF60" s="12"/>
      <c r="AG60" s="12"/>
      <c r="AH60" s="12"/>
      <c r="AI60" s="11"/>
      <c r="AJ60" s="13"/>
      <c r="AK60" s="379">
        <f t="shared" si="43"/>
        <v>1</v>
      </c>
      <c r="AL60" s="505">
        <v>17291</v>
      </c>
      <c r="AM60" s="19">
        <v>0.75</v>
      </c>
      <c r="AN60" s="20">
        <f t="shared" si="44"/>
        <v>4322.75</v>
      </c>
      <c r="AO60" s="21">
        <f t="shared" si="45"/>
        <v>4322.75</v>
      </c>
      <c r="AP60" s="22">
        <f t="shared" si="46"/>
        <v>3458.2000000000003</v>
      </c>
      <c r="AQ60" s="436"/>
      <c r="AR60" s="479">
        <v>1.38</v>
      </c>
      <c r="AS60" s="485">
        <f t="shared" si="47"/>
        <v>1.38</v>
      </c>
      <c r="AT60" s="382">
        <f t="shared" si="48"/>
        <v>2505.9420289855075</v>
      </c>
      <c r="AU60" s="433"/>
      <c r="AV60" s="448" t="s">
        <v>232</v>
      </c>
      <c r="AW60" s="449">
        <f t="shared" si="9"/>
        <v>1</v>
      </c>
      <c r="AX60" s="450">
        <f t="shared" si="49"/>
        <v>3458.2000000000003</v>
      </c>
      <c r="AY60" s="570" t="b">
        <f t="shared" si="10"/>
        <v>1</v>
      </c>
    </row>
    <row r="61" spans="1:51" s="558" customFormat="1" ht="13.95" hidden="1" customHeight="1" x14ac:dyDescent="0.3">
      <c r="A61" s="365"/>
      <c r="B61" s="376"/>
      <c r="C61" s="376"/>
      <c r="D61" s="389" t="s">
        <v>234</v>
      </c>
      <c r="E61" s="378" t="s">
        <v>203</v>
      </c>
      <c r="F61" s="378">
        <v>0.46875</v>
      </c>
      <c r="G61" s="378" t="s">
        <v>242</v>
      </c>
      <c r="H61" s="394">
        <v>60</v>
      </c>
      <c r="I61" s="13"/>
      <c r="J61" s="11"/>
      <c r="K61" s="12"/>
      <c r="L61" s="12"/>
      <c r="M61" s="12"/>
      <c r="N61" s="11"/>
      <c r="O61" s="13"/>
      <c r="P61" s="13"/>
      <c r="Q61" s="11"/>
      <c r="R61" s="12"/>
      <c r="S61" s="12"/>
      <c r="T61" s="12"/>
      <c r="U61" s="11"/>
      <c r="V61" s="13"/>
      <c r="W61" s="13"/>
      <c r="X61" s="11"/>
      <c r="Y61" s="12"/>
      <c r="Z61" s="12"/>
      <c r="AA61" s="12"/>
      <c r="AB61" s="11"/>
      <c r="AC61" s="13"/>
      <c r="AD61" s="13"/>
      <c r="AE61" s="11"/>
      <c r="AF61" s="12"/>
      <c r="AG61" s="12"/>
      <c r="AH61" s="12"/>
      <c r="AI61" s="11"/>
      <c r="AJ61" s="13"/>
      <c r="AK61" s="379">
        <f t="shared" si="43"/>
        <v>0</v>
      </c>
      <c r="AL61" s="390">
        <v>32536</v>
      </c>
      <c r="AM61" s="19">
        <v>0.75</v>
      </c>
      <c r="AN61" s="20">
        <f t="shared" si="44"/>
        <v>8134</v>
      </c>
      <c r="AO61" s="21">
        <f t="shared" si="45"/>
        <v>0</v>
      </c>
      <c r="AP61" s="22">
        <f t="shared" si="46"/>
        <v>0</v>
      </c>
      <c r="AQ61" s="436"/>
      <c r="AR61" s="479">
        <v>3</v>
      </c>
      <c r="AS61" s="485">
        <f t="shared" si="47"/>
        <v>0</v>
      </c>
      <c r="AT61" s="382">
        <f t="shared" si="48"/>
        <v>0</v>
      </c>
      <c r="AU61" s="433"/>
      <c r="AV61" s="448" t="s">
        <v>232</v>
      </c>
      <c r="AW61" s="449">
        <f t="shared" si="9"/>
        <v>0</v>
      </c>
      <c r="AX61" s="450">
        <f t="shared" si="49"/>
        <v>0</v>
      </c>
      <c r="AY61" s="570" t="b">
        <f t="shared" si="10"/>
        <v>1</v>
      </c>
    </row>
    <row r="62" spans="1:51" s="558" customFormat="1" ht="13.95" customHeight="1" x14ac:dyDescent="0.3">
      <c r="A62" s="365"/>
      <c r="B62" s="376"/>
      <c r="C62" s="376"/>
      <c r="D62" s="396" t="s">
        <v>234</v>
      </c>
      <c r="E62" s="378" t="s">
        <v>203</v>
      </c>
      <c r="F62" s="378">
        <v>0.46875</v>
      </c>
      <c r="G62" s="378" t="s">
        <v>242</v>
      </c>
      <c r="H62" s="394">
        <v>30</v>
      </c>
      <c r="I62" s="13"/>
      <c r="J62" s="11"/>
      <c r="K62" s="12"/>
      <c r="L62" s="12"/>
      <c r="M62" s="12"/>
      <c r="N62" s="11"/>
      <c r="O62" s="13"/>
      <c r="P62" s="13"/>
      <c r="Q62" s="11"/>
      <c r="R62" s="12"/>
      <c r="S62" s="12"/>
      <c r="T62" s="12"/>
      <c r="U62" s="11"/>
      <c r="V62" s="13"/>
      <c r="W62" s="13"/>
      <c r="X62" s="11"/>
      <c r="Y62" s="12"/>
      <c r="Z62" s="12"/>
      <c r="AA62" s="12"/>
      <c r="AB62" s="11"/>
      <c r="AC62" s="13"/>
      <c r="AD62" s="13"/>
      <c r="AE62" s="11"/>
      <c r="AF62" s="12"/>
      <c r="AG62" s="12"/>
      <c r="AH62" s="12"/>
      <c r="AI62" s="11"/>
      <c r="AJ62" s="13"/>
      <c r="AK62" s="379">
        <f t="shared" si="43"/>
        <v>0</v>
      </c>
      <c r="AL62" s="390">
        <v>16268</v>
      </c>
      <c r="AM62" s="19">
        <v>0.75</v>
      </c>
      <c r="AN62" s="20">
        <f t="shared" si="44"/>
        <v>4067</v>
      </c>
      <c r="AO62" s="21">
        <f t="shared" si="45"/>
        <v>0</v>
      </c>
      <c r="AP62" s="22">
        <f t="shared" si="46"/>
        <v>0</v>
      </c>
      <c r="AQ62" s="436"/>
      <c r="AR62" s="479">
        <v>3</v>
      </c>
      <c r="AS62" s="485">
        <f t="shared" si="47"/>
        <v>0</v>
      </c>
      <c r="AT62" s="382">
        <f t="shared" si="48"/>
        <v>0</v>
      </c>
      <c r="AU62" s="433"/>
      <c r="AV62" s="448" t="s">
        <v>232</v>
      </c>
      <c r="AW62" s="449">
        <f t="shared" si="9"/>
        <v>0</v>
      </c>
      <c r="AX62" s="450">
        <f t="shared" si="49"/>
        <v>0</v>
      </c>
      <c r="AY62" s="570" t="b">
        <f t="shared" si="10"/>
        <v>1</v>
      </c>
    </row>
    <row r="63" spans="1:51" s="558" customFormat="1" ht="13.95" customHeight="1" x14ac:dyDescent="0.3">
      <c r="A63" s="365"/>
      <c r="B63" s="376"/>
      <c r="C63" s="376"/>
      <c r="D63" s="377" t="s">
        <v>336</v>
      </c>
      <c r="E63" s="378" t="s">
        <v>201</v>
      </c>
      <c r="F63" s="378">
        <v>0.875</v>
      </c>
      <c r="G63" s="378" t="s">
        <v>338</v>
      </c>
      <c r="H63" s="394">
        <v>60</v>
      </c>
      <c r="I63" s="13"/>
      <c r="J63" s="11"/>
      <c r="K63" s="12"/>
      <c r="L63" s="12"/>
      <c r="M63" s="12"/>
      <c r="N63" s="11"/>
      <c r="O63" s="13"/>
      <c r="P63" s="13"/>
      <c r="Q63" s="11"/>
      <c r="R63" s="12"/>
      <c r="S63" s="12"/>
      <c r="T63" s="12">
        <v>1</v>
      </c>
      <c r="U63" s="11"/>
      <c r="V63" s="13"/>
      <c r="W63" s="13"/>
      <c r="X63" s="11"/>
      <c r="Y63" s="12"/>
      <c r="Z63" s="12"/>
      <c r="AA63" s="12"/>
      <c r="AB63" s="11"/>
      <c r="AC63" s="13"/>
      <c r="AD63" s="13"/>
      <c r="AE63" s="11"/>
      <c r="AF63" s="12"/>
      <c r="AG63" s="12"/>
      <c r="AH63" s="12"/>
      <c r="AI63" s="11"/>
      <c r="AJ63" s="13"/>
      <c r="AK63" s="379">
        <f t="shared" si="43"/>
        <v>1</v>
      </c>
      <c r="AL63" s="390">
        <v>34076</v>
      </c>
      <c r="AM63" s="19">
        <v>0.75</v>
      </c>
      <c r="AN63" s="20">
        <f t="shared" si="44"/>
        <v>8519</v>
      </c>
      <c r="AO63" s="21">
        <f t="shared" si="45"/>
        <v>8519</v>
      </c>
      <c r="AP63" s="22">
        <f t="shared" si="46"/>
        <v>6815.2000000000007</v>
      </c>
      <c r="AQ63" s="436"/>
      <c r="AR63" s="479">
        <v>2.1</v>
      </c>
      <c r="AS63" s="485">
        <f t="shared" si="47"/>
        <v>2.1</v>
      </c>
      <c r="AT63" s="382">
        <f t="shared" si="48"/>
        <v>3245.3333333333335</v>
      </c>
      <c r="AU63" s="433"/>
      <c r="AV63" s="448" t="s">
        <v>232</v>
      </c>
      <c r="AW63" s="449">
        <f t="shared" si="9"/>
        <v>1</v>
      </c>
      <c r="AX63" s="450">
        <f t="shared" si="49"/>
        <v>6815.2000000000007</v>
      </c>
      <c r="AY63" s="570" t="b">
        <f t="shared" si="10"/>
        <v>1</v>
      </c>
    </row>
    <row r="64" spans="1:51" s="558" customFormat="1" ht="13.95" customHeight="1" x14ac:dyDescent="0.3">
      <c r="A64" s="365"/>
      <c r="B64" s="376"/>
      <c r="C64" s="376"/>
      <c r="D64" s="389" t="s">
        <v>336</v>
      </c>
      <c r="E64" s="378" t="s">
        <v>201</v>
      </c>
      <c r="F64" s="378">
        <v>0.875</v>
      </c>
      <c r="G64" s="378" t="s">
        <v>338</v>
      </c>
      <c r="H64" s="394">
        <v>30</v>
      </c>
      <c r="I64" s="13"/>
      <c r="J64" s="11"/>
      <c r="K64" s="12"/>
      <c r="L64" s="12"/>
      <c r="M64" s="12"/>
      <c r="N64" s="11"/>
      <c r="O64" s="13"/>
      <c r="P64" s="13"/>
      <c r="Q64" s="11"/>
      <c r="R64" s="12"/>
      <c r="S64" s="12"/>
      <c r="T64" s="12"/>
      <c r="U64" s="11"/>
      <c r="V64" s="13"/>
      <c r="W64" s="13"/>
      <c r="X64" s="11"/>
      <c r="Y64" s="12"/>
      <c r="Z64" s="12"/>
      <c r="AA64" s="12">
        <v>1</v>
      </c>
      <c r="AB64" s="11"/>
      <c r="AC64" s="13"/>
      <c r="AD64" s="13"/>
      <c r="AE64" s="11"/>
      <c r="AF64" s="12"/>
      <c r="AG64" s="12"/>
      <c r="AH64" s="12"/>
      <c r="AI64" s="11"/>
      <c r="AJ64" s="13"/>
      <c r="AK64" s="379">
        <f t="shared" si="43"/>
        <v>1</v>
      </c>
      <c r="AL64" s="390">
        <v>17038</v>
      </c>
      <c r="AM64" s="19">
        <v>0.75</v>
      </c>
      <c r="AN64" s="20">
        <f t="shared" si="44"/>
        <v>4259.5</v>
      </c>
      <c r="AO64" s="21">
        <f t="shared" si="45"/>
        <v>4259.5</v>
      </c>
      <c r="AP64" s="22">
        <f t="shared" si="46"/>
        <v>3407.6000000000004</v>
      </c>
      <c r="AQ64" s="436"/>
      <c r="AR64" s="479">
        <v>2.1</v>
      </c>
      <c r="AS64" s="485">
        <f t="shared" si="47"/>
        <v>2.1</v>
      </c>
      <c r="AT64" s="382">
        <f t="shared" si="48"/>
        <v>1622.6666666666667</v>
      </c>
      <c r="AU64" s="433"/>
      <c r="AV64" s="448" t="s">
        <v>232</v>
      </c>
      <c r="AW64" s="449">
        <f t="shared" si="9"/>
        <v>1</v>
      </c>
      <c r="AX64" s="450">
        <f t="shared" si="49"/>
        <v>3407.6000000000004</v>
      </c>
      <c r="AY64" s="570" t="b">
        <f t="shared" si="10"/>
        <v>1</v>
      </c>
    </row>
    <row r="65" spans="1:51" s="558" customFormat="1" ht="13.95" customHeight="1" x14ac:dyDescent="0.3">
      <c r="A65" s="365"/>
      <c r="B65" s="376"/>
      <c r="C65" s="376"/>
      <c r="D65" s="396" t="s">
        <v>237</v>
      </c>
      <c r="E65" s="378" t="s">
        <v>201</v>
      </c>
      <c r="F65" s="378">
        <v>0.60416666666666663</v>
      </c>
      <c r="G65" s="378" t="s">
        <v>245</v>
      </c>
      <c r="H65" s="394">
        <v>30</v>
      </c>
      <c r="I65" s="13"/>
      <c r="J65" s="11"/>
      <c r="K65" s="12"/>
      <c r="L65" s="12"/>
      <c r="M65" s="12"/>
      <c r="N65" s="11"/>
      <c r="O65" s="13"/>
      <c r="P65" s="13"/>
      <c r="Q65" s="11"/>
      <c r="R65" s="12"/>
      <c r="S65" s="12"/>
      <c r="T65" s="12"/>
      <c r="U65" s="11"/>
      <c r="V65" s="13"/>
      <c r="W65" s="13"/>
      <c r="X65" s="11"/>
      <c r="Y65" s="12">
        <v>1</v>
      </c>
      <c r="Z65" s="12"/>
      <c r="AA65" s="12"/>
      <c r="AB65" s="11"/>
      <c r="AC65" s="13"/>
      <c r="AD65" s="13"/>
      <c r="AE65" s="11"/>
      <c r="AF65" s="12"/>
      <c r="AG65" s="12"/>
      <c r="AH65" s="12"/>
      <c r="AI65" s="11"/>
      <c r="AJ65" s="13"/>
      <c r="AK65" s="379">
        <f t="shared" si="43"/>
        <v>1</v>
      </c>
      <c r="AL65" s="390">
        <v>11151</v>
      </c>
      <c r="AM65" s="19">
        <v>0.75</v>
      </c>
      <c r="AN65" s="20">
        <f t="shared" si="44"/>
        <v>2787.75</v>
      </c>
      <c r="AO65" s="21">
        <f t="shared" si="45"/>
        <v>2787.75</v>
      </c>
      <c r="AP65" s="22">
        <f t="shared" si="46"/>
        <v>2230.2000000000003</v>
      </c>
      <c r="AQ65" s="436"/>
      <c r="AR65" s="479">
        <v>1.6</v>
      </c>
      <c r="AS65" s="485">
        <f t="shared" si="47"/>
        <v>1.6</v>
      </c>
      <c r="AT65" s="382">
        <f t="shared" si="48"/>
        <v>1393.875</v>
      </c>
      <c r="AU65" s="433"/>
      <c r="AV65" s="448" t="s">
        <v>232</v>
      </c>
      <c r="AW65" s="449">
        <f t="shared" si="9"/>
        <v>1</v>
      </c>
      <c r="AX65" s="450">
        <f t="shared" si="49"/>
        <v>2230.2000000000003</v>
      </c>
      <c r="AY65" s="570" t="b">
        <f t="shared" si="10"/>
        <v>1</v>
      </c>
    </row>
    <row r="66" spans="1:51" s="558" customFormat="1" ht="13.95" customHeight="1" x14ac:dyDescent="0.3">
      <c r="A66" s="365"/>
      <c r="B66" s="376"/>
      <c r="C66" s="376"/>
      <c r="D66" s="377" t="s">
        <v>238</v>
      </c>
      <c r="E66" s="378" t="s">
        <v>201</v>
      </c>
      <c r="F66" s="378">
        <v>0.35416666666666669</v>
      </c>
      <c r="G66" s="378" t="s">
        <v>212</v>
      </c>
      <c r="H66" s="394">
        <v>30</v>
      </c>
      <c r="I66" s="13"/>
      <c r="J66" s="11"/>
      <c r="K66" s="12"/>
      <c r="L66" s="12"/>
      <c r="M66" s="12"/>
      <c r="N66" s="11"/>
      <c r="O66" s="13"/>
      <c r="P66" s="13"/>
      <c r="Q66" s="11"/>
      <c r="R66" s="12"/>
      <c r="S66" s="12"/>
      <c r="T66" s="12"/>
      <c r="U66" s="11"/>
      <c r="V66" s="13"/>
      <c r="W66" s="13"/>
      <c r="X66" s="11"/>
      <c r="Y66" s="12"/>
      <c r="Z66" s="12">
        <v>1</v>
      </c>
      <c r="AA66" s="12"/>
      <c r="AB66" s="11"/>
      <c r="AC66" s="13"/>
      <c r="AD66" s="13"/>
      <c r="AE66" s="11"/>
      <c r="AF66" s="12"/>
      <c r="AG66" s="12"/>
      <c r="AH66" s="12"/>
      <c r="AI66" s="11"/>
      <c r="AJ66" s="13"/>
      <c r="AK66" s="379">
        <f t="shared" si="43"/>
        <v>1</v>
      </c>
      <c r="AL66" s="390">
        <v>8902</v>
      </c>
      <c r="AM66" s="19">
        <v>0.75</v>
      </c>
      <c r="AN66" s="20">
        <f t="shared" si="44"/>
        <v>2225.5</v>
      </c>
      <c r="AO66" s="21">
        <f t="shared" si="45"/>
        <v>2225.5</v>
      </c>
      <c r="AP66" s="22">
        <f t="shared" si="46"/>
        <v>1780.4</v>
      </c>
      <c r="AQ66" s="436"/>
      <c r="AR66" s="479">
        <v>1.4</v>
      </c>
      <c r="AS66" s="485">
        <f t="shared" si="47"/>
        <v>1.4</v>
      </c>
      <c r="AT66" s="382">
        <f t="shared" si="48"/>
        <v>1271.7142857142858</v>
      </c>
      <c r="AU66" s="433"/>
      <c r="AV66" s="448" t="s">
        <v>232</v>
      </c>
      <c r="AW66" s="449">
        <f t="shared" si="9"/>
        <v>1</v>
      </c>
      <c r="AX66" s="450">
        <f t="shared" si="49"/>
        <v>1780.4</v>
      </c>
      <c r="AY66" s="570" t="b">
        <f t="shared" si="10"/>
        <v>1</v>
      </c>
    </row>
    <row r="67" spans="1:51" s="558" customFormat="1" ht="13.95" hidden="1" customHeight="1" x14ac:dyDescent="0.3">
      <c r="A67" s="365"/>
      <c r="B67" s="376"/>
      <c r="C67" s="376"/>
      <c r="D67" s="377" t="s">
        <v>239</v>
      </c>
      <c r="E67" s="378" t="s">
        <v>201</v>
      </c>
      <c r="F67" s="378">
        <v>0.3125</v>
      </c>
      <c r="G67" s="378" t="s">
        <v>246</v>
      </c>
      <c r="H67" s="394">
        <v>60</v>
      </c>
      <c r="I67" s="13"/>
      <c r="J67" s="11"/>
      <c r="K67" s="12"/>
      <c r="L67" s="12"/>
      <c r="M67" s="12"/>
      <c r="N67" s="11"/>
      <c r="O67" s="13"/>
      <c r="P67" s="13"/>
      <c r="Q67" s="11"/>
      <c r="R67" s="12"/>
      <c r="S67" s="12"/>
      <c r="T67" s="12"/>
      <c r="U67" s="11"/>
      <c r="V67" s="13"/>
      <c r="W67" s="13"/>
      <c r="X67" s="11"/>
      <c r="Y67" s="12"/>
      <c r="Z67" s="12"/>
      <c r="AA67" s="12"/>
      <c r="AB67" s="11"/>
      <c r="AC67" s="13"/>
      <c r="AD67" s="13"/>
      <c r="AE67" s="11"/>
      <c r="AF67" s="12"/>
      <c r="AG67" s="12"/>
      <c r="AH67" s="12"/>
      <c r="AI67" s="11"/>
      <c r="AJ67" s="13"/>
      <c r="AK67" s="379">
        <f t="shared" si="43"/>
        <v>0</v>
      </c>
      <c r="AL67" s="390">
        <v>17804</v>
      </c>
      <c r="AM67" s="19">
        <v>0.75</v>
      </c>
      <c r="AN67" s="20">
        <f t="shared" si="44"/>
        <v>4451</v>
      </c>
      <c r="AO67" s="21">
        <f t="shared" si="45"/>
        <v>0</v>
      </c>
      <c r="AP67" s="22">
        <f t="shared" si="46"/>
        <v>0</v>
      </c>
      <c r="AQ67" s="436"/>
      <c r="AR67" s="479">
        <v>1.3</v>
      </c>
      <c r="AS67" s="485">
        <f t="shared" si="47"/>
        <v>0</v>
      </c>
      <c r="AT67" s="382">
        <f t="shared" si="48"/>
        <v>0</v>
      </c>
      <c r="AU67" s="433"/>
      <c r="AV67" s="448" t="s">
        <v>232</v>
      </c>
      <c r="AW67" s="449">
        <f t="shared" si="9"/>
        <v>0</v>
      </c>
      <c r="AX67" s="450">
        <f t="shared" si="49"/>
        <v>0</v>
      </c>
      <c r="AY67" s="570" t="b">
        <f t="shared" si="10"/>
        <v>1</v>
      </c>
    </row>
    <row r="68" spans="1:51" s="558" customFormat="1" ht="13.95" customHeight="1" x14ac:dyDescent="0.3">
      <c r="A68" s="365"/>
      <c r="B68" s="376"/>
      <c r="C68" s="376"/>
      <c r="D68" s="389" t="s">
        <v>239</v>
      </c>
      <c r="E68" s="378" t="s">
        <v>201</v>
      </c>
      <c r="F68" s="378">
        <v>0.3125</v>
      </c>
      <c r="G68" s="378" t="s">
        <v>246</v>
      </c>
      <c r="H68" s="394">
        <v>30</v>
      </c>
      <c r="I68" s="13"/>
      <c r="J68" s="11"/>
      <c r="K68" s="12"/>
      <c r="L68" s="12"/>
      <c r="M68" s="12"/>
      <c r="N68" s="11"/>
      <c r="O68" s="13"/>
      <c r="P68" s="13"/>
      <c r="Q68" s="11"/>
      <c r="R68" s="12"/>
      <c r="S68" s="12"/>
      <c r="T68" s="12"/>
      <c r="U68" s="11"/>
      <c r="V68" s="13"/>
      <c r="W68" s="13"/>
      <c r="X68" s="11"/>
      <c r="Y68" s="12"/>
      <c r="Z68" s="12"/>
      <c r="AA68" s="12"/>
      <c r="AB68" s="11">
        <v>1</v>
      </c>
      <c r="AC68" s="13"/>
      <c r="AD68" s="13"/>
      <c r="AE68" s="11"/>
      <c r="AF68" s="12"/>
      <c r="AG68" s="12"/>
      <c r="AH68" s="12"/>
      <c r="AI68" s="11"/>
      <c r="AJ68" s="13"/>
      <c r="AK68" s="379">
        <f t="shared" si="43"/>
        <v>1</v>
      </c>
      <c r="AL68" s="390">
        <v>8902</v>
      </c>
      <c r="AM68" s="19">
        <v>0.75</v>
      </c>
      <c r="AN68" s="20">
        <f t="shared" si="44"/>
        <v>2225.5</v>
      </c>
      <c r="AO68" s="21">
        <f t="shared" si="45"/>
        <v>2225.5</v>
      </c>
      <c r="AP68" s="22">
        <f t="shared" si="46"/>
        <v>1780.4</v>
      </c>
      <c r="AQ68" s="436"/>
      <c r="AR68" s="479">
        <v>1.3</v>
      </c>
      <c r="AS68" s="485">
        <f t="shared" si="47"/>
        <v>1.3</v>
      </c>
      <c r="AT68" s="382">
        <f t="shared" si="48"/>
        <v>1369.5384615384617</v>
      </c>
      <c r="AU68" s="433"/>
      <c r="AV68" s="448" t="s">
        <v>232</v>
      </c>
      <c r="AW68" s="449">
        <f t="shared" si="9"/>
        <v>1</v>
      </c>
      <c r="AX68" s="450">
        <f t="shared" si="49"/>
        <v>1780.4</v>
      </c>
      <c r="AY68" s="570" t="b">
        <f t="shared" si="10"/>
        <v>1</v>
      </c>
    </row>
    <row r="69" spans="1:51" s="558" customFormat="1" ht="13.95" hidden="1" customHeight="1" x14ac:dyDescent="0.3">
      <c r="A69" s="365"/>
      <c r="B69" s="376"/>
      <c r="C69" s="376"/>
      <c r="D69" s="393" t="s">
        <v>240</v>
      </c>
      <c r="E69" s="378" t="s">
        <v>204</v>
      </c>
      <c r="F69" s="378">
        <v>0.45833333333333331</v>
      </c>
      <c r="G69" s="378" t="s">
        <v>247</v>
      </c>
      <c r="H69" s="394">
        <v>60</v>
      </c>
      <c r="I69" s="13"/>
      <c r="J69" s="11"/>
      <c r="K69" s="12"/>
      <c r="L69" s="12"/>
      <c r="M69" s="12"/>
      <c r="N69" s="11"/>
      <c r="O69" s="13"/>
      <c r="P69" s="13"/>
      <c r="Q69" s="11"/>
      <c r="R69" s="12"/>
      <c r="S69" s="12"/>
      <c r="T69" s="12"/>
      <c r="U69" s="11"/>
      <c r="V69" s="13"/>
      <c r="W69" s="13"/>
      <c r="X69" s="11"/>
      <c r="Y69" s="12"/>
      <c r="Z69" s="12"/>
      <c r="AA69" s="12"/>
      <c r="AB69" s="11"/>
      <c r="AC69" s="13"/>
      <c r="AD69" s="13"/>
      <c r="AE69" s="11"/>
      <c r="AF69" s="12"/>
      <c r="AG69" s="12"/>
      <c r="AH69" s="12"/>
      <c r="AI69" s="11"/>
      <c r="AJ69" s="13"/>
      <c r="AK69" s="379">
        <f t="shared" si="43"/>
        <v>0</v>
      </c>
      <c r="AL69" s="390">
        <v>17804</v>
      </c>
      <c r="AM69" s="19">
        <v>0.75</v>
      </c>
      <c r="AN69" s="20">
        <f t="shared" si="44"/>
        <v>4451</v>
      </c>
      <c r="AO69" s="21">
        <f t="shared" si="45"/>
        <v>0</v>
      </c>
      <c r="AP69" s="22">
        <f t="shared" si="46"/>
        <v>0</v>
      </c>
      <c r="AQ69" s="436"/>
      <c r="AR69" s="479">
        <v>1.2</v>
      </c>
      <c r="AS69" s="485">
        <f t="shared" ref="AS69:AS74" si="50">AR69*AK69</f>
        <v>0</v>
      </c>
      <c r="AT69" s="382">
        <f t="shared" ref="AT69:AT74" si="51">IFERROR(AP69/AS69,0)</f>
        <v>0</v>
      </c>
      <c r="AU69" s="433"/>
      <c r="AV69" s="448" t="s">
        <v>232</v>
      </c>
      <c r="AW69" s="449">
        <f t="shared" si="9"/>
        <v>0</v>
      </c>
      <c r="AX69" s="450">
        <f t="shared" si="49"/>
        <v>0</v>
      </c>
      <c r="AY69" s="570" t="b">
        <f t="shared" si="10"/>
        <v>1</v>
      </c>
    </row>
    <row r="70" spans="1:51" s="558" customFormat="1" ht="13.95" customHeight="1" x14ac:dyDescent="0.3">
      <c r="A70" s="365"/>
      <c r="B70" s="376"/>
      <c r="C70" s="376"/>
      <c r="D70" s="396" t="s">
        <v>240</v>
      </c>
      <c r="E70" s="378" t="s">
        <v>204</v>
      </c>
      <c r="F70" s="378">
        <v>0.45833333333333331</v>
      </c>
      <c r="G70" s="378" t="s">
        <v>247</v>
      </c>
      <c r="H70" s="394">
        <v>30</v>
      </c>
      <c r="I70" s="13"/>
      <c r="J70" s="11"/>
      <c r="K70" s="12"/>
      <c r="L70" s="12"/>
      <c r="M70" s="12"/>
      <c r="N70" s="11"/>
      <c r="O70" s="13"/>
      <c r="P70" s="13"/>
      <c r="Q70" s="11"/>
      <c r="R70" s="12"/>
      <c r="S70" s="12"/>
      <c r="T70" s="12"/>
      <c r="U70" s="11"/>
      <c r="V70" s="13">
        <v>1</v>
      </c>
      <c r="W70" s="13"/>
      <c r="X70" s="11"/>
      <c r="Y70" s="12"/>
      <c r="Z70" s="12"/>
      <c r="AA70" s="12"/>
      <c r="AB70" s="11"/>
      <c r="AC70" s="13">
        <v>1</v>
      </c>
      <c r="AD70" s="13"/>
      <c r="AE70" s="11"/>
      <c r="AF70" s="12"/>
      <c r="AG70" s="12"/>
      <c r="AH70" s="12"/>
      <c r="AI70" s="11"/>
      <c r="AJ70" s="13"/>
      <c r="AK70" s="379">
        <f t="shared" ref="AK70:AK73" si="52">SUM(I70:AJ70)</f>
        <v>2</v>
      </c>
      <c r="AL70" s="390">
        <v>8902</v>
      </c>
      <c r="AM70" s="19">
        <v>0.75</v>
      </c>
      <c r="AN70" s="20">
        <f t="shared" ref="AN70:AN73" si="53">AL70*(1-AM70)</f>
        <v>2225.5</v>
      </c>
      <c r="AO70" s="21">
        <f t="shared" ref="AO70:AO73" si="54">AN70*AK70</f>
        <v>4451</v>
      </c>
      <c r="AP70" s="22">
        <f t="shared" ref="AP70:AP73" si="55">AO70*0.8</f>
        <v>3560.8</v>
      </c>
      <c r="AQ70" s="436"/>
      <c r="AR70" s="479">
        <v>1.2</v>
      </c>
      <c r="AS70" s="485">
        <f t="shared" ref="AS70:AS73" si="56">AR70*AK70</f>
        <v>2.4</v>
      </c>
      <c r="AT70" s="382">
        <f t="shared" ref="AT70:AT73" si="57">IFERROR(AP70/AS70,0)</f>
        <v>1483.6666666666667</v>
      </c>
      <c r="AU70" s="433"/>
      <c r="AV70" s="448" t="s">
        <v>232</v>
      </c>
      <c r="AW70" s="449">
        <f t="shared" ref="AW70:AW73" si="58">SUM(I70:AJ70)</f>
        <v>2</v>
      </c>
      <c r="AX70" s="450">
        <f t="shared" ref="AX70:AX73" si="59">AW70*AN70*0.8</f>
        <v>3560.8</v>
      </c>
      <c r="AY70" s="570" t="b">
        <f t="shared" ref="AY70:AY73" si="60">SUM(AX70)=AP70</f>
        <v>1</v>
      </c>
    </row>
    <row r="71" spans="1:51" s="558" customFormat="1" ht="13.95" customHeight="1" x14ac:dyDescent="0.3">
      <c r="A71" s="365"/>
      <c r="B71" s="376"/>
      <c r="C71" s="376"/>
      <c r="D71" s="396" t="s">
        <v>405</v>
      </c>
      <c r="E71" s="378" t="s">
        <v>201</v>
      </c>
      <c r="F71" s="378">
        <v>0.54513888888888884</v>
      </c>
      <c r="G71" s="378">
        <v>0.5625</v>
      </c>
      <c r="H71" s="394">
        <v>30</v>
      </c>
      <c r="I71" s="13"/>
      <c r="J71" s="11"/>
      <c r="K71" s="12"/>
      <c r="L71" s="12"/>
      <c r="M71" s="12"/>
      <c r="N71" s="11"/>
      <c r="O71" s="13"/>
      <c r="P71" s="13"/>
      <c r="Q71" s="11"/>
      <c r="R71" s="12"/>
      <c r="S71" s="12"/>
      <c r="T71" s="12"/>
      <c r="U71" s="11"/>
      <c r="V71" s="13"/>
      <c r="W71" s="13"/>
      <c r="X71" s="11"/>
      <c r="Y71" s="12"/>
      <c r="Z71" s="12"/>
      <c r="AA71" s="12"/>
      <c r="AB71" s="11"/>
      <c r="AC71" s="13"/>
      <c r="AD71" s="13"/>
      <c r="AE71" s="11">
        <v>1</v>
      </c>
      <c r="AF71" s="12"/>
      <c r="AG71" s="12">
        <v>1</v>
      </c>
      <c r="AH71" s="12"/>
      <c r="AI71" s="11"/>
      <c r="AJ71" s="13"/>
      <c r="AK71" s="379">
        <f t="shared" si="52"/>
        <v>2</v>
      </c>
      <c r="AL71" s="390">
        <v>4634</v>
      </c>
      <c r="AM71" s="19">
        <v>0.75</v>
      </c>
      <c r="AN71" s="20">
        <f t="shared" si="53"/>
        <v>1158.5</v>
      </c>
      <c r="AO71" s="21">
        <f t="shared" si="54"/>
        <v>2317</v>
      </c>
      <c r="AP71" s="22">
        <f t="shared" si="55"/>
        <v>1853.6000000000001</v>
      </c>
      <c r="AQ71" s="436"/>
      <c r="AR71" s="479">
        <v>1.2</v>
      </c>
      <c r="AS71" s="485">
        <f t="shared" si="56"/>
        <v>2.4</v>
      </c>
      <c r="AT71" s="382">
        <f t="shared" si="57"/>
        <v>772.33333333333337</v>
      </c>
      <c r="AU71" s="433"/>
      <c r="AV71" s="448" t="s">
        <v>232</v>
      </c>
      <c r="AW71" s="449">
        <f t="shared" si="58"/>
        <v>2</v>
      </c>
      <c r="AX71" s="450">
        <f t="shared" si="59"/>
        <v>1853.6000000000001</v>
      </c>
      <c r="AY71" s="570" t="b">
        <f t="shared" si="60"/>
        <v>1</v>
      </c>
    </row>
    <row r="72" spans="1:51" s="558" customFormat="1" ht="13.95" customHeight="1" x14ac:dyDescent="0.3">
      <c r="A72" s="365"/>
      <c r="B72" s="376"/>
      <c r="C72" s="376"/>
      <c r="D72" s="396" t="s">
        <v>406</v>
      </c>
      <c r="E72" s="378" t="s">
        <v>203</v>
      </c>
      <c r="F72" s="378">
        <v>0.41319444444444442</v>
      </c>
      <c r="G72" s="378">
        <v>0.43402777777777779</v>
      </c>
      <c r="H72" s="394">
        <v>30</v>
      </c>
      <c r="I72" s="13"/>
      <c r="J72" s="11"/>
      <c r="K72" s="12"/>
      <c r="L72" s="12"/>
      <c r="M72" s="12"/>
      <c r="N72" s="11"/>
      <c r="O72" s="13"/>
      <c r="P72" s="13"/>
      <c r="Q72" s="11"/>
      <c r="R72" s="12"/>
      <c r="S72" s="12"/>
      <c r="T72" s="12"/>
      <c r="U72" s="11"/>
      <c r="V72" s="13"/>
      <c r="W72" s="13"/>
      <c r="X72" s="11"/>
      <c r="Y72" s="12"/>
      <c r="Z72" s="12"/>
      <c r="AA72" s="12"/>
      <c r="AB72" s="11"/>
      <c r="AC72" s="13"/>
      <c r="AD72" s="13">
        <v>1</v>
      </c>
      <c r="AE72" s="11"/>
      <c r="AF72" s="12"/>
      <c r="AG72" s="12"/>
      <c r="AH72" s="12"/>
      <c r="AI72" s="11"/>
      <c r="AJ72" s="13"/>
      <c r="AK72" s="379">
        <f t="shared" si="52"/>
        <v>1</v>
      </c>
      <c r="AL72" s="390">
        <v>12357</v>
      </c>
      <c r="AM72" s="19">
        <v>0.75</v>
      </c>
      <c r="AN72" s="20">
        <f t="shared" si="53"/>
        <v>3089.25</v>
      </c>
      <c r="AO72" s="21">
        <f t="shared" si="54"/>
        <v>3089.25</v>
      </c>
      <c r="AP72" s="22">
        <f t="shared" si="55"/>
        <v>2471.4</v>
      </c>
      <c r="AQ72" s="436"/>
      <c r="AR72" s="479">
        <v>1.2</v>
      </c>
      <c r="AS72" s="485">
        <f t="shared" si="56"/>
        <v>1.2</v>
      </c>
      <c r="AT72" s="382">
        <f t="shared" si="57"/>
        <v>2059.5</v>
      </c>
      <c r="AU72" s="433"/>
      <c r="AV72" s="448" t="s">
        <v>232</v>
      </c>
      <c r="AW72" s="449">
        <f t="shared" si="58"/>
        <v>1</v>
      </c>
      <c r="AX72" s="450">
        <f t="shared" si="59"/>
        <v>2471.4</v>
      </c>
      <c r="AY72" s="570" t="b">
        <f t="shared" si="60"/>
        <v>1</v>
      </c>
    </row>
    <row r="73" spans="1:51" s="558" customFormat="1" ht="13.95" customHeight="1" x14ac:dyDescent="0.3">
      <c r="A73" s="365"/>
      <c r="B73" s="376"/>
      <c r="C73" s="376"/>
      <c r="D73" s="396" t="s">
        <v>407</v>
      </c>
      <c r="E73" s="378" t="s">
        <v>201</v>
      </c>
      <c r="F73" s="378">
        <v>0.47916666666666669</v>
      </c>
      <c r="G73" s="378">
        <v>0.54513888888888884</v>
      </c>
      <c r="H73" s="394">
        <v>30</v>
      </c>
      <c r="I73" s="13"/>
      <c r="J73" s="11"/>
      <c r="K73" s="12"/>
      <c r="L73" s="12"/>
      <c r="M73" s="12"/>
      <c r="N73" s="11"/>
      <c r="O73" s="13"/>
      <c r="P73" s="13"/>
      <c r="Q73" s="11"/>
      <c r="R73" s="12"/>
      <c r="S73" s="12"/>
      <c r="T73" s="12"/>
      <c r="U73" s="11"/>
      <c r="V73" s="13"/>
      <c r="W73" s="13"/>
      <c r="X73" s="11"/>
      <c r="Y73" s="12"/>
      <c r="Z73" s="12"/>
      <c r="AA73" s="12"/>
      <c r="AB73" s="11"/>
      <c r="AC73" s="13"/>
      <c r="AD73" s="13"/>
      <c r="AE73" s="11"/>
      <c r="AF73" s="12">
        <v>1</v>
      </c>
      <c r="AG73" s="12"/>
      <c r="AH73" s="12">
        <v>1</v>
      </c>
      <c r="AI73" s="11">
        <v>1</v>
      </c>
      <c r="AJ73" s="13"/>
      <c r="AK73" s="379">
        <f t="shared" si="52"/>
        <v>3</v>
      </c>
      <c r="AL73" s="390">
        <v>5011</v>
      </c>
      <c r="AM73" s="19">
        <v>0.75</v>
      </c>
      <c r="AN73" s="20">
        <f t="shared" si="53"/>
        <v>1252.75</v>
      </c>
      <c r="AO73" s="21">
        <f t="shared" si="54"/>
        <v>3758.25</v>
      </c>
      <c r="AP73" s="22">
        <f t="shared" si="55"/>
        <v>3006.6000000000004</v>
      </c>
      <c r="AQ73" s="436"/>
      <c r="AR73" s="479">
        <v>1.2</v>
      </c>
      <c r="AS73" s="485">
        <f t="shared" si="56"/>
        <v>3.5999999999999996</v>
      </c>
      <c r="AT73" s="382">
        <f t="shared" si="57"/>
        <v>835.16666666666686</v>
      </c>
      <c r="AU73" s="433"/>
      <c r="AV73" s="448" t="s">
        <v>232</v>
      </c>
      <c r="AW73" s="449">
        <f t="shared" si="58"/>
        <v>3</v>
      </c>
      <c r="AX73" s="450">
        <f t="shared" si="59"/>
        <v>3006.6000000000004</v>
      </c>
      <c r="AY73" s="570" t="b">
        <f t="shared" si="60"/>
        <v>1</v>
      </c>
    </row>
    <row r="74" spans="1:51" s="558" customFormat="1" ht="13.95" hidden="1" customHeight="1" x14ac:dyDescent="0.3">
      <c r="A74" s="365"/>
      <c r="B74" s="376"/>
      <c r="C74" s="376"/>
      <c r="D74" s="396" t="s">
        <v>408</v>
      </c>
      <c r="E74" s="378" t="s">
        <v>204</v>
      </c>
      <c r="F74" s="378">
        <v>0.54166666666666663</v>
      </c>
      <c r="G74" s="378">
        <v>0.5625</v>
      </c>
      <c r="H74" s="394">
        <v>30</v>
      </c>
      <c r="I74" s="13"/>
      <c r="J74" s="11"/>
      <c r="K74" s="12"/>
      <c r="L74" s="12"/>
      <c r="M74" s="12"/>
      <c r="N74" s="11"/>
      <c r="O74" s="13"/>
      <c r="P74" s="13"/>
      <c r="Q74" s="11"/>
      <c r="R74" s="12"/>
      <c r="S74" s="12"/>
      <c r="T74" s="12"/>
      <c r="U74" s="11"/>
      <c r="V74" s="13"/>
      <c r="W74" s="13"/>
      <c r="X74" s="11"/>
      <c r="Y74" s="12"/>
      <c r="Z74" s="12"/>
      <c r="AA74" s="12"/>
      <c r="AB74" s="11"/>
      <c r="AC74" s="13"/>
      <c r="AD74" s="13"/>
      <c r="AE74" s="11"/>
      <c r="AF74" s="12"/>
      <c r="AG74" s="12"/>
      <c r="AH74" s="12"/>
      <c r="AI74" s="11"/>
      <c r="AJ74" s="13"/>
      <c r="AK74" s="379">
        <f t="shared" si="43"/>
        <v>0</v>
      </c>
      <c r="AL74" s="390">
        <v>20162</v>
      </c>
      <c r="AM74" s="19">
        <v>0.75</v>
      </c>
      <c r="AN74" s="20">
        <f t="shared" si="44"/>
        <v>5040.5</v>
      </c>
      <c r="AO74" s="21">
        <f t="shared" si="45"/>
        <v>0</v>
      </c>
      <c r="AP74" s="22">
        <f t="shared" si="46"/>
        <v>0</v>
      </c>
      <c r="AQ74" s="436"/>
      <c r="AR74" s="479">
        <v>1.2</v>
      </c>
      <c r="AS74" s="485">
        <f t="shared" si="50"/>
        <v>0</v>
      </c>
      <c r="AT74" s="382">
        <f t="shared" si="51"/>
        <v>0</v>
      </c>
      <c r="AU74" s="433"/>
      <c r="AV74" s="448" t="s">
        <v>232</v>
      </c>
      <c r="AW74" s="449">
        <f t="shared" si="9"/>
        <v>0</v>
      </c>
      <c r="AX74" s="450">
        <f t="shared" si="49"/>
        <v>0</v>
      </c>
      <c r="AY74" s="570" t="b">
        <f t="shared" si="10"/>
        <v>1</v>
      </c>
    </row>
    <row r="75" spans="1:51" s="558" customFormat="1" ht="13.5" customHeight="1" x14ac:dyDescent="0.3">
      <c r="A75" s="365"/>
      <c r="B75" s="376"/>
      <c r="C75" s="376"/>
      <c r="D75" s="377"/>
      <c r="E75" s="378"/>
      <c r="F75" s="378"/>
      <c r="G75" s="378"/>
      <c r="H75" s="394"/>
      <c r="I75" s="13"/>
      <c r="J75" s="11"/>
      <c r="K75" s="12"/>
      <c r="L75" s="12"/>
      <c r="M75" s="12"/>
      <c r="N75" s="11"/>
      <c r="O75" s="13"/>
      <c r="P75" s="13"/>
      <c r="Q75" s="11"/>
      <c r="R75" s="12"/>
      <c r="S75" s="12"/>
      <c r="T75" s="12"/>
      <c r="U75" s="11"/>
      <c r="V75" s="13"/>
      <c r="W75" s="13"/>
      <c r="X75" s="11"/>
      <c r="Y75" s="12"/>
      <c r="Z75" s="12"/>
      <c r="AA75" s="12"/>
      <c r="AB75" s="11"/>
      <c r="AC75" s="13"/>
      <c r="AD75" s="13"/>
      <c r="AE75" s="11"/>
      <c r="AF75" s="12"/>
      <c r="AG75" s="12"/>
      <c r="AH75" s="12"/>
      <c r="AI75" s="11"/>
      <c r="AJ75" s="13"/>
      <c r="AK75" s="504"/>
      <c r="AL75" s="505"/>
      <c r="AM75" s="506"/>
      <c r="AN75" s="337"/>
      <c r="AO75" s="170"/>
      <c r="AP75" s="170"/>
      <c r="AQ75" s="436"/>
      <c r="AR75" s="479"/>
      <c r="AS75" s="485"/>
      <c r="AT75" s="382"/>
      <c r="AU75" s="433"/>
      <c r="AV75" s="451" t="s">
        <v>142</v>
      </c>
      <c r="AW75" s="425">
        <f>SUM(AW59:AW74)</f>
        <v>15</v>
      </c>
      <c r="AX75" s="426">
        <f>SUM(AX59:AX74)</f>
        <v>37280.800000000003</v>
      </c>
      <c r="AY75" s="570" t="b">
        <f>SUM(AP59:AP74)=AX75</f>
        <v>1</v>
      </c>
    </row>
    <row r="76" spans="1:51" s="558" customFormat="1" ht="13.95" hidden="1" customHeight="1" x14ac:dyDescent="0.3">
      <c r="A76" s="365"/>
      <c r="B76" s="376" t="s">
        <v>339</v>
      </c>
      <c r="C76" s="376" t="s">
        <v>157</v>
      </c>
      <c r="D76" s="389" t="s">
        <v>315</v>
      </c>
      <c r="E76" s="378" t="s">
        <v>204</v>
      </c>
      <c r="F76" s="378">
        <v>0.67708333333333337</v>
      </c>
      <c r="G76" s="378" t="s">
        <v>321</v>
      </c>
      <c r="H76" s="394">
        <v>60</v>
      </c>
      <c r="I76" s="13"/>
      <c r="J76" s="11"/>
      <c r="K76" s="12"/>
      <c r="L76" s="12"/>
      <c r="M76" s="12"/>
      <c r="N76" s="11"/>
      <c r="O76" s="13"/>
      <c r="P76" s="13"/>
      <c r="Q76" s="11"/>
      <c r="R76" s="12"/>
      <c r="S76" s="12"/>
      <c r="T76" s="12"/>
      <c r="U76" s="11"/>
      <c r="V76" s="13"/>
      <c r="W76" s="13"/>
      <c r="X76" s="11"/>
      <c r="Y76" s="12"/>
      <c r="Z76" s="12"/>
      <c r="AA76" s="12"/>
      <c r="AB76" s="11"/>
      <c r="AC76" s="13"/>
      <c r="AD76" s="13"/>
      <c r="AE76" s="11"/>
      <c r="AF76" s="12"/>
      <c r="AG76" s="12"/>
      <c r="AH76" s="12"/>
      <c r="AI76" s="11"/>
      <c r="AJ76" s="13"/>
      <c r="AK76" s="379">
        <f t="shared" ref="AK76:AK92" si="61">SUM(I76:AJ76)</f>
        <v>0</v>
      </c>
      <c r="AL76" s="390">
        <v>6946</v>
      </c>
      <c r="AM76" s="19">
        <v>0.1</v>
      </c>
      <c r="AN76" s="20">
        <f t="shared" ref="AN76:AN92" si="62">AL76*(1-AM76)</f>
        <v>6251.4000000000005</v>
      </c>
      <c r="AO76" s="21">
        <f t="shared" ref="AO76:AO92" si="63">AN76*AK76</f>
        <v>0</v>
      </c>
      <c r="AP76" s="22">
        <f>AO76*0.8</f>
        <v>0</v>
      </c>
      <c r="AQ76" s="436"/>
      <c r="AR76" s="479">
        <v>5.59</v>
      </c>
      <c r="AS76" s="485">
        <f>AR76*AK76</f>
        <v>0</v>
      </c>
      <c r="AT76" s="382">
        <f>IFERROR(AP76/AS76,0)</f>
        <v>0</v>
      </c>
      <c r="AU76" s="433"/>
      <c r="AV76" s="448" t="s">
        <v>183</v>
      </c>
      <c r="AW76" s="449">
        <f t="shared" ref="AW76" si="64">SUM(I76:AJ76)</f>
        <v>0</v>
      </c>
      <c r="AX76" s="450">
        <f t="shared" ref="AX76" si="65">AW76*AN76*0.8</f>
        <v>0</v>
      </c>
      <c r="AY76" s="570" t="b">
        <f t="shared" si="10"/>
        <v>1</v>
      </c>
    </row>
    <row r="77" spans="1:51" s="558" customFormat="1" ht="13.95" customHeight="1" x14ac:dyDescent="0.3">
      <c r="A77" s="365"/>
      <c r="B77" s="376" t="s">
        <v>339</v>
      </c>
      <c r="C77" s="376" t="s">
        <v>157</v>
      </c>
      <c r="D77" s="389" t="s">
        <v>315</v>
      </c>
      <c r="E77" s="378" t="s">
        <v>204</v>
      </c>
      <c r="F77" s="378">
        <v>0.67708333333333337</v>
      </c>
      <c r="G77" s="378" t="s">
        <v>321</v>
      </c>
      <c r="H77" s="394">
        <v>30</v>
      </c>
      <c r="I77" s="13"/>
      <c r="J77" s="11"/>
      <c r="K77" s="12"/>
      <c r="L77" s="12"/>
      <c r="M77" s="12"/>
      <c r="N77" s="11"/>
      <c r="O77" s="13"/>
      <c r="P77" s="13"/>
      <c r="Q77" s="11"/>
      <c r="R77" s="12"/>
      <c r="S77" s="12"/>
      <c r="T77" s="12"/>
      <c r="U77" s="11"/>
      <c r="V77" s="13">
        <v>1</v>
      </c>
      <c r="W77" s="13"/>
      <c r="X77" s="11"/>
      <c r="Y77" s="12"/>
      <c r="Z77" s="12"/>
      <c r="AA77" s="12"/>
      <c r="AB77" s="11"/>
      <c r="AC77" s="13"/>
      <c r="AD77" s="13"/>
      <c r="AE77" s="11"/>
      <c r="AF77" s="12"/>
      <c r="AG77" s="12"/>
      <c r="AH77" s="12"/>
      <c r="AI77" s="11"/>
      <c r="AJ77" s="13"/>
      <c r="AK77" s="379">
        <f t="shared" si="61"/>
        <v>1</v>
      </c>
      <c r="AL77" s="390">
        <v>3473</v>
      </c>
      <c r="AM77" s="19">
        <v>0.1</v>
      </c>
      <c r="AN77" s="20">
        <f t="shared" si="62"/>
        <v>3125.7000000000003</v>
      </c>
      <c r="AO77" s="21">
        <f t="shared" si="63"/>
        <v>3125.7000000000003</v>
      </c>
      <c r="AP77" s="22">
        <f t="shared" ref="AP77:AP92" si="66">AO77*0.8</f>
        <v>2500.5600000000004</v>
      </c>
      <c r="AQ77" s="436"/>
      <c r="AR77" s="479">
        <v>5.59</v>
      </c>
      <c r="AS77" s="485">
        <f t="shared" ref="AS77:AS92" si="67">AR77*AK77</f>
        <v>5.59</v>
      </c>
      <c r="AT77" s="382">
        <f t="shared" ref="AT77:AT92" si="68">IFERROR(AP77/AS77,0)</f>
        <v>447.3273703041146</v>
      </c>
      <c r="AU77" s="433"/>
      <c r="AV77" s="448" t="s">
        <v>183</v>
      </c>
      <c r="AW77" s="449">
        <f t="shared" si="9"/>
        <v>1</v>
      </c>
      <c r="AX77" s="450">
        <f t="shared" ref="AX77:AX92" si="69">AW77*AN77*0.8</f>
        <v>2500.5600000000004</v>
      </c>
      <c r="AY77" s="570" t="b">
        <f t="shared" si="10"/>
        <v>1</v>
      </c>
    </row>
    <row r="78" spans="1:51" s="558" customFormat="1" ht="13.95" hidden="1" customHeight="1" x14ac:dyDescent="0.3">
      <c r="A78" s="365"/>
      <c r="B78" s="376"/>
      <c r="C78" s="376"/>
      <c r="D78" s="396" t="s">
        <v>316</v>
      </c>
      <c r="E78" s="378" t="s">
        <v>203</v>
      </c>
      <c r="F78" s="378">
        <v>0.625</v>
      </c>
      <c r="G78" s="378" t="s">
        <v>322</v>
      </c>
      <c r="H78" s="394">
        <v>60</v>
      </c>
      <c r="I78" s="13"/>
      <c r="J78" s="11"/>
      <c r="K78" s="12"/>
      <c r="L78" s="12"/>
      <c r="M78" s="12"/>
      <c r="N78" s="11"/>
      <c r="O78" s="13"/>
      <c r="P78" s="13"/>
      <c r="Q78" s="11"/>
      <c r="R78" s="12"/>
      <c r="S78" s="12"/>
      <c r="T78" s="12"/>
      <c r="U78" s="11"/>
      <c r="V78" s="13"/>
      <c r="W78" s="13"/>
      <c r="X78" s="11"/>
      <c r="Y78" s="12"/>
      <c r="Z78" s="12"/>
      <c r="AA78" s="12"/>
      <c r="AB78" s="11"/>
      <c r="AC78" s="13"/>
      <c r="AD78" s="13"/>
      <c r="AE78" s="11"/>
      <c r="AF78" s="12"/>
      <c r="AG78" s="12"/>
      <c r="AH78" s="12"/>
      <c r="AI78" s="11"/>
      <c r="AJ78" s="13"/>
      <c r="AK78" s="379">
        <f t="shared" si="61"/>
        <v>0</v>
      </c>
      <c r="AL78" s="390">
        <v>12726</v>
      </c>
      <c r="AM78" s="19">
        <v>0.1</v>
      </c>
      <c r="AN78" s="20">
        <f t="shared" si="62"/>
        <v>11453.4</v>
      </c>
      <c r="AO78" s="21">
        <f t="shared" si="63"/>
        <v>0</v>
      </c>
      <c r="AP78" s="22">
        <f t="shared" si="66"/>
        <v>0</v>
      </c>
      <c r="AQ78" s="436"/>
      <c r="AR78" s="481">
        <v>8.57</v>
      </c>
      <c r="AS78" s="485">
        <f t="shared" si="67"/>
        <v>0</v>
      </c>
      <c r="AT78" s="382">
        <f t="shared" si="68"/>
        <v>0</v>
      </c>
      <c r="AU78" s="433"/>
      <c r="AV78" s="448" t="s">
        <v>183</v>
      </c>
      <c r="AW78" s="449">
        <f t="shared" si="9"/>
        <v>0</v>
      </c>
      <c r="AX78" s="450">
        <f t="shared" si="69"/>
        <v>0</v>
      </c>
      <c r="AY78" s="570" t="b">
        <f t="shared" si="10"/>
        <v>1</v>
      </c>
    </row>
    <row r="79" spans="1:51" s="558" customFormat="1" ht="13.95" customHeight="1" x14ac:dyDescent="0.3">
      <c r="A79" s="365"/>
      <c r="B79" s="376"/>
      <c r="C79" s="376"/>
      <c r="D79" s="377" t="s">
        <v>316</v>
      </c>
      <c r="E79" s="378" t="s">
        <v>203</v>
      </c>
      <c r="F79" s="378">
        <v>0.625</v>
      </c>
      <c r="G79" s="378" t="s">
        <v>322</v>
      </c>
      <c r="H79" s="394">
        <v>30</v>
      </c>
      <c r="I79" s="13"/>
      <c r="J79" s="11"/>
      <c r="K79" s="12"/>
      <c r="L79" s="12"/>
      <c r="M79" s="12"/>
      <c r="N79" s="11"/>
      <c r="O79" s="13"/>
      <c r="P79" s="13"/>
      <c r="Q79" s="11"/>
      <c r="R79" s="12"/>
      <c r="S79" s="12"/>
      <c r="T79" s="12"/>
      <c r="U79" s="11"/>
      <c r="V79" s="13"/>
      <c r="W79" s="13">
        <v>1</v>
      </c>
      <c r="X79" s="11"/>
      <c r="Y79" s="12"/>
      <c r="Z79" s="12"/>
      <c r="AA79" s="12"/>
      <c r="AB79" s="11"/>
      <c r="AC79" s="13"/>
      <c r="AD79" s="13">
        <v>1</v>
      </c>
      <c r="AE79" s="11"/>
      <c r="AF79" s="12"/>
      <c r="AG79" s="12"/>
      <c r="AH79" s="12"/>
      <c r="AI79" s="11"/>
      <c r="AJ79" s="13"/>
      <c r="AK79" s="379">
        <f t="shared" si="61"/>
        <v>2</v>
      </c>
      <c r="AL79" s="390">
        <v>6363</v>
      </c>
      <c r="AM79" s="19">
        <v>0.1</v>
      </c>
      <c r="AN79" s="20">
        <f t="shared" si="62"/>
        <v>5726.7</v>
      </c>
      <c r="AO79" s="21">
        <f t="shared" si="63"/>
        <v>11453.4</v>
      </c>
      <c r="AP79" s="22">
        <f t="shared" si="66"/>
        <v>9162.7199999999993</v>
      </c>
      <c r="AQ79" s="436"/>
      <c r="AR79" s="481">
        <v>8.57</v>
      </c>
      <c r="AS79" s="485">
        <f t="shared" si="67"/>
        <v>17.14</v>
      </c>
      <c r="AT79" s="382">
        <f t="shared" si="68"/>
        <v>534.58109684947487</v>
      </c>
      <c r="AU79" s="433"/>
      <c r="AV79" s="448" t="s">
        <v>183</v>
      </c>
      <c r="AW79" s="449">
        <f t="shared" si="9"/>
        <v>2</v>
      </c>
      <c r="AX79" s="450">
        <f t="shared" si="69"/>
        <v>9162.7199999999993</v>
      </c>
      <c r="AY79" s="570" t="b">
        <f t="shared" si="10"/>
        <v>1</v>
      </c>
    </row>
    <row r="80" spans="1:51" s="558" customFormat="1" ht="13.95" customHeight="1" x14ac:dyDescent="0.3">
      <c r="A80" s="365"/>
      <c r="B80" s="376"/>
      <c r="C80" s="376"/>
      <c r="D80" s="377" t="s">
        <v>317</v>
      </c>
      <c r="E80" s="378" t="s">
        <v>201</v>
      </c>
      <c r="F80" s="378">
        <v>0.39583333333333331</v>
      </c>
      <c r="G80" s="378" t="s">
        <v>323</v>
      </c>
      <c r="H80" s="394">
        <v>30</v>
      </c>
      <c r="I80" s="13"/>
      <c r="J80" s="11"/>
      <c r="K80" s="12"/>
      <c r="L80" s="12"/>
      <c r="M80" s="12"/>
      <c r="N80" s="11"/>
      <c r="O80" s="13"/>
      <c r="P80" s="13"/>
      <c r="Q80" s="11"/>
      <c r="R80" s="12"/>
      <c r="S80" s="12"/>
      <c r="T80" s="12"/>
      <c r="U80" s="11"/>
      <c r="V80" s="13"/>
      <c r="W80" s="13"/>
      <c r="X80" s="11"/>
      <c r="Y80" s="12"/>
      <c r="Z80" s="12">
        <v>1</v>
      </c>
      <c r="AA80" s="12"/>
      <c r="AB80" s="11"/>
      <c r="AC80" s="13"/>
      <c r="AD80" s="13"/>
      <c r="AE80" s="11"/>
      <c r="AF80" s="12">
        <v>1</v>
      </c>
      <c r="AG80" s="12"/>
      <c r="AH80" s="12"/>
      <c r="AI80" s="11"/>
      <c r="AJ80" s="13"/>
      <c r="AK80" s="379">
        <f t="shared" si="61"/>
        <v>2</v>
      </c>
      <c r="AL80" s="390">
        <v>1623</v>
      </c>
      <c r="AM80" s="19">
        <v>0.1</v>
      </c>
      <c r="AN80" s="20">
        <f t="shared" si="62"/>
        <v>1460.7</v>
      </c>
      <c r="AO80" s="21">
        <f t="shared" si="63"/>
        <v>2921.4</v>
      </c>
      <c r="AP80" s="22">
        <f t="shared" si="66"/>
        <v>2337.1200000000003</v>
      </c>
      <c r="AQ80" s="436"/>
      <c r="AR80" s="479">
        <v>3.89</v>
      </c>
      <c r="AS80" s="485">
        <f t="shared" si="67"/>
        <v>7.78</v>
      </c>
      <c r="AT80" s="382">
        <f t="shared" si="68"/>
        <v>300.40102827763502</v>
      </c>
      <c r="AU80" s="433"/>
      <c r="AV80" s="448" t="s">
        <v>183</v>
      </c>
      <c r="AW80" s="449">
        <f t="shared" si="9"/>
        <v>2</v>
      </c>
      <c r="AX80" s="450">
        <f t="shared" si="69"/>
        <v>2337.1200000000003</v>
      </c>
      <c r="AY80" s="570" t="b">
        <f t="shared" si="10"/>
        <v>1</v>
      </c>
    </row>
    <row r="81" spans="1:51" s="558" customFormat="1" ht="13.95" customHeight="1" x14ac:dyDescent="0.3">
      <c r="A81" s="365"/>
      <c r="B81" s="376"/>
      <c r="C81" s="376"/>
      <c r="D81" s="389" t="s">
        <v>306</v>
      </c>
      <c r="E81" s="378" t="s">
        <v>202</v>
      </c>
      <c r="F81" s="378">
        <v>0.55902777777777779</v>
      </c>
      <c r="G81" s="378" t="s">
        <v>324</v>
      </c>
      <c r="H81" s="394">
        <v>30</v>
      </c>
      <c r="I81" s="13"/>
      <c r="J81" s="11"/>
      <c r="K81" s="12"/>
      <c r="L81" s="12"/>
      <c r="M81" s="12"/>
      <c r="N81" s="11"/>
      <c r="O81" s="13"/>
      <c r="P81" s="13"/>
      <c r="Q81" s="11"/>
      <c r="R81" s="12"/>
      <c r="S81" s="12"/>
      <c r="T81" s="12"/>
      <c r="U81" s="11"/>
      <c r="V81" s="13"/>
      <c r="W81" s="13"/>
      <c r="X81" s="11">
        <v>1</v>
      </c>
      <c r="Y81" s="12"/>
      <c r="Z81" s="12"/>
      <c r="AA81" s="12"/>
      <c r="AB81" s="11"/>
      <c r="AC81" s="13"/>
      <c r="AD81" s="13"/>
      <c r="AE81" s="11">
        <v>1</v>
      </c>
      <c r="AF81" s="12"/>
      <c r="AG81" s="12"/>
      <c r="AH81" s="12"/>
      <c r="AI81" s="11"/>
      <c r="AJ81" s="13"/>
      <c r="AK81" s="379">
        <f t="shared" si="61"/>
        <v>2</v>
      </c>
      <c r="AL81" s="390">
        <v>3794</v>
      </c>
      <c r="AM81" s="19">
        <v>0.1</v>
      </c>
      <c r="AN81" s="20">
        <f t="shared" si="62"/>
        <v>3414.6</v>
      </c>
      <c r="AO81" s="21">
        <f t="shared" si="63"/>
        <v>6829.2</v>
      </c>
      <c r="AP81" s="22">
        <f t="shared" si="66"/>
        <v>5463.3600000000006</v>
      </c>
      <c r="AQ81" s="436"/>
      <c r="AR81" s="479">
        <v>5.92</v>
      </c>
      <c r="AS81" s="485">
        <f t="shared" si="67"/>
        <v>11.84</v>
      </c>
      <c r="AT81" s="382">
        <f t="shared" si="68"/>
        <v>461.43243243243251</v>
      </c>
      <c r="AU81" s="433"/>
      <c r="AV81" s="448" t="s">
        <v>183</v>
      </c>
      <c r="AW81" s="449">
        <f t="shared" si="9"/>
        <v>2</v>
      </c>
      <c r="AX81" s="450">
        <f t="shared" si="69"/>
        <v>5463.3600000000006</v>
      </c>
      <c r="AY81" s="570" t="b">
        <f t="shared" si="10"/>
        <v>1</v>
      </c>
    </row>
    <row r="82" spans="1:51" s="558" customFormat="1" ht="13.95" customHeight="1" x14ac:dyDescent="0.3">
      <c r="A82" s="365"/>
      <c r="B82" s="376"/>
      <c r="C82" s="376"/>
      <c r="D82" s="396" t="s">
        <v>186</v>
      </c>
      <c r="E82" s="378" t="s">
        <v>201</v>
      </c>
      <c r="F82" s="378">
        <v>0.85416666666666663</v>
      </c>
      <c r="G82" s="378" t="s">
        <v>325</v>
      </c>
      <c r="H82" s="394">
        <v>60</v>
      </c>
      <c r="I82" s="13"/>
      <c r="J82" s="11"/>
      <c r="K82" s="12"/>
      <c r="L82" s="12"/>
      <c r="M82" s="12"/>
      <c r="N82" s="11"/>
      <c r="O82" s="13"/>
      <c r="P82" s="13"/>
      <c r="Q82" s="11"/>
      <c r="R82" s="12"/>
      <c r="S82" s="12">
        <v>1</v>
      </c>
      <c r="T82" s="12"/>
      <c r="U82" s="11"/>
      <c r="V82" s="13"/>
      <c r="W82" s="13"/>
      <c r="X82" s="11"/>
      <c r="Y82" s="12"/>
      <c r="Z82" s="12"/>
      <c r="AA82" s="12"/>
      <c r="AB82" s="11"/>
      <c r="AC82" s="13"/>
      <c r="AD82" s="13"/>
      <c r="AE82" s="11"/>
      <c r="AF82" s="12"/>
      <c r="AG82" s="12"/>
      <c r="AH82" s="12"/>
      <c r="AI82" s="11"/>
      <c r="AJ82" s="13"/>
      <c r="AK82" s="379">
        <f t="shared" si="61"/>
        <v>1</v>
      </c>
      <c r="AL82" s="390">
        <v>27362</v>
      </c>
      <c r="AM82" s="19">
        <v>0.1</v>
      </c>
      <c r="AN82" s="20">
        <f t="shared" si="62"/>
        <v>24625.8</v>
      </c>
      <c r="AO82" s="21">
        <f t="shared" si="63"/>
        <v>24625.8</v>
      </c>
      <c r="AP82" s="22">
        <f t="shared" si="66"/>
        <v>19700.64</v>
      </c>
      <c r="AQ82" s="436"/>
      <c r="AR82" s="479">
        <v>13.07</v>
      </c>
      <c r="AS82" s="485">
        <f t="shared" si="67"/>
        <v>13.07</v>
      </c>
      <c r="AT82" s="382">
        <f t="shared" si="68"/>
        <v>1507.3175210405509</v>
      </c>
      <c r="AU82" s="433"/>
      <c r="AV82" s="448" t="s">
        <v>183</v>
      </c>
      <c r="AW82" s="449">
        <f t="shared" si="9"/>
        <v>1</v>
      </c>
      <c r="AX82" s="450">
        <f t="shared" si="69"/>
        <v>19700.64</v>
      </c>
      <c r="AY82" s="570" t="b">
        <f t="shared" si="10"/>
        <v>1</v>
      </c>
    </row>
    <row r="83" spans="1:51" s="558" customFormat="1" ht="13.95" hidden="1" customHeight="1" x14ac:dyDescent="0.3">
      <c r="A83" s="365"/>
      <c r="B83" s="376"/>
      <c r="C83" s="376"/>
      <c r="D83" s="377" t="s">
        <v>186</v>
      </c>
      <c r="E83" s="378" t="s">
        <v>201</v>
      </c>
      <c r="F83" s="378">
        <v>0.85416666666666663</v>
      </c>
      <c r="G83" s="378" t="s">
        <v>325</v>
      </c>
      <c r="H83" s="394">
        <v>30</v>
      </c>
      <c r="I83" s="13"/>
      <c r="J83" s="11"/>
      <c r="K83" s="12"/>
      <c r="L83" s="12"/>
      <c r="M83" s="12"/>
      <c r="N83" s="11"/>
      <c r="O83" s="13"/>
      <c r="P83" s="13"/>
      <c r="Q83" s="11"/>
      <c r="R83" s="12"/>
      <c r="S83" s="12"/>
      <c r="T83" s="12"/>
      <c r="U83" s="11"/>
      <c r="V83" s="13"/>
      <c r="W83" s="13"/>
      <c r="X83" s="11"/>
      <c r="Y83" s="12"/>
      <c r="Z83" s="12"/>
      <c r="AA83" s="12"/>
      <c r="AB83" s="11"/>
      <c r="AC83" s="13"/>
      <c r="AD83" s="13"/>
      <c r="AE83" s="11"/>
      <c r="AF83" s="12"/>
      <c r="AG83" s="12"/>
      <c r="AH83" s="12"/>
      <c r="AI83" s="11"/>
      <c r="AJ83" s="13"/>
      <c r="AK83" s="379">
        <f t="shared" si="61"/>
        <v>0</v>
      </c>
      <c r="AL83" s="390">
        <v>13681</v>
      </c>
      <c r="AM83" s="19">
        <v>0.1</v>
      </c>
      <c r="AN83" s="20">
        <f t="shared" si="62"/>
        <v>12312.9</v>
      </c>
      <c r="AO83" s="21">
        <f t="shared" si="63"/>
        <v>0</v>
      </c>
      <c r="AP83" s="22">
        <f t="shared" si="66"/>
        <v>0</v>
      </c>
      <c r="AQ83" s="436"/>
      <c r="AR83" s="479">
        <v>13.07</v>
      </c>
      <c r="AS83" s="485">
        <f t="shared" si="67"/>
        <v>0</v>
      </c>
      <c r="AT83" s="382">
        <f t="shared" si="68"/>
        <v>0</v>
      </c>
      <c r="AU83" s="433"/>
      <c r="AV83" s="448" t="s">
        <v>183</v>
      </c>
      <c r="AW83" s="449">
        <f t="shared" ref="AW83:AW92" si="70">SUM(I83:AJ83)</f>
        <v>0</v>
      </c>
      <c r="AX83" s="450">
        <f t="shared" si="69"/>
        <v>0</v>
      </c>
      <c r="AY83" s="570" t="b">
        <f t="shared" ref="AY83:AY125" si="71">SUM(AX83)=AP83</f>
        <v>1</v>
      </c>
    </row>
    <row r="84" spans="1:51" s="558" customFormat="1" ht="13.95" hidden="1" customHeight="1" x14ac:dyDescent="0.3">
      <c r="A84" s="365"/>
      <c r="B84" s="376"/>
      <c r="C84" s="376"/>
      <c r="D84" s="389" t="s">
        <v>318</v>
      </c>
      <c r="E84" s="378" t="s">
        <v>201</v>
      </c>
      <c r="F84" s="378">
        <v>0.44097222222222221</v>
      </c>
      <c r="G84" s="378" t="s">
        <v>326</v>
      </c>
      <c r="H84" s="394">
        <v>60</v>
      </c>
      <c r="I84" s="13"/>
      <c r="J84" s="11"/>
      <c r="K84" s="12"/>
      <c r="L84" s="12"/>
      <c r="M84" s="12"/>
      <c r="N84" s="11"/>
      <c r="O84" s="13"/>
      <c r="P84" s="13"/>
      <c r="Q84" s="11"/>
      <c r="R84" s="12"/>
      <c r="S84" s="12"/>
      <c r="T84" s="12"/>
      <c r="U84" s="11"/>
      <c r="V84" s="13"/>
      <c r="W84" s="13"/>
      <c r="X84" s="11"/>
      <c r="Y84" s="12"/>
      <c r="Z84" s="12"/>
      <c r="AA84" s="12"/>
      <c r="AB84" s="11"/>
      <c r="AC84" s="13"/>
      <c r="AD84" s="13"/>
      <c r="AE84" s="11"/>
      <c r="AF84" s="12"/>
      <c r="AG84" s="12"/>
      <c r="AH84" s="12"/>
      <c r="AI84" s="11"/>
      <c r="AJ84" s="13"/>
      <c r="AK84" s="379">
        <f t="shared" si="61"/>
        <v>0</v>
      </c>
      <c r="AL84" s="390">
        <v>3870</v>
      </c>
      <c r="AM84" s="19">
        <v>0.1</v>
      </c>
      <c r="AN84" s="20">
        <f t="shared" si="62"/>
        <v>3483</v>
      </c>
      <c r="AO84" s="21">
        <f t="shared" si="63"/>
        <v>0</v>
      </c>
      <c r="AP84" s="22">
        <f t="shared" si="66"/>
        <v>0</v>
      </c>
      <c r="AQ84" s="436"/>
      <c r="AR84" s="479">
        <v>3.79</v>
      </c>
      <c r="AS84" s="485">
        <f t="shared" si="67"/>
        <v>0</v>
      </c>
      <c r="AT84" s="382">
        <f t="shared" si="68"/>
        <v>0</v>
      </c>
      <c r="AU84" s="433"/>
      <c r="AV84" s="448" t="s">
        <v>183</v>
      </c>
      <c r="AW84" s="449">
        <f t="shared" si="70"/>
        <v>0</v>
      </c>
      <c r="AX84" s="450">
        <f t="shared" si="69"/>
        <v>0</v>
      </c>
      <c r="AY84" s="570" t="b">
        <f t="shared" si="71"/>
        <v>1</v>
      </c>
    </row>
    <row r="85" spans="1:51" s="558" customFormat="1" ht="13.95" customHeight="1" x14ac:dyDescent="0.3">
      <c r="A85" s="365"/>
      <c r="B85" s="376"/>
      <c r="C85" s="376"/>
      <c r="D85" s="396" t="s">
        <v>318</v>
      </c>
      <c r="E85" s="378" t="s">
        <v>201</v>
      </c>
      <c r="F85" s="378">
        <v>0.44097222222222221</v>
      </c>
      <c r="G85" s="378" t="s">
        <v>326</v>
      </c>
      <c r="H85" s="394">
        <v>30</v>
      </c>
      <c r="I85" s="13"/>
      <c r="J85" s="11"/>
      <c r="K85" s="12"/>
      <c r="L85" s="12"/>
      <c r="M85" s="12"/>
      <c r="N85" s="11"/>
      <c r="O85" s="13"/>
      <c r="P85" s="13"/>
      <c r="Q85" s="11"/>
      <c r="R85" s="12"/>
      <c r="S85" s="12"/>
      <c r="T85" s="12"/>
      <c r="U85" s="11">
        <v>1</v>
      </c>
      <c r="V85" s="13"/>
      <c r="W85" s="13"/>
      <c r="X85" s="11"/>
      <c r="Y85" s="12">
        <v>1</v>
      </c>
      <c r="Z85" s="12"/>
      <c r="AA85" s="12"/>
      <c r="AB85" s="11"/>
      <c r="AC85" s="13"/>
      <c r="AD85" s="13"/>
      <c r="AE85" s="11"/>
      <c r="AF85" s="12"/>
      <c r="AG85" s="12">
        <v>1</v>
      </c>
      <c r="AH85" s="12"/>
      <c r="AI85" s="11"/>
      <c r="AJ85" s="13"/>
      <c r="AK85" s="379">
        <f t="shared" si="61"/>
        <v>3</v>
      </c>
      <c r="AL85" s="390">
        <v>1935</v>
      </c>
      <c r="AM85" s="19">
        <v>0.1</v>
      </c>
      <c r="AN85" s="20">
        <f t="shared" si="62"/>
        <v>1741.5</v>
      </c>
      <c r="AO85" s="21">
        <f t="shared" si="63"/>
        <v>5224.5</v>
      </c>
      <c r="AP85" s="22">
        <f t="shared" si="66"/>
        <v>4179.6000000000004</v>
      </c>
      <c r="AQ85" s="436"/>
      <c r="AR85" s="479">
        <v>3.79</v>
      </c>
      <c r="AS85" s="485">
        <f t="shared" si="67"/>
        <v>11.370000000000001</v>
      </c>
      <c r="AT85" s="382">
        <f t="shared" si="68"/>
        <v>367.59894459102901</v>
      </c>
      <c r="AU85" s="433"/>
      <c r="AV85" s="448" t="s">
        <v>183</v>
      </c>
      <c r="AW85" s="449">
        <f t="shared" si="70"/>
        <v>3</v>
      </c>
      <c r="AX85" s="450">
        <f t="shared" si="69"/>
        <v>4179.6000000000004</v>
      </c>
      <c r="AY85" s="570" t="b">
        <f t="shared" si="71"/>
        <v>1</v>
      </c>
    </row>
    <row r="86" spans="1:51" s="558" customFormat="1" ht="13.95" customHeight="1" x14ac:dyDescent="0.3">
      <c r="A86" s="365"/>
      <c r="B86" s="376"/>
      <c r="C86" s="376"/>
      <c r="D86" s="377" t="s">
        <v>319</v>
      </c>
      <c r="E86" s="378" t="s">
        <v>202</v>
      </c>
      <c r="F86" s="378">
        <v>0.61458333333333337</v>
      </c>
      <c r="G86" s="378" t="s">
        <v>327</v>
      </c>
      <c r="H86" s="394">
        <v>30</v>
      </c>
      <c r="I86" s="13"/>
      <c r="J86" s="11"/>
      <c r="K86" s="12"/>
      <c r="L86" s="12"/>
      <c r="M86" s="12"/>
      <c r="N86" s="11"/>
      <c r="O86" s="13"/>
      <c r="P86" s="13"/>
      <c r="Q86" s="11"/>
      <c r="R86" s="12"/>
      <c r="S86" s="12"/>
      <c r="T86" s="12"/>
      <c r="U86" s="11"/>
      <c r="V86" s="13"/>
      <c r="W86" s="13"/>
      <c r="X86" s="11"/>
      <c r="Y86" s="12">
        <v>1</v>
      </c>
      <c r="Z86" s="12"/>
      <c r="AA86" s="12"/>
      <c r="AB86" s="11"/>
      <c r="AC86" s="13"/>
      <c r="AD86" s="13"/>
      <c r="AE86" s="11"/>
      <c r="AF86" s="12"/>
      <c r="AG86" s="12"/>
      <c r="AH86" s="12"/>
      <c r="AI86" s="11"/>
      <c r="AJ86" s="13"/>
      <c r="AK86" s="379">
        <f t="shared" si="61"/>
        <v>1</v>
      </c>
      <c r="AL86" s="390">
        <v>2636</v>
      </c>
      <c r="AM86" s="19">
        <v>0.1</v>
      </c>
      <c r="AN86" s="20">
        <f t="shared" si="62"/>
        <v>2372.4</v>
      </c>
      <c r="AO86" s="21">
        <f t="shared" si="63"/>
        <v>2372.4</v>
      </c>
      <c r="AP86" s="22">
        <f t="shared" si="66"/>
        <v>1897.92</v>
      </c>
      <c r="AQ86" s="436"/>
      <c r="AR86" s="481">
        <v>6.47</v>
      </c>
      <c r="AS86" s="485">
        <f t="shared" si="67"/>
        <v>6.47</v>
      </c>
      <c r="AT86" s="382">
        <f t="shared" si="68"/>
        <v>293.34157650695522</v>
      </c>
      <c r="AU86" s="433"/>
      <c r="AV86" s="448" t="s">
        <v>183</v>
      </c>
      <c r="AW86" s="449">
        <f t="shared" si="70"/>
        <v>1</v>
      </c>
      <c r="AX86" s="450">
        <f t="shared" si="69"/>
        <v>1897.92</v>
      </c>
      <c r="AY86" s="570" t="b">
        <f t="shared" si="71"/>
        <v>1</v>
      </c>
    </row>
    <row r="87" spans="1:51" s="558" customFormat="1" ht="13.95" customHeight="1" x14ac:dyDescent="0.3">
      <c r="A87" s="365"/>
      <c r="B87" s="376"/>
      <c r="C87" s="376"/>
      <c r="D87" s="377" t="s">
        <v>197</v>
      </c>
      <c r="E87" s="378" t="s">
        <v>201</v>
      </c>
      <c r="F87" s="378">
        <v>0.76736111111111116</v>
      </c>
      <c r="G87" s="378" t="s">
        <v>328</v>
      </c>
      <c r="H87" s="394">
        <v>30</v>
      </c>
      <c r="I87" s="13"/>
      <c r="J87" s="11"/>
      <c r="K87" s="12"/>
      <c r="L87" s="12"/>
      <c r="M87" s="12"/>
      <c r="N87" s="11"/>
      <c r="O87" s="13"/>
      <c r="P87" s="13"/>
      <c r="Q87" s="11"/>
      <c r="R87" s="12"/>
      <c r="S87" s="12"/>
      <c r="T87" s="12"/>
      <c r="U87" s="11"/>
      <c r="V87" s="13"/>
      <c r="W87" s="13"/>
      <c r="X87" s="11"/>
      <c r="Y87" s="12"/>
      <c r="Z87" s="12"/>
      <c r="AA87" s="12">
        <v>1</v>
      </c>
      <c r="AB87" s="11"/>
      <c r="AC87" s="13"/>
      <c r="AD87" s="13"/>
      <c r="AE87" s="11"/>
      <c r="AF87" s="12"/>
      <c r="AG87" s="12"/>
      <c r="AH87" s="12"/>
      <c r="AI87" s="11"/>
      <c r="AJ87" s="13"/>
      <c r="AK87" s="379">
        <f t="shared" si="61"/>
        <v>1</v>
      </c>
      <c r="AL87" s="390">
        <v>6402</v>
      </c>
      <c r="AM87" s="19">
        <v>0.1</v>
      </c>
      <c r="AN87" s="20">
        <f t="shared" si="62"/>
        <v>5761.8</v>
      </c>
      <c r="AO87" s="21">
        <f t="shared" si="63"/>
        <v>5761.8</v>
      </c>
      <c r="AP87" s="22">
        <f t="shared" si="66"/>
        <v>4609.4400000000005</v>
      </c>
      <c r="AQ87" s="436"/>
      <c r="AR87" s="479">
        <v>8.5</v>
      </c>
      <c r="AS87" s="485">
        <f t="shared" si="67"/>
        <v>8.5</v>
      </c>
      <c r="AT87" s="382">
        <f t="shared" si="68"/>
        <v>542.28705882352949</v>
      </c>
      <c r="AU87" s="433"/>
      <c r="AV87" s="448" t="s">
        <v>183</v>
      </c>
      <c r="AW87" s="449">
        <f t="shared" si="70"/>
        <v>1</v>
      </c>
      <c r="AX87" s="450">
        <f t="shared" si="69"/>
        <v>4609.4400000000005</v>
      </c>
      <c r="AY87" s="570" t="b">
        <f t="shared" si="71"/>
        <v>1</v>
      </c>
    </row>
    <row r="88" spans="1:51" s="558" customFormat="1" ht="13.95" hidden="1" customHeight="1" x14ac:dyDescent="0.3">
      <c r="A88" s="365"/>
      <c r="B88" s="376"/>
      <c r="C88" s="376"/>
      <c r="D88" s="389" t="s">
        <v>187</v>
      </c>
      <c r="E88" s="378" t="s">
        <v>201</v>
      </c>
      <c r="F88" s="378">
        <v>0.81944444444444442</v>
      </c>
      <c r="G88" s="378" t="s">
        <v>188</v>
      </c>
      <c r="H88" s="394">
        <v>60</v>
      </c>
      <c r="I88" s="13"/>
      <c r="J88" s="11"/>
      <c r="K88" s="12"/>
      <c r="L88" s="12"/>
      <c r="M88" s="12"/>
      <c r="N88" s="11"/>
      <c r="O88" s="13"/>
      <c r="P88" s="13"/>
      <c r="Q88" s="11"/>
      <c r="R88" s="12"/>
      <c r="S88" s="12"/>
      <c r="T88" s="12"/>
      <c r="U88" s="11"/>
      <c r="V88" s="13"/>
      <c r="W88" s="13"/>
      <c r="X88" s="11"/>
      <c r="Y88" s="12"/>
      <c r="Z88" s="12"/>
      <c r="AA88" s="12"/>
      <c r="AB88" s="11"/>
      <c r="AC88" s="13"/>
      <c r="AD88" s="13"/>
      <c r="AE88" s="11"/>
      <c r="AF88" s="12"/>
      <c r="AG88" s="12"/>
      <c r="AH88" s="12"/>
      <c r="AI88" s="11"/>
      <c r="AJ88" s="13"/>
      <c r="AK88" s="379">
        <f t="shared" si="61"/>
        <v>0</v>
      </c>
      <c r="AL88" s="390">
        <v>15284</v>
      </c>
      <c r="AM88" s="19">
        <v>0.1</v>
      </c>
      <c r="AN88" s="20">
        <f t="shared" si="62"/>
        <v>13755.6</v>
      </c>
      <c r="AO88" s="21">
        <f t="shared" si="63"/>
        <v>0</v>
      </c>
      <c r="AP88" s="22">
        <f t="shared" si="66"/>
        <v>0</v>
      </c>
      <c r="AQ88" s="436"/>
      <c r="AR88" s="479">
        <v>12.33</v>
      </c>
      <c r="AS88" s="485">
        <f t="shared" si="67"/>
        <v>0</v>
      </c>
      <c r="AT88" s="382">
        <f t="shared" si="68"/>
        <v>0</v>
      </c>
      <c r="AU88" s="433"/>
      <c r="AV88" s="448" t="s">
        <v>183</v>
      </c>
      <c r="AW88" s="449">
        <f t="shared" si="70"/>
        <v>0</v>
      </c>
      <c r="AX88" s="450">
        <f t="shared" si="69"/>
        <v>0</v>
      </c>
      <c r="AY88" s="570" t="b">
        <f t="shared" si="71"/>
        <v>1</v>
      </c>
    </row>
    <row r="89" spans="1:51" s="558" customFormat="1" ht="13.95" customHeight="1" x14ac:dyDescent="0.3">
      <c r="A89" s="365"/>
      <c r="B89" s="376"/>
      <c r="C89" s="376"/>
      <c r="D89" s="396" t="s">
        <v>187</v>
      </c>
      <c r="E89" s="378" t="s">
        <v>201</v>
      </c>
      <c r="F89" s="378">
        <v>0.81944444444444442</v>
      </c>
      <c r="G89" s="378" t="s">
        <v>188</v>
      </c>
      <c r="H89" s="394">
        <v>30</v>
      </c>
      <c r="I89" s="13"/>
      <c r="J89" s="11"/>
      <c r="K89" s="12"/>
      <c r="L89" s="12"/>
      <c r="M89" s="12"/>
      <c r="N89" s="11"/>
      <c r="O89" s="13"/>
      <c r="P89" s="13"/>
      <c r="Q89" s="11"/>
      <c r="R89" s="12"/>
      <c r="S89" s="12"/>
      <c r="T89" s="12"/>
      <c r="U89" s="11">
        <v>1</v>
      </c>
      <c r="V89" s="13"/>
      <c r="W89" s="13"/>
      <c r="X89" s="11"/>
      <c r="Y89" s="12"/>
      <c r="Z89" s="12"/>
      <c r="AA89" s="12"/>
      <c r="AB89" s="11">
        <v>1</v>
      </c>
      <c r="AC89" s="13"/>
      <c r="AD89" s="13"/>
      <c r="AE89" s="11"/>
      <c r="AF89" s="12"/>
      <c r="AG89" s="12"/>
      <c r="AH89" s="12"/>
      <c r="AI89" s="11"/>
      <c r="AJ89" s="13"/>
      <c r="AK89" s="379">
        <f t="shared" si="61"/>
        <v>2</v>
      </c>
      <c r="AL89" s="390">
        <v>7642</v>
      </c>
      <c r="AM89" s="19">
        <v>0.1</v>
      </c>
      <c r="AN89" s="20">
        <f t="shared" si="62"/>
        <v>6877.8</v>
      </c>
      <c r="AO89" s="21">
        <f t="shared" si="63"/>
        <v>13755.6</v>
      </c>
      <c r="AP89" s="22">
        <f t="shared" si="66"/>
        <v>11004.480000000001</v>
      </c>
      <c r="AQ89" s="436"/>
      <c r="AR89" s="479">
        <v>12.33</v>
      </c>
      <c r="AS89" s="485">
        <f t="shared" si="67"/>
        <v>24.66</v>
      </c>
      <c r="AT89" s="382">
        <f t="shared" si="68"/>
        <v>446.24817518248182</v>
      </c>
      <c r="AU89" s="433"/>
      <c r="AV89" s="448" t="s">
        <v>183</v>
      </c>
      <c r="AW89" s="449">
        <f t="shared" si="70"/>
        <v>2</v>
      </c>
      <c r="AX89" s="450">
        <f t="shared" si="69"/>
        <v>11004.480000000001</v>
      </c>
      <c r="AY89" s="570" t="b">
        <f t="shared" si="71"/>
        <v>1</v>
      </c>
    </row>
    <row r="90" spans="1:51" s="558" customFormat="1" ht="13.95" customHeight="1" x14ac:dyDescent="0.3">
      <c r="A90" s="365"/>
      <c r="B90" s="376"/>
      <c r="C90" s="376"/>
      <c r="D90" s="389" t="s">
        <v>196</v>
      </c>
      <c r="E90" s="378" t="s">
        <v>201</v>
      </c>
      <c r="F90" s="378">
        <v>0.88888888888888884</v>
      </c>
      <c r="G90" s="378" t="s">
        <v>329</v>
      </c>
      <c r="H90" s="394">
        <v>60</v>
      </c>
      <c r="I90" s="13"/>
      <c r="J90" s="11"/>
      <c r="K90" s="12"/>
      <c r="L90" s="12"/>
      <c r="M90" s="12"/>
      <c r="N90" s="11"/>
      <c r="O90" s="13"/>
      <c r="P90" s="13"/>
      <c r="Q90" s="11"/>
      <c r="R90" s="12"/>
      <c r="S90" s="12"/>
      <c r="T90" s="12">
        <v>1</v>
      </c>
      <c r="U90" s="11"/>
      <c r="V90" s="13"/>
      <c r="W90" s="13"/>
      <c r="X90" s="11"/>
      <c r="Y90" s="12"/>
      <c r="Z90" s="12"/>
      <c r="AA90" s="12"/>
      <c r="AB90" s="11"/>
      <c r="AC90" s="13"/>
      <c r="AD90" s="13"/>
      <c r="AE90" s="11"/>
      <c r="AF90" s="12"/>
      <c r="AG90" s="12"/>
      <c r="AH90" s="12"/>
      <c r="AI90" s="11"/>
      <c r="AJ90" s="13"/>
      <c r="AK90" s="379">
        <f t="shared" si="61"/>
        <v>1</v>
      </c>
      <c r="AL90" s="390">
        <v>28836</v>
      </c>
      <c r="AM90" s="19">
        <v>0.1</v>
      </c>
      <c r="AN90" s="20">
        <f t="shared" si="62"/>
        <v>25952.400000000001</v>
      </c>
      <c r="AO90" s="21">
        <f t="shared" si="63"/>
        <v>25952.400000000001</v>
      </c>
      <c r="AP90" s="22">
        <f t="shared" si="66"/>
        <v>20761.920000000002</v>
      </c>
      <c r="AQ90" s="436"/>
      <c r="AR90" s="481">
        <v>13.4</v>
      </c>
      <c r="AS90" s="485">
        <f t="shared" si="67"/>
        <v>13.4</v>
      </c>
      <c r="AT90" s="382">
        <f t="shared" si="68"/>
        <v>1549.3970149253732</v>
      </c>
      <c r="AU90" s="433"/>
      <c r="AV90" s="448" t="s">
        <v>183</v>
      </c>
      <c r="AW90" s="449">
        <f t="shared" si="70"/>
        <v>1</v>
      </c>
      <c r="AX90" s="450">
        <f t="shared" si="69"/>
        <v>20761.920000000002</v>
      </c>
      <c r="AY90" s="570" t="b">
        <f t="shared" si="71"/>
        <v>1</v>
      </c>
    </row>
    <row r="91" spans="1:51" s="558" customFormat="1" ht="13.95" customHeight="1" x14ac:dyDescent="0.3">
      <c r="A91" s="365"/>
      <c r="B91" s="376"/>
      <c r="C91" s="376"/>
      <c r="D91" s="396" t="s">
        <v>196</v>
      </c>
      <c r="E91" s="378" t="s">
        <v>201</v>
      </c>
      <c r="F91" s="378">
        <v>0.88888888888888884</v>
      </c>
      <c r="G91" s="378" t="s">
        <v>329</v>
      </c>
      <c r="H91" s="394">
        <v>30</v>
      </c>
      <c r="I91" s="13"/>
      <c r="J91" s="11"/>
      <c r="K91" s="12"/>
      <c r="L91" s="12"/>
      <c r="M91" s="12"/>
      <c r="N91" s="11"/>
      <c r="O91" s="13"/>
      <c r="P91" s="13"/>
      <c r="Q91" s="11"/>
      <c r="R91" s="12"/>
      <c r="S91" s="12"/>
      <c r="T91" s="12"/>
      <c r="U91" s="11"/>
      <c r="V91" s="13"/>
      <c r="W91" s="13"/>
      <c r="X91" s="11"/>
      <c r="Y91" s="12"/>
      <c r="Z91" s="12"/>
      <c r="AA91" s="12"/>
      <c r="AB91" s="11"/>
      <c r="AC91" s="13"/>
      <c r="AD91" s="13"/>
      <c r="AE91" s="11"/>
      <c r="AF91" s="12">
        <v>1</v>
      </c>
      <c r="AG91" s="12"/>
      <c r="AH91" s="12"/>
      <c r="AI91" s="11"/>
      <c r="AJ91" s="13"/>
      <c r="AK91" s="379">
        <f t="shared" si="61"/>
        <v>1</v>
      </c>
      <c r="AL91" s="390">
        <v>14418</v>
      </c>
      <c r="AM91" s="19">
        <v>0.1</v>
      </c>
      <c r="AN91" s="20">
        <f t="shared" si="62"/>
        <v>12976.2</v>
      </c>
      <c r="AO91" s="21">
        <f t="shared" si="63"/>
        <v>12976.2</v>
      </c>
      <c r="AP91" s="22">
        <f t="shared" si="66"/>
        <v>10380.960000000001</v>
      </c>
      <c r="AQ91" s="436"/>
      <c r="AR91" s="481">
        <v>13.4</v>
      </c>
      <c r="AS91" s="485">
        <f t="shared" si="67"/>
        <v>13.4</v>
      </c>
      <c r="AT91" s="382">
        <f t="shared" si="68"/>
        <v>774.69850746268662</v>
      </c>
      <c r="AU91" s="433"/>
      <c r="AV91" s="448" t="s">
        <v>183</v>
      </c>
      <c r="AW91" s="449">
        <f t="shared" si="70"/>
        <v>1</v>
      </c>
      <c r="AX91" s="450">
        <f t="shared" si="69"/>
        <v>10380.960000000001</v>
      </c>
      <c r="AY91" s="570" t="b">
        <f t="shared" si="71"/>
        <v>1</v>
      </c>
    </row>
    <row r="92" spans="1:51" s="558" customFormat="1" ht="13.95" customHeight="1" x14ac:dyDescent="0.3">
      <c r="A92" s="365"/>
      <c r="B92" s="376"/>
      <c r="C92" s="376"/>
      <c r="D92" s="377" t="s">
        <v>320</v>
      </c>
      <c r="E92" s="378" t="s">
        <v>201</v>
      </c>
      <c r="F92" s="378">
        <v>0.71180555555555558</v>
      </c>
      <c r="G92" s="378" t="s">
        <v>330</v>
      </c>
      <c r="H92" s="394">
        <v>30</v>
      </c>
      <c r="I92" s="13"/>
      <c r="J92" s="11"/>
      <c r="K92" s="12"/>
      <c r="L92" s="12"/>
      <c r="M92" s="12"/>
      <c r="N92" s="11"/>
      <c r="O92" s="13"/>
      <c r="P92" s="13"/>
      <c r="Q92" s="11"/>
      <c r="R92" s="12"/>
      <c r="S92" s="12"/>
      <c r="T92" s="12"/>
      <c r="U92" s="11"/>
      <c r="V92" s="13"/>
      <c r="W92" s="13"/>
      <c r="X92" s="11">
        <v>1</v>
      </c>
      <c r="Y92" s="12"/>
      <c r="Z92" s="12"/>
      <c r="AA92" s="12"/>
      <c r="AB92" s="11"/>
      <c r="AC92" s="13"/>
      <c r="AD92" s="13"/>
      <c r="AE92" s="11"/>
      <c r="AF92" s="12"/>
      <c r="AG92" s="12">
        <v>1</v>
      </c>
      <c r="AH92" s="12"/>
      <c r="AI92" s="11"/>
      <c r="AJ92" s="13"/>
      <c r="AK92" s="379">
        <f t="shared" si="61"/>
        <v>2</v>
      </c>
      <c r="AL92" s="390">
        <v>2601</v>
      </c>
      <c r="AM92" s="19">
        <v>0.1</v>
      </c>
      <c r="AN92" s="20">
        <f t="shared" si="62"/>
        <v>2340.9</v>
      </c>
      <c r="AO92" s="21">
        <f t="shared" si="63"/>
        <v>4681.8</v>
      </c>
      <c r="AP92" s="22">
        <f t="shared" si="66"/>
        <v>3745.4400000000005</v>
      </c>
      <c r="AQ92" s="436"/>
      <c r="AR92" s="479">
        <v>9.2100000000000009</v>
      </c>
      <c r="AS92" s="485">
        <f t="shared" si="67"/>
        <v>18.420000000000002</v>
      </c>
      <c r="AT92" s="382">
        <f t="shared" si="68"/>
        <v>203.33550488599349</v>
      </c>
      <c r="AU92" s="433"/>
      <c r="AV92" s="448" t="s">
        <v>183</v>
      </c>
      <c r="AW92" s="449">
        <f t="shared" si="70"/>
        <v>2</v>
      </c>
      <c r="AX92" s="450">
        <f t="shared" si="69"/>
        <v>3745.4400000000005</v>
      </c>
      <c r="AY92" s="570" t="b">
        <f t="shared" si="71"/>
        <v>1</v>
      </c>
    </row>
    <row r="93" spans="1:51" s="558" customFormat="1" ht="13.95" customHeight="1" x14ac:dyDescent="0.3">
      <c r="A93" s="365"/>
      <c r="B93" s="376"/>
      <c r="C93" s="376"/>
      <c r="D93" s="377"/>
      <c r="E93" s="378"/>
      <c r="F93" s="378"/>
      <c r="G93" s="378"/>
      <c r="H93" s="394"/>
      <c r="I93" s="13"/>
      <c r="J93" s="11"/>
      <c r="K93" s="12"/>
      <c r="L93" s="12"/>
      <c r="M93" s="12"/>
      <c r="N93" s="11"/>
      <c r="O93" s="13"/>
      <c r="P93" s="13"/>
      <c r="Q93" s="11"/>
      <c r="R93" s="12"/>
      <c r="S93" s="12"/>
      <c r="T93" s="12"/>
      <c r="U93" s="11"/>
      <c r="V93" s="13"/>
      <c r="W93" s="13"/>
      <c r="X93" s="11"/>
      <c r="Y93" s="12"/>
      <c r="Z93" s="12"/>
      <c r="AA93" s="12"/>
      <c r="AB93" s="11"/>
      <c r="AC93" s="13"/>
      <c r="AD93" s="13"/>
      <c r="AE93" s="11"/>
      <c r="AF93" s="12"/>
      <c r="AG93" s="12"/>
      <c r="AH93" s="12"/>
      <c r="AI93" s="11"/>
      <c r="AJ93" s="13"/>
      <c r="AK93" s="504"/>
      <c r="AL93" s="505"/>
      <c r="AM93" s="506"/>
      <c r="AN93" s="337"/>
      <c r="AO93" s="170"/>
      <c r="AP93" s="170"/>
      <c r="AQ93" s="436"/>
      <c r="AR93" s="479"/>
      <c r="AS93" s="485">
        <f t="shared" ref="AS93:AS107" si="72">AR93*AK93</f>
        <v>0</v>
      </c>
      <c r="AT93" s="382">
        <f t="shared" ref="AT93:AT107" si="73">IFERROR(AP93/AS93,0)</f>
        <v>0</v>
      </c>
      <c r="AU93" s="433"/>
      <c r="AV93" s="451" t="s">
        <v>142</v>
      </c>
      <c r="AW93" s="425">
        <f>SUM(AW76:AW92)</f>
        <v>19</v>
      </c>
      <c r="AX93" s="426">
        <f>SUM(AX76:AX92)</f>
        <v>95744.160000000018</v>
      </c>
      <c r="AY93" s="570" t="b">
        <f>SUM(AP76:AP92)=AX93</f>
        <v>1</v>
      </c>
    </row>
    <row r="94" spans="1:51" s="558" customFormat="1" ht="13.95" hidden="1" customHeight="1" x14ac:dyDescent="0.3">
      <c r="A94" s="365"/>
      <c r="B94" s="376"/>
      <c r="C94" s="376" t="s">
        <v>232</v>
      </c>
      <c r="D94" s="554" t="s">
        <v>340</v>
      </c>
      <c r="E94" s="378" t="s">
        <v>201</v>
      </c>
      <c r="F94" s="507" t="s">
        <v>341</v>
      </c>
      <c r="G94" s="508" t="s">
        <v>342</v>
      </c>
      <c r="H94" s="394">
        <v>60</v>
      </c>
      <c r="I94" s="13"/>
      <c r="J94" s="11"/>
      <c r="K94" s="12"/>
      <c r="L94" s="12"/>
      <c r="M94" s="12"/>
      <c r="N94" s="11"/>
      <c r="O94" s="13"/>
      <c r="P94" s="13"/>
      <c r="Q94" s="11"/>
      <c r="R94" s="12"/>
      <c r="S94" s="12"/>
      <c r="T94" s="12"/>
      <c r="U94" s="12"/>
      <c r="V94" s="13"/>
      <c r="W94" s="13"/>
      <c r="X94" s="11"/>
      <c r="Y94" s="12"/>
      <c r="Z94" s="12"/>
      <c r="AA94" s="12"/>
      <c r="AB94" s="11"/>
      <c r="AC94" s="13"/>
      <c r="AD94" s="13"/>
      <c r="AE94" s="11"/>
      <c r="AF94" s="12"/>
      <c r="AG94" s="12"/>
      <c r="AH94" s="12"/>
      <c r="AI94" s="11"/>
      <c r="AJ94" s="13"/>
      <c r="AK94" s="379">
        <f t="shared" ref="AK94:AK107" si="74">SUM(I94:AJ94)</f>
        <v>0</v>
      </c>
      <c r="AL94" s="390">
        <v>12450</v>
      </c>
      <c r="AM94" s="19">
        <v>0.75</v>
      </c>
      <c r="AN94" s="20">
        <f t="shared" ref="AN94:AN107" si="75">AL94*(1-AM94)</f>
        <v>3112.5</v>
      </c>
      <c r="AO94" s="21">
        <f t="shared" ref="AO94:AO107" si="76">AN94*AK94</f>
        <v>0</v>
      </c>
      <c r="AP94" s="22">
        <f t="shared" ref="AP94:AP159" si="77">AO94*0.8</f>
        <v>0</v>
      </c>
      <c r="AQ94" s="436"/>
      <c r="AR94" s="479">
        <v>1.38</v>
      </c>
      <c r="AS94" s="485">
        <f t="shared" si="72"/>
        <v>0</v>
      </c>
      <c r="AT94" s="382">
        <f t="shared" si="73"/>
        <v>0</v>
      </c>
      <c r="AU94" s="433"/>
      <c r="AV94" s="448" t="s">
        <v>232</v>
      </c>
      <c r="AW94" s="449">
        <f t="shared" ref="AW94:AW107" si="78">SUM(I94:AJ94)</f>
        <v>0</v>
      </c>
      <c r="AX94" s="450">
        <f t="shared" ref="AX94:AX107" si="79">AW94*AN94*0.8</f>
        <v>0</v>
      </c>
      <c r="AY94" s="570" t="b">
        <f t="shared" si="71"/>
        <v>1</v>
      </c>
    </row>
    <row r="95" spans="1:51" s="558" customFormat="1" ht="13.95" hidden="1" customHeight="1" x14ac:dyDescent="0.3">
      <c r="A95" s="365"/>
      <c r="B95" s="376"/>
      <c r="C95" s="376"/>
      <c r="D95" s="554" t="s">
        <v>340</v>
      </c>
      <c r="E95" s="378" t="s">
        <v>201</v>
      </c>
      <c r="F95" s="507" t="s">
        <v>341</v>
      </c>
      <c r="G95" s="508" t="s">
        <v>342</v>
      </c>
      <c r="H95" s="394">
        <v>30</v>
      </c>
      <c r="I95" s="13"/>
      <c r="J95" s="11"/>
      <c r="K95" s="12"/>
      <c r="L95" s="12"/>
      <c r="M95" s="12"/>
      <c r="N95" s="11"/>
      <c r="O95" s="13"/>
      <c r="P95" s="13"/>
      <c r="Q95" s="11"/>
      <c r="R95" s="12"/>
      <c r="S95" s="12"/>
      <c r="T95" s="12"/>
      <c r="U95" s="11"/>
      <c r="V95" s="13"/>
      <c r="W95" s="13"/>
      <c r="X95" s="11"/>
      <c r="Y95" s="12"/>
      <c r="Z95" s="12"/>
      <c r="AA95" s="12"/>
      <c r="AB95" s="11"/>
      <c r="AC95" s="13"/>
      <c r="AD95" s="13"/>
      <c r="AE95" s="11"/>
      <c r="AF95" s="12"/>
      <c r="AG95" s="12"/>
      <c r="AH95" s="12"/>
      <c r="AI95" s="11"/>
      <c r="AJ95" s="13"/>
      <c r="AK95" s="379">
        <f t="shared" si="74"/>
        <v>0</v>
      </c>
      <c r="AL95" s="390">
        <v>6225</v>
      </c>
      <c r="AM95" s="19">
        <v>0.75</v>
      </c>
      <c r="AN95" s="20">
        <f t="shared" si="75"/>
        <v>1556.25</v>
      </c>
      <c r="AO95" s="21">
        <f t="shared" si="76"/>
        <v>0</v>
      </c>
      <c r="AP95" s="22">
        <f t="shared" si="77"/>
        <v>0</v>
      </c>
      <c r="AQ95" s="436"/>
      <c r="AR95" s="479">
        <v>1.38</v>
      </c>
      <c r="AS95" s="485">
        <f t="shared" si="72"/>
        <v>0</v>
      </c>
      <c r="AT95" s="382">
        <f t="shared" si="73"/>
        <v>0</v>
      </c>
      <c r="AU95" s="433"/>
      <c r="AV95" s="448" t="s">
        <v>232</v>
      </c>
      <c r="AW95" s="449">
        <f t="shared" si="78"/>
        <v>0</v>
      </c>
      <c r="AX95" s="450">
        <f t="shared" si="79"/>
        <v>0</v>
      </c>
      <c r="AY95" s="570" t="b">
        <f t="shared" si="71"/>
        <v>1</v>
      </c>
    </row>
    <row r="96" spans="1:51" s="558" customFormat="1" ht="13.95" hidden="1" customHeight="1" x14ac:dyDescent="0.3">
      <c r="A96" s="365"/>
      <c r="B96" s="376"/>
      <c r="C96" s="376"/>
      <c r="D96" s="377" t="s">
        <v>234</v>
      </c>
      <c r="E96" s="378" t="s">
        <v>203</v>
      </c>
      <c r="F96" s="378">
        <v>0.46875</v>
      </c>
      <c r="G96" s="378" t="s">
        <v>242</v>
      </c>
      <c r="H96" s="394">
        <v>60</v>
      </c>
      <c r="I96" s="13"/>
      <c r="J96" s="11"/>
      <c r="K96" s="12"/>
      <c r="L96" s="12"/>
      <c r="M96" s="12"/>
      <c r="N96" s="11"/>
      <c r="O96" s="13"/>
      <c r="P96" s="13"/>
      <c r="Q96" s="11"/>
      <c r="R96" s="12"/>
      <c r="S96" s="12"/>
      <c r="T96" s="12"/>
      <c r="U96" s="11"/>
      <c r="V96" s="13"/>
      <c r="W96" s="13"/>
      <c r="X96" s="11"/>
      <c r="Y96" s="12"/>
      <c r="Z96" s="12"/>
      <c r="AA96" s="12"/>
      <c r="AB96" s="11"/>
      <c r="AC96" s="13"/>
      <c r="AD96" s="13"/>
      <c r="AE96" s="11"/>
      <c r="AF96" s="12"/>
      <c r="AG96" s="12"/>
      <c r="AH96" s="12"/>
      <c r="AI96" s="11"/>
      <c r="AJ96" s="13"/>
      <c r="AK96" s="379">
        <f t="shared" si="74"/>
        <v>0</v>
      </c>
      <c r="AL96" s="390">
        <v>15904</v>
      </c>
      <c r="AM96" s="19">
        <v>0.75</v>
      </c>
      <c r="AN96" s="20">
        <f t="shared" si="75"/>
        <v>3976</v>
      </c>
      <c r="AO96" s="21">
        <f t="shared" si="76"/>
        <v>0</v>
      </c>
      <c r="AP96" s="22">
        <f t="shared" si="77"/>
        <v>0</v>
      </c>
      <c r="AQ96" s="436"/>
      <c r="AR96" s="479">
        <v>3</v>
      </c>
      <c r="AS96" s="485">
        <f t="shared" si="72"/>
        <v>0</v>
      </c>
      <c r="AT96" s="382">
        <f t="shared" si="73"/>
        <v>0</v>
      </c>
      <c r="AU96" s="433"/>
      <c r="AV96" s="448" t="s">
        <v>232</v>
      </c>
      <c r="AW96" s="449">
        <f t="shared" si="78"/>
        <v>0</v>
      </c>
      <c r="AX96" s="450">
        <f t="shared" si="79"/>
        <v>0</v>
      </c>
      <c r="AY96" s="570" t="b">
        <f t="shared" si="71"/>
        <v>1</v>
      </c>
    </row>
    <row r="97" spans="1:51" s="558" customFormat="1" ht="13.95" customHeight="1" x14ac:dyDescent="0.3">
      <c r="A97" s="365"/>
      <c r="B97" s="376"/>
      <c r="C97" s="376" t="s">
        <v>232</v>
      </c>
      <c r="D97" s="377" t="s">
        <v>236</v>
      </c>
      <c r="E97" s="378" t="s">
        <v>201</v>
      </c>
      <c r="F97" s="507" t="s">
        <v>404</v>
      </c>
      <c r="G97" s="508" t="s">
        <v>341</v>
      </c>
      <c r="H97" s="394">
        <v>60</v>
      </c>
      <c r="I97" s="13"/>
      <c r="J97" s="11"/>
      <c r="K97" s="12"/>
      <c r="L97" s="12"/>
      <c r="M97" s="12"/>
      <c r="N97" s="11"/>
      <c r="O97" s="13"/>
      <c r="P97" s="13"/>
      <c r="Q97" s="11"/>
      <c r="R97" s="12"/>
      <c r="S97" s="12"/>
      <c r="T97" s="12"/>
      <c r="U97" s="12">
        <v>1</v>
      </c>
      <c r="V97" s="13"/>
      <c r="W97" s="13"/>
      <c r="X97" s="11"/>
      <c r="Y97" s="12"/>
      <c r="Z97" s="12"/>
      <c r="AA97" s="12"/>
      <c r="AB97" s="11"/>
      <c r="AC97" s="13"/>
      <c r="AD97" s="13"/>
      <c r="AE97" s="11"/>
      <c r="AF97" s="12"/>
      <c r="AG97" s="12"/>
      <c r="AH97" s="12"/>
      <c r="AI97" s="11"/>
      <c r="AJ97" s="13"/>
      <c r="AK97" s="379">
        <f t="shared" ref="AK97:AK98" si="80">SUM(I97:AJ97)</f>
        <v>1</v>
      </c>
      <c r="AL97" s="390">
        <v>12450</v>
      </c>
      <c r="AM97" s="19">
        <v>0.75</v>
      </c>
      <c r="AN97" s="20">
        <f t="shared" ref="AN97:AN98" si="81">AL97*(1-AM97)</f>
        <v>3112.5</v>
      </c>
      <c r="AO97" s="21">
        <f t="shared" ref="AO97:AO98" si="82">AN97*AK97</f>
        <v>3112.5</v>
      </c>
      <c r="AP97" s="22">
        <f t="shared" ref="AP97:AP98" si="83">AO97*0.8</f>
        <v>2490</v>
      </c>
      <c r="AQ97" s="436"/>
      <c r="AR97" s="479">
        <v>1.38</v>
      </c>
      <c r="AS97" s="485">
        <f t="shared" ref="AS97:AS98" si="84">AR97*AK97</f>
        <v>1.38</v>
      </c>
      <c r="AT97" s="382">
        <f t="shared" ref="AT97:AT98" si="85">IFERROR(AP97/AS97,0)</f>
        <v>1804.3478260869567</v>
      </c>
      <c r="AU97" s="433"/>
      <c r="AV97" s="448" t="s">
        <v>232</v>
      </c>
      <c r="AW97" s="449">
        <f t="shared" ref="AW97:AW98" si="86">SUM(I97:AJ97)</f>
        <v>1</v>
      </c>
      <c r="AX97" s="450">
        <f t="shared" ref="AX97:AX98" si="87">AW97*AN97*0.8</f>
        <v>2490</v>
      </c>
      <c r="AY97" s="570" t="b">
        <f t="shared" ref="AY97:AY98" si="88">SUM(AX97)=AP97</f>
        <v>1</v>
      </c>
    </row>
    <row r="98" spans="1:51" s="558" customFormat="1" ht="13.95" customHeight="1" x14ac:dyDescent="0.3">
      <c r="A98" s="365"/>
      <c r="B98" s="376"/>
      <c r="C98" s="376"/>
      <c r="D98" s="377" t="s">
        <v>236</v>
      </c>
      <c r="E98" s="378" t="s">
        <v>201</v>
      </c>
      <c r="F98" s="507" t="s">
        <v>404</v>
      </c>
      <c r="G98" s="508" t="s">
        <v>341</v>
      </c>
      <c r="H98" s="394">
        <v>30</v>
      </c>
      <c r="I98" s="13"/>
      <c r="J98" s="11"/>
      <c r="K98" s="12"/>
      <c r="L98" s="12"/>
      <c r="M98" s="12"/>
      <c r="N98" s="11"/>
      <c r="O98" s="13"/>
      <c r="P98" s="13"/>
      <c r="Q98" s="11"/>
      <c r="R98" s="12"/>
      <c r="S98" s="12"/>
      <c r="T98" s="12"/>
      <c r="U98" s="11"/>
      <c r="V98" s="13"/>
      <c r="W98" s="13"/>
      <c r="X98" s="11">
        <v>1</v>
      </c>
      <c r="Y98" s="12"/>
      <c r="Z98" s="12"/>
      <c r="AA98" s="12"/>
      <c r="AB98" s="11"/>
      <c r="AC98" s="13"/>
      <c r="AD98" s="13"/>
      <c r="AE98" s="11">
        <v>1</v>
      </c>
      <c r="AF98" s="12"/>
      <c r="AG98" s="12"/>
      <c r="AH98" s="12"/>
      <c r="AI98" s="11"/>
      <c r="AJ98" s="13"/>
      <c r="AK98" s="379">
        <f t="shared" si="80"/>
        <v>2</v>
      </c>
      <c r="AL98" s="390">
        <v>6225</v>
      </c>
      <c r="AM98" s="19">
        <v>0.75</v>
      </c>
      <c r="AN98" s="20">
        <f t="shared" si="81"/>
        <v>1556.25</v>
      </c>
      <c r="AO98" s="21">
        <f t="shared" si="82"/>
        <v>3112.5</v>
      </c>
      <c r="AP98" s="22">
        <f t="shared" si="83"/>
        <v>2490</v>
      </c>
      <c r="AQ98" s="436"/>
      <c r="AR98" s="479">
        <v>1.38</v>
      </c>
      <c r="AS98" s="485">
        <f t="shared" si="84"/>
        <v>2.76</v>
      </c>
      <c r="AT98" s="382">
        <f t="shared" si="85"/>
        <v>902.17391304347836</v>
      </c>
      <c r="AU98" s="433"/>
      <c r="AV98" s="448" t="s">
        <v>232</v>
      </c>
      <c r="AW98" s="449">
        <f t="shared" si="86"/>
        <v>2</v>
      </c>
      <c r="AX98" s="450">
        <f t="shared" si="87"/>
        <v>2490</v>
      </c>
      <c r="AY98" s="570" t="b">
        <f t="shared" si="88"/>
        <v>1</v>
      </c>
    </row>
    <row r="99" spans="1:51" s="558" customFormat="1" ht="13.95" customHeight="1" x14ac:dyDescent="0.3">
      <c r="A99" s="365"/>
      <c r="B99" s="376"/>
      <c r="C99" s="376"/>
      <c r="D99" s="389" t="s">
        <v>234</v>
      </c>
      <c r="E99" s="378" t="s">
        <v>203</v>
      </c>
      <c r="F99" s="378">
        <v>0.46875</v>
      </c>
      <c r="G99" s="378" t="s">
        <v>242</v>
      </c>
      <c r="H99" s="394">
        <v>30</v>
      </c>
      <c r="I99" s="13"/>
      <c r="J99" s="11"/>
      <c r="K99" s="12"/>
      <c r="L99" s="12"/>
      <c r="M99" s="12"/>
      <c r="N99" s="11"/>
      <c r="O99" s="13"/>
      <c r="P99" s="13"/>
      <c r="Q99" s="11"/>
      <c r="R99" s="12"/>
      <c r="S99" s="12"/>
      <c r="T99" s="12"/>
      <c r="U99" s="11"/>
      <c r="V99" s="13"/>
      <c r="W99" s="13"/>
      <c r="X99" s="11"/>
      <c r="Y99" s="12"/>
      <c r="Z99" s="12"/>
      <c r="AA99" s="12"/>
      <c r="AB99" s="11"/>
      <c r="AC99" s="13"/>
      <c r="AD99" s="13">
        <v>1</v>
      </c>
      <c r="AE99" s="11"/>
      <c r="AF99" s="12"/>
      <c r="AG99" s="12"/>
      <c r="AH99" s="12"/>
      <c r="AI99" s="11"/>
      <c r="AJ99" s="13"/>
      <c r="AK99" s="379">
        <f t="shared" si="74"/>
        <v>1</v>
      </c>
      <c r="AL99" s="390">
        <v>7952</v>
      </c>
      <c r="AM99" s="19">
        <v>0.75</v>
      </c>
      <c r="AN99" s="20">
        <f t="shared" si="75"/>
        <v>1988</v>
      </c>
      <c r="AO99" s="21">
        <f t="shared" si="76"/>
        <v>1988</v>
      </c>
      <c r="AP99" s="22">
        <f t="shared" si="77"/>
        <v>1590.4</v>
      </c>
      <c r="AQ99" s="436"/>
      <c r="AR99" s="479">
        <v>3</v>
      </c>
      <c r="AS99" s="485">
        <f t="shared" si="72"/>
        <v>3</v>
      </c>
      <c r="AT99" s="382">
        <f t="shared" si="73"/>
        <v>530.13333333333333</v>
      </c>
      <c r="AU99" s="433"/>
      <c r="AV99" s="448" t="s">
        <v>232</v>
      </c>
      <c r="AW99" s="449">
        <f t="shared" si="78"/>
        <v>1</v>
      </c>
      <c r="AX99" s="450">
        <f t="shared" si="79"/>
        <v>1590.4</v>
      </c>
      <c r="AY99" s="570" t="b">
        <f t="shared" si="71"/>
        <v>1</v>
      </c>
    </row>
    <row r="100" spans="1:51" s="558" customFormat="1" ht="13.95" customHeight="1" x14ac:dyDescent="0.3">
      <c r="A100" s="365"/>
      <c r="B100" s="376"/>
      <c r="C100" s="376"/>
      <c r="D100" s="396" t="s">
        <v>336</v>
      </c>
      <c r="E100" s="378" t="s">
        <v>201</v>
      </c>
      <c r="F100" s="378">
        <v>0.875</v>
      </c>
      <c r="G100" s="378" t="s">
        <v>338</v>
      </c>
      <c r="H100" s="394">
        <v>60</v>
      </c>
      <c r="I100" s="13"/>
      <c r="J100" s="11"/>
      <c r="K100" s="12"/>
      <c r="L100" s="12"/>
      <c r="M100" s="12"/>
      <c r="N100" s="11"/>
      <c r="O100" s="13"/>
      <c r="P100" s="13"/>
      <c r="Q100" s="11"/>
      <c r="R100" s="12"/>
      <c r="S100" s="12"/>
      <c r="T100" s="12">
        <v>1</v>
      </c>
      <c r="U100" s="11"/>
      <c r="V100" s="13"/>
      <c r="W100" s="13"/>
      <c r="X100" s="11"/>
      <c r="Y100" s="12"/>
      <c r="Z100" s="12"/>
      <c r="AA100" s="12"/>
      <c r="AB100" s="11"/>
      <c r="AC100" s="13"/>
      <c r="AD100" s="13"/>
      <c r="AE100" s="11"/>
      <c r="AF100" s="12"/>
      <c r="AG100" s="12"/>
      <c r="AH100" s="12"/>
      <c r="AI100" s="11"/>
      <c r="AJ100" s="13"/>
      <c r="AK100" s="379">
        <f t="shared" si="74"/>
        <v>1</v>
      </c>
      <c r="AL100" s="390">
        <v>17036</v>
      </c>
      <c r="AM100" s="19">
        <v>0.75</v>
      </c>
      <c r="AN100" s="20">
        <f t="shared" si="75"/>
        <v>4259</v>
      </c>
      <c r="AO100" s="21">
        <f t="shared" si="76"/>
        <v>4259</v>
      </c>
      <c r="AP100" s="22">
        <f t="shared" si="77"/>
        <v>3407.2000000000003</v>
      </c>
      <c r="AQ100" s="436"/>
      <c r="AR100" s="479">
        <v>2.1</v>
      </c>
      <c r="AS100" s="485">
        <f t="shared" si="72"/>
        <v>2.1</v>
      </c>
      <c r="AT100" s="382">
        <f t="shared" si="73"/>
        <v>1622.4761904761906</v>
      </c>
      <c r="AU100" s="433"/>
      <c r="AV100" s="448" t="s">
        <v>232</v>
      </c>
      <c r="AW100" s="449">
        <f t="shared" si="78"/>
        <v>1</v>
      </c>
      <c r="AX100" s="450">
        <f t="shared" si="79"/>
        <v>3407.2000000000003</v>
      </c>
      <c r="AY100" s="570" t="b">
        <f t="shared" si="71"/>
        <v>1</v>
      </c>
    </row>
    <row r="101" spans="1:51" s="558" customFormat="1" ht="13.95" customHeight="1" x14ac:dyDescent="0.3">
      <c r="A101" s="365"/>
      <c r="B101" s="376"/>
      <c r="C101" s="376"/>
      <c r="D101" s="389" t="s">
        <v>336</v>
      </c>
      <c r="E101" s="378" t="s">
        <v>201</v>
      </c>
      <c r="F101" s="378">
        <v>0.875</v>
      </c>
      <c r="G101" s="378" t="s">
        <v>338</v>
      </c>
      <c r="H101" s="394">
        <v>30</v>
      </c>
      <c r="I101" s="13"/>
      <c r="J101" s="11"/>
      <c r="K101" s="12"/>
      <c r="L101" s="12"/>
      <c r="M101" s="12"/>
      <c r="N101" s="11"/>
      <c r="O101" s="13"/>
      <c r="P101" s="13"/>
      <c r="Q101" s="11"/>
      <c r="R101" s="12"/>
      <c r="S101" s="12"/>
      <c r="T101" s="12"/>
      <c r="U101" s="11"/>
      <c r="V101" s="13"/>
      <c r="W101" s="13"/>
      <c r="X101" s="11"/>
      <c r="Y101" s="12"/>
      <c r="Z101" s="12"/>
      <c r="AA101" s="12">
        <v>1</v>
      </c>
      <c r="AB101" s="11"/>
      <c r="AC101" s="13"/>
      <c r="AD101" s="13"/>
      <c r="AE101" s="11"/>
      <c r="AF101" s="12"/>
      <c r="AG101" s="12"/>
      <c r="AH101" s="12"/>
      <c r="AI101" s="11"/>
      <c r="AJ101" s="13"/>
      <c r="AK101" s="379">
        <f t="shared" si="74"/>
        <v>1</v>
      </c>
      <c r="AL101" s="390">
        <v>8518</v>
      </c>
      <c r="AM101" s="19">
        <v>0.75</v>
      </c>
      <c r="AN101" s="20">
        <f t="shared" si="75"/>
        <v>2129.5</v>
      </c>
      <c r="AO101" s="21">
        <f t="shared" si="76"/>
        <v>2129.5</v>
      </c>
      <c r="AP101" s="22">
        <f t="shared" si="77"/>
        <v>1703.6000000000001</v>
      </c>
      <c r="AQ101" s="436"/>
      <c r="AR101" s="479">
        <v>2.1</v>
      </c>
      <c r="AS101" s="485">
        <f t="shared" si="72"/>
        <v>2.1</v>
      </c>
      <c r="AT101" s="382">
        <f t="shared" si="73"/>
        <v>811.2380952380953</v>
      </c>
      <c r="AU101" s="433"/>
      <c r="AV101" s="448" t="s">
        <v>232</v>
      </c>
      <c r="AW101" s="449">
        <f t="shared" si="78"/>
        <v>1</v>
      </c>
      <c r="AX101" s="450">
        <f t="shared" si="79"/>
        <v>1703.6000000000001</v>
      </c>
      <c r="AY101" s="570" t="b">
        <f t="shared" si="71"/>
        <v>1</v>
      </c>
    </row>
    <row r="102" spans="1:51" s="558" customFormat="1" ht="13.95" customHeight="1" x14ac:dyDescent="0.3">
      <c r="A102" s="365"/>
      <c r="B102" s="376"/>
      <c r="C102" s="376"/>
      <c r="D102" s="396" t="s">
        <v>237</v>
      </c>
      <c r="E102" s="378" t="s">
        <v>201</v>
      </c>
      <c r="F102" s="378">
        <v>0.60416666666666663</v>
      </c>
      <c r="G102" s="378" t="s">
        <v>245</v>
      </c>
      <c r="H102" s="394">
        <v>30</v>
      </c>
      <c r="I102" s="13"/>
      <c r="J102" s="11"/>
      <c r="K102" s="12"/>
      <c r="L102" s="12"/>
      <c r="M102" s="12"/>
      <c r="N102" s="11"/>
      <c r="O102" s="13"/>
      <c r="P102" s="13"/>
      <c r="Q102" s="11"/>
      <c r="R102" s="12"/>
      <c r="S102" s="12"/>
      <c r="T102" s="12"/>
      <c r="U102" s="11"/>
      <c r="V102" s="13"/>
      <c r="W102" s="13"/>
      <c r="X102" s="11"/>
      <c r="Y102" s="12">
        <v>1</v>
      </c>
      <c r="Z102" s="12"/>
      <c r="AA102" s="12"/>
      <c r="AB102" s="11"/>
      <c r="AC102" s="13"/>
      <c r="AD102" s="13"/>
      <c r="AE102" s="11"/>
      <c r="AF102" s="12">
        <v>1</v>
      </c>
      <c r="AG102" s="12"/>
      <c r="AH102" s="12"/>
      <c r="AI102" s="11"/>
      <c r="AJ102" s="13"/>
      <c r="AK102" s="379">
        <f t="shared" si="74"/>
        <v>2</v>
      </c>
      <c r="AL102" s="390">
        <v>4370</v>
      </c>
      <c r="AM102" s="19">
        <v>0.75</v>
      </c>
      <c r="AN102" s="20">
        <f t="shared" si="75"/>
        <v>1092.5</v>
      </c>
      <c r="AO102" s="21">
        <f t="shared" si="76"/>
        <v>2185</v>
      </c>
      <c r="AP102" s="22">
        <f t="shared" si="77"/>
        <v>1748</v>
      </c>
      <c r="AQ102" s="436"/>
      <c r="AR102" s="479">
        <v>1.6</v>
      </c>
      <c r="AS102" s="485">
        <f t="shared" si="72"/>
        <v>3.2</v>
      </c>
      <c r="AT102" s="382">
        <f t="shared" si="73"/>
        <v>546.25</v>
      </c>
      <c r="AU102" s="433"/>
      <c r="AV102" s="448" t="s">
        <v>232</v>
      </c>
      <c r="AW102" s="449">
        <f t="shared" si="78"/>
        <v>2</v>
      </c>
      <c r="AX102" s="450">
        <f t="shared" si="79"/>
        <v>1748</v>
      </c>
      <c r="AY102" s="570" t="b">
        <f t="shared" si="71"/>
        <v>1</v>
      </c>
    </row>
    <row r="103" spans="1:51" s="558" customFormat="1" ht="13.95" customHeight="1" x14ac:dyDescent="0.3">
      <c r="A103" s="365"/>
      <c r="B103" s="376"/>
      <c r="C103" s="376"/>
      <c r="D103" s="377" t="s">
        <v>238</v>
      </c>
      <c r="E103" s="378" t="s">
        <v>201</v>
      </c>
      <c r="F103" s="378">
        <v>0.35416666666666669</v>
      </c>
      <c r="G103" s="378" t="s">
        <v>212</v>
      </c>
      <c r="H103" s="394">
        <v>30</v>
      </c>
      <c r="I103" s="13"/>
      <c r="J103" s="11"/>
      <c r="K103" s="12"/>
      <c r="L103" s="12"/>
      <c r="M103" s="12"/>
      <c r="N103" s="11"/>
      <c r="O103" s="13"/>
      <c r="P103" s="13"/>
      <c r="Q103" s="11"/>
      <c r="R103" s="12"/>
      <c r="S103" s="12"/>
      <c r="T103" s="12"/>
      <c r="U103" s="11"/>
      <c r="V103" s="13"/>
      <c r="W103" s="13"/>
      <c r="X103" s="11"/>
      <c r="Y103" s="12"/>
      <c r="Z103" s="12">
        <v>1</v>
      </c>
      <c r="AA103" s="12"/>
      <c r="AB103" s="11"/>
      <c r="AC103" s="13"/>
      <c r="AD103" s="13"/>
      <c r="AE103" s="11"/>
      <c r="AF103" s="12"/>
      <c r="AG103" s="12">
        <v>1</v>
      </c>
      <c r="AH103" s="12"/>
      <c r="AI103" s="11"/>
      <c r="AJ103" s="13"/>
      <c r="AK103" s="379">
        <f t="shared" si="74"/>
        <v>2</v>
      </c>
      <c r="AL103" s="390">
        <v>3205</v>
      </c>
      <c r="AM103" s="19">
        <v>0.75</v>
      </c>
      <c r="AN103" s="20">
        <f t="shared" si="75"/>
        <v>801.25</v>
      </c>
      <c r="AO103" s="21">
        <f t="shared" si="76"/>
        <v>1602.5</v>
      </c>
      <c r="AP103" s="22">
        <f t="shared" si="77"/>
        <v>1282</v>
      </c>
      <c r="AQ103" s="436"/>
      <c r="AR103" s="479">
        <v>1.4</v>
      </c>
      <c r="AS103" s="485">
        <f t="shared" si="72"/>
        <v>2.8</v>
      </c>
      <c r="AT103" s="382">
        <f t="shared" si="73"/>
        <v>457.85714285714289</v>
      </c>
      <c r="AU103" s="433"/>
      <c r="AV103" s="448" t="s">
        <v>232</v>
      </c>
      <c r="AW103" s="449">
        <f t="shared" si="78"/>
        <v>2</v>
      </c>
      <c r="AX103" s="450">
        <f t="shared" si="79"/>
        <v>1282</v>
      </c>
      <c r="AY103" s="570" t="b">
        <f t="shared" si="71"/>
        <v>1</v>
      </c>
    </row>
    <row r="104" spans="1:51" s="558" customFormat="1" ht="13.95" hidden="1" customHeight="1" x14ac:dyDescent="0.3">
      <c r="A104" s="365"/>
      <c r="B104" s="376"/>
      <c r="C104" s="376"/>
      <c r="D104" s="389" t="s">
        <v>239</v>
      </c>
      <c r="E104" s="378" t="s">
        <v>201</v>
      </c>
      <c r="F104" s="378">
        <v>0.3125</v>
      </c>
      <c r="G104" s="378" t="s">
        <v>246</v>
      </c>
      <c r="H104" s="394">
        <v>60</v>
      </c>
      <c r="I104" s="13"/>
      <c r="J104" s="11"/>
      <c r="K104" s="12"/>
      <c r="L104" s="12"/>
      <c r="M104" s="12"/>
      <c r="N104" s="11"/>
      <c r="O104" s="13"/>
      <c r="P104" s="13"/>
      <c r="Q104" s="11"/>
      <c r="R104" s="12"/>
      <c r="S104" s="12"/>
      <c r="T104" s="12"/>
      <c r="U104" s="11"/>
      <c r="V104" s="13"/>
      <c r="W104" s="13"/>
      <c r="X104" s="11"/>
      <c r="Y104" s="12"/>
      <c r="Z104" s="12"/>
      <c r="AA104" s="12"/>
      <c r="AB104" s="11"/>
      <c r="AC104" s="13"/>
      <c r="AD104" s="13"/>
      <c r="AE104" s="11"/>
      <c r="AF104" s="12"/>
      <c r="AG104" s="12"/>
      <c r="AH104" s="12"/>
      <c r="AI104" s="11"/>
      <c r="AJ104" s="13"/>
      <c r="AK104" s="379">
        <f t="shared" si="74"/>
        <v>0</v>
      </c>
      <c r="AL104" s="390">
        <v>6410</v>
      </c>
      <c r="AM104" s="19">
        <v>0.75</v>
      </c>
      <c r="AN104" s="20">
        <f t="shared" si="75"/>
        <v>1602.5</v>
      </c>
      <c r="AO104" s="21">
        <f t="shared" si="76"/>
        <v>0</v>
      </c>
      <c r="AP104" s="22">
        <f t="shared" si="77"/>
        <v>0</v>
      </c>
      <c r="AQ104" s="436"/>
      <c r="AR104" s="479">
        <v>1.3</v>
      </c>
      <c r="AS104" s="485">
        <f t="shared" si="72"/>
        <v>0</v>
      </c>
      <c r="AT104" s="382">
        <f t="shared" si="73"/>
        <v>0</v>
      </c>
      <c r="AU104" s="433"/>
      <c r="AV104" s="448" t="s">
        <v>232</v>
      </c>
      <c r="AW104" s="449">
        <f t="shared" si="78"/>
        <v>0</v>
      </c>
      <c r="AX104" s="450">
        <f t="shared" si="79"/>
        <v>0</v>
      </c>
      <c r="AY104" s="570" t="b">
        <f t="shared" si="71"/>
        <v>1</v>
      </c>
    </row>
    <row r="105" spans="1:51" s="558" customFormat="1" ht="13.95" customHeight="1" x14ac:dyDescent="0.3">
      <c r="A105" s="365"/>
      <c r="B105" s="376"/>
      <c r="C105" s="376"/>
      <c r="D105" s="396" t="s">
        <v>239</v>
      </c>
      <c r="E105" s="378" t="s">
        <v>201</v>
      </c>
      <c r="F105" s="378">
        <v>0.3125</v>
      </c>
      <c r="G105" s="378" t="s">
        <v>246</v>
      </c>
      <c r="H105" s="394">
        <v>30</v>
      </c>
      <c r="I105" s="13"/>
      <c r="J105" s="11"/>
      <c r="K105" s="12"/>
      <c r="L105" s="12"/>
      <c r="M105" s="12"/>
      <c r="N105" s="11"/>
      <c r="O105" s="13"/>
      <c r="P105" s="13"/>
      <c r="Q105" s="11"/>
      <c r="R105" s="12"/>
      <c r="S105" s="12"/>
      <c r="T105" s="12"/>
      <c r="U105" s="11"/>
      <c r="V105" s="13"/>
      <c r="W105" s="13"/>
      <c r="X105" s="11"/>
      <c r="Y105" s="12"/>
      <c r="Z105" s="12"/>
      <c r="AA105" s="12"/>
      <c r="AB105" s="11">
        <v>1</v>
      </c>
      <c r="AC105" s="13"/>
      <c r="AD105" s="13"/>
      <c r="AE105" s="11"/>
      <c r="AF105" s="12"/>
      <c r="AG105" s="12"/>
      <c r="AH105" s="12"/>
      <c r="AI105" s="11"/>
      <c r="AJ105" s="13"/>
      <c r="AK105" s="379">
        <f t="shared" si="74"/>
        <v>1</v>
      </c>
      <c r="AL105" s="390">
        <v>3205</v>
      </c>
      <c r="AM105" s="19">
        <v>0.75</v>
      </c>
      <c r="AN105" s="20">
        <f t="shared" si="75"/>
        <v>801.25</v>
      </c>
      <c r="AO105" s="21">
        <f t="shared" si="76"/>
        <v>801.25</v>
      </c>
      <c r="AP105" s="22">
        <f t="shared" si="77"/>
        <v>641</v>
      </c>
      <c r="AQ105" s="436"/>
      <c r="AR105" s="479">
        <v>1.3</v>
      </c>
      <c r="AS105" s="485">
        <f t="shared" si="72"/>
        <v>1.3</v>
      </c>
      <c r="AT105" s="382">
        <f t="shared" si="73"/>
        <v>493.07692307692304</v>
      </c>
      <c r="AU105" s="433"/>
      <c r="AV105" s="448" t="s">
        <v>232</v>
      </c>
      <c r="AW105" s="449">
        <f t="shared" si="78"/>
        <v>1</v>
      </c>
      <c r="AX105" s="450">
        <f t="shared" si="79"/>
        <v>641</v>
      </c>
      <c r="AY105" s="570" t="b">
        <f t="shared" si="71"/>
        <v>1</v>
      </c>
    </row>
    <row r="106" spans="1:51" s="558" customFormat="1" ht="13.95" hidden="1" customHeight="1" x14ac:dyDescent="0.3">
      <c r="A106" s="365"/>
      <c r="B106" s="376"/>
      <c r="C106" s="376"/>
      <c r="D106" s="389" t="s">
        <v>240</v>
      </c>
      <c r="E106" s="378" t="s">
        <v>204</v>
      </c>
      <c r="F106" s="378">
        <v>0.45833333333333331</v>
      </c>
      <c r="G106" s="378" t="s">
        <v>247</v>
      </c>
      <c r="H106" s="394">
        <v>60</v>
      </c>
      <c r="I106" s="13"/>
      <c r="J106" s="11"/>
      <c r="K106" s="12"/>
      <c r="L106" s="12"/>
      <c r="M106" s="12"/>
      <c r="N106" s="11"/>
      <c r="O106" s="13"/>
      <c r="P106" s="13"/>
      <c r="Q106" s="11"/>
      <c r="R106" s="12"/>
      <c r="S106" s="12"/>
      <c r="T106" s="12"/>
      <c r="U106" s="11"/>
      <c r="V106" s="13"/>
      <c r="W106" s="13"/>
      <c r="X106" s="11"/>
      <c r="Y106" s="12"/>
      <c r="Z106" s="12"/>
      <c r="AA106" s="12"/>
      <c r="AB106" s="11"/>
      <c r="AC106" s="13"/>
      <c r="AD106" s="13"/>
      <c r="AE106" s="11"/>
      <c r="AF106" s="12"/>
      <c r="AG106" s="12"/>
      <c r="AH106" s="12"/>
      <c r="AI106" s="11"/>
      <c r="AJ106" s="13"/>
      <c r="AK106" s="379">
        <f t="shared" si="74"/>
        <v>0</v>
      </c>
      <c r="AL106" s="390">
        <v>6410</v>
      </c>
      <c r="AM106" s="19">
        <v>0.75</v>
      </c>
      <c r="AN106" s="20">
        <f t="shared" si="75"/>
        <v>1602.5</v>
      </c>
      <c r="AO106" s="21">
        <f t="shared" si="76"/>
        <v>0</v>
      </c>
      <c r="AP106" s="22">
        <f t="shared" si="77"/>
        <v>0</v>
      </c>
      <c r="AQ106" s="436"/>
      <c r="AR106" s="479">
        <v>1.2</v>
      </c>
      <c r="AS106" s="485">
        <f t="shared" si="72"/>
        <v>0</v>
      </c>
      <c r="AT106" s="382">
        <f t="shared" si="73"/>
        <v>0</v>
      </c>
      <c r="AU106" s="433"/>
      <c r="AV106" s="448" t="s">
        <v>232</v>
      </c>
      <c r="AW106" s="449">
        <f t="shared" si="78"/>
        <v>0</v>
      </c>
      <c r="AX106" s="450">
        <f t="shared" si="79"/>
        <v>0</v>
      </c>
      <c r="AY106" s="570" t="b">
        <f t="shared" si="71"/>
        <v>1</v>
      </c>
    </row>
    <row r="107" spans="1:51" s="558" customFormat="1" ht="13.95" customHeight="1" x14ac:dyDescent="0.3">
      <c r="A107" s="365"/>
      <c r="B107" s="376"/>
      <c r="C107" s="376"/>
      <c r="D107" s="396" t="s">
        <v>240</v>
      </c>
      <c r="E107" s="378" t="s">
        <v>204</v>
      </c>
      <c r="F107" s="378">
        <v>0.45833333333333331</v>
      </c>
      <c r="G107" s="378" t="s">
        <v>247</v>
      </c>
      <c r="H107" s="394">
        <v>30</v>
      </c>
      <c r="I107" s="13"/>
      <c r="J107" s="11"/>
      <c r="K107" s="12"/>
      <c r="L107" s="12"/>
      <c r="M107" s="12"/>
      <c r="N107" s="11"/>
      <c r="O107" s="13"/>
      <c r="P107" s="13"/>
      <c r="Q107" s="11"/>
      <c r="R107" s="12"/>
      <c r="S107" s="12"/>
      <c r="T107" s="12"/>
      <c r="U107" s="11"/>
      <c r="V107" s="13">
        <v>1</v>
      </c>
      <c r="W107" s="13"/>
      <c r="X107" s="11"/>
      <c r="Y107" s="12"/>
      <c r="Z107" s="12"/>
      <c r="AA107" s="12"/>
      <c r="AB107" s="11"/>
      <c r="AC107" s="13">
        <v>1</v>
      </c>
      <c r="AD107" s="13"/>
      <c r="AE107" s="11"/>
      <c r="AF107" s="12"/>
      <c r="AG107" s="12"/>
      <c r="AH107" s="12"/>
      <c r="AI107" s="11"/>
      <c r="AJ107" s="13"/>
      <c r="AK107" s="379">
        <f t="shared" si="74"/>
        <v>2</v>
      </c>
      <c r="AL107" s="390">
        <v>3205</v>
      </c>
      <c r="AM107" s="19">
        <v>0.75</v>
      </c>
      <c r="AN107" s="20">
        <f t="shared" si="75"/>
        <v>801.25</v>
      </c>
      <c r="AO107" s="21">
        <f t="shared" si="76"/>
        <v>1602.5</v>
      </c>
      <c r="AP107" s="22">
        <f t="shared" si="77"/>
        <v>1282</v>
      </c>
      <c r="AQ107" s="436"/>
      <c r="AR107" s="479">
        <v>1.2</v>
      </c>
      <c r="AS107" s="485">
        <f t="shared" si="72"/>
        <v>2.4</v>
      </c>
      <c r="AT107" s="382">
        <f t="shared" si="73"/>
        <v>534.16666666666674</v>
      </c>
      <c r="AU107" s="433"/>
      <c r="AV107" s="448" t="s">
        <v>232</v>
      </c>
      <c r="AW107" s="449">
        <f t="shared" si="78"/>
        <v>2</v>
      </c>
      <c r="AX107" s="450">
        <f t="shared" si="79"/>
        <v>1282</v>
      </c>
      <c r="AY107" s="570" t="b">
        <f t="shared" si="71"/>
        <v>1</v>
      </c>
    </row>
    <row r="108" spans="1:51" s="558" customFormat="1" ht="13.95" customHeight="1" x14ac:dyDescent="0.3">
      <c r="A108" s="365"/>
      <c r="B108" s="376"/>
      <c r="C108" s="376"/>
      <c r="D108" s="377"/>
      <c r="E108" s="378"/>
      <c r="F108" s="378"/>
      <c r="G108" s="378"/>
      <c r="H108" s="394"/>
      <c r="I108" s="13"/>
      <c r="J108" s="11"/>
      <c r="K108" s="12"/>
      <c r="L108" s="12"/>
      <c r="M108" s="12"/>
      <c r="N108" s="11"/>
      <c r="O108" s="13"/>
      <c r="P108" s="13"/>
      <c r="Q108" s="11"/>
      <c r="R108" s="12"/>
      <c r="S108" s="12"/>
      <c r="T108" s="12"/>
      <c r="U108" s="11"/>
      <c r="V108" s="13"/>
      <c r="W108" s="13"/>
      <c r="X108" s="11"/>
      <c r="Y108" s="12"/>
      <c r="Z108" s="12"/>
      <c r="AA108" s="12"/>
      <c r="AB108" s="11"/>
      <c r="AC108" s="13"/>
      <c r="AD108" s="13"/>
      <c r="AE108" s="11"/>
      <c r="AF108" s="12"/>
      <c r="AG108" s="12"/>
      <c r="AH108" s="12"/>
      <c r="AI108" s="11"/>
      <c r="AJ108" s="13"/>
      <c r="AK108" s="504"/>
      <c r="AL108" s="505"/>
      <c r="AM108" s="506"/>
      <c r="AN108" s="337"/>
      <c r="AO108" s="170"/>
      <c r="AP108" s="170"/>
      <c r="AQ108" s="436"/>
      <c r="AR108" s="479"/>
      <c r="AS108" s="485"/>
      <c r="AT108" s="382"/>
      <c r="AU108" s="433"/>
      <c r="AV108" s="451" t="s">
        <v>142</v>
      </c>
      <c r="AW108" s="425">
        <f>SUM(AW94:AW107)</f>
        <v>13</v>
      </c>
      <c r="AX108" s="426">
        <f>SUM(AX94:AX107)</f>
        <v>16634.2</v>
      </c>
      <c r="AY108" s="570" t="b">
        <f>SUM(AP94:AP107)=AX108</f>
        <v>1</v>
      </c>
    </row>
    <row r="109" spans="1:51" s="558" customFormat="1" ht="13.95" hidden="1" customHeight="1" x14ac:dyDescent="0.3">
      <c r="A109" s="365"/>
      <c r="B109" s="376" t="s">
        <v>264</v>
      </c>
      <c r="C109" s="376" t="s">
        <v>157</v>
      </c>
      <c r="D109" s="389" t="s">
        <v>315</v>
      </c>
      <c r="E109" s="378" t="s">
        <v>204</v>
      </c>
      <c r="F109" s="378">
        <v>0.67708333333333337</v>
      </c>
      <c r="G109" s="378" t="s">
        <v>321</v>
      </c>
      <c r="H109" s="394">
        <v>60</v>
      </c>
      <c r="I109" s="13"/>
      <c r="J109" s="11"/>
      <c r="K109" s="12"/>
      <c r="L109" s="12"/>
      <c r="M109" s="12"/>
      <c r="N109" s="11"/>
      <c r="O109" s="13"/>
      <c r="P109" s="13"/>
      <c r="Q109" s="11"/>
      <c r="R109" s="12"/>
      <c r="S109" s="12"/>
      <c r="T109" s="12"/>
      <c r="U109" s="11"/>
      <c r="V109" s="13"/>
      <c r="W109" s="13"/>
      <c r="X109" s="11"/>
      <c r="Y109" s="12"/>
      <c r="Z109" s="12"/>
      <c r="AA109" s="12"/>
      <c r="AB109" s="11"/>
      <c r="AC109" s="13"/>
      <c r="AD109" s="13"/>
      <c r="AE109" s="11"/>
      <c r="AF109" s="12"/>
      <c r="AG109" s="12"/>
      <c r="AH109" s="12"/>
      <c r="AI109" s="11"/>
      <c r="AJ109" s="13"/>
      <c r="AK109" s="379">
        <f t="shared" ref="AK109:AK125" si="89">SUM(I109:AJ109)</f>
        <v>0</v>
      </c>
      <c r="AL109" s="390">
        <v>8282</v>
      </c>
      <c r="AM109" s="19">
        <v>0.1</v>
      </c>
      <c r="AN109" s="20">
        <f t="shared" ref="AN109:AN125" si="90">AL109*(1-AM109)</f>
        <v>7453.8</v>
      </c>
      <c r="AO109" s="21">
        <f t="shared" ref="AO109:AO125" si="91">AN109*AK109</f>
        <v>0</v>
      </c>
      <c r="AP109" s="22">
        <f t="shared" si="77"/>
        <v>0</v>
      </c>
      <c r="AQ109" s="436"/>
      <c r="AR109" s="479">
        <v>5.59</v>
      </c>
      <c r="AS109" s="485">
        <f>AR109*AK109</f>
        <v>0</v>
      </c>
      <c r="AT109" s="382">
        <f>IFERROR(AP109/AS109,0)</f>
        <v>0</v>
      </c>
      <c r="AU109" s="433"/>
      <c r="AV109" s="448" t="s">
        <v>183</v>
      </c>
      <c r="AW109" s="449">
        <f t="shared" ref="AW109:AW125" si="92">SUM(I109:AJ109)</f>
        <v>0</v>
      </c>
      <c r="AX109" s="450">
        <f t="shared" ref="AX109:AX125" si="93">AW109*AN109*0.8</f>
        <v>0</v>
      </c>
      <c r="AY109" s="570" t="b">
        <f t="shared" si="71"/>
        <v>1</v>
      </c>
    </row>
    <row r="110" spans="1:51" s="558" customFormat="1" ht="13.95" customHeight="1" x14ac:dyDescent="0.3">
      <c r="A110" s="365"/>
      <c r="B110" s="376" t="s">
        <v>264</v>
      </c>
      <c r="C110" s="376" t="s">
        <v>157</v>
      </c>
      <c r="D110" s="396" t="s">
        <v>315</v>
      </c>
      <c r="E110" s="378" t="s">
        <v>204</v>
      </c>
      <c r="F110" s="378">
        <v>0.67708333333333337</v>
      </c>
      <c r="G110" s="378" t="s">
        <v>321</v>
      </c>
      <c r="H110" s="394">
        <v>30</v>
      </c>
      <c r="I110" s="13"/>
      <c r="J110" s="11"/>
      <c r="K110" s="12"/>
      <c r="L110" s="12"/>
      <c r="M110" s="12"/>
      <c r="N110" s="11"/>
      <c r="O110" s="13"/>
      <c r="P110" s="13"/>
      <c r="Q110" s="11"/>
      <c r="R110" s="12"/>
      <c r="S110" s="12"/>
      <c r="T110" s="12"/>
      <c r="U110" s="11"/>
      <c r="V110" s="13">
        <v>1</v>
      </c>
      <c r="W110" s="13"/>
      <c r="X110" s="11"/>
      <c r="Y110" s="12"/>
      <c r="Z110" s="12"/>
      <c r="AA110" s="12"/>
      <c r="AB110" s="11"/>
      <c r="AC110" s="13"/>
      <c r="AD110" s="13"/>
      <c r="AE110" s="11"/>
      <c r="AF110" s="12"/>
      <c r="AG110" s="12"/>
      <c r="AH110" s="12"/>
      <c r="AI110" s="11"/>
      <c r="AJ110" s="13"/>
      <c r="AK110" s="379">
        <f t="shared" si="89"/>
        <v>1</v>
      </c>
      <c r="AL110" s="390">
        <v>4141</v>
      </c>
      <c r="AM110" s="19">
        <v>0.1</v>
      </c>
      <c r="AN110" s="20">
        <f t="shared" si="90"/>
        <v>3726.9</v>
      </c>
      <c r="AO110" s="21">
        <f t="shared" si="91"/>
        <v>3726.9</v>
      </c>
      <c r="AP110" s="421" t="s">
        <v>410</v>
      </c>
      <c r="AQ110" s="436"/>
      <c r="AR110" s="479">
        <v>5.59</v>
      </c>
      <c r="AS110" s="485">
        <f t="shared" ref="AS110:AS125" si="94">AR110*AK110</f>
        <v>5.59</v>
      </c>
      <c r="AT110" s="382">
        <f t="shared" ref="AT110:AT125" si="95">IFERROR(AP110/AS110,0)</f>
        <v>0</v>
      </c>
      <c r="AU110" s="433"/>
      <c r="AV110" s="448" t="s">
        <v>183</v>
      </c>
      <c r="AW110" s="449">
        <f t="shared" si="92"/>
        <v>1</v>
      </c>
      <c r="AX110" s="450">
        <f t="shared" si="93"/>
        <v>2981.5200000000004</v>
      </c>
      <c r="AY110" s="570" t="b">
        <f t="shared" si="71"/>
        <v>0</v>
      </c>
    </row>
    <row r="111" spans="1:51" s="558" customFormat="1" ht="13.95" hidden="1" customHeight="1" x14ac:dyDescent="0.3">
      <c r="A111" s="365"/>
      <c r="B111" s="376"/>
      <c r="C111" s="376"/>
      <c r="D111" s="389" t="s">
        <v>316</v>
      </c>
      <c r="E111" s="378" t="s">
        <v>203</v>
      </c>
      <c r="F111" s="378">
        <v>0.625</v>
      </c>
      <c r="G111" s="378" t="s">
        <v>322</v>
      </c>
      <c r="H111" s="394">
        <v>60</v>
      </c>
      <c r="I111" s="13"/>
      <c r="J111" s="11"/>
      <c r="K111" s="12"/>
      <c r="L111" s="12"/>
      <c r="M111" s="12"/>
      <c r="N111" s="11"/>
      <c r="O111" s="13"/>
      <c r="P111" s="13"/>
      <c r="Q111" s="11"/>
      <c r="R111" s="12"/>
      <c r="S111" s="12"/>
      <c r="T111" s="12"/>
      <c r="U111" s="11"/>
      <c r="V111" s="13"/>
      <c r="W111" s="13"/>
      <c r="X111" s="11"/>
      <c r="Y111" s="12"/>
      <c r="Z111" s="12"/>
      <c r="AA111" s="12"/>
      <c r="AB111" s="11"/>
      <c r="AC111" s="13"/>
      <c r="AD111" s="13"/>
      <c r="AE111" s="11"/>
      <c r="AF111" s="12"/>
      <c r="AG111" s="12"/>
      <c r="AH111" s="12"/>
      <c r="AI111" s="11"/>
      <c r="AJ111" s="13"/>
      <c r="AK111" s="379">
        <f t="shared" si="89"/>
        <v>0</v>
      </c>
      <c r="AL111" s="390">
        <v>16744</v>
      </c>
      <c r="AM111" s="19">
        <v>0.1</v>
      </c>
      <c r="AN111" s="20">
        <f t="shared" si="90"/>
        <v>15069.6</v>
      </c>
      <c r="AO111" s="21">
        <f t="shared" si="91"/>
        <v>0</v>
      </c>
      <c r="AP111" s="421">
        <f t="shared" si="77"/>
        <v>0</v>
      </c>
      <c r="AQ111" s="436"/>
      <c r="AR111" s="481">
        <v>8.57</v>
      </c>
      <c r="AS111" s="485">
        <f t="shared" si="94"/>
        <v>0</v>
      </c>
      <c r="AT111" s="382">
        <f t="shared" si="95"/>
        <v>0</v>
      </c>
      <c r="AU111" s="433"/>
      <c r="AV111" s="448" t="s">
        <v>183</v>
      </c>
      <c r="AW111" s="449">
        <f t="shared" si="92"/>
        <v>0</v>
      </c>
      <c r="AX111" s="450">
        <f t="shared" si="93"/>
        <v>0</v>
      </c>
      <c r="AY111" s="570" t="b">
        <f t="shared" si="71"/>
        <v>1</v>
      </c>
    </row>
    <row r="112" spans="1:51" s="558" customFormat="1" ht="13.95" customHeight="1" x14ac:dyDescent="0.3">
      <c r="A112" s="365"/>
      <c r="B112" s="376"/>
      <c r="C112" s="376"/>
      <c r="D112" s="396" t="s">
        <v>316</v>
      </c>
      <c r="E112" s="378" t="s">
        <v>203</v>
      </c>
      <c r="F112" s="378">
        <v>0.625</v>
      </c>
      <c r="G112" s="378" t="s">
        <v>322</v>
      </c>
      <c r="H112" s="394">
        <v>30</v>
      </c>
      <c r="I112" s="13"/>
      <c r="J112" s="11"/>
      <c r="K112" s="12"/>
      <c r="L112" s="12"/>
      <c r="M112" s="12"/>
      <c r="N112" s="11"/>
      <c r="O112" s="13"/>
      <c r="P112" s="13"/>
      <c r="Q112" s="11"/>
      <c r="R112" s="12"/>
      <c r="S112" s="12"/>
      <c r="T112" s="12"/>
      <c r="U112" s="11"/>
      <c r="V112" s="13"/>
      <c r="W112" s="13">
        <v>1</v>
      </c>
      <c r="X112" s="11"/>
      <c r="Y112" s="12"/>
      <c r="Z112" s="12"/>
      <c r="AA112" s="12"/>
      <c r="AB112" s="11"/>
      <c r="AC112" s="13"/>
      <c r="AD112" s="13">
        <v>1</v>
      </c>
      <c r="AE112" s="11"/>
      <c r="AF112" s="12"/>
      <c r="AG112" s="12"/>
      <c r="AH112" s="12"/>
      <c r="AI112" s="11"/>
      <c r="AJ112" s="13"/>
      <c r="AK112" s="379">
        <f t="shared" si="89"/>
        <v>2</v>
      </c>
      <c r="AL112" s="390">
        <v>8372</v>
      </c>
      <c r="AM112" s="19">
        <v>0.1</v>
      </c>
      <c r="AN112" s="20">
        <f t="shared" si="90"/>
        <v>7534.8</v>
      </c>
      <c r="AO112" s="21">
        <f t="shared" si="91"/>
        <v>15069.6</v>
      </c>
      <c r="AP112" s="421">
        <f t="shared" si="77"/>
        <v>12055.68</v>
      </c>
      <c r="AQ112" s="436"/>
      <c r="AR112" s="481">
        <v>8.57</v>
      </c>
      <c r="AS112" s="485">
        <f t="shared" si="94"/>
        <v>17.14</v>
      </c>
      <c r="AT112" s="382">
        <f t="shared" si="95"/>
        <v>703.36522753792303</v>
      </c>
      <c r="AU112" s="433"/>
      <c r="AV112" s="448" t="s">
        <v>183</v>
      </c>
      <c r="AW112" s="449">
        <f t="shared" si="92"/>
        <v>2</v>
      </c>
      <c r="AX112" s="450">
        <f t="shared" si="93"/>
        <v>12055.68</v>
      </c>
      <c r="AY112" s="570" t="b">
        <f t="shared" si="71"/>
        <v>1</v>
      </c>
    </row>
    <row r="113" spans="1:51" s="558" customFormat="1" ht="13.95" customHeight="1" x14ac:dyDescent="0.3">
      <c r="A113" s="365"/>
      <c r="B113" s="376"/>
      <c r="C113" s="376"/>
      <c r="D113" s="377" t="s">
        <v>317</v>
      </c>
      <c r="E113" s="378" t="s">
        <v>201</v>
      </c>
      <c r="F113" s="378">
        <v>0.39583333333333331</v>
      </c>
      <c r="G113" s="378" t="s">
        <v>323</v>
      </c>
      <c r="H113" s="394">
        <v>30</v>
      </c>
      <c r="I113" s="13"/>
      <c r="J113" s="11"/>
      <c r="K113" s="12"/>
      <c r="L113" s="12"/>
      <c r="M113" s="12"/>
      <c r="N113" s="11"/>
      <c r="O113" s="13"/>
      <c r="P113" s="13"/>
      <c r="Q113" s="11"/>
      <c r="R113" s="12"/>
      <c r="S113" s="12"/>
      <c r="T113" s="12"/>
      <c r="U113" s="11"/>
      <c r="V113" s="13"/>
      <c r="W113" s="13"/>
      <c r="X113" s="11"/>
      <c r="Y113" s="12"/>
      <c r="Z113" s="12">
        <v>1</v>
      </c>
      <c r="AA113" s="12"/>
      <c r="AB113" s="11"/>
      <c r="AC113" s="13"/>
      <c r="AD113" s="13"/>
      <c r="AE113" s="11"/>
      <c r="AF113" s="12">
        <v>1</v>
      </c>
      <c r="AG113" s="12"/>
      <c r="AH113" s="12"/>
      <c r="AI113" s="11"/>
      <c r="AJ113" s="13"/>
      <c r="AK113" s="379">
        <f t="shared" si="89"/>
        <v>2</v>
      </c>
      <c r="AL113" s="390">
        <v>2105</v>
      </c>
      <c r="AM113" s="19">
        <v>0.1</v>
      </c>
      <c r="AN113" s="20">
        <f t="shared" si="90"/>
        <v>1894.5</v>
      </c>
      <c r="AO113" s="21">
        <f t="shared" si="91"/>
        <v>3789</v>
      </c>
      <c r="AP113" s="421">
        <f t="shared" si="77"/>
        <v>3031.2000000000003</v>
      </c>
      <c r="AQ113" s="436"/>
      <c r="AR113" s="479">
        <v>3.89</v>
      </c>
      <c r="AS113" s="485">
        <f t="shared" si="94"/>
        <v>7.78</v>
      </c>
      <c r="AT113" s="382">
        <f t="shared" si="95"/>
        <v>389.6143958868895</v>
      </c>
      <c r="AU113" s="433"/>
      <c r="AV113" s="448" t="s">
        <v>183</v>
      </c>
      <c r="AW113" s="449">
        <f t="shared" si="92"/>
        <v>2</v>
      </c>
      <c r="AX113" s="450">
        <f t="shared" si="93"/>
        <v>3031.2000000000003</v>
      </c>
      <c r="AY113" s="570" t="b">
        <f t="shared" si="71"/>
        <v>1</v>
      </c>
    </row>
    <row r="114" spans="1:51" s="558" customFormat="1" ht="13.95" customHeight="1" x14ac:dyDescent="0.3">
      <c r="A114" s="365"/>
      <c r="B114" s="376"/>
      <c r="C114" s="376"/>
      <c r="D114" s="389" t="s">
        <v>306</v>
      </c>
      <c r="E114" s="378" t="s">
        <v>202</v>
      </c>
      <c r="F114" s="378">
        <v>0.55902777777777779</v>
      </c>
      <c r="G114" s="378" t="s">
        <v>324</v>
      </c>
      <c r="H114" s="394">
        <v>30</v>
      </c>
      <c r="I114" s="13"/>
      <c r="J114" s="11"/>
      <c r="K114" s="12"/>
      <c r="L114" s="12"/>
      <c r="M114" s="12"/>
      <c r="N114" s="11"/>
      <c r="O114" s="13"/>
      <c r="P114" s="13"/>
      <c r="Q114" s="11"/>
      <c r="R114" s="12"/>
      <c r="S114" s="12"/>
      <c r="T114" s="12"/>
      <c r="U114" s="11"/>
      <c r="V114" s="13"/>
      <c r="W114" s="13"/>
      <c r="X114" s="11">
        <v>1</v>
      </c>
      <c r="Y114" s="12"/>
      <c r="Z114" s="12"/>
      <c r="AA114" s="12"/>
      <c r="AB114" s="11"/>
      <c r="AC114" s="13"/>
      <c r="AD114" s="13"/>
      <c r="AE114" s="11">
        <v>1</v>
      </c>
      <c r="AF114" s="12"/>
      <c r="AG114" s="12"/>
      <c r="AH114" s="12"/>
      <c r="AI114" s="11"/>
      <c r="AJ114" s="13"/>
      <c r="AK114" s="379">
        <f t="shared" si="89"/>
        <v>2</v>
      </c>
      <c r="AL114" s="390">
        <v>5117</v>
      </c>
      <c r="AM114" s="19">
        <v>0.1</v>
      </c>
      <c r="AN114" s="20">
        <f t="shared" si="90"/>
        <v>4605.3</v>
      </c>
      <c r="AO114" s="21">
        <f t="shared" si="91"/>
        <v>9210.6</v>
      </c>
      <c r="AP114" s="421">
        <f t="shared" si="77"/>
        <v>7368.4800000000005</v>
      </c>
      <c r="AQ114" s="436"/>
      <c r="AR114" s="479">
        <v>5.92</v>
      </c>
      <c r="AS114" s="485">
        <f t="shared" si="94"/>
        <v>11.84</v>
      </c>
      <c r="AT114" s="382">
        <f t="shared" si="95"/>
        <v>622.33783783783792</v>
      </c>
      <c r="AU114" s="433"/>
      <c r="AV114" s="448" t="s">
        <v>183</v>
      </c>
      <c r="AW114" s="449">
        <f t="shared" si="92"/>
        <v>2</v>
      </c>
      <c r="AX114" s="450">
        <f t="shared" si="93"/>
        <v>7368.4800000000005</v>
      </c>
      <c r="AY114" s="570" t="b">
        <f t="shared" si="71"/>
        <v>1</v>
      </c>
    </row>
    <row r="115" spans="1:51" s="558" customFormat="1" ht="13.95" customHeight="1" x14ac:dyDescent="0.3">
      <c r="A115" s="365"/>
      <c r="B115" s="376"/>
      <c r="C115" s="376"/>
      <c r="D115" s="396" t="s">
        <v>186</v>
      </c>
      <c r="E115" s="378" t="s">
        <v>201</v>
      </c>
      <c r="F115" s="378">
        <v>0.85416666666666663</v>
      </c>
      <c r="G115" s="378" t="s">
        <v>325</v>
      </c>
      <c r="H115" s="394">
        <v>60</v>
      </c>
      <c r="I115" s="13"/>
      <c r="J115" s="11"/>
      <c r="K115" s="12"/>
      <c r="L115" s="12"/>
      <c r="M115" s="12"/>
      <c r="N115" s="11"/>
      <c r="O115" s="13"/>
      <c r="P115" s="13"/>
      <c r="Q115" s="11"/>
      <c r="R115" s="12"/>
      <c r="S115" s="12">
        <v>1</v>
      </c>
      <c r="T115" s="12"/>
      <c r="U115" s="11"/>
      <c r="V115" s="13"/>
      <c r="W115" s="13"/>
      <c r="X115" s="11"/>
      <c r="Y115" s="12"/>
      <c r="Z115" s="12"/>
      <c r="AA115" s="12"/>
      <c r="AB115" s="11"/>
      <c r="AC115" s="13"/>
      <c r="AD115" s="13"/>
      <c r="AE115" s="11"/>
      <c r="AF115" s="12"/>
      <c r="AG115" s="12"/>
      <c r="AH115" s="12"/>
      <c r="AI115" s="11"/>
      <c r="AJ115" s="13"/>
      <c r="AK115" s="379">
        <f t="shared" si="89"/>
        <v>1</v>
      </c>
      <c r="AL115" s="390">
        <v>37156</v>
      </c>
      <c r="AM115" s="19">
        <v>0.1</v>
      </c>
      <c r="AN115" s="20">
        <f t="shared" si="90"/>
        <v>33440.400000000001</v>
      </c>
      <c r="AO115" s="21">
        <f t="shared" si="91"/>
        <v>33440.400000000001</v>
      </c>
      <c r="AP115" s="421">
        <f t="shared" si="77"/>
        <v>26752.320000000003</v>
      </c>
      <c r="AQ115" s="436"/>
      <c r="AR115" s="479">
        <v>13.07</v>
      </c>
      <c r="AS115" s="485">
        <f t="shared" si="94"/>
        <v>13.07</v>
      </c>
      <c r="AT115" s="382">
        <f t="shared" si="95"/>
        <v>2046.8492731446063</v>
      </c>
      <c r="AU115" s="433"/>
      <c r="AV115" s="448" t="s">
        <v>183</v>
      </c>
      <c r="AW115" s="449">
        <f t="shared" si="92"/>
        <v>1</v>
      </c>
      <c r="AX115" s="450">
        <f t="shared" si="93"/>
        <v>26752.320000000003</v>
      </c>
      <c r="AY115" s="570" t="b">
        <f t="shared" si="71"/>
        <v>1</v>
      </c>
    </row>
    <row r="116" spans="1:51" s="558" customFormat="1" ht="13.95" hidden="1" customHeight="1" x14ac:dyDescent="0.3">
      <c r="A116" s="365"/>
      <c r="B116" s="376"/>
      <c r="C116" s="376"/>
      <c r="D116" s="389" t="s">
        <v>186</v>
      </c>
      <c r="E116" s="378" t="s">
        <v>201</v>
      </c>
      <c r="F116" s="378">
        <v>0.85416666666666663</v>
      </c>
      <c r="G116" s="378" t="s">
        <v>325</v>
      </c>
      <c r="H116" s="394">
        <v>30</v>
      </c>
      <c r="I116" s="13"/>
      <c r="J116" s="11"/>
      <c r="K116" s="12"/>
      <c r="L116" s="12"/>
      <c r="M116" s="12"/>
      <c r="N116" s="11"/>
      <c r="O116" s="13"/>
      <c r="P116" s="13"/>
      <c r="Q116" s="11"/>
      <c r="R116" s="12"/>
      <c r="S116" s="12"/>
      <c r="T116" s="12"/>
      <c r="U116" s="11"/>
      <c r="V116" s="13"/>
      <c r="W116" s="13"/>
      <c r="X116" s="11"/>
      <c r="Y116" s="12"/>
      <c r="Z116" s="12"/>
      <c r="AA116" s="12"/>
      <c r="AB116" s="11"/>
      <c r="AC116" s="13"/>
      <c r="AD116" s="13"/>
      <c r="AE116" s="11"/>
      <c r="AF116" s="12"/>
      <c r="AG116" s="12"/>
      <c r="AH116" s="12"/>
      <c r="AI116" s="11"/>
      <c r="AJ116" s="13"/>
      <c r="AK116" s="379">
        <f t="shared" si="89"/>
        <v>0</v>
      </c>
      <c r="AL116" s="390">
        <v>18578</v>
      </c>
      <c r="AM116" s="19">
        <v>0.1</v>
      </c>
      <c r="AN116" s="20">
        <f t="shared" si="90"/>
        <v>16720.2</v>
      </c>
      <c r="AO116" s="21">
        <f t="shared" si="91"/>
        <v>0</v>
      </c>
      <c r="AP116" s="421">
        <f t="shared" si="77"/>
        <v>0</v>
      </c>
      <c r="AQ116" s="436"/>
      <c r="AR116" s="479">
        <v>13.07</v>
      </c>
      <c r="AS116" s="485">
        <f t="shared" si="94"/>
        <v>0</v>
      </c>
      <c r="AT116" s="382">
        <f t="shared" si="95"/>
        <v>0</v>
      </c>
      <c r="AU116" s="433"/>
      <c r="AV116" s="448" t="s">
        <v>183</v>
      </c>
      <c r="AW116" s="449">
        <f t="shared" si="92"/>
        <v>0</v>
      </c>
      <c r="AX116" s="450">
        <f t="shared" si="93"/>
        <v>0</v>
      </c>
      <c r="AY116" s="570" t="b">
        <f t="shared" si="71"/>
        <v>1</v>
      </c>
    </row>
    <row r="117" spans="1:51" s="558" customFormat="1" ht="13.95" hidden="1" customHeight="1" x14ac:dyDescent="0.3">
      <c r="A117" s="365"/>
      <c r="B117" s="376"/>
      <c r="C117" s="376"/>
      <c r="D117" s="396" t="s">
        <v>318</v>
      </c>
      <c r="E117" s="378" t="s">
        <v>201</v>
      </c>
      <c r="F117" s="378">
        <v>0.44097222222222221</v>
      </c>
      <c r="G117" s="378" t="s">
        <v>326</v>
      </c>
      <c r="H117" s="394">
        <v>60</v>
      </c>
      <c r="I117" s="13"/>
      <c r="J117" s="11"/>
      <c r="K117" s="12"/>
      <c r="L117" s="12"/>
      <c r="M117" s="12"/>
      <c r="N117" s="11"/>
      <c r="O117" s="13"/>
      <c r="P117" s="13"/>
      <c r="Q117" s="11"/>
      <c r="R117" s="12"/>
      <c r="S117" s="12"/>
      <c r="T117" s="12"/>
      <c r="U117" s="11"/>
      <c r="V117" s="13"/>
      <c r="W117" s="13"/>
      <c r="X117" s="11"/>
      <c r="Y117" s="12"/>
      <c r="Z117" s="12"/>
      <c r="AA117" s="12"/>
      <c r="AB117" s="11"/>
      <c r="AC117" s="13"/>
      <c r="AD117" s="13"/>
      <c r="AE117" s="11"/>
      <c r="AF117" s="12"/>
      <c r="AG117" s="12"/>
      <c r="AH117" s="12"/>
      <c r="AI117" s="11"/>
      <c r="AJ117" s="13"/>
      <c r="AK117" s="379">
        <f t="shared" si="89"/>
        <v>0</v>
      </c>
      <c r="AL117" s="390">
        <v>4846</v>
      </c>
      <c r="AM117" s="19">
        <v>0.1</v>
      </c>
      <c r="AN117" s="20">
        <f t="shared" si="90"/>
        <v>4361.4000000000005</v>
      </c>
      <c r="AO117" s="21">
        <f t="shared" si="91"/>
        <v>0</v>
      </c>
      <c r="AP117" s="421">
        <f t="shared" si="77"/>
        <v>0</v>
      </c>
      <c r="AQ117" s="436"/>
      <c r="AR117" s="479">
        <v>3.79</v>
      </c>
      <c r="AS117" s="485">
        <f t="shared" si="94"/>
        <v>0</v>
      </c>
      <c r="AT117" s="382">
        <f t="shared" si="95"/>
        <v>0</v>
      </c>
      <c r="AU117" s="433"/>
      <c r="AV117" s="448" t="s">
        <v>183</v>
      </c>
      <c r="AW117" s="449">
        <f t="shared" si="92"/>
        <v>0</v>
      </c>
      <c r="AX117" s="450">
        <f t="shared" si="93"/>
        <v>0</v>
      </c>
      <c r="AY117" s="570" t="b">
        <f t="shared" si="71"/>
        <v>1</v>
      </c>
    </row>
    <row r="118" spans="1:51" s="558" customFormat="1" ht="13.95" customHeight="1" x14ac:dyDescent="0.3">
      <c r="A118" s="365"/>
      <c r="B118" s="376"/>
      <c r="C118" s="376"/>
      <c r="D118" s="377" t="s">
        <v>318</v>
      </c>
      <c r="E118" s="378" t="s">
        <v>201</v>
      </c>
      <c r="F118" s="378">
        <v>0.44097222222222221</v>
      </c>
      <c r="G118" s="378" t="s">
        <v>326</v>
      </c>
      <c r="H118" s="394">
        <v>30</v>
      </c>
      <c r="I118" s="13"/>
      <c r="J118" s="11"/>
      <c r="K118" s="12"/>
      <c r="L118" s="12"/>
      <c r="M118" s="12"/>
      <c r="N118" s="11"/>
      <c r="O118" s="13"/>
      <c r="P118" s="13"/>
      <c r="Q118" s="11"/>
      <c r="R118" s="12"/>
      <c r="S118" s="12"/>
      <c r="T118" s="12"/>
      <c r="U118" s="11">
        <v>1</v>
      </c>
      <c r="V118" s="13"/>
      <c r="W118" s="13"/>
      <c r="X118" s="11"/>
      <c r="Y118" s="12">
        <v>1</v>
      </c>
      <c r="Z118" s="12"/>
      <c r="AA118" s="12"/>
      <c r="AB118" s="11"/>
      <c r="AC118" s="13"/>
      <c r="AD118" s="13"/>
      <c r="AE118" s="11"/>
      <c r="AF118" s="12"/>
      <c r="AG118" s="12">
        <v>1</v>
      </c>
      <c r="AH118" s="12"/>
      <c r="AI118" s="11"/>
      <c r="AJ118" s="13"/>
      <c r="AK118" s="379">
        <f t="shared" si="89"/>
        <v>3</v>
      </c>
      <c r="AL118" s="390">
        <v>2423</v>
      </c>
      <c r="AM118" s="19">
        <v>0.1</v>
      </c>
      <c r="AN118" s="20">
        <f t="shared" si="90"/>
        <v>2180.7000000000003</v>
      </c>
      <c r="AO118" s="21">
        <f t="shared" si="91"/>
        <v>6542.1</v>
      </c>
      <c r="AP118" s="421">
        <f t="shared" si="77"/>
        <v>5233.68</v>
      </c>
      <c r="AQ118" s="436"/>
      <c r="AR118" s="479">
        <v>3.79</v>
      </c>
      <c r="AS118" s="485">
        <f t="shared" si="94"/>
        <v>11.370000000000001</v>
      </c>
      <c r="AT118" s="382">
        <f t="shared" si="95"/>
        <v>460.30606860158309</v>
      </c>
      <c r="AU118" s="433"/>
      <c r="AV118" s="448" t="s">
        <v>183</v>
      </c>
      <c r="AW118" s="449">
        <f t="shared" si="92"/>
        <v>3</v>
      </c>
      <c r="AX118" s="450">
        <f t="shared" si="93"/>
        <v>5233.68</v>
      </c>
      <c r="AY118" s="570" t="b">
        <f t="shared" si="71"/>
        <v>1</v>
      </c>
    </row>
    <row r="119" spans="1:51" s="558" customFormat="1" ht="13.95" customHeight="1" x14ac:dyDescent="0.3">
      <c r="A119" s="365"/>
      <c r="B119" s="376"/>
      <c r="C119" s="376"/>
      <c r="D119" s="389" t="s">
        <v>319</v>
      </c>
      <c r="E119" s="378" t="s">
        <v>202</v>
      </c>
      <c r="F119" s="378">
        <v>0.61458333333333337</v>
      </c>
      <c r="G119" s="378" t="s">
        <v>327</v>
      </c>
      <c r="H119" s="394">
        <v>30</v>
      </c>
      <c r="I119" s="13"/>
      <c r="J119" s="11"/>
      <c r="K119" s="12"/>
      <c r="L119" s="12"/>
      <c r="M119" s="12"/>
      <c r="N119" s="11"/>
      <c r="O119" s="13"/>
      <c r="P119" s="13"/>
      <c r="Q119" s="11"/>
      <c r="R119" s="12"/>
      <c r="S119" s="12"/>
      <c r="T119" s="12"/>
      <c r="U119" s="11"/>
      <c r="V119" s="13"/>
      <c r="W119" s="13"/>
      <c r="X119" s="11"/>
      <c r="Y119" s="12">
        <v>1</v>
      </c>
      <c r="Z119" s="12"/>
      <c r="AA119" s="12"/>
      <c r="AB119" s="11"/>
      <c r="AC119" s="13"/>
      <c r="AD119" s="13"/>
      <c r="AE119" s="11"/>
      <c r="AF119" s="12"/>
      <c r="AG119" s="12"/>
      <c r="AH119" s="12"/>
      <c r="AI119" s="11"/>
      <c r="AJ119" s="13"/>
      <c r="AK119" s="379">
        <f t="shared" si="89"/>
        <v>1</v>
      </c>
      <c r="AL119" s="390">
        <v>3470</v>
      </c>
      <c r="AM119" s="19">
        <v>0.1</v>
      </c>
      <c r="AN119" s="20">
        <f t="shared" si="90"/>
        <v>3123</v>
      </c>
      <c r="AO119" s="21">
        <f t="shared" si="91"/>
        <v>3123</v>
      </c>
      <c r="AP119" s="421">
        <f t="shared" si="77"/>
        <v>2498.4</v>
      </c>
      <c r="AQ119" s="436"/>
      <c r="AR119" s="481">
        <v>6.47</v>
      </c>
      <c r="AS119" s="485">
        <f t="shared" si="94"/>
        <v>6.47</v>
      </c>
      <c r="AT119" s="382">
        <f t="shared" si="95"/>
        <v>386.15146831530143</v>
      </c>
      <c r="AU119" s="433"/>
      <c r="AV119" s="448" t="s">
        <v>183</v>
      </c>
      <c r="AW119" s="449">
        <f t="shared" si="92"/>
        <v>1</v>
      </c>
      <c r="AX119" s="450">
        <f t="shared" si="93"/>
        <v>2498.4</v>
      </c>
      <c r="AY119" s="570" t="b">
        <f t="shared" si="71"/>
        <v>1</v>
      </c>
    </row>
    <row r="120" spans="1:51" s="558" customFormat="1" ht="13.95" customHeight="1" x14ac:dyDescent="0.3">
      <c r="A120" s="365"/>
      <c r="B120" s="376"/>
      <c r="C120" s="376"/>
      <c r="D120" s="396" t="s">
        <v>197</v>
      </c>
      <c r="E120" s="378" t="s">
        <v>201</v>
      </c>
      <c r="F120" s="378">
        <v>0.76736111111111116</v>
      </c>
      <c r="G120" s="378" t="s">
        <v>328</v>
      </c>
      <c r="H120" s="394">
        <v>30</v>
      </c>
      <c r="I120" s="13"/>
      <c r="J120" s="11"/>
      <c r="K120" s="12"/>
      <c r="L120" s="12"/>
      <c r="M120" s="12"/>
      <c r="N120" s="11"/>
      <c r="O120" s="13"/>
      <c r="P120" s="13"/>
      <c r="Q120" s="11"/>
      <c r="R120" s="12"/>
      <c r="S120" s="12"/>
      <c r="T120" s="12"/>
      <c r="U120" s="11"/>
      <c r="V120" s="13"/>
      <c r="W120" s="13"/>
      <c r="X120" s="11"/>
      <c r="Y120" s="12"/>
      <c r="Z120" s="12"/>
      <c r="AA120" s="12">
        <v>1</v>
      </c>
      <c r="AB120" s="11"/>
      <c r="AC120" s="13"/>
      <c r="AD120" s="13"/>
      <c r="AE120" s="11"/>
      <c r="AF120" s="12"/>
      <c r="AG120" s="12"/>
      <c r="AH120" s="12"/>
      <c r="AI120" s="11"/>
      <c r="AJ120" s="13"/>
      <c r="AK120" s="379">
        <f t="shared" si="89"/>
        <v>1</v>
      </c>
      <c r="AL120" s="390">
        <v>8865</v>
      </c>
      <c r="AM120" s="19">
        <v>0.1</v>
      </c>
      <c r="AN120" s="20">
        <f t="shared" si="90"/>
        <v>7978.5</v>
      </c>
      <c r="AO120" s="21">
        <f t="shared" si="91"/>
        <v>7978.5</v>
      </c>
      <c r="AP120" s="421">
        <f t="shared" si="77"/>
        <v>6382.8</v>
      </c>
      <c r="AQ120" s="436"/>
      <c r="AR120" s="479">
        <v>8.5</v>
      </c>
      <c r="AS120" s="485">
        <f t="shared" si="94"/>
        <v>8.5</v>
      </c>
      <c r="AT120" s="382">
        <f t="shared" si="95"/>
        <v>750.9176470588236</v>
      </c>
      <c r="AU120" s="433"/>
      <c r="AV120" s="448" t="s">
        <v>183</v>
      </c>
      <c r="AW120" s="449">
        <f t="shared" si="92"/>
        <v>1</v>
      </c>
      <c r="AX120" s="450">
        <f t="shared" si="93"/>
        <v>6382.8</v>
      </c>
      <c r="AY120" s="570" t="b">
        <f t="shared" si="71"/>
        <v>1</v>
      </c>
    </row>
    <row r="121" spans="1:51" s="558" customFormat="1" ht="13.95" hidden="1" customHeight="1" x14ac:dyDescent="0.3">
      <c r="A121" s="365"/>
      <c r="B121" s="376"/>
      <c r="C121" s="376"/>
      <c r="D121" s="389" t="s">
        <v>187</v>
      </c>
      <c r="E121" s="378" t="s">
        <v>201</v>
      </c>
      <c r="F121" s="378">
        <v>0.81944444444444442</v>
      </c>
      <c r="G121" s="378" t="s">
        <v>188</v>
      </c>
      <c r="H121" s="394">
        <v>60</v>
      </c>
      <c r="I121" s="13"/>
      <c r="J121" s="11"/>
      <c r="K121" s="12"/>
      <c r="L121" s="12"/>
      <c r="M121" s="12"/>
      <c r="N121" s="11"/>
      <c r="O121" s="13"/>
      <c r="P121" s="13"/>
      <c r="Q121" s="11"/>
      <c r="R121" s="12"/>
      <c r="S121" s="12"/>
      <c r="T121" s="12"/>
      <c r="U121" s="11"/>
      <c r="V121" s="13"/>
      <c r="W121" s="13"/>
      <c r="X121" s="11"/>
      <c r="Y121" s="12"/>
      <c r="Z121" s="12"/>
      <c r="AA121" s="12"/>
      <c r="AB121" s="11"/>
      <c r="AC121" s="13"/>
      <c r="AD121" s="13"/>
      <c r="AE121" s="11"/>
      <c r="AF121" s="12"/>
      <c r="AG121" s="12"/>
      <c r="AH121" s="12"/>
      <c r="AI121" s="11"/>
      <c r="AJ121" s="13"/>
      <c r="AK121" s="379">
        <f t="shared" si="89"/>
        <v>0</v>
      </c>
      <c r="AL121" s="390">
        <v>21268</v>
      </c>
      <c r="AM121" s="19">
        <v>0.1</v>
      </c>
      <c r="AN121" s="20">
        <f t="shared" si="90"/>
        <v>19141.2</v>
      </c>
      <c r="AO121" s="21">
        <f t="shared" si="91"/>
        <v>0</v>
      </c>
      <c r="AP121" s="421">
        <f t="shared" si="77"/>
        <v>0</v>
      </c>
      <c r="AQ121" s="436"/>
      <c r="AR121" s="479">
        <v>12.33</v>
      </c>
      <c r="AS121" s="485">
        <f t="shared" si="94"/>
        <v>0</v>
      </c>
      <c r="AT121" s="382">
        <f t="shared" si="95"/>
        <v>0</v>
      </c>
      <c r="AU121" s="433"/>
      <c r="AV121" s="448" t="s">
        <v>183</v>
      </c>
      <c r="AW121" s="449">
        <f t="shared" si="92"/>
        <v>0</v>
      </c>
      <c r="AX121" s="450">
        <f t="shared" si="93"/>
        <v>0</v>
      </c>
      <c r="AY121" s="570" t="b">
        <f t="shared" si="71"/>
        <v>1</v>
      </c>
    </row>
    <row r="122" spans="1:51" s="558" customFormat="1" ht="13.95" customHeight="1" x14ac:dyDescent="0.3">
      <c r="A122" s="365"/>
      <c r="B122" s="376"/>
      <c r="C122" s="376"/>
      <c r="D122" s="396" t="s">
        <v>187</v>
      </c>
      <c r="E122" s="378" t="s">
        <v>201</v>
      </c>
      <c r="F122" s="378">
        <v>0.81944444444444442</v>
      </c>
      <c r="G122" s="378" t="s">
        <v>188</v>
      </c>
      <c r="H122" s="394">
        <v>30</v>
      </c>
      <c r="I122" s="13"/>
      <c r="J122" s="11"/>
      <c r="K122" s="12"/>
      <c r="L122" s="12"/>
      <c r="M122" s="12"/>
      <c r="N122" s="11"/>
      <c r="O122" s="13"/>
      <c r="P122" s="13"/>
      <c r="Q122" s="11"/>
      <c r="R122" s="12"/>
      <c r="S122" s="12"/>
      <c r="T122" s="12"/>
      <c r="U122" s="11">
        <v>1</v>
      </c>
      <c r="V122" s="13"/>
      <c r="W122" s="13"/>
      <c r="X122" s="11"/>
      <c r="Y122" s="12"/>
      <c r="Z122" s="12"/>
      <c r="AA122" s="12"/>
      <c r="AB122" s="11">
        <v>1</v>
      </c>
      <c r="AC122" s="13"/>
      <c r="AD122" s="13"/>
      <c r="AE122" s="11"/>
      <c r="AF122" s="12"/>
      <c r="AG122" s="12"/>
      <c r="AH122" s="12"/>
      <c r="AI122" s="11"/>
      <c r="AJ122" s="13"/>
      <c r="AK122" s="379">
        <f t="shared" si="89"/>
        <v>2</v>
      </c>
      <c r="AL122" s="390">
        <v>10634</v>
      </c>
      <c r="AM122" s="19">
        <v>0.1</v>
      </c>
      <c r="AN122" s="20">
        <f t="shared" si="90"/>
        <v>9570.6</v>
      </c>
      <c r="AO122" s="21">
        <f t="shared" si="91"/>
        <v>19141.2</v>
      </c>
      <c r="AP122" s="421">
        <f t="shared" si="77"/>
        <v>15312.960000000001</v>
      </c>
      <c r="AQ122" s="436"/>
      <c r="AR122" s="479">
        <v>12.33</v>
      </c>
      <c r="AS122" s="485">
        <f t="shared" si="94"/>
        <v>24.66</v>
      </c>
      <c r="AT122" s="382">
        <f t="shared" si="95"/>
        <v>620.96350364963507</v>
      </c>
      <c r="AU122" s="433"/>
      <c r="AV122" s="448" t="s">
        <v>183</v>
      </c>
      <c r="AW122" s="449">
        <f t="shared" si="92"/>
        <v>2</v>
      </c>
      <c r="AX122" s="450">
        <f t="shared" si="93"/>
        <v>15312.960000000001</v>
      </c>
      <c r="AY122" s="570" t="b">
        <f t="shared" si="71"/>
        <v>1</v>
      </c>
    </row>
    <row r="123" spans="1:51" s="558" customFormat="1" ht="13.95" customHeight="1" x14ac:dyDescent="0.3">
      <c r="A123" s="365"/>
      <c r="B123" s="376"/>
      <c r="C123" s="376"/>
      <c r="D123" s="377" t="s">
        <v>196</v>
      </c>
      <c r="E123" s="378" t="s">
        <v>201</v>
      </c>
      <c r="F123" s="378">
        <v>0.88888888888888884</v>
      </c>
      <c r="G123" s="378" t="s">
        <v>329</v>
      </c>
      <c r="H123" s="394">
        <v>60</v>
      </c>
      <c r="I123" s="13"/>
      <c r="J123" s="11"/>
      <c r="K123" s="12"/>
      <c r="L123" s="12"/>
      <c r="M123" s="12"/>
      <c r="N123" s="11"/>
      <c r="O123" s="13"/>
      <c r="P123" s="13"/>
      <c r="Q123" s="11"/>
      <c r="R123" s="12"/>
      <c r="S123" s="12"/>
      <c r="T123" s="12">
        <v>1</v>
      </c>
      <c r="U123" s="11"/>
      <c r="V123" s="13"/>
      <c r="W123" s="13"/>
      <c r="X123" s="11"/>
      <c r="Y123" s="12"/>
      <c r="Z123" s="12"/>
      <c r="AA123" s="12"/>
      <c r="AB123" s="11"/>
      <c r="AC123" s="13"/>
      <c r="AD123" s="13"/>
      <c r="AE123" s="11"/>
      <c r="AF123" s="12"/>
      <c r="AG123" s="12"/>
      <c r="AH123" s="12"/>
      <c r="AI123" s="11"/>
      <c r="AJ123" s="13"/>
      <c r="AK123" s="379">
        <f t="shared" si="89"/>
        <v>1</v>
      </c>
      <c r="AL123" s="390">
        <v>38516</v>
      </c>
      <c r="AM123" s="19">
        <v>0.1</v>
      </c>
      <c r="AN123" s="20">
        <f t="shared" si="90"/>
        <v>34664.400000000001</v>
      </c>
      <c r="AO123" s="21">
        <f t="shared" si="91"/>
        <v>34664.400000000001</v>
      </c>
      <c r="AP123" s="421">
        <f t="shared" si="77"/>
        <v>27731.520000000004</v>
      </c>
      <c r="AQ123" s="436"/>
      <c r="AR123" s="481">
        <v>13.4</v>
      </c>
      <c r="AS123" s="485">
        <f t="shared" si="94"/>
        <v>13.4</v>
      </c>
      <c r="AT123" s="382">
        <f t="shared" si="95"/>
        <v>2069.5164179104481</v>
      </c>
      <c r="AU123" s="433"/>
      <c r="AV123" s="448" t="s">
        <v>183</v>
      </c>
      <c r="AW123" s="449">
        <f t="shared" si="92"/>
        <v>1</v>
      </c>
      <c r="AX123" s="450">
        <f t="shared" si="93"/>
        <v>27731.520000000004</v>
      </c>
      <c r="AY123" s="570" t="b">
        <f t="shared" si="71"/>
        <v>1</v>
      </c>
    </row>
    <row r="124" spans="1:51" s="558" customFormat="1" ht="13.95" customHeight="1" x14ac:dyDescent="0.3">
      <c r="A124" s="365"/>
      <c r="B124" s="376"/>
      <c r="C124" s="376"/>
      <c r="D124" s="389" t="s">
        <v>196</v>
      </c>
      <c r="E124" s="378" t="s">
        <v>201</v>
      </c>
      <c r="F124" s="378">
        <v>0.88888888888888884</v>
      </c>
      <c r="G124" s="378" t="s">
        <v>329</v>
      </c>
      <c r="H124" s="394">
        <v>30</v>
      </c>
      <c r="I124" s="13"/>
      <c r="J124" s="11"/>
      <c r="K124" s="12"/>
      <c r="L124" s="12"/>
      <c r="M124" s="12"/>
      <c r="N124" s="11"/>
      <c r="O124" s="13"/>
      <c r="P124" s="13"/>
      <c r="Q124" s="11"/>
      <c r="R124" s="12"/>
      <c r="S124" s="12"/>
      <c r="T124" s="12"/>
      <c r="U124" s="11"/>
      <c r="V124" s="13"/>
      <c r="W124" s="13"/>
      <c r="X124" s="11"/>
      <c r="Y124" s="12"/>
      <c r="Z124" s="12"/>
      <c r="AA124" s="12"/>
      <c r="AB124" s="11"/>
      <c r="AC124" s="13"/>
      <c r="AD124" s="13"/>
      <c r="AE124" s="11"/>
      <c r="AF124" s="12">
        <v>1</v>
      </c>
      <c r="AG124" s="12"/>
      <c r="AH124" s="12"/>
      <c r="AI124" s="11"/>
      <c r="AJ124" s="13"/>
      <c r="AK124" s="379">
        <f t="shared" si="89"/>
        <v>1</v>
      </c>
      <c r="AL124" s="390">
        <v>19258</v>
      </c>
      <c r="AM124" s="19">
        <v>0.1</v>
      </c>
      <c r="AN124" s="20">
        <f t="shared" si="90"/>
        <v>17332.2</v>
      </c>
      <c r="AO124" s="21">
        <f t="shared" si="91"/>
        <v>17332.2</v>
      </c>
      <c r="AP124" s="421">
        <f t="shared" si="77"/>
        <v>13865.760000000002</v>
      </c>
      <c r="AQ124" s="436"/>
      <c r="AR124" s="481">
        <v>13.4</v>
      </c>
      <c r="AS124" s="485">
        <f t="shared" si="94"/>
        <v>13.4</v>
      </c>
      <c r="AT124" s="382">
        <f t="shared" si="95"/>
        <v>1034.7582089552241</v>
      </c>
      <c r="AU124" s="433"/>
      <c r="AV124" s="448" t="s">
        <v>183</v>
      </c>
      <c r="AW124" s="449">
        <f t="shared" si="92"/>
        <v>1</v>
      </c>
      <c r="AX124" s="450">
        <f t="shared" si="93"/>
        <v>13865.760000000002</v>
      </c>
      <c r="AY124" s="570" t="b">
        <f t="shared" si="71"/>
        <v>1</v>
      </c>
    </row>
    <row r="125" spans="1:51" s="558" customFormat="1" ht="13.95" customHeight="1" x14ac:dyDescent="0.3">
      <c r="A125" s="365"/>
      <c r="B125" s="376"/>
      <c r="C125" s="376"/>
      <c r="D125" s="396" t="s">
        <v>320</v>
      </c>
      <c r="E125" s="378" t="s">
        <v>201</v>
      </c>
      <c r="F125" s="378">
        <v>0.71180555555555558</v>
      </c>
      <c r="G125" s="378" t="s">
        <v>330</v>
      </c>
      <c r="H125" s="394">
        <v>30</v>
      </c>
      <c r="I125" s="13"/>
      <c r="J125" s="11"/>
      <c r="K125" s="12"/>
      <c r="L125" s="12"/>
      <c r="M125" s="12"/>
      <c r="N125" s="11"/>
      <c r="O125" s="13"/>
      <c r="P125" s="13"/>
      <c r="Q125" s="11"/>
      <c r="R125" s="12"/>
      <c r="S125" s="12"/>
      <c r="T125" s="12"/>
      <c r="U125" s="11"/>
      <c r="V125" s="13"/>
      <c r="W125" s="13"/>
      <c r="X125" s="11">
        <v>1</v>
      </c>
      <c r="Y125" s="12"/>
      <c r="Z125" s="12"/>
      <c r="AA125" s="12"/>
      <c r="AB125" s="11"/>
      <c r="AC125" s="13"/>
      <c r="AD125" s="13"/>
      <c r="AE125" s="11"/>
      <c r="AF125" s="12"/>
      <c r="AG125" s="12">
        <v>1</v>
      </c>
      <c r="AH125" s="12"/>
      <c r="AI125" s="11"/>
      <c r="AJ125" s="13"/>
      <c r="AK125" s="379">
        <f t="shared" si="89"/>
        <v>2</v>
      </c>
      <c r="AL125" s="390">
        <v>3405</v>
      </c>
      <c r="AM125" s="19">
        <v>0.1</v>
      </c>
      <c r="AN125" s="20">
        <f t="shared" si="90"/>
        <v>3064.5</v>
      </c>
      <c r="AO125" s="21">
        <f t="shared" si="91"/>
        <v>6129</v>
      </c>
      <c r="AP125" s="421">
        <f t="shared" si="77"/>
        <v>4903.2</v>
      </c>
      <c r="AQ125" s="436"/>
      <c r="AR125" s="479">
        <v>9.2100000000000009</v>
      </c>
      <c r="AS125" s="485">
        <f t="shared" si="94"/>
        <v>18.420000000000002</v>
      </c>
      <c r="AT125" s="382">
        <f t="shared" si="95"/>
        <v>266.18892508143318</v>
      </c>
      <c r="AU125" s="433"/>
      <c r="AV125" s="448" t="s">
        <v>183</v>
      </c>
      <c r="AW125" s="449">
        <f t="shared" si="92"/>
        <v>2</v>
      </c>
      <c r="AX125" s="450">
        <f t="shared" si="93"/>
        <v>4903.2</v>
      </c>
      <c r="AY125" s="570" t="b">
        <f t="shared" si="71"/>
        <v>1</v>
      </c>
    </row>
    <row r="126" spans="1:51" s="558" customFormat="1" ht="13.95" customHeight="1" x14ac:dyDescent="0.3">
      <c r="A126" s="365"/>
      <c r="B126" s="376"/>
      <c r="C126" s="376"/>
      <c r="D126" s="389"/>
      <c r="E126" s="378"/>
      <c r="F126" s="378"/>
      <c r="G126" s="378"/>
      <c r="H126" s="394"/>
      <c r="I126" s="13"/>
      <c r="J126" s="11"/>
      <c r="K126" s="12"/>
      <c r="L126" s="12"/>
      <c r="M126" s="12"/>
      <c r="N126" s="11"/>
      <c r="O126" s="13"/>
      <c r="P126" s="13"/>
      <c r="Q126" s="11"/>
      <c r="R126" s="12"/>
      <c r="S126" s="12"/>
      <c r="T126" s="12"/>
      <c r="U126" s="11"/>
      <c r="V126" s="13"/>
      <c r="W126" s="13"/>
      <c r="X126" s="11"/>
      <c r="Y126" s="12"/>
      <c r="Z126" s="12"/>
      <c r="AA126" s="12"/>
      <c r="AB126" s="11"/>
      <c r="AC126" s="13"/>
      <c r="AD126" s="13"/>
      <c r="AE126" s="11"/>
      <c r="AF126" s="12"/>
      <c r="AG126" s="12"/>
      <c r="AH126" s="12"/>
      <c r="AI126" s="11"/>
      <c r="AJ126" s="13"/>
      <c r="AK126" s="504"/>
      <c r="AL126" s="505"/>
      <c r="AM126" s="506"/>
      <c r="AN126" s="337"/>
      <c r="AO126" s="170"/>
      <c r="AP126" s="170"/>
      <c r="AQ126" s="436"/>
      <c r="AR126" s="479"/>
      <c r="AS126" s="485">
        <f t="shared" ref="AS126:AS138" si="96">AR126*AK126</f>
        <v>0</v>
      </c>
      <c r="AT126" s="382">
        <f t="shared" ref="AT126:AT138" si="97">IFERROR(AP126/AS126,0)</f>
        <v>0</v>
      </c>
      <c r="AU126" s="433"/>
      <c r="AV126" s="451" t="s">
        <v>142</v>
      </c>
      <c r="AW126" s="425">
        <f>SUM(AW109:AW125)</f>
        <v>19</v>
      </c>
      <c r="AX126" s="426">
        <f>SUM(AX109:AX125)</f>
        <v>128117.52</v>
      </c>
      <c r="AY126" s="570" t="b">
        <f>SUM(AP109:AP125)=AX126</f>
        <v>0</v>
      </c>
    </row>
    <row r="127" spans="1:51" s="558" customFormat="1" ht="13.95" customHeight="1" x14ac:dyDescent="0.3">
      <c r="A127" s="365"/>
      <c r="B127" s="376"/>
      <c r="C127" s="376" t="s">
        <v>17</v>
      </c>
      <c r="D127" s="396" t="s">
        <v>208</v>
      </c>
      <c r="E127" s="378" t="s">
        <v>201</v>
      </c>
      <c r="F127" s="378">
        <v>0.375</v>
      </c>
      <c r="G127" s="378" t="s">
        <v>212</v>
      </c>
      <c r="H127" s="394">
        <v>30</v>
      </c>
      <c r="I127" s="13"/>
      <c r="J127" s="11"/>
      <c r="K127" s="12"/>
      <c r="L127" s="12"/>
      <c r="M127" s="12"/>
      <c r="N127" s="11"/>
      <c r="O127" s="13"/>
      <c r="P127" s="13"/>
      <c r="Q127" s="11"/>
      <c r="R127" s="12"/>
      <c r="S127" s="12"/>
      <c r="T127" s="12"/>
      <c r="U127" s="11"/>
      <c r="V127" s="13"/>
      <c r="W127" s="13"/>
      <c r="X127" s="11">
        <v>1</v>
      </c>
      <c r="Y127" s="12"/>
      <c r="Z127" s="12"/>
      <c r="AA127" s="12"/>
      <c r="AB127" s="11"/>
      <c r="AC127" s="13"/>
      <c r="AD127" s="13"/>
      <c r="AE127" s="11">
        <v>1</v>
      </c>
      <c r="AF127" s="12"/>
      <c r="AG127" s="12"/>
      <c r="AH127" s="12"/>
      <c r="AI127" s="11"/>
      <c r="AJ127" s="13"/>
      <c r="AK127" s="379">
        <f t="shared" ref="AK127:AK138" si="98">SUM(I127:AJ127)</f>
        <v>2</v>
      </c>
      <c r="AL127" s="390">
        <v>1346</v>
      </c>
      <c r="AM127" s="19">
        <v>0.85</v>
      </c>
      <c r="AN127" s="20">
        <f t="shared" ref="AN127:AN138" si="99">AL127*(1-AM127)</f>
        <v>201.90000000000003</v>
      </c>
      <c r="AO127" s="21">
        <f t="shared" ref="AO127:AO138" si="100">AN127*AK127</f>
        <v>403.80000000000007</v>
      </c>
      <c r="AP127" s="22">
        <f t="shared" si="77"/>
        <v>323.04000000000008</v>
      </c>
      <c r="AQ127" s="436"/>
      <c r="AR127" s="479">
        <v>0.24</v>
      </c>
      <c r="AS127" s="485">
        <f t="shared" si="96"/>
        <v>0.48</v>
      </c>
      <c r="AT127" s="382">
        <f t="shared" si="97"/>
        <v>673.00000000000023</v>
      </c>
      <c r="AU127" s="433"/>
      <c r="AV127" s="448" t="s">
        <v>17</v>
      </c>
      <c r="AW127" s="449">
        <f t="shared" ref="AW127:AW138" si="101">SUM(I127:AJ127)</f>
        <v>2</v>
      </c>
      <c r="AX127" s="450">
        <f t="shared" ref="AX127:AX138" si="102">AW127*AN127*0.8</f>
        <v>323.04000000000008</v>
      </c>
      <c r="AY127" s="570" t="b">
        <f t="shared" ref="AY127:AY138" si="103">SUM(AX127)=AP127</f>
        <v>1</v>
      </c>
    </row>
    <row r="128" spans="1:51" s="558" customFormat="1" ht="13.95" customHeight="1" x14ac:dyDescent="0.3">
      <c r="A128" s="365"/>
      <c r="B128" s="376"/>
      <c r="C128" s="376"/>
      <c r="D128" s="377" t="s">
        <v>209</v>
      </c>
      <c r="E128" s="378" t="s">
        <v>202</v>
      </c>
      <c r="F128" s="378">
        <v>0.66666666666666663</v>
      </c>
      <c r="G128" s="378" t="s">
        <v>213</v>
      </c>
      <c r="H128" s="394">
        <v>60</v>
      </c>
      <c r="I128" s="13"/>
      <c r="J128" s="11"/>
      <c r="K128" s="12"/>
      <c r="L128" s="12"/>
      <c r="M128" s="12"/>
      <c r="N128" s="11"/>
      <c r="O128" s="13"/>
      <c r="P128" s="13"/>
      <c r="Q128" s="11"/>
      <c r="R128" s="12"/>
      <c r="S128" s="12"/>
      <c r="T128" s="12">
        <v>1</v>
      </c>
      <c r="U128" s="11"/>
      <c r="V128" s="13"/>
      <c r="W128" s="13"/>
      <c r="X128" s="11"/>
      <c r="Y128" s="12"/>
      <c r="Z128" s="12"/>
      <c r="AA128" s="12"/>
      <c r="AB128" s="11"/>
      <c r="AC128" s="13"/>
      <c r="AD128" s="13"/>
      <c r="AE128" s="11"/>
      <c r="AF128" s="12"/>
      <c r="AG128" s="12"/>
      <c r="AH128" s="12"/>
      <c r="AI128" s="11"/>
      <c r="AJ128" s="13"/>
      <c r="AK128" s="379">
        <f t="shared" si="98"/>
        <v>1</v>
      </c>
      <c r="AL128" s="390">
        <v>9530</v>
      </c>
      <c r="AM128" s="19">
        <v>0.85</v>
      </c>
      <c r="AN128" s="20">
        <f t="shared" si="99"/>
        <v>1429.5000000000002</v>
      </c>
      <c r="AO128" s="21">
        <f t="shared" si="100"/>
        <v>1429.5000000000002</v>
      </c>
      <c r="AP128" s="22">
        <f t="shared" si="77"/>
        <v>1143.6000000000001</v>
      </c>
      <c r="AQ128" s="436"/>
      <c r="AR128" s="479">
        <v>1.43</v>
      </c>
      <c r="AS128" s="485">
        <f t="shared" si="96"/>
        <v>1.43</v>
      </c>
      <c r="AT128" s="382">
        <f t="shared" si="97"/>
        <v>799.7202797202799</v>
      </c>
      <c r="AU128" s="433"/>
      <c r="AV128" s="448" t="s">
        <v>17</v>
      </c>
      <c r="AW128" s="449">
        <f t="shared" si="101"/>
        <v>1</v>
      </c>
      <c r="AX128" s="450">
        <f t="shared" si="102"/>
        <v>1143.6000000000001</v>
      </c>
      <c r="AY128" s="570" t="b">
        <f t="shared" si="103"/>
        <v>1</v>
      </c>
    </row>
    <row r="129" spans="1:51" s="558" customFormat="1" ht="13.95" customHeight="1" x14ac:dyDescent="0.3">
      <c r="A129" s="365"/>
      <c r="B129" s="376"/>
      <c r="C129" s="376"/>
      <c r="D129" s="389" t="s">
        <v>209</v>
      </c>
      <c r="E129" s="378" t="s">
        <v>202</v>
      </c>
      <c r="F129" s="378">
        <v>0.66666666666666663</v>
      </c>
      <c r="G129" s="378" t="s">
        <v>213</v>
      </c>
      <c r="H129" s="394">
        <v>30</v>
      </c>
      <c r="I129" s="13"/>
      <c r="J129" s="11"/>
      <c r="K129" s="12"/>
      <c r="L129" s="12"/>
      <c r="M129" s="12"/>
      <c r="N129" s="11"/>
      <c r="O129" s="13"/>
      <c r="P129" s="13"/>
      <c r="Q129" s="11"/>
      <c r="R129" s="12"/>
      <c r="S129" s="12"/>
      <c r="T129" s="12"/>
      <c r="U129" s="11"/>
      <c r="V129" s="13"/>
      <c r="W129" s="13"/>
      <c r="X129" s="11"/>
      <c r="Y129" s="12"/>
      <c r="Z129" s="12">
        <v>1</v>
      </c>
      <c r="AA129" s="12"/>
      <c r="AB129" s="11"/>
      <c r="AC129" s="13"/>
      <c r="AD129" s="13"/>
      <c r="AE129" s="11"/>
      <c r="AF129" s="12"/>
      <c r="AG129" s="12"/>
      <c r="AH129" s="12"/>
      <c r="AI129" s="11"/>
      <c r="AJ129" s="13"/>
      <c r="AK129" s="379">
        <f t="shared" si="98"/>
        <v>1</v>
      </c>
      <c r="AL129" s="390">
        <v>4765</v>
      </c>
      <c r="AM129" s="19">
        <v>0.85</v>
      </c>
      <c r="AN129" s="20">
        <f t="shared" si="99"/>
        <v>714.75000000000011</v>
      </c>
      <c r="AO129" s="21">
        <f t="shared" si="100"/>
        <v>714.75000000000011</v>
      </c>
      <c r="AP129" s="22">
        <f t="shared" si="77"/>
        <v>571.80000000000007</v>
      </c>
      <c r="AQ129" s="436"/>
      <c r="AR129" s="479">
        <v>1.43</v>
      </c>
      <c r="AS129" s="485">
        <f t="shared" si="96"/>
        <v>1.43</v>
      </c>
      <c r="AT129" s="382">
        <f t="shared" si="97"/>
        <v>399.86013986013995</v>
      </c>
      <c r="AU129" s="433"/>
      <c r="AV129" s="448" t="s">
        <v>17</v>
      </c>
      <c r="AW129" s="449">
        <f t="shared" si="101"/>
        <v>1</v>
      </c>
      <c r="AX129" s="450">
        <f t="shared" si="102"/>
        <v>571.80000000000007</v>
      </c>
      <c r="AY129" s="570" t="b">
        <f t="shared" si="103"/>
        <v>1</v>
      </c>
    </row>
    <row r="130" spans="1:51" s="558" customFormat="1" ht="13.95" hidden="1" customHeight="1" x14ac:dyDescent="0.3">
      <c r="A130" s="365"/>
      <c r="B130" s="376"/>
      <c r="C130" s="376"/>
      <c r="D130" s="396" t="s">
        <v>210</v>
      </c>
      <c r="E130" s="378" t="s">
        <v>203</v>
      </c>
      <c r="F130" s="378">
        <v>0.95833333333333337</v>
      </c>
      <c r="G130" s="378" t="s">
        <v>214</v>
      </c>
      <c r="H130" s="394">
        <v>60</v>
      </c>
      <c r="I130" s="13"/>
      <c r="J130" s="11"/>
      <c r="K130" s="12"/>
      <c r="L130" s="12"/>
      <c r="M130" s="12"/>
      <c r="N130" s="11"/>
      <c r="O130" s="13"/>
      <c r="P130" s="13"/>
      <c r="Q130" s="11"/>
      <c r="R130" s="12"/>
      <c r="S130" s="12"/>
      <c r="T130" s="12"/>
      <c r="U130" s="11"/>
      <c r="V130" s="13"/>
      <c r="W130" s="13"/>
      <c r="X130" s="11"/>
      <c r="Y130" s="12"/>
      <c r="Z130" s="12"/>
      <c r="AA130" s="12"/>
      <c r="AB130" s="11"/>
      <c r="AC130" s="13"/>
      <c r="AD130" s="13"/>
      <c r="AE130" s="11"/>
      <c r="AF130" s="12"/>
      <c r="AG130" s="12"/>
      <c r="AH130" s="12"/>
      <c r="AI130" s="11"/>
      <c r="AJ130" s="13"/>
      <c r="AK130" s="379">
        <f t="shared" si="98"/>
        <v>0</v>
      </c>
      <c r="AL130" s="390">
        <v>4924</v>
      </c>
      <c r="AM130" s="19">
        <v>0.85</v>
      </c>
      <c r="AN130" s="20">
        <f t="shared" si="99"/>
        <v>738.60000000000014</v>
      </c>
      <c r="AO130" s="21">
        <f t="shared" si="100"/>
        <v>0</v>
      </c>
      <c r="AP130" s="22">
        <f t="shared" si="77"/>
        <v>0</v>
      </c>
      <c r="AQ130" s="436"/>
      <c r="AR130" s="479">
        <v>0.21</v>
      </c>
      <c r="AS130" s="485">
        <f t="shared" si="96"/>
        <v>0</v>
      </c>
      <c r="AT130" s="382">
        <f t="shared" si="97"/>
        <v>0</v>
      </c>
      <c r="AU130" s="433"/>
      <c r="AV130" s="448" t="s">
        <v>17</v>
      </c>
      <c r="AW130" s="449">
        <f t="shared" si="101"/>
        <v>0</v>
      </c>
      <c r="AX130" s="450">
        <f t="shared" si="102"/>
        <v>0</v>
      </c>
      <c r="AY130" s="570" t="b">
        <f t="shared" si="103"/>
        <v>1</v>
      </c>
    </row>
    <row r="131" spans="1:51" s="558" customFormat="1" ht="13.95" customHeight="1" x14ac:dyDescent="0.3">
      <c r="A131" s="365"/>
      <c r="B131" s="376"/>
      <c r="C131" s="376"/>
      <c r="D131" s="389" t="s">
        <v>210</v>
      </c>
      <c r="E131" s="378" t="s">
        <v>203</v>
      </c>
      <c r="F131" s="378">
        <v>0.95833333333333337</v>
      </c>
      <c r="G131" s="378" t="s">
        <v>214</v>
      </c>
      <c r="H131" s="394">
        <v>30</v>
      </c>
      <c r="I131" s="13"/>
      <c r="J131" s="11"/>
      <c r="K131" s="12"/>
      <c r="L131" s="12"/>
      <c r="M131" s="12"/>
      <c r="N131" s="11"/>
      <c r="O131" s="13"/>
      <c r="P131" s="13"/>
      <c r="Q131" s="11"/>
      <c r="R131" s="12"/>
      <c r="S131" s="12"/>
      <c r="T131" s="12"/>
      <c r="U131" s="11"/>
      <c r="V131" s="13"/>
      <c r="W131" s="13"/>
      <c r="X131" s="11"/>
      <c r="Y131" s="12"/>
      <c r="Z131" s="12"/>
      <c r="AA131" s="12"/>
      <c r="AB131" s="11"/>
      <c r="AC131" s="13"/>
      <c r="AD131" s="13">
        <v>1</v>
      </c>
      <c r="AE131" s="11"/>
      <c r="AF131" s="12"/>
      <c r="AG131" s="12"/>
      <c r="AH131" s="12"/>
      <c r="AI131" s="11"/>
      <c r="AJ131" s="13"/>
      <c r="AK131" s="379">
        <f t="shared" si="98"/>
        <v>1</v>
      </c>
      <c r="AL131" s="390">
        <v>2462</v>
      </c>
      <c r="AM131" s="19">
        <v>0.85</v>
      </c>
      <c r="AN131" s="20">
        <f t="shared" si="99"/>
        <v>369.30000000000007</v>
      </c>
      <c r="AO131" s="21">
        <f t="shared" si="100"/>
        <v>369.30000000000007</v>
      </c>
      <c r="AP131" s="22">
        <f t="shared" si="77"/>
        <v>295.44000000000005</v>
      </c>
      <c r="AQ131" s="436"/>
      <c r="AR131" s="479">
        <v>0.21</v>
      </c>
      <c r="AS131" s="485">
        <f t="shared" si="96"/>
        <v>0.21</v>
      </c>
      <c r="AT131" s="382">
        <f t="shared" si="97"/>
        <v>1406.8571428571431</v>
      </c>
      <c r="AU131" s="433"/>
      <c r="AV131" s="448" t="s">
        <v>17</v>
      </c>
      <c r="AW131" s="449">
        <f t="shared" si="101"/>
        <v>1</v>
      </c>
      <c r="AX131" s="450">
        <f t="shared" si="102"/>
        <v>295.44000000000005</v>
      </c>
      <c r="AY131" s="570" t="b">
        <f t="shared" si="103"/>
        <v>1</v>
      </c>
    </row>
    <row r="132" spans="1:51" s="558" customFormat="1" ht="13.95" customHeight="1" x14ac:dyDescent="0.3">
      <c r="A132" s="365"/>
      <c r="B132" s="376"/>
      <c r="C132" s="376"/>
      <c r="D132" s="396" t="s">
        <v>211</v>
      </c>
      <c r="E132" s="378" t="s">
        <v>201</v>
      </c>
      <c r="F132" s="378">
        <v>1.0416666666666666E-2</v>
      </c>
      <c r="G132" s="378" t="s">
        <v>215</v>
      </c>
      <c r="H132" s="394">
        <v>60</v>
      </c>
      <c r="I132" s="13"/>
      <c r="J132" s="11"/>
      <c r="K132" s="12"/>
      <c r="L132" s="12"/>
      <c r="M132" s="12"/>
      <c r="N132" s="11"/>
      <c r="O132" s="13"/>
      <c r="P132" s="13"/>
      <c r="Q132" s="11"/>
      <c r="R132" s="12"/>
      <c r="S132" s="12"/>
      <c r="T132" s="12">
        <v>1</v>
      </c>
      <c r="U132" s="11"/>
      <c r="V132" s="13"/>
      <c r="W132" s="13"/>
      <c r="X132" s="11"/>
      <c r="Y132" s="12"/>
      <c r="Z132" s="12"/>
      <c r="AA132" s="12"/>
      <c r="AB132" s="11"/>
      <c r="AC132" s="13"/>
      <c r="AD132" s="13"/>
      <c r="AE132" s="11"/>
      <c r="AF132" s="12"/>
      <c r="AG132" s="12"/>
      <c r="AH132" s="12"/>
      <c r="AI132" s="11"/>
      <c r="AJ132" s="13"/>
      <c r="AK132" s="379">
        <f t="shared" si="98"/>
        <v>1</v>
      </c>
      <c r="AL132" s="390">
        <v>5168</v>
      </c>
      <c r="AM132" s="19">
        <v>0.85</v>
      </c>
      <c r="AN132" s="20">
        <f t="shared" si="99"/>
        <v>775.20000000000016</v>
      </c>
      <c r="AO132" s="21">
        <f t="shared" si="100"/>
        <v>775.20000000000016</v>
      </c>
      <c r="AP132" s="22">
        <f t="shared" si="77"/>
        <v>620.1600000000002</v>
      </c>
      <c r="AQ132" s="436"/>
      <c r="AR132" s="479">
        <v>0.34</v>
      </c>
      <c r="AS132" s="485">
        <f t="shared" si="96"/>
        <v>0.34</v>
      </c>
      <c r="AT132" s="382">
        <f t="shared" si="97"/>
        <v>1824.0000000000005</v>
      </c>
      <c r="AU132" s="433"/>
      <c r="AV132" s="448" t="s">
        <v>17</v>
      </c>
      <c r="AW132" s="449">
        <f t="shared" si="101"/>
        <v>1</v>
      </c>
      <c r="AX132" s="450">
        <f t="shared" si="102"/>
        <v>620.1600000000002</v>
      </c>
      <c r="AY132" s="570" t="b">
        <f t="shared" si="103"/>
        <v>1</v>
      </c>
    </row>
    <row r="133" spans="1:51" s="558" customFormat="1" ht="13.95" customHeight="1" x14ac:dyDescent="0.3">
      <c r="A133" s="365"/>
      <c r="B133" s="376"/>
      <c r="C133" s="376"/>
      <c r="D133" s="377" t="s">
        <v>211</v>
      </c>
      <c r="E133" s="378" t="s">
        <v>201</v>
      </c>
      <c r="F133" s="378">
        <v>1.0416666666666666E-2</v>
      </c>
      <c r="G133" s="378" t="s">
        <v>215</v>
      </c>
      <c r="H133" s="394">
        <v>30</v>
      </c>
      <c r="I133" s="13"/>
      <c r="J133" s="11"/>
      <c r="K133" s="12"/>
      <c r="L133" s="12"/>
      <c r="M133" s="12"/>
      <c r="N133" s="11"/>
      <c r="O133" s="13"/>
      <c r="P133" s="13"/>
      <c r="Q133" s="11"/>
      <c r="R133" s="12"/>
      <c r="S133" s="12"/>
      <c r="T133" s="12"/>
      <c r="U133" s="11"/>
      <c r="V133" s="13"/>
      <c r="W133" s="13"/>
      <c r="X133" s="11"/>
      <c r="Y133" s="12">
        <v>1</v>
      </c>
      <c r="Z133" s="12"/>
      <c r="AA133" s="12"/>
      <c r="AB133" s="11"/>
      <c r="AC133" s="13"/>
      <c r="AD133" s="13"/>
      <c r="AE133" s="11"/>
      <c r="AF133" s="12">
        <v>1</v>
      </c>
      <c r="AG133" s="12"/>
      <c r="AH133" s="12"/>
      <c r="AI133" s="11"/>
      <c r="AJ133" s="13"/>
      <c r="AK133" s="379">
        <f t="shared" si="98"/>
        <v>2</v>
      </c>
      <c r="AL133" s="390">
        <v>2584</v>
      </c>
      <c r="AM133" s="19">
        <v>0.85</v>
      </c>
      <c r="AN133" s="20">
        <f t="shared" si="99"/>
        <v>387.60000000000008</v>
      </c>
      <c r="AO133" s="21">
        <f t="shared" si="100"/>
        <v>775.20000000000016</v>
      </c>
      <c r="AP133" s="22">
        <f t="shared" si="77"/>
        <v>620.1600000000002</v>
      </c>
      <c r="AQ133" s="436"/>
      <c r="AR133" s="479">
        <v>0.34</v>
      </c>
      <c r="AS133" s="485">
        <f t="shared" si="96"/>
        <v>0.68</v>
      </c>
      <c r="AT133" s="382">
        <f t="shared" si="97"/>
        <v>912.00000000000023</v>
      </c>
      <c r="AU133" s="433"/>
      <c r="AV133" s="448" t="s">
        <v>17</v>
      </c>
      <c r="AW133" s="449">
        <f t="shared" si="101"/>
        <v>2</v>
      </c>
      <c r="AX133" s="450">
        <f t="shared" si="102"/>
        <v>620.1600000000002</v>
      </c>
      <c r="AY133" s="570" t="b">
        <f t="shared" si="103"/>
        <v>1</v>
      </c>
    </row>
    <row r="134" spans="1:51" s="558" customFormat="1" ht="13.95" customHeight="1" x14ac:dyDescent="0.3">
      <c r="A134" s="365"/>
      <c r="B134" s="376"/>
      <c r="C134" s="376"/>
      <c r="D134" s="389" t="s">
        <v>343</v>
      </c>
      <c r="E134" s="378" t="s">
        <v>201</v>
      </c>
      <c r="F134" s="378">
        <v>0.45833333333333331</v>
      </c>
      <c r="G134" s="378">
        <v>0.5</v>
      </c>
      <c r="H134" s="394">
        <v>30</v>
      </c>
      <c r="I134" s="13"/>
      <c r="J134" s="11"/>
      <c r="K134" s="12"/>
      <c r="L134" s="12"/>
      <c r="M134" s="12"/>
      <c r="N134" s="11"/>
      <c r="O134" s="13"/>
      <c r="P134" s="13"/>
      <c r="Q134" s="11"/>
      <c r="R134" s="12"/>
      <c r="S134" s="12"/>
      <c r="T134" s="12"/>
      <c r="U134" s="11"/>
      <c r="V134" s="13"/>
      <c r="W134" s="13"/>
      <c r="X134" s="11"/>
      <c r="Y134" s="12"/>
      <c r="Z134" s="12"/>
      <c r="AA134" s="12">
        <v>1</v>
      </c>
      <c r="AB134" s="11"/>
      <c r="AC134" s="13"/>
      <c r="AD134" s="13"/>
      <c r="AE134" s="11"/>
      <c r="AF134" s="12"/>
      <c r="AG134" s="12">
        <v>1</v>
      </c>
      <c r="AH134" s="12"/>
      <c r="AI134" s="11"/>
      <c r="AJ134" s="13"/>
      <c r="AK134" s="379">
        <f t="shared" si="98"/>
        <v>2</v>
      </c>
      <c r="AL134" s="390">
        <v>4123</v>
      </c>
      <c r="AM134" s="19">
        <v>0.85</v>
      </c>
      <c r="AN134" s="20">
        <f t="shared" si="99"/>
        <v>618.45000000000005</v>
      </c>
      <c r="AO134" s="21">
        <f t="shared" si="100"/>
        <v>1236.9000000000001</v>
      </c>
      <c r="AP134" s="22">
        <f t="shared" si="77"/>
        <v>989.5200000000001</v>
      </c>
      <c r="AQ134" s="436"/>
      <c r="AR134" s="479">
        <v>0.1</v>
      </c>
      <c r="AS134" s="485">
        <f t="shared" si="96"/>
        <v>0.2</v>
      </c>
      <c r="AT134" s="382">
        <f t="shared" si="97"/>
        <v>4947.6000000000004</v>
      </c>
      <c r="AU134" s="433"/>
      <c r="AV134" s="448" t="s">
        <v>17</v>
      </c>
      <c r="AW134" s="449">
        <f t="shared" si="101"/>
        <v>2</v>
      </c>
      <c r="AX134" s="450">
        <f t="shared" si="102"/>
        <v>989.5200000000001</v>
      </c>
      <c r="AY134" s="570" t="b">
        <f t="shared" si="103"/>
        <v>1</v>
      </c>
    </row>
    <row r="135" spans="1:51" s="558" customFormat="1" ht="13.95" customHeight="1" x14ac:dyDescent="0.3">
      <c r="A135" s="365"/>
      <c r="B135" s="376"/>
      <c r="C135" s="376"/>
      <c r="D135" s="396" t="s">
        <v>187</v>
      </c>
      <c r="E135" s="378" t="s">
        <v>201</v>
      </c>
      <c r="F135" s="378">
        <v>0.85416666666666663</v>
      </c>
      <c r="G135" s="378" t="s">
        <v>217</v>
      </c>
      <c r="H135" s="394">
        <v>60</v>
      </c>
      <c r="I135" s="13"/>
      <c r="J135" s="11"/>
      <c r="K135" s="12"/>
      <c r="L135" s="12"/>
      <c r="M135" s="12"/>
      <c r="N135" s="11"/>
      <c r="O135" s="13"/>
      <c r="P135" s="13"/>
      <c r="Q135" s="11"/>
      <c r="R135" s="12"/>
      <c r="S135" s="12"/>
      <c r="T135" s="12"/>
      <c r="U135" s="12">
        <v>1</v>
      </c>
      <c r="V135" s="13"/>
      <c r="W135" s="13"/>
      <c r="X135" s="11"/>
      <c r="Y135" s="12"/>
      <c r="Z135" s="12"/>
      <c r="AA135" s="12"/>
      <c r="AB135" s="11"/>
      <c r="AC135" s="13"/>
      <c r="AD135" s="13"/>
      <c r="AE135" s="11"/>
      <c r="AF135" s="12"/>
      <c r="AG135" s="12"/>
      <c r="AH135" s="12"/>
      <c r="AI135" s="11"/>
      <c r="AJ135" s="13"/>
      <c r="AK135" s="379">
        <f t="shared" si="98"/>
        <v>1</v>
      </c>
      <c r="AL135" s="390">
        <v>16866</v>
      </c>
      <c r="AM135" s="19">
        <v>0.85</v>
      </c>
      <c r="AN135" s="20">
        <f t="shared" si="99"/>
        <v>2529.9000000000005</v>
      </c>
      <c r="AO135" s="21">
        <f t="shared" si="100"/>
        <v>2529.9000000000005</v>
      </c>
      <c r="AP135" s="22">
        <f t="shared" si="77"/>
        <v>2023.9200000000005</v>
      </c>
      <c r="AQ135" s="436"/>
      <c r="AR135" s="479">
        <v>0.71</v>
      </c>
      <c r="AS135" s="485">
        <f t="shared" si="96"/>
        <v>0.71</v>
      </c>
      <c r="AT135" s="382">
        <f t="shared" si="97"/>
        <v>2850.5915492957756</v>
      </c>
      <c r="AU135" s="433"/>
      <c r="AV135" s="448" t="s">
        <v>17</v>
      </c>
      <c r="AW135" s="449">
        <f t="shared" si="101"/>
        <v>1</v>
      </c>
      <c r="AX135" s="450">
        <f t="shared" si="102"/>
        <v>2023.9200000000005</v>
      </c>
      <c r="AY135" s="570" t="b">
        <f t="shared" si="103"/>
        <v>1</v>
      </c>
    </row>
    <row r="136" spans="1:51" s="558" customFormat="1" ht="13.95" customHeight="1" x14ac:dyDescent="0.3">
      <c r="A136" s="365"/>
      <c r="B136" s="376"/>
      <c r="C136" s="376"/>
      <c r="D136" s="396" t="s">
        <v>187</v>
      </c>
      <c r="E136" s="378" t="s">
        <v>201</v>
      </c>
      <c r="F136" s="378">
        <v>0.85416666666666663</v>
      </c>
      <c r="G136" s="378" t="s">
        <v>217</v>
      </c>
      <c r="H136" s="394">
        <v>30</v>
      </c>
      <c r="I136" s="13"/>
      <c r="J136" s="11"/>
      <c r="K136" s="12"/>
      <c r="L136" s="12"/>
      <c r="M136" s="12"/>
      <c r="N136" s="11"/>
      <c r="O136" s="13"/>
      <c r="P136" s="13"/>
      <c r="Q136" s="11"/>
      <c r="R136" s="12"/>
      <c r="S136" s="12"/>
      <c r="T136" s="12"/>
      <c r="U136" s="11"/>
      <c r="V136" s="13"/>
      <c r="W136" s="13"/>
      <c r="X136" s="11"/>
      <c r="Y136" s="12"/>
      <c r="Z136" s="12"/>
      <c r="AA136" s="12"/>
      <c r="AB136" s="11">
        <v>1</v>
      </c>
      <c r="AC136" s="13"/>
      <c r="AD136" s="13"/>
      <c r="AE136" s="11"/>
      <c r="AF136" s="12"/>
      <c r="AG136" s="12"/>
      <c r="AH136" s="12"/>
      <c r="AI136" s="11"/>
      <c r="AJ136" s="13"/>
      <c r="AK136" s="379">
        <f t="shared" si="98"/>
        <v>1</v>
      </c>
      <c r="AL136" s="390">
        <v>8433</v>
      </c>
      <c r="AM136" s="19">
        <v>0.85</v>
      </c>
      <c r="AN136" s="20">
        <f t="shared" si="99"/>
        <v>1264.9500000000003</v>
      </c>
      <c r="AO136" s="21">
        <f t="shared" si="100"/>
        <v>1264.9500000000003</v>
      </c>
      <c r="AP136" s="22">
        <f t="shared" si="77"/>
        <v>1011.9600000000003</v>
      </c>
      <c r="AQ136" s="436"/>
      <c r="AR136" s="479">
        <v>0.71</v>
      </c>
      <c r="AS136" s="485">
        <f t="shared" si="96"/>
        <v>0.71</v>
      </c>
      <c r="AT136" s="382">
        <f t="shared" si="97"/>
        <v>1425.2957746478878</v>
      </c>
      <c r="AU136" s="433"/>
      <c r="AV136" s="448" t="s">
        <v>17</v>
      </c>
      <c r="AW136" s="449">
        <f t="shared" si="101"/>
        <v>1</v>
      </c>
      <c r="AX136" s="450">
        <f t="shared" si="102"/>
        <v>1011.9600000000003</v>
      </c>
      <c r="AY136" s="570" t="b">
        <f t="shared" si="103"/>
        <v>1</v>
      </c>
    </row>
    <row r="137" spans="1:51" s="558" customFormat="1" ht="13.95" hidden="1" customHeight="1" x14ac:dyDescent="0.3">
      <c r="A137" s="365"/>
      <c r="B137" s="376"/>
      <c r="C137" s="376"/>
      <c r="D137" s="396" t="s">
        <v>331</v>
      </c>
      <c r="E137" s="378" t="s">
        <v>204</v>
      </c>
      <c r="F137" s="378">
        <v>0.85416666666666663</v>
      </c>
      <c r="G137" s="378" t="s">
        <v>226</v>
      </c>
      <c r="H137" s="394">
        <v>60</v>
      </c>
      <c r="I137" s="13"/>
      <c r="J137" s="11"/>
      <c r="K137" s="12"/>
      <c r="L137" s="12"/>
      <c r="M137" s="12"/>
      <c r="N137" s="11"/>
      <c r="O137" s="13"/>
      <c r="P137" s="13"/>
      <c r="Q137" s="11"/>
      <c r="R137" s="12"/>
      <c r="S137" s="12"/>
      <c r="T137" s="12"/>
      <c r="U137" s="11"/>
      <c r="V137" s="13"/>
      <c r="W137" s="13"/>
      <c r="X137" s="11"/>
      <c r="Y137" s="12"/>
      <c r="Z137" s="12"/>
      <c r="AA137" s="12"/>
      <c r="AB137" s="11"/>
      <c r="AC137" s="13"/>
      <c r="AD137" s="13"/>
      <c r="AE137" s="11"/>
      <c r="AF137" s="12"/>
      <c r="AG137" s="12"/>
      <c r="AH137" s="12"/>
      <c r="AI137" s="11"/>
      <c r="AJ137" s="13"/>
      <c r="AK137" s="379">
        <f t="shared" si="98"/>
        <v>0</v>
      </c>
      <c r="AL137" s="390">
        <v>11972</v>
      </c>
      <c r="AM137" s="19">
        <v>0.85</v>
      </c>
      <c r="AN137" s="20">
        <f t="shared" si="99"/>
        <v>1795.8000000000002</v>
      </c>
      <c r="AO137" s="21">
        <f t="shared" si="100"/>
        <v>0</v>
      </c>
      <c r="AP137" s="22">
        <f t="shared" si="77"/>
        <v>0</v>
      </c>
      <c r="AQ137" s="436"/>
      <c r="AR137" s="479">
        <v>0.54</v>
      </c>
      <c r="AS137" s="485">
        <f t="shared" si="96"/>
        <v>0</v>
      </c>
      <c r="AT137" s="382">
        <f t="shared" si="97"/>
        <v>0</v>
      </c>
      <c r="AU137" s="433"/>
      <c r="AV137" s="448" t="s">
        <v>17</v>
      </c>
      <c r="AW137" s="449">
        <f t="shared" si="101"/>
        <v>0</v>
      </c>
      <c r="AX137" s="450">
        <f t="shared" si="102"/>
        <v>0</v>
      </c>
      <c r="AY137" s="570" t="b">
        <f t="shared" si="103"/>
        <v>1</v>
      </c>
    </row>
    <row r="138" spans="1:51" s="558" customFormat="1" ht="13.95" customHeight="1" x14ac:dyDescent="0.3">
      <c r="A138" s="365"/>
      <c r="B138" s="376"/>
      <c r="C138" s="376"/>
      <c r="D138" s="377" t="s">
        <v>331</v>
      </c>
      <c r="E138" s="378" t="s">
        <v>204</v>
      </c>
      <c r="F138" s="378">
        <v>0.85416666666666663</v>
      </c>
      <c r="G138" s="378" t="s">
        <v>226</v>
      </c>
      <c r="H138" s="394">
        <v>30</v>
      </c>
      <c r="I138" s="13"/>
      <c r="J138" s="11"/>
      <c r="K138" s="12"/>
      <c r="L138" s="12"/>
      <c r="M138" s="12"/>
      <c r="N138" s="11"/>
      <c r="O138" s="13"/>
      <c r="P138" s="13"/>
      <c r="Q138" s="11"/>
      <c r="R138" s="12"/>
      <c r="S138" s="12"/>
      <c r="T138" s="12"/>
      <c r="U138" s="11"/>
      <c r="V138" s="13">
        <v>1</v>
      </c>
      <c r="W138" s="13"/>
      <c r="X138" s="11"/>
      <c r="Y138" s="12"/>
      <c r="Z138" s="12"/>
      <c r="AA138" s="12"/>
      <c r="AB138" s="11"/>
      <c r="AC138" s="13">
        <v>1</v>
      </c>
      <c r="AD138" s="13"/>
      <c r="AE138" s="11"/>
      <c r="AF138" s="12"/>
      <c r="AG138" s="12"/>
      <c r="AH138" s="12"/>
      <c r="AI138" s="11"/>
      <c r="AJ138" s="13"/>
      <c r="AK138" s="379">
        <f t="shared" si="98"/>
        <v>2</v>
      </c>
      <c r="AL138" s="390">
        <v>5986</v>
      </c>
      <c r="AM138" s="19">
        <v>0.85</v>
      </c>
      <c r="AN138" s="20">
        <f t="shared" si="99"/>
        <v>897.90000000000009</v>
      </c>
      <c r="AO138" s="21">
        <f t="shared" si="100"/>
        <v>1795.8000000000002</v>
      </c>
      <c r="AP138" s="22">
        <f t="shared" si="77"/>
        <v>1436.6400000000003</v>
      </c>
      <c r="AQ138" s="436"/>
      <c r="AR138" s="479">
        <v>0.54</v>
      </c>
      <c r="AS138" s="485">
        <f t="shared" si="96"/>
        <v>1.08</v>
      </c>
      <c r="AT138" s="382">
        <f t="shared" si="97"/>
        <v>1330.2222222222224</v>
      </c>
      <c r="AU138" s="433"/>
      <c r="AV138" s="448" t="s">
        <v>17</v>
      </c>
      <c r="AW138" s="449">
        <f t="shared" si="101"/>
        <v>2</v>
      </c>
      <c r="AX138" s="450">
        <f t="shared" si="102"/>
        <v>1436.6400000000003</v>
      </c>
      <c r="AY138" s="570" t="b">
        <f t="shared" si="103"/>
        <v>1</v>
      </c>
    </row>
    <row r="139" spans="1:51" s="558" customFormat="1" ht="13.95" customHeight="1" x14ac:dyDescent="0.3">
      <c r="A139" s="365"/>
      <c r="B139" s="376"/>
      <c r="C139" s="376"/>
      <c r="D139" s="389"/>
      <c r="E139" s="378"/>
      <c r="F139" s="378"/>
      <c r="G139" s="378"/>
      <c r="H139" s="394"/>
      <c r="I139" s="13"/>
      <c r="J139" s="11"/>
      <c r="K139" s="12"/>
      <c r="L139" s="12"/>
      <c r="M139" s="12"/>
      <c r="N139" s="11"/>
      <c r="O139" s="13"/>
      <c r="P139" s="13"/>
      <c r="Q139" s="11"/>
      <c r="R139" s="12"/>
      <c r="S139" s="12"/>
      <c r="T139" s="12"/>
      <c r="U139" s="11"/>
      <c r="V139" s="13"/>
      <c r="W139" s="13"/>
      <c r="X139" s="11"/>
      <c r="Y139" s="12"/>
      <c r="Z139" s="12"/>
      <c r="AA139" s="12"/>
      <c r="AB139" s="11"/>
      <c r="AC139" s="13"/>
      <c r="AD139" s="13"/>
      <c r="AE139" s="11"/>
      <c r="AF139" s="12"/>
      <c r="AG139" s="12"/>
      <c r="AH139" s="12"/>
      <c r="AI139" s="11"/>
      <c r="AJ139" s="13"/>
      <c r="AK139" s="504"/>
      <c r="AL139" s="505"/>
      <c r="AM139" s="506"/>
      <c r="AN139" s="337"/>
      <c r="AO139" s="170"/>
      <c r="AP139" s="170"/>
      <c r="AQ139" s="436"/>
      <c r="AR139" s="479"/>
      <c r="AS139" s="485"/>
      <c r="AT139" s="382"/>
      <c r="AU139" s="433"/>
      <c r="AV139" s="451" t="s">
        <v>142</v>
      </c>
      <c r="AW139" s="425">
        <f>SUM(AW127:AW138)</f>
        <v>14</v>
      </c>
      <c r="AX139" s="426">
        <f>SUM(AX127:AX138)</f>
        <v>9036.2400000000016</v>
      </c>
      <c r="AY139" s="570" t="b">
        <f>SUM(AP127:AP138)=AX139</f>
        <v>1</v>
      </c>
    </row>
    <row r="140" spans="1:51" s="558" customFormat="1" ht="13.95" customHeight="1" x14ac:dyDescent="0.3">
      <c r="A140" s="365"/>
      <c r="B140" s="376"/>
      <c r="C140" s="376" t="s">
        <v>232</v>
      </c>
      <c r="D140" s="377" t="s">
        <v>340</v>
      </c>
      <c r="E140" s="378" t="s">
        <v>201</v>
      </c>
      <c r="F140" s="507" t="s">
        <v>341</v>
      </c>
      <c r="G140" s="508" t="s">
        <v>342</v>
      </c>
      <c r="H140" s="394">
        <v>60</v>
      </c>
      <c r="I140" s="13"/>
      <c r="J140" s="11"/>
      <c r="K140" s="12"/>
      <c r="L140" s="12"/>
      <c r="M140" s="12"/>
      <c r="N140" s="11"/>
      <c r="O140" s="13"/>
      <c r="P140" s="13"/>
      <c r="Q140" s="11"/>
      <c r="R140" s="12"/>
      <c r="S140" s="12"/>
      <c r="T140" s="12"/>
      <c r="U140" s="12">
        <v>1</v>
      </c>
      <c r="V140" s="13"/>
      <c r="W140" s="13"/>
      <c r="X140" s="11"/>
      <c r="Y140" s="12"/>
      <c r="Z140" s="12"/>
      <c r="AA140" s="12"/>
      <c r="AB140" s="11"/>
      <c r="AC140" s="13"/>
      <c r="AD140" s="13"/>
      <c r="AE140" s="11"/>
      <c r="AF140" s="12"/>
      <c r="AG140" s="12"/>
      <c r="AH140" s="12"/>
      <c r="AI140" s="11"/>
      <c r="AJ140" s="13"/>
      <c r="AK140" s="379">
        <f t="shared" ref="AK140:AK151" si="104">SUM(I140:AJ140)</f>
        <v>1</v>
      </c>
      <c r="AL140" s="390">
        <v>15908</v>
      </c>
      <c r="AM140" s="19">
        <v>0.75</v>
      </c>
      <c r="AN140" s="20">
        <f t="shared" ref="AN140:AN151" si="105">AL140*(1-AM140)</f>
        <v>3977</v>
      </c>
      <c r="AO140" s="21">
        <f t="shared" ref="AO140:AO151" si="106">AN140*AK140</f>
        <v>3977</v>
      </c>
      <c r="AP140" s="22">
        <f t="shared" si="77"/>
        <v>3181.6000000000004</v>
      </c>
      <c r="AQ140" s="436"/>
      <c r="AR140" s="479">
        <v>1.38</v>
      </c>
      <c r="AS140" s="485">
        <f t="shared" ref="AS140:AS151" si="107">AR140*AK140</f>
        <v>1.38</v>
      </c>
      <c r="AT140" s="382">
        <f t="shared" ref="AT140:AT151" si="108">IFERROR(AP140/AS140,0)</f>
        <v>2305.507246376812</v>
      </c>
      <c r="AU140" s="433"/>
      <c r="AV140" s="448" t="s">
        <v>232</v>
      </c>
      <c r="AW140" s="449">
        <f t="shared" ref="AW140:AW151" si="109">SUM(I140:AJ140)</f>
        <v>1</v>
      </c>
      <c r="AX140" s="450">
        <f t="shared" ref="AX140:AX151" si="110">AW140*AN140*0.8</f>
        <v>3181.6000000000004</v>
      </c>
      <c r="AY140" s="570" t="b">
        <f t="shared" ref="AY140:AY151" si="111">SUM(AX140)=AP140</f>
        <v>1</v>
      </c>
    </row>
    <row r="141" spans="1:51" s="558" customFormat="1" ht="13.95" customHeight="1" x14ac:dyDescent="0.3">
      <c r="A141" s="365"/>
      <c r="B141" s="376"/>
      <c r="C141" s="376"/>
      <c r="D141" s="377" t="s">
        <v>340</v>
      </c>
      <c r="E141" s="378" t="s">
        <v>201</v>
      </c>
      <c r="F141" s="507" t="s">
        <v>341</v>
      </c>
      <c r="G141" s="508" t="s">
        <v>342</v>
      </c>
      <c r="H141" s="394">
        <v>30</v>
      </c>
      <c r="I141" s="13"/>
      <c r="J141" s="11"/>
      <c r="K141" s="12"/>
      <c r="L141" s="12"/>
      <c r="M141" s="12"/>
      <c r="N141" s="11"/>
      <c r="O141" s="13"/>
      <c r="P141" s="13"/>
      <c r="Q141" s="11"/>
      <c r="R141" s="12"/>
      <c r="S141" s="12"/>
      <c r="T141" s="12"/>
      <c r="U141" s="11"/>
      <c r="V141" s="13"/>
      <c r="W141" s="13"/>
      <c r="X141" s="11">
        <v>1</v>
      </c>
      <c r="Y141" s="12"/>
      <c r="Z141" s="12"/>
      <c r="AA141" s="12"/>
      <c r="AB141" s="11"/>
      <c r="AC141" s="13"/>
      <c r="AD141" s="13"/>
      <c r="AE141" s="11">
        <v>1</v>
      </c>
      <c r="AF141" s="12"/>
      <c r="AG141" s="12"/>
      <c r="AH141" s="12"/>
      <c r="AI141" s="11"/>
      <c r="AJ141" s="13"/>
      <c r="AK141" s="379">
        <f t="shared" si="104"/>
        <v>2</v>
      </c>
      <c r="AL141" s="390">
        <v>7954</v>
      </c>
      <c r="AM141" s="19">
        <v>0.75</v>
      </c>
      <c r="AN141" s="20">
        <f t="shared" si="105"/>
        <v>1988.5</v>
      </c>
      <c r="AO141" s="21">
        <f t="shared" si="106"/>
        <v>3977</v>
      </c>
      <c r="AP141" s="22">
        <f t="shared" si="77"/>
        <v>3181.6000000000004</v>
      </c>
      <c r="AQ141" s="436"/>
      <c r="AR141" s="479">
        <v>1.38</v>
      </c>
      <c r="AS141" s="485">
        <f t="shared" si="107"/>
        <v>2.76</v>
      </c>
      <c r="AT141" s="382">
        <f t="shared" si="108"/>
        <v>1152.753623188406</v>
      </c>
      <c r="AU141" s="433"/>
      <c r="AV141" s="448" t="s">
        <v>232</v>
      </c>
      <c r="AW141" s="449">
        <f t="shared" si="109"/>
        <v>2</v>
      </c>
      <c r="AX141" s="450">
        <f t="shared" si="110"/>
        <v>3181.6000000000004</v>
      </c>
      <c r="AY141" s="570" t="b">
        <f t="shared" si="111"/>
        <v>1</v>
      </c>
    </row>
    <row r="142" spans="1:51" s="558" customFormat="1" ht="13.95" hidden="1" customHeight="1" x14ac:dyDescent="0.3">
      <c r="A142" s="365"/>
      <c r="B142" s="376"/>
      <c r="C142" s="376"/>
      <c r="D142" s="396" t="s">
        <v>234</v>
      </c>
      <c r="E142" s="378" t="s">
        <v>203</v>
      </c>
      <c r="F142" s="378">
        <v>0.46875</v>
      </c>
      <c r="G142" s="378" t="s">
        <v>242</v>
      </c>
      <c r="H142" s="394">
        <v>60</v>
      </c>
      <c r="I142" s="13"/>
      <c r="J142" s="11"/>
      <c r="K142" s="12"/>
      <c r="L142" s="12"/>
      <c r="M142" s="12"/>
      <c r="N142" s="11"/>
      <c r="O142" s="13"/>
      <c r="P142" s="13"/>
      <c r="Q142" s="11"/>
      <c r="R142" s="12"/>
      <c r="S142" s="12"/>
      <c r="T142" s="12"/>
      <c r="U142" s="11"/>
      <c r="V142" s="13"/>
      <c r="W142" s="13"/>
      <c r="X142" s="11"/>
      <c r="Y142" s="12"/>
      <c r="Z142" s="12"/>
      <c r="AA142" s="12"/>
      <c r="AB142" s="11"/>
      <c r="AC142" s="13"/>
      <c r="AD142" s="13"/>
      <c r="AE142" s="11"/>
      <c r="AF142" s="12"/>
      <c r="AG142" s="12"/>
      <c r="AH142" s="12"/>
      <c r="AI142" s="11"/>
      <c r="AJ142" s="13"/>
      <c r="AK142" s="379">
        <f t="shared" si="104"/>
        <v>0</v>
      </c>
      <c r="AL142" s="390">
        <v>15296</v>
      </c>
      <c r="AM142" s="19">
        <v>0.75</v>
      </c>
      <c r="AN142" s="20">
        <f t="shared" si="105"/>
        <v>3824</v>
      </c>
      <c r="AO142" s="21">
        <f t="shared" si="106"/>
        <v>0</v>
      </c>
      <c r="AP142" s="22">
        <f t="shared" si="77"/>
        <v>0</v>
      </c>
      <c r="AQ142" s="436"/>
      <c r="AR142" s="479">
        <v>3</v>
      </c>
      <c r="AS142" s="485">
        <f t="shared" si="107"/>
        <v>0</v>
      </c>
      <c r="AT142" s="382">
        <f t="shared" si="108"/>
        <v>0</v>
      </c>
      <c r="AU142" s="433"/>
      <c r="AV142" s="448" t="s">
        <v>232</v>
      </c>
      <c r="AW142" s="449">
        <f t="shared" si="109"/>
        <v>0</v>
      </c>
      <c r="AX142" s="450">
        <f t="shared" si="110"/>
        <v>0</v>
      </c>
      <c r="AY142" s="570" t="b">
        <f t="shared" si="111"/>
        <v>1</v>
      </c>
    </row>
    <row r="143" spans="1:51" s="558" customFormat="1" ht="13.95" customHeight="1" x14ac:dyDescent="0.3">
      <c r="A143" s="365"/>
      <c r="B143" s="376"/>
      <c r="C143" s="376"/>
      <c r="D143" s="377" t="s">
        <v>234</v>
      </c>
      <c r="E143" s="378" t="s">
        <v>203</v>
      </c>
      <c r="F143" s="378">
        <v>0.46875</v>
      </c>
      <c r="G143" s="378" t="s">
        <v>242</v>
      </c>
      <c r="H143" s="394">
        <v>30</v>
      </c>
      <c r="I143" s="13"/>
      <c r="J143" s="11"/>
      <c r="K143" s="12"/>
      <c r="L143" s="12"/>
      <c r="M143" s="12"/>
      <c r="N143" s="11"/>
      <c r="O143" s="13"/>
      <c r="P143" s="13"/>
      <c r="Q143" s="11"/>
      <c r="R143" s="12"/>
      <c r="S143" s="12"/>
      <c r="T143" s="12"/>
      <c r="U143" s="11"/>
      <c r="V143" s="13"/>
      <c r="W143" s="13"/>
      <c r="X143" s="11"/>
      <c r="Y143" s="12"/>
      <c r="Z143" s="12"/>
      <c r="AA143" s="12"/>
      <c r="AB143" s="11"/>
      <c r="AC143" s="13"/>
      <c r="AD143" s="13">
        <v>1</v>
      </c>
      <c r="AE143" s="11"/>
      <c r="AF143" s="12"/>
      <c r="AG143" s="12"/>
      <c r="AH143" s="12"/>
      <c r="AI143" s="11"/>
      <c r="AJ143" s="13"/>
      <c r="AK143" s="379">
        <f t="shared" si="104"/>
        <v>1</v>
      </c>
      <c r="AL143" s="390">
        <v>7648</v>
      </c>
      <c r="AM143" s="19">
        <v>0.75</v>
      </c>
      <c r="AN143" s="20">
        <f t="shared" si="105"/>
        <v>1912</v>
      </c>
      <c r="AO143" s="21">
        <f t="shared" si="106"/>
        <v>1912</v>
      </c>
      <c r="AP143" s="22">
        <f t="shared" si="77"/>
        <v>1529.6000000000001</v>
      </c>
      <c r="AQ143" s="436"/>
      <c r="AR143" s="479">
        <v>3</v>
      </c>
      <c r="AS143" s="485">
        <f t="shared" si="107"/>
        <v>3</v>
      </c>
      <c r="AT143" s="382">
        <f t="shared" si="108"/>
        <v>509.86666666666673</v>
      </c>
      <c r="AU143" s="433"/>
      <c r="AV143" s="448" t="s">
        <v>232</v>
      </c>
      <c r="AW143" s="449">
        <f t="shared" si="109"/>
        <v>1</v>
      </c>
      <c r="AX143" s="450">
        <f t="shared" si="110"/>
        <v>1529.6000000000001</v>
      </c>
      <c r="AY143" s="570" t="b">
        <f t="shared" si="111"/>
        <v>1</v>
      </c>
    </row>
    <row r="144" spans="1:51" s="558" customFormat="1" ht="13.95" customHeight="1" x14ac:dyDescent="0.3">
      <c r="A144" s="365"/>
      <c r="B144" s="376"/>
      <c r="C144" s="376"/>
      <c r="D144" s="389" t="s">
        <v>336</v>
      </c>
      <c r="E144" s="378" t="s">
        <v>201</v>
      </c>
      <c r="F144" s="378">
        <v>0.875</v>
      </c>
      <c r="G144" s="378" t="s">
        <v>338</v>
      </c>
      <c r="H144" s="394">
        <v>60</v>
      </c>
      <c r="I144" s="13"/>
      <c r="J144" s="11"/>
      <c r="K144" s="12"/>
      <c r="L144" s="12"/>
      <c r="M144" s="12"/>
      <c r="N144" s="11"/>
      <c r="O144" s="13"/>
      <c r="P144" s="13"/>
      <c r="Q144" s="11"/>
      <c r="R144" s="12"/>
      <c r="S144" s="12"/>
      <c r="T144" s="12">
        <v>1</v>
      </c>
      <c r="U144" s="11"/>
      <c r="V144" s="13"/>
      <c r="W144" s="13"/>
      <c r="X144" s="11"/>
      <c r="Y144" s="12"/>
      <c r="Z144" s="12"/>
      <c r="AA144" s="12"/>
      <c r="AB144" s="11"/>
      <c r="AC144" s="13"/>
      <c r="AD144" s="13"/>
      <c r="AE144" s="11"/>
      <c r="AF144" s="12"/>
      <c r="AG144" s="12"/>
      <c r="AH144" s="12"/>
      <c r="AI144" s="11"/>
      <c r="AJ144" s="13"/>
      <c r="AK144" s="379">
        <f t="shared" si="104"/>
        <v>1</v>
      </c>
      <c r="AL144" s="390">
        <v>16330</v>
      </c>
      <c r="AM144" s="19">
        <v>0.75</v>
      </c>
      <c r="AN144" s="20">
        <f t="shared" si="105"/>
        <v>4082.5</v>
      </c>
      <c r="AO144" s="21">
        <f t="shared" si="106"/>
        <v>4082.5</v>
      </c>
      <c r="AP144" s="22">
        <f t="shared" si="77"/>
        <v>3266</v>
      </c>
      <c r="AQ144" s="436"/>
      <c r="AR144" s="479">
        <v>2.1</v>
      </c>
      <c r="AS144" s="485">
        <f t="shared" si="107"/>
        <v>2.1</v>
      </c>
      <c r="AT144" s="382">
        <f t="shared" si="108"/>
        <v>1555.2380952380952</v>
      </c>
      <c r="AU144" s="433"/>
      <c r="AV144" s="448" t="s">
        <v>232</v>
      </c>
      <c r="AW144" s="449">
        <f t="shared" si="109"/>
        <v>1</v>
      </c>
      <c r="AX144" s="450">
        <f t="shared" si="110"/>
        <v>3266</v>
      </c>
      <c r="AY144" s="570" t="b">
        <f t="shared" si="111"/>
        <v>1</v>
      </c>
    </row>
    <row r="145" spans="1:51" s="558" customFormat="1" ht="13.95" customHeight="1" x14ac:dyDescent="0.3">
      <c r="A145" s="365"/>
      <c r="B145" s="376"/>
      <c r="C145" s="376"/>
      <c r="D145" s="396" t="s">
        <v>336</v>
      </c>
      <c r="E145" s="378" t="s">
        <v>201</v>
      </c>
      <c r="F145" s="378">
        <v>0.875</v>
      </c>
      <c r="G145" s="378" t="s">
        <v>338</v>
      </c>
      <c r="H145" s="394">
        <v>30</v>
      </c>
      <c r="I145" s="13"/>
      <c r="J145" s="11"/>
      <c r="K145" s="12"/>
      <c r="L145" s="12"/>
      <c r="M145" s="12"/>
      <c r="N145" s="11"/>
      <c r="O145" s="13"/>
      <c r="P145" s="13"/>
      <c r="Q145" s="11"/>
      <c r="R145" s="12"/>
      <c r="S145" s="12"/>
      <c r="T145" s="12"/>
      <c r="U145" s="11"/>
      <c r="V145" s="13"/>
      <c r="W145" s="13"/>
      <c r="X145" s="11"/>
      <c r="Y145" s="12"/>
      <c r="Z145" s="12"/>
      <c r="AA145" s="12">
        <v>1</v>
      </c>
      <c r="AB145" s="11"/>
      <c r="AC145" s="13"/>
      <c r="AD145" s="13"/>
      <c r="AE145" s="11"/>
      <c r="AF145" s="12"/>
      <c r="AG145" s="12"/>
      <c r="AH145" s="12"/>
      <c r="AI145" s="11"/>
      <c r="AJ145" s="13"/>
      <c r="AK145" s="379">
        <f t="shared" si="104"/>
        <v>1</v>
      </c>
      <c r="AL145" s="390">
        <v>8165</v>
      </c>
      <c r="AM145" s="19">
        <v>0.75</v>
      </c>
      <c r="AN145" s="20">
        <f t="shared" si="105"/>
        <v>2041.25</v>
      </c>
      <c r="AO145" s="21">
        <f t="shared" si="106"/>
        <v>2041.25</v>
      </c>
      <c r="AP145" s="22">
        <f t="shared" si="77"/>
        <v>1633</v>
      </c>
      <c r="AQ145" s="436"/>
      <c r="AR145" s="479">
        <v>2.1</v>
      </c>
      <c r="AS145" s="485">
        <f t="shared" si="107"/>
        <v>2.1</v>
      </c>
      <c r="AT145" s="382">
        <f t="shared" si="108"/>
        <v>777.61904761904759</v>
      </c>
      <c r="AU145" s="433"/>
      <c r="AV145" s="448" t="s">
        <v>232</v>
      </c>
      <c r="AW145" s="449">
        <f t="shared" si="109"/>
        <v>1</v>
      </c>
      <c r="AX145" s="450">
        <f t="shared" si="110"/>
        <v>1633</v>
      </c>
      <c r="AY145" s="570" t="b">
        <f t="shared" si="111"/>
        <v>1</v>
      </c>
    </row>
    <row r="146" spans="1:51" s="558" customFormat="1" ht="13.95" customHeight="1" x14ac:dyDescent="0.3">
      <c r="A146" s="365"/>
      <c r="B146" s="376"/>
      <c r="C146" s="376"/>
      <c r="D146" s="396" t="s">
        <v>237</v>
      </c>
      <c r="E146" s="378" t="s">
        <v>201</v>
      </c>
      <c r="F146" s="378">
        <v>0.60416666666666663</v>
      </c>
      <c r="G146" s="378" t="s">
        <v>245</v>
      </c>
      <c r="H146" s="394">
        <v>30</v>
      </c>
      <c r="I146" s="13"/>
      <c r="J146" s="11"/>
      <c r="K146" s="12"/>
      <c r="L146" s="12"/>
      <c r="M146" s="12"/>
      <c r="N146" s="11"/>
      <c r="O146" s="13"/>
      <c r="P146" s="13"/>
      <c r="Q146" s="11"/>
      <c r="R146" s="12"/>
      <c r="S146" s="12"/>
      <c r="T146" s="12"/>
      <c r="U146" s="11"/>
      <c r="V146" s="13"/>
      <c r="W146" s="13"/>
      <c r="X146" s="11"/>
      <c r="Y146" s="12">
        <v>1</v>
      </c>
      <c r="Z146" s="12"/>
      <c r="AA146" s="12"/>
      <c r="AB146" s="11"/>
      <c r="AC146" s="13"/>
      <c r="AD146" s="13"/>
      <c r="AE146" s="11"/>
      <c r="AF146" s="12">
        <v>1</v>
      </c>
      <c r="AG146" s="12"/>
      <c r="AH146" s="12"/>
      <c r="AI146" s="11"/>
      <c r="AJ146" s="13"/>
      <c r="AK146" s="379">
        <f t="shared" si="104"/>
        <v>2</v>
      </c>
      <c r="AL146" s="390">
        <v>4804</v>
      </c>
      <c r="AM146" s="19">
        <v>0.75</v>
      </c>
      <c r="AN146" s="20">
        <f t="shared" si="105"/>
        <v>1201</v>
      </c>
      <c r="AO146" s="21">
        <f t="shared" si="106"/>
        <v>2402</v>
      </c>
      <c r="AP146" s="22">
        <f t="shared" si="77"/>
        <v>1921.6000000000001</v>
      </c>
      <c r="AQ146" s="436"/>
      <c r="AR146" s="479">
        <v>1.6</v>
      </c>
      <c r="AS146" s="485">
        <f t="shared" si="107"/>
        <v>3.2</v>
      </c>
      <c r="AT146" s="382">
        <f t="shared" si="108"/>
        <v>600.5</v>
      </c>
      <c r="AU146" s="433"/>
      <c r="AV146" s="448" t="s">
        <v>232</v>
      </c>
      <c r="AW146" s="449">
        <f t="shared" si="109"/>
        <v>2</v>
      </c>
      <c r="AX146" s="450">
        <f t="shared" si="110"/>
        <v>1921.6000000000001</v>
      </c>
      <c r="AY146" s="570" t="b">
        <f t="shared" si="111"/>
        <v>1</v>
      </c>
    </row>
    <row r="147" spans="1:51" s="558" customFormat="1" ht="13.95" customHeight="1" x14ac:dyDescent="0.3">
      <c r="A147" s="365"/>
      <c r="B147" s="376"/>
      <c r="C147" s="376"/>
      <c r="D147" s="396" t="s">
        <v>238</v>
      </c>
      <c r="E147" s="378" t="s">
        <v>201</v>
      </c>
      <c r="F147" s="378">
        <v>0.35416666666666669</v>
      </c>
      <c r="G147" s="378" t="s">
        <v>212</v>
      </c>
      <c r="H147" s="394">
        <v>30</v>
      </c>
      <c r="I147" s="13"/>
      <c r="J147" s="11"/>
      <c r="K147" s="12"/>
      <c r="L147" s="12"/>
      <c r="M147" s="12"/>
      <c r="N147" s="11"/>
      <c r="O147" s="13"/>
      <c r="P147" s="13"/>
      <c r="Q147" s="11"/>
      <c r="R147" s="12"/>
      <c r="S147" s="12"/>
      <c r="T147" s="12"/>
      <c r="U147" s="11"/>
      <c r="V147" s="13"/>
      <c r="W147" s="13"/>
      <c r="X147" s="11"/>
      <c r="Y147" s="12"/>
      <c r="Z147" s="12">
        <v>1</v>
      </c>
      <c r="AA147" s="12"/>
      <c r="AB147" s="11"/>
      <c r="AC147" s="13"/>
      <c r="AD147" s="13"/>
      <c r="AE147" s="11"/>
      <c r="AF147" s="12"/>
      <c r="AG147" s="12">
        <v>1</v>
      </c>
      <c r="AH147" s="12"/>
      <c r="AI147" s="11"/>
      <c r="AJ147" s="13"/>
      <c r="AK147" s="379">
        <f t="shared" si="104"/>
        <v>2</v>
      </c>
      <c r="AL147" s="390">
        <v>3436</v>
      </c>
      <c r="AM147" s="19">
        <v>0.75</v>
      </c>
      <c r="AN147" s="20">
        <f t="shared" si="105"/>
        <v>859</v>
      </c>
      <c r="AO147" s="21">
        <f t="shared" si="106"/>
        <v>1718</v>
      </c>
      <c r="AP147" s="22">
        <f t="shared" si="77"/>
        <v>1374.4</v>
      </c>
      <c r="AQ147" s="436"/>
      <c r="AR147" s="479">
        <v>1.4</v>
      </c>
      <c r="AS147" s="485">
        <f t="shared" si="107"/>
        <v>2.8</v>
      </c>
      <c r="AT147" s="382">
        <f t="shared" si="108"/>
        <v>490.85714285714295</v>
      </c>
      <c r="AU147" s="433"/>
      <c r="AV147" s="448" t="s">
        <v>232</v>
      </c>
      <c r="AW147" s="449">
        <f t="shared" si="109"/>
        <v>2</v>
      </c>
      <c r="AX147" s="450">
        <f t="shared" si="110"/>
        <v>1374.4</v>
      </c>
      <c r="AY147" s="570" t="b">
        <f t="shared" si="111"/>
        <v>1</v>
      </c>
    </row>
    <row r="148" spans="1:51" s="558" customFormat="1" ht="13.95" hidden="1" customHeight="1" x14ac:dyDescent="0.3">
      <c r="A148" s="365"/>
      <c r="B148" s="376"/>
      <c r="C148" s="376"/>
      <c r="D148" s="377" t="s">
        <v>239</v>
      </c>
      <c r="E148" s="378" t="s">
        <v>201</v>
      </c>
      <c r="F148" s="378">
        <v>0.3125</v>
      </c>
      <c r="G148" s="378" t="s">
        <v>246</v>
      </c>
      <c r="H148" s="394">
        <v>60</v>
      </c>
      <c r="I148" s="13"/>
      <c r="J148" s="11"/>
      <c r="K148" s="12"/>
      <c r="L148" s="12"/>
      <c r="M148" s="12"/>
      <c r="N148" s="11"/>
      <c r="O148" s="13"/>
      <c r="P148" s="13"/>
      <c r="Q148" s="11"/>
      <c r="R148" s="12"/>
      <c r="S148" s="12"/>
      <c r="T148" s="12"/>
      <c r="U148" s="11"/>
      <c r="V148" s="13"/>
      <c r="W148" s="13"/>
      <c r="X148" s="11"/>
      <c r="Y148" s="12"/>
      <c r="Z148" s="12"/>
      <c r="AA148" s="12"/>
      <c r="AB148" s="11"/>
      <c r="AC148" s="13"/>
      <c r="AD148" s="13"/>
      <c r="AE148" s="11"/>
      <c r="AF148" s="12"/>
      <c r="AG148" s="12"/>
      <c r="AH148" s="12"/>
      <c r="AI148" s="11"/>
      <c r="AJ148" s="13"/>
      <c r="AK148" s="379">
        <f t="shared" si="104"/>
        <v>0</v>
      </c>
      <c r="AL148" s="390">
        <v>6872</v>
      </c>
      <c r="AM148" s="19">
        <v>0.75</v>
      </c>
      <c r="AN148" s="20">
        <f t="shared" si="105"/>
        <v>1718</v>
      </c>
      <c r="AO148" s="21">
        <f t="shared" si="106"/>
        <v>0</v>
      </c>
      <c r="AP148" s="22">
        <f t="shared" si="77"/>
        <v>0</v>
      </c>
      <c r="AQ148" s="436"/>
      <c r="AR148" s="479">
        <v>1.3</v>
      </c>
      <c r="AS148" s="485">
        <f t="shared" si="107"/>
        <v>0</v>
      </c>
      <c r="AT148" s="382">
        <f t="shared" si="108"/>
        <v>0</v>
      </c>
      <c r="AU148" s="433"/>
      <c r="AV148" s="448" t="s">
        <v>232</v>
      </c>
      <c r="AW148" s="449">
        <f t="shared" si="109"/>
        <v>0</v>
      </c>
      <c r="AX148" s="450">
        <f t="shared" si="110"/>
        <v>0</v>
      </c>
      <c r="AY148" s="570" t="b">
        <f t="shared" si="111"/>
        <v>1</v>
      </c>
    </row>
    <row r="149" spans="1:51" s="558" customFormat="1" ht="13.95" customHeight="1" x14ac:dyDescent="0.3">
      <c r="A149" s="365"/>
      <c r="B149" s="376"/>
      <c r="C149" s="376"/>
      <c r="D149" s="389" t="s">
        <v>239</v>
      </c>
      <c r="E149" s="378" t="s">
        <v>201</v>
      </c>
      <c r="F149" s="378">
        <v>0.3125</v>
      </c>
      <c r="G149" s="378" t="s">
        <v>246</v>
      </c>
      <c r="H149" s="394">
        <v>30</v>
      </c>
      <c r="I149" s="13"/>
      <c r="J149" s="11"/>
      <c r="K149" s="12"/>
      <c r="L149" s="12"/>
      <c r="M149" s="12"/>
      <c r="N149" s="11"/>
      <c r="O149" s="13"/>
      <c r="P149" s="13"/>
      <c r="Q149" s="11"/>
      <c r="R149" s="12"/>
      <c r="S149" s="12"/>
      <c r="T149" s="12"/>
      <c r="U149" s="11"/>
      <c r="V149" s="13"/>
      <c r="W149" s="13"/>
      <c r="X149" s="11"/>
      <c r="Y149" s="12"/>
      <c r="Z149" s="12"/>
      <c r="AA149" s="12"/>
      <c r="AB149" s="11">
        <v>1</v>
      </c>
      <c r="AC149" s="13"/>
      <c r="AD149" s="13"/>
      <c r="AE149" s="11"/>
      <c r="AF149" s="12"/>
      <c r="AG149" s="12"/>
      <c r="AH149" s="12"/>
      <c r="AI149" s="11"/>
      <c r="AJ149" s="13"/>
      <c r="AK149" s="379">
        <f t="shared" si="104"/>
        <v>1</v>
      </c>
      <c r="AL149" s="390">
        <v>3436</v>
      </c>
      <c r="AM149" s="19">
        <v>0.75</v>
      </c>
      <c r="AN149" s="20">
        <f t="shared" si="105"/>
        <v>859</v>
      </c>
      <c r="AO149" s="21">
        <f t="shared" si="106"/>
        <v>859</v>
      </c>
      <c r="AP149" s="22">
        <f t="shared" si="77"/>
        <v>687.2</v>
      </c>
      <c r="AQ149" s="436"/>
      <c r="AR149" s="479">
        <v>1.3</v>
      </c>
      <c r="AS149" s="485">
        <f t="shared" si="107"/>
        <v>1.3</v>
      </c>
      <c r="AT149" s="382">
        <f t="shared" si="108"/>
        <v>528.61538461538464</v>
      </c>
      <c r="AU149" s="433"/>
      <c r="AV149" s="448" t="s">
        <v>232</v>
      </c>
      <c r="AW149" s="449">
        <f t="shared" si="109"/>
        <v>1</v>
      </c>
      <c r="AX149" s="450">
        <f t="shared" si="110"/>
        <v>687.2</v>
      </c>
      <c r="AY149" s="570" t="b">
        <f t="shared" si="111"/>
        <v>1</v>
      </c>
    </row>
    <row r="150" spans="1:51" s="558" customFormat="1" ht="13.95" hidden="1" customHeight="1" x14ac:dyDescent="0.3">
      <c r="A150" s="365"/>
      <c r="B150" s="376"/>
      <c r="C150" s="376"/>
      <c r="D150" s="396" t="s">
        <v>240</v>
      </c>
      <c r="E150" s="378" t="s">
        <v>204</v>
      </c>
      <c r="F150" s="378">
        <v>0.45833333333333331</v>
      </c>
      <c r="G150" s="378" t="s">
        <v>247</v>
      </c>
      <c r="H150" s="394">
        <v>60</v>
      </c>
      <c r="I150" s="13"/>
      <c r="J150" s="11"/>
      <c r="K150" s="12"/>
      <c r="L150" s="12"/>
      <c r="M150" s="12"/>
      <c r="N150" s="11"/>
      <c r="O150" s="13"/>
      <c r="P150" s="13"/>
      <c r="Q150" s="11"/>
      <c r="R150" s="12"/>
      <c r="S150" s="12"/>
      <c r="T150" s="12"/>
      <c r="U150" s="11"/>
      <c r="V150" s="13"/>
      <c r="W150" s="13"/>
      <c r="X150" s="11"/>
      <c r="Y150" s="12"/>
      <c r="Z150" s="12"/>
      <c r="AA150" s="12"/>
      <c r="AB150" s="11"/>
      <c r="AC150" s="13"/>
      <c r="AD150" s="13"/>
      <c r="AE150" s="11"/>
      <c r="AF150" s="12"/>
      <c r="AG150" s="12"/>
      <c r="AH150" s="12"/>
      <c r="AI150" s="11"/>
      <c r="AJ150" s="13"/>
      <c r="AK150" s="379">
        <f t="shared" si="104"/>
        <v>0</v>
      </c>
      <c r="AL150" s="390">
        <v>6872</v>
      </c>
      <c r="AM150" s="19">
        <v>0.75</v>
      </c>
      <c r="AN150" s="20">
        <f t="shared" si="105"/>
        <v>1718</v>
      </c>
      <c r="AO150" s="21">
        <f t="shared" si="106"/>
        <v>0</v>
      </c>
      <c r="AP150" s="22">
        <f t="shared" si="77"/>
        <v>0</v>
      </c>
      <c r="AQ150" s="436"/>
      <c r="AR150" s="479">
        <v>1.2</v>
      </c>
      <c r="AS150" s="485">
        <f t="shared" si="107"/>
        <v>0</v>
      </c>
      <c r="AT150" s="382">
        <f t="shared" si="108"/>
        <v>0</v>
      </c>
      <c r="AU150" s="433"/>
      <c r="AV150" s="448" t="s">
        <v>232</v>
      </c>
      <c r="AW150" s="449">
        <f t="shared" si="109"/>
        <v>0</v>
      </c>
      <c r="AX150" s="450">
        <f t="shared" si="110"/>
        <v>0</v>
      </c>
      <c r="AY150" s="570" t="b">
        <f t="shared" si="111"/>
        <v>1</v>
      </c>
    </row>
    <row r="151" spans="1:51" s="558" customFormat="1" ht="13.95" customHeight="1" x14ac:dyDescent="0.3">
      <c r="A151" s="365"/>
      <c r="B151" s="376"/>
      <c r="C151" s="376"/>
      <c r="D151" s="389" t="s">
        <v>240</v>
      </c>
      <c r="E151" s="378" t="s">
        <v>204</v>
      </c>
      <c r="F151" s="378">
        <v>0.45833333333333331</v>
      </c>
      <c r="G151" s="378" t="s">
        <v>247</v>
      </c>
      <c r="H151" s="394">
        <v>30</v>
      </c>
      <c r="I151" s="13"/>
      <c r="J151" s="11"/>
      <c r="K151" s="12"/>
      <c r="L151" s="12"/>
      <c r="M151" s="12"/>
      <c r="N151" s="11"/>
      <c r="O151" s="13"/>
      <c r="P151" s="13"/>
      <c r="Q151" s="11"/>
      <c r="R151" s="12"/>
      <c r="S151" s="12"/>
      <c r="T151" s="12"/>
      <c r="U151" s="11"/>
      <c r="V151" s="13">
        <v>1</v>
      </c>
      <c r="W151" s="13"/>
      <c r="X151" s="11"/>
      <c r="Y151" s="12"/>
      <c r="Z151" s="12"/>
      <c r="AA151" s="12"/>
      <c r="AB151" s="11"/>
      <c r="AC151" s="13">
        <v>1</v>
      </c>
      <c r="AD151" s="13"/>
      <c r="AE151" s="11"/>
      <c r="AF151" s="12"/>
      <c r="AG151" s="12"/>
      <c r="AH151" s="12"/>
      <c r="AI151" s="11"/>
      <c r="AJ151" s="13"/>
      <c r="AK151" s="379">
        <f t="shared" si="104"/>
        <v>2</v>
      </c>
      <c r="AL151" s="390">
        <v>3436</v>
      </c>
      <c r="AM151" s="19">
        <v>0.75</v>
      </c>
      <c r="AN151" s="20">
        <f t="shared" si="105"/>
        <v>859</v>
      </c>
      <c r="AO151" s="21">
        <f t="shared" si="106"/>
        <v>1718</v>
      </c>
      <c r="AP151" s="22">
        <f t="shared" si="77"/>
        <v>1374.4</v>
      </c>
      <c r="AQ151" s="436"/>
      <c r="AR151" s="479">
        <v>1.2</v>
      </c>
      <c r="AS151" s="485">
        <f t="shared" si="107"/>
        <v>2.4</v>
      </c>
      <c r="AT151" s="382">
        <f t="shared" si="108"/>
        <v>572.66666666666674</v>
      </c>
      <c r="AU151" s="433"/>
      <c r="AV151" s="448" t="s">
        <v>232</v>
      </c>
      <c r="AW151" s="449">
        <f t="shared" si="109"/>
        <v>2</v>
      </c>
      <c r="AX151" s="450">
        <f t="shared" si="110"/>
        <v>1374.4</v>
      </c>
      <c r="AY151" s="570" t="b">
        <f t="shared" si="111"/>
        <v>1</v>
      </c>
    </row>
    <row r="152" spans="1:51" s="558" customFormat="1" ht="13.95" customHeight="1" x14ac:dyDescent="0.3">
      <c r="A152" s="365"/>
      <c r="B152" s="376"/>
      <c r="C152" s="376"/>
      <c r="D152" s="396"/>
      <c r="E152" s="378"/>
      <c r="F152" s="378"/>
      <c r="G152" s="378"/>
      <c r="H152" s="394"/>
      <c r="I152" s="13"/>
      <c r="J152" s="11"/>
      <c r="K152" s="12"/>
      <c r="L152" s="12"/>
      <c r="M152" s="12"/>
      <c r="N152" s="11"/>
      <c r="O152" s="13"/>
      <c r="P152" s="13"/>
      <c r="Q152" s="11"/>
      <c r="R152" s="12"/>
      <c r="S152" s="12"/>
      <c r="T152" s="12"/>
      <c r="U152" s="11"/>
      <c r="V152" s="13"/>
      <c r="W152" s="13"/>
      <c r="X152" s="11"/>
      <c r="Y152" s="12"/>
      <c r="Z152" s="12"/>
      <c r="AA152" s="12"/>
      <c r="AB152" s="11"/>
      <c r="AC152" s="13"/>
      <c r="AD152" s="13"/>
      <c r="AE152" s="11"/>
      <c r="AF152" s="12"/>
      <c r="AG152" s="12"/>
      <c r="AH152" s="12"/>
      <c r="AI152" s="11"/>
      <c r="AJ152" s="13"/>
      <c r="AK152" s="504"/>
      <c r="AL152" s="505"/>
      <c r="AM152" s="506"/>
      <c r="AN152" s="337"/>
      <c r="AO152" s="170"/>
      <c r="AP152" s="170"/>
      <c r="AQ152" s="436"/>
      <c r="AR152" s="479"/>
      <c r="AS152" s="485"/>
      <c r="AT152" s="382"/>
      <c r="AU152" s="433"/>
      <c r="AV152" s="451" t="s">
        <v>142</v>
      </c>
      <c r="AW152" s="425">
        <f>SUM(AW140:AW151)</f>
        <v>13</v>
      </c>
      <c r="AX152" s="426">
        <f>SUM(AX140:AX151)</f>
        <v>18149.400000000001</v>
      </c>
      <c r="AY152" s="570" t="b">
        <f>SUM(AP140:AP151)=AX152</f>
        <v>1</v>
      </c>
    </row>
    <row r="153" spans="1:51" s="558" customFormat="1" ht="13.95" hidden="1" customHeight="1" x14ac:dyDescent="0.3">
      <c r="A153" s="365"/>
      <c r="B153" s="376" t="s">
        <v>265</v>
      </c>
      <c r="C153" s="376" t="s">
        <v>157</v>
      </c>
      <c r="D153" s="389" t="s">
        <v>315</v>
      </c>
      <c r="E153" s="378" t="s">
        <v>204</v>
      </c>
      <c r="F153" s="378">
        <v>0.67708333333333337</v>
      </c>
      <c r="G153" s="378" t="s">
        <v>321</v>
      </c>
      <c r="H153" s="394">
        <v>60</v>
      </c>
      <c r="I153" s="13"/>
      <c r="J153" s="11"/>
      <c r="K153" s="12"/>
      <c r="L153" s="12"/>
      <c r="M153" s="12"/>
      <c r="N153" s="11"/>
      <c r="O153" s="13"/>
      <c r="P153" s="13"/>
      <c r="Q153" s="11"/>
      <c r="R153" s="12"/>
      <c r="S153" s="12"/>
      <c r="T153" s="12"/>
      <c r="U153" s="11"/>
      <c r="V153" s="13"/>
      <c r="W153" s="13"/>
      <c r="X153" s="11"/>
      <c r="Y153" s="12"/>
      <c r="Z153" s="12"/>
      <c r="AA153" s="12"/>
      <c r="AB153" s="11"/>
      <c r="AC153" s="13"/>
      <c r="AD153" s="13"/>
      <c r="AE153" s="11"/>
      <c r="AF153" s="12"/>
      <c r="AG153" s="12"/>
      <c r="AH153" s="12"/>
      <c r="AI153" s="11"/>
      <c r="AJ153" s="13"/>
      <c r="AK153" s="379">
        <f t="shared" ref="AK153:AK169" si="112">SUM(I153:AJ153)</f>
        <v>0</v>
      </c>
      <c r="AL153" s="390">
        <v>5860</v>
      </c>
      <c r="AM153" s="19">
        <v>0.1</v>
      </c>
      <c r="AN153" s="20">
        <f t="shared" ref="AN153:AN169" si="113">AL153*(1-AM153)</f>
        <v>5274</v>
      </c>
      <c r="AO153" s="21">
        <f t="shared" ref="AO153:AO169" si="114">AN153*AK153</f>
        <v>0</v>
      </c>
      <c r="AP153" s="22">
        <f t="shared" si="77"/>
        <v>0</v>
      </c>
      <c r="AQ153" s="436"/>
      <c r="AR153" s="479">
        <v>5.59</v>
      </c>
      <c r="AS153" s="485">
        <f>AR153*AK153</f>
        <v>0</v>
      </c>
      <c r="AT153" s="382">
        <f>IFERROR(AP153/AS153,0)</f>
        <v>0</v>
      </c>
      <c r="AU153" s="433"/>
      <c r="AV153" s="448" t="s">
        <v>183</v>
      </c>
      <c r="AW153" s="449">
        <f t="shared" ref="AW153:AW169" si="115">SUM(I153:AJ153)</f>
        <v>0</v>
      </c>
      <c r="AX153" s="450">
        <f t="shared" ref="AX153:AX169" si="116">AW153*AN153*0.8</f>
        <v>0</v>
      </c>
      <c r="AY153" s="570" t="b">
        <f t="shared" ref="AY153:AY184" si="117">SUM(AX153)=AP153</f>
        <v>1</v>
      </c>
    </row>
    <row r="154" spans="1:51" s="558" customFormat="1" ht="13.95" customHeight="1" x14ac:dyDescent="0.3">
      <c r="A154" s="365"/>
      <c r="B154" s="376" t="s">
        <v>265</v>
      </c>
      <c r="C154" s="376" t="s">
        <v>157</v>
      </c>
      <c r="D154" s="396" t="s">
        <v>315</v>
      </c>
      <c r="E154" s="378" t="s">
        <v>204</v>
      </c>
      <c r="F154" s="378">
        <v>0.67708333333333337</v>
      </c>
      <c r="G154" s="378" t="s">
        <v>321</v>
      </c>
      <c r="H154" s="394">
        <v>30</v>
      </c>
      <c r="I154" s="13"/>
      <c r="J154" s="11"/>
      <c r="K154" s="12"/>
      <c r="L154" s="12"/>
      <c r="M154" s="12"/>
      <c r="N154" s="11"/>
      <c r="O154" s="13"/>
      <c r="P154" s="13"/>
      <c r="Q154" s="11"/>
      <c r="R154" s="12"/>
      <c r="S154" s="12"/>
      <c r="T154" s="12"/>
      <c r="U154" s="11"/>
      <c r="V154" s="13">
        <v>1</v>
      </c>
      <c r="W154" s="13"/>
      <c r="X154" s="11"/>
      <c r="Y154" s="12"/>
      <c r="Z154" s="12"/>
      <c r="AA154" s="12"/>
      <c r="AB154" s="11"/>
      <c r="AC154" s="13"/>
      <c r="AD154" s="13"/>
      <c r="AE154" s="11"/>
      <c r="AF154" s="12"/>
      <c r="AG154" s="12"/>
      <c r="AH154" s="12"/>
      <c r="AI154" s="11"/>
      <c r="AJ154" s="13"/>
      <c r="AK154" s="379">
        <f t="shared" si="112"/>
        <v>1</v>
      </c>
      <c r="AL154" s="390">
        <v>2930</v>
      </c>
      <c r="AM154" s="19">
        <v>0.1</v>
      </c>
      <c r="AN154" s="20">
        <f t="shared" si="113"/>
        <v>2637</v>
      </c>
      <c r="AO154" s="21">
        <f t="shared" si="114"/>
        <v>2637</v>
      </c>
      <c r="AP154" s="22">
        <f t="shared" si="77"/>
        <v>2109.6</v>
      </c>
      <c r="AQ154" s="436"/>
      <c r="AR154" s="479">
        <v>5.59</v>
      </c>
      <c r="AS154" s="485">
        <f t="shared" ref="AS154:AS169" si="118">AR154*AK154</f>
        <v>5.59</v>
      </c>
      <c r="AT154" s="382">
        <f t="shared" ref="AT154:AT169" si="119">IFERROR(AP154/AS154,0)</f>
        <v>377.38819320214668</v>
      </c>
      <c r="AU154" s="433"/>
      <c r="AV154" s="448" t="s">
        <v>183</v>
      </c>
      <c r="AW154" s="449">
        <f t="shared" si="115"/>
        <v>1</v>
      </c>
      <c r="AX154" s="450">
        <f t="shared" si="116"/>
        <v>2109.6</v>
      </c>
      <c r="AY154" s="570" t="b">
        <f t="shared" si="117"/>
        <v>1</v>
      </c>
    </row>
    <row r="155" spans="1:51" s="558" customFormat="1" ht="13.95" hidden="1" customHeight="1" x14ac:dyDescent="0.3">
      <c r="A155" s="365"/>
      <c r="B155" s="376"/>
      <c r="C155" s="376"/>
      <c r="D155" s="389" t="s">
        <v>316</v>
      </c>
      <c r="E155" s="378" t="s">
        <v>203</v>
      </c>
      <c r="F155" s="378">
        <v>0.625</v>
      </c>
      <c r="G155" s="378" t="s">
        <v>322</v>
      </c>
      <c r="H155" s="394">
        <v>60</v>
      </c>
      <c r="I155" s="13"/>
      <c r="J155" s="11"/>
      <c r="K155" s="12"/>
      <c r="L155" s="12"/>
      <c r="M155" s="12"/>
      <c r="N155" s="11"/>
      <c r="O155" s="13"/>
      <c r="P155" s="13"/>
      <c r="Q155" s="11"/>
      <c r="R155" s="12"/>
      <c r="S155" s="12"/>
      <c r="T155" s="12"/>
      <c r="U155" s="11"/>
      <c r="V155" s="13"/>
      <c r="W155" s="13"/>
      <c r="X155" s="11"/>
      <c r="Y155" s="12"/>
      <c r="Z155" s="12"/>
      <c r="AA155" s="12"/>
      <c r="AB155" s="11"/>
      <c r="AC155" s="13"/>
      <c r="AD155" s="13"/>
      <c r="AE155" s="11"/>
      <c r="AF155" s="12"/>
      <c r="AG155" s="12"/>
      <c r="AH155" s="12"/>
      <c r="AI155" s="11"/>
      <c r="AJ155" s="13"/>
      <c r="AK155" s="379">
        <f t="shared" si="112"/>
        <v>0</v>
      </c>
      <c r="AL155" s="390">
        <v>11040</v>
      </c>
      <c r="AM155" s="19">
        <v>0.1</v>
      </c>
      <c r="AN155" s="20">
        <f t="shared" si="113"/>
        <v>9936</v>
      </c>
      <c r="AO155" s="21">
        <f t="shared" si="114"/>
        <v>0</v>
      </c>
      <c r="AP155" s="22">
        <f t="shared" si="77"/>
        <v>0</v>
      </c>
      <c r="AQ155" s="436"/>
      <c r="AR155" s="481">
        <v>8.57</v>
      </c>
      <c r="AS155" s="485">
        <f t="shared" si="118"/>
        <v>0</v>
      </c>
      <c r="AT155" s="382">
        <f t="shared" si="119"/>
        <v>0</v>
      </c>
      <c r="AU155" s="433"/>
      <c r="AV155" s="448" t="s">
        <v>183</v>
      </c>
      <c r="AW155" s="449">
        <f t="shared" si="115"/>
        <v>0</v>
      </c>
      <c r="AX155" s="450">
        <f t="shared" si="116"/>
        <v>0</v>
      </c>
      <c r="AY155" s="570" t="b">
        <f t="shared" si="117"/>
        <v>1</v>
      </c>
    </row>
    <row r="156" spans="1:51" s="558" customFormat="1" ht="13.95" customHeight="1" x14ac:dyDescent="0.3">
      <c r="A156" s="365"/>
      <c r="B156" s="376"/>
      <c r="C156" s="376"/>
      <c r="D156" s="396" t="s">
        <v>316</v>
      </c>
      <c r="E156" s="378" t="s">
        <v>203</v>
      </c>
      <c r="F156" s="378">
        <v>0.625</v>
      </c>
      <c r="G156" s="378" t="s">
        <v>322</v>
      </c>
      <c r="H156" s="394">
        <v>30</v>
      </c>
      <c r="I156" s="13"/>
      <c r="J156" s="11"/>
      <c r="K156" s="12"/>
      <c r="L156" s="12"/>
      <c r="M156" s="12"/>
      <c r="N156" s="11"/>
      <c r="O156" s="13"/>
      <c r="P156" s="13"/>
      <c r="Q156" s="11"/>
      <c r="R156" s="12"/>
      <c r="S156" s="12"/>
      <c r="T156" s="12"/>
      <c r="U156" s="11"/>
      <c r="V156" s="13"/>
      <c r="W156" s="13">
        <v>1</v>
      </c>
      <c r="X156" s="11"/>
      <c r="Y156" s="12"/>
      <c r="Z156" s="12"/>
      <c r="AA156" s="12"/>
      <c r="AB156" s="11"/>
      <c r="AC156" s="13"/>
      <c r="AD156" s="13">
        <v>1</v>
      </c>
      <c r="AE156" s="11"/>
      <c r="AF156" s="12"/>
      <c r="AG156" s="12"/>
      <c r="AH156" s="12"/>
      <c r="AI156" s="11"/>
      <c r="AJ156" s="13"/>
      <c r="AK156" s="379">
        <f t="shared" si="112"/>
        <v>2</v>
      </c>
      <c r="AL156" s="390">
        <v>5520</v>
      </c>
      <c r="AM156" s="19">
        <v>0.1</v>
      </c>
      <c r="AN156" s="20">
        <f t="shared" si="113"/>
        <v>4968</v>
      </c>
      <c r="AO156" s="21">
        <f t="shared" si="114"/>
        <v>9936</v>
      </c>
      <c r="AP156" s="22">
        <f t="shared" si="77"/>
        <v>7948.8</v>
      </c>
      <c r="AQ156" s="436"/>
      <c r="AR156" s="481">
        <v>8.57</v>
      </c>
      <c r="AS156" s="485">
        <f t="shared" si="118"/>
        <v>17.14</v>
      </c>
      <c r="AT156" s="382">
        <f t="shared" si="119"/>
        <v>463.757292882147</v>
      </c>
      <c r="AU156" s="433"/>
      <c r="AV156" s="448" t="s">
        <v>183</v>
      </c>
      <c r="AW156" s="449">
        <f t="shared" si="115"/>
        <v>2</v>
      </c>
      <c r="AX156" s="450">
        <f t="shared" si="116"/>
        <v>7948.8</v>
      </c>
      <c r="AY156" s="570" t="b">
        <f t="shared" si="117"/>
        <v>1</v>
      </c>
    </row>
    <row r="157" spans="1:51" s="558" customFormat="1" ht="13.95" customHeight="1" x14ac:dyDescent="0.3">
      <c r="A157" s="365"/>
      <c r="B157" s="376"/>
      <c r="C157" s="376"/>
      <c r="D157" s="377" t="s">
        <v>317</v>
      </c>
      <c r="E157" s="378" t="s">
        <v>201</v>
      </c>
      <c r="F157" s="378">
        <v>0.39583333333333331</v>
      </c>
      <c r="G157" s="378" t="s">
        <v>323</v>
      </c>
      <c r="H157" s="394">
        <v>30</v>
      </c>
      <c r="I157" s="13"/>
      <c r="J157" s="11"/>
      <c r="K157" s="12"/>
      <c r="L157" s="12"/>
      <c r="M157" s="12"/>
      <c r="N157" s="11"/>
      <c r="O157" s="13"/>
      <c r="P157" s="13"/>
      <c r="Q157" s="11"/>
      <c r="R157" s="12"/>
      <c r="S157" s="12"/>
      <c r="T157" s="12"/>
      <c r="U157" s="11"/>
      <c r="V157" s="13"/>
      <c r="W157" s="13"/>
      <c r="X157" s="11"/>
      <c r="Y157" s="12"/>
      <c r="Z157" s="12">
        <v>1</v>
      </c>
      <c r="AA157" s="12"/>
      <c r="AB157" s="11"/>
      <c r="AC157" s="13"/>
      <c r="AD157" s="13"/>
      <c r="AE157" s="11"/>
      <c r="AF157" s="12">
        <v>1</v>
      </c>
      <c r="AG157" s="12"/>
      <c r="AH157" s="12"/>
      <c r="AI157" s="11"/>
      <c r="AJ157" s="13"/>
      <c r="AK157" s="379">
        <f t="shared" si="112"/>
        <v>2</v>
      </c>
      <c r="AL157" s="390">
        <v>1454</v>
      </c>
      <c r="AM157" s="19">
        <v>0.1</v>
      </c>
      <c r="AN157" s="20">
        <f t="shared" si="113"/>
        <v>1308.6000000000001</v>
      </c>
      <c r="AO157" s="21">
        <f t="shared" si="114"/>
        <v>2617.2000000000003</v>
      </c>
      <c r="AP157" s="22">
        <f t="shared" si="77"/>
        <v>2093.7600000000002</v>
      </c>
      <c r="AQ157" s="436"/>
      <c r="AR157" s="479">
        <v>3.89</v>
      </c>
      <c r="AS157" s="485">
        <f t="shared" si="118"/>
        <v>7.78</v>
      </c>
      <c r="AT157" s="382">
        <f t="shared" si="119"/>
        <v>269.12082262210799</v>
      </c>
      <c r="AU157" s="433"/>
      <c r="AV157" s="448" t="s">
        <v>183</v>
      </c>
      <c r="AW157" s="449">
        <f t="shared" si="115"/>
        <v>2</v>
      </c>
      <c r="AX157" s="450">
        <f t="shared" si="116"/>
        <v>2093.7600000000002</v>
      </c>
      <c r="AY157" s="570" t="b">
        <f t="shared" si="117"/>
        <v>1</v>
      </c>
    </row>
    <row r="158" spans="1:51" s="558" customFormat="1" ht="13.95" customHeight="1" x14ac:dyDescent="0.3">
      <c r="A158" s="365"/>
      <c r="B158" s="376"/>
      <c r="C158" s="376"/>
      <c r="D158" s="389" t="s">
        <v>306</v>
      </c>
      <c r="E158" s="378" t="s">
        <v>202</v>
      </c>
      <c r="F158" s="378">
        <v>0.55902777777777779</v>
      </c>
      <c r="G158" s="378" t="s">
        <v>324</v>
      </c>
      <c r="H158" s="394">
        <v>30</v>
      </c>
      <c r="I158" s="13"/>
      <c r="J158" s="11"/>
      <c r="K158" s="12"/>
      <c r="L158" s="12"/>
      <c r="M158" s="12"/>
      <c r="N158" s="11"/>
      <c r="O158" s="13"/>
      <c r="P158" s="13"/>
      <c r="Q158" s="11"/>
      <c r="R158" s="12"/>
      <c r="S158" s="12"/>
      <c r="T158" s="12"/>
      <c r="U158" s="11"/>
      <c r="V158" s="13"/>
      <c r="W158" s="13"/>
      <c r="X158" s="11">
        <v>1</v>
      </c>
      <c r="Y158" s="12"/>
      <c r="Z158" s="12"/>
      <c r="AA158" s="12"/>
      <c r="AB158" s="11"/>
      <c r="AC158" s="13"/>
      <c r="AD158" s="13"/>
      <c r="AE158" s="11">
        <v>1</v>
      </c>
      <c r="AF158" s="12"/>
      <c r="AG158" s="12"/>
      <c r="AH158" s="12"/>
      <c r="AI158" s="11"/>
      <c r="AJ158" s="13"/>
      <c r="AK158" s="379">
        <f t="shared" si="112"/>
        <v>2</v>
      </c>
      <c r="AL158" s="390">
        <v>3091</v>
      </c>
      <c r="AM158" s="19">
        <v>0.1</v>
      </c>
      <c r="AN158" s="20">
        <f t="shared" si="113"/>
        <v>2781.9</v>
      </c>
      <c r="AO158" s="21">
        <f t="shared" si="114"/>
        <v>5563.8</v>
      </c>
      <c r="AP158" s="22">
        <f t="shared" si="77"/>
        <v>4451.04</v>
      </c>
      <c r="AQ158" s="436"/>
      <c r="AR158" s="479">
        <v>5.92</v>
      </c>
      <c r="AS158" s="485">
        <f t="shared" si="118"/>
        <v>11.84</v>
      </c>
      <c r="AT158" s="382">
        <f t="shared" si="119"/>
        <v>375.93243243243245</v>
      </c>
      <c r="AU158" s="433"/>
      <c r="AV158" s="448" t="s">
        <v>183</v>
      </c>
      <c r="AW158" s="449">
        <f t="shared" si="115"/>
        <v>2</v>
      </c>
      <c r="AX158" s="450">
        <f t="shared" si="116"/>
        <v>4451.04</v>
      </c>
      <c r="AY158" s="570" t="b">
        <f t="shared" si="117"/>
        <v>1</v>
      </c>
    </row>
    <row r="159" spans="1:51" s="558" customFormat="1" ht="13.95" customHeight="1" x14ac:dyDescent="0.3">
      <c r="A159" s="365"/>
      <c r="B159" s="376"/>
      <c r="C159" s="376"/>
      <c r="D159" s="396" t="s">
        <v>186</v>
      </c>
      <c r="E159" s="378" t="s">
        <v>201</v>
      </c>
      <c r="F159" s="378">
        <v>0.85416666666666663</v>
      </c>
      <c r="G159" s="378" t="s">
        <v>325</v>
      </c>
      <c r="H159" s="394">
        <v>60</v>
      </c>
      <c r="I159" s="13"/>
      <c r="J159" s="11"/>
      <c r="K159" s="12"/>
      <c r="L159" s="12"/>
      <c r="M159" s="12"/>
      <c r="N159" s="11"/>
      <c r="O159" s="13"/>
      <c r="P159" s="13"/>
      <c r="Q159" s="11"/>
      <c r="R159" s="12"/>
      <c r="S159" s="12">
        <v>1</v>
      </c>
      <c r="T159" s="12"/>
      <c r="U159" s="11"/>
      <c r="V159" s="13"/>
      <c r="W159" s="13"/>
      <c r="X159" s="11"/>
      <c r="Y159" s="12"/>
      <c r="Z159" s="12"/>
      <c r="AA159" s="12"/>
      <c r="AB159" s="11"/>
      <c r="AC159" s="13"/>
      <c r="AD159" s="13"/>
      <c r="AE159" s="11"/>
      <c r="AF159" s="12"/>
      <c r="AG159" s="12"/>
      <c r="AH159" s="12"/>
      <c r="AI159" s="11"/>
      <c r="AJ159" s="13"/>
      <c r="AK159" s="379">
        <f t="shared" si="112"/>
        <v>1</v>
      </c>
      <c r="AL159" s="390">
        <v>20804</v>
      </c>
      <c r="AM159" s="19">
        <v>0.1</v>
      </c>
      <c r="AN159" s="20">
        <f t="shared" si="113"/>
        <v>18723.600000000002</v>
      </c>
      <c r="AO159" s="21">
        <f t="shared" si="114"/>
        <v>18723.600000000002</v>
      </c>
      <c r="AP159" s="22">
        <f t="shared" si="77"/>
        <v>14978.880000000003</v>
      </c>
      <c r="AQ159" s="436"/>
      <c r="AR159" s="479">
        <v>13.07</v>
      </c>
      <c r="AS159" s="485">
        <f t="shared" si="118"/>
        <v>13.07</v>
      </c>
      <c r="AT159" s="382">
        <f t="shared" si="119"/>
        <v>1146.0504973221118</v>
      </c>
      <c r="AU159" s="433"/>
      <c r="AV159" s="448" t="s">
        <v>183</v>
      </c>
      <c r="AW159" s="449">
        <f t="shared" si="115"/>
        <v>1</v>
      </c>
      <c r="AX159" s="450">
        <f t="shared" si="116"/>
        <v>14978.880000000003</v>
      </c>
      <c r="AY159" s="570" t="b">
        <f t="shared" si="117"/>
        <v>1</v>
      </c>
    </row>
    <row r="160" spans="1:51" s="558" customFormat="1" ht="13.95" hidden="1" customHeight="1" x14ac:dyDescent="0.3">
      <c r="A160" s="365"/>
      <c r="B160" s="376"/>
      <c r="C160" s="376"/>
      <c r="D160" s="389" t="s">
        <v>186</v>
      </c>
      <c r="E160" s="378" t="s">
        <v>201</v>
      </c>
      <c r="F160" s="378">
        <v>0.85416666666666663</v>
      </c>
      <c r="G160" s="378" t="s">
        <v>325</v>
      </c>
      <c r="H160" s="394">
        <v>30</v>
      </c>
      <c r="I160" s="13"/>
      <c r="J160" s="11"/>
      <c r="K160" s="12"/>
      <c r="L160" s="12"/>
      <c r="M160" s="12"/>
      <c r="N160" s="11"/>
      <c r="O160" s="13"/>
      <c r="P160" s="13"/>
      <c r="Q160" s="11"/>
      <c r="R160" s="12"/>
      <c r="S160" s="12"/>
      <c r="T160" s="12"/>
      <c r="U160" s="11"/>
      <c r="V160" s="13"/>
      <c r="W160" s="13"/>
      <c r="X160" s="11"/>
      <c r="Y160" s="12"/>
      <c r="Z160" s="12"/>
      <c r="AA160" s="12"/>
      <c r="AB160" s="11"/>
      <c r="AC160" s="13"/>
      <c r="AD160" s="13"/>
      <c r="AE160" s="11"/>
      <c r="AF160" s="12"/>
      <c r="AG160" s="12"/>
      <c r="AH160" s="12"/>
      <c r="AI160" s="11"/>
      <c r="AJ160" s="13"/>
      <c r="AK160" s="379">
        <f t="shared" si="112"/>
        <v>0</v>
      </c>
      <c r="AL160" s="390">
        <v>10402</v>
      </c>
      <c r="AM160" s="19">
        <v>0.1</v>
      </c>
      <c r="AN160" s="20">
        <f t="shared" si="113"/>
        <v>9361.8000000000011</v>
      </c>
      <c r="AO160" s="21">
        <f t="shared" si="114"/>
        <v>0</v>
      </c>
      <c r="AP160" s="22">
        <f t="shared" ref="AP160:AP169" si="120">AO160*0.8</f>
        <v>0</v>
      </c>
      <c r="AQ160" s="436"/>
      <c r="AR160" s="479">
        <v>13.07</v>
      </c>
      <c r="AS160" s="485">
        <f t="shared" si="118"/>
        <v>0</v>
      </c>
      <c r="AT160" s="382">
        <f t="shared" si="119"/>
        <v>0</v>
      </c>
      <c r="AU160" s="433"/>
      <c r="AV160" s="448" t="s">
        <v>183</v>
      </c>
      <c r="AW160" s="449">
        <f t="shared" si="115"/>
        <v>0</v>
      </c>
      <c r="AX160" s="450">
        <f t="shared" si="116"/>
        <v>0</v>
      </c>
      <c r="AY160" s="570" t="b">
        <f t="shared" si="117"/>
        <v>1</v>
      </c>
    </row>
    <row r="161" spans="1:51" s="558" customFormat="1" ht="13.95" hidden="1" customHeight="1" x14ac:dyDescent="0.3">
      <c r="A161" s="365"/>
      <c r="B161" s="376"/>
      <c r="C161" s="376"/>
      <c r="D161" s="396" t="s">
        <v>318</v>
      </c>
      <c r="E161" s="378" t="s">
        <v>201</v>
      </c>
      <c r="F161" s="378">
        <v>0.44097222222222221</v>
      </c>
      <c r="G161" s="378" t="s">
        <v>326</v>
      </c>
      <c r="H161" s="394">
        <v>60</v>
      </c>
      <c r="I161" s="13"/>
      <c r="J161" s="11"/>
      <c r="K161" s="12"/>
      <c r="L161" s="12"/>
      <c r="M161" s="12"/>
      <c r="N161" s="11"/>
      <c r="O161" s="13"/>
      <c r="P161" s="13"/>
      <c r="Q161" s="11"/>
      <c r="R161" s="12"/>
      <c r="S161" s="12"/>
      <c r="T161" s="12"/>
      <c r="U161" s="11"/>
      <c r="V161" s="13"/>
      <c r="W161" s="13"/>
      <c r="X161" s="11"/>
      <c r="Y161" s="12"/>
      <c r="Z161" s="12"/>
      <c r="AA161" s="12"/>
      <c r="AB161" s="11"/>
      <c r="AC161" s="13"/>
      <c r="AD161" s="13"/>
      <c r="AE161" s="11"/>
      <c r="AF161" s="12"/>
      <c r="AG161" s="12"/>
      <c r="AH161" s="12"/>
      <c r="AI161" s="11"/>
      <c r="AJ161" s="13"/>
      <c r="AK161" s="379">
        <f t="shared" si="112"/>
        <v>0</v>
      </c>
      <c r="AL161" s="390">
        <v>3090</v>
      </c>
      <c r="AM161" s="19">
        <v>0.1</v>
      </c>
      <c r="AN161" s="20">
        <f t="shared" si="113"/>
        <v>2781</v>
      </c>
      <c r="AO161" s="21">
        <f t="shared" si="114"/>
        <v>0</v>
      </c>
      <c r="AP161" s="22">
        <f t="shared" si="120"/>
        <v>0</v>
      </c>
      <c r="AQ161" s="436"/>
      <c r="AR161" s="479">
        <v>3.79</v>
      </c>
      <c r="AS161" s="485">
        <f t="shared" si="118"/>
        <v>0</v>
      </c>
      <c r="AT161" s="382">
        <f t="shared" si="119"/>
        <v>0</v>
      </c>
      <c r="AU161" s="433"/>
      <c r="AV161" s="448" t="s">
        <v>183</v>
      </c>
      <c r="AW161" s="449">
        <f t="shared" si="115"/>
        <v>0</v>
      </c>
      <c r="AX161" s="450">
        <f t="shared" si="116"/>
        <v>0</v>
      </c>
      <c r="AY161" s="570" t="b">
        <f t="shared" si="117"/>
        <v>1</v>
      </c>
    </row>
    <row r="162" spans="1:51" s="558" customFormat="1" ht="13.95" customHeight="1" x14ac:dyDescent="0.3">
      <c r="A162" s="365"/>
      <c r="B162" s="376"/>
      <c r="C162" s="376"/>
      <c r="D162" s="377" t="s">
        <v>318</v>
      </c>
      <c r="E162" s="378" t="s">
        <v>201</v>
      </c>
      <c r="F162" s="378">
        <v>0.44097222222222221</v>
      </c>
      <c r="G162" s="378" t="s">
        <v>326</v>
      </c>
      <c r="H162" s="394">
        <v>30</v>
      </c>
      <c r="I162" s="13"/>
      <c r="J162" s="11"/>
      <c r="K162" s="12"/>
      <c r="L162" s="12"/>
      <c r="M162" s="12"/>
      <c r="N162" s="11"/>
      <c r="O162" s="13"/>
      <c r="P162" s="13"/>
      <c r="Q162" s="11"/>
      <c r="R162" s="12"/>
      <c r="S162" s="12"/>
      <c r="T162" s="12"/>
      <c r="U162" s="11">
        <v>1</v>
      </c>
      <c r="V162" s="13"/>
      <c r="W162" s="13"/>
      <c r="X162" s="11"/>
      <c r="Y162" s="12">
        <v>1</v>
      </c>
      <c r="Z162" s="12"/>
      <c r="AA162" s="12"/>
      <c r="AB162" s="11"/>
      <c r="AC162" s="13"/>
      <c r="AD162" s="13"/>
      <c r="AE162" s="11"/>
      <c r="AF162" s="12"/>
      <c r="AG162" s="12">
        <v>1</v>
      </c>
      <c r="AH162" s="12"/>
      <c r="AI162" s="11"/>
      <c r="AJ162" s="13"/>
      <c r="AK162" s="379">
        <f t="shared" si="112"/>
        <v>3</v>
      </c>
      <c r="AL162" s="390">
        <v>1545</v>
      </c>
      <c r="AM162" s="19">
        <v>0.1</v>
      </c>
      <c r="AN162" s="20">
        <f t="shared" si="113"/>
        <v>1390.5</v>
      </c>
      <c r="AO162" s="21">
        <f t="shared" si="114"/>
        <v>4171.5</v>
      </c>
      <c r="AP162" s="22">
        <f t="shared" si="120"/>
        <v>3337.2000000000003</v>
      </c>
      <c r="AQ162" s="436"/>
      <c r="AR162" s="479">
        <v>3.79</v>
      </c>
      <c r="AS162" s="485">
        <f t="shared" si="118"/>
        <v>11.370000000000001</v>
      </c>
      <c r="AT162" s="382">
        <f t="shared" si="119"/>
        <v>293.50923482849606</v>
      </c>
      <c r="AU162" s="433"/>
      <c r="AV162" s="448" t="s">
        <v>183</v>
      </c>
      <c r="AW162" s="449">
        <f t="shared" si="115"/>
        <v>3</v>
      </c>
      <c r="AX162" s="450">
        <f t="shared" si="116"/>
        <v>3337.2000000000003</v>
      </c>
      <c r="AY162" s="570" t="b">
        <f t="shared" si="117"/>
        <v>1</v>
      </c>
    </row>
    <row r="163" spans="1:51" s="558" customFormat="1" ht="13.95" customHeight="1" x14ac:dyDescent="0.3">
      <c r="A163" s="365"/>
      <c r="B163" s="376"/>
      <c r="C163" s="376"/>
      <c r="D163" s="389" t="s">
        <v>319</v>
      </c>
      <c r="E163" s="378" t="s">
        <v>202</v>
      </c>
      <c r="F163" s="378">
        <v>0.61458333333333337</v>
      </c>
      <c r="G163" s="378" t="s">
        <v>327</v>
      </c>
      <c r="H163" s="394">
        <v>30</v>
      </c>
      <c r="I163" s="13"/>
      <c r="J163" s="11"/>
      <c r="K163" s="12"/>
      <c r="L163" s="12"/>
      <c r="M163" s="12"/>
      <c r="N163" s="11"/>
      <c r="O163" s="13"/>
      <c r="P163" s="13"/>
      <c r="Q163" s="11"/>
      <c r="R163" s="12"/>
      <c r="S163" s="12"/>
      <c r="T163" s="12"/>
      <c r="U163" s="11"/>
      <c r="V163" s="13"/>
      <c r="W163" s="13"/>
      <c r="X163" s="11"/>
      <c r="Y163" s="12">
        <v>1</v>
      </c>
      <c r="Z163" s="12"/>
      <c r="AA163" s="12"/>
      <c r="AB163" s="11"/>
      <c r="AC163" s="13"/>
      <c r="AD163" s="13"/>
      <c r="AE163" s="11"/>
      <c r="AF163" s="12"/>
      <c r="AG163" s="12"/>
      <c r="AH163" s="12"/>
      <c r="AI163" s="11"/>
      <c r="AJ163" s="13"/>
      <c r="AK163" s="379">
        <f t="shared" si="112"/>
        <v>1</v>
      </c>
      <c r="AL163" s="390">
        <v>2159</v>
      </c>
      <c r="AM163" s="19">
        <v>0.1</v>
      </c>
      <c r="AN163" s="20">
        <f t="shared" si="113"/>
        <v>1943.1000000000001</v>
      </c>
      <c r="AO163" s="21">
        <f t="shared" si="114"/>
        <v>1943.1000000000001</v>
      </c>
      <c r="AP163" s="22">
        <f t="shared" si="120"/>
        <v>1554.4800000000002</v>
      </c>
      <c r="AQ163" s="436"/>
      <c r="AR163" s="481">
        <v>6.47</v>
      </c>
      <c r="AS163" s="485">
        <f t="shared" si="118"/>
        <v>6.47</v>
      </c>
      <c r="AT163" s="382">
        <f t="shared" si="119"/>
        <v>240.25965996908815</v>
      </c>
      <c r="AU163" s="433"/>
      <c r="AV163" s="448" t="s">
        <v>183</v>
      </c>
      <c r="AW163" s="449">
        <f t="shared" si="115"/>
        <v>1</v>
      </c>
      <c r="AX163" s="450">
        <f t="shared" si="116"/>
        <v>1554.4800000000002</v>
      </c>
      <c r="AY163" s="570" t="b">
        <f t="shared" si="117"/>
        <v>1</v>
      </c>
    </row>
    <row r="164" spans="1:51" s="558" customFormat="1" ht="13.95" customHeight="1" x14ac:dyDescent="0.3">
      <c r="A164" s="365"/>
      <c r="B164" s="376"/>
      <c r="C164" s="376"/>
      <c r="D164" s="396" t="s">
        <v>197</v>
      </c>
      <c r="E164" s="378" t="s">
        <v>201</v>
      </c>
      <c r="F164" s="378">
        <v>0.76736111111111116</v>
      </c>
      <c r="G164" s="378" t="s">
        <v>328</v>
      </c>
      <c r="H164" s="394">
        <v>30</v>
      </c>
      <c r="I164" s="13"/>
      <c r="J164" s="11"/>
      <c r="K164" s="12"/>
      <c r="L164" s="12"/>
      <c r="M164" s="12"/>
      <c r="N164" s="11"/>
      <c r="O164" s="13"/>
      <c r="P164" s="13"/>
      <c r="Q164" s="11"/>
      <c r="R164" s="12"/>
      <c r="S164" s="12"/>
      <c r="T164" s="12"/>
      <c r="U164" s="11"/>
      <c r="V164" s="13"/>
      <c r="W164" s="13"/>
      <c r="X164" s="11"/>
      <c r="Y164" s="12"/>
      <c r="Z164" s="12"/>
      <c r="AA164" s="12">
        <v>1</v>
      </c>
      <c r="AB164" s="11"/>
      <c r="AC164" s="13"/>
      <c r="AD164" s="13"/>
      <c r="AE164" s="11"/>
      <c r="AF164" s="12"/>
      <c r="AG164" s="12"/>
      <c r="AH164" s="12"/>
      <c r="AI164" s="11"/>
      <c r="AJ164" s="13"/>
      <c r="AK164" s="379">
        <f t="shared" si="112"/>
        <v>1</v>
      </c>
      <c r="AL164" s="390">
        <v>5556</v>
      </c>
      <c r="AM164" s="19">
        <v>0.1</v>
      </c>
      <c r="AN164" s="20">
        <f t="shared" si="113"/>
        <v>5000.4000000000005</v>
      </c>
      <c r="AO164" s="21">
        <f t="shared" si="114"/>
        <v>5000.4000000000005</v>
      </c>
      <c r="AP164" s="22">
        <f t="shared" si="120"/>
        <v>4000.3200000000006</v>
      </c>
      <c r="AQ164" s="436"/>
      <c r="AR164" s="479">
        <v>8.5</v>
      </c>
      <c r="AS164" s="485">
        <f t="shared" si="118"/>
        <v>8.5</v>
      </c>
      <c r="AT164" s="382">
        <f t="shared" si="119"/>
        <v>470.62588235294123</v>
      </c>
      <c r="AU164" s="433"/>
      <c r="AV164" s="448" t="s">
        <v>183</v>
      </c>
      <c r="AW164" s="449">
        <f t="shared" si="115"/>
        <v>1</v>
      </c>
      <c r="AX164" s="450">
        <f t="shared" si="116"/>
        <v>4000.3200000000006</v>
      </c>
      <c r="AY164" s="570" t="b">
        <f t="shared" si="117"/>
        <v>1</v>
      </c>
    </row>
    <row r="165" spans="1:51" s="558" customFormat="1" ht="13.95" hidden="1" customHeight="1" x14ac:dyDescent="0.3">
      <c r="A165" s="365"/>
      <c r="B165" s="376"/>
      <c r="C165" s="376"/>
      <c r="D165" s="389" t="s">
        <v>187</v>
      </c>
      <c r="E165" s="378" t="s">
        <v>201</v>
      </c>
      <c r="F165" s="378">
        <v>0.81944444444444442</v>
      </c>
      <c r="G165" s="378" t="s">
        <v>188</v>
      </c>
      <c r="H165" s="394">
        <v>60</v>
      </c>
      <c r="I165" s="13"/>
      <c r="J165" s="11"/>
      <c r="K165" s="12"/>
      <c r="L165" s="12"/>
      <c r="M165" s="12"/>
      <c r="N165" s="11"/>
      <c r="O165" s="13"/>
      <c r="P165" s="13"/>
      <c r="Q165" s="11"/>
      <c r="R165" s="12"/>
      <c r="S165" s="12"/>
      <c r="T165" s="12"/>
      <c r="U165" s="11"/>
      <c r="V165" s="13"/>
      <c r="W165" s="13"/>
      <c r="X165" s="11"/>
      <c r="Y165" s="12"/>
      <c r="Z165" s="12"/>
      <c r="AA165" s="12"/>
      <c r="AB165" s="11"/>
      <c r="AC165" s="13"/>
      <c r="AD165" s="13"/>
      <c r="AE165" s="11"/>
      <c r="AF165" s="12"/>
      <c r="AG165" s="12"/>
      <c r="AH165" s="12"/>
      <c r="AI165" s="11"/>
      <c r="AJ165" s="13"/>
      <c r="AK165" s="379">
        <f t="shared" si="112"/>
        <v>0</v>
      </c>
      <c r="AL165" s="390">
        <v>12004</v>
      </c>
      <c r="AM165" s="19">
        <v>0.1</v>
      </c>
      <c r="AN165" s="20">
        <f t="shared" si="113"/>
        <v>10803.6</v>
      </c>
      <c r="AO165" s="21">
        <f t="shared" si="114"/>
        <v>0</v>
      </c>
      <c r="AP165" s="22">
        <f t="shared" si="120"/>
        <v>0</v>
      </c>
      <c r="AQ165" s="436"/>
      <c r="AR165" s="479">
        <v>12.33</v>
      </c>
      <c r="AS165" s="485">
        <f t="shared" si="118"/>
        <v>0</v>
      </c>
      <c r="AT165" s="382">
        <f t="shared" si="119"/>
        <v>0</v>
      </c>
      <c r="AU165" s="433"/>
      <c r="AV165" s="448" t="s">
        <v>183</v>
      </c>
      <c r="AW165" s="449">
        <f t="shared" si="115"/>
        <v>0</v>
      </c>
      <c r="AX165" s="450">
        <f t="shared" si="116"/>
        <v>0</v>
      </c>
      <c r="AY165" s="570" t="b">
        <f t="shared" si="117"/>
        <v>1</v>
      </c>
    </row>
    <row r="166" spans="1:51" s="558" customFormat="1" ht="13.95" customHeight="1" x14ac:dyDescent="0.3">
      <c r="A166" s="365"/>
      <c r="B166" s="376"/>
      <c r="C166" s="376"/>
      <c r="D166" s="396" t="s">
        <v>187</v>
      </c>
      <c r="E166" s="378" t="s">
        <v>201</v>
      </c>
      <c r="F166" s="378">
        <v>0.81944444444444442</v>
      </c>
      <c r="G166" s="378" t="s">
        <v>188</v>
      </c>
      <c r="H166" s="394">
        <v>30</v>
      </c>
      <c r="I166" s="13"/>
      <c r="J166" s="11"/>
      <c r="K166" s="12"/>
      <c r="L166" s="12"/>
      <c r="M166" s="12"/>
      <c r="N166" s="11"/>
      <c r="O166" s="13"/>
      <c r="P166" s="13"/>
      <c r="Q166" s="11"/>
      <c r="R166" s="12"/>
      <c r="S166" s="12"/>
      <c r="T166" s="12"/>
      <c r="U166" s="11">
        <v>1</v>
      </c>
      <c r="V166" s="13"/>
      <c r="W166" s="13"/>
      <c r="X166" s="11"/>
      <c r="Y166" s="12"/>
      <c r="Z166" s="12"/>
      <c r="AA166" s="12"/>
      <c r="AB166" s="11">
        <v>1</v>
      </c>
      <c r="AC166" s="13"/>
      <c r="AD166" s="13"/>
      <c r="AE166" s="11"/>
      <c r="AF166" s="12"/>
      <c r="AG166" s="12"/>
      <c r="AH166" s="12"/>
      <c r="AI166" s="11"/>
      <c r="AJ166" s="13"/>
      <c r="AK166" s="379">
        <f t="shared" si="112"/>
        <v>2</v>
      </c>
      <c r="AL166" s="390">
        <v>6002</v>
      </c>
      <c r="AM166" s="19">
        <v>0.1</v>
      </c>
      <c r="AN166" s="20">
        <f t="shared" si="113"/>
        <v>5401.8</v>
      </c>
      <c r="AO166" s="21">
        <f t="shared" si="114"/>
        <v>10803.6</v>
      </c>
      <c r="AP166" s="22">
        <f t="shared" si="120"/>
        <v>8642.880000000001</v>
      </c>
      <c r="AQ166" s="436"/>
      <c r="AR166" s="479">
        <v>12.33</v>
      </c>
      <c r="AS166" s="485">
        <f t="shared" si="118"/>
        <v>24.66</v>
      </c>
      <c r="AT166" s="382">
        <f t="shared" si="119"/>
        <v>350.48175182481754</v>
      </c>
      <c r="AU166" s="433"/>
      <c r="AV166" s="448" t="s">
        <v>183</v>
      </c>
      <c r="AW166" s="449">
        <f t="shared" si="115"/>
        <v>2</v>
      </c>
      <c r="AX166" s="450">
        <f t="shared" si="116"/>
        <v>8642.880000000001</v>
      </c>
      <c r="AY166" s="570" t="b">
        <f t="shared" si="117"/>
        <v>1</v>
      </c>
    </row>
    <row r="167" spans="1:51" s="558" customFormat="1" ht="13.95" customHeight="1" x14ac:dyDescent="0.3">
      <c r="A167" s="365"/>
      <c r="B167" s="376"/>
      <c r="C167" s="376"/>
      <c r="D167" s="377" t="s">
        <v>196</v>
      </c>
      <c r="E167" s="378" t="s">
        <v>201</v>
      </c>
      <c r="F167" s="378">
        <v>0.88888888888888884</v>
      </c>
      <c r="G167" s="378" t="s">
        <v>329</v>
      </c>
      <c r="H167" s="394">
        <v>60</v>
      </c>
      <c r="I167" s="13"/>
      <c r="J167" s="11"/>
      <c r="K167" s="12"/>
      <c r="L167" s="12"/>
      <c r="M167" s="12"/>
      <c r="N167" s="11"/>
      <c r="O167" s="13"/>
      <c r="P167" s="13"/>
      <c r="Q167" s="11"/>
      <c r="R167" s="12"/>
      <c r="S167" s="12"/>
      <c r="T167" s="12">
        <v>1</v>
      </c>
      <c r="U167" s="11"/>
      <c r="V167" s="13"/>
      <c r="W167" s="13"/>
      <c r="X167" s="11"/>
      <c r="Y167" s="12"/>
      <c r="Z167" s="12"/>
      <c r="AA167" s="12"/>
      <c r="AB167" s="11"/>
      <c r="AC167" s="13"/>
      <c r="AD167" s="13"/>
      <c r="AE167" s="11"/>
      <c r="AF167" s="12"/>
      <c r="AG167" s="12"/>
      <c r="AH167" s="12"/>
      <c r="AI167" s="11"/>
      <c r="AJ167" s="13"/>
      <c r="AK167" s="379">
        <f t="shared" si="112"/>
        <v>1</v>
      </c>
      <c r="AL167" s="390">
        <v>21658</v>
      </c>
      <c r="AM167" s="19">
        <v>0.1</v>
      </c>
      <c r="AN167" s="20">
        <f t="shared" si="113"/>
        <v>19492.2</v>
      </c>
      <c r="AO167" s="21">
        <f t="shared" si="114"/>
        <v>19492.2</v>
      </c>
      <c r="AP167" s="22">
        <f t="shared" si="120"/>
        <v>15593.760000000002</v>
      </c>
      <c r="AQ167" s="436"/>
      <c r="AR167" s="481">
        <v>13.4</v>
      </c>
      <c r="AS167" s="485">
        <f t="shared" si="118"/>
        <v>13.4</v>
      </c>
      <c r="AT167" s="382">
        <f t="shared" si="119"/>
        <v>1163.7134328358211</v>
      </c>
      <c r="AU167" s="433"/>
      <c r="AV167" s="448" t="s">
        <v>183</v>
      </c>
      <c r="AW167" s="449">
        <f t="shared" si="115"/>
        <v>1</v>
      </c>
      <c r="AX167" s="450">
        <f t="shared" si="116"/>
        <v>15593.760000000002</v>
      </c>
      <c r="AY167" s="570" t="b">
        <f t="shared" si="117"/>
        <v>1</v>
      </c>
    </row>
    <row r="168" spans="1:51" s="558" customFormat="1" ht="13.95" customHeight="1" x14ac:dyDescent="0.3">
      <c r="A168" s="365"/>
      <c r="B168" s="376"/>
      <c r="C168" s="376"/>
      <c r="D168" s="389" t="s">
        <v>196</v>
      </c>
      <c r="E168" s="378" t="s">
        <v>201</v>
      </c>
      <c r="F168" s="378">
        <v>0.88888888888888884</v>
      </c>
      <c r="G168" s="378" t="s">
        <v>329</v>
      </c>
      <c r="H168" s="394">
        <v>30</v>
      </c>
      <c r="I168" s="13"/>
      <c r="J168" s="11"/>
      <c r="K168" s="12"/>
      <c r="L168" s="12"/>
      <c r="M168" s="12"/>
      <c r="N168" s="11"/>
      <c r="O168" s="13"/>
      <c r="P168" s="13"/>
      <c r="Q168" s="11"/>
      <c r="R168" s="12"/>
      <c r="S168" s="12"/>
      <c r="T168" s="12"/>
      <c r="U168" s="11"/>
      <c r="V168" s="13"/>
      <c r="W168" s="13"/>
      <c r="X168" s="11"/>
      <c r="Y168" s="12"/>
      <c r="Z168" s="12"/>
      <c r="AA168" s="12"/>
      <c r="AB168" s="11"/>
      <c r="AC168" s="13"/>
      <c r="AD168" s="13"/>
      <c r="AE168" s="11"/>
      <c r="AF168" s="12">
        <v>1</v>
      </c>
      <c r="AG168" s="12"/>
      <c r="AH168" s="12"/>
      <c r="AI168" s="11"/>
      <c r="AJ168" s="13"/>
      <c r="AK168" s="379">
        <f t="shared" si="112"/>
        <v>1</v>
      </c>
      <c r="AL168" s="390">
        <v>10829</v>
      </c>
      <c r="AM168" s="19">
        <v>0.1</v>
      </c>
      <c r="AN168" s="20">
        <f t="shared" si="113"/>
        <v>9746.1</v>
      </c>
      <c r="AO168" s="21">
        <f t="shared" si="114"/>
        <v>9746.1</v>
      </c>
      <c r="AP168" s="22">
        <f t="shared" si="120"/>
        <v>7796.880000000001</v>
      </c>
      <c r="AQ168" s="436"/>
      <c r="AR168" s="481">
        <v>13.4</v>
      </c>
      <c r="AS168" s="485">
        <f t="shared" si="118"/>
        <v>13.4</v>
      </c>
      <c r="AT168" s="382">
        <f t="shared" si="119"/>
        <v>581.85671641791055</v>
      </c>
      <c r="AU168" s="433"/>
      <c r="AV168" s="448" t="s">
        <v>183</v>
      </c>
      <c r="AW168" s="449">
        <f t="shared" si="115"/>
        <v>1</v>
      </c>
      <c r="AX168" s="450">
        <f t="shared" si="116"/>
        <v>7796.880000000001</v>
      </c>
      <c r="AY168" s="570" t="b">
        <f t="shared" si="117"/>
        <v>1</v>
      </c>
    </row>
    <row r="169" spans="1:51" s="558" customFormat="1" ht="13.95" customHeight="1" x14ac:dyDescent="0.3">
      <c r="A169" s="365"/>
      <c r="B169" s="376"/>
      <c r="C169" s="376"/>
      <c r="D169" s="396" t="s">
        <v>320</v>
      </c>
      <c r="E169" s="378" t="s">
        <v>201</v>
      </c>
      <c r="F169" s="378">
        <v>0.71180555555555558</v>
      </c>
      <c r="G169" s="378" t="s">
        <v>330</v>
      </c>
      <c r="H169" s="394">
        <v>30</v>
      </c>
      <c r="I169" s="13"/>
      <c r="J169" s="11"/>
      <c r="K169" s="12"/>
      <c r="L169" s="12"/>
      <c r="M169" s="12"/>
      <c r="N169" s="11"/>
      <c r="O169" s="13"/>
      <c r="P169" s="13"/>
      <c r="Q169" s="11"/>
      <c r="R169" s="12"/>
      <c r="S169" s="12"/>
      <c r="T169" s="12"/>
      <c r="U169" s="11"/>
      <c r="V169" s="13"/>
      <c r="W169" s="13"/>
      <c r="X169" s="11">
        <v>1</v>
      </c>
      <c r="Y169" s="12"/>
      <c r="Z169" s="12"/>
      <c r="AA169" s="12"/>
      <c r="AB169" s="11"/>
      <c r="AC169" s="13"/>
      <c r="AD169" s="13"/>
      <c r="AE169" s="11"/>
      <c r="AF169" s="12"/>
      <c r="AG169" s="12">
        <v>1</v>
      </c>
      <c r="AH169" s="12"/>
      <c r="AI169" s="11"/>
      <c r="AJ169" s="13"/>
      <c r="AK169" s="379">
        <f t="shared" si="112"/>
        <v>2</v>
      </c>
      <c r="AL169" s="390">
        <v>2655</v>
      </c>
      <c r="AM169" s="19">
        <v>0.1</v>
      </c>
      <c r="AN169" s="20">
        <f t="shared" si="113"/>
        <v>2389.5</v>
      </c>
      <c r="AO169" s="21">
        <f t="shared" si="114"/>
        <v>4779</v>
      </c>
      <c r="AP169" s="22">
        <f t="shared" si="120"/>
        <v>3823.2000000000003</v>
      </c>
      <c r="AQ169" s="436"/>
      <c r="AR169" s="479">
        <v>9.2100000000000009</v>
      </c>
      <c r="AS169" s="485">
        <f t="shared" si="118"/>
        <v>18.420000000000002</v>
      </c>
      <c r="AT169" s="382">
        <f t="shared" si="119"/>
        <v>207.55700325732897</v>
      </c>
      <c r="AU169" s="433"/>
      <c r="AV169" s="448" t="s">
        <v>183</v>
      </c>
      <c r="AW169" s="449">
        <f t="shared" si="115"/>
        <v>2</v>
      </c>
      <c r="AX169" s="450">
        <f t="shared" si="116"/>
        <v>3823.2000000000003</v>
      </c>
      <c r="AY169" s="570" t="b">
        <f t="shared" si="117"/>
        <v>1</v>
      </c>
    </row>
    <row r="170" spans="1:51" s="558" customFormat="1" ht="13.95" customHeight="1" x14ac:dyDescent="0.3">
      <c r="A170" s="365"/>
      <c r="B170" s="376"/>
      <c r="C170" s="376"/>
      <c r="D170" s="396"/>
      <c r="E170" s="378"/>
      <c r="F170" s="378"/>
      <c r="G170" s="378"/>
      <c r="H170" s="394"/>
      <c r="I170" s="13"/>
      <c r="J170" s="11"/>
      <c r="K170" s="12"/>
      <c r="L170" s="12"/>
      <c r="M170" s="12"/>
      <c r="N170" s="11"/>
      <c r="O170" s="13"/>
      <c r="P170" s="13"/>
      <c r="Q170" s="11"/>
      <c r="R170" s="12"/>
      <c r="S170" s="12"/>
      <c r="T170" s="12"/>
      <c r="U170" s="11"/>
      <c r="V170" s="13"/>
      <c r="W170" s="13"/>
      <c r="X170" s="11"/>
      <c r="Y170" s="12"/>
      <c r="Z170" s="12"/>
      <c r="AA170" s="12"/>
      <c r="AB170" s="11"/>
      <c r="AC170" s="13"/>
      <c r="AD170" s="13"/>
      <c r="AE170" s="11"/>
      <c r="AF170" s="12"/>
      <c r="AG170" s="12"/>
      <c r="AH170" s="12"/>
      <c r="AI170" s="11"/>
      <c r="AJ170" s="13"/>
      <c r="AK170" s="504"/>
      <c r="AL170" s="505"/>
      <c r="AM170" s="506"/>
      <c r="AN170" s="337"/>
      <c r="AO170" s="170"/>
      <c r="AP170" s="170"/>
      <c r="AQ170" s="436"/>
      <c r="AR170" s="479"/>
      <c r="AS170" s="485">
        <f t="shared" ref="AS170:AS184" si="121">AR170*AK170</f>
        <v>0</v>
      </c>
      <c r="AT170" s="382">
        <f t="shared" ref="AT170:AT184" si="122">IFERROR(AP170/AS170,0)</f>
        <v>0</v>
      </c>
      <c r="AU170" s="433"/>
      <c r="AV170" s="451" t="s">
        <v>142</v>
      </c>
      <c r="AW170" s="425">
        <f>SUM(AW153:AW169)</f>
        <v>19</v>
      </c>
      <c r="AX170" s="426">
        <f>SUM(AX153:AX169)</f>
        <v>76330.8</v>
      </c>
      <c r="AY170" s="570" t="b">
        <f>SUM(AP153:AP169)=AX170</f>
        <v>1</v>
      </c>
    </row>
    <row r="171" spans="1:51" s="558" customFormat="1" ht="13.95" hidden="1" customHeight="1" x14ac:dyDescent="0.3">
      <c r="A171" s="365"/>
      <c r="B171" s="376"/>
      <c r="C171" s="376" t="s">
        <v>232</v>
      </c>
      <c r="D171" s="554" t="s">
        <v>340</v>
      </c>
      <c r="E171" s="378" t="s">
        <v>201</v>
      </c>
      <c r="F171" s="507" t="s">
        <v>341</v>
      </c>
      <c r="G171" s="508" t="s">
        <v>342</v>
      </c>
      <c r="H171" s="394">
        <v>60</v>
      </c>
      <c r="I171" s="13"/>
      <c r="J171" s="11"/>
      <c r="K171" s="12"/>
      <c r="L171" s="12"/>
      <c r="M171" s="12"/>
      <c r="N171" s="11"/>
      <c r="O171" s="13"/>
      <c r="P171" s="13"/>
      <c r="Q171" s="11"/>
      <c r="R171" s="12"/>
      <c r="S171" s="12"/>
      <c r="T171" s="12"/>
      <c r="U171" s="12"/>
      <c r="V171" s="13"/>
      <c r="W171" s="13"/>
      <c r="X171" s="11"/>
      <c r="Y171" s="12"/>
      <c r="Z171" s="12"/>
      <c r="AA171" s="12"/>
      <c r="AB171" s="11"/>
      <c r="AC171" s="13"/>
      <c r="AD171" s="13"/>
      <c r="AE171" s="11"/>
      <c r="AF171" s="12"/>
      <c r="AG171" s="12"/>
      <c r="AH171" s="12"/>
      <c r="AI171" s="11"/>
      <c r="AJ171" s="13"/>
      <c r="AK171" s="379">
        <f t="shared" ref="AK171:AK184" si="123">SUM(I171:AJ171)</f>
        <v>0</v>
      </c>
      <c r="AL171" s="390">
        <v>10030</v>
      </c>
      <c r="AM171" s="19">
        <v>0.75</v>
      </c>
      <c r="AN171" s="20">
        <f t="shared" ref="AN171:AN184" si="124">AL171*(1-AM171)</f>
        <v>2507.5</v>
      </c>
      <c r="AO171" s="21">
        <f t="shared" ref="AO171:AO184" si="125">AN171*AK171</f>
        <v>0</v>
      </c>
      <c r="AP171" s="22">
        <f t="shared" ref="AP171:AP184" si="126">AO171*0.8</f>
        <v>0</v>
      </c>
      <c r="AQ171" s="436"/>
      <c r="AR171" s="479">
        <v>1.38</v>
      </c>
      <c r="AS171" s="485">
        <f t="shared" si="121"/>
        <v>0</v>
      </c>
      <c r="AT171" s="382">
        <f t="shared" si="122"/>
        <v>0</v>
      </c>
      <c r="AU171" s="433"/>
      <c r="AV171" s="448" t="s">
        <v>232</v>
      </c>
      <c r="AW171" s="449">
        <f t="shared" ref="AW171:AW184" si="127">SUM(I171:AJ171)</f>
        <v>0</v>
      </c>
      <c r="AX171" s="450">
        <f t="shared" ref="AX171:AX184" si="128">AW171*AN171*0.8</f>
        <v>0</v>
      </c>
      <c r="AY171" s="570" t="b">
        <f t="shared" si="117"/>
        <v>1</v>
      </c>
    </row>
    <row r="172" spans="1:51" s="558" customFormat="1" ht="13.95" hidden="1" customHeight="1" x14ac:dyDescent="0.3">
      <c r="A172" s="365"/>
      <c r="B172" s="376"/>
      <c r="C172" s="376"/>
      <c r="D172" s="554" t="s">
        <v>340</v>
      </c>
      <c r="E172" s="378" t="s">
        <v>201</v>
      </c>
      <c r="F172" s="507" t="s">
        <v>341</v>
      </c>
      <c r="G172" s="508" t="s">
        <v>342</v>
      </c>
      <c r="H172" s="394">
        <v>30</v>
      </c>
      <c r="I172" s="13"/>
      <c r="J172" s="11"/>
      <c r="K172" s="12"/>
      <c r="L172" s="12"/>
      <c r="M172" s="12"/>
      <c r="N172" s="11"/>
      <c r="O172" s="13"/>
      <c r="P172" s="13"/>
      <c r="Q172" s="11"/>
      <c r="R172" s="12"/>
      <c r="S172" s="12"/>
      <c r="T172" s="12"/>
      <c r="U172" s="11"/>
      <c r="V172" s="13"/>
      <c r="W172" s="13"/>
      <c r="X172" s="11"/>
      <c r="Y172" s="12"/>
      <c r="Z172" s="12"/>
      <c r="AA172" s="12"/>
      <c r="AB172" s="11"/>
      <c r="AC172" s="13"/>
      <c r="AD172" s="13"/>
      <c r="AE172" s="11"/>
      <c r="AF172" s="12"/>
      <c r="AG172" s="12"/>
      <c r="AH172" s="12"/>
      <c r="AI172" s="11"/>
      <c r="AJ172" s="13"/>
      <c r="AK172" s="379">
        <f t="shared" si="123"/>
        <v>0</v>
      </c>
      <c r="AL172" s="390">
        <v>5015</v>
      </c>
      <c r="AM172" s="19">
        <v>0.75</v>
      </c>
      <c r="AN172" s="20">
        <f t="shared" si="124"/>
        <v>1253.75</v>
      </c>
      <c r="AO172" s="21">
        <f t="shared" si="125"/>
        <v>0</v>
      </c>
      <c r="AP172" s="22">
        <f t="shared" si="126"/>
        <v>0</v>
      </c>
      <c r="AQ172" s="436"/>
      <c r="AR172" s="479">
        <v>1.38</v>
      </c>
      <c r="AS172" s="485">
        <f t="shared" si="121"/>
        <v>0</v>
      </c>
      <c r="AT172" s="382">
        <f t="shared" si="122"/>
        <v>0</v>
      </c>
      <c r="AU172" s="433"/>
      <c r="AV172" s="448" t="s">
        <v>232</v>
      </c>
      <c r="AW172" s="449">
        <f t="shared" si="127"/>
        <v>0</v>
      </c>
      <c r="AX172" s="450">
        <f t="shared" si="128"/>
        <v>0</v>
      </c>
      <c r="AY172" s="570" t="b">
        <f t="shared" si="117"/>
        <v>1</v>
      </c>
    </row>
    <row r="173" spans="1:51" s="558" customFormat="1" ht="13.95" hidden="1" customHeight="1" x14ac:dyDescent="0.3">
      <c r="A173" s="365"/>
      <c r="B173" s="376"/>
      <c r="C173" s="376"/>
      <c r="D173" s="396" t="s">
        <v>234</v>
      </c>
      <c r="E173" s="378" t="s">
        <v>203</v>
      </c>
      <c r="F173" s="378">
        <v>0.46875</v>
      </c>
      <c r="G173" s="378" t="s">
        <v>242</v>
      </c>
      <c r="H173" s="394">
        <v>60</v>
      </c>
      <c r="I173" s="13"/>
      <c r="J173" s="11"/>
      <c r="K173" s="12"/>
      <c r="L173" s="12"/>
      <c r="M173" s="12"/>
      <c r="N173" s="11"/>
      <c r="O173" s="13"/>
      <c r="P173" s="13"/>
      <c r="Q173" s="11"/>
      <c r="R173" s="12"/>
      <c r="S173" s="12"/>
      <c r="T173" s="12"/>
      <c r="U173" s="11"/>
      <c r="V173" s="13"/>
      <c r="W173" s="13"/>
      <c r="X173" s="11"/>
      <c r="Y173" s="12"/>
      <c r="Z173" s="12"/>
      <c r="AA173" s="12"/>
      <c r="AB173" s="11"/>
      <c r="AC173" s="13"/>
      <c r="AD173" s="13"/>
      <c r="AE173" s="11"/>
      <c r="AF173" s="12"/>
      <c r="AG173" s="12"/>
      <c r="AH173" s="12"/>
      <c r="AI173" s="11"/>
      <c r="AJ173" s="13"/>
      <c r="AK173" s="379">
        <f t="shared" si="123"/>
        <v>0</v>
      </c>
      <c r="AL173" s="390">
        <v>13388</v>
      </c>
      <c r="AM173" s="19">
        <v>0.75</v>
      </c>
      <c r="AN173" s="20">
        <f t="shared" si="124"/>
        <v>3347</v>
      </c>
      <c r="AO173" s="21">
        <f t="shared" si="125"/>
        <v>0</v>
      </c>
      <c r="AP173" s="22">
        <f t="shared" si="126"/>
        <v>0</v>
      </c>
      <c r="AQ173" s="436"/>
      <c r="AR173" s="479">
        <v>3</v>
      </c>
      <c r="AS173" s="485">
        <f t="shared" si="121"/>
        <v>0</v>
      </c>
      <c r="AT173" s="382">
        <f t="shared" si="122"/>
        <v>0</v>
      </c>
      <c r="AU173" s="433"/>
      <c r="AV173" s="448" t="s">
        <v>232</v>
      </c>
      <c r="AW173" s="449">
        <f t="shared" si="127"/>
        <v>0</v>
      </c>
      <c r="AX173" s="450">
        <f t="shared" si="128"/>
        <v>0</v>
      </c>
      <c r="AY173" s="570" t="b">
        <f t="shared" si="117"/>
        <v>1</v>
      </c>
    </row>
    <row r="174" spans="1:51" s="558" customFormat="1" ht="13.95" customHeight="1" x14ac:dyDescent="0.3">
      <c r="A174" s="365"/>
      <c r="B174" s="376"/>
      <c r="C174" s="376" t="s">
        <v>232</v>
      </c>
      <c r="D174" s="377" t="s">
        <v>236</v>
      </c>
      <c r="E174" s="378" t="s">
        <v>201</v>
      </c>
      <c r="F174" s="507" t="s">
        <v>404</v>
      </c>
      <c r="G174" s="508" t="s">
        <v>341</v>
      </c>
      <c r="H174" s="394">
        <v>60</v>
      </c>
      <c r="I174" s="13"/>
      <c r="J174" s="11"/>
      <c r="K174" s="12"/>
      <c r="L174" s="12"/>
      <c r="M174" s="12"/>
      <c r="N174" s="11"/>
      <c r="O174" s="13"/>
      <c r="P174" s="13"/>
      <c r="Q174" s="11"/>
      <c r="R174" s="12"/>
      <c r="S174" s="12"/>
      <c r="T174" s="12"/>
      <c r="U174" s="12">
        <v>1</v>
      </c>
      <c r="V174" s="13"/>
      <c r="W174" s="13"/>
      <c r="X174" s="11"/>
      <c r="Y174" s="12"/>
      <c r="Z174" s="12"/>
      <c r="AA174" s="12"/>
      <c r="AB174" s="11"/>
      <c r="AC174" s="13"/>
      <c r="AD174" s="13"/>
      <c r="AE174" s="11"/>
      <c r="AF174" s="12"/>
      <c r="AG174" s="12"/>
      <c r="AH174" s="12"/>
      <c r="AI174" s="11"/>
      <c r="AJ174" s="13"/>
      <c r="AK174" s="379">
        <f t="shared" ref="AK174:AK175" si="129">SUM(I174:AJ174)</f>
        <v>1</v>
      </c>
      <c r="AL174" s="390">
        <v>10030</v>
      </c>
      <c r="AM174" s="19">
        <v>0.75</v>
      </c>
      <c r="AN174" s="20">
        <f t="shared" ref="AN174:AN175" si="130">AL174*(1-AM174)</f>
        <v>2507.5</v>
      </c>
      <c r="AO174" s="21">
        <f t="shared" ref="AO174:AO175" si="131">AN174*AK174</f>
        <v>2507.5</v>
      </c>
      <c r="AP174" s="22">
        <f t="shared" ref="AP174:AP175" si="132">AO174*0.8</f>
        <v>2006</v>
      </c>
      <c r="AQ174" s="436"/>
      <c r="AR174" s="479">
        <v>1.38</v>
      </c>
      <c r="AS174" s="485">
        <f t="shared" ref="AS174:AS175" si="133">AR174*AK174</f>
        <v>1.38</v>
      </c>
      <c r="AT174" s="382">
        <f t="shared" ref="AT174:AT175" si="134">IFERROR(AP174/AS174,0)</f>
        <v>1453.6231884057972</v>
      </c>
      <c r="AU174" s="433"/>
      <c r="AV174" s="448" t="s">
        <v>232</v>
      </c>
      <c r="AW174" s="449">
        <f t="shared" ref="AW174:AW175" si="135">SUM(I174:AJ174)</f>
        <v>1</v>
      </c>
      <c r="AX174" s="450">
        <f t="shared" ref="AX174:AX175" si="136">AW174*AN174*0.8</f>
        <v>2006</v>
      </c>
      <c r="AY174" s="570" t="b">
        <f t="shared" ref="AY174:AY175" si="137">SUM(AX174)=AP174</f>
        <v>1</v>
      </c>
    </row>
    <row r="175" spans="1:51" s="558" customFormat="1" ht="13.95" customHeight="1" x14ac:dyDescent="0.3">
      <c r="A175" s="365"/>
      <c r="B175" s="376"/>
      <c r="C175" s="376"/>
      <c r="D175" s="377" t="s">
        <v>236</v>
      </c>
      <c r="E175" s="378" t="s">
        <v>201</v>
      </c>
      <c r="F175" s="507" t="s">
        <v>404</v>
      </c>
      <c r="G175" s="508" t="s">
        <v>341</v>
      </c>
      <c r="H175" s="394">
        <v>30</v>
      </c>
      <c r="I175" s="13"/>
      <c r="J175" s="11"/>
      <c r="K175" s="12"/>
      <c r="L175" s="12"/>
      <c r="M175" s="12"/>
      <c r="N175" s="11"/>
      <c r="O175" s="13"/>
      <c r="P175" s="13"/>
      <c r="Q175" s="11"/>
      <c r="R175" s="12"/>
      <c r="S175" s="12"/>
      <c r="T175" s="12"/>
      <c r="U175" s="11"/>
      <c r="V175" s="13"/>
      <c r="W175" s="13"/>
      <c r="X175" s="11">
        <v>1</v>
      </c>
      <c r="Y175" s="12"/>
      <c r="Z175" s="12"/>
      <c r="AA175" s="12"/>
      <c r="AB175" s="11"/>
      <c r="AC175" s="13"/>
      <c r="AD175" s="13"/>
      <c r="AE175" s="11">
        <v>1</v>
      </c>
      <c r="AF175" s="12"/>
      <c r="AG175" s="12"/>
      <c r="AH175" s="12"/>
      <c r="AI175" s="11"/>
      <c r="AJ175" s="13"/>
      <c r="AK175" s="379">
        <f t="shared" si="129"/>
        <v>2</v>
      </c>
      <c r="AL175" s="390">
        <v>5015</v>
      </c>
      <c r="AM175" s="19">
        <v>0.75</v>
      </c>
      <c r="AN175" s="20">
        <f t="shared" si="130"/>
        <v>1253.75</v>
      </c>
      <c r="AO175" s="21">
        <f t="shared" si="131"/>
        <v>2507.5</v>
      </c>
      <c r="AP175" s="22">
        <f t="shared" si="132"/>
        <v>2006</v>
      </c>
      <c r="AQ175" s="436"/>
      <c r="AR175" s="479">
        <v>1.38</v>
      </c>
      <c r="AS175" s="485">
        <f t="shared" si="133"/>
        <v>2.76</v>
      </c>
      <c r="AT175" s="382">
        <f t="shared" si="134"/>
        <v>726.81159420289862</v>
      </c>
      <c r="AU175" s="433"/>
      <c r="AV175" s="448" t="s">
        <v>232</v>
      </c>
      <c r="AW175" s="449">
        <f t="shared" si="135"/>
        <v>2</v>
      </c>
      <c r="AX175" s="450">
        <f t="shared" si="136"/>
        <v>2006</v>
      </c>
      <c r="AY175" s="570" t="b">
        <f t="shared" si="137"/>
        <v>1</v>
      </c>
    </row>
    <row r="176" spans="1:51" s="558" customFormat="1" ht="13.95" customHeight="1" x14ac:dyDescent="0.3">
      <c r="A176" s="365"/>
      <c r="B176" s="376"/>
      <c r="C176" s="376"/>
      <c r="D176" s="377" t="s">
        <v>234</v>
      </c>
      <c r="E176" s="378" t="s">
        <v>203</v>
      </c>
      <c r="F176" s="378">
        <v>0.46875</v>
      </c>
      <c r="G176" s="378" t="s">
        <v>242</v>
      </c>
      <c r="H176" s="394">
        <v>30</v>
      </c>
      <c r="I176" s="13"/>
      <c r="J176" s="11"/>
      <c r="K176" s="12"/>
      <c r="L176" s="12"/>
      <c r="M176" s="12"/>
      <c r="N176" s="11"/>
      <c r="O176" s="13"/>
      <c r="P176" s="13"/>
      <c r="Q176" s="11"/>
      <c r="R176" s="12"/>
      <c r="S176" s="12"/>
      <c r="T176" s="12"/>
      <c r="U176" s="11"/>
      <c r="V176" s="13"/>
      <c r="W176" s="13"/>
      <c r="X176" s="11"/>
      <c r="Y176" s="12"/>
      <c r="Z176" s="12"/>
      <c r="AA176" s="12"/>
      <c r="AB176" s="11"/>
      <c r="AC176" s="13"/>
      <c r="AD176" s="13">
        <v>1</v>
      </c>
      <c r="AE176" s="11"/>
      <c r="AF176" s="12"/>
      <c r="AG176" s="12"/>
      <c r="AH176" s="12"/>
      <c r="AI176" s="11"/>
      <c r="AJ176" s="13"/>
      <c r="AK176" s="379">
        <f t="shared" si="123"/>
        <v>1</v>
      </c>
      <c r="AL176" s="390">
        <v>6694</v>
      </c>
      <c r="AM176" s="19">
        <v>0.75</v>
      </c>
      <c r="AN176" s="20">
        <f t="shared" si="124"/>
        <v>1673.5</v>
      </c>
      <c r="AO176" s="21">
        <f t="shared" si="125"/>
        <v>1673.5</v>
      </c>
      <c r="AP176" s="22">
        <f t="shared" si="126"/>
        <v>1338.8000000000002</v>
      </c>
      <c r="AQ176" s="436"/>
      <c r="AR176" s="479">
        <v>3</v>
      </c>
      <c r="AS176" s="485">
        <f t="shared" si="121"/>
        <v>3</v>
      </c>
      <c r="AT176" s="382">
        <f t="shared" si="122"/>
        <v>446.26666666666671</v>
      </c>
      <c r="AU176" s="433"/>
      <c r="AV176" s="448" t="s">
        <v>232</v>
      </c>
      <c r="AW176" s="449">
        <f t="shared" si="127"/>
        <v>1</v>
      </c>
      <c r="AX176" s="450">
        <f t="shared" si="128"/>
        <v>1338.8000000000002</v>
      </c>
      <c r="AY176" s="570" t="b">
        <f t="shared" si="117"/>
        <v>1</v>
      </c>
    </row>
    <row r="177" spans="1:51" s="558" customFormat="1" ht="13.95" customHeight="1" x14ac:dyDescent="0.3">
      <c r="A177" s="365"/>
      <c r="B177" s="376"/>
      <c r="C177" s="376"/>
      <c r="D177" s="389" t="s">
        <v>336</v>
      </c>
      <c r="E177" s="378" t="s">
        <v>201</v>
      </c>
      <c r="F177" s="378">
        <v>0.875</v>
      </c>
      <c r="G177" s="378" t="s">
        <v>338</v>
      </c>
      <c r="H177" s="394">
        <v>60</v>
      </c>
      <c r="I177" s="13"/>
      <c r="J177" s="11"/>
      <c r="K177" s="12"/>
      <c r="L177" s="12"/>
      <c r="M177" s="12"/>
      <c r="N177" s="11"/>
      <c r="O177" s="13"/>
      <c r="P177" s="13"/>
      <c r="Q177" s="11"/>
      <c r="R177" s="12"/>
      <c r="S177" s="12"/>
      <c r="T177" s="12">
        <v>1</v>
      </c>
      <c r="U177" s="11"/>
      <c r="V177" s="13"/>
      <c r="W177" s="13"/>
      <c r="X177" s="11"/>
      <c r="Y177" s="12"/>
      <c r="Z177" s="12"/>
      <c r="AA177" s="12"/>
      <c r="AB177" s="11"/>
      <c r="AC177" s="13"/>
      <c r="AD177" s="13"/>
      <c r="AE177" s="11"/>
      <c r="AF177" s="12"/>
      <c r="AG177" s="12"/>
      <c r="AH177" s="12"/>
      <c r="AI177" s="11"/>
      <c r="AJ177" s="13"/>
      <c r="AK177" s="379">
        <f t="shared" si="123"/>
        <v>1</v>
      </c>
      <c r="AL177" s="390">
        <v>12784</v>
      </c>
      <c r="AM177" s="19">
        <v>0.75</v>
      </c>
      <c r="AN177" s="20">
        <f t="shared" si="124"/>
        <v>3196</v>
      </c>
      <c r="AO177" s="21">
        <f t="shared" si="125"/>
        <v>3196</v>
      </c>
      <c r="AP177" s="22">
        <f t="shared" si="126"/>
        <v>2556.8000000000002</v>
      </c>
      <c r="AQ177" s="436"/>
      <c r="AR177" s="479">
        <v>2.1</v>
      </c>
      <c r="AS177" s="485">
        <f t="shared" si="121"/>
        <v>2.1</v>
      </c>
      <c r="AT177" s="382">
        <f t="shared" si="122"/>
        <v>1217.5238095238096</v>
      </c>
      <c r="AU177" s="433"/>
      <c r="AV177" s="448" t="s">
        <v>232</v>
      </c>
      <c r="AW177" s="449">
        <f t="shared" si="127"/>
        <v>1</v>
      </c>
      <c r="AX177" s="450">
        <f t="shared" si="128"/>
        <v>2556.8000000000002</v>
      </c>
      <c r="AY177" s="570" t="b">
        <f t="shared" si="117"/>
        <v>1</v>
      </c>
    </row>
    <row r="178" spans="1:51" s="558" customFormat="1" ht="13.95" customHeight="1" x14ac:dyDescent="0.3">
      <c r="A178" s="365"/>
      <c r="B178" s="376"/>
      <c r="C178" s="376"/>
      <c r="D178" s="396" t="s">
        <v>336</v>
      </c>
      <c r="E178" s="378" t="s">
        <v>201</v>
      </c>
      <c r="F178" s="378">
        <v>0.875</v>
      </c>
      <c r="G178" s="378" t="s">
        <v>338</v>
      </c>
      <c r="H178" s="394">
        <v>30</v>
      </c>
      <c r="I178" s="13"/>
      <c r="J178" s="11"/>
      <c r="K178" s="12"/>
      <c r="L178" s="12"/>
      <c r="M178" s="12"/>
      <c r="N178" s="11"/>
      <c r="O178" s="13"/>
      <c r="P178" s="13"/>
      <c r="Q178" s="11"/>
      <c r="R178" s="12"/>
      <c r="S178" s="12"/>
      <c r="T178" s="12"/>
      <c r="U178" s="11"/>
      <c r="V178" s="13"/>
      <c r="W178" s="13"/>
      <c r="X178" s="11"/>
      <c r="Y178" s="12"/>
      <c r="Z178" s="12"/>
      <c r="AA178" s="12">
        <v>1</v>
      </c>
      <c r="AB178" s="11"/>
      <c r="AC178" s="13"/>
      <c r="AD178" s="13"/>
      <c r="AE178" s="11"/>
      <c r="AF178" s="12"/>
      <c r="AG178" s="12"/>
      <c r="AH178" s="12"/>
      <c r="AI178" s="11"/>
      <c r="AJ178" s="13"/>
      <c r="AK178" s="379">
        <f t="shared" si="123"/>
        <v>1</v>
      </c>
      <c r="AL178" s="390">
        <v>6392</v>
      </c>
      <c r="AM178" s="19">
        <v>0.75</v>
      </c>
      <c r="AN178" s="20">
        <f t="shared" si="124"/>
        <v>1598</v>
      </c>
      <c r="AO178" s="21">
        <f t="shared" si="125"/>
        <v>1598</v>
      </c>
      <c r="AP178" s="22">
        <f t="shared" si="126"/>
        <v>1278.4000000000001</v>
      </c>
      <c r="AQ178" s="436"/>
      <c r="AR178" s="479">
        <v>2.1</v>
      </c>
      <c r="AS178" s="485">
        <f t="shared" si="121"/>
        <v>2.1</v>
      </c>
      <c r="AT178" s="382">
        <f t="shared" si="122"/>
        <v>608.76190476190482</v>
      </c>
      <c r="AU178" s="433"/>
      <c r="AV178" s="448" t="s">
        <v>232</v>
      </c>
      <c r="AW178" s="449">
        <f t="shared" si="127"/>
        <v>1</v>
      </c>
      <c r="AX178" s="450">
        <f t="shared" si="128"/>
        <v>1278.4000000000001</v>
      </c>
      <c r="AY178" s="570" t="b">
        <f t="shared" si="117"/>
        <v>1</v>
      </c>
    </row>
    <row r="179" spans="1:51" s="558" customFormat="1" ht="13.95" customHeight="1" x14ac:dyDescent="0.3">
      <c r="A179" s="365"/>
      <c r="B179" s="376"/>
      <c r="C179" s="376"/>
      <c r="D179" s="396" t="s">
        <v>237</v>
      </c>
      <c r="E179" s="378" t="s">
        <v>201</v>
      </c>
      <c r="F179" s="378">
        <v>0.60416666666666663</v>
      </c>
      <c r="G179" s="378" t="s">
        <v>245</v>
      </c>
      <c r="H179" s="394">
        <v>30</v>
      </c>
      <c r="I179" s="13"/>
      <c r="J179" s="11"/>
      <c r="K179" s="12"/>
      <c r="L179" s="12"/>
      <c r="M179" s="12"/>
      <c r="N179" s="11"/>
      <c r="O179" s="13"/>
      <c r="P179" s="13"/>
      <c r="Q179" s="11"/>
      <c r="R179" s="12"/>
      <c r="S179" s="12"/>
      <c r="T179" s="12"/>
      <c r="U179" s="11"/>
      <c r="V179" s="13"/>
      <c r="W179" s="13"/>
      <c r="X179" s="11"/>
      <c r="Y179" s="12">
        <v>1</v>
      </c>
      <c r="Z179" s="12"/>
      <c r="AA179" s="12"/>
      <c r="AB179" s="11"/>
      <c r="AC179" s="13"/>
      <c r="AD179" s="13"/>
      <c r="AE179" s="11"/>
      <c r="AF179" s="12">
        <v>1</v>
      </c>
      <c r="AG179" s="12"/>
      <c r="AH179" s="12"/>
      <c r="AI179" s="11"/>
      <c r="AJ179" s="13"/>
      <c r="AK179" s="379">
        <f t="shared" si="123"/>
        <v>2</v>
      </c>
      <c r="AL179" s="390">
        <v>4697</v>
      </c>
      <c r="AM179" s="19">
        <v>0.75</v>
      </c>
      <c r="AN179" s="20">
        <f t="shared" si="124"/>
        <v>1174.25</v>
      </c>
      <c r="AO179" s="21">
        <f t="shared" si="125"/>
        <v>2348.5</v>
      </c>
      <c r="AP179" s="22">
        <f t="shared" si="126"/>
        <v>1878.8000000000002</v>
      </c>
      <c r="AQ179" s="436"/>
      <c r="AR179" s="479">
        <v>1.6</v>
      </c>
      <c r="AS179" s="485">
        <f t="shared" si="121"/>
        <v>3.2</v>
      </c>
      <c r="AT179" s="382">
        <f t="shared" si="122"/>
        <v>587.125</v>
      </c>
      <c r="AU179" s="433"/>
      <c r="AV179" s="448" t="s">
        <v>232</v>
      </c>
      <c r="AW179" s="449">
        <f t="shared" si="127"/>
        <v>2</v>
      </c>
      <c r="AX179" s="450">
        <f t="shared" si="128"/>
        <v>1878.8000000000002</v>
      </c>
      <c r="AY179" s="570" t="b">
        <f t="shared" si="117"/>
        <v>1</v>
      </c>
    </row>
    <row r="180" spans="1:51" s="558" customFormat="1" ht="13.95" customHeight="1" x14ac:dyDescent="0.3">
      <c r="A180" s="365"/>
      <c r="B180" s="376"/>
      <c r="C180" s="376"/>
      <c r="D180" s="396" t="s">
        <v>238</v>
      </c>
      <c r="E180" s="378" t="s">
        <v>201</v>
      </c>
      <c r="F180" s="378">
        <v>0.35416666666666669</v>
      </c>
      <c r="G180" s="378" t="s">
        <v>212</v>
      </c>
      <c r="H180" s="394">
        <v>30</v>
      </c>
      <c r="I180" s="13"/>
      <c r="J180" s="11"/>
      <c r="K180" s="12"/>
      <c r="L180" s="12"/>
      <c r="M180" s="12"/>
      <c r="N180" s="11"/>
      <c r="O180" s="13"/>
      <c r="P180" s="13"/>
      <c r="Q180" s="11"/>
      <c r="R180" s="12"/>
      <c r="S180" s="12"/>
      <c r="T180" s="12"/>
      <c r="U180" s="11"/>
      <c r="V180" s="13"/>
      <c r="W180" s="13"/>
      <c r="X180" s="11"/>
      <c r="Y180" s="12"/>
      <c r="Z180" s="12">
        <v>1</v>
      </c>
      <c r="AA180" s="12"/>
      <c r="AB180" s="11"/>
      <c r="AC180" s="13"/>
      <c r="AD180" s="13"/>
      <c r="AE180" s="11"/>
      <c r="AF180" s="12"/>
      <c r="AG180" s="12">
        <v>1</v>
      </c>
      <c r="AH180" s="12"/>
      <c r="AI180" s="11"/>
      <c r="AJ180" s="13"/>
      <c r="AK180" s="379">
        <f t="shared" si="123"/>
        <v>2</v>
      </c>
      <c r="AL180" s="390">
        <v>2582</v>
      </c>
      <c r="AM180" s="19">
        <v>0.75</v>
      </c>
      <c r="AN180" s="20">
        <f t="shared" si="124"/>
        <v>645.5</v>
      </c>
      <c r="AO180" s="21">
        <f t="shared" si="125"/>
        <v>1291</v>
      </c>
      <c r="AP180" s="22">
        <f t="shared" si="126"/>
        <v>1032.8</v>
      </c>
      <c r="AQ180" s="436"/>
      <c r="AR180" s="479">
        <v>1.4</v>
      </c>
      <c r="AS180" s="485">
        <f t="shared" si="121"/>
        <v>2.8</v>
      </c>
      <c r="AT180" s="382">
        <f t="shared" si="122"/>
        <v>368.85714285714289</v>
      </c>
      <c r="AU180" s="433"/>
      <c r="AV180" s="448" t="s">
        <v>232</v>
      </c>
      <c r="AW180" s="449">
        <f t="shared" si="127"/>
        <v>2</v>
      </c>
      <c r="AX180" s="450">
        <f t="shared" si="128"/>
        <v>1032.8</v>
      </c>
      <c r="AY180" s="570" t="b">
        <f t="shared" si="117"/>
        <v>1</v>
      </c>
    </row>
    <row r="181" spans="1:51" s="558" customFormat="1" ht="13.95" hidden="1" customHeight="1" x14ac:dyDescent="0.3">
      <c r="A181" s="365"/>
      <c r="B181" s="376"/>
      <c r="C181" s="376"/>
      <c r="D181" s="377" t="s">
        <v>239</v>
      </c>
      <c r="E181" s="378" t="s">
        <v>201</v>
      </c>
      <c r="F181" s="378">
        <v>0.3125</v>
      </c>
      <c r="G181" s="378" t="s">
        <v>246</v>
      </c>
      <c r="H181" s="394">
        <v>60</v>
      </c>
      <c r="I181" s="13"/>
      <c r="J181" s="11"/>
      <c r="K181" s="12"/>
      <c r="L181" s="12"/>
      <c r="M181" s="12"/>
      <c r="N181" s="11"/>
      <c r="O181" s="13"/>
      <c r="P181" s="13"/>
      <c r="Q181" s="11"/>
      <c r="R181" s="12"/>
      <c r="S181" s="12"/>
      <c r="T181" s="12"/>
      <c r="U181" s="11"/>
      <c r="V181" s="13"/>
      <c r="W181" s="13"/>
      <c r="X181" s="11"/>
      <c r="Y181" s="12"/>
      <c r="Z181" s="12"/>
      <c r="AA181" s="12"/>
      <c r="AB181" s="11"/>
      <c r="AC181" s="13"/>
      <c r="AD181" s="13"/>
      <c r="AE181" s="11"/>
      <c r="AF181" s="12"/>
      <c r="AG181" s="12"/>
      <c r="AH181" s="12"/>
      <c r="AI181" s="11"/>
      <c r="AJ181" s="13"/>
      <c r="AK181" s="379">
        <f t="shared" si="123"/>
        <v>0</v>
      </c>
      <c r="AL181" s="390">
        <v>5164</v>
      </c>
      <c r="AM181" s="19">
        <v>0.75</v>
      </c>
      <c r="AN181" s="20">
        <f t="shared" si="124"/>
        <v>1291</v>
      </c>
      <c r="AO181" s="21">
        <f t="shared" si="125"/>
        <v>0</v>
      </c>
      <c r="AP181" s="22">
        <f t="shared" si="126"/>
        <v>0</v>
      </c>
      <c r="AQ181" s="436"/>
      <c r="AR181" s="479">
        <v>1.3</v>
      </c>
      <c r="AS181" s="485">
        <f t="shared" si="121"/>
        <v>0</v>
      </c>
      <c r="AT181" s="382">
        <f t="shared" si="122"/>
        <v>0</v>
      </c>
      <c r="AU181" s="433"/>
      <c r="AV181" s="448" t="s">
        <v>232</v>
      </c>
      <c r="AW181" s="449">
        <f t="shared" si="127"/>
        <v>0</v>
      </c>
      <c r="AX181" s="450">
        <f t="shared" si="128"/>
        <v>0</v>
      </c>
      <c r="AY181" s="570" t="b">
        <f t="shared" si="117"/>
        <v>1</v>
      </c>
    </row>
    <row r="182" spans="1:51" s="558" customFormat="1" ht="13.95" customHeight="1" x14ac:dyDescent="0.3">
      <c r="A182" s="365"/>
      <c r="B182" s="376"/>
      <c r="C182" s="376"/>
      <c r="D182" s="389" t="s">
        <v>239</v>
      </c>
      <c r="E182" s="378" t="s">
        <v>201</v>
      </c>
      <c r="F182" s="378">
        <v>0.3125</v>
      </c>
      <c r="G182" s="378" t="s">
        <v>246</v>
      </c>
      <c r="H182" s="394">
        <v>30</v>
      </c>
      <c r="I182" s="13"/>
      <c r="J182" s="11"/>
      <c r="K182" s="12"/>
      <c r="L182" s="12"/>
      <c r="M182" s="12"/>
      <c r="N182" s="11"/>
      <c r="O182" s="13"/>
      <c r="P182" s="13"/>
      <c r="Q182" s="11"/>
      <c r="R182" s="12"/>
      <c r="S182" s="12"/>
      <c r="T182" s="12"/>
      <c r="U182" s="11"/>
      <c r="V182" s="13"/>
      <c r="W182" s="13"/>
      <c r="X182" s="11"/>
      <c r="Y182" s="12"/>
      <c r="Z182" s="12"/>
      <c r="AA182" s="12"/>
      <c r="AB182" s="11">
        <v>1</v>
      </c>
      <c r="AC182" s="13"/>
      <c r="AD182" s="13"/>
      <c r="AE182" s="11"/>
      <c r="AF182" s="12"/>
      <c r="AG182" s="12"/>
      <c r="AH182" s="12"/>
      <c r="AI182" s="11"/>
      <c r="AJ182" s="13"/>
      <c r="AK182" s="379">
        <f t="shared" si="123"/>
        <v>1</v>
      </c>
      <c r="AL182" s="390">
        <v>2582</v>
      </c>
      <c r="AM182" s="19">
        <v>0.75</v>
      </c>
      <c r="AN182" s="20">
        <f t="shared" si="124"/>
        <v>645.5</v>
      </c>
      <c r="AO182" s="21">
        <f t="shared" si="125"/>
        <v>645.5</v>
      </c>
      <c r="AP182" s="22">
        <f t="shared" si="126"/>
        <v>516.4</v>
      </c>
      <c r="AQ182" s="436"/>
      <c r="AR182" s="479">
        <v>1.3</v>
      </c>
      <c r="AS182" s="485">
        <f t="shared" si="121"/>
        <v>1.3</v>
      </c>
      <c r="AT182" s="382">
        <f t="shared" si="122"/>
        <v>397.23076923076923</v>
      </c>
      <c r="AU182" s="433"/>
      <c r="AV182" s="448" t="s">
        <v>232</v>
      </c>
      <c r="AW182" s="449">
        <f t="shared" si="127"/>
        <v>1</v>
      </c>
      <c r="AX182" s="450">
        <f t="shared" si="128"/>
        <v>516.4</v>
      </c>
      <c r="AY182" s="570" t="b">
        <f t="shared" si="117"/>
        <v>1</v>
      </c>
    </row>
    <row r="183" spans="1:51" s="558" customFormat="1" ht="13.95" hidden="1" customHeight="1" x14ac:dyDescent="0.3">
      <c r="A183" s="365"/>
      <c r="B183" s="376"/>
      <c r="C183" s="376"/>
      <c r="D183" s="396" t="s">
        <v>240</v>
      </c>
      <c r="E183" s="378" t="s">
        <v>204</v>
      </c>
      <c r="F183" s="378">
        <v>0.45833333333333331</v>
      </c>
      <c r="G183" s="378" t="s">
        <v>247</v>
      </c>
      <c r="H183" s="394">
        <v>60</v>
      </c>
      <c r="I183" s="13"/>
      <c r="J183" s="11"/>
      <c r="K183" s="12"/>
      <c r="L183" s="12"/>
      <c r="M183" s="12"/>
      <c r="N183" s="11"/>
      <c r="O183" s="13"/>
      <c r="P183" s="13"/>
      <c r="Q183" s="11"/>
      <c r="R183" s="12"/>
      <c r="S183" s="12"/>
      <c r="T183" s="12"/>
      <c r="U183" s="11"/>
      <c r="V183" s="13"/>
      <c r="W183" s="13"/>
      <c r="X183" s="11"/>
      <c r="Y183" s="12"/>
      <c r="Z183" s="12"/>
      <c r="AA183" s="12"/>
      <c r="AB183" s="11"/>
      <c r="AC183" s="13"/>
      <c r="AD183" s="13"/>
      <c r="AE183" s="11"/>
      <c r="AF183" s="12"/>
      <c r="AG183" s="12"/>
      <c r="AH183" s="12"/>
      <c r="AI183" s="11"/>
      <c r="AJ183" s="13"/>
      <c r="AK183" s="379">
        <f t="shared" si="123"/>
        <v>0</v>
      </c>
      <c r="AL183" s="390">
        <v>5164</v>
      </c>
      <c r="AM183" s="19">
        <v>0.75</v>
      </c>
      <c r="AN183" s="20">
        <f t="shared" si="124"/>
        <v>1291</v>
      </c>
      <c r="AO183" s="21">
        <f t="shared" si="125"/>
        <v>0</v>
      </c>
      <c r="AP183" s="22">
        <f t="shared" si="126"/>
        <v>0</v>
      </c>
      <c r="AQ183" s="436"/>
      <c r="AR183" s="479">
        <v>1.2</v>
      </c>
      <c r="AS183" s="485">
        <f t="shared" si="121"/>
        <v>0</v>
      </c>
      <c r="AT183" s="382">
        <f t="shared" si="122"/>
        <v>0</v>
      </c>
      <c r="AU183" s="433"/>
      <c r="AV183" s="448" t="s">
        <v>232</v>
      </c>
      <c r="AW183" s="449">
        <f t="shared" si="127"/>
        <v>0</v>
      </c>
      <c r="AX183" s="450">
        <f t="shared" si="128"/>
        <v>0</v>
      </c>
      <c r="AY183" s="570" t="b">
        <f t="shared" si="117"/>
        <v>1</v>
      </c>
    </row>
    <row r="184" spans="1:51" s="558" customFormat="1" ht="13.95" customHeight="1" x14ac:dyDescent="0.3">
      <c r="A184" s="365"/>
      <c r="B184" s="376"/>
      <c r="C184" s="376"/>
      <c r="D184" s="389" t="s">
        <v>240</v>
      </c>
      <c r="E184" s="378" t="s">
        <v>204</v>
      </c>
      <c r="F184" s="378">
        <v>0.45833333333333331</v>
      </c>
      <c r="G184" s="378" t="s">
        <v>247</v>
      </c>
      <c r="H184" s="394">
        <v>30</v>
      </c>
      <c r="I184" s="13"/>
      <c r="J184" s="11"/>
      <c r="K184" s="12"/>
      <c r="L184" s="12"/>
      <c r="M184" s="12"/>
      <c r="N184" s="11"/>
      <c r="O184" s="13"/>
      <c r="P184" s="13"/>
      <c r="Q184" s="11"/>
      <c r="R184" s="12"/>
      <c r="S184" s="12"/>
      <c r="T184" s="12"/>
      <c r="U184" s="11"/>
      <c r="V184" s="13">
        <v>1</v>
      </c>
      <c r="W184" s="13"/>
      <c r="X184" s="11"/>
      <c r="Y184" s="12"/>
      <c r="Z184" s="12"/>
      <c r="AA184" s="12"/>
      <c r="AB184" s="11"/>
      <c r="AC184" s="13">
        <v>1</v>
      </c>
      <c r="AD184" s="13"/>
      <c r="AE184" s="11"/>
      <c r="AF184" s="12"/>
      <c r="AG184" s="12"/>
      <c r="AH184" s="12"/>
      <c r="AI184" s="11"/>
      <c r="AJ184" s="13"/>
      <c r="AK184" s="379">
        <f t="shared" si="123"/>
        <v>2</v>
      </c>
      <c r="AL184" s="390">
        <v>2582</v>
      </c>
      <c r="AM184" s="19">
        <v>0.75</v>
      </c>
      <c r="AN184" s="20">
        <f t="shared" si="124"/>
        <v>645.5</v>
      </c>
      <c r="AO184" s="21">
        <f t="shared" si="125"/>
        <v>1291</v>
      </c>
      <c r="AP184" s="22">
        <f t="shared" si="126"/>
        <v>1032.8</v>
      </c>
      <c r="AQ184" s="436"/>
      <c r="AR184" s="479">
        <v>1.2</v>
      </c>
      <c r="AS184" s="485">
        <f t="shared" si="121"/>
        <v>2.4</v>
      </c>
      <c r="AT184" s="382">
        <f t="shared" si="122"/>
        <v>430.33333333333331</v>
      </c>
      <c r="AU184" s="433"/>
      <c r="AV184" s="448" t="s">
        <v>232</v>
      </c>
      <c r="AW184" s="449">
        <f t="shared" si="127"/>
        <v>2</v>
      </c>
      <c r="AX184" s="450">
        <f t="shared" si="128"/>
        <v>1032.8</v>
      </c>
      <c r="AY184" s="570" t="b">
        <f t="shared" si="117"/>
        <v>1</v>
      </c>
    </row>
    <row r="185" spans="1:51" s="558" customFormat="1" ht="13.95" customHeight="1" x14ac:dyDescent="0.3">
      <c r="A185" s="365"/>
      <c r="B185" s="376"/>
      <c r="C185" s="376"/>
      <c r="D185" s="396"/>
      <c r="E185" s="378"/>
      <c r="F185" s="378"/>
      <c r="G185" s="378"/>
      <c r="H185" s="394"/>
      <c r="I185" s="13"/>
      <c r="J185" s="11"/>
      <c r="K185" s="12"/>
      <c r="L185" s="12"/>
      <c r="M185" s="12"/>
      <c r="N185" s="11"/>
      <c r="O185" s="13"/>
      <c r="P185" s="13"/>
      <c r="Q185" s="11"/>
      <c r="R185" s="12"/>
      <c r="S185" s="12"/>
      <c r="T185" s="12"/>
      <c r="U185" s="11"/>
      <c r="V185" s="13"/>
      <c r="W185" s="13"/>
      <c r="X185" s="11"/>
      <c r="Y185" s="12"/>
      <c r="Z185" s="12"/>
      <c r="AA185" s="12"/>
      <c r="AB185" s="11"/>
      <c r="AC185" s="13"/>
      <c r="AD185" s="13"/>
      <c r="AE185" s="11"/>
      <c r="AF185" s="12"/>
      <c r="AG185" s="12"/>
      <c r="AH185" s="12"/>
      <c r="AI185" s="11"/>
      <c r="AJ185" s="13"/>
      <c r="AK185" s="504"/>
      <c r="AL185" s="505"/>
      <c r="AM185" s="506"/>
      <c r="AN185" s="337"/>
      <c r="AO185" s="170"/>
      <c r="AP185" s="170"/>
      <c r="AQ185" s="436"/>
      <c r="AR185" s="479"/>
      <c r="AS185" s="485"/>
      <c r="AT185" s="382"/>
      <c r="AU185" s="433"/>
      <c r="AV185" s="451" t="s">
        <v>142</v>
      </c>
      <c r="AW185" s="425">
        <f>SUM(AW171:AW184)</f>
        <v>13</v>
      </c>
      <c r="AX185" s="426">
        <f>SUM(AX171:AX184)</f>
        <v>13646.799999999997</v>
      </c>
      <c r="AY185" s="570" t="b">
        <f>SUM(AP171:AP184)=AX185</f>
        <v>1</v>
      </c>
    </row>
    <row r="186" spans="1:51" s="558" customFormat="1" ht="13.95" hidden="1" customHeight="1" x14ac:dyDescent="0.3">
      <c r="A186" s="365"/>
      <c r="B186" s="376" t="s">
        <v>344</v>
      </c>
      <c r="C186" s="376" t="s">
        <v>157</v>
      </c>
      <c r="D186" s="389" t="s">
        <v>315</v>
      </c>
      <c r="E186" s="378" t="s">
        <v>204</v>
      </c>
      <c r="F186" s="378">
        <v>0.67708333333333337</v>
      </c>
      <c r="G186" s="378" t="s">
        <v>321</v>
      </c>
      <c r="H186" s="394">
        <v>60</v>
      </c>
      <c r="I186" s="13"/>
      <c r="J186" s="11"/>
      <c r="K186" s="12"/>
      <c r="L186" s="12"/>
      <c r="M186" s="12"/>
      <c r="N186" s="11"/>
      <c r="O186" s="13"/>
      <c r="P186" s="13"/>
      <c r="Q186" s="11"/>
      <c r="R186" s="12"/>
      <c r="S186" s="12"/>
      <c r="T186" s="12"/>
      <c r="U186" s="11"/>
      <c r="V186" s="13"/>
      <c r="W186" s="13"/>
      <c r="X186" s="11"/>
      <c r="Y186" s="12"/>
      <c r="Z186" s="12"/>
      <c r="AA186" s="12"/>
      <c r="AB186" s="11"/>
      <c r="AC186" s="13"/>
      <c r="AD186" s="13"/>
      <c r="AE186" s="11"/>
      <c r="AF186" s="12"/>
      <c r="AG186" s="12"/>
      <c r="AH186" s="12"/>
      <c r="AI186" s="11"/>
      <c r="AJ186" s="13"/>
      <c r="AK186" s="379">
        <f t="shared" ref="AK186:AK202" si="138">SUM(I186:AJ186)</f>
        <v>0</v>
      </c>
      <c r="AL186" s="390">
        <v>3962</v>
      </c>
      <c r="AM186" s="19">
        <v>0.1</v>
      </c>
      <c r="AN186" s="20">
        <f t="shared" ref="AN186:AN202" si="139">AL186*(1-AM186)</f>
        <v>3565.8</v>
      </c>
      <c r="AO186" s="21">
        <f t="shared" ref="AO186:AO202" si="140">AN186*AK186</f>
        <v>0</v>
      </c>
      <c r="AP186" s="22">
        <f t="shared" ref="AP186:AP202" si="141">AO186*0.8</f>
        <v>0</v>
      </c>
      <c r="AQ186" s="436"/>
      <c r="AR186" s="479">
        <v>5.59</v>
      </c>
      <c r="AS186" s="485">
        <f>AR186*AK186</f>
        <v>0</v>
      </c>
      <c r="AT186" s="382">
        <f>IFERROR(AP186/AS186,0)</f>
        <v>0</v>
      </c>
      <c r="AU186" s="433"/>
      <c r="AV186" s="448" t="s">
        <v>183</v>
      </c>
      <c r="AW186" s="449">
        <f t="shared" ref="AW186:AW202" si="142">SUM(I186:AJ186)</f>
        <v>0</v>
      </c>
      <c r="AX186" s="450">
        <f t="shared" ref="AX186:AX202" si="143">AW186*AN186*0.8</f>
        <v>0</v>
      </c>
      <c r="AY186" s="570" t="b">
        <f t="shared" ref="AY186:AY202" si="144">SUM(AX186)=AP186</f>
        <v>1</v>
      </c>
    </row>
    <row r="187" spans="1:51" s="558" customFormat="1" ht="13.95" customHeight="1" x14ac:dyDescent="0.3">
      <c r="A187" s="365"/>
      <c r="B187" s="376" t="s">
        <v>344</v>
      </c>
      <c r="C187" s="376" t="s">
        <v>157</v>
      </c>
      <c r="D187" s="396" t="s">
        <v>315</v>
      </c>
      <c r="E187" s="378" t="s">
        <v>204</v>
      </c>
      <c r="F187" s="378">
        <v>0.67708333333333337</v>
      </c>
      <c r="G187" s="378" t="s">
        <v>321</v>
      </c>
      <c r="H187" s="394">
        <v>30</v>
      </c>
      <c r="I187" s="13"/>
      <c r="J187" s="11"/>
      <c r="K187" s="12"/>
      <c r="L187" s="12"/>
      <c r="M187" s="12"/>
      <c r="N187" s="11"/>
      <c r="O187" s="13"/>
      <c r="P187" s="13"/>
      <c r="Q187" s="11"/>
      <c r="R187" s="12"/>
      <c r="S187" s="12"/>
      <c r="T187" s="12"/>
      <c r="U187" s="11"/>
      <c r="V187" s="13">
        <v>1</v>
      </c>
      <c r="W187" s="13"/>
      <c r="X187" s="11"/>
      <c r="Y187" s="12"/>
      <c r="Z187" s="12"/>
      <c r="AA187" s="12"/>
      <c r="AB187" s="11"/>
      <c r="AC187" s="13"/>
      <c r="AD187" s="13"/>
      <c r="AE187" s="11"/>
      <c r="AF187" s="12"/>
      <c r="AG187" s="12"/>
      <c r="AH187" s="12"/>
      <c r="AI187" s="11"/>
      <c r="AJ187" s="13"/>
      <c r="AK187" s="379">
        <f t="shared" si="138"/>
        <v>1</v>
      </c>
      <c r="AL187" s="390">
        <v>1981</v>
      </c>
      <c r="AM187" s="19">
        <v>0.1</v>
      </c>
      <c r="AN187" s="20">
        <f t="shared" si="139"/>
        <v>1782.9</v>
      </c>
      <c r="AO187" s="21">
        <f t="shared" si="140"/>
        <v>1782.9</v>
      </c>
      <c r="AP187" s="22">
        <f t="shared" si="141"/>
        <v>1426.3200000000002</v>
      </c>
      <c r="AQ187" s="436"/>
      <c r="AR187" s="479">
        <v>5.59</v>
      </c>
      <c r="AS187" s="485">
        <f t="shared" ref="AS187:AS202" si="145">AR187*AK187</f>
        <v>5.59</v>
      </c>
      <c r="AT187" s="382">
        <f t="shared" ref="AT187:AT202" si="146">IFERROR(AP187/AS187,0)</f>
        <v>255.15563506261185</v>
      </c>
      <c r="AU187" s="433"/>
      <c r="AV187" s="448" t="s">
        <v>183</v>
      </c>
      <c r="AW187" s="449">
        <f t="shared" si="142"/>
        <v>1</v>
      </c>
      <c r="AX187" s="450">
        <f t="shared" si="143"/>
        <v>1426.3200000000002</v>
      </c>
      <c r="AY187" s="570" t="b">
        <f t="shared" si="144"/>
        <v>1</v>
      </c>
    </row>
    <row r="188" spans="1:51" s="558" customFormat="1" ht="13.95" hidden="1" customHeight="1" x14ac:dyDescent="0.3">
      <c r="A188" s="365"/>
      <c r="B188" s="376"/>
      <c r="C188" s="376"/>
      <c r="D188" s="389" t="s">
        <v>316</v>
      </c>
      <c r="E188" s="378" t="s">
        <v>203</v>
      </c>
      <c r="F188" s="378">
        <v>0.625</v>
      </c>
      <c r="G188" s="378" t="s">
        <v>322</v>
      </c>
      <c r="H188" s="394">
        <v>60</v>
      </c>
      <c r="I188" s="13"/>
      <c r="J188" s="11"/>
      <c r="K188" s="12"/>
      <c r="L188" s="12"/>
      <c r="M188" s="12"/>
      <c r="N188" s="11"/>
      <c r="O188" s="13"/>
      <c r="P188" s="13"/>
      <c r="Q188" s="11"/>
      <c r="R188" s="12"/>
      <c r="S188" s="12"/>
      <c r="T188" s="12"/>
      <c r="U188" s="11"/>
      <c r="V188" s="13"/>
      <c r="W188" s="13"/>
      <c r="X188" s="11"/>
      <c r="Y188" s="12"/>
      <c r="Z188" s="12"/>
      <c r="AA188" s="12"/>
      <c r="AB188" s="11"/>
      <c r="AC188" s="13"/>
      <c r="AD188" s="13"/>
      <c r="AE188" s="11"/>
      <c r="AF188" s="12"/>
      <c r="AG188" s="12"/>
      <c r="AH188" s="12"/>
      <c r="AI188" s="11"/>
      <c r="AJ188" s="13"/>
      <c r="AK188" s="379">
        <f t="shared" si="138"/>
        <v>0</v>
      </c>
      <c r="AL188" s="390">
        <v>8158</v>
      </c>
      <c r="AM188" s="19">
        <v>0.1</v>
      </c>
      <c r="AN188" s="20">
        <f t="shared" si="139"/>
        <v>7342.2</v>
      </c>
      <c r="AO188" s="21">
        <f t="shared" si="140"/>
        <v>0</v>
      </c>
      <c r="AP188" s="22">
        <f t="shared" si="141"/>
        <v>0</v>
      </c>
      <c r="AQ188" s="436"/>
      <c r="AR188" s="481">
        <v>8.57</v>
      </c>
      <c r="AS188" s="485">
        <f t="shared" si="145"/>
        <v>0</v>
      </c>
      <c r="AT188" s="382">
        <f t="shared" si="146"/>
        <v>0</v>
      </c>
      <c r="AU188" s="433"/>
      <c r="AV188" s="448" t="s">
        <v>183</v>
      </c>
      <c r="AW188" s="449">
        <f t="shared" si="142"/>
        <v>0</v>
      </c>
      <c r="AX188" s="450">
        <f t="shared" si="143"/>
        <v>0</v>
      </c>
      <c r="AY188" s="570" t="b">
        <f t="shared" si="144"/>
        <v>1</v>
      </c>
    </row>
    <row r="189" spans="1:51" s="558" customFormat="1" ht="13.95" customHeight="1" x14ac:dyDescent="0.3">
      <c r="A189" s="365"/>
      <c r="B189" s="376"/>
      <c r="C189" s="376"/>
      <c r="D189" s="396" t="s">
        <v>316</v>
      </c>
      <c r="E189" s="378" t="s">
        <v>203</v>
      </c>
      <c r="F189" s="378">
        <v>0.625</v>
      </c>
      <c r="G189" s="378" t="s">
        <v>322</v>
      </c>
      <c r="H189" s="394">
        <v>30</v>
      </c>
      <c r="I189" s="13"/>
      <c r="J189" s="11"/>
      <c r="K189" s="12"/>
      <c r="L189" s="12"/>
      <c r="M189" s="12"/>
      <c r="N189" s="11"/>
      <c r="O189" s="13"/>
      <c r="P189" s="13"/>
      <c r="Q189" s="11"/>
      <c r="R189" s="12"/>
      <c r="S189" s="12"/>
      <c r="T189" s="12"/>
      <c r="U189" s="11"/>
      <c r="V189" s="13"/>
      <c r="W189" s="13">
        <v>1</v>
      </c>
      <c r="X189" s="11"/>
      <c r="Y189" s="12"/>
      <c r="Z189" s="12"/>
      <c r="AA189" s="12"/>
      <c r="AB189" s="11"/>
      <c r="AC189" s="13"/>
      <c r="AD189" s="13">
        <v>1</v>
      </c>
      <c r="AE189" s="11"/>
      <c r="AF189" s="12"/>
      <c r="AG189" s="12"/>
      <c r="AH189" s="12"/>
      <c r="AI189" s="11"/>
      <c r="AJ189" s="13"/>
      <c r="AK189" s="379">
        <f t="shared" si="138"/>
        <v>2</v>
      </c>
      <c r="AL189" s="390">
        <v>4079</v>
      </c>
      <c r="AM189" s="19">
        <v>0.1</v>
      </c>
      <c r="AN189" s="20">
        <f t="shared" si="139"/>
        <v>3671.1</v>
      </c>
      <c r="AO189" s="21">
        <f t="shared" si="140"/>
        <v>7342.2</v>
      </c>
      <c r="AP189" s="22">
        <f t="shared" si="141"/>
        <v>5873.76</v>
      </c>
      <c r="AQ189" s="436"/>
      <c r="AR189" s="481">
        <v>8.57</v>
      </c>
      <c r="AS189" s="485">
        <f t="shared" si="145"/>
        <v>17.14</v>
      </c>
      <c r="AT189" s="382">
        <f t="shared" si="146"/>
        <v>342.69311551925318</v>
      </c>
      <c r="AU189" s="433"/>
      <c r="AV189" s="448" t="s">
        <v>183</v>
      </c>
      <c r="AW189" s="449">
        <f t="shared" si="142"/>
        <v>2</v>
      </c>
      <c r="AX189" s="450">
        <f t="shared" si="143"/>
        <v>5873.76</v>
      </c>
      <c r="AY189" s="570" t="b">
        <f t="shared" si="144"/>
        <v>1</v>
      </c>
    </row>
    <row r="190" spans="1:51" s="558" customFormat="1" ht="13.95" customHeight="1" x14ac:dyDescent="0.3">
      <c r="A190" s="365"/>
      <c r="B190" s="376"/>
      <c r="C190" s="376"/>
      <c r="D190" s="377" t="s">
        <v>317</v>
      </c>
      <c r="E190" s="378" t="s">
        <v>201</v>
      </c>
      <c r="F190" s="378">
        <v>0.39583333333333331</v>
      </c>
      <c r="G190" s="378" t="s">
        <v>323</v>
      </c>
      <c r="H190" s="394">
        <v>30</v>
      </c>
      <c r="I190" s="13"/>
      <c r="J190" s="11"/>
      <c r="K190" s="12"/>
      <c r="L190" s="12"/>
      <c r="M190" s="12"/>
      <c r="N190" s="11"/>
      <c r="O190" s="13"/>
      <c r="P190" s="13"/>
      <c r="Q190" s="11"/>
      <c r="R190" s="12"/>
      <c r="S190" s="12"/>
      <c r="T190" s="12"/>
      <c r="U190" s="11"/>
      <c r="V190" s="13"/>
      <c r="W190" s="13"/>
      <c r="X190" s="11"/>
      <c r="Y190" s="12"/>
      <c r="Z190" s="12">
        <v>1</v>
      </c>
      <c r="AA190" s="12"/>
      <c r="AB190" s="11"/>
      <c r="AC190" s="13"/>
      <c r="AD190" s="13"/>
      <c r="AE190" s="11"/>
      <c r="AF190" s="12">
        <v>1</v>
      </c>
      <c r="AG190" s="12"/>
      <c r="AH190" s="12"/>
      <c r="AI190" s="11"/>
      <c r="AJ190" s="13"/>
      <c r="AK190" s="379">
        <f t="shared" si="138"/>
        <v>2</v>
      </c>
      <c r="AL190" s="390">
        <v>943</v>
      </c>
      <c r="AM190" s="19">
        <v>0.1</v>
      </c>
      <c r="AN190" s="20">
        <f t="shared" si="139"/>
        <v>848.7</v>
      </c>
      <c r="AO190" s="21">
        <f t="shared" si="140"/>
        <v>1697.4</v>
      </c>
      <c r="AP190" s="22">
        <f t="shared" si="141"/>
        <v>1357.92</v>
      </c>
      <c r="AQ190" s="436"/>
      <c r="AR190" s="479">
        <v>3.89</v>
      </c>
      <c r="AS190" s="485">
        <f t="shared" si="145"/>
        <v>7.78</v>
      </c>
      <c r="AT190" s="382">
        <f t="shared" si="146"/>
        <v>174.53984575835477</v>
      </c>
      <c r="AU190" s="433"/>
      <c r="AV190" s="448" t="s">
        <v>183</v>
      </c>
      <c r="AW190" s="449">
        <f t="shared" si="142"/>
        <v>2</v>
      </c>
      <c r="AX190" s="450">
        <f t="shared" si="143"/>
        <v>1357.92</v>
      </c>
      <c r="AY190" s="570" t="b">
        <f t="shared" si="144"/>
        <v>1</v>
      </c>
    </row>
    <row r="191" spans="1:51" s="558" customFormat="1" ht="13.95" customHeight="1" x14ac:dyDescent="0.3">
      <c r="A191" s="365"/>
      <c r="B191" s="376"/>
      <c r="C191" s="376"/>
      <c r="D191" s="389" t="s">
        <v>306</v>
      </c>
      <c r="E191" s="378" t="s">
        <v>202</v>
      </c>
      <c r="F191" s="378">
        <v>0.55902777777777779</v>
      </c>
      <c r="G191" s="378" t="s">
        <v>324</v>
      </c>
      <c r="H191" s="394">
        <v>30</v>
      </c>
      <c r="I191" s="13"/>
      <c r="J191" s="11"/>
      <c r="K191" s="12"/>
      <c r="L191" s="12"/>
      <c r="M191" s="12"/>
      <c r="N191" s="11"/>
      <c r="O191" s="13"/>
      <c r="P191" s="13"/>
      <c r="Q191" s="11"/>
      <c r="R191" s="12"/>
      <c r="S191" s="12"/>
      <c r="T191" s="12"/>
      <c r="U191" s="11"/>
      <c r="V191" s="13"/>
      <c r="W191" s="13"/>
      <c r="X191" s="11">
        <v>1</v>
      </c>
      <c r="Y191" s="12"/>
      <c r="Z191" s="12"/>
      <c r="AA191" s="12"/>
      <c r="AB191" s="11"/>
      <c r="AC191" s="13"/>
      <c r="AD191" s="13"/>
      <c r="AE191" s="11">
        <v>1</v>
      </c>
      <c r="AF191" s="12"/>
      <c r="AG191" s="12"/>
      <c r="AH191" s="12"/>
      <c r="AI191" s="11"/>
      <c r="AJ191" s="13"/>
      <c r="AK191" s="379">
        <f t="shared" si="138"/>
        <v>2</v>
      </c>
      <c r="AL191" s="390">
        <v>2107</v>
      </c>
      <c r="AM191" s="19">
        <v>0.1</v>
      </c>
      <c r="AN191" s="20">
        <f t="shared" si="139"/>
        <v>1896.3</v>
      </c>
      <c r="AO191" s="21">
        <f t="shared" si="140"/>
        <v>3792.6</v>
      </c>
      <c r="AP191" s="22">
        <f t="shared" si="141"/>
        <v>3034.08</v>
      </c>
      <c r="AQ191" s="436"/>
      <c r="AR191" s="479">
        <v>5.92</v>
      </c>
      <c r="AS191" s="485">
        <f t="shared" si="145"/>
        <v>11.84</v>
      </c>
      <c r="AT191" s="382">
        <f t="shared" si="146"/>
        <v>256.25675675675677</v>
      </c>
      <c r="AU191" s="433"/>
      <c r="AV191" s="448" t="s">
        <v>183</v>
      </c>
      <c r="AW191" s="449">
        <f t="shared" si="142"/>
        <v>2</v>
      </c>
      <c r="AX191" s="450">
        <f t="shared" si="143"/>
        <v>3034.08</v>
      </c>
      <c r="AY191" s="570" t="b">
        <f t="shared" si="144"/>
        <v>1</v>
      </c>
    </row>
    <row r="192" spans="1:51" s="558" customFormat="1" ht="13.95" customHeight="1" x14ac:dyDescent="0.3">
      <c r="A192" s="365"/>
      <c r="B192" s="376"/>
      <c r="C192" s="376"/>
      <c r="D192" s="396" t="s">
        <v>186</v>
      </c>
      <c r="E192" s="378" t="s">
        <v>201</v>
      </c>
      <c r="F192" s="378">
        <v>0.85416666666666663</v>
      </c>
      <c r="G192" s="378" t="s">
        <v>325</v>
      </c>
      <c r="H192" s="394">
        <v>60</v>
      </c>
      <c r="I192" s="13"/>
      <c r="J192" s="11"/>
      <c r="K192" s="12"/>
      <c r="L192" s="12"/>
      <c r="M192" s="12"/>
      <c r="N192" s="11"/>
      <c r="O192" s="13"/>
      <c r="P192" s="13"/>
      <c r="Q192" s="11"/>
      <c r="R192" s="12"/>
      <c r="S192" s="12">
        <v>1</v>
      </c>
      <c r="T192" s="12"/>
      <c r="U192" s="11"/>
      <c r="V192" s="13"/>
      <c r="W192" s="13"/>
      <c r="X192" s="11"/>
      <c r="Y192" s="12"/>
      <c r="Z192" s="12"/>
      <c r="AA192" s="12"/>
      <c r="AB192" s="11"/>
      <c r="AC192" s="13"/>
      <c r="AD192" s="13"/>
      <c r="AE192" s="11"/>
      <c r="AF192" s="12"/>
      <c r="AG192" s="12"/>
      <c r="AH192" s="12"/>
      <c r="AI192" s="11"/>
      <c r="AJ192" s="13"/>
      <c r="AK192" s="379">
        <f t="shared" si="138"/>
        <v>1</v>
      </c>
      <c r="AL192" s="390">
        <v>14296</v>
      </c>
      <c r="AM192" s="19">
        <v>0.1</v>
      </c>
      <c r="AN192" s="20">
        <f t="shared" si="139"/>
        <v>12866.4</v>
      </c>
      <c r="AO192" s="21">
        <f t="shared" si="140"/>
        <v>12866.4</v>
      </c>
      <c r="AP192" s="22">
        <f t="shared" si="141"/>
        <v>10293.120000000001</v>
      </c>
      <c r="AQ192" s="436"/>
      <c r="AR192" s="479">
        <v>13.07</v>
      </c>
      <c r="AS192" s="485">
        <f t="shared" si="145"/>
        <v>13.07</v>
      </c>
      <c r="AT192" s="382">
        <f t="shared" si="146"/>
        <v>787.53787299158387</v>
      </c>
      <c r="AU192" s="433"/>
      <c r="AV192" s="448" t="s">
        <v>183</v>
      </c>
      <c r="AW192" s="449">
        <f t="shared" si="142"/>
        <v>1</v>
      </c>
      <c r="AX192" s="450">
        <f t="shared" si="143"/>
        <v>10293.120000000001</v>
      </c>
      <c r="AY192" s="570" t="b">
        <f t="shared" si="144"/>
        <v>1</v>
      </c>
    </row>
    <row r="193" spans="1:51" s="558" customFormat="1" ht="13.95" hidden="1" customHeight="1" x14ac:dyDescent="0.3">
      <c r="A193" s="365"/>
      <c r="B193" s="376"/>
      <c r="C193" s="376"/>
      <c r="D193" s="389" t="s">
        <v>186</v>
      </c>
      <c r="E193" s="378" t="s">
        <v>201</v>
      </c>
      <c r="F193" s="378">
        <v>0.85416666666666663</v>
      </c>
      <c r="G193" s="378" t="s">
        <v>325</v>
      </c>
      <c r="H193" s="394">
        <v>30</v>
      </c>
      <c r="I193" s="13"/>
      <c r="J193" s="11"/>
      <c r="K193" s="12"/>
      <c r="L193" s="12"/>
      <c r="M193" s="12"/>
      <c r="N193" s="11"/>
      <c r="O193" s="13"/>
      <c r="P193" s="13"/>
      <c r="Q193" s="11"/>
      <c r="R193" s="12"/>
      <c r="S193" s="12"/>
      <c r="T193" s="12"/>
      <c r="U193" s="11"/>
      <c r="V193" s="13"/>
      <c r="W193" s="13"/>
      <c r="X193" s="11"/>
      <c r="Y193" s="12"/>
      <c r="Z193" s="12"/>
      <c r="AA193" s="12"/>
      <c r="AB193" s="11"/>
      <c r="AC193" s="13"/>
      <c r="AD193" s="13"/>
      <c r="AE193" s="11"/>
      <c r="AF193" s="12"/>
      <c r="AG193" s="12"/>
      <c r="AH193" s="12"/>
      <c r="AI193" s="11"/>
      <c r="AJ193" s="13"/>
      <c r="AK193" s="379">
        <f t="shared" si="138"/>
        <v>0</v>
      </c>
      <c r="AL193" s="390">
        <v>7148</v>
      </c>
      <c r="AM193" s="19">
        <v>0.1</v>
      </c>
      <c r="AN193" s="20">
        <f t="shared" si="139"/>
        <v>6433.2</v>
      </c>
      <c r="AO193" s="21">
        <f t="shared" si="140"/>
        <v>0</v>
      </c>
      <c r="AP193" s="22">
        <f t="shared" si="141"/>
        <v>0</v>
      </c>
      <c r="AQ193" s="436"/>
      <c r="AR193" s="479">
        <v>13.07</v>
      </c>
      <c r="AS193" s="485">
        <f t="shared" si="145"/>
        <v>0</v>
      </c>
      <c r="AT193" s="382">
        <f t="shared" si="146"/>
        <v>0</v>
      </c>
      <c r="AU193" s="433"/>
      <c r="AV193" s="448" t="s">
        <v>183</v>
      </c>
      <c r="AW193" s="449">
        <f t="shared" si="142"/>
        <v>0</v>
      </c>
      <c r="AX193" s="450">
        <f t="shared" si="143"/>
        <v>0</v>
      </c>
      <c r="AY193" s="570" t="b">
        <f t="shared" si="144"/>
        <v>1</v>
      </c>
    </row>
    <row r="194" spans="1:51" s="558" customFormat="1" ht="13.95" hidden="1" customHeight="1" x14ac:dyDescent="0.3">
      <c r="A194" s="365"/>
      <c r="B194" s="376"/>
      <c r="C194" s="376"/>
      <c r="D194" s="396" t="s">
        <v>318</v>
      </c>
      <c r="E194" s="378" t="s">
        <v>201</v>
      </c>
      <c r="F194" s="378">
        <v>0.44097222222222221</v>
      </c>
      <c r="G194" s="378" t="s">
        <v>326</v>
      </c>
      <c r="H194" s="394">
        <v>60</v>
      </c>
      <c r="I194" s="13"/>
      <c r="J194" s="11"/>
      <c r="K194" s="12"/>
      <c r="L194" s="12"/>
      <c r="M194" s="12"/>
      <c r="N194" s="11"/>
      <c r="O194" s="13"/>
      <c r="P194" s="13"/>
      <c r="Q194" s="11"/>
      <c r="R194" s="12"/>
      <c r="S194" s="12"/>
      <c r="T194" s="12"/>
      <c r="U194" s="11"/>
      <c r="V194" s="13"/>
      <c r="W194" s="13"/>
      <c r="X194" s="11"/>
      <c r="Y194" s="12"/>
      <c r="Z194" s="12"/>
      <c r="AA194" s="12"/>
      <c r="AB194" s="11"/>
      <c r="AC194" s="13"/>
      <c r="AD194" s="13"/>
      <c r="AE194" s="11"/>
      <c r="AF194" s="12"/>
      <c r="AG194" s="12"/>
      <c r="AH194" s="12"/>
      <c r="AI194" s="11"/>
      <c r="AJ194" s="13"/>
      <c r="AK194" s="379">
        <f t="shared" si="138"/>
        <v>0</v>
      </c>
      <c r="AL194" s="390">
        <v>2216</v>
      </c>
      <c r="AM194" s="19">
        <v>0.1</v>
      </c>
      <c r="AN194" s="20">
        <f t="shared" si="139"/>
        <v>1994.4</v>
      </c>
      <c r="AO194" s="21">
        <f t="shared" si="140"/>
        <v>0</v>
      </c>
      <c r="AP194" s="22">
        <f t="shared" si="141"/>
        <v>0</v>
      </c>
      <c r="AQ194" s="436"/>
      <c r="AR194" s="479">
        <v>3.79</v>
      </c>
      <c r="AS194" s="485">
        <f t="shared" si="145"/>
        <v>0</v>
      </c>
      <c r="AT194" s="382">
        <f t="shared" si="146"/>
        <v>0</v>
      </c>
      <c r="AU194" s="433"/>
      <c r="AV194" s="448" t="s">
        <v>183</v>
      </c>
      <c r="AW194" s="449">
        <f t="shared" si="142"/>
        <v>0</v>
      </c>
      <c r="AX194" s="450">
        <f t="shared" si="143"/>
        <v>0</v>
      </c>
      <c r="AY194" s="570" t="b">
        <f t="shared" si="144"/>
        <v>1</v>
      </c>
    </row>
    <row r="195" spans="1:51" s="558" customFormat="1" ht="13.95" customHeight="1" x14ac:dyDescent="0.3">
      <c r="A195" s="365"/>
      <c r="B195" s="376"/>
      <c r="C195" s="376"/>
      <c r="D195" s="377" t="s">
        <v>318</v>
      </c>
      <c r="E195" s="378" t="s">
        <v>201</v>
      </c>
      <c r="F195" s="378">
        <v>0.44097222222222221</v>
      </c>
      <c r="G195" s="378" t="s">
        <v>326</v>
      </c>
      <c r="H195" s="394">
        <v>30</v>
      </c>
      <c r="I195" s="13"/>
      <c r="J195" s="11"/>
      <c r="K195" s="12"/>
      <c r="L195" s="12"/>
      <c r="M195" s="12"/>
      <c r="N195" s="11"/>
      <c r="O195" s="13"/>
      <c r="P195" s="13"/>
      <c r="Q195" s="11"/>
      <c r="R195" s="12"/>
      <c r="S195" s="12"/>
      <c r="T195" s="12"/>
      <c r="U195" s="11">
        <v>1</v>
      </c>
      <c r="V195" s="13"/>
      <c r="W195" s="13"/>
      <c r="X195" s="11"/>
      <c r="Y195" s="12">
        <v>1</v>
      </c>
      <c r="Z195" s="12"/>
      <c r="AA195" s="12"/>
      <c r="AB195" s="11"/>
      <c r="AC195" s="13"/>
      <c r="AD195" s="13"/>
      <c r="AE195" s="11"/>
      <c r="AF195" s="12"/>
      <c r="AG195" s="12">
        <v>1</v>
      </c>
      <c r="AH195" s="12"/>
      <c r="AI195" s="11"/>
      <c r="AJ195" s="13"/>
      <c r="AK195" s="379">
        <f t="shared" si="138"/>
        <v>3</v>
      </c>
      <c r="AL195" s="390">
        <v>1108</v>
      </c>
      <c r="AM195" s="19">
        <v>0.1</v>
      </c>
      <c r="AN195" s="20">
        <f t="shared" si="139"/>
        <v>997.2</v>
      </c>
      <c r="AO195" s="21">
        <f t="shared" si="140"/>
        <v>2991.6000000000004</v>
      </c>
      <c r="AP195" s="22">
        <f t="shared" si="141"/>
        <v>2393.2800000000002</v>
      </c>
      <c r="AQ195" s="436"/>
      <c r="AR195" s="479">
        <v>3.79</v>
      </c>
      <c r="AS195" s="485">
        <f t="shared" si="145"/>
        <v>11.370000000000001</v>
      </c>
      <c r="AT195" s="382">
        <f t="shared" si="146"/>
        <v>210.49076517150397</v>
      </c>
      <c r="AU195" s="433"/>
      <c r="AV195" s="448" t="s">
        <v>183</v>
      </c>
      <c r="AW195" s="449">
        <f t="shared" si="142"/>
        <v>3</v>
      </c>
      <c r="AX195" s="450">
        <f t="shared" si="143"/>
        <v>2393.2800000000002</v>
      </c>
      <c r="AY195" s="570" t="b">
        <f t="shared" si="144"/>
        <v>1</v>
      </c>
    </row>
    <row r="196" spans="1:51" s="558" customFormat="1" ht="13.95" customHeight="1" x14ac:dyDescent="0.3">
      <c r="A196" s="365"/>
      <c r="B196" s="376"/>
      <c r="C196" s="376"/>
      <c r="D196" s="389" t="s">
        <v>319</v>
      </c>
      <c r="E196" s="378" t="s">
        <v>202</v>
      </c>
      <c r="F196" s="378">
        <v>0.61458333333333337</v>
      </c>
      <c r="G196" s="378" t="s">
        <v>327</v>
      </c>
      <c r="H196" s="394">
        <v>30</v>
      </c>
      <c r="I196" s="13"/>
      <c r="J196" s="11"/>
      <c r="K196" s="12"/>
      <c r="L196" s="12"/>
      <c r="M196" s="12"/>
      <c r="N196" s="11"/>
      <c r="O196" s="13"/>
      <c r="P196" s="13"/>
      <c r="Q196" s="11"/>
      <c r="R196" s="12"/>
      <c r="S196" s="12"/>
      <c r="T196" s="12"/>
      <c r="U196" s="11"/>
      <c r="V196" s="13"/>
      <c r="W196" s="13"/>
      <c r="X196" s="11"/>
      <c r="Y196" s="12">
        <v>1</v>
      </c>
      <c r="Z196" s="12"/>
      <c r="AA196" s="12"/>
      <c r="AB196" s="11"/>
      <c r="AC196" s="13"/>
      <c r="AD196" s="13"/>
      <c r="AE196" s="11"/>
      <c r="AF196" s="12"/>
      <c r="AG196" s="12"/>
      <c r="AH196" s="12"/>
      <c r="AI196" s="11"/>
      <c r="AJ196" s="13"/>
      <c r="AK196" s="379">
        <f t="shared" si="138"/>
        <v>1</v>
      </c>
      <c r="AL196" s="390">
        <v>1367</v>
      </c>
      <c r="AM196" s="19">
        <v>0.1</v>
      </c>
      <c r="AN196" s="20">
        <f t="shared" si="139"/>
        <v>1230.3</v>
      </c>
      <c r="AO196" s="21">
        <f t="shared" si="140"/>
        <v>1230.3</v>
      </c>
      <c r="AP196" s="22">
        <f t="shared" si="141"/>
        <v>984.24</v>
      </c>
      <c r="AQ196" s="436"/>
      <c r="AR196" s="481">
        <v>6.47</v>
      </c>
      <c r="AS196" s="485">
        <f t="shared" si="145"/>
        <v>6.47</v>
      </c>
      <c r="AT196" s="382">
        <f t="shared" si="146"/>
        <v>152.12364760432769</v>
      </c>
      <c r="AU196" s="433"/>
      <c r="AV196" s="448" t="s">
        <v>183</v>
      </c>
      <c r="AW196" s="449">
        <f t="shared" si="142"/>
        <v>1</v>
      </c>
      <c r="AX196" s="450">
        <f t="shared" si="143"/>
        <v>984.24</v>
      </c>
      <c r="AY196" s="570" t="b">
        <f t="shared" si="144"/>
        <v>1</v>
      </c>
    </row>
    <row r="197" spans="1:51" s="558" customFormat="1" ht="13.95" customHeight="1" x14ac:dyDescent="0.3">
      <c r="A197" s="365"/>
      <c r="B197" s="376"/>
      <c r="C197" s="376"/>
      <c r="D197" s="396" t="s">
        <v>197</v>
      </c>
      <c r="E197" s="378" t="s">
        <v>201</v>
      </c>
      <c r="F197" s="378">
        <v>0.76736111111111116</v>
      </c>
      <c r="G197" s="378" t="s">
        <v>328</v>
      </c>
      <c r="H197" s="394">
        <v>30</v>
      </c>
      <c r="I197" s="13"/>
      <c r="J197" s="11"/>
      <c r="K197" s="12"/>
      <c r="L197" s="12"/>
      <c r="M197" s="12"/>
      <c r="N197" s="11"/>
      <c r="O197" s="13"/>
      <c r="P197" s="13"/>
      <c r="Q197" s="11"/>
      <c r="R197" s="12"/>
      <c r="S197" s="12"/>
      <c r="T197" s="12"/>
      <c r="U197" s="11"/>
      <c r="V197" s="13"/>
      <c r="W197" s="13"/>
      <c r="X197" s="11"/>
      <c r="Y197" s="12"/>
      <c r="Z197" s="12"/>
      <c r="AA197" s="12">
        <v>1</v>
      </c>
      <c r="AB197" s="11"/>
      <c r="AC197" s="13"/>
      <c r="AD197" s="13"/>
      <c r="AE197" s="11"/>
      <c r="AF197" s="12"/>
      <c r="AG197" s="12"/>
      <c r="AH197" s="12"/>
      <c r="AI197" s="11"/>
      <c r="AJ197" s="13"/>
      <c r="AK197" s="379">
        <f t="shared" si="138"/>
        <v>1</v>
      </c>
      <c r="AL197" s="390">
        <v>3900</v>
      </c>
      <c r="AM197" s="19">
        <v>0.1</v>
      </c>
      <c r="AN197" s="20">
        <f t="shared" si="139"/>
        <v>3510</v>
      </c>
      <c r="AO197" s="21">
        <f t="shared" si="140"/>
        <v>3510</v>
      </c>
      <c r="AP197" s="22">
        <f t="shared" si="141"/>
        <v>2808</v>
      </c>
      <c r="AQ197" s="436"/>
      <c r="AR197" s="479">
        <v>8.5</v>
      </c>
      <c r="AS197" s="485">
        <f t="shared" si="145"/>
        <v>8.5</v>
      </c>
      <c r="AT197" s="382">
        <f t="shared" si="146"/>
        <v>330.35294117647061</v>
      </c>
      <c r="AU197" s="433"/>
      <c r="AV197" s="448" t="s">
        <v>183</v>
      </c>
      <c r="AW197" s="449">
        <f t="shared" si="142"/>
        <v>1</v>
      </c>
      <c r="AX197" s="450">
        <f t="shared" si="143"/>
        <v>2808</v>
      </c>
      <c r="AY197" s="570" t="b">
        <f t="shared" si="144"/>
        <v>1</v>
      </c>
    </row>
    <row r="198" spans="1:51" s="558" customFormat="1" ht="13.95" hidden="1" customHeight="1" x14ac:dyDescent="0.3">
      <c r="A198" s="365"/>
      <c r="B198" s="376"/>
      <c r="C198" s="376"/>
      <c r="D198" s="389" t="s">
        <v>187</v>
      </c>
      <c r="E198" s="378" t="s">
        <v>201</v>
      </c>
      <c r="F198" s="378">
        <v>0.81944444444444442</v>
      </c>
      <c r="G198" s="378" t="s">
        <v>188</v>
      </c>
      <c r="H198" s="394">
        <v>60</v>
      </c>
      <c r="I198" s="13"/>
      <c r="J198" s="11"/>
      <c r="K198" s="12"/>
      <c r="L198" s="12"/>
      <c r="M198" s="12"/>
      <c r="N198" s="11"/>
      <c r="O198" s="13"/>
      <c r="P198" s="13"/>
      <c r="Q198" s="11"/>
      <c r="R198" s="12"/>
      <c r="S198" s="12"/>
      <c r="T198" s="12"/>
      <c r="U198" s="11"/>
      <c r="V198" s="13"/>
      <c r="W198" s="13"/>
      <c r="X198" s="11"/>
      <c r="Y198" s="12"/>
      <c r="Z198" s="12"/>
      <c r="AA198" s="12"/>
      <c r="AB198" s="11"/>
      <c r="AC198" s="13"/>
      <c r="AD198" s="13"/>
      <c r="AE198" s="11"/>
      <c r="AF198" s="12"/>
      <c r="AG198" s="12"/>
      <c r="AH198" s="12"/>
      <c r="AI198" s="11"/>
      <c r="AJ198" s="13"/>
      <c r="AK198" s="379">
        <f t="shared" si="138"/>
        <v>0</v>
      </c>
      <c r="AL198" s="390">
        <v>11406</v>
      </c>
      <c r="AM198" s="19">
        <v>0.1</v>
      </c>
      <c r="AN198" s="20">
        <f t="shared" si="139"/>
        <v>10265.4</v>
      </c>
      <c r="AO198" s="21">
        <f t="shared" si="140"/>
        <v>0</v>
      </c>
      <c r="AP198" s="22">
        <f t="shared" si="141"/>
        <v>0</v>
      </c>
      <c r="AQ198" s="436"/>
      <c r="AR198" s="479">
        <v>12.33</v>
      </c>
      <c r="AS198" s="485">
        <f t="shared" si="145"/>
        <v>0</v>
      </c>
      <c r="AT198" s="382">
        <f t="shared" si="146"/>
        <v>0</v>
      </c>
      <c r="AU198" s="433"/>
      <c r="AV198" s="448" t="s">
        <v>183</v>
      </c>
      <c r="AW198" s="449">
        <f t="shared" si="142"/>
        <v>0</v>
      </c>
      <c r="AX198" s="450">
        <f t="shared" si="143"/>
        <v>0</v>
      </c>
      <c r="AY198" s="570" t="b">
        <f t="shared" si="144"/>
        <v>1</v>
      </c>
    </row>
    <row r="199" spans="1:51" s="558" customFormat="1" ht="13.95" customHeight="1" x14ac:dyDescent="0.3">
      <c r="A199" s="365"/>
      <c r="B199" s="376"/>
      <c r="C199" s="376"/>
      <c r="D199" s="396" t="s">
        <v>187</v>
      </c>
      <c r="E199" s="378" t="s">
        <v>201</v>
      </c>
      <c r="F199" s="378">
        <v>0.81944444444444442</v>
      </c>
      <c r="G199" s="378" t="s">
        <v>188</v>
      </c>
      <c r="H199" s="394">
        <v>30</v>
      </c>
      <c r="I199" s="13"/>
      <c r="J199" s="11"/>
      <c r="K199" s="12"/>
      <c r="L199" s="12"/>
      <c r="M199" s="12"/>
      <c r="N199" s="11"/>
      <c r="O199" s="13"/>
      <c r="P199" s="13"/>
      <c r="Q199" s="11"/>
      <c r="R199" s="12"/>
      <c r="S199" s="12"/>
      <c r="T199" s="12"/>
      <c r="U199" s="11">
        <v>1</v>
      </c>
      <c r="V199" s="13"/>
      <c r="W199" s="13"/>
      <c r="X199" s="11"/>
      <c r="Y199" s="12"/>
      <c r="Z199" s="12"/>
      <c r="AA199" s="12"/>
      <c r="AB199" s="11">
        <v>1</v>
      </c>
      <c r="AC199" s="13"/>
      <c r="AD199" s="13"/>
      <c r="AE199" s="11"/>
      <c r="AF199" s="12"/>
      <c r="AG199" s="12"/>
      <c r="AH199" s="12"/>
      <c r="AI199" s="11"/>
      <c r="AJ199" s="13"/>
      <c r="AK199" s="379">
        <f t="shared" si="138"/>
        <v>2</v>
      </c>
      <c r="AL199" s="390">
        <v>5703</v>
      </c>
      <c r="AM199" s="19">
        <v>0.1</v>
      </c>
      <c r="AN199" s="20">
        <f t="shared" si="139"/>
        <v>5132.7</v>
      </c>
      <c r="AO199" s="21">
        <f t="shared" si="140"/>
        <v>10265.4</v>
      </c>
      <c r="AP199" s="22">
        <f t="shared" si="141"/>
        <v>8212.32</v>
      </c>
      <c r="AQ199" s="436"/>
      <c r="AR199" s="479">
        <v>12.33</v>
      </c>
      <c r="AS199" s="485">
        <f t="shared" si="145"/>
        <v>24.66</v>
      </c>
      <c r="AT199" s="382">
        <f t="shared" si="146"/>
        <v>333.02189781021895</v>
      </c>
      <c r="AU199" s="433"/>
      <c r="AV199" s="448" t="s">
        <v>183</v>
      </c>
      <c r="AW199" s="449">
        <f t="shared" si="142"/>
        <v>2</v>
      </c>
      <c r="AX199" s="450">
        <f t="shared" si="143"/>
        <v>8212.32</v>
      </c>
      <c r="AY199" s="570" t="b">
        <f t="shared" si="144"/>
        <v>1</v>
      </c>
    </row>
    <row r="200" spans="1:51" s="558" customFormat="1" ht="13.95" customHeight="1" x14ac:dyDescent="0.3">
      <c r="A200" s="365"/>
      <c r="B200" s="376"/>
      <c r="C200" s="376"/>
      <c r="D200" s="377" t="s">
        <v>196</v>
      </c>
      <c r="E200" s="378" t="s">
        <v>201</v>
      </c>
      <c r="F200" s="378">
        <v>0.88888888888888884</v>
      </c>
      <c r="G200" s="378" t="s">
        <v>329</v>
      </c>
      <c r="H200" s="394">
        <v>60</v>
      </c>
      <c r="I200" s="13"/>
      <c r="J200" s="11"/>
      <c r="K200" s="12"/>
      <c r="L200" s="12"/>
      <c r="M200" s="12"/>
      <c r="N200" s="11"/>
      <c r="O200" s="13"/>
      <c r="P200" s="13"/>
      <c r="Q200" s="11"/>
      <c r="R200" s="12"/>
      <c r="S200" s="12"/>
      <c r="T200" s="12">
        <v>1</v>
      </c>
      <c r="U200" s="11"/>
      <c r="V200" s="13"/>
      <c r="W200" s="13"/>
      <c r="X200" s="11"/>
      <c r="Y200" s="12"/>
      <c r="Z200" s="12"/>
      <c r="AA200" s="12"/>
      <c r="AB200" s="11"/>
      <c r="AC200" s="13"/>
      <c r="AD200" s="13"/>
      <c r="AE200" s="11"/>
      <c r="AF200" s="12"/>
      <c r="AG200" s="12"/>
      <c r="AH200" s="12"/>
      <c r="AI200" s="11"/>
      <c r="AJ200" s="13"/>
      <c r="AK200" s="379">
        <f t="shared" si="138"/>
        <v>1</v>
      </c>
      <c r="AL200" s="390">
        <v>17652</v>
      </c>
      <c r="AM200" s="19">
        <v>0.1</v>
      </c>
      <c r="AN200" s="20">
        <f t="shared" si="139"/>
        <v>15886.800000000001</v>
      </c>
      <c r="AO200" s="21">
        <f t="shared" si="140"/>
        <v>15886.800000000001</v>
      </c>
      <c r="AP200" s="22">
        <f t="shared" si="141"/>
        <v>12709.440000000002</v>
      </c>
      <c r="AQ200" s="436"/>
      <c r="AR200" s="481">
        <v>13.4</v>
      </c>
      <c r="AS200" s="485">
        <f t="shared" si="145"/>
        <v>13.4</v>
      </c>
      <c r="AT200" s="382">
        <f t="shared" si="146"/>
        <v>948.46567164179123</v>
      </c>
      <c r="AU200" s="433"/>
      <c r="AV200" s="448" t="s">
        <v>183</v>
      </c>
      <c r="AW200" s="449">
        <f t="shared" si="142"/>
        <v>1</v>
      </c>
      <c r="AX200" s="450">
        <f t="shared" si="143"/>
        <v>12709.440000000002</v>
      </c>
      <c r="AY200" s="570" t="b">
        <f t="shared" si="144"/>
        <v>1</v>
      </c>
    </row>
    <row r="201" spans="1:51" s="558" customFormat="1" ht="13.95" customHeight="1" x14ac:dyDescent="0.3">
      <c r="A201" s="365"/>
      <c r="B201" s="376"/>
      <c r="C201" s="376"/>
      <c r="D201" s="389" t="s">
        <v>196</v>
      </c>
      <c r="E201" s="378" t="s">
        <v>201</v>
      </c>
      <c r="F201" s="378">
        <v>0.88888888888888884</v>
      </c>
      <c r="G201" s="378" t="s">
        <v>329</v>
      </c>
      <c r="H201" s="394">
        <v>30</v>
      </c>
      <c r="I201" s="13"/>
      <c r="J201" s="11"/>
      <c r="K201" s="12"/>
      <c r="L201" s="12"/>
      <c r="M201" s="12"/>
      <c r="N201" s="11"/>
      <c r="O201" s="13"/>
      <c r="P201" s="13"/>
      <c r="Q201" s="11"/>
      <c r="R201" s="12"/>
      <c r="S201" s="12"/>
      <c r="T201" s="12"/>
      <c r="U201" s="11"/>
      <c r="V201" s="13"/>
      <c r="W201" s="13"/>
      <c r="X201" s="11"/>
      <c r="Y201" s="12"/>
      <c r="Z201" s="12"/>
      <c r="AA201" s="12"/>
      <c r="AB201" s="11"/>
      <c r="AC201" s="13"/>
      <c r="AD201" s="13"/>
      <c r="AE201" s="11"/>
      <c r="AF201" s="12">
        <v>1</v>
      </c>
      <c r="AG201" s="12"/>
      <c r="AH201" s="12"/>
      <c r="AI201" s="11"/>
      <c r="AJ201" s="13"/>
      <c r="AK201" s="379">
        <f t="shared" si="138"/>
        <v>1</v>
      </c>
      <c r="AL201" s="390">
        <v>8826</v>
      </c>
      <c r="AM201" s="19">
        <v>0.1</v>
      </c>
      <c r="AN201" s="20">
        <f t="shared" si="139"/>
        <v>7943.4000000000005</v>
      </c>
      <c r="AO201" s="21">
        <f t="shared" si="140"/>
        <v>7943.4000000000005</v>
      </c>
      <c r="AP201" s="22">
        <f t="shared" si="141"/>
        <v>6354.7200000000012</v>
      </c>
      <c r="AQ201" s="436"/>
      <c r="AR201" s="481">
        <v>13.4</v>
      </c>
      <c r="AS201" s="485">
        <f t="shared" si="145"/>
        <v>13.4</v>
      </c>
      <c r="AT201" s="382">
        <f t="shared" si="146"/>
        <v>474.23283582089562</v>
      </c>
      <c r="AU201" s="433"/>
      <c r="AV201" s="448" t="s">
        <v>183</v>
      </c>
      <c r="AW201" s="449">
        <f t="shared" si="142"/>
        <v>1</v>
      </c>
      <c r="AX201" s="450">
        <f t="shared" si="143"/>
        <v>6354.7200000000012</v>
      </c>
      <c r="AY201" s="570" t="b">
        <f t="shared" si="144"/>
        <v>1</v>
      </c>
    </row>
    <row r="202" spans="1:51" s="558" customFormat="1" ht="13.95" customHeight="1" x14ac:dyDescent="0.3">
      <c r="A202" s="365"/>
      <c r="B202" s="376"/>
      <c r="C202" s="376"/>
      <c r="D202" s="396" t="s">
        <v>320</v>
      </c>
      <c r="E202" s="378" t="s">
        <v>201</v>
      </c>
      <c r="F202" s="378">
        <v>0.71180555555555558</v>
      </c>
      <c r="G202" s="378" t="s">
        <v>330</v>
      </c>
      <c r="H202" s="394">
        <v>30</v>
      </c>
      <c r="I202" s="13"/>
      <c r="J202" s="11"/>
      <c r="K202" s="12"/>
      <c r="L202" s="12"/>
      <c r="M202" s="12"/>
      <c r="N202" s="11"/>
      <c r="O202" s="13"/>
      <c r="P202" s="13"/>
      <c r="Q202" s="11"/>
      <c r="R202" s="12"/>
      <c r="S202" s="12"/>
      <c r="T202" s="12"/>
      <c r="U202" s="11"/>
      <c r="V202" s="13"/>
      <c r="W202" s="13"/>
      <c r="X202" s="11">
        <v>1</v>
      </c>
      <c r="Y202" s="12"/>
      <c r="Z202" s="12"/>
      <c r="AA202" s="12"/>
      <c r="AB202" s="11"/>
      <c r="AC202" s="13"/>
      <c r="AD202" s="13"/>
      <c r="AE202" s="11"/>
      <c r="AF202" s="12"/>
      <c r="AG202" s="12">
        <v>1</v>
      </c>
      <c r="AH202" s="12"/>
      <c r="AI202" s="11"/>
      <c r="AJ202" s="13"/>
      <c r="AK202" s="379">
        <f t="shared" si="138"/>
        <v>2</v>
      </c>
      <c r="AL202" s="390">
        <v>1342</v>
      </c>
      <c r="AM202" s="19">
        <v>0.1</v>
      </c>
      <c r="AN202" s="20">
        <f t="shared" si="139"/>
        <v>1207.8</v>
      </c>
      <c r="AO202" s="21">
        <f t="shared" si="140"/>
        <v>2415.6</v>
      </c>
      <c r="AP202" s="22">
        <f t="shared" si="141"/>
        <v>1932.48</v>
      </c>
      <c r="AQ202" s="436"/>
      <c r="AR202" s="479">
        <v>9.2100000000000009</v>
      </c>
      <c r="AS202" s="485">
        <f t="shared" si="145"/>
        <v>18.420000000000002</v>
      </c>
      <c r="AT202" s="382">
        <f t="shared" si="146"/>
        <v>104.91205211726384</v>
      </c>
      <c r="AU202" s="433"/>
      <c r="AV202" s="448" t="s">
        <v>183</v>
      </c>
      <c r="AW202" s="449">
        <f t="shared" si="142"/>
        <v>2</v>
      </c>
      <c r="AX202" s="450">
        <f t="shared" si="143"/>
        <v>1932.48</v>
      </c>
      <c r="AY202" s="570" t="b">
        <f t="shared" si="144"/>
        <v>1</v>
      </c>
    </row>
    <row r="203" spans="1:51" s="558" customFormat="1" ht="13.95" customHeight="1" x14ac:dyDescent="0.3">
      <c r="A203" s="365"/>
      <c r="B203" s="376"/>
      <c r="C203" s="376"/>
      <c r="D203" s="396"/>
      <c r="E203" s="378"/>
      <c r="F203" s="378"/>
      <c r="G203" s="378"/>
      <c r="H203" s="394"/>
      <c r="I203" s="13"/>
      <c r="J203" s="11"/>
      <c r="K203" s="12"/>
      <c r="L203" s="12"/>
      <c r="M203" s="12"/>
      <c r="N203" s="11"/>
      <c r="O203" s="13"/>
      <c r="P203" s="13"/>
      <c r="Q203" s="11"/>
      <c r="R203" s="12"/>
      <c r="S203" s="12"/>
      <c r="T203" s="12"/>
      <c r="U203" s="11"/>
      <c r="V203" s="13"/>
      <c r="W203" s="13"/>
      <c r="X203" s="11"/>
      <c r="Y203" s="12"/>
      <c r="Z203" s="12"/>
      <c r="AA203" s="12"/>
      <c r="AB203" s="11"/>
      <c r="AC203" s="13"/>
      <c r="AD203" s="13"/>
      <c r="AE203" s="11"/>
      <c r="AF203" s="12"/>
      <c r="AG203" s="12"/>
      <c r="AH203" s="12"/>
      <c r="AI203" s="11"/>
      <c r="AJ203" s="13"/>
      <c r="AK203" s="504"/>
      <c r="AL203" s="505"/>
      <c r="AM203" s="506"/>
      <c r="AN203" s="337"/>
      <c r="AO203" s="170"/>
      <c r="AP203" s="170"/>
      <c r="AQ203" s="436"/>
      <c r="AR203" s="479"/>
      <c r="AS203" s="485">
        <f t="shared" ref="AS203:AS217" si="147">AR203*AK203</f>
        <v>0</v>
      </c>
      <c r="AT203" s="382">
        <f t="shared" ref="AT203:AT217" si="148">IFERROR(AP203/AS203,0)</f>
        <v>0</v>
      </c>
      <c r="AU203" s="433"/>
      <c r="AV203" s="451" t="s">
        <v>142</v>
      </c>
      <c r="AW203" s="425">
        <f>SUM(AW186:AW202)</f>
        <v>19</v>
      </c>
      <c r="AX203" s="426">
        <f>SUM(AX186:AX202)</f>
        <v>57379.680000000008</v>
      </c>
      <c r="AY203" s="570" t="b">
        <f>SUM(AP186:AP202)=AX203</f>
        <v>1</v>
      </c>
    </row>
    <row r="204" spans="1:51" s="558" customFormat="1" ht="13.95" customHeight="1" x14ac:dyDescent="0.3">
      <c r="A204" s="365"/>
      <c r="B204" s="376" t="s">
        <v>283</v>
      </c>
      <c r="C204" s="376" t="s">
        <v>225</v>
      </c>
      <c r="D204" s="396" t="s">
        <v>332</v>
      </c>
      <c r="E204" s="378" t="s">
        <v>201</v>
      </c>
      <c r="F204" s="378">
        <v>0.6875</v>
      </c>
      <c r="G204" s="378" t="s">
        <v>334</v>
      </c>
      <c r="H204" s="394">
        <v>60</v>
      </c>
      <c r="I204" s="13"/>
      <c r="J204" s="11"/>
      <c r="K204" s="12"/>
      <c r="L204" s="12"/>
      <c r="M204" s="12"/>
      <c r="N204" s="11"/>
      <c r="O204" s="13"/>
      <c r="P204" s="13"/>
      <c r="Q204" s="11"/>
      <c r="R204" s="12"/>
      <c r="S204" s="12"/>
      <c r="T204" s="12"/>
      <c r="U204" s="12">
        <v>1</v>
      </c>
      <c r="V204" s="13"/>
      <c r="W204" s="13"/>
      <c r="X204" s="11"/>
      <c r="Y204" s="12"/>
      <c r="Z204" s="12"/>
      <c r="AA204" s="12"/>
      <c r="AB204" s="11"/>
      <c r="AC204" s="13"/>
      <c r="AD204" s="13"/>
      <c r="AE204" s="11"/>
      <c r="AF204" s="12"/>
      <c r="AG204" s="12"/>
      <c r="AH204" s="12"/>
      <c r="AI204" s="11"/>
      <c r="AJ204" s="13"/>
      <c r="AK204" s="379">
        <f t="shared" ref="AK204:AK217" si="149">SUM(I204:AJ204)</f>
        <v>1</v>
      </c>
      <c r="AL204" s="390">
        <v>5524</v>
      </c>
      <c r="AM204" s="19">
        <v>0.78</v>
      </c>
      <c r="AN204" s="20">
        <f t="shared" ref="AN204:AN217" si="150">AL204*(1-AM204)</f>
        <v>1215.2799999999997</v>
      </c>
      <c r="AO204" s="21">
        <f t="shared" ref="AO204:AO217" si="151">AN204*AK204</f>
        <v>1215.2799999999997</v>
      </c>
      <c r="AP204" s="22">
        <f t="shared" ref="AP204:AP217" si="152">AO204*0.8</f>
        <v>972.22399999999982</v>
      </c>
      <c r="AQ204" s="436"/>
      <c r="AR204" s="479">
        <v>2.19</v>
      </c>
      <c r="AS204" s="485">
        <f t="shared" si="147"/>
        <v>2.19</v>
      </c>
      <c r="AT204" s="382">
        <f t="shared" si="148"/>
        <v>443.93789954337893</v>
      </c>
      <c r="AU204" s="433"/>
      <c r="AV204" s="448" t="s">
        <v>225</v>
      </c>
      <c r="AW204" s="449">
        <f t="shared" ref="AW204:AW216" si="153">SUM(I204:AJ204)</f>
        <v>1</v>
      </c>
      <c r="AX204" s="450">
        <f t="shared" ref="AX204:AX215" si="154">AW204*AN204*0.8</f>
        <v>972.22399999999982</v>
      </c>
      <c r="AY204" s="570" t="b">
        <f t="shared" ref="AY204:AY217" si="155">SUM(AX204)=AP204</f>
        <v>1</v>
      </c>
    </row>
    <row r="205" spans="1:51" s="558" customFormat="1" ht="13.95" customHeight="1" x14ac:dyDescent="0.3">
      <c r="A205" s="365"/>
      <c r="B205" s="376"/>
      <c r="C205" s="376"/>
      <c r="D205" s="377" t="s">
        <v>332</v>
      </c>
      <c r="E205" s="378" t="s">
        <v>201</v>
      </c>
      <c r="F205" s="378">
        <v>0.6875</v>
      </c>
      <c r="G205" s="378" t="s">
        <v>334</v>
      </c>
      <c r="H205" s="394">
        <v>30</v>
      </c>
      <c r="I205" s="13"/>
      <c r="J205" s="11"/>
      <c r="K205" s="12"/>
      <c r="L205" s="12"/>
      <c r="M205" s="12"/>
      <c r="N205" s="11"/>
      <c r="O205" s="13"/>
      <c r="P205" s="13"/>
      <c r="Q205" s="11"/>
      <c r="R205" s="12"/>
      <c r="S205" s="12"/>
      <c r="T205" s="12"/>
      <c r="U205" s="11"/>
      <c r="V205" s="13"/>
      <c r="W205" s="13"/>
      <c r="X205" s="11"/>
      <c r="Y205" s="12">
        <v>1</v>
      </c>
      <c r="Z205" s="12"/>
      <c r="AA205" s="12">
        <v>1</v>
      </c>
      <c r="AB205" s="11"/>
      <c r="AC205" s="13"/>
      <c r="AD205" s="13"/>
      <c r="AE205" s="11"/>
      <c r="AF205" s="12">
        <v>1</v>
      </c>
      <c r="AG205" s="12"/>
      <c r="AH205" s="12"/>
      <c r="AI205" s="11"/>
      <c r="AJ205" s="13"/>
      <c r="AK205" s="379">
        <f t="shared" si="149"/>
        <v>3</v>
      </c>
      <c r="AL205" s="390">
        <v>2762</v>
      </c>
      <c r="AM205" s="19">
        <v>0.78</v>
      </c>
      <c r="AN205" s="20">
        <f t="shared" si="150"/>
        <v>607.63999999999987</v>
      </c>
      <c r="AO205" s="21">
        <f t="shared" si="151"/>
        <v>1822.9199999999996</v>
      </c>
      <c r="AP205" s="22">
        <f t="shared" si="152"/>
        <v>1458.3359999999998</v>
      </c>
      <c r="AQ205" s="436"/>
      <c r="AR205" s="479">
        <v>2.19</v>
      </c>
      <c r="AS205" s="485">
        <f t="shared" si="147"/>
        <v>6.57</v>
      </c>
      <c r="AT205" s="382">
        <f t="shared" si="148"/>
        <v>221.96894977168947</v>
      </c>
      <c r="AU205" s="433"/>
      <c r="AV205" s="448" t="s">
        <v>225</v>
      </c>
      <c r="AW205" s="449">
        <f t="shared" si="153"/>
        <v>3</v>
      </c>
      <c r="AX205" s="450">
        <f t="shared" si="154"/>
        <v>1458.3359999999998</v>
      </c>
      <c r="AY205" s="570" t="b">
        <f t="shared" si="155"/>
        <v>1</v>
      </c>
    </row>
    <row r="206" spans="1:51" s="558" customFormat="1" ht="13.95" hidden="1" customHeight="1" x14ac:dyDescent="0.3">
      <c r="A206" s="365"/>
      <c r="B206" s="376"/>
      <c r="C206" s="376"/>
      <c r="D206" s="377" t="s">
        <v>219</v>
      </c>
      <c r="E206" s="378" t="s">
        <v>203</v>
      </c>
      <c r="F206" s="378">
        <v>0.75</v>
      </c>
      <c r="G206" s="378" t="s">
        <v>227</v>
      </c>
      <c r="H206" s="394">
        <v>60</v>
      </c>
      <c r="I206" s="13"/>
      <c r="J206" s="11"/>
      <c r="K206" s="12"/>
      <c r="L206" s="12"/>
      <c r="M206" s="12"/>
      <c r="N206" s="11"/>
      <c r="O206" s="13"/>
      <c r="P206" s="13"/>
      <c r="Q206" s="11"/>
      <c r="R206" s="12"/>
      <c r="S206" s="12"/>
      <c r="T206" s="12"/>
      <c r="U206" s="11"/>
      <c r="V206" s="13"/>
      <c r="W206" s="13"/>
      <c r="X206" s="11"/>
      <c r="Y206" s="12"/>
      <c r="Z206" s="12"/>
      <c r="AA206" s="12"/>
      <c r="AB206" s="11"/>
      <c r="AC206" s="13"/>
      <c r="AD206" s="13"/>
      <c r="AE206" s="11"/>
      <c r="AF206" s="12"/>
      <c r="AG206" s="12"/>
      <c r="AH206" s="12"/>
      <c r="AI206" s="11"/>
      <c r="AJ206" s="13"/>
      <c r="AK206" s="379">
        <f t="shared" si="149"/>
        <v>0</v>
      </c>
      <c r="AL206" s="390">
        <v>17244</v>
      </c>
      <c r="AM206" s="19">
        <v>0.78</v>
      </c>
      <c r="AN206" s="20">
        <f t="shared" si="150"/>
        <v>3793.6799999999994</v>
      </c>
      <c r="AO206" s="21">
        <f t="shared" si="151"/>
        <v>0</v>
      </c>
      <c r="AP206" s="22">
        <f t="shared" si="152"/>
        <v>0</v>
      </c>
      <c r="AQ206" s="436"/>
      <c r="AR206" s="479">
        <v>3.05</v>
      </c>
      <c r="AS206" s="485">
        <f t="shared" si="147"/>
        <v>0</v>
      </c>
      <c r="AT206" s="382">
        <f t="shared" si="148"/>
        <v>0</v>
      </c>
      <c r="AU206" s="433"/>
      <c r="AV206" s="448" t="s">
        <v>225</v>
      </c>
      <c r="AW206" s="449">
        <f t="shared" si="153"/>
        <v>0</v>
      </c>
      <c r="AX206" s="450">
        <f t="shared" si="154"/>
        <v>0</v>
      </c>
      <c r="AY206" s="570" t="b">
        <f t="shared" si="155"/>
        <v>1</v>
      </c>
    </row>
    <row r="207" spans="1:51" s="558" customFormat="1" ht="13.95" customHeight="1" x14ac:dyDescent="0.3">
      <c r="A207" s="365"/>
      <c r="B207" s="376"/>
      <c r="C207" s="376"/>
      <c r="D207" s="389" t="s">
        <v>219</v>
      </c>
      <c r="E207" s="378" t="s">
        <v>203</v>
      </c>
      <c r="F207" s="378">
        <v>0.75</v>
      </c>
      <c r="G207" s="378" t="s">
        <v>227</v>
      </c>
      <c r="H207" s="394">
        <v>30</v>
      </c>
      <c r="I207" s="13"/>
      <c r="J207" s="11"/>
      <c r="K207" s="12"/>
      <c r="L207" s="12"/>
      <c r="M207" s="12"/>
      <c r="N207" s="11"/>
      <c r="O207" s="13"/>
      <c r="P207" s="13"/>
      <c r="Q207" s="11"/>
      <c r="R207" s="12"/>
      <c r="S207" s="12"/>
      <c r="T207" s="12"/>
      <c r="U207" s="11"/>
      <c r="V207" s="13"/>
      <c r="W207" s="13">
        <v>1</v>
      </c>
      <c r="X207" s="11"/>
      <c r="Y207" s="12"/>
      <c r="Z207" s="12"/>
      <c r="AA207" s="12"/>
      <c r="AB207" s="11"/>
      <c r="AC207" s="13"/>
      <c r="AD207" s="13">
        <v>1</v>
      </c>
      <c r="AE207" s="11"/>
      <c r="AF207" s="12"/>
      <c r="AG207" s="12"/>
      <c r="AH207" s="12"/>
      <c r="AI207" s="11"/>
      <c r="AJ207" s="13"/>
      <c r="AK207" s="379">
        <f t="shared" si="149"/>
        <v>2</v>
      </c>
      <c r="AL207" s="390">
        <v>8622</v>
      </c>
      <c r="AM207" s="19">
        <v>0.78</v>
      </c>
      <c r="AN207" s="20">
        <f t="shared" si="150"/>
        <v>1896.8399999999997</v>
      </c>
      <c r="AO207" s="21">
        <f t="shared" si="151"/>
        <v>3793.6799999999994</v>
      </c>
      <c r="AP207" s="22">
        <f t="shared" si="152"/>
        <v>3034.9439999999995</v>
      </c>
      <c r="AQ207" s="436"/>
      <c r="AR207" s="479">
        <v>3.05</v>
      </c>
      <c r="AS207" s="485">
        <f t="shared" si="147"/>
        <v>6.1</v>
      </c>
      <c r="AT207" s="382">
        <f t="shared" si="148"/>
        <v>497.53180327868847</v>
      </c>
      <c r="AU207" s="433"/>
      <c r="AV207" s="448" t="s">
        <v>225</v>
      </c>
      <c r="AW207" s="449">
        <f t="shared" si="153"/>
        <v>2</v>
      </c>
      <c r="AX207" s="450">
        <f t="shared" si="154"/>
        <v>3034.9439999999995</v>
      </c>
      <c r="AY207" s="570" t="b">
        <f t="shared" si="155"/>
        <v>1</v>
      </c>
    </row>
    <row r="208" spans="1:51" s="558" customFormat="1" ht="13.95" customHeight="1" x14ac:dyDescent="0.3">
      <c r="A208" s="365"/>
      <c r="B208" s="376"/>
      <c r="C208" s="376"/>
      <c r="D208" s="396" t="s">
        <v>220</v>
      </c>
      <c r="E208" s="378" t="s">
        <v>201</v>
      </c>
      <c r="F208" s="378">
        <v>0.35416666666666669</v>
      </c>
      <c r="G208" s="378" t="s">
        <v>228</v>
      </c>
      <c r="H208" s="394">
        <v>30</v>
      </c>
      <c r="I208" s="13"/>
      <c r="J208" s="11"/>
      <c r="K208" s="12"/>
      <c r="L208" s="12"/>
      <c r="M208" s="12"/>
      <c r="N208" s="11"/>
      <c r="O208" s="13"/>
      <c r="P208" s="13"/>
      <c r="Q208" s="11"/>
      <c r="R208" s="12"/>
      <c r="S208" s="12"/>
      <c r="T208" s="12"/>
      <c r="U208" s="11"/>
      <c r="V208" s="13"/>
      <c r="W208" s="13"/>
      <c r="X208" s="11"/>
      <c r="Y208" s="12"/>
      <c r="Z208" s="12">
        <v>1</v>
      </c>
      <c r="AA208" s="12"/>
      <c r="AB208" s="11">
        <v>1</v>
      </c>
      <c r="AC208" s="13"/>
      <c r="AD208" s="13"/>
      <c r="AE208" s="11">
        <v>1</v>
      </c>
      <c r="AF208" s="12"/>
      <c r="AG208" s="12">
        <v>1</v>
      </c>
      <c r="AH208" s="12"/>
      <c r="AI208" s="11"/>
      <c r="AJ208" s="13"/>
      <c r="AK208" s="379">
        <f t="shared" si="149"/>
        <v>4</v>
      </c>
      <c r="AL208" s="390">
        <v>2838</v>
      </c>
      <c r="AM208" s="19">
        <v>0.78</v>
      </c>
      <c r="AN208" s="20">
        <f t="shared" si="150"/>
        <v>624.3599999999999</v>
      </c>
      <c r="AO208" s="21">
        <f t="shared" si="151"/>
        <v>2497.4399999999996</v>
      </c>
      <c r="AP208" s="22">
        <f t="shared" si="152"/>
        <v>1997.9519999999998</v>
      </c>
      <c r="AQ208" s="436"/>
      <c r="AR208" s="479">
        <v>1.95</v>
      </c>
      <c r="AS208" s="485">
        <f t="shared" si="147"/>
        <v>7.8</v>
      </c>
      <c r="AT208" s="382">
        <f t="shared" si="148"/>
        <v>256.1476923076923</v>
      </c>
      <c r="AU208" s="433"/>
      <c r="AV208" s="448" t="s">
        <v>225</v>
      </c>
      <c r="AW208" s="449">
        <f t="shared" si="153"/>
        <v>4</v>
      </c>
      <c r="AX208" s="450">
        <f t="shared" si="154"/>
        <v>1997.9519999999998</v>
      </c>
      <c r="AY208" s="570" t="b">
        <f t="shared" si="155"/>
        <v>1</v>
      </c>
    </row>
    <row r="209" spans="1:73" s="558" customFormat="1" ht="13.95" customHeight="1" x14ac:dyDescent="0.3">
      <c r="A209" s="365"/>
      <c r="B209" s="376"/>
      <c r="C209" s="376"/>
      <c r="D209" s="377" t="s">
        <v>221</v>
      </c>
      <c r="E209" s="378" t="s">
        <v>201</v>
      </c>
      <c r="F209" s="378">
        <v>0.39930555555555558</v>
      </c>
      <c r="G209" s="378" t="s">
        <v>229</v>
      </c>
      <c r="H209" s="394">
        <v>60</v>
      </c>
      <c r="I209" s="13"/>
      <c r="J209" s="11"/>
      <c r="K209" s="12"/>
      <c r="L209" s="12"/>
      <c r="M209" s="12"/>
      <c r="N209" s="11"/>
      <c r="O209" s="13"/>
      <c r="P209" s="13"/>
      <c r="Q209" s="11"/>
      <c r="R209" s="12"/>
      <c r="S209" s="12"/>
      <c r="T209" s="12">
        <v>1</v>
      </c>
      <c r="U209" s="11"/>
      <c r="V209" s="13"/>
      <c r="W209" s="13"/>
      <c r="X209" s="11"/>
      <c r="Y209" s="12"/>
      <c r="Z209" s="12"/>
      <c r="AA209" s="12"/>
      <c r="AB209" s="11"/>
      <c r="AC209" s="13"/>
      <c r="AD209" s="13"/>
      <c r="AE209" s="11"/>
      <c r="AF209" s="12"/>
      <c r="AG209" s="12"/>
      <c r="AH209" s="12"/>
      <c r="AI209" s="11"/>
      <c r="AJ209" s="13"/>
      <c r="AK209" s="379">
        <f t="shared" si="149"/>
        <v>1</v>
      </c>
      <c r="AL209" s="390">
        <v>5254</v>
      </c>
      <c r="AM209" s="19">
        <v>0.78</v>
      </c>
      <c r="AN209" s="20">
        <f t="shared" si="150"/>
        <v>1155.8799999999999</v>
      </c>
      <c r="AO209" s="21">
        <f t="shared" si="151"/>
        <v>1155.8799999999999</v>
      </c>
      <c r="AP209" s="22">
        <f t="shared" si="152"/>
        <v>924.70399999999995</v>
      </c>
      <c r="AQ209" s="436"/>
      <c r="AR209" s="479">
        <v>2.0099999999999998</v>
      </c>
      <c r="AS209" s="485">
        <f t="shared" si="147"/>
        <v>2.0099999999999998</v>
      </c>
      <c r="AT209" s="382">
        <f t="shared" si="148"/>
        <v>460.05174129353236</v>
      </c>
      <c r="AU209" s="433"/>
      <c r="AV209" s="448" t="s">
        <v>225</v>
      </c>
      <c r="AW209" s="449">
        <f t="shared" si="153"/>
        <v>1</v>
      </c>
      <c r="AX209" s="450">
        <f t="shared" si="154"/>
        <v>924.70399999999995</v>
      </c>
      <c r="AY209" s="570" t="b">
        <f t="shared" si="155"/>
        <v>1</v>
      </c>
    </row>
    <row r="210" spans="1:73" s="558" customFormat="1" ht="13.95" customHeight="1" x14ac:dyDescent="0.3">
      <c r="A210" s="365"/>
      <c r="B210" s="376"/>
      <c r="C210" s="376"/>
      <c r="D210" s="389" t="s">
        <v>221</v>
      </c>
      <c r="E210" s="378" t="s">
        <v>201</v>
      </c>
      <c r="F210" s="378">
        <v>0.39930555555555558</v>
      </c>
      <c r="G210" s="378" t="s">
        <v>229</v>
      </c>
      <c r="H210" s="394">
        <v>30</v>
      </c>
      <c r="I210" s="13"/>
      <c r="J210" s="11"/>
      <c r="K210" s="12"/>
      <c r="L210" s="12"/>
      <c r="M210" s="12"/>
      <c r="N210" s="11"/>
      <c r="O210" s="13"/>
      <c r="P210" s="13"/>
      <c r="Q210" s="11"/>
      <c r="R210" s="12"/>
      <c r="S210" s="12"/>
      <c r="T210" s="12"/>
      <c r="U210" s="11"/>
      <c r="V210" s="13"/>
      <c r="W210" s="13"/>
      <c r="X210" s="11">
        <v>1</v>
      </c>
      <c r="Y210" s="12"/>
      <c r="Z210" s="12"/>
      <c r="AA210" s="12">
        <v>1</v>
      </c>
      <c r="AB210" s="11"/>
      <c r="AC210" s="13"/>
      <c r="AD210" s="13"/>
      <c r="AE210" s="11"/>
      <c r="AF210" s="12">
        <v>1</v>
      </c>
      <c r="AG210" s="12"/>
      <c r="AH210" s="12"/>
      <c r="AI210" s="11"/>
      <c r="AJ210" s="13"/>
      <c r="AK210" s="379">
        <f t="shared" si="149"/>
        <v>3</v>
      </c>
      <c r="AL210" s="390">
        <v>2627</v>
      </c>
      <c r="AM210" s="19">
        <v>0.78</v>
      </c>
      <c r="AN210" s="20">
        <f t="shared" si="150"/>
        <v>577.93999999999994</v>
      </c>
      <c r="AO210" s="21">
        <f t="shared" si="151"/>
        <v>1733.8199999999997</v>
      </c>
      <c r="AP210" s="22">
        <f t="shared" si="152"/>
        <v>1387.0559999999998</v>
      </c>
      <c r="AQ210" s="436"/>
      <c r="AR210" s="479">
        <v>2</v>
      </c>
      <c r="AS210" s="485">
        <f t="shared" si="147"/>
        <v>6</v>
      </c>
      <c r="AT210" s="382">
        <f t="shared" si="148"/>
        <v>231.17599999999996</v>
      </c>
      <c r="AU210" s="433"/>
      <c r="AV210" s="448" t="s">
        <v>225</v>
      </c>
      <c r="AW210" s="449">
        <f t="shared" si="153"/>
        <v>3</v>
      </c>
      <c r="AX210" s="450">
        <f t="shared" si="154"/>
        <v>1387.0559999999998</v>
      </c>
      <c r="AY210" s="570" t="b">
        <f t="shared" si="155"/>
        <v>1</v>
      </c>
    </row>
    <row r="211" spans="1:73" s="558" customFormat="1" ht="13.95" customHeight="1" x14ac:dyDescent="0.3">
      <c r="A211" s="365"/>
      <c r="B211" s="376"/>
      <c r="C211" s="376"/>
      <c r="D211" s="396" t="s">
        <v>222</v>
      </c>
      <c r="E211" s="378" t="s">
        <v>201</v>
      </c>
      <c r="F211" s="378">
        <v>0.91666666666666663</v>
      </c>
      <c r="G211" s="378" t="s">
        <v>226</v>
      </c>
      <c r="H211" s="394">
        <v>30</v>
      </c>
      <c r="I211" s="13"/>
      <c r="J211" s="11"/>
      <c r="K211" s="12"/>
      <c r="L211" s="12"/>
      <c r="M211" s="12"/>
      <c r="N211" s="11"/>
      <c r="O211" s="13"/>
      <c r="P211" s="13"/>
      <c r="Q211" s="11"/>
      <c r="R211" s="12"/>
      <c r="S211" s="12"/>
      <c r="T211" s="12"/>
      <c r="U211" s="11"/>
      <c r="V211" s="13"/>
      <c r="W211" s="13"/>
      <c r="X211" s="11"/>
      <c r="Y211" s="12"/>
      <c r="Z211" s="12">
        <v>1</v>
      </c>
      <c r="AA211" s="12"/>
      <c r="AB211" s="11"/>
      <c r="AC211" s="13"/>
      <c r="AD211" s="13"/>
      <c r="AE211" s="11">
        <v>1</v>
      </c>
      <c r="AF211" s="12"/>
      <c r="AG211" s="12"/>
      <c r="AH211" s="12"/>
      <c r="AI211" s="11"/>
      <c r="AJ211" s="13"/>
      <c r="AK211" s="379">
        <f t="shared" si="149"/>
        <v>2</v>
      </c>
      <c r="AL211" s="390">
        <v>8080</v>
      </c>
      <c r="AM211" s="19">
        <v>0.78</v>
      </c>
      <c r="AN211" s="20">
        <f t="shared" si="150"/>
        <v>1777.5999999999997</v>
      </c>
      <c r="AO211" s="21">
        <f t="shared" si="151"/>
        <v>3555.1999999999994</v>
      </c>
      <c r="AP211" s="22">
        <f t="shared" si="152"/>
        <v>2844.16</v>
      </c>
      <c r="AQ211" s="436"/>
      <c r="AR211" s="479">
        <v>2.27</v>
      </c>
      <c r="AS211" s="485">
        <f t="shared" si="147"/>
        <v>4.54</v>
      </c>
      <c r="AT211" s="382">
        <f t="shared" si="148"/>
        <v>626.46696035242292</v>
      </c>
      <c r="AU211" s="433"/>
      <c r="AV211" s="448" t="s">
        <v>225</v>
      </c>
      <c r="AW211" s="449">
        <f t="shared" si="153"/>
        <v>2</v>
      </c>
      <c r="AX211" s="450">
        <f t="shared" si="154"/>
        <v>2844.16</v>
      </c>
      <c r="AY211" s="570" t="b">
        <f t="shared" si="155"/>
        <v>1</v>
      </c>
    </row>
    <row r="212" spans="1:73" s="558" customFormat="1" ht="13.95" customHeight="1" x14ac:dyDescent="0.3">
      <c r="A212" s="365"/>
      <c r="B212" s="376"/>
      <c r="C212" s="376"/>
      <c r="D212" s="377" t="s">
        <v>223</v>
      </c>
      <c r="E212" s="378" t="s">
        <v>201</v>
      </c>
      <c r="F212" s="378">
        <v>0.875</v>
      </c>
      <c r="G212" s="378" t="s">
        <v>230</v>
      </c>
      <c r="H212" s="394">
        <v>60</v>
      </c>
      <c r="I212" s="13"/>
      <c r="J212" s="11"/>
      <c r="K212" s="12"/>
      <c r="L212" s="12"/>
      <c r="M212" s="12"/>
      <c r="N212" s="11"/>
      <c r="O212" s="13"/>
      <c r="P212" s="13"/>
      <c r="Q212" s="11"/>
      <c r="R212" s="12"/>
      <c r="S212" s="12"/>
      <c r="T212" s="12">
        <v>1</v>
      </c>
      <c r="U212" s="11"/>
      <c r="V212" s="13"/>
      <c r="W212" s="13"/>
      <c r="X212" s="11"/>
      <c r="Y212" s="12"/>
      <c r="Z212" s="12"/>
      <c r="AA212" s="12"/>
      <c r="AB212" s="11"/>
      <c r="AC212" s="13"/>
      <c r="AD212" s="13"/>
      <c r="AE212" s="11"/>
      <c r="AF212" s="12"/>
      <c r="AG212" s="12"/>
      <c r="AH212" s="12"/>
      <c r="AI212" s="11"/>
      <c r="AJ212" s="13"/>
      <c r="AK212" s="379">
        <f t="shared" si="149"/>
        <v>1</v>
      </c>
      <c r="AL212" s="390">
        <v>18624</v>
      </c>
      <c r="AM212" s="19">
        <v>0.78</v>
      </c>
      <c r="AN212" s="20">
        <f t="shared" si="150"/>
        <v>4097.28</v>
      </c>
      <c r="AO212" s="21">
        <f t="shared" si="151"/>
        <v>4097.28</v>
      </c>
      <c r="AP212" s="22">
        <f t="shared" si="152"/>
        <v>3277.8240000000001</v>
      </c>
      <c r="AQ212" s="436"/>
      <c r="AR212" s="479">
        <v>2.56</v>
      </c>
      <c r="AS212" s="485">
        <f t="shared" si="147"/>
        <v>2.56</v>
      </c>
      <c r="AT212" s="382">
        <f t="shared" si="148"/>
        <v>1280.4000000000001</v>
      </c>
      <c r="AU212" s="433"/>
      <c r="AV212" s="448" t="s">
        <v>225</v>
      </c>
      <c r="AW212" s="449">
        <f t="shared" si="153"/>
        <v>1</v>
      </c>
      <c r="AX212" s="450">
        <f t="shared" si="154"/>
        <v>3277.8240000000001</v>
      </c>
      <c r="AY212" s="570" t="b">
        <f t="shared" si="155"/>
        <v>1</v>
      </c>
    </row>
    <row r="213" spans="1:73" s="558" customFormat="1" ht="13.95" customHeight="1" x14ac:dyDescent="0.3">
      <c r="A213" s="365"/>
      <c r="B213" s="376"/>
      <c r="C213" s="376"/>
      <c r="D213" s="377" t="s">
        <v>223</v>
      </c>
      <c r="E213" s="378" t="s">
        <v>201</v>
      </c>
      <c r="F213" s="378">
        <v>0.875</v>
      </c>
      <c r="G213" s="378" t="s">
        <v>230</v>
      </c>
      <c r="H213" s="394">
        <v>30</v>
      </c>
      <c r="I213" s="13"/>
      <c r="J213" s="11"/>
      <c r="K213" s="12"/>
      <c r="L213" s="12"/>
      <c r="M213" s="12"/>
      <c r="N213" s="11"/>
      <c r="O213" s="13"/>
      <c r="P213" s="13"/>
      <c r="Q213" s="11"/>
      <c r="R213" s="12"/>
      <c r="S213" s="12"/>
      <c r="T213" s="12"/>
      <c r="U213" s="11"/>
      <c r="V213" s="13"/>
      <c r="W213" s="13"/>
      <c r="X213" s="11"/>
      <c r="Y213" s="12"/>
      <c r="Z213" s="12"/>
      <c r="AA213" s="12"/>
      <c r="AB213" s="11">
        <v>1</v>
      </c>
      <c r="AC213" s="13"/>
      <c r="AD213" s="13"/>
      <c r="AE213" s="12">
        <v>1</v>
      </c>
      <c r="AF213" s="12"/>
      <c r="AH213" s="12"/>
      <c r="AI213" s="11"/>
      <c r="AJ213" s="13"/>
      <c r="AK213" s="379">
        <f t="shared" si="149"/>
        <v>2</v>
      </c>
      <c r="AL213" s="390">
        <v>9312</v>
      </c>
      <c r="AM213" s="19">
        <v>0.78</v>
      </c>
      <c r="AN213" s="20">
        <f t="shared" si="150"/>
        <v>2048.64</v>
      </c>
      <c r="AO213" s="21">
        <f t="shared" si="151"/>
        <v>4097.28</v>
      </c>
      <c r="AP213" s="22">
        <f t="shared" si="152"/>
        <v>3277.8240000000001</v>
      </c>
      <c r="AQ213" s="436"/>
      <c r="AR213" s="479">
        <v>2.56</v>
      </c>
      <c r="AS213" s="485">
        <f t="shared" si="147"/>
        <v>5.12</v>
      </c>
      <c r="AT213" s="382">
        <f t="shared" si="148"/>
        <v>640.20000000000005</v>
      </c>
      <c r="AU213" s="433"/>
      <c r="AV213" s="448" t="s">
        <v>225</v>
      </c>
      <c r="AW213" s="449">
        <f t="shared" si="153"/>
        <v>2</v>
      </c>
      <c r="AX213" s="450">
        <f t="shared" si="154"/>
        <v>3277.8240000000001</v>
      </c>
      <c r="AY213" s="570" t="b">
        <f t="shared" si="155"/>
        <v>1</v>
      </c>
    </row>
    <row r="214" spans="1:73" s="558" customFormat="1" ht="13.95" customHeight="1" x14ac:dyDescent="0.3">
      <c r="A214" s="365"/>
      <c r="B214" s="376"/>
      <c r="C214" s="376"/>
      <c r="D214" s="389" t="s">
        <v>224</v>
      </c>
      <c r="E214" s="378" t="s">
        <v>201</v>
      </c>
      <c r="F214" s="378">
        <v>0.64583333333333337</v>
      </c>
      <c r="G214" s="378" t="s">
        <v>231</v>
      </c>
      <c r="H214" s="394">
        <v>60</v>
      </c>
      <c r="I214" s="13"/>
      <c r="J214" s="11"/>
      <c r="K214" s="12"/>
      <c r="L214" s="12"/>
      <c r="M214" s="12"/>
      <c r="N214" s="11"/>
      <c r="O214" s="13"/>
      <c r="P214" s="13"/>
      <c r="Q214" s="11"/>
      <c r="R214" s="12"/>
      <c r="S214" s="12"/>
      <c r="T214" s="12"/>
      <c r="U214" s="12">
        <v>1</v>
      </c>
      <c r="V214" s="13"/>
      <c r="W214" s="13"/>
      <c r="X214" s="11"/>
      <c r="Y214" s="12"/>
      <c r="Z214" s="12"/>
      <c r="AA214" s="12"/>
      <c r="AB214" s="11"/>
      <c r="AC214" s="13"/>
      <c r="AD214" s="13"/>
      <c r="AE214" s="11"/>
      <c r="AF214" s="12"/>
      <c r="AG214" s="12"/>
      <c r="AH214" s="12"/>
      <c r="AI214" s="11"/>
      <c r="AJ214" s="13"/>
      <c r="AK214" s="379">
        <f t="shared" si="149"/>
        <v>1</v>
      </c>
      <c r="AL214" s="390">
        <f>AL215* 2</f>
        <v>6776</v>
      </c>
      <c r="AM214" s="19">
        <v>0.78</v>
      </c>
      <c r="AN214" s="20">
        <f t="shared" si="150"/>
        <v>1490.7199999999998</v>
      </c>
      <c r="AO214" s="21">
        <f t="shared" si="151"/>
        <v>1490.7199999999998</v>
      </c>
      <c r="AP214" s="22">
        <f t="shared" si="152"/>
        <v>1192.5759999999998</v>
      </c>
      <c r="AQ214" s="436"/>
      <c r="AR214" s="479">
        <v>2.39</v>
      </c>
      <c r="AS214" s="485">
        <f t="shared" si="147"/>
        <v>2.39</v>
      </c>
      <c r="AT214" s="382">
        <f t="shared" si="148"/>
        <v>498.98577405857731</v>
      </c>
      <c r="AU214" s="433"/>
      <c r="AV214" s="448" t="s">
        <v>225</v>
      </c>
      <c r="AW214" s="449">
        <f t="shared" ref="AW214" si="156">SUM(I214:AJ214)</f>
        <v>1</v>
      </c>
      <c r="AX214" s="450">
        <f t="shared" si="154"/>
        <v>1192.5759999999998</v>
      </c>
      <c r="AY214" s="570" t="b">
        <f t="shared" ref="AY214" si="157">SUM(AX214)=AP214</f>
        <v>1</v>
      </c>
    </row>
    <row r="215" spans="1:73" s="558" customFormat="1" ht="13.95" customHeight="1" x14ac:dyDescent="0.3">
      <c r="A215" s="365"/>
      <c r="B215" s="376"/>
      <c r="C215" s="376"/>
      <c r="D215" s="389" t="s">
        <v>224</v>
      </c>
      <c r="E215" s="378" t="s">
        <v>201</v>
      </c>
      <c r="F215" s="378">
        <v>0.64583333333333337</v>
      </c>
      <c r="G215" s="378" t="s">
        <v>231</v>
      </c>
      <c r="H215" s="394">
        <v>30</v>
      </c>
      <c r="I215" s="13"/>
      <c r="J215" s="11"/>
      <c r="K215" s="12"/>
      <c r="L215" s="12"/>
      <c r="M215" s="12"/>
      <c r="N215" s="11"/>
      <c r="O215" s="13"/>
      <c r="P215" s="13"/>
      <c r="Q215" s="11"/>
      <c r="R215" s="12"/>
      <c r="S215" s="12"/>
      <c r="T215" s="12"/>
      <c r="U215" s="11"/>
      <c r="V215" s="13"/>
      <c r="W215" s="13"/>
      <c r="X215" s="11"/>
      <c r="Y215" s="12">
        <v>1</v>
      </c>
      <c r="Z215" s="12"/>
      <c r="AA215" s="12">
        <v>1</v>
      </c>
      <c r="AB215" s="11"/>
      <c r="AC215" s="13"/>
      <c r="AD215" s="13"/>
      <c r="AE215" s="11"/>
      <c r="AF215" s="12"/>
      <c r="AG215" s="12"/>
      <c r="AH215" s="12"/>
      <c r="AI215" s="11"/>
      <c r="AJ215" s="13"/>
      <c r="AK215" s="379">
        <f t="shared" si="149"/>
        <v>2</v>
      </c>
      <c r="AL215" s="390">
        <v>3388</v>
      </c>
      <c r="AM215" s="19">
        <v>0.78</v>
      </c>
      <c r="AN215" s="20">
        <f t="shared" si="150"/>
        <v>745.3599999999999</v>
      </c>
      <c r="AO215" s="21">
        <f t="shared" si="151"/>
        <v>1490.7199999999998</v>
      </c>
      <c r="AP215" s="22">
        <f t="shared" si="152"/>
        <v>1192.5759999999998</v>
      </c>
      <c r="AQ215" s="436"/>
      <c r="AR215" s="479">
        <v>2.39</v>
      </c>
      <c r="AS215" s="485">
        <f t="shared" si="147"/>
        <v>4.78</v>
      </c>
      <c r="AT215" s="382">
        <f t="shared" si="148"/>
        <v>249.49288702928865</v>
      </c>
      <c r="AU215" s="433"/>
      <c r="AV215" s="448" t="s">
        <v>225</v>
      </c>
      <c r="AW215" s="449">
        <f t="shared" si="153"/>
        <v>2</v>
      </c>
      <c r="AX215" s="450">
        <f t="shared" si="154"/>
        <v>1192.5759999999998</v>
      </c>
      <c r="AY215" s="570" t="b">
        <f t="shared" si="155"/>
        <v>1</v>
      </c>
    </row>
    <row r="216" spans="1:73" s="558" customFormat="1" ht="13.95" hidden="1" customHeight="1" x14ac:dyDescent="0.3">
      <c r="A216" s="365"/>
      <c r="B216" s="376"/>
      <c r="C216" s="376"/>
      <c r="D216" s="396" t="s">
        <v>333</v>
      </c>
      <c r="E216" s="378" t="s">
        <v>204</v>
      </c>
      <c r="F216" s="378">
        <v>0.9375</v>
      </c>
      <c r="G216" s="378" t="s">
        <v>335</v>
      </c>
      <c r="H216" s="394">
        <v>60</v>
      </c>
      <c r="I216" s="13"/>
      <c r="J216" s="11"/>
      <c r="K216" s="12"/>
      <c r="L216" s="12"/>
      <c r="M216" s="12"/>
      <c r="N216" s="11"/>
      <c r="O216" s="13"/>
      <c r="P216" s="13"/>
      <c r="Q216" s="11"/>
      <c r="R216" s="12"/>
      <c r="S216" s="12"/>
      <c r="T216" s="12"/>
      <c r="U216" s="11"/>
      <c r="V216" s="13"/>
      <c r="W216" s="13"/>
      <c r="X216" s="11"/>
      <c r="Y216" s="12"/>
      <c r="Z216" s="12"/>
      <c r="AA216" s="12"/>
      <c r="AB216" s="11"/>
      <c r="AC216" s="13"/>
      <c r="AD216" s="13"/>
      <c r="AE216" s="11"/>
      <c r="AF216" s="12"/>
      <c r="AG216" s="12"/>
      <c r="AH216" s="12"/>
      <c r="AI216" s="11"/>
      <c r="AJ216" s="13"/>
      <c r="AK216" s="379">
        <f t="shared" si="149"/>
        <v>0</v>
      </c>
      <c r="AL216" s="390">
        <v>15044</v>
      </c>
      <c r="AM216" s="19">
        <v>0.78</v>
      </c>
      <c r="AN216" s="20">
        <f t="shared" si="150"/>
        <v>3309.6799999999994</v>
      </c>
      <c r="AO216" s="21">
        <f t="shared" si="151"/>
        <v>0</v>
      </c>
      <c r="AP216" s="22">
        <f t="shared" si="152"/>
        <v>0</v>
      </c>
      <c r="AQ216" s="436"/>
      <c r="AR216" s="479">
        <v>1.7</v>
      </c>
      <c r="AS216" s="485">
        <f t="shared" si="147"/>
        <v>0</v>
      </c>
      <c r="AT216" s="382">
        <f t="shared" si="148"/>
        <v>0</v>
      </c>
      <c r="AU216" s="433"/>
      <c r="AV216" s="448" t="s">
        <v>225</v>
      </c>
      <c r="AW216" s="449">
        <f t="shared" si="153"/>
        <v>0</v>
      </c>
      <c r="AX216" s="450">
        <f t="shared" ref="AX216:AX217" si="158">AW216*AN216*0.8</f>
        <v>0</v>
      </c>
      <c r="AY216" s="570" t="b">
        <f t="shared" si="155"/>
        <v>1</v>
      </c>
    </row>
    <row r="217" spans="1:73" s="558" customFormat="1" ht="13.95" customHeight="1" x14ac:dyDescent="0.3">
      <c r="A217" s="365"/>
      <c r="B217" s="376"/>
      <c r="C217" s="376"/>
      <c r="D217" s="389" t="s">
        <v>333</v>
      </c>
      <c r="E217" s="378" t="s">
        <v>204</v>
      </c>
      <c r="F217" s="378">
        <v>0.9375</v>
      </c>
      <c r="G217" s="378" t="s">
        <v>335</v>
      </c>
      <c r="H217" s="394">
        <v>30</v>
      </c>
      <c r="I217" s="13"/>
      <c r="J217" s="11"/>
      <c r="K217" s="12"/>
      <c r="L217" s="12"/>
      <c r="M217" s="12"/>
      <c r="N217" s="11"/>
      <c r="O217" s="13"/>
      <c r="P217" s="13"/>
      <c r="Q217" s="11"/>
      <c r="R217" s="12"/>
      <c r="S217" s="12"/>
      <c r="T217" s="12"/>
      <c r="U217" s="11"/>
      <c r="V217" s="13">
        <v>1</v>
      </c>
      <c r="W217" s="13"/>
      <c r="X217" s="11"/>
      <c r="Y217" s="12"/>
      <c r="Z217" s="12"/>
      <c r="AA217" s="12"/>
      <c r="AB217" s="11"/>
      <c r="AC217" s="13">
        <v>1</v>
      </c>
      <c r="AD217" s="13"/>
      <c r="AE217" s="11"/>
      <c r="AF217" s="12"/>
      <c r="AG217" s="12"/>
      <c r="AH217" s="12"/>
      <c r="AI217" s="11"/>
      <c r="AJ217" s="13"/>
      <c r="AK217" s="379">
        <f t="shared" si="149"/>
        <v>2</v>
      </c>
      <c r="AL217" s="390">
        <v>7522</v>
      </c>
      <c r="AM217" s="19">
        <v>0.78</v>
      </c>
      <c r="AN217" s="20">
        <f t="shared" si="150"/>
        <v>1654.8399999999997</v>
      </c>
      <c r="AO217" s="21">
        <f t="shared" si="151"/>
        <v>3309.6799999999994</v>
      </c>
      <c r="AP217" s="22">
        <f t="shared" si="152"/>
        <v>2647.7439999999997</v>
      </c>
      <c r="AQ217" s="436"/>
      <c r="AR217" s="479">
        <v>1.7</v>
      </c>
      <c r="AS217" s="485">
        <f t="shared" si="147"/>
        <v>3.4</v>
      </c>
      <c r="AT217" s="382">
        <f t="shared" si="148"/>
        <v>778.74823529411753</v>
      </c>
      <c r="AU217" s="433"/>
      <c r="AV217" s="448" t="s">
        <v>225</v>
      </c>
      <c r="AW217" s="449">
        <f>SUM(I217:AJ217)</f>
        <v>2</v>
      </c>
      <c r="AX217" s="450">
        <f t="shared" si="158"/>
        <v>2647.7439999999997</v>
      </c>
      <c r="AY217" s="570" t="b">
        <f t="shared" si="155"/>
        <v>1</v>
      </c>
    </row>
    <row r="218" spans="1:73" s="558" customFormat="1" ht="13.95" customHeight="1" x14ac:dyDescent="0.3">
      <c r="A218" s="365"/>
      <c r="B218" s="376"/>
      <c r="C218" s="376"/>
      <c r="D218" s="396"/>
      <c r="E218" s="378"/>
      <c r="F218" s="378"/>
      <c r="G218" s="378"/>
      <c r="H218" s="394"/>
      <c r="I218" s="13"/>
      <c r="J218" s="11"/>
      <c r="K218" s="12"/>
      <c r="L218" s="12"/>
      <c r="M218" s="12"/>
      <c r="N218" s="11"/>
      <c r="O218" s="13"/>
      <c r="P218" s="13"/>
      <c r="Q218" s="11"/>
      <c r="R218" s="12"/>
      <c r="S218" s="12"/>
      <c r="T218" s="12"/>
      <c r="U218" s="11"/>
      <c r="V218" s="13"/>
      <c r="W218" s="13"/>
      <c r="X218" s="11"/>
      <c r="Y218" s="12"/>
      <c r="Z218" s="12"/>
      <c r="AA218" s="12"/>
      <c r="AB218" s="11"/>
      <c r="AC218" s="13"/>
      <c r="AD218" s="13"/>
      <c r="AE218" s="11"/>
      <c r="AF218" s="12"/>
      <c r="AG218" s="12"/>
      <c r="AH218" s="12"/>
      <c r="AI218" s="11"/>
      <c r="AJ218" s="13"/>
      <c r="AK218" s="504"/>
      <c r="AL218" s="505"/>
      <c r="AM218" s="506"/>
      <c r="AN218" s="337"/>
      <c r="AO218" s="170"/>
      <c r="AP218" s="170"/>
      <c r="AQ218" s="436"/>
      <c r="AR218" s="509"/>
      <c r="AS218" s="510"/>
      <c r="AT218" s="457"/>
      <c r="AU218" s="433"/>
      <c r="AV218" s="451" t="s">
        <v>142</v>
      </c>
      <c r="AW218" s="425">
        <f>SUM(AW204:AW217)</f>
        <v>24</v>
      </c>
      <c r="AX218" s="426">
        <f>SUM(AX204:AX217)</f>
        <v>24207.919999999998</v>
      </c>
      <c r="AY218" s="570" t="b">
        <f>SUM(AP204:AP217)=AX218</f>
        <v>1</v>
      </c>
    </row>
    <row r="219" spans="1:73" ht="3.75" customHeight="1" x14ac:dyDescent="0.3">
      <c r="A219" s="365"/>
      <c r="B219" s="397"/>
      <c r="C219" s="398"/>
      <c r="D219" s="398"/>
      <c r="E219" s="398"/>
      <c r="F219" s="398"/>
      <c r="G219" s="398"/>
      <c r="H219" s="398"/>
      <c r="I219" s="398"/>
      <c r="J219" s="398"/>
      <c r="K219" s="398"/>
      <c r="L219" s="398"/>
      <c r="M219" s="398"/>
      <c r="N219" s="398"/>
      <c r="O219" s="398"/>
      <c r="P219" s="398"/>
      <c r="Q219" s="398"/>
      <c r="R219" s="398"/>
      <c r="S219" s="398"/>
      <c r="T219" s="398"/>
      <c r="U219" s="398"/>
      <c r="V219" s="398"/>
      <c r="W219" s="398"/>
      <c r="X219" s="398"/>
      <c r="Y219" s="398"/>
      <c r="Z219" s="398"/>
      <c r="AA219" s="398"/>
      <c r="AB219" s="398"/>
      <c r="AC219" s="398"/>
      <c r="AD219" s="398"/>
      <c r="AE219" s="398"/>
      <c r="AF219" s="13"/>
      <c r="AG219" s="13"/>
      <c r="AH219" s="398"/>
      <c r="AI219" s="398"/>
      <c r="AJ219" s="398"/>
      <c r="AK219" s="398"/>
      <c r="AL219" s="398"/>
      <c r="AM219" s="398"/>
      <c r="AN219" s="398"/>
      <c r="AO219" s="23"/>
      <c r="AP219" s="24"/>
      <c r="AT219" s="559"/>
      <c r="AV219" s="452"/>
      <c r="AW219" s="453"/>
      <c r="AX219" s="454"/>
    </row>
    <row r="220" spans="1:73" x14ac:dyDescent="0.3">
      <c r="A220" s="433"/>
      <c r="B220" s="25" t="s">
        <v>189</v>
      </c>
      <c r="C220" s="403"/>
      <c r="D220" s="403"/>
      <c r="E220" s="403"/>
      <c r="F220" s="403"/>
      <c r="G220" s="403"/>
      <c r="H220" s="403"/>
      <c r="I220" s="403">
        <f>COUNTA(I12:I23)</f>
        <v>0</v>
      </c>
      <c r="J220" s="403">
        <f>COUNTA(J12:J23)</f>
        <v>0</v>
      </c>
      <c r="K220" s="403">
        <f>COUNTA(K12:K23)</f>
        <v>0</v>
      </c>
      <c r="L220" s="403">
        <f>COUNTA(L12:L23)</f>
        <v>0</v>
      </c>
      <c r="M220" s="403">
        <f>COUNTA(M12:M23)</f>
        <v>0</v>
      </c>
      <c r="N220" s="403">
        <f>SUM(N12:N23)</f>
        <v>0</v>
      </c>
      <c r="O220" s="403">
        <f>SUM(O12:O23)</f>
        <v>0</v>
      </c>
      <c r="P220" s="403">
        <f>SUM(P12:P23)</f>
        <v>0</v>
      </c>
      <c r="Q220" s="403">
        <f t="shared" ref="Q220:AE220" si="159">SUM(Q12:Q218)</f>
        <v>0</v>
      </c>
      <c r="R220" s="403">
        <f t="shared" si="159"/>
        <v>0</v>
      </c>
      <c r="S220" s="403">
        <f t="shared" si="159"/>
        <v>5</v>
      </c>
      <c r="T220" s="403">
        <f t="shared" si="159"/>
        <v>17</v>
      </c>
      <c r="U220" s="403">
        <f t="shared" si="159"/>
        <v>20</v>
      </c>
      <c r="V220" s="403">
        <f t="shared" si="159"/>
        <v>13</v>
      </c>
      <c r="W220" s="403">
        <f t="shared" si="159"/>
        <v>7</v>
      </c>
      <c r="X220" s="403">
        <f t="shared" si="159"/>
        <v>18</v>
      </c>
      <c r="Y220" s="403">
        <f t="shared" si="159"/>
        <v>20</v>
      </c>
      <c r="Z220" s="403">
        <f t="shared" si="159"/>
        <v>16</v>
      </c>
      <c r="AA220" s="403">
        <f t="shared" si="159"/>
        <v>17</v>
      </c>
      <c r="AB220" s="403">
        <f t="shared" si="159"/>
        <v>14</v>
      </c>
      <c r="AC220" s="403">
        <f t="shared" si="159"/>
        <v>8</v>
      </c>
      <c r="AD220" s="403">
        <f t="shared" si="159"/>
        <v>13</v>
      </c>
      <c r="AE220" s="403">
        <f t="shared" si="159"/>
        <v>17</v>
      </c>
      <c r="AF220" s="403">
        <f>SUM(AF13:AF219)</f>
        <v>20</v>
      </c>
      <c r="AG220" s="403">
        <f>SUM(AG13:AG219)</f>
        <v>18</v>
      </c>
      <c r="AH220" s="403">
        <f>SUM(AH12:AH23)</f>
        <v>0</v>
      </c>
      <c r="AI220" s="403">
        <f>SUM(AI12:AI23)</f>
        <v>0</v>
      </c>
      <c r="AJ220" s="403">
        <f>SUM(AJ12:AJ23)</f>
        <v>0</v>
      </c>
      <c r="AK220" s="404">
        <f>SUM(AK13:AK218)</f>
        <v>225</v>
      </c>
      <c r="AL220" s="26"/>
      <c r="AM220" s="26"/>
      <c r="AN220" s="434"/>
      <c r="AO220" s="435">
        <f>SUM(AO13:AO218)</f>
        <v>978265.85000000009</v>
      </c>
      <c r="AP220" s="435">
        <f>SUM(AP13:AP218)</f>
        <v>779631.16000000015</v>
      </c>
      <c r="AR220" s="437"/>
      <c r="AS220" s="438">
        <f>SUM(AS12:AS218)</f>
        <v>963.63999999999976</v>
      </c>
      <c r="AT220" s="439">
        <f>AP220/AS220</f>
        <v>809.04815076169564</v>
      </c>
      <c r="AV220" s="427" t="s">
        <v>171</v>
      </c>
      <c r="AW220" s="440">
        <f>SUM(AW30,AW43,AW58,AW75,AW93,AW108,AW126,AW139,AW152,AW170,AW185,AW203,AW218)</f>
        <v>225</v>
      </c>
      <c r="AX220" s="441">
        <f>SUM(AX30,AX43,AX58,AX75,AX93,AX108,AX126,AX139,AX152,AX170,AX185,AX203,AX218)</f>
        <v>782612.68000000028</v>
      </c>
    </row>
    <row r="221" spans="1:73" s="433" customFormat="1" ht="10.199999999999999" x14ac:dyDescent="0.3">
      <c r="H221" s="359"/>
      <c r="AO221" s="560"/>
      <c r="AP221" s="412"/>
      <c r="AV221" s="359"/>
      <c r="AW221" s="561"/>
      <c r="AX221" s="562"/>
      <c r="AY221" s="570"/>
    </row>
    <row r="222" spans="1:73" s="442" customFormat="1" ht="11.55" customHeight="1" x14ac:dyDescent="0.3">
      <c r="A222" s="433"/>
      <c r="B222" s="584" t="s">
        <v>307</v>
      </c>
      <c r="C222" s="585"/>
      <c r="D222" s="585"/>
      <c r="E222" s="585"/>
      <c r="F222" s="586"/>
      <c r="G222" s="359"/>
      <c r="H222" s="433"/>
      <c r="I222" s="433"/>
      <c r="J222" s="433"/>
      <c r="K222" s="433"/>
      <c r="L222" s="433"/>
      <c r="M222" s="433"/>
      <c r="N222" s="433"/>
      <c r="O222" s="433"/>
      <c r="P222" s="433"/>
      <c r="Q222" s="433"/>
      <c r="R222" s="433"/>
      <c r="S222" s="433"/>
      <c r="T222" s="433"/>
      <c r="U222" s="433"/>
      <c r="V222" s="433"/>
      <c r="W222" s="433"/>
      <c r="X222" s="433"/>
      <c r="Y222" s="433"/>
      <c r="Z222" s="433"/>
      <c r="AA222" s="433"/>
      <c r="AB222" s="433"/>
      <c r="AC222" s="433"/>
      <c r="AD222" s="433"/>
      <c r="AE222" s="433"/>
      <c r="AF222" s="433"/>
      <c r="AG222" s="433"/>
      <c r="AH222" s="433"/>
      <c r="AI222" s="433"/>
      <c r="AJ222" s="433"/>
      <c r="AK222" s="433"/>
      <c r="AL222" s="433"/>
      <c r="AM222" s="433"/>
      <c r="AN222" s="445"/>
      <c r="AO222" s="446"/>
      <c r="AP222" s="433"/>
      <c r="AQ222" s="436"/>
      <c r="AR222" s="436"/>
      <c r="AS222" s="436"/>
      <c r="AT222" s="433"/>
      <c r="AU222" s="359"/>
      <c r="AV222" s="359"/>
      <c r="AW222" s="359"/>
      <c r="AY222" s="571"/>
      <c r="AZ222" s="433"/>
      <c r="BA222" s="433"/>
      <c r="BB222" s="433"/>
      <c r="BC222" s="433"/>
      <c r="BD222" s="433"/>
      <c r="BE222" s="433"/>
      <c r="BF222" s="433"/>
      <c r="BG222" s="433"/>
      <c r="BH222" s="433"/>
      <c r="BI222" s="433"/>
      <c r="BJ222" s="433"/>
      <c r="BK222" s="433"/>
      <c r="BL222" s="433"/>
      <c r="BM222" s="433"/>
      <c r="BN222" s="433"/>
      <c r="BO222" s="433"/>
      <c r="BP222" s="433"/>
      <c r="BQ222" s="433"/>
      <c r="BR222" s="433"/>
      <c r="BS222" s="433"/>
      <c r="BT222" s="433"/>
      <c r="BU222" s="433"/>
    </row>
    <row r="223" spans="1:73" s="442" customFormat="1" ht="11.55" customHeight="1" x14ac:dyDescent="0.3">
      <c r="A223" s="433"/>
      <c r="B223" s="503" t="s">
        <v>308</v>
      </c>
      <c r="C223" s="503" t="s">
        <v>309</v>
      </c>
      <c r="D223" s="511" t="s">
        <v>310</v>
      </c>
      <c r="E223" s="503" t="s">
        <v>311</v>
      </c>
      <c r="F223" s="503" t="s">
        <v>312</v>
      </c>
      <c r="G223" s="359"/>
      <c r="H223" s="433"/>
      <c r="I223" s="433"/>
      <c r="J223" s="433"/>
      <c r="K223" s="433"/>
      <c r="L223" s="433"/>
      <c r="M223" s="433"/>
      <c r="N223" s="433"/>
      <c r="O223" s="433"/>
      <c r="P223" s="433"/>
      <c r="Q223" s="433"/>
      <c r="R223" s="433"/>
      <c r="S223" s="433"/>
      <c r="T223" s="433"/>
      <c r="U223" s="433"/>
      <c r="V223" s="433"/>
      <c r="W223" s="433"/>
      <c r="X223" s="433"/>
      <c r="Y223" s="433"/>
      <c r="Z223" s="433"/>
      <c r="AA223" s="433"/>
      <c r="AB223" s="433"/>
      <c r="AC223" s="433"/>
      <c r="AD223" s="433"/>
      <c r="AE223" s="433"/>
      <c r="AF223" s="433"/>
      <c r="AG223" s="433"/>
      <c r="AH223" s="433"/>
      <c r="AI223" s="433"/>
      <c r="AJ223" s="433"/>
      <c r="AK223" s="433"/>
      <c r="AL223" s="433"/>
      <c r="AM223" s="433"/>
      <c r="AN223" s="433"/>
      <c r="AO223" s="446"/>
      <c r="AP223" s="433"/>
      <c r="AQ223" s="436"/>
      <c r="AR223" s="436"/>
      <c r="AS223" s="436"/>
      <c r="AT223" s="433"/>
      <c r="AU223" s="359"/>
      <c r="AV223" s="359"/>
      <c r="AW223" s="359"/>
      <c r="AY223" s="571"/>
      <c r="AZ223" s="433"/>
      <c r="BA223" s="433"/>
      <c r="BB223" s="433"/>
      <c r="BC223" s="433"/>
      <c r="BD223" s="433"/>
      <c r="BE223" s="433"/>
      <c r="BF223" s="433"/>
      <c r="BG223" s="433"/>
      <c r="BH223" s="433"/>
      <c r="BI223" s="433"/>
      <c r="BJ223" s="433"/>
      <c r="BK223" s="433"/>
      <c r="BL223" s="433"/>
      <c r="BM223" s="433"/>
      <c r="BN223" s="433"/>
      <c r="BO223" s="433"/>
      <c r="BP223" s="433"/>
      <c r="BQ223" s="433"/>
      <c r="BR223" s="433"/>
      <c r="BS223" s="433"/>
      <c r="BT223" s="433"/>
      <c r="BU223" s="433"/>
    </row>
    <row r="224" spans="1:73" s="442" customFormat="1" x14ac:dyDescent="0.3">
      <c r="A224" s="433"/>
      <c r="B224" s="370" t="s">
        <v>157</v>
      </c>
      <c r="C224" s="513">
        <f>SUM(AW30,AW93,AW126,AW170,AW203)</f>
        <v>95</v>
      </c>
      <c r="D224" s="78">
        <f>SUM(AX30,AX93,AX126,AX170,AX203)</f>
        <v>593034.4800000001</v>
      </c>
      <c r="E224" s="516">
        <v>0.56000000000000005</v>
      </c>
      <c r="F224" s="516">
        <f>D224/$D$228</f>
        <v>0.75776242214731315</v>
      </c>
      <c r="G224" s="359" t="s">
        <v>358</v>
      </c>
      <c r="H224" s="553"/>
      <c r="I224" s="433"/>
      <c r="J224" s="433"/>
      <c r="K224" s="433"/>
      <c r="L224" s="433"/>
      <c r="M224" s="433"/>
      <c r="N224" s="433"/>
      <c r="O224" s="433"/>
      <c r="P224" s="433"/>
      <c r="Q224" s="433"/>
      <c r="R224" s="563"/>
      <c r="S224" s="433"/>
      <c r="T224" s="433"/>
      <c r="U224" s="433"/>
      <c r="V224" s="433"/>
      <c r="W224" s="433"/>
      <c r="X224" s="433"/>
      <c r="Y224" s="433"/>
      <c r="Z224" s="433"/>
      <c r="AA224" s="433"/>
      <c r="AB224" s="433"/>
      <c r="AC224" s="433"/>
      <c r="AD224" s="433"/>
      <c r="AE224" s="433"/>
      <c r="AF224" s="433"/>
      <c r="AG224" s="433"/>
      <c r="AH224" s="433"/>
      <c r="AI224" s="433"/>
      <c r="AJ224" s="433"/>
      <c r="AK224" s="433"/>
      <c r="AL224" s="433"/>
      <c r="AM224" s="564"/>
      <c r="AO224" s="446"/>
      <c r="AP224" s="433"/>
      <c r="AQ224" s="436"/>
      <c r="AR224" s="436"/>
      <c r="AS224" s="436"/>
      <c r="AT224" s="433"/>
      <c r="AU224" s="359"/>
      <c r="AV224" s="359"/>
      <c r="AW224" s="359"/>
      <c r="AY224" s="571"/>
      <c r="AZ224" s="433"/>
      <c r="BA224" s="433"/>
      <c r="BB224" s="433"/>
      <c r="BC224" s="433"/>
      <c r="BD224" s="433"/>
      <c r="BE224" s="433"/>
      <c r="BF224" s="433"/>
      <c r="BG224" s="433"/>
      <c r="BH224" s="433"/>
      <c r="BI224" s="433"/>
      <c r="BJ224" s="433"/>
      <c r="BK224" s="433"/>
      <c r="BL224" s="433"/>
      <c r="BM224" s="433"/>
      <c r="BN224" s="433"/>
      <c r="BO224" s="433"/>
      <c r="BP224" s="433"/>
      <c r="BQ224" s="433"/>
      <c r="BR224" s="433"/>
      <c r="BS224" s="433"/>
      <c r="BT224" s="433"/>
      <c r="BU224" s="433"/>
    </row>
    <row r="225" spans="2:51" s="433" customFormat="1" x14ac:dyDescent="0.3">
      <c r="B225" s="419" t="s">
        <v>17</v>
      </c>
      <c r="C225" s="514">
        <f>SUM(AW43,AW139)</f>
        <v>28</v>
      </c>
      <c r="D225" s="91">
        <f>SUM(AX43,AX139)</f>
        <v>25595.400000000005</v>
      </c>
      <c r="E225" s="517">
        <v>0.03</v>
      </c>
      <c r="F225" s="517">
        <f>D225/$D$228</f>
        <v>3.2705066828204218E-2</v>
      </c>
      <c r="G225" s="359" t="s">
        <v>359</v>
      </c>
      <c r="H225" s="553"/>
      <c r="R225" s="563"/>
      <c r="AM225" s="564"/>
      <c r="AO225" s="565"/>
      <c r="AQ225" s="436"/>
      <c r="AR225" s="436"/>
      <c r="AS225" s="436"/>
      <c r="AU225" s="359"/>
      <c r="AV225" s="359"/>
      <c r="AW225" s="359"/>
      <c r="AX225" s="442"/>
      <c r="AY225" s="571"/>
    </row>
    <row r="226" spans="2:51" s="433" customFormat="1" x14ac:dyDescent="0.3">
      <c r="B226" s="419" t="s">
        <v>225</v>
      </c>
      <c r="C226" s="514">
        <f>SUM(AW58,AW218)</f>
        <v>48</v>
      </c>
      <c r="D226" s="91">
        <f>SUM(AX58,AX218)</f>
        <v>78271.599999999977</v>
      </c>
      <c r="E226" s="517">
        <v>0.2</v>
      </c>
      <c r="F226" s="517">
        <f>D226/$D$228</f>
        <v>0.10001320193278745</v>
      </c>
      <c r="G226" s="359" t="s">
        <v>359</v>
      </c>
      <c r="H226" s="553"/>
      <c r="R226" s="563"/>
      <c r="AM226" s="564"/>
      <c r="AO226" s="446"/>
      <c r="AQ226" s="436"/>
      <c r="AR226" s="436"/>
      <c r="AS226" s="436"/>
      <c r="AU226" s="359"/>
      <c r="AV226" s="359"/>
      <c r="AW226" s="359"/>
      <c r="AX226" s="442"/>
      <c r="AY226" s="571"/>
    </row>
    <row r="227" spans="2:51" s="433" customFormat="1" x14ac:dyDescent="0.3">
      <c r="B227" s="512" t="s">
        <v>232</v>
      </c>
      <c r="C227" s="515">
        <f>SUM(AW75,AW108,AW152,AW185)</f>
        <v>54</v>
      </c>
      <c r="D227" s="136">
        <f>SUM(AX75,AX108,AX152,AX185)</f>
        <v>85711.2</v>
      </c>
      <c r="E227" s="518">
        <v>0.15</v>
      </c>
      <c r="F227" s="518">
        <f>D227/$D$228</f>
        <v>0.10951930909169526</v>
      </c>
      <c r="G227" s="359" t="s">
        <v>360</v>
      </c>
      <c r="H227" s="553"/>
      <c r="R227" s="563"/>
      <c r="AM227" s="564"/>
      <c r="AQ227" s="436"/>
      <c r="AR227" s="436"/>
      <c r="AS227" s="436"/>
      <c r="AU227" s="359"/>
      <c r="AV227" s="359"/>
      <c r="AW227" s="359"/>
      <c r="AX227" s="442"/>
      <c r="AY227" s="571"/>
    </row>
    <row r="228" spans="2:51" x14ac:dyDescent="0.3">
      <c r="B228" s="497"/>
      <c r="C228" s="497"/>
      <c r="D228" s="498">
        <f>SUM(D224:D227)</f>
        <v>782612.68</v>
      </c>
      <c r="E228" s="497"/>
      <c r="F228" s="497"/>
      <c r="G228" s="444"/>
      <c r="H228" s="566"/>
      <c r="AU228" s="444"/>
      <c r="AX228" s="442"/>
      <c r="AY228" s="572"/>
    </row>
    <row r="230" spans="2:51" ht="15.6" x14ac:dyDescent="0.3">
      <c r="B230" s="331"/>
    </row>
  </sheetData>
  <mergeCells count="22">
    <mergeCell ref="AR7:AT7"/>
    <mergeCell ref="B8:B10"/>
    <mergeCell ref="C8:C10"/>
    <mergeCell ref="D8:D10"/>
    <mergeCell ref="E8:E10"/>
    <mergeCell ref="F8:F10"/>
    <mergeCell ref="G8:G10"/>
    <mergeCell ref="H8:H10"/>
    <mergeCell ref="I8:AJ8"/>
    <mergeCell ref="AK8:AK10"/>
    <mergeCell ref="AL8:AL10"/>
    <mergeCell ref="AM8:AM10"/>
    <mergeCell ref="B222:F222"/>
    <mergeCell ref="AV8:AX9"/>
    <mergeCell ref="AV10:AV12"/>
    <mergeCell ref="AW10:AX11"/>
    <mergeCell ref="AN8:AN10"/>
    <mergeCell ref="AO8:AO10"/>
    <mergeCell ref="AR8:AR10"/>
    <mergeCell ref="AS8:AS10"/>
    <mergeCell ref="AT8:AT10"/>
    <mergeCell ref="AP8:AP10"/>
  </mergeCells>
  <conditionalFormatting sqref="R12:T218">
    <cfRule type="notContainsBlanks" dxfId="132" priority="7">
      <formula>LEN(TRIM(R12))&gt;0</formula>
    </cfRule>
  </conditionalFormatting>
  <conditionalFormatting sqref="U39 U54 U59 U94 U135 U140 U171 U204">
    <cfRule type="notContainsBlanks" dxfId="131" priority="4">
      <formula>LEN(TRIM(U39))&gt;0</formula>
    </cfRule>
  </conditionalFormatting>
  <conditionalFormatting sqref="U44">
    <cfRule type="notContainsBlanks" dxfId="130" priority="3">
      <formula>LEN(TRIM(U44))&gt;0</formula>
    </cfRule>
  </conditionalFormatting>
  <conditionalFormatting sqref="U97">
    <cfRule type="notContainsBlanks" dxfId="129" priority="2">
      <formula>LEN(TRIM(U97))&gt;0</formula>
    </cfRule>
  </conditionalFormatting>
  <conditionalFormatting sqref="U174">
    <cfRule type="notContainsBlanks" dxfId="128" priority="1">
      <formula>LEN(TRIM(U174))&gt;0</formula>
    </cfRule>
  </conditionalFormatting>
  <conditionalFormatting sqref="U214">
    <cfRule type="notContainsBlanks" dxfId="127" priority="5">
      <formula>LEN(TRIM(U214))&gt;0</formula>
    </cfRule>
  </conditionalFormatting>
  <conditionalFormatting sqref="U12:AJ38 V39:AJ39 U40:AJ43 V44:AJ44 U45:AJ52 U53:AF53 AH53:AJ53 V54:AJ54 U55:AJ58 V59:AJ59 U60:AJ93 V94:AJ94 U95:AJ96 V97:AJ97 U98:AJ134 V135:AJ135 U136:AJ139 V140:AJ140 U141:AJ170 V171:AJ171 U172:AJ173 V174:AJ174 U175:AJ203 V204:AJ204 U205:AJ212 U213:AF213 AH213:AJ213 V214:AJ214 U215:AJ218">
    <cfRule type="notContainsBlanks" dxfId="126" priority="6">
      <formula>LEN(TRIM(U12))&gt;0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DE05-313A-41E1-A838-A81A8EA76496}">
  <dimension ref="A1:DC79"/>
  <sheetViews>
    <sheetView showGridLines="0" zoomScaleNormal="100" workbookViewId="0">
      <pane xSplit="4" ySplit="10" topLeftCell="BU70" activePane="bottomRight" state="frozen"/>
      <selection activeCell="BY74" sqref="BY74:BY75"/>
      <selection pane="topRight" activeCell="BY74" sqref="BY74:BY75"/>
      <selection pane="bottomLeft" activeCell="BY74" sqref="BY74:BY75"/>
      <selection pane="bottomRight" activeCell="CA117" sqref="CA117"/>
    </sheetView>
  </sheetViews>
  <sheetFormatPr defaultColWidth="8.796875" defaultRowHeight="13.2" x14ac:dyDescent="0.25"/>
  <cols>
    <col min="1" max="1" width="4" style="1" customWidth="1"/>
    <col min="2" max="2" width="20.19921875" style="1" customWidth="1"/>
    <col min="3" max="3" width="13.5" style="1" customWidth="1"/>
    <col min="4" max="4" width="30.296875" style="1" bestFit="1" customWidth="1"/>
    <col min="5" max="7" width="13.69921875" style="1" customWidth="1"/>
    <col min="8" max="8" width="10.3984375" style="355" customWidth="1"/>
    <col min="9" max="26" width="4.296875" style="1" hidden="1" customWidth="1"/>
    <col min="27" max="54" width="4.296875" style="1" customWidth="1"/>
    <col min="55" max="67" width="4.296875" style="1" hidden="1" customWidth="1"/>
    <col min="68" max="68" width="9" style="1" customWidth="1"/>
    <col min="69" max="69" width="12.5" style="1" customWidth="1"/>
    <col min="70" max="70" width="8.796875" style="1"/>
    <col min="71" max="71" width="14.796875" style="1" customWidth="1"/>
    <col min="72" max="72" width="16.59765625" style="1" customWidth="1"/>
    <col min="73" max="73" width="18.296875" style="1" customWidth="1"/>
    <col min="74" max="74" width="2.69921875" style="1" customWidth="1"/>
    <col min="75" max="76" width="11.69921875" style="1" customWidth="1"/>
    <col min="77" max="77" width="14" style="1" customWidth="1"/>
    <col min="78" max="78" width="3.69921875" style="1" customWidth="1"/>
    <col min="79" max="79" width="16.3984375" style="355" customWidth="1"/>
    <col min="80" max="80" width="3.69921875" style="355" customWidth="1"/>
    <col min="81" max="81" width="15.5" style="355" customWidth="1"/>
    <col min="82" max="82" width="3.69921875" style="355" customWidth="1"/>
    <col min="83" max="83" width="15.5" style="355" customWidth="1"/>
    <col min="84" max="84" width="11.59765625" style="357" customWidth="1"/>
    <col min="85" max="16384" width="8.796875" style="1"/>
  </cols>
  <sheetData>
    <row r="1" spans="1:84" x14ac:dyDescent="0.25">
      <c r="N1" s="356"/>
      <c r="O1" s="356"/>
      <c r="AS1" s="356"/>
      <c r="AT1" s="356"/>
    </row>
    <row r="2" spans="1:84" ht="15.6" x14ac:dyDescent="0.3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5.6" x14ac:dyDescent="0.3">
      <c r="A3" s="2"/>
      <c r="B3" s="3"/>
      <c r="C3" s="2"/>
      <c r="D3" s="2"/>
      <c r="E3" s="2"/>
      <c r="F3" s="2"/>
      <c r="G3" s="2"/>
      <c r="H3" s="35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4"/>
      <c r="BR3" s="4"/>
      <c r="BS3" s="359"/>
      <c r="BT3" s="2"/>
      <c r="BU3" s="2"/>
    </row>
    <row r="4" spans="1:84" ht="15.6" x14ac:dyDescent="0.3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4"/>
      <c r="BR4" s="4"/>
      <c r="BS4" s="359"/>
      <c r="BT4" s="2"/>
      <c r="BU4" s="2"/>
    </row>
    <row r="5" spans="1:84" ht="13.95" customHeight="1" x14ac:dyDescent="0.3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4"/>
      <c r="BR5" s="4"/>
      <c r="BS5" s="359"/>
      <c r="BT5" s="2"/>
      <c r="BU5" s="360"/>
      <c r="CC5" s="361"/>
    </row>
    <row r="6" spans="1:84" ht="13.95" customHeight="1" x14ac:dyDescent="0.3">
      <c r="A6" s="2"/>
      <c r="B6" s="6" t="s">
        <v>144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362"/>
      <c r="BT6" s="363"/>
      <c r="BU6" s="364"/>
    </row>
    <row r="7" spans="1:84" s="35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363"/>
      <c r="BU7" s="363"/>
      <c r="BV7" s="1"/>
      <c r="BW7" s="596" t="s">
        <v>173</v>
      </c>
      <c r="BX7" s="596"/>
      <c r="BY7" s="596"/>
      <c r="BZ7" s="1"/>
      <c r="CA7" s="355"/>
      <c r="CB7" s="355"/>
      <c r="CC7" s="355"/>
      <c r="CD7" s="355"/>
      <c r="CE7" s="355"/>
    </row>
    <row r="8" spans="1:84" s="357" customFormat="1" ht="15.75" customHeight="1" x14ac:dyDescent="0.25">
      <c r="A8" s="365"/>
      <c r="B8" s="597" t="s">
        <v>3</v>
      </c>
      <c r="C8" s="591" t="s">
        <v>4</v>
      </c>
      <c r="D8" s="591" t="s">
        <v>174</v>
      </c>
      <c r="E8" s="598" t="s">
        <v>200</v>
      </c>
      <c r="F8" s="598" t="s">
        <v>175</v>
      </c>
      <c r="G8" s="598" t="s">
        <v>176</v>
      </c>
      <c r="H8" s="601" t="s">
        <v>172</v>
      </c>
      <c r="I8" s="604" t="s">
        <v>6</v>
      </c>
      <c r="J8" s="605"/>
      <c r="K8" s="605"/>
      <c r="L8" s="605"/>
      <c r="M8" s="605"/>
      <c r="N8" s="605"/>
      <c r="O8" s="605"/>
      <c r="P8" s="605"/>
      <c r="Q8" s="605"/>
      <c r="R8" s="605"/>
      <c r="S8" s="605"/>
      <c r="T8" s="605"/>
      <c r="U8" s="605"/>
      <c r="V8" s="605"/>
      <c r="W8" s="605"/>
      <c r="X8" s="605"/>
      <c r="Y8" s="605"/>
      <c r="Z8" s="605"/>
      <c r="AA8" s="605"/>
      <c r="AB8" s="605"/>
      <c r="AC8" s="605"/>
      <c r="AD8" s="605"/>
      <c r="AE8" s="605"/>
      <c r="AF8" s="605"/>
      <c r="AG8" s="605"/>
      <c r="AH8" s="605"/>
      <c r="AI8" s="605"/>
      <c r="AJ8" s="605"/>
      <c r="AK8" s="605"/>
      <c r="AL8" s="605"/>
      <c r="AM8" s="606"/>
      <c r="AN8" s="604"/>
      <c r="AO8" s="605"/>
      <c r="AP8" s="605"/>
      <c r="AQ8" s="605"/>
      <c r="AR8" s="605"/>
      <c r="AS8" s="605"/>
      <c r="AT8" s="605"/>
      <c r="AU8" s="605"/>
      <c r="AV8" s="605"/>
      <c r="AW8" s="605"/>
      <c r="AX8" s="605"/>
      <c r="AY8" s="605"/>
      <c r="AZ8" s="605"/>
      <c r="BA8" s="605"/>
      <c r="BB8" s="605"/>
      <c r="BC8" s="605"/>
      <c r="BD8" s="605"/>
      <c r="BE8" s="605"/>
      <c r="BF8" s="605"/>
      <c r="BG8" s="605"/>
      <c r="BH8" s="605"/>
      <c r="BI8" s="605"/>
      <c r="BJ8" s="605"/>
      <c r="BK8" s="605"/>
      <c r="BL8" s="605"/>
      <c r="BM8" s="605"/>
      <c r="BN8" s="605"/>
      <c r="BO8" s="606"/>
      <c r="BP8" s="597" t="s">
        <v>7</v>
      </c>
      <c r="BQ8" s="592" t="s">
        <v>8</v>
      </c>
      <c r="BR8" s="597" t="s">
        <v>9</v>
      </c>
      <c r="BS8" s="592" t="s">
        <v>10</v>
      </c>
      <c r="BT8" s="592" t="s">
        <v>11</v>
      </c>
      <c r="BU8" s="592" t="s">
        <v>177</v>
      </c>
      <c r="BV8" s="1"/>
      <c r="BW8" s="593" t="s">
        <v>178</v>
      </c>
      <c r="BX8" s="593" t="s">
        <v>12</v>
      </c>
      <c r="BY8" s="593" t="s">
        <v>179</v>
      </c>
      <c r="BZ8" s="1"/>
      <c r="CA8" s="587" t="s">
        <v>180</v>
      </c>
      <c r="CB8" s="588"/>
      <c r="CC8" s="588"/>
      <c r="CD8" s="588"/>
      <c r="CE8" s="588"/>
    </row>
    <row r="9" spans="1:84" s="357" customFormat="1" ht="15.75" customHeight="1" x14ac:dyDescent="0.25">
      <c r="A9" s="365"/>
      <c r="B9" s="597"/>
      <c r="C9" s="591"/>
      <c r="D9" s="591"/>
      <c r="E9" s="599"/>
      <c r="F9" s="599"/>
      <c r="G9" s="599"/>
      <c r="H9" s="602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597"/>
      <c r="BQ9" s="592"/>
      <c r="BR9" s="597"/>
      <c r="BS9" s="592"/>
      <c r="BT9" s="592"/>
      <c r="BU9" s="592"/>
      <c r="BV9" s="1"/>
      <c r="BW9" s="594"/>
      <c r="BX9" s="594"/>
      <c r="BY9" s="594"/>
      <c r="BZ9" s="1"/>
      <c r="CA9" s="587"/>
      <c r="CB9" s="588"/>
      <c r="CC9" s="588"/>
      <c r="CD9" s="588"/>
      <c r="CE9" s="588"/>
    </row>
    <row r="10" spans="1:84" s="357" customFormat="1" ht="15.75" customHeight="1" x14ac:dyDescent="0.25">
      <c r="A10" s="365"/>
      <c r="B10" s="597"/>
      <c r="C10" s="591"/>
      <c r="D10" s="591"/>
      <c r="E10" s="600"/>
      <c r="F10" s="600"/>
      <c r="G10" s="600"/>
      <c r="H10" s="603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" si="1">AH10+1</f>
        <v>27</v>
      </c>
      <c r="AJ10" s="7">
        <f t="shared" ref="AJ10" si="2">AI10+1</f>
        <v>28</v>
      </c>
      <c r="AK10" s="7">
        <f t="shared" ref="AK10" si="3">AJ10+1</f>
        <v>29</v>
      </c>
      <c r="AL10" s="7">
        <f t="shared" ref="AL10" si="4">AK10+1</f>
        <v>30</v>
      </c>
      <c r="AM10" s="8">
        <f t="shared" ref="AM10" si="5">AL10+1</f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" si="6">BF10+1</f>
        <v>20</v>
      </c>
      <c r="BH10" s="8">
        <f t="shared" ref="BH10" si="7">BG10+1</f>
        <v>21</v>
      </c>
      <c r="BI10" s="8">
        <f t="shared" ref="BI10" si="8">BH10+1</f>
        <v>22</v>
      </c>
      <c r="BJ10" s="7">
        <f t="shared" ref="BJ10" si="9">BI10+1</f>
        <v>23</v>
      </c>
      <c r="BK10" s="7">
        <f t="shared" ref="BK10" si="10">BJ10+1</f>
        <v>24</v>
      </c>
      <c r="BL10" s="7">
        <f t="shared" ref="BL10" si="11">BK10+1</f>
        <v>25</v>
      </c>
      <c r="BM10" s="7">
        <f>BL10+1</f>
        <v>26</v>
      </c>
      <c r="BN10" s="7">
        <f t="shared" ref="BN10" si="12">BM10+1</f>
        <v>27</v>
      </c>
      <c r="BO10" s="8">
        <f t="shared" ref="BO10" si="13">BN10+1</f>
        <v>28</v>
      </c>
      <c r="BP10" s="597"/>
      <c r="BQ10" s="592"/>
      <c r="BR10" s="597"/>
      <c r="BS10" s="592"/>
      <c r="BT10" s="592"/>
      <c r="BU10" s="592"/>
      <c r="BV10" s="1"/>
      <c r="BW10" s="595"/>
      <c r="BX10" s="595"/>
      <c r="BY10" s="595"/>
      <c r="BZ10" s="1"/>
      <c r="CA10" s="589" t="s">
        <v>4</v>
      </c>
      <c r="CB10" s="591" t="s">
        <v>6</v>
      </c>
      <c r="CC10" s="591"/>
      <c r="CD10" s="591" t="s">
        <v>140</v>
      </c>
      <c r="CE10" s="591"/>
    </row>
    <row r="11" spans="1:84" s="357" customFormat="1" ht="16.05" customHeight="1" x14ac:dyDescent="0.25">
      <c r="A11" s="365"/>
      <c r="B11" s="367"/>
      <c r="C11" s="368"/>
      <c r="D11" s="368"/>
      <c r="E11" s="368"/>
      <c r="F11" s="368"/>
      <c r="G11" s="36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587"/>
      <c r="CB11" s="591"/>
      <c r="CC11" s="591"/>
      <c r="CD11" s="591"/>
      <c r="CE11" s="591"/>
    </row>
    <row r="12" spans="1:84" s="357" customFormat="1" ht="13.95" customHeight="1" x14ac:dyDescent="0.25">
      <c r="A12" s="365"/>
      <c r="B12" s="369"/>
      <c r="C12" s="370"/>
      <c r="D12" s="371"/>
      <c r="E12" s="372"/>
      <c r="F12" s="372"/>
      <c r="G12" s="372"/>
      <c r="H12" s="37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373"/>
      <c r="BR12" s="16"/>
      <c r="BS12" s="17"/>
      <c r="BT12" s="18"/>
      <c r="BU12" s="18"/>
      <c r="BV12" s="1"/>
      <c r="BW12" s="374"/>
      <c r="BX12" s="375"/>
      <c r="BY12" s="18"/>
      <c r="BZ12" s="2"/>
      <c r="CA12" s="590"/>
      <c r="CB12" s="366" t="s">
        <v>181</v>
      </c>
      <c r="CC12" s="366" t="s">
        <v>182</v>
      </c>
      <c r="CD12" s="366" t="s">
        <v>181</v>
      </c>
      <c r="CE12" s="366" t="s">
        <v>182</v>
      </c>
    </row>
    <row r="13" spans="1:84" ht="13.95" customHeight="1" x14ac:dyDescent="0.25">
      <c r="A13" s="365"/>
      <c r="B13" s="391" t="s">
        <v>207</v>
      </c>
      <c r="C13" s="376" t="s">
        <v>183</v>
      </c>
      <c r="D13" s="377" t="s">
        <v>187</v>
      </c>
      <c r="E13" s="378" t="s">
        <v>201</v>
      </c>
      <c r="F13" s="378">
        <v>0.81944444444444442</v>
      </c>
      <c r="G13" s="378">
        <v>0.85416666666666663</v>
      </c>
      <c r="H13" s="39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/>
      <c r="AI13" s="11"/>
      <c r="AJ13" s="11">
        <v>1</v>
      </c>
      <c r="AK13" s="12"/>
      <c r="AL13" s="12"/>
      <c r="AM13" s="13"/>
      <c r="AN13" s="13"/>
      <c r="AO13" s="11"/>
      <c r="AP13" s="12"/>
      <c r="AQ13" s="12"/>
      <c r="AR13" s="12"/>
      <c r="AS13" s="11"/>
      <c r="AT13" s="13"/>
      <c r="AU13" s="13"/>
      <c r="AV13" s="11"/>
      <c r="AW13" s="12"/>
      <c r="AX13" s="12"/>
      <c r="AY13" s="12"/>
      <c r="AZ13" s="11"/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379">
        <f>SUM(I13:BO13)</f>
        <v>1</v>
      </c>
      <c r="BQ13" s="15">
        <v>217403</v>
      </c>
      <c r="BR13" s="19">
        <v>1</v>
      </c>
      <c r="BS13" s="20">
        <f>BQ13*(1-BR13)</f>
        <v>0</v>
      </c>
      <c r="BT13" s="21">
        <f>BS13*BP13</f>
        <v>0</v>
      </c>
      <c r="BU13" s="21">
        <f t="shared" ref="BU13:BU14" si="14">BT13*0.8</f>
        <v>0</v>
      </c>
      <c r="BW13" s="479">
        <v>12.33</v>
      </c>
      <c r="BX13" s="485">
        <f>BW13*BP13</f>
        <v>12.33</v>
      </c>
      <c r="BY13" s="382">
        <f>IFERROR(BU13/BX13,0)</f>
        <v>0</v>
      </c>
      <c r="BZ13" s="2"/>
      <c r="CA13" s="383" t="s">
        <v>183</v>
      </c>
      <c r="CB13" s="384">
        <f>COUNTA(I13:AM13)</f>
        <v>1</v>
      </c>
      <c r="CC13" s="385">
        <f>CB13*BS13*0.8</f>
        <v>0</v>
      </c>
      <c r="CD13" s="384">
        <f>COUNTA(AN13:BO13)</f>
        <v>0</v>
      </c>
      <c r="CE13" s="385">
        <f>CD13*BS13*0.8</f>
        <v>0</v>
      </c>
      <c r="CF13" s="357" t="b">
        <f>SUM(CC13,CE13)=BU13</f>
        <v>1</v>
      </c>
    </row>
    <row r="14" spans="1:84" s="388" customFormat="1" ht="13.95" customHeight="1" x14ac:dyDescent="0.25">
      <c r="A14" s="365"/>
      <c r="B14" s="376"/>
      <c r="C14" s="376"/>
      <c r="D14" s="389" t="s">
        <v>196</v>
      </c>
      <c r="E14" s="378" t="s">
        <v>201</v>
      </c>
      <c r="F14" s="378">
        <v>0.88888888888888884</v>
      </c>
      <c r="G14" s="378">
        <v>0.93402777777777779</v>
      </c>
      <c r="H14" s="394">
        <v>30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/>
      <c r="AF14" s="13"/>
      <c r="AG14" s="13"/>
      <c r="AH14" s="11">
        <v>1</v>
      </c>
      <c r="AI14" s="11"/>
      <c r="AJ14" s="11"/>
      <c r="AK14" s="12">
        <v>1</v>
      </c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379">
        <f>SUM(I14:BO14)</f>
        <v>2</v>
      </c>
      <c r="BQ14" s="390">
        <v>318624</v>
      </c>
      <c r="BR14" s="19">
        <v>0</v>
      </c>
      <c r="BS14" s="20">
        <f t="shared" ref="BS14" si="15">BQ14*(1-BR14)</f>
        <v>318624</v>
      </c>
      <c r="BT14" s="21">
        <f t="shared" ref="BT14" si="16">BS14*BP14</f>
        <v>637248</v>
      </c>
      <c r="BU14" s="22">
        <f t="shared" si="14"/>
        <v>509798.40000000002</v>
      </c>
      <c r="BV14" s="1"/>
      <c r="BW14" s="479">
        <v>13.35</v>
      </c>
      <c r="BX14" s="485">
        <f>BW14*BP14</f>
        <v>26.7</v>
      </c>
      <c r="BY14" s="382">
        <f>IFERROR(BU14/BX14,0)</f>
        <v>19093.573033707868</v>
      </c>
      <c r="BZ14" s="2"/>
      <c r="CA14" s="383" t="s">
        <v>183</v>
      </c>
      <c r="CB14" s="384">
        <f t="shared" ref="CB14:CB16" si="17">COUNTA(I14:AM14)</f>
        <v>2</v>
      </c>
      <c r="CC14" s="385">
        <f t="shared" ref="CC14:CC16" si="18">CB14*BS14*0.8</f>
        <v>509798.40000000002</v>
      </c>
      <c r="CD14" s="384">
        <f t="shared" ref="CD14:CD16" si="19">COUNTA(AN14:BO14)</f>
        <v>0</v>
      </c>
      <c r="CE14" s="385">
        <f t="shared" ref="CE14:CE16" si="20">CD14*BS14*0.8</f>
        <v>0</v>
      </c>
      <c r="CF14" s="357" t="b">
        <f>SUM(CC14,CE14)=BU14</f>
        <v>1</v>
      </c>
    </row>
    <row r="15" spans="1:84" s="388" customFormat="1" ht="13.95" customHeight="1" x14ac:dyDescent="0.25">
      <c r="A15" s="365"/>
      <c r="B15" s="376"/>
      <c r="C15" s="376"/>
      <c r="D15" s="377"/>
      <c r="E15" s="378"/>
      <c r="F15" s="378"/>
      <c r="G15" s="378"/>
      <c r="H15" s="394"/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/>
      <c r="AI15" s="11"/>
      <c r="AJ15" s="11"/>
      <c r="AK15" s="12"/>
      <c r="AL15" s="12"/>
      <c r="AM15" s="13"/>
      <c r="AN15" s="13"/>
      <c r="AO15" s="11"/>
      <c r="AP15" s="12"/>
      <c r="AQ15" s="12"/>
      <c r="AR15" s="12"/>
      <c r="AS15" s="11"/>
      <c r="AT15" s="13"/>
      <c r="AU15" s="13"/>
      <c r="AV15" s="11"/>
      <c r="AW15" s="12"/>
      <c r="AX15" s="12"/>
      <c r="AY15" s="12"/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379"/>
      <c r="BQ15" s="15"/>
      <c r="BR15" s="19"/>
      <c r="BS15" s="20"/>
      <c r="BT15" s="21"/>
      <c r="BU15" s="22"/>
      <c r="BV15" s="1"/>
      <c r="BW15" s="481"/>
      <c r="BX15" s="486"/>
      <c r="BY15" s="382"/>
      <c r="BZ15" s="2"/>
      <c r="CA15" s="383"/>
      <c r="CB15" s="384"/>
      <c r="CC15" s="385"/>
      <c r="CD15" s="384"/>
      <c r="CE15" s="385"/>
      <c r="CF15" s="357"/>
    </row>
    <row r="16" spans="1:84" ht="13.95" customHeight="1" x14ac:dyDescent="0.25">
      <c r="A16" s="365"/>
      <c r="B16" s="376"/>
      <c r="C16" s="376"/>
      <c r="D16" s="377" t="s">
        <v>187</v>
      </c>
      <c r="E16" s="378" t="s">
        <v>201</v>
      </c>
      <c r="F16" s="378">
        <v>0.81944444444444442</v>
      </c>
      <c r="G16" s="378">
        <v>0.85416666666666663</v>
      </c>
      <c r="H16" s="394">
        <v>30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/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>
        <v>1</v>
      </c>
      <c r="AP16" s="12"/>
      <c r="AQ16" s="12"/>
      <c r="AR16" s="12">
        <v>1</v>
      </c>
      <c r="AS16" s="11"/>
      <c r="AT16" s="13"/>
      <c r="AU16" s="13"/>
      <c r="AV16" s="11"/>
      <c r="AW16" s="12">
        <v>1</v>
      </c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379">
        <f>SUM(I16:BO16)</f>
        <v>3</v>
      </c>
      <c r="BQ16" s="15">
        <v>217403</v>
      </c>
      <c r="BR16" s="19">
        <v>0</v>
      </c>
      <c r="BS16" s="20">
        <f t="shared" ref="BS16:BS17" si="21">BQ16*(1-BR16)</f>
        <v>217403</v>
      </c>
      <c r="BT16" s="21">
        <f t="shared" ref="BT16:BT17" si="22">BS16*BP16</f>
        <v>652209</v>
      </c>
      <c r="BU16" s="22">
        <f t="shared" ref="BU16:BU17" si="23">BT16*0.8</f>
        <v>521767.2</v>
      </c>
      <c r="BW16" s="479">
        <v>12.33</v>
      </c>
      <c r="BX16" s="485">
        <f t="shared" ref="BX16:BX17" si="24">BW16*BP16</f>
        <v>36.99</v>
      </c>
      <c r="BY16" s="382">
        <f t="shared" ref="BY16:BY17" si="25">IFERROR(BU16/BX16,0)</f>
        <v>14105.628548256285</v>
      </c>
      <c r="BZ16" s="2"/>
      <c r="CA16" s="383" t="s">
        <v>183</v>
      </c>
      <c r="CB16" s="384">
        <f t="shared" si="17"/>
        <v>0</v>
      </c>
      <c r="CC16" s="385">
        <f t="shared" si="18"/>
        <v>0</v>
      </c>
      <c r="CD16" s="384">
        <f t="shared" si="19"/>
        <v>3</v>
      </c>
      <c r="CE16" s="385">
        <f t="shared" si="20"/>
        <v>521767.2</v>
      </c>
      <c r="CF16" s="357" t="b">
        <f>SUM(CC16,CE16)=BU16</f>
        <v>1</v>
      </c>
    </row>
    <row r="17" spans="1:84" ht="13.95" customHeight="1" x14ac:dyDescent="0.25">
      <c r="A17" s="365"/>
      <c r="B17" s="376"/>
      <c r="C17" s="376"/>
      <c r="D17" s="393" t="s">
        <v>197</v>
      </c>
      <c r="E17" s="378" t="s">
        <v>201</v>
      </c>
      <c r="F17" s="378">
        <v>0.76736111111111116</v>
      </c>
      <c r="G17" s="378">
        <v>0.79861111111111116</v>
      </c>
      <c r="H17" s="394">
        <v>30</v>
      </c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/>
      <c r="AR17" s="12"/>
      <c r="AS17" s="11">
        <v>1</v>
      </c>
      <c r="AT17" s="13"/>
      <c r="AU17" s="13"/>
      <c r="AV17" s="11"/>
      <c r="AW17" s="12"/>
      <c r="AX17" s="12"/>
      <c r="AY17" s="12"/>
      <c r="AZ17" s="11"/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379">
        <f>SUM(I17:BO17)</f>
        <v>1</v>
      </c>
      <c r="BQ17" s="15">
        <v>163381</v>
      </c>
      <c r="BR17" s="19">
        <v>1</v>
      </c>
      <c r="BS17" s="20">
        <f t="shared" si="21"/>
        <v>0</v>
      </c>
      <c r="BT17" s="21">
        <f t="shared" si="22"/>
        <v>0</v>
      </c>
      <c r="BU17" s="22">
        <f t="shared" si="23"/>
        <v>0</v>
      </c>
      <c r="BW17" s="479">
        <v>8.51</v>
      </c>
      <c r="BX17" s="485">
        <f t="shared" si="24"/>
        <v>8.51</v>
      </c>
      <c r="BY17" s="382">
        <f t="shared" si="25"/>
        <v>0</v>
      </c>
      <c r="BZ17" s="2"/>
      <c r="CA17" s="383" t="s">
        <v>183</v>
      </c>
      <c r="CB17" s="384">
        <f t="shared" ref="CB17:CB31" si="26">COUNTA(I17:AM17)</f>
        <v>0</v>
      </c>
      <c r="CC17" s="385">
        <f t="shared" ref="CC17:CC31" si="27">CB17*BS17*0.8</f>
        <v>0</v>
      </c>
      <c r="CD17" s="384">
        <f t="shared" ref="CD17:CD31" si="28">COUNTA(AN17:BO17)</f>
        <v>1</v>
      </c>
      <c r="CE17" s="385">
        <f t="shared" ref="CE17:CE31" si="29">CD17*BS17*0.8</f>
        <v>0</v>
      </c>
      <c r="CF17" s="357" t="b">
        <f>SUM(CC17,CE17)=BU17</f>
        <v>1</v>
      </c>
    </row>
    <row r="18" spans="1:84" s="388" customFormat="1" ht="13.95" customHeight="1" x14ac:dyDescent="0.25">
      <c r="A18" s="365"/>
      <c r="B18" s="376"/>
      <c r="C18" s="376"/>
      <c r="D18" s="396"/>
      <c r="E18" s="378"/>
      <c r="F18" s="378"/>
      <c r="G18" s="378"/>
      <c r="H18" s="394"/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/>
      <c r="AJ18" s="11"/>
      <c r="AK18" s="12"/>
      <c r="AL18" s="12"/>
      <c r="AM18" s="13"/>
      <c r="AN18" s="13"/>
      <c r="AO18" s="11"/>
      <c r="AP18" s="12"/>
      <c r="AQ18" s="12"/>
      <c r="AR18" s="12"/>
      <c r="AS18" s="11"/>
      <c r="AT18" s="13"/>
      <c r="AU18" s="13"/>
      <c r="AV18" s="11"/>
      <c r="AW18" s="12"/>
      <c r="AX18" s="12"/>
      <c r="AY18" s="12"/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379"/>
      <c r="BQ18" s="15"/>
      <c r="BR18" s="386"/>
      <c r="BS18" s="15"/>
      <c r="BT18" s="22"/>
      <c r="BU18" s="22"/>
      <c r="BV18" s="1"/>
      <c r="BW18" s="481"/>
      <c r="BX18" s="486"/>
      <c r="BY18" s="382"/>
      <c r="BZ18" s="2"/>
      <c r="CA18" s="383"/>
      <c r="CB18" s="384"/>
      <c r="CC18" s="385"/>
      <c r="CD18" s="384"/>
      <c r="CE18" s="385"/>
      <c r="CF18" s="357"/>
    </row>
    <row r="19" spans="1:84" s="388" customFormat="1" ht="13.95" customHeight="1" x14ac:dyDescent="0.25">
      <c r="A19" s="365"/>
      <c r="B19" s="376"/>
      <c r="C19" s="376"/>
      <c r="D19" s="396" t="s">
        <v>186</v>
      </c>
      <c r="E19" s="378" t="s">
        <v>201</v>
      </c>
      <c r="F19" s="378">
        <v>0.85416666666666663</v>
      </c>
      <c r="G19" s="378">
        <v>0.88888888888888884</v>
      </c>
      <c r="H19" s="394">
        <v>30</v>
      </c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/>
      <c r="AE19" s="11"/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>
        <v>1</v>
      </c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379">
        <f t="shared" ref="BP19:BP21" si="30">SUM(I19:BO19)</f>
        <v>1</v>
      </c>
      <c r="BQ19" s="15">
        <v>316309</v>
      </c>
      <c r="BR19" s="19">
        <v>0</v>
      </c>
      <c r="BS19" s="20">
        <f>BQ19*(1-BR19)</f>
        <v>316309</v>
      </c>
      <c r="BT19" s="21">
        <f>BS19*BP19</f>
        <v>316309</v>
      </c>
      <c r="BU19" s="22">
        <f>BT19*0.8</f>
        <v>253047.2</v>
      </c>
      <c r="BV19" s="1"/>
      <c r="BW19" s="479">
        <v>13.07</v>
      </c>
      <c r="BX19" s="485">
        <f t="shared" ref="BX19:BX21" si="31">BW19*BP19</f>
        <v>13.07</v>
      </c>
      <c r="BY19" s="382">
        <f t="shared" ref="BY19:BY21" si="32">IFERROR(BU19/BX19,0)</f>
        <v>19360.918133129304</v>
      </c>
      <c r="BZ19" s="2"/>
      <c r="CA19" s="383" t="s">
        <v>183</v>
      </c>
      <c r="CB19" s="384">
        <f t="shared" si="26"/>
        <v>0</v>
      </c>
      <c r="CC19" s="385">
        <f t="shared" si="27"/>
        <v>0</v>
      </c>
      <c r="CD19" s="384">
        <f t="shared" si="28"/>
        <v>1</v>
      </c>
      <c r="CE19" s="385">
        <f t="shared" si="29"/>
        <v>253047.2</v>
      </c>
      <c r="CF19" s="357" t="b">
        <f>SUM(CC19,CE19)=BU19</f>
        <v>1</v>
      </c>
    </row>
    <row r="20" spans="1:84" s="388" customFormat="1" ht="13.95" customHeight="1" x14ac:dyDescent="0.25">
      <c r="A20" s="365"/>
      <c r="B20" s="376"/>
      <c r="C20" s="376"/>
      <c r="D20" s="377" t="s">
        <v>198</v>
      </c>
      <c r="E20" s="378" t="s">
        <v>203</v>
      </c>
      <c r="F20" s="378">
        <v>0.85416666666666663</v>
      </c>
      <c r="G20" s="378">
        <v>0.96527777777777779</v>
      </c>
      <c r="H20" s="394">
        <v>30</v>
      </c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/>
      <c r="AI20" s="11"/>
      <c r="AJ20" s="11"/>
      <c r="AK20" s="12"/>
      <c r="AL20" s="12"/>
      <c r="AM20" s="13"/>
      <c r="AN20" s="13"/>
      <c r="AO20" s="11"/>
      <c r="AP20" s="12"/>
      <c r="AQ20" s="12"/>
      <c r="AR20" s="12"/>
      <c r="AS20" s="11"/>
      <c r="AT20" s="13"/>
      <c r="AU20" s="13">
        <v>1</v>
      </c>
      <c r="AV20" s="11"/>
      <c r="AW20" s="12"/>
      <c r="AX20" s="12"/>
      <c r="AY20" s="12"/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379">
        <f t="shared" si="30"/>
        <v>1</v>
      </c>
      <c r="BQ20" s="15">
        <v>252044</v>
      </c>
      <c r="BR20" s="19">
        <v>0</v>
      </c>
      <c r="BS20" s="20">
        <f>BQ20*(1-BR20)</f>
        <v>252044</v>
      </c>
      <c r="BT20" s="21">
        <f>BS20*BP20</f>
        <v>252044</v>
      </c>
      <c r="BU20" s="22">
        <f>BT20*0.8</f>
        <v>201635.20000000001</v>
      </c>
      <c r="BV20" s="1"/>
      <c r="BW20" s="479">
        <v>8.8000000000000007</v>
      </c>
      <c r="BX20" s="485">
        <f t="shared" si="31"/>
        <v>8.8000000000000007</v>
      </c>
      <c r="BY20" s="382">
        <f t="shared" si="32"/>
        <v>22913.090909090908</v>
      </c>
      <c r="BZ20" s="2"/>
      <c r="CA20" s="383" t="s">
        <v>183</v>
      </c>
      <c r="CB20" s="384">
        <f t="shared" si="26"/>
        <v>0</v>
      </c>
      <c r="CC20" s="385">
        <f t="shared" si="27"/>
        <v>0</v>
      </c>
      <c r="CD20" s="384">
        <f t="shared" si="28"/>
        <v>1</v>
      </c>
      <c r="CE20" s="385">
        <f t="shared" si="29"/>
        <v>201635.20000000001</v>
      </c>
      <c r="CF20" s="357" t="b">
        <f>SUM(CC20,CE20)=BU20</f>
        <v>1</v>
      </c>
    </row>
    <row r="21" spans="1:84" ht="13.95" customHeight="1" x14ac:dyDescent="0.25">
      <c r="A21" s="365"/>
      <c r="B21" s="376"/>
      <c r="C21" s="376"/>
      <c r="D21" s="377" t="s">
        <v>184</v>
      </c>
      <c r="E21" s="378" t="s">
        <v>201</v>
      </c>
      <c r="F21" s="378">
        <v>4.1666666666666664E-2</v>
      </c>
      <c r="G21" s="378">
        <v>7.6388888888888895E-2</v>
      </c>
      <c r="H21" s="394">
        <v>30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/>
      <c r="AE21" s="11"/>
      <c r="AF21" s="13"/>
      <c r="AG21" s="13"/>
      <c r="AH21" s="11"/>
      <c r="AI21" s="11"/>
      <c r="AJ21" s="11"/>
      <c r="AK21" s="12"/>
      <c r="AL21" s="12"/>
      <c r="AM21" s="13"/>
      <c r="AN21" s="13"/>
      <c r="AO21" s="11">
        <v>1</v>
      </c>
      <c r="AP21" s="12"/>
      <c r="AQ21" s="12">
        <v>1</v>
      </c>
      <c r="AR21" s="12"/>
      <c r="AS21" s="11"/>
      <c r="AT21" s="13"/>
      <c r="AU21" s="13"/>
      <c r="AV21" s="11"/>
      <c r="AW21" s="12">
        <v>1</v>
      </c>
      <c r="AX21" s="12"/>
      <c r="AY21" s="12">
        <v>1</v>
      </c>
      <c r="AZ21" s="11"/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379">
        <f t="shared" si="30"/>
        <v>4</v>
      </c>
      <c r="BQ21" s="15">
        <v>43682</v>
      </c>
      <c r="BR21" s="19">
        <v>1</v>
      </c>
      <c r="BS21" s="20">
        <f t="shared" ref="BS21" si="33">BQ21*(1-BR21)</f>
        <v>0</v>
      </c>
      <c r="BT21" s="21">
        <f>BS21*BP21</f>
        <v>0</v>
      </c>
      <c r="BU21" s="22">
        <f t="shared" ref="BU21" si="34">BT21*0.8</f>
        <v>0</v>
      </c>
      <c r="BW21" s="479">
        <v>3.7</v>
      </c>
      <c r="BX21" s="485">
        <f t="shared" si="31"/>
        <v>14.8</v>
      </c>
      <c r="BY21" s="382">
        <f t="shared" si="32"/>
        <v>0</v>
      </c>
      <c r="BZ21" s="2"/>
      <c r="CA21" s="383" t="s">
        <v>183</v>
      </c>
      <c r="CB21" s="384">
        <f t="shared" si="26"/>
        <v>0</v>
      </c>
      <c r="CC21" s="385">
        <f t="shared" si="27"/>
        <v>0</v>
      </c>
      <c r="CD21" s="384">
        <f t="shared" si="28"/>
        <v>4</v>
      </c>
      <c r="CE21" s="385">
        <f t="shared" si="29"/>
        <v>0</v>
      </c>
      <c r="CF21" s="357" t="b">
        <f>SUM(CC21,CE21)=BU21</f>
        <v>1</v>
      </c>
    </row>
    <row r="22" spans="1:84" ht="13.95" customHeight="1" x14ac:dyDescent="0.25">
      <c r="A22" s="365"/>
      <c r="B22" s="376"/>
      <c r="C22" s="376"/>
      <c r="D22" s="393"/>
      <c r="E22" s="378"/>
      <c r="F22" s="378"/>
      <c r="G22" s="378"/>
      <c r="H22" s="394"/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/>
      <c r="AF22" s="13"/>
      <c r="AG22" s="13"/>
      <c r="AH22" s="11"/>
      <c r="AI22" s="11"/>
      <c r="AJ22" s="11"/>
      <c r="AK22" s="12"/>
      <c r="AL22" s="12"/>
      <c r="AM22" s="13"/>
      <c r="AN22" s="13"/>
      <c r="AO22" s="11"/>
      <c r="AP22" s="12"/>
      <c r="AQ22" s="12"/>
      <c r="AR22" s="12"/>
      <c r="AS22" s="11"/>
      <c r="AT22" s="13"/>
      <c r="AU22" s="13"/>
      <c r="AV22" s="11"/>
      <c r="AW22" s="12"/>
      <c r="AX22" s="12"/>
      <c r="AY22" s="12"/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379"/>
      <c r="BQ22" s="15"/>
      <c r="BR22" s="19"/>
      <c r="BS22" s="20"/>
      <c r="BT22" s="21"/>
      <c r="BU22" s="22"/>
      <c r="BW22" s="481"/>
      <c r="BX22" s="486"/>
      <c r="BY22" s="395"/>
      <c r="BZ22" s="2"/>
      <c r="CA22" s="383"/>
      <c r="CB22" s="384"/>
      <c r="CC22" s="385"/>
      <c r="CD22" s="384"/>
      <c r="CE22" s="385"/>
    </row>
    <row r="23" spans="1:84" s="388" customFormat="1" ht="13.95" customHeight="1" x14ac:dyDescent="0.25">
      <c r="A23" s="365"/>
      <c r="B23" s="376"/>
      <c r="C23" s="376"/>
      <c r="D23" s="377" t="s">
        <v>197</v>
      </c>
      <c r="E23" s="378" t="s">
        <v>201</v>
      </c>
      <c r="F23" s="378">
        <v>0.76736111111111116</v>
      </c>
      <c r="G23" s="378">
        <v>0.79861111111111116</v>
      </c>
      <c r="H23" s="394">
        <v>30</v>
      </c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>
        <v>1</v>
      </c>
      <c r="AI23" s="11"/>
      <c r="AJ23" s="11"/>
      <c r="AK23" s="12">
        <v>1</v>
      </c>
      <c r="AL23" s="12"/>
      <c r="AM23" s="13"/>
      <c r="AN23" s="13"/>
      <c r="AO23" s="11"/>
      <c r="AP23" s="12"/>
      <c r="AQ23" s="12"/>
      <c r="AR23" s="12"/>
      <c r="AS23" s="11"/>
      <c r="AT23" s="13"/>
      <c r="AU23" s="13"/>
      <c r="AV23" s="11"/>
      <c r="AW23" s="12"/>
      <c r="AX23" s="12"/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379">
        <f>SUM(I23:BO23)</f>
        <v>2</v>
      </c>
      <c r="BQ23" s="15">
        <v>163381</v>
      </c>
      <c r="BR23" s="19">
        <v>0</v>
      </c>
      <c r="BS23" s="20">
        <f>BQ23*(1-BR23)</f>
        <v>163381</v>
      </c>
      <c r="BT23" s="21">
        <f>BS23*BP23</f>
        <v>326762</v>
      </c>
      <c r="BU23" s="22">
        <f>BT23*0.8</f>
        <v>261409.6</v>
      </c>
      <c r="BV23" s="1"/>
      <c r="BW23" s="479">
        <v>8.51</v>
      </c>
      <c r="BX23" s="485">
        <f t="shared" ref="BX23:BX25" si="35">BW23*BP23</f>
        <v>17.02</v>
      </c>
      <c r="BY23" s="382">
        <f t="shared" ref="BY23:BY25" si="36">IFERROR(BU23/BX23,0)</f>
        <v>15358.965922444184</v>
      </c>
      <c r="BZ23" s="2"/>
      <c r="CA23" s="383" t="s">
        <v>183</v>
      </c>
      <c r="CB23" s="384">
        <f t="shared" si="26"/>
        <v>2</v>
      </c>
      <c r="CC23" s="385">
        <f t="shared" si="27"/>
        <v>261409.6</v>
      </c>
      <c r="CD23" s="384">
        <f t="shared" si="28"/>
        <v>0</v>
      </c>
      <c r="CE23" s="385">
        <f t="shared" si="29"/>
        <v>0</v>
      </c>
      <c r="CF23" s="357" t="b">
        <f>SUM(CC23,CE23)=BU23</f>
        <v>1</v>
      </c>
    </row>
    <row r="24" spans="1:84" s="388" customFormat="1" ht="13.95" customHeight="1" x14ac:dyDescent="0.25">
      <c r="A24" s="365"/>
      <c r="B24" s="376"/>
      <c r="C24" s="376"/>
      <c r="D24" s="389" t="s">
        <v>187</v>
      </c>
      <c r="E24" s="378" t="s">
        <v>201</v>
      </c>
      <c r="F24" s="378">
        <v>0.81944444444444442</v>
      </c>
      <c r="G24" s="378">
        <v>0.85416666666666663</v>
      </c>
      <c r="H24" s="394">
        <v>30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/>
      <c r="AF24" s="13"/>
      <c r="AG24" s="13"/>
      <c r="AH24" s="11"/>
      <c r="AI24" s="11">
        <v>1</v>
      </c>
      <c r="AJ24" s="11"/>
      <c r="AK24" s="12"/>
      <c r="AL24" s="12">
        <v>1</v>
      </c>
      <c r="AM24" s="13"/>
      <c r="AN24" s="13"/>
      <c r="AO24" s="11"/>
      <c r="AP24" s="12"/>
      <c r="AQ24" s="12"/>
      <c r="AR24" s="12"/>
      <c r="AS24" s="11"/>
      <c r="AT24" s="13"/>
      <c r="AU24" s="13"/>
      <c r="AV24" s="11"/>
      <c r="AW24" s="12"/>
      <c r="AX24" s="12"/>
      <c r="AY24" s="12"/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379">
        <f t="shared" ref="BP24:BP25" si="37">SUM(I24:BO24)</f>
        <v>2</v>
      </c>
      <c r="BQ24" s="15">
        <v>217403</v>
      </c>
      <c r="BR24" s="19">
        <v>0</v>
      </c>
      <c r="BS24" s="20">
        <f>BQ24*(1-BR24)</f>
        <v>217403</v>
      </c>
      <c r="BT24" s="21">
        <f>BS24*BP24</f>
        <v>434806</v>
      </c>
      <c r="BU24" s="22">
        <f>BT24*0.8</f>
        <v>347844.80000000005</v>
      </c>
      <c r="BV24" s="1"/>
      <c r="BW24" s="479">
        <v>12.33</v>
      </c>
      <c r="BX24" s="485">
        <f t="shared" si="35"/>
        <v>24.66</v>
      </c>
      <c r="BY24" s="382">
        <f t="shared" si="36"/>
        <v>14105.628548256287</v>
      </c>
      <c r="BZ24" s="2"/>
      <c r="CA24" s="383" t="s">
        <v>183</v>
      </c>
      <c r="CB24" s="384">
        <f t="shared" si="26"/>
        <v>2</v>
      </c>
      <c r="CC24" s="385">
        <f t="shared" si="27"/>
        <v>347844.80000000005</v>
      </c>
      <c r="CD24" s="384">
        <f t="shared" si="28"/>
        <v>0</v>
      </c>
      <c r="CE24" s="385">
        <f t="shared" si="29"/>
        <v>0</v>
      </c>
      <c r="CF24" s="357" t="b">
        <f>SUM(CC24,CE24)=BU24</f>
        <v>1</v>
      </c>
    </row>
    <row r="25" spans="1:84" s="388" customFormat="1" ht="13.95" customHeight="1" x14ac:dyDescent="0.25">
      <c r="A25" s="365"/>
      <c r="B25" s="376"/>
      <c r="C25" s="376"/>
      <c r="D25" s="389" t="s">
        <v>199</v>
      </c>
      <c r="E25" s="378" t="s">
        <v>204</v>
      </c>
      <c r="F25" s="378">
        <v>0.77777777777777779</v>
      </c>
      <c r="G25" s="378">
        <v>0.80902777777777779</v>
      </c>
      <c r="H25" s="394">
        <v>30</v>
      </c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/>
      <c r="AE25" s="11"/>
      <c r="AF25" s="13"/>
      <c r="AG25" s="13"/>
      <c r="AH25" s="11"/>
      <c r="AI25" s="11"/>
      <c r="AJ25" s="11"/>
      <c r="AK25" s="12"/>
      <c r="AL25" s="12"/>
      <c r="AM25" s="13">
        <v>1</v>
      </c>
      <c r="AN25" s="13"/>
      <c r="AO25" s="11"/>
      <c r="AP25" s="12"/>
      <c r="AQ25" s="12"/>
      <c r="AR25" s="12"/>
      <c r="AS25" s="11"/>
      <c r="AT25" s="13">
        <v>1</v>
      </c>
      <c r="AU25" s="13"/>
      <c r="AV25" s="11"/>
      <c r="AW25" s="12"/>
      <c r="AX25" s="12"/>
      <c r="AY25" s="12"/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379">
        <f t="shared" si="37"/>
        <v>2</v>
      </c>
      <c r="BQ25" s="15">
        <v>172884</v>
      </c>
      <c r="BR25" s="19">
        <v>1</v>
      </c>
      <c r="BS25" s="20">
        <f>BQ25*(1-BR25)</f>
        <v>0</v>
      </c>
      <c r="BT25" s="21">
        <f>BS25*BP25</f>
        <v>0</v>
      </c>
      <c r="BU25" s="22">
        <f>BT25*0.8</f>
        <v>0</v>
      </c>
      <c r="BV25" s="1"/>
      <c r="BW25" s="479">
        <v>11.08</v>
      </c>
      <c r="BX25" s="485">
        <f t="shared" si="35"/>
        <v>22.16</v>
      </c>
      <c r="BY25" s="382">
        <f t="shared" si="36"/>
        <v>0</v>
      </c>
      <c r="BZ25" s="2"/>
      <c r="CA25" s="383" t="s">
        <v>183</v>
      </c>
      <c r="CB25" s="384">
        <f t="shared" si="26"/>
        <v>1</v>
      </c>
      <c r="CC25" s="385">
        <f t="shared" si="27"/>
        <v>0</v>
      </c>
      <c r="CD25" s="384">
        <f t="shared" si="28"/>
        <v>1</v>
      </c>
      <c r="CE25" s="385">
        <f t="shared" si="29"/>
        <v>0</v>
      </c>
      <c r="CF25" s="357" t="b">
        <f>SUM(CC25,CE25)=BU25</f>
        <v>1</v>
      </c>
    </row>
    <row r="26" spans="1:84" s="388" customFormat="1" ht="13.95" customHeight="1" x14ac:dyDescent="0.25">
      <c r="A26" s="365"/>
      <c r="B26" s="376"/>
      <c r="C26" s="376"/>
      <c r="D26" s="396"/>
      <c r="E26" s="378"/>
      <c r="F26" s="378"/>
      <c r="G26" s="378"/>
      <c r="H26" s="394"/>
      <c r="I26" s="11"/>
      <c r="J26" s="11"/>
      <c r="K26" s="13"/>
      <c r="L26" s="13"/>
      <c r="M26" s="11"/>
      <c r="N26" s="12"/>
      <c r="O26" s="12"/>
      <c r="P26" s="12"/>
      <c r="Q26" s="11"/>
      <c r="R26" s="13"/>
      <c r="S26" s="13"/>
      <c r="T26" s="11"/>
      <c r="U26" s="12"/>
      <c r="V26" s="12"/>
      <c r="W26" s="12"/>
      <c r="X26" s="11"/>
      <c r="Y26" s="13"/>
      <c r="Z26" s="13"/>
      <c r="AA26" s="11"/>
      <c r="AB26" s="12"/>
      <c r="AC26" s="12"/>
      <c r="AD26" s="12"/>
      <c r="AE26" s="11"/>
      <c r="AF26" s="13"/>
      <c r="AG26" s="13"/>
      <c r="AH26" s="11"/>
      <c r="AI26" s="11"/>
      <c r="AJ26" s="11"/>
      <c r="AK26" s="12"/>
      <c r="AL26" s="12"/>
      <c r="AM26" s="13"/>
      <c r="AN26" s="13"/>
      <c r="AO26" s="11"/>
      <c r="AP26" s="12"/>
      <c r="AQ26" s="12"/>
      <c r="AR26" s="12"/>
      <c r="AS26" s="11"/>
      <c r="AT26" s="13"/>
      <c r="AU26" s="13"/>
      <c r="AV26" s="11"/>
      <c r="AW26" s="12"/>
      <c r="AX26" s="12"/>
      <c r="AY26" s="12"/>
      <c r="AZ26" s="11"/>
      <c r="BA26" s="13"/>
      <c r="BB26" s="13"/>
      <c r="BC26" s="11"/>
      <c r="BD26" s="12"/>
      <c r="BE26" s="12"/>
      <c r="BF26" s="12"/>
      <c r="BG26" s="11"/>
      <c r="BH26" s="13"/>
      <c r="BI26" s="13"/>
      <c r="BJ26" s="11"/>
      <c r="BK26" s="12"/>
      <c r="BL26" s="12"/>
      <c r="BM26" s="12"/>
      <c r="BN26" s="11"/>
      <c r="BO26" s="13"/>
      <c r="BP26" s="379"/>
      <c r="BQ26" s="15"/>
      <c r="BR26" s="386"/>
      <c r="BS26" s="15"/>
      <c r="BT26" s="22"/>
      <c r="BU26" s="22"/>
      <c r="BV26" s="1"/>
      <c r="BW26" s="481"/>
      <c r="BX26" s="486"/>
      <c r="BY26" s="382"/>
      <c r="BZ26" s="2"/>
      <c r="CA26" s="383"/>
      <c r="CB26" s="384"/>
      <c r="CC26" s="385"/>
      <c r="CD26" s="384"/>
      <c r="CE26" s="385"/>
      <c r="CF26" s="357"/>
    </row>
    <row r="27" spans="1:84" s="388" customFormat="1" ht="13.95" customHeight="1" x14ac:dyDescent="0.25">
      <c r="A27" s="365"/>
      <c r="B27" s="376"/>
      <c r="C27" s="376"/>
      <c r="D27" s="377" t="s">
        <v>196</v>
      </c>
      <c r="E27" s="378" t="s">
        <v>201</v>
      </c>
      <c r="F27" s="378">
        <v>0.88888888888888884</v>
      </c>
      <c r="G27" s="378">
        <v>0.93402777777777779</v>
      </c>
      <c r="H27" s="394">
        <v>60</v>
      </c>
      <c r="I27" s="11"/>
      <c r="J27" s="11"/>
      <c r="K27" s="13"/>
      <c r="L27" s="13"/>
      <c r="M27" s="11"/>
      <c r="N27" s="12"/>
      <c r="O27" s="12"/>
      <c r="P27" s="12"/>
      <c r="Q27" s="11"/>
      <c r="R27" s="13"/>
      <c r="S27" s="13"/>
      <c r="T27" s="11"/>
      <c r="U27" s="12"/>
      <c r="V27" s="12"/>
      <c r="W27" s="12"/>
      <c r="X27" s="11"/>
      <c r="Y27" s="13"/>
      <c r="Z27" s="13"/>
      <c r="AA27" s="11"/>
      <c r="AB27" s="12"/>
      <c r="AC27" s="12"/>
      <c r="AD27" s="12">
        <v>1</v>
      </c>
      <c r="AE27" s="11"/>
      <c r="AF27" s="13"/>
      <c r="AG27" s="13"/>
      <c r="AH27" s="11"/>
      <c r="AI27" s="11"/>
      <c r="AJ27" s="11"/>
      <c r="AK27" s="12"/>
      <c r="AL27" s="12"/>
      <c r="AM27" s="13"/>
      <c r="AN27" s="13"/>
      <c r="AO27" s="11"/>
      <c r="AP27" s="12"/>
      <c r="AQ27" s="12"/>
      <c r="AR27" s="12"/>
      <c r="AS27" s="11"/>
      <c r="AT27" s="13"/>
      <c r="AU27" s="13"/>
      <c r="AV27" s="11"/>
      <c r="AW27" s="12"/>
      <c r="AX27" s="12"/>
      <c r="AY27" s="12"/>
      <c r="AZ27" s="11"/>
      <c r="BA27" s="13"/>
      <c r="BB27" s="13"/>
      <c r="BC27" s="11"/>
      <c r="BD27" s="12"/>
      <c r="BE27" s="12"/>
      <c r="BF27" s="12"/>
      <c r="BG27" s="11"/>
      <c r="BH27" s="13"/>
      <c r="BI27" s="13"/>
      <c r="BJ27" s="11"/>
      <c r="BK27" s="12"/>
      <c r="BL27" s="12"/>
      <c r="BM27" s="12"/>
      <c r="BN27" s="11"/>
      <c r="BO27" s="13"/>
      <c r="BP27" s="379">
        <f>SUM(I27:BO27)</f>
        <v>1</v>
      </c>
      <c r="BQ27" s="390">
        <f>318624*2</f>
        <v>637248</v>
      </c>
      <c r="BR27" s="19">
        <v>0</v>
      </c>
      <c r="BS27" s="20">
        <f>BQ27*(1-BR27)</f>
        <v>637248</v>
      </c>
      <c r="BT27" s="21">
        <f>BS27*BP27</f>
        <v>637248</v>
      </c>
      <c r="BU27" s="22">
        <f>BT27*0.8</f>
        <v>509798.40000000002</v>
      </c>
      <c r="BV27" s="1"/>
      <c r="BW27" s="479">
        <v>13.35</v>
      </c>
      <c r="BX27" s="485">
        <f t="shared" ref="BX27:BX29" si="38">BW27*BP27</f>
        <v>13.35</v>
      </c>
      <c r="BY27" s="382">
        <f t="shared" ref="BY27:BY29" si="39">IFERROR(BU27/BX27,0)</f>
        <v>38187.146067415735</v>
      </c>
      <c r="BZ27" s="2"/>
      <c r="CA27" s="383" t="s">
        <v>183</v>
      </c>
      <c r="CB27" s="384">
        <f t="shared" si="26"/>
        <v>1</v>
      </c>
      <c r="CC27" s="385">
        <f t="shared" si="27"/>
        <v>509798.40000000002</v>
      </c>
      <c r="CD27" s="384">
        <f t="shared" si="28"/>
        <v>0</v>
      </c>
      <c r="CE27" s="385">
        <f t="shared" si="29"/>
        <v>0</v>
      </c>
      <c r="CF27" s="357" t="b">
        <f>SUM(CC27,CE27)=BU27</f>
        <v>1</v>
      </c>
    </row>
    <row r="28" spans="1:84" s="388" customFormat="1" ht="13.95" customHeight="1" x14ac:dyDescent="0.25">
      <c r="A28" s="365"/>
      <c r="B28" s="376"/>
      <c r="C28" s="376"/>
      <c r="D28" s="377" t="s">
        <v>205</v>
      </c>
      <c r="E28" s="378" t="s">
        <v>204</v>
      </c>
      <c r="F28" s="378">
        <v>0.88888888888888884</v>
      </c>
      <c r="G28" s="378">
        <v>0.93402777777777779</v>
      </c>
      <c r="H28" s="394">
        <v>60</v>
      </c>
      <c r="I28" s="11"/>
      <c r="J28" s="11"/>
      <c r="K28" s="13"/>
      <c r="L28" s="13"/>
      <c r="M28" s="11"/>
      <c r="N28" s="12"/>
      <c r="O28" s="12"/>
      <c r="P28" s="12"/>
      <c r="Q28" s="11"/>
      <c r="R28" s="13"/>
      <c r="S28" s="13"/>
      <c r="T28" s="11"/>
      <c r="U28" s="12"/>
      <c r="V28" s="12"/>
      <c r="W28" s="12"/>
      <c r="X28" s="11"/>
      <c r="Y28" s="13"/>
      <c r="Z28" s="13"/>
      <c r="AA28" s="11"/>
      <c r="AB28" s="12"/>
      <c r="AC28" s="12"/>
      <c r="AD28" s="12"/>
      <c r="AE28" s="11"/>
      <c r="AF28" s="13">
        <v>1</v>
      </c>
      <c r="AG28" s="13"/>
      <c r="AH28" s="11"/>
      <c r="AI28" s="11"/>
      <c r="AJ28" s="11"/>
      <c r="AK28" s="12"/>
      <c r="AL28" s="12"/>
      <c r="AM28" s="13"/>
      <c r="AN28" s="13"/>
      <c r="AO28" s="11"/>
      <c r="AP28" s="12"/>
      <c r="AQ28" s="12"/>
      <c r="AR28" s="12"/>
      <c r="AS28" s="11"/>
      <c r="AT28" s="13"/>
      <c r="AU28" s="13"/>
      <c r="AV28" s="11"/>
      <c r="AW28" s="12"/>
      <c r="AX28" s="12"/>
      <c r="AY28" s="12"/>
      <c r="AZ28" s="11"/>
      <c r="BA28" s="13"/>
      <c r="BB28" s="13"/>
      <c r="BC28" s="11"/>
      <c r="BD28" s="12"/>
      <c r="BE28" s="12"/>
      <c r="BF28" s="12"/>
      <c r="BG28" s="11"/>
      <c r="BH28" s="13"/>
      <c r="BI28" s="13"/>
      <c r="BJ28" s="11"/>
      <c r="BK28" s="12"/>
      <c r="BL28" s="12"/>
      <c r="BM28" s="12"/>
      <c r="BN28" s="11"/>
      <c r="BO28" s="13"/>
      <c r="BP28" s="379">
        <f t="shared" ref="BP28:BP29" si="40">SUM(I28:BO28)</f>
        <v>1</v>
      </c>
      <c r="BQ28" s="15">
        <f>257775*2</f>
        <v>515550</v>
      </c>
      <c r="BR28" s="19">
        <v>0</v>
      </c>
      <c r="BS28" s="20">
        <f>BQ28*(1-BR28)</f>
        <v>515550</v>
      </c>
      <c r="BT28" s="21">
        <f>BS28*BP28</f>
        <v>515550</v>
      </c>
      <c r="BU28" s="22">
        <f>BT28*0.8</f>
        <v>412440</v>
      </c>
      <c r="BV28" s="1"/>
      <c r="BW28" s="479">
        <v>11.18</v>
      </c>
      <c r="BX28" s="485">
        <f t="shared" si="38"/>
        <v>11.18</v>
      </c>
      <c r="BY28" s="382">
        <f t="shared" si="39"/>
        <v>36890.87656529517</v>
      </c>
      <c r="BZ28" s="2"/>
      <c r="CA28" s="383" t="s">
        <v>183</v>
      </c>
      <c r="CB28" s="384">
        <f t="shared" si="26"/>
        <v>1</v>
      </c>
      <c r="CC28" s="385">
        <f t="shared" si="27"/>
        <v>412440</v>
      </c>
      <c r="CD28" s="384">
        <f t="shared" si="28"/>
        <v>0</v>
      </c>
      <c r="CE28" s="385">
        <f t="shared" si="29"/>
        <v>0</v>
      </c>
      <c r="CF28" s="357" t="b">
        <f>SUM(CC28,CE28)=BU28</f>
        <v>1</v>
      </c>
    </row>
    <row r="29" spans="1:84" s="388" customFormat="1" ht="13.95" customHeight="1" x14ac:dyDescent="0.25">
      <c r="A29" s="365"/>
      <c r="B29" s="376"/>
      <c r="C29" s="376"/>
      <c r="D29" s="389" t="s">
        <v>187</v>
      </c>
      <c r="E29" s="378" t="s">
        <v>201</v>
      </c>
      <c r="F29" s="378">
        <v>0.81944444444444442</v>
      </c>
      <c r="G29" s="378">
        <v>0.85416666666666663</v>
      </c>
      <c r="H29" s="394">
        <v>60</v>
      </c>
      <c r="I29" s="11"/>
      <c r="J29" s="11"/>
      <c r="K29" s="13"/>
      <c r="L29" s="13"/>
      <c r="M29" s="11"/>
      <c r="N29" s="12"/>
      <c r="O29" s="12"/>
      <c r="P29" s="12"/>
      <c r="Q29" s="11"/>
      <c r="R29" s="13"/>
      <c r="S29" s="13"/>
      <c r="T29" s="11"/>
      <c r="U29" s="12"/>
      <c r="V29" s="12"/>
      <c r="W29" s="12"/>
      <c r="X29" s="11"/>
      <c r="Y29" s="13"/>
      <c r="Z29" s="13"/>
      <c r="AA29" s="11"/>
      <c r="AB29" s="12"/>
      <c r="AC29" s="12"/>
      <c r="AD29" s="12"/>
      <c r="AE29" s="11">
        <v>1</v>
      </c>
      <c r="AF29" s="13"/>
      <c r="AG29" s="13"/>
      <c r="AH29" s="11"/>
      <c r="AI29" s="11"/>
      <c r="AJ29" s="11"/>
      <c r="AK29" s="12"/>
      <c r="AL29" s="12"/>
      <c r="AM29" s="13"/>
      <c r="AN29" s="13"/>
      <c r="AO29" s="11"/>
      <c r="AP29" s="12"/>
      <c r="AQ29" s="12"/>
      <c r="AR29" s="12"/>
      <c r="AS29" s="11"/>
      <c r="AT29" s="13"/>
      <c r="AU29" s="13"/>
      <c r="AV29" s="11"/>
      <c r="AW29" s="12"/>
      <c r="AX29" s="12"/>
      <c r="AY29" s="12"/>
      <c r="AZ29" s="11"/>
      <c r="BA29" s="13"/>
      <c r="BB29" s="13"/>
      <c r="BC29" s="11"/>
      <c r="BD29" s="12"/>
      <c r="BE29" s="12"/>
      <c r="BF29" s="12"/>
      <c r="BG29" s="11"/>
      <c r="BH29" s="13"/>
      <c r="BI29" s="13"/>
      <c r="BJ29" s="11"/>
      <c r="BK29" s="12"/>
      <c r="BL29" s="12"/>
      <c r="BM29" s="12"/>
      <c r="BN29" s="11"/>
      <c r="BO29" s="13"/>
      <c r="BP29" s="379">
        <f t="shared" si="40"/>
        <v>1</v>
      </c>
      <c r="BQ29" s="15">
        <f>217403*2</f>
        <v>434806</v>
      </c>
      <c r="BR29" s="19">
        <v>1</v>
      </c>
      <c r="BS29" s="20">
        <f>BQ29*(1-BR29)</f>
        <v>0</v>
      </c>
      <c r="BT29" s="21">
        <f>BS29*BP29</f>
        <v>0</v>
      </c>
      <c r="BU29" s="22">
        <f>BT29*0.8</f>
        <v>0</v>
      </c>
      <c r="BV29" s="1"/>
      <c r="BW29" s="479">
        <v>12.33</v>
      </c>
      <c r="BX29" s="485">
        <f t="shared" si="38"/>
        <v>12.33</v>
      </c>
      <c r="BY29" s="382">
        <f t="shared" si="39"/>
        <v>0</v>
      </c>
      <c r="BZ29" s="2"/>
      <c r="CA29" s="383" t="s">
        <v>183</v>
      </c>
      <c r="CB29" s="384">
        <f t="shared" si="26"/>
        <v>1</v>
      </c>
      <c r="CC29" s="385">
        <f t="shared" si="27"/>
        <v>0</v>
      </c>
      <c r="CD29" s="384">
        <f t="shared" si="28"/>
        <v>0</v>
      </c>
      <c r="CE29" s="385">
        <f t="shared" si="29"/>
        <v>0</v>
      </c>
      <c r="CF29" s="357" t="b">
        <f>SUM(CC29,CE29)=BU29</f>
        <v>1</v>
      </c>
    </row>
    <row r="30" spans="1:84" s="388" customFormat="1" ht="13.95" customHeight="1" x14ac:dyDescent="0.25">
      <c r="A30" s="365"/>
      <c r="B30" s="376"/>
      <c r="C30" s="376"/>
      <c r="D30" s="396"/>
      <c r="E30" s="378"/>
      <c r="F30" s="378"/>
      <c r="G30" s="378"/>
      <c r="H30" s="394"/>
      <c r="I30" s="11"/>
      <c r="J30" s="11"/>
      <c r="K30" s="13"/>
      <c r="L30" s="13"/>
      <c r="M30" s="11"/>
      <c r="N30" s="12"/>
      <c r="O30" s="12"/>
      <c r="P30" s="12"/>
      <c r="Q30" s="11"/>
      <c r="R30" s="13"/>
      <c r="S30" s="13"/>
      <c r="T30" s="11"/>
      <c r="U30" s="12"/>
      <c r="V30" s="12"/>
      <c r="W30" s="12"/>
      <c r="X30" s="11"/>
      <c r="Y30" s="13"/>
      <c r="Z30" s="13"/>
      <c r="AA30" s="11"/>
      <c r="AB30" s="12"/>
      <c r="AC30" s="12"/>
      <c r="AD30" s="12"/>
      <c r="AE30" s="11"/>
      <c r="AF30" s="13"/>
      <c r="AG30" s="13"/>
      <c r="AH30" s="11"/>
      <c r="AI30" s="11"/>
      <c r="AJ30" s="11"/>
      <c r="AK30" s="12"/>
      <c r="AL30" s="12"/>
      <c r="AM30" s="13"/>
      <c r="AN30" s="13"/>
      <c r="AO30" s="11"/>
      <c r="AP30" s="12"/>
      <c r="AQ30" s="12"/>
      <c r="AR30" s="12"/>
      <c r="AS30" s="11"/>
      <c r="AT30" s="13"/>
      <c r="AU30" s="13"/>
      <c r="AV30" s="11"/>
      <c r="AW30" s="12"/>
      <c r="AX30" s="12"/>
      <c r="AY30" s="12"/>
      <c r="AZ30" s="11"/>
      <c r="BA30" s="13"/>
      <c r="BB30" s="13"/>
      <c r="BC30" s="11"/>
      <c r="BD30" s="12"/>
      <c r="BE30" s="12"/>
      <c r="BF30" s="12"/>
      <c r="BG30" s="11"/>
      <c r="BH30" s="13"/>
      <c r="BI30" s="13"/>
      <c r="BJ30" s="11"/>
      <c r="BK30" s="12"/>
      <c r="BL30" s="12"/>
      <c r="BM30" s="12"/>
      <c r="BN30" s="11"/>
      <c r="BO30" s="13"/>
      <c r="BP30" s="379"/>
      <c r="BQ30" s="15"/>
      <c r="BR30" s="386"/>
      <c r="BS30" s="15"/>
      <c r="BT30" s="22"/>
      <c r="BU30" s="22"/>
      <c r="BV30" s="1"/>
      <c r="BW30" s="481"/>
      <c r="BX30" s="486"/>
      <c r="BY30" s="382"/>
      <c r="BZ30" s="2"/>
      <c r="CA30" s="383"/>
      <c r="CB30" s="384"/>
      <c r="CC30" s="385"/>
      <c r="CD30" s="384"/>
      <c r="CE30" s="385"/>
      <c r="CF30" s="357"/>
    </row>
    <row r="31" spans="1:84" s="388" customFormat="1" ht="13.95" customHeight="1" x14ac:dyDescent="0.25">
      <c r="A31" s="365"/>
      <c r="B31" s="376"/>
      <c r="C31" s="376"/>
      <c r="D31" s="377" t="s">
        <v>292</v>
      </c>
      <c r="E31" s="378" t="s">
        <v>201</v>
      </c>
      <c r="F31" s="378">
        <v>0.85416666666666663</v>
      </c>
      <c r="G31" s="378">
        <v>0.88888888888888884</v>
      </c>
      <c r="H31" s="394">
        <v>60</v>
      </c>
      <c r="I31" s="11"/>
      <c r="J31" s="11"/>
      <c r="K31" s="13"/>
      <c r="L31" s="13"/>
      <c r="M31" s="11"/>
      <c r="N31" s="12"/>
      <c r="O31" s="12"/>
      <c r="P31" s="12"/>
      <c r="Q31" s="11"/>
      <c r="R31" s="13"/>
      <c r="S31" s="13"/>
      <c r="T31" s="11"/>
      <c r="U31" s="12"/>
      <c r="V31" s="12"/>
      <c r="W31" s="12"/>
      <c r="X31" s="11"/>
      <c r="Y31" s="13"/>
      <c r="Z31" s="13"/>
      <c r="AA31" s="11"/>
      <c r="AB31" s="12"/>
      <c r="AC31" s="12">
        <v>1</v>
      </c>
      <c r="AD31" s="12"/>
      <c r="AE31" s="11"/>
      <c r="AF31" s="13"/>
      <c r="AG31" s="13"/>
      <c r="AH31" s="11"/>
      <c r="AI31" s="11"/>
      <c r="AJ31" s="11"/>
      <c r="AK31" s="12"/>
      <c r="AL31" s="12"/>
      <c r="AM31" s="13"/>
      <c r="AN31" s="13"/>
      <c r="AO31" s="11"/>
      <c r="AP31" s="12"/>
      <c r="AQ31" s="12"/>
      <c r="AR31" s="12"/>
      <c r="AS31" s="11"/>
      <c r="AT31" s="13"/>
      <c r="AU31" s="13"/>
      <c r="AV31" s="11"/>
      <c r="AW31" s="12"/>
      <c r="AX31" s="12"/>
      <c r="AY31" s="12"/>
      <c r="AZ31" s="11"/>
      <c r="BA31" s="13"/>
      <c r="BB31" s="13"/>
      <c r="BC31" s="11"/>
      <c r="BD31" s="12"/>
      <c r="BE31" s="12"/>
      <c r="BF31" s="12"/>
      <c r="BG31" s="11"/>
      <c r="BH31" s="13"/>
      <c r="BI31" s="13"/>
      <c r="BJ31" s="11"/>
      <c r="BK31" s="12"/>
      <c r="BL31" s="12"/>
      <c r="BM31" s="12"/>
      <c r="BN31" s="11"/>
      <c r="BO31" s="13"/>
      <c r="BP31" s="379">
        <f>SUM(I31:BO31)</f>
        <v>1</v>
      </c>
      <c r="BQ31" s="15">
        <f>(316309*2)*1.2</f>
        <v>759141.6</v>
      </c>
      <c r="BR31" s="19">
        <v>0.1</v>
      </c>
      <c r="BS31" s="20">
        <f>BQ31*(1-BR31)</f>
        <v>683227.44</v>
      </c>
      <c r="BT31" s="21">
        <f>BS31*BP31</f>
        <v>683227.44</v>
      </c>
      <c r="BU31" s="22">
        <f>BT31*0.8</f>
        <v>546581.95199999993</v>
      </c>
      <c r="BV31" s="1"/>
      <c r="BW31" s="479">
        <v>13.07</v>
      </c>
      <c r="BX31" s="485">
        <f>BW31*BP31</f>
        <v>13.07</v>
      </c>
      <c r="BY31" s="382">
        <f>IFERROR(BU31/BX31,0)</f>
        <v>41819.583167559293</v>
      </c>
      <c r="BZ31" s="2"/>
      <c r="CA31" s="383" t="s">
        <v>183</v>
      </c>
      <c r="CB31" s="384">
        <f t="shared" si="26"/>
        <v>1</v>
      </c>
      <c r="CC31" s="385">
        <f t="shared" si="27"/>
        <v>546581.95199999993</v>
      </c>
      <c r="CD31" s="384">
        <f t="shared" si="28"/>
        <v>0</v>
      </c>
      <c r="CE31" s="385">
        <f t="shared" si="29"/>
        <v>0</v>
      </c>
      <c r="CF31" s="357" t="b">
        <f>SUM(CC31,CE31)=BU31</f>
        <v>1</v>
      </c>
    </row>
    <row r="32" spans="1:84" s="357" customFormat="1" ht="13.95" customHeight="1" x14ac:dyDescent="0.25">
      <c r="A32" s="365"/>
      <c r="B32" s="418"/>
      <c r="C32" s="419"/>
      <c r="D32" s="420"/>
      <c r="E32" s="420"/>
      <c r="F32" s="420"/>
      <c r="G32" s="420"/>
      <c r="H32" s="420"/>
      <c r="I32" s="11"/>
      <c r="J32" s="11"/>
      <c r="K32" s="13"/>
      <c r="L32" s="13"/>
      <c r="M32" s="11"/>
      <c r="N32" s="12"/>
      <c r="O32" s="12"/>
      <c r="P32" s="12"/>
      <c r="Q32" s="11"/>
      <c r="R32" s="13"/>
      <c r="S32" s="13"/>
      <c r="T32" s="11"/>
      <c r="U32" s="12"/>
      <c r="V32" s="12"/>
      <c r="W32" s="12"/>
      <c r="X32" s="11"/>
      <c r="Y32" s="13"/>
      <c r="Z32" s="13"/>
      <c r="AA32" s="11"/>
      <c r="AB32" s="12"/>
      <c r="AC32" s="12"/>
      <c r="AD32" s="12"/>
      <c r="AE32" s="11"/>
      <c r="AF32" s="13"/>
      <c r="AG32" s="13"/>
      <c r="AH32" s="11"/>
      <c r="AI32" s="11"/>
      <c r="AJ32" s="11"/>
      <c r="AK32" s="12"/>
      <c r="AL32" s="12"/>
      <c r="AM32" s="13"/>
      <c r="AN32" s="13"/>
      <c r="AO32" s="11"/>
      <c r="AP32" s="12"/>
      <c r="AQ32" s="12"/>
      <c r="AR32" s="12"/>
      <c r="AS32" s="11"/>
      <c r="AT32" s="13"/>
      <c r="AU32" s="13"/>
      <c r="AV32" s="11"/>
      <c r="AW32" s="12"/>
      <c r="AX32" s="12"/>
      <c r="AY32" s="12"/>
      <c r="AZ32" s="11"/>
      <c r="BA32" s="13"/>
      <c r="BB32" s="13"/>
      <c r="BC32" s="11"/>
      <c r="BD32" s="12"/>
      <c r="BE32" s="12"/>
      <c r="BF32" s="12"/>
      <c r="BG32" s="11"/>
      <c r="BH32" s="13"/>
      <c r="BI32" s="13"/>
      <c r="BJ32" s="11"/>
      <c r="BK32" s="12"/>
      <c r="BL32" s="12"/>
      <c r="BM32" s="12"/>
      <c r="BN32" s="11"/>
      <c r="BO32" s="13"/>
      <c r="BP32" s="336"/>
      <c r="BQ32" s="15"/>
      <c r="BR32" s="19"/>
      <c r="BS32" s="20"/>
      <c r="BT32" s="21"/>
      <c r="BU32" s="21"/>
      <c r="BV32" s="1"/>
      <c r="BW32" s="479"/>
      <c r="BX32" s="485"/>
      <c r="BY32" s="21"/>
      <c r="BZ32" s="2"/>
      <c r="CA32" s="424" t="s">
        <v>142</v>
      </c>
      <c r="CB32" s="425">
        <f>SUM(CB13:CB31)</f>
        <v>12</v>
      </c>
      <c r="CC32" s="426">
        <f>SUM(CC13:CC31)</f>
        <v>2587873.1520000002</v>
      </c>
      <c r="CD32" s="425">
        <f>SUM(CD13:CD31)</f>
        <v>11</v>
      </c>
      <c r="CE32" s="426">
        <f>SUM(CE13:CE31)</f>
        <v>976449.60000000009</v>
      </c>
    </row>
    <row r="33" spans="1:84" ht="13.95" customHeight="1" x14ac:dyDescent="0.25">
      <c r="A33" s="365"/>
      <c r="B33" s="391"/>
      <c r="C33" s="376" t="s">
        <v>17</v>
      </c>
      <c r="D33" s="377" t="s">
        <v>208</v>
      </c>
      <c r="E33" s="378" t="s">
        <v>201</v>
      </c>
      <c r="F33" s="378">
        <v>0.375</v>
      </c>
      <c r="G33" s="378" t="s">
        <v>212</v>
      </c>
      <c r="H33" s="394">
        <v>30</v>
      </c>
      <c r="I33" s="11"/>
      <c r="J33" s="11"/>
      <c r="K33" s="13"/>
      <c r="L33" s="13"/>
      <c r="M33" s="11"/>
      <c r="N33" s="12"/>
      <c r="O33" s="12"/>
      <c r="P33" s="12"/>
      <c r="Q33" s="11"/>
      <c r="R33" s="13"/>
      <c r="S33" s="13"/>
      <c r="T33" s="11"/>
      <c r="U33" s="12"/>
      <c r="V33" s="12"/>
      <c r="W33" s="12"/>
      <c r="X33" s="11"/>
      <c r="Y33" s="13"/>
      <c r="Z33" s="13"/>
      <c r="AA33" s="11"/>
      <c r="AB33" s="12"/>
      <c r="AC33" s="12"/>
      <c r="AD33" s="12"/>
      <c r="AE33" s="11"/>
      <c r="AF33" s="13"/>
      <c r="AG33" s="13"/>
      <c r="AH33" s="11"/>
      <c r="AI33" s="11"/>
      <c r="AJ33" s="11"/>
      <c r="AK33" s="12">
        <v>1</v>
      </c>
      <c r="AL33" s="12"/>
      <c r="AM33" s="13"/>
      <c r="AN33" s="13"/>
      <c r="AO33" s="11"/>
      <c r="AP33" s="12"/>
      <c r="AQ33" s="12"/>
      <c r="AR33" s="12">
        <v>1</v>
      </c>
      <c r="AS33" s="11"/>
      <c r="AT33" s="13"/>
      <c r="AU33" s="13"/>
      <c r="AV33" s="11"/>
      <c r="AW33" s="12"/>
      <c r="AX33" s="12"/>
      <c r="AY33" s="12">
        <v>1</v>
      </c>
      <c r="AZ33" s="11"/>
      <c r="BA33" s="13"/>
      <c r="BB33" s="13"/>
      <c r="BC33" s="11"/>
      <c r="BD33" s="12"/>
      <c r="BE33" s="12"/>
      <c r="BF33" s="12"/>
      <c r="BG33" s="11"/>
      <c r="BH33" s="13"/>
      <c r="BI33" s="13"/>
      <c r="BJ33" s="11"/>
      <c r="BK33" s="12"/>
      <c r="BL33" s="12"/>
      <c r="BM33" s="12"/>
      <c r="BN33" s="11"/>
      <c r="BO33" s="13"/>
      <c r="BP33" s="379">
        <f>SUM(I33:BO33)</f>
        <v>3</v>
      </c>
      <c r="BQ33" s="15">
        <v>18884</v>
      </c>
      <c r="BR33" s="19">
        <v>0.85</v>
      </c>
      <c r="BS33" s="20">
        <f>BQ33*(1-BR33)</f>
        <v>2832.6000000000004</v>
      </c>
      <c r="BT33" s="21">
        <f>BS33*BP33</f>
        <v>8497.8000000000011</v>
      </c>
      <c r="BU33" s="21">
        <f t="shared" ref="BU33:BU34" si="41">BT33*0.8</f>
        <v>6798.2400000000016</v>
      </c>
      <c r="BW33" s="479">
        <v>0.24</v>
      </c>
      <c r="BX33" s="485">
        <f t="shared" ref="BX33:BX43" si="42">BW33*BP33</f>
        <v>0.72</v>
      </c>
      <c r="BY33" s="382">
        <f t="shared" ref="BY33:BY43" si="43">IFERROR(BU33/BX33,0)</f>
        <v>9442.0000000000018</v>
      </c>
      <c r="BZ33" s="2"/>
      <c r="CA33" s="383" t="s">
        <v>17</v>
      </c>
      <c r="CB33" s="384">
        <f t="shared" ref="CB33:CB43" si="44">COUNTA(I33:AM33)</f>
        <v>1</v>
      </c>
      <c r="CC33" s="385">
        <f t="shared" ref="CC33:CC43" si="45">CB33*BS33*0.8</f>
        <v>2266.0800000000004</v>
      </c>
      <c r="CD33" s="384">
        <f t="shared" ref="CD33:CD43" si="46">COUNTA(AN33:BO33)</f>
        <v>2</v>
      </c>
      <c r="CE33" s="385">
        <f t="shared" ref="CE33:CE43" si="47">CD33*BS33*0.8</f>
        <v>4532.1600000000008</v>
      </c>
      <c r="CF33" s="357" t="b">
        <f>SUM(CC33,CE33)=BU33</f>
        <v>1</v>
      </c>
    </row>
    <row r="34" spans="1:84" s="388" customFormat="1" ht="13.95" customHeight="1" x14ac:dyDescent="0.25">
      <c r="A34" s="365"/>
      <c r="B34" s="376"/>
      <c r="C34" s="376"/>
      <c r="D34" s="389" t="s">
        <v>208</v>
      </c>
      <c r="E34" s="378" t="s">
        <v>201</v>
      </c>
      <c r="F34" s="378">
        <v>0.375</v>
      </c>
      <c r="G34" s="378" t="s">
        <v>212</v>
      </c>
      <c r="H34" s="394">
        <v>60</v>
      </c>
      <c r="I34" s="11"/>
      <c r="J34" s="11"/>
      <c r="K34" s="13"/>
      <c r="L34" s="13"/>
      <c r="M34" s="11"/>
      <c r="N34" s="12"/>
      <c r="O34" s="12"/>
      <c r="P34" s="12"/>
      <c r="Q34" s="11"/>
      <c r="R34" s="13"/>
      <c r="S34" s="13"/>
      <c r="T34" s="11"/>
      <c r="U34" s="12"/>
      <c r="V34" s="12"/>
      <c r="W34" s="12"/>
      <c r="X34" s="11"/>
      <c r="Y34" s="13"/>
      <c r="Z34" s="13"/>
      <c r="AA34" s="11"/>
      <c r="AB34" s="12"/>
      <c r="AC34" s="12"/>
      <c r="AD34" s="12">
        <v>1</v>
      </c>
      <c r="AE34" s="11"/>
      <c r="AF34" s="13"/>
      <c r="AG34" s="13"/>
      <c r="AH34" s="11"/>
      <c r="AI34" s="11"/>
      <c r="AJ34" s="11"/>
      <c r="AK34" s="12"/>
      <c r="AL34" s="12"/>
      <c r="AM34" s="13"/>
      <c r="AN34" s="13"/>
      <c r="AO34" s="11"/>
      <c r="AP34" s="12"/>
      <c r="AQ34" s="12"/>
      <c r="AR34" s="12"/>
      <c r="AS34" s="11"/>
      <c r="AT34" s="13"/>
      <c r="AU34" s="13"/>
      <c r="AV34" s="11"/>
      <c r="AW34" s="12"/>
      <c r="AX34" s="12"/>
      <c r="AY34" s="12"/>
      <c r="AZ34" s="11"/>
      <c r="BA34" s="13"/>
      <c r="BB34" s="13"/>
      <c r="BC34" s="11"/>
      <c r="BD34" s="12"/>
      <c r="BE34" s="12"/>
      <c r="BF34" s="12"/>
      <c r="BG34" s="11"/>
      <c r="BH34" s="13"/>
      <c r="BI34" s="13"/>
      <c r="BJ34" s="11"/>
      <c r="BK34" s="12"/>
      <c r="BL34" s="12"/>
      <c r="BM34" s="12"/>
      <c r="BN34" s="11"/>
      <c r="BO34" s="13"/>
      <c r="BP34" s="379">
        <f>SUM(I34:BO34)</f>
        <v>1</v>
      </c>
      <c r="BQ34" s="390">
        <v>37768</v>
      </c>
      <c r="BR34" s="19">
        <v>0.85</v>
      </c>
      <c r="BS34" s="20">
        <f t="shared" ref="BS34" si="48">BQ34*(1-BR34)</f>
        <v>5665.2000000000007</v>
      </c>
      <c r="BT34" s="21">
        <f t="shared" ref="BT34" si="49">BS34*BP34</f>
        <v>5665.2000000000007</v>
      </c>
      <c r="BU34" s="22">
        <f t="shared" si="41"/>
        <v>4532.1600000000008</v>
      </c>
      <c r="BV34" s="1"/>
      <c r="BW34" s="479">
        <v>0.24</v>
      </c>
      <c r="BX34" s="485">
        <f t="shared" si="42"/>
        <v>0.24</v>
      </c>
      <c r="BY34" s="382">
        <f t="shared" si="43"/>
        <v>18884.000000000004</v>
      </c>
      <c r="BZ34" s="2"/>
      <c r="CA34" s="383" t="s">
        <v>17</v>
      </c>
      <c r="CB34" s="384">
        <f t="shared" si="44"/>
        <v>1</v>
      </c>
      <c r="CC34" s="385">
        <f t="shared" si="45"/>
        <v>4532.1600000000008</v>
      </c>
      <c r="CD34" s="384">
        <f t="shared" si="46"/>
        <v>0</v>
      </c>
      <c r="CE34" s="385">
        <f t="shared" si="47"/>
        <v>0</v>
      </c>
      <c r="CF34" s="357" t="b">
        <f>SUM(CC34,CE34)=BU34</f>
        <v>1</v>
      </c>
    </row>
    <row r="35" spans="1:84" s="388" customFormat="1" ht="13.95" customHeight="1" x14ac:dyDescent="0.25">
      <c r="A35" s="365"/>
      <c r="B35" s="376"/>
      <c r="C35" s="376"/>
      <c r="D35" s="377" t="s">
        <v>209</v>
      </c>
      <c r="E35" s="378" t="s">
        <v>202</v>
      </c>
      <c r="F35" s="378">
        <v>0.66666666666666663</v>
      </c>
      <c r="G35" s="378" t="s">
        <v>213</v>
      </c>
      <c r="H35" s="394">
        <v>30</v>
      </c>
      <c r="I35" s="11"/>
      <c r="J35" s="11"/>
      <c r="K35" s="13"/>
      <c r="L35" s="13"/>
      <c r="M35" s="11"/>
      <c r="N35" s="12"/>
      <c r="O35" s="12"/>
      <c r="P35" s="12"/>
      <c r="Q35" s="11"/>
      <c r="R35" s="13"/>
      <c r="S35" s="13"/>
      <c r="T35" s="11"/>
      <c r="U35" s="12"/>
      <c r="V35" s="12"/>
      <c r="W35" s="12"/>
      <c r="X35" s="11"/>
      <c r="Y35" s="13"/>
      <c r="Z35" s="13"/>
      <c r="AA35" s="11"/>
      <c r="AB35" s="12"/>
      <c r="AC35" s="12"/>
      <c r="AD35" s="12"/>
      <c r="AE35" s="11"/>
      <c r="AF35" s="13"/>
      <c r="AG35" s="13"/>
      <c r="AH35" s="11"/>
      <c r="AI35" s="11"/>
      <c r="AJ35" s="11"/>
      <c r="AK35" s="12"/>
      <c r="AL35" s="12">
        <v>1</v>
      </c>
      <c r="AM35" s="13"/>
      <c r="AN35" s="13"/>
      <c r="AO35" s="11"/>
      <c r="AP35" s="12"/>
      <c r="AQ35" s="12"/>
      <c r="AR35" s="12"/>
      <c r="AS35" s="11">
        <v>1</v>
      </c>
      <c r="AT35" s="13"/>
      <c r="AU35" s="13"/>
      <c r="AV35" s="11"/>
      <c r="AW35" s="12"/>
      <c r="AX35" s="12"/>
      <c r="AY35" s="12"/>
      <c r="AZ35" s="11">
        <v>1</v>
      </c>
      <c r="BA35" s="13"/>
      <c r="BB35" s="13"/>
      <c r="BC35" s="11"/>
      <c r="BD35" s="12"/>
      <c r="BE35" s="12"/>
      <c r="BF35" s="12"/>
      <c r="BG35" s="11"/>
      <c r="BH35" s="13"/>
      <c r="BI35" s="13"/>
      <c r="BJ35" s="11"/>
      <c r="BK35" s="12"/>
      <c r="BL35" s="12"/>
      <c r="BM35" s="12"/>
      <c r="BN35" s="11"/>
      <c r="BO35" s="13"/>
      <c r="BP35" s="379">
        <f t="shared" ref="BP35:BP43" si="50">SUM(I35:BO35)</f>
        <v>3</v>
      </c>
      <c r="BQ35" s="390">
        <v>66878</v>
      </c>
      <c r="BR35" s="19">
        <v>0.85</v>
      </c>
      <c r="BS35" s="20">
        <f t="shared" ref="BS35:BS43" si="51">BQ35*(1-BR35)</f>
        <v>10031.700000000001</v>
      </c>
      <c r="BT35" s="21">
        <f t="shared" ref="BT35:BT43" si="52">BS35*BP35</f>
        <v>30095.100000000002</v>
      </c>
      <c r="BU35" s="22">
        <f t="shared" ref="BU35:BU43" si="53">BT35*0.8</f>
        <v>24076.080000000002</v>
      </c>
      <c r="BV35" s="1"/>
      <c r="BW35" s="479">
        <v>1.43</v>
      </c>
      <c r="BX35" s="485">
        <f t="shared" si="42"/>
        <v>4.29</v>
      </c>
      <c r="BY35" s="382">
        <f t="shared" si="43"/>
        <v>5612.1398601398605</v>
      </c>
      <c r="BZ35" s="2"/>
      <c r="CA35" s="383" t="s">
        <v>17</v>
      </c>
      <c r="CB35" s="384">
        <f t="shared" si="44"/>
        <v>1</v>
      </c>
      <c r="CC35" s="385">
        <f t="shared" si="45"/>
        <v>8025.3600000000006</v>
      </c>
      <c r="CD35" s="384">
        <f t="shared" si="46"/>
        <v>2</v>
      </c>
      <c r="CE35" s="385">
        <f t="shared" si="47"/>
        <v>16050.720000000001</v>
      </c>
      <c r="CF35" s="357" t="b">
        <f t="shared" ref="CF35:CF42" si="54">SUM(CC35,CE35)=BU35</f>
        <v>1</v>
      </c>
    </row>
    <row r="36" spans="1:84" ht="13.95" customHeight="1" x14ac:dyDescent="0.25">
      <c r="A36" s="365"/>
      <c r="B36" s="376"/>
      <c r="C36" s="376"/>
      <c r="D36" s="377" t="s">
        <v>209</v>
      </c>
      <c r="E36" s="378" t="s">
        <v>202</v>
      </c>
      <c r="F36" s="378">
        <v>0.66666666666666663</v>
      </c>
      <c r="G36" s="378" t="s">
        <v>213</v>
      </c>
      <c r="H36" s="394">
        <v>60</v>
      </c>
      <c r="I36" s="11"/>
      <c r="J36" s="11"/>
      <c r="K36" s="13"/>
      <c r="L36" s="13"/>
      <c r="M36" s="11"/>
      <c r="N36" s="12"/>
      <c r="O36" s="12"/>
      <c r="P36" s="12"/>
      <c r="Q36" s="11"/>
      <c r="R36" s="13"/>
      <c r="S36" s="13"/>
      <c r="T36" s="11"/>
      <c r="U36" s="12"/>
      <c r="V36" s="12"/>
      <c r="W36" s="12"/>
      <c r="X36" s="11"/>
      <c r="Y36" s="13"/>
      <c r="Z36" s="13"/>
      <c r="AA36" s="11"/>
      <c r="AB36" s="12"/>
      <c r="AC36" s="12"/>
      <c r="AD36" s="12"/>
      <c r="AE36" s="11">
        <v>1</v>
      </c>
      <c r="AF36" s="13"/>
      <c r="AG36" s="13"/>
      <c r="AH36" s="11"/>
      <c r="AI36" s="11"/>
      <c r="AJ36" s="11"/>
      <c r="AK36" s="12"/>
      <c r="AL36" s="12"/>
      <c r="AM36" s="13"/>
      <c r="AN36" s="13"/>
      <c r="AO36" s="11"/>
      <c r="AP36" s="12"/>
      <c r="AQ36" s="12"/>
      <c r="AR36" s="12"/>
      <c r="AS36" s="11"/>
      <c r="AT36" s="13"/>
      <c r="AU36" s="13"/>
      <c r="AV36" s="11"/>
      <c r="AW36" s="12"/>
      <c r="AX36" s="12"/>
      <c r="AY36" s="12"/>
      <c r="AZ36" s="11"/>
      <c r="BA36" s="13"/>
      <c r="BB36" s="13"/>
      <c r="BC36" s="11"/>
      <c r="BD36" s="12"/>
      <c r="BE36" s="12"/>
      <c r="BF36" s="12"/>
      <c r="BG36" s="11"/>
      <c r="BH36" s="13"/>
      <c r="BI36" s="13"/>
      <c r="BJ36" s="11"/>
      <c r="BK36" s="12"/>
      <c r="BL36" s="12"/>
      <c r="BM36" s="12"/>
      <c r="BN36" s="11"/>
      <c r="BO36" s="13"/>
      <c r="BP36" s="379">
        <f t="shared" si="50"/>
        <v>1</v>
      </c>
      <c r="BQ36" s="390">
        <v>133756</v>
      </c>
      <c r="BR36" s="19">
        <v>0.85</v>
      </c>
      <c r="BS36" s="20">
        <f t="shared" si="51"/>
        <v>20063.400000000001</v>
      </c>
      <c r="BT36" s="21">
        <f t="shared" si="52"/>
        <v>20063.400000000001</v>
      </c>
      <c r="BU36" s="22">
        <f t="shared" si="53"/>
        <v>16050.720000000001</v>
      </c>
      <c r="BW36" s="479">
        <v>1.43</v>
      </c>
      <c r="BX36" s="485">
        <f t="shared" si="42"/>
        <v>1.43</v>
      </c>
      <c r="BY36" s="382">
        <f t="shared" si="43"/>
        <v>11224.279720279721</v>
      </c>
      <c r="BZ36" s="2"/>
      <c r="CA36" s="383" t="s">
        <v>17</v>
      </c>
      <c r="CB36" s="384">
        <f t="shared" si="44"/>
        <v>1</v>
      </c>
      <c r="CC36" s="385">
        <f t="shared" si="45"/>
        <v>16050.720000000001</v>
      </c>
      <c r="CD36" s="384">
        <f t="shared" si="46"/>
        <v>0</v>
      </c>
      <c r="CE36" s="385">
        <f t="shared" si="47"/>
        <v>0</v>
      </c>
      <c r="CF36" s="357" t="b">
        <f t="shared" si="54"/>
        <v>1</v>
      </c>
    </row>
    <row r="37" spans="1:84" ht="13.95" customHeight="1" x14ac:dyDescent="0.25">
      <c r="A37" s="365"/>
      <c r="B37" s="376"/>
      <c r="C37" s="376"/>
      <c r="D37" s="393" t="s">
        <v>210</v>
      </c>
      <c r="E37" s="378" t="s">
        <v>203</v>
      </c>
      <c r="F37" s="378">
        <v>0.95833333333333337</v>
      </c>
      <c r="G37" s="378" t="s">
        <v>214</v>
      </c>
      <c r="H37" s="394">
        <v>30</v>
      </c>
      <c r="I37" s="11"/>
      <c r="J37" s="11"/>
      <c r="K37" s="13"/>
      <c r="L37" s="13"/>
      <c r="M37" s="11"/>
      <c r="N37" s="12"/>
      <c r="O37" s="12"/>
      <c r="P37" s="12"/>
      <c r="Q37" s="11"/>
      <c r="R37" s="13"/>
      <c r="S37" s="13"/>
      <c r="T37" s="11"/>
      <c r="U37" s="12"/>
      <c r="V37" s="12"/>
      <c r="W37" s="12"/>
      <c r="X37" s="11"/>
      <c r="Y37" s="13"/>
      <c r="Z37" s="13"/>
      <c r="AA37" s="11"/>
      <c r="AB37" s="12"/>
      <c r="AC37" s="12"/>
      <c r="AD37" s="12"/>
      <c r="AE37" s="11"/>
      <c r="AF37" s="13"/>
      <c r="AG37" s="13"/>
      <c r="AH37" s="11"/>
      <c r="AI37" s="11"/>
      <c r="AJ37" s="11"/>
      <c r="AK37" s="12"/>
      <c r="AL37" s="12"/>
      <c r="AM37" s="13"/>
      <c r="AN37" s="13"/>
      <c r="AO37" s="11"/>
      <c r="AP37" s="12"/>
      <c r="AQ37" s="12"/>
      <c r="AR37" s="12"/>
      <c r="AS37" s="11"/>
      <c r="AT37" s="13"/>
      <c r="AU37" s="13">
        <v>1</v>
      </c>
      <c r="AV37" s="11"/>
      <c r="AW37" s="12"/>
      <c r="AX37" s="12"/>
      <c r="AY37" s="12"/>
      <c r="AZ37" s="11"/>
      <c r="BA37" s="13"/>
      <c r="BB37" s="13"/>
      <c r="BC37" s="11"/>
      <c r="BD37" s="12"/>
      <c r="BE37" s="12"/>
      <c r="BF37" s="12"/>
      <c r="BG37" s="11"/>
      <c r="BH37" s="13"/>
      <c r="BI37" s="13"/>
      <c r="BJ37" s="11"/>
      <c r="BK37" s="12"/>
      <c r="BL37" s="12"/>
      <c r="BM37" s="12"/>
      <c r="BN37" s="11"/>
      <c r="BO37" s="13"/>
      <c r="BP37" s="379">
        <f t="shared" si="50"/>
        <v>1</v>
      </c>
      <c r="BQ37" s="390">
        <v>34546</v>
      </c>
      <c r="BR37" s="19">
        <v>0.85</v>
      </c>
      <c r="BS37" s="20">
        <f t="shared" si="51"/>
        <v>5181.9000000000005</v>
      </c>
      <c r="BT37" s="21">
        <f t="shared" si="52"/>
        <v>5181.9000000000005</v>
      </c>
      <c r="BU37" s="22">
        <f t="shared" si="53"/>
        <v>4145.5200000000004</v>
      </c>
      <c r="BW37" s="479">
        <v>0.21</v>
      </c>
      <c r="BX37" s="485">
        <f t="shared" si="42"/>
        <v>0.21</v>
      </c>
      <c r="BY37" s="382">
        <f t="shared" si="43"/>
        <v>19740.571428571431</v>
      </c>
      <c r="BZ37" s="2"/>
      <c r="CA37" s="383" t="s">
        <v>17</v>
      </c>
      <c r="CB37" s="384">
        <f t="shared" si="44"/>
        <v>0</v>
      </c>
      <c r="CC37" s="385">
        <f t="shared" si="45"/>
        <v>0</v>
      </c>
      <c r="CD37" s="384">
        <f t="shared" si="46"/>
        <v>1</v>
      </c>
      <c r="CE37" s="385">
        <f t="shared" si="47"/>
        <v>4145.5200000000004</v>
      </c>
      <c r="CF37" s="357" t="b">
        <f t="shared" si="54"/>
        <v>1</v>
      </c>
    </row>
    <row r="38" spans="1:84" s="388" customFormat="1" ht="13.95" customHeight="1" x14ac:dyDescent="0.25">
      <c r="A38" s="365"/>
      <c r="B38" s="376"/>
      <c r="C38" s="376"/>
      <c r="D38" s="396" t="s">
        <v>210</v>
      </c>
      <c r="E38" s="378" t="s">
        <v>203</v>
      </c>
      <c r="F38" s="378">
        <v>0.95833333333333337</v>
      </c>
      <c r="G38" s="378" t="s">
        <v>214</v>
      </c>
      <c r="H38" s="394">
        <v>60</v>
      </c>
      <c r="I38" s="11"/>
      <c r="J38" s="11"/>
      <c r="K38" s="13"/>
      <c r="L38" s="13"/>
      <c r="M38" s="11"/>
      <c r="N38" s="12"/>
      <c r="O38" s="12"/>
      <c r="P38" s="12"/>
      <c r="Q38" s="11"/>
      <c r="R38" s="13"/>
      <c r="S38" s="13"/>
      <c r="T38" s="11"/>
      <c r="U38" s="12"/>
      <c r="V38" s="12"/>
      <c r="W38" s="12"/>
      <c r="X38" s="11"/>
      <c r="Y38" s="13"/>
      <c r="Z38" s="13"/>
      <c r="AA38" s="11"/>
      <c r="AB38" s="12"/>
      <c r="AC38" s="12"/>
      <c r="AD38" s="12"/>
      <c r="AE38" s="11"/>
      <c r="AF38" s="13"/>
      <c r="AG38" s="13">
        <v>1</v>
      </c>
      <c r="AH38" s="11"/>
      <c r="AI38" s="11"/>
      <c r="AJ38" s="11"/>
      <c r="AK38" s="12"/>
      <c r="AL38" s="12"/>
      <c r="AM38" s="13"/>
      <c r="AN38" s="13"/>
      <c r="AO38" s="11"/>
      <c r="AP38" s="12"/>
      <c r="AQ38" s="12"/>
      <c r="AR38" s="12"/>
      <c r="AS38" s="11"/>
      <c r="AT38" s="13"/>
      <c r="AU38" s="13"/>
      <c r="AV38" s="11"/>
      <c r="AW38" s="12"/>
      <c r="AX38" s="12"/>
      <c r="AY38" s="12"/>
      <c r="AZ38" s="11"/>
      <c r="BA38" s="13"/>
      <c r="BB38" s="13"/>
      <c r="BC38" s="11"/>
      <c r="BD38" s="12"/>
      <c r="BE38" s="12"/>
      <c r="BF38" s="12"/>
      <c r="BG38" s="11"/>
      <c r="BH38" s="13"/>
      <c r="BI38" s="13"/>
      <c r="BJ38" s="11"/>
      <c r="BK38" s="12"/>
      <c r="BL38" s="12"/>
      <c r="BM38" s="12"/>
      <c r="BN38" s="11"/>
      <c r="BO38" s="13"/>
      <c r="BP38" s="379">
        <f t="shared" si="50"/>
        <v>1</v>
      </c>
      <c r="BQ38" s="390">
        <v>69092</v>
      </c>
      <c r="BR38" s="19">
        <v>0.85</v>
      </c>
      <c r="BS38" s="20">
        <f t="shared" si="51"/>
        <v>10363.800000000001</v>
      </c>
      <c r="BT38" s="21">
        <f t="shared" si="52"/>
        <v>10363.800000000001</v>
      </c>
      <c r="BU38" s="22">
        <f t="shared" si="53"/>
        <v>8291.0400000000009</v>
      </c>
      <c r="BV38" s="1"/>
      <c r="BW38" s="479">
        <v>0.21</v>
      </c>
      <c r="BX38" s="485">
        <f t="shared" si="42"/>
        <v>0.21</v>
      </c>
      <c r="BY38" s="382">
        <f t="shared" si="43"/>
        <v>39481.142857142862</v>
      </c>
      <c r="BZ38" s="2"/>
      <c r="CA38" s="383" t="s">
        <v>17</v>
      </c>
      <c r="CB38" s="384">
        <f t="shared" si="44"/>
        <v>1</v>
      </c>
      <c r="CC38" s="385">
        <f t="shared" si="45"/>
        <v>8291.0400000000009</v>
      </c>
      <c r="CD38" s="384">
        <f t="shared" si="46"/>
        <v>0</v>
      </c>
      <c r="CE38" s="385">
        <f t="shared" si="47"/>
        <v>0</v>
      </c>
      <c r="CF38" s="357" t="b">
        <f t="shared" si="54"/>
        <v>1</v>
      </c>
    </row>
    <row r="39" spans="1:84" s="388" customFormat="1" ht="13.95" customHeight="1" x14ac:dyDescent="0.25">
      <c r="A39" s="365"/>
      <c r="B39" s="376"/>
      <c r="C39" s="376"/>
      <c r="D39" s="396" t="s">
        <v>211</v>
      </c>
      <c r="E39" s="378" t="s">
        <v>201</v>
      </c>
      <c r="F39" s="378">
        <v>1.0416666666666666E-2</v>
      </c>
      <c r="G39" s="378" t="s">
        <v>215</v>
      </c>
      <c r="H39" s="394">
        <v>30</v>
      </c>
      <c r="I39" s="11"/>
      <c r="J39" s="11"/>
      <c r="K39" s="13"/>
      <c r="L39" s="13"/>
      <c r="M39" s="11"/>
      <c r="N39" s="12"/>
      <c r="O39" s="12"/>
      <c r="P39" s="12"/>
      <c r="Q39" s="11"/>
      <c r="R39" s="13"/>
      <c r="S39" s="13"/>
      <c r="T39" s="11"/>
      <c r="U39" s="12"/>
      <c r="V39" s="12"/>
      <c r="W39" s="12"/>
      <c r="X39" s="11"/>
      <c r="Y39" s="13"/>
      <c r="Z39" s="13"/>
      <c r="AA39" s="11"/>
      <c r="AB39" s="12"/>
      <c r="AC39" s="12"/>
      <c r="AD39" s="12"/>
      <c r="AE39" s="11"/>
      <c r="AF39" s="13"/>
      <c r="AG39" s="13"/>
      <c r="AH39" s="11"/>
      <c r="AI39" s="11"/>
      <c r="AJ39" s="11">
        <v>1</v>
      </c>
      <c r="AK39" s="12"/>
      <c r="AL39" s="12"/>
      <c r="AM39" s="13"/>
      <c r="AN39" s="13"/>
      <c r="AO39" s="11"/>
      <c r="AP39" s="12"/>
      <c r="AQ39" s="12">
        <v>1</v>
      </c>
      <c r="AR39" s="12"/>
      <c r="AS39" s="11"/>
      <c r="AT39" s="13"/>
      <c r="AU39" s="13"/>
      <c r="AV39" s="11"/>
      <c r="AW39" s="12"/>
      <c r="AX39" s="12">
        <v>1</v>
      </c>
      <c r="AY39" s="12"/>
      <c r="AZ39" s="11"/>
      <c r="BA39" s="13"/>
      <c r="BB39" s="13"/>
      <c r="BC39" s="11"/>
      <c r="BD39" s="12"/>
      <c r="BE39" s="12"/>
      <c r="BF39" s="12"/>
      <c r="BG39" s="11"/>
      <c r="BH39" s="13"/>
      <c r="BI39" s="13"/>
      <c r="BJ39" s="11"/>
      <c r="BK39" s="12"/>
      <c r="BL39" s="12"/>
      <c r="BM39" s="12"/>
      <c r="BN39" s="11"/>
      <c r="BO39" s="13"/>
      <c r="BP39" s="379">
        <f t="shared" si="50"/>
        <v>3</v>
      </c>
      <c r="BQ39" s="390">
        <v>36271</v>
      </c>
      <c r="BR39" s="19">
        <v>0.85</v>
      </c>
      <c r="BS39" s="20">
        <f t="shared" si="51"/>
        <v>5440.6500000000005</v>
      </c>
      <c r="BT39" s="21">
        <f t="shared" si="52"/>
        <v>16321.95</v>
      </c>
      <c r="BU39" s="22">
        <f t="shared" si="53"/>
        <v>13057.560000000001</v>
      </c>
      <c r="BV39" s="1"/>
      <c r="BW39" s="479">
        <v>0.34</v>
      </c>
      <c r="BX39" s="485">
        <f t="shared" si="42"/>
        <v>1.02</v>
      </c>
      <c r="BY39" s="382">
        <f t="shared" si="43"/>
        <v>12801.529411764706</v>
      </c>
      <c r="BZ39" s="2"/>
      <c r="CA39" s="383" t="s">
        <v>17</v>
      </c>
      <c r="CB39" s="384">
        <f t="shared" si="44"/>
        <v>1</v>
      </c>
      <c r="CC39" s="385">
        <f t="shared" si="45"/>
        <v>4352.5200000000004</v>
      </c>
      <c r="CD39" s="384">
        <f t="shared" si="46"/>
        <v>2</v>
      </c>
      <c r="CE39" s="385">
        <f t="shared" si="47"/>
        <v>8705.0400000000009</v>
      </c>
      <c r="CF39" s="357" t="b">
        <f t="shared" si="54"/>
        <v>1</v>
      </c>
    </row>
    <row r="40" spans="1:84" s="388" customFormat="1" ht="13.95" customHeight="1" x14ac:dyDescent="0.25">
      <c r="A40" s="365"/>
      <c r="B40" s="376"/>
      <c r="C40" s="376"/>
      <c r="D40" s="377" t="s">
        <v>211</v>
      </c>
      <c r="E40" s="378" t="s">
        <v>201</v>
      </c>
      <c r="F40" s="378">
        <v>1.0416666666666666E-2</v>
      </c>
      <c r="G40" s="378" t="s">
        <v>215</v>
      </c>
      <c r="H40" s="394">
        <v>60</v>
      </c>
      <c r="I40" s="11"/>
      <c r="J40" s="11"/>
      <c r="K40" s="13"/>
      <c r="L40" s="13"/>
      <c r="M40" s="11"/>
      <c r="N40" s="12"/>
      <c r="O40" s="12"/>
      <c r="P40" s="12"/>
      <c r="Q40" s="11"/>
      <c r="R40" s="13"/>
      <c r="S40" s="13"/>
      <c r="T40" s="11"/>
      <c r="U40" s="12"/>
      <c r="V40" s="12"/>
      <c r="W40" s="12"/>
      <c r="X40" s="11"/>
      <c r="Y40" s="13"/>
      <c r="Z40" s="13"/>
      <c r="AA40" s="11"/>
      <c r="AB40" s="12"/>
      <c r="AC40" s="12"/>
      <c r="AD40" s="12">
        <v>1</v>
      </c>
      <c r="AE40" s="11"/>
      <c r="AF40" s="13"/>
      <c r="AG40" s="13"/>
      <c r="AH40" s="11"/>
      <c r="AI40" s="11"/>
      <c r="AJ40" s="11"/>
      <c r="AK40" s="12"/>
      <c r="AL40" s="12"/>
      <c r="AM40" s="13"/>
      <c r="AN40" s="13"/>
      <c r="AO40" s="11"/>
      <c r="AP40" s="12"/>
      <c r="AQ40" s="12"/>
      <c r="AR40" s="12"/>
      <c r="AS40" s="11"/>
      <c r="AT40" s="13"/>
      <c r="AU40" s="13"/>
      <c r="AV40" s="11"/>
      <c r="AW40" s="12"/>
      <c r="AX40" s="12"/>
      <c r="AY40" s="12"/>
      <c r="AZ40" s="11"/>
      <c r="BA40" s="13"/>
      <c r="BB40" s="13"/>
      <c r="BC40" s="11"/>
      <c r="BD40" s="12"/>
      <c r="BE40" s="12"/>
      <c r="BF40" s="12"/>
      <c r="BG40" s="11"/>
      <c r="BH40" s="13"/>
      <c r="BI40" s="13"/>
      <c r="BJ40" s="11"/>
      <c r="BK40" s="12"/>
      <c r="BL40" s="12"/>
      <c r="BM40" s="12"/>
      <c r="BN40" s="11"/>
      <c r="BO40" s="13"/>
      <c r="BP40" s="379">
        <f t="shared" si="50"/>
        <v>1</v>
      </c>
      <c r="BQ40" s="390">
        <v>72542</v>
      </c>
      <c r="BR40" s="19">
        <v>0.85</v>
      </c>
      <c r="BS40" s="20">
        <f t="shared" si="51"/>
        <v>10881.300000000001</v>
      </c>
      <c r="BT40" s="21">
        <f t="shared" si="52"/>
        <v>10881.300000000001</v>
      </c>
      <c r="BU40" s="22">
        <f t="shared" si="53"/>
        <v>8705.0400000000009</v>
      </c>
      <c r="BV40" s="1"/>
      <c r="BW40" s="479">
        <v>0.34</v>
      </c>
      <c r="BX40" s="485">
        <f t="shared" si="42"/>
        <v>0.34</v>
      </c>
      <c r="BY40" s="382">
        <f t="shared" si="43"/>
        <v>25603.058823529413</v>
      </c>
      <c r="BZ40" s="2"/>
      <c r="CA40" s="383" t="s">
        <v>17</v>
      </c>
      <c r="CB40" s="384">
        <f t="shared" si="44"/>
        <v>1</v>
      </c>
      <c r="CC40" s="385">
        <f t="shared" si="45"/>
        <v>8705.0400000000009</v>
      </c>
      <c r="CD40" s="384">
        <f t="shared" si="46"/>
        <v>0</v>
      </c>
      <c r="CE40" s="385">
        <f t="shared" si="47"/>
        <v>0</v>
      </c>
      <c r="CF40" s="357" t="b">
        <f t="shared" si="54"/>
        <v>1</v>
      </c>
    </row>
    <row r="41" spans="1:84" ht="13.95" customHeight="1" x14ac:dyDescent="0.25">
      <c r="A41" s="365"/>
      <c r="B41" s="376"/>
      <c r="C41" s="376"/>
      <c r="D41" s="377" t="s">
        <v>197</v>
      </c>
      <c r="E41" s="378" t="s">
        <v>201</v>
      </c>
      <c r="F41" s="378">
        <v>0.29166666666666669</v>
      </c>
      <c r="G41" s="378" t="s">
        <v>216</v>
      </c>
      <c r="H41" s="394">
        <v>30</v>
      </c>
      <c r="I41" s="11"/>
      <c r="J41" s="11"/>
      <c r="K41" s="13"/>
      <c r="L41" s="13"/>
      <c r="M41" s="11"/>
      <c r="N41" s="12"/>
      <c r="O41" s="12"/>
      <c r="P41" s="12"/>
      <c r="Q41" s="11"/>
      <c r="R41" s="13"/>
      <c r="S41" s="13"/>
      <c r="T41" s="11"/>
      <c r="U41" s="12"/>
      <c r="V41" s="12"/>
      <c r="W41" s="12"/>
      <c r="X41" s="11"/>
      <c r="Y41" s="13"/>
      <c r="Z41" s="13"/>
      <c r="AA41" s="11"/>
      <c r="AB41" s="12"/>
      <c r="AC41" s="12"/>
      <c r="AD41" s="12"/>
      <c r="AE41" s="11"/>
      <c r="AF41" s="13"/>
      <c r="AG41" s="13"/>
      <c r="AH41" s="11"/>
      <c r="AI41" s="11"/>
      <c r="AJ41" s="11"/>
      <c r="AK41" s="12"/>
      <c r="AL41" s="12"/>
      <c r="AM41" s="13"/>
      <c r="AN41" s="13"/>
      <c r="AO41" s="11"/>
      <c r="AP41" s="12"/>
      <c r="AQ41" s="12"/>
      <c r="AR41" s="12"/>
      <c r="AS41" s="11"/>
      <c r="AT41" s="13"/>
      <c r="AU41" s="13"/>
      <c r="AV41" s="11"/>
      <c r="AW41" s="12"/>
      <c r="AX41" s="12"/>
      <c r="AY41" s="12"/>
      <c r="AZ41" s="11"/>
      <c r="BA41" s="13"/>
      <c r="BB41" s="13"/>
      <c r="BC41" s="11"/>
      <c r="BD41" s="12"/>
      <c r="BE41" s="12"/>
      <c r="BF41" s="12"/>
      <c r="BG41" s="11"/>
      <c r="BH41" s="13"/>
      <c r="BI41" s="13"/>
      <c r="BJ41" s="11"/>
      <c r="BK41" s="12"/>
      <c r="BL41" s="12"/>
      <c r="BM41" s="12"/>
      <c r="BN41" s="11"/>
      <c r="BO41" s="13"/>
      <c r="BP41" s="379">
        <f t="shared" si="50"/>
        <v>0</v>
      </c>
      <c r="BQ41" s="390">
        <v>16564</v>
      </c>
      <c r="BR41" s="19">
        <v>0.85</v>
      </c>
      <c r="BS41" s="20">
        <f t="shared" si="51"/>
        <v>2484.6000000000004</v>
      </c>
      <c r="BT41" s="21">
        <f t="shared" si="52"/>
        <v>0</v>
      </c>
      <c r="BU41" s="22">
        <f t="shared" si="53"/>
        <v>0</v>
      </c>
      <c r="BW41" s="479">
        <v>0.1</v>
      </c>
      <c r="BX41" s="485">
        <f t="shared" si="42"/>
        <v>0</v>
      </c>
      <c r="BY41" s="382">
        <f t="shared" si="43"/>
        <v>0</v>
      </c>
      <c r="BZ41" s="2"/>
      <c r="CA41" s="383" t="s">
        <v>17</v>
      </c>
      <c r="CB41" s="384">
        <f t="shared" si="44"/>
        <v>0</v>
      </c>
      <c r="CC41" s="385">
        <f t="shared" si="45"/>
        <v>0</v>
      </c>
      <c r="CD41" s="384">
        <f t="shared" si="46"/>
        <v>0</v>
      </c>
      <c r="CE41" s="385">
        <f t="shared" si="47"/>
        <v>0</v>
      </c>
      <c r="CF41" s="357" t="b">
        <f t="shared" si="54"/>
        <v>1</v>
      </c>
    </row>
    <row r="42" spans="1:84" ht="13.95" customHeight="1" x14ac:dyDescent="0.25">
      <c r="A42" s="365"/>
      <c r="B42" s="376"/>
      <c r="C42" s="376"/>
      <c r="D42" s="393" t="s">
        <v>187</v>
      </c>
      <c r="E42" s="378" t="s">
        <v>201</v>
      </c>
      <c r="F42" s="378">
        <v>0.85416666666666663</v>
      </c>
      <c r="G42" s="378" t="s">
        <v>217</v>
      </c>
      <c r="H42" s="394">
        <v>30</v>
      </c>
      <c r="I42" s="11"/>
      <c r="J42" s="11"/>
      <c r="K42" s="13"/>
      <c r="L42" s="13"/>
      <c r="M42" s="11"/>
      <c r="N42" s="12"/>
      <c r="O42" s="12"/>
      <c r="P42" s="12"/>
      <c r="Q42" s="11"/>
      <c r="R42" s="13"/>
      <c r="S42" s="13"/>
      <c r="T42" s="11"/>
      <c r="U42" s="12"/>
      <c r="V42" s="12"/>
      <c r="W42" s="12"/>
      <c r="X42" s="11"/>
      <c r="Y42" s="13"/>
      <c r="Z42" s="13"/>
      <c r="AA42" s="11"/>
      <c r="AB42" s="12"/>
      <c r="AC42" s="12"/>
      <c r="AD42" s="12"/>
      <c r="AE42" s="11"/>
      <c r="AF42" s="13"/>
      <c r="AG42" s="13"/>
      <c r="AH42" s="11">
        <v>1</v>
      </c>
      <c r="AI42" s="11"/>
      <c r="AJ42" s="11"/>
      <c r="AK42" s="12"/>
      <c r="AL42" s="12"/>
      <c r="AM42" s="13"/>
      <c r="AN42" s="13"/>
      <c r="AO42" s="11">
        <v>1</v>
      </c>
      <c r="AP42" s="12"/>
      <c r="AQ42" s="12"/>
      <c r="AR42" s="12"/>
      <c r="AS42" s="11"/>
      <c r="AT42" s="13"/>
      <c r="AU42" s="13"/>
      <c r="AV42" s="11">
        <v>1</v>
      </c>
      <c r="AW42" s="12"/>
      <c r="AX42" s="12"/>
      <c r="AY42" s="12"/>
      <c r="AZ42" s="11"/>
      <c r="BA42" s="13"/>
      <c r="BB42" s="13"/>
      <c r="BC42" s="11"/>
      <c r="BD42" s="12"/>
      <c r="BE42" s="12"/>
      <c r="BF42" s="12"/>
      <c r="BG42" s="11"/>
      <c r="BH42" s="13"/>
      <c r="BI42" s="13"/>
      <c r="BJ42" s="11"/>
      <c r="BK42" s="12"/>
      <c r="BL42" s="12"/>
      <c r="BM42" s="12"/>
      <c r="BN42" s="11"/>
      <c r="BO42" s="13"/>
      <c r="BP42" s="379">
        <f t="shared" si="50"/>
        <v>3</v>
      </c>
      <c r="BQ42" s="390">
        <v>118356</v>
      </c>
      <c r="BR42" s="19">
        <v>0.85</v>
      </c>
      <c r="BS42" s="20">
        <f t="shared" si="51"/>
        <v>17753.400000000001</v>
      </c>
      <c r="BT42" s="21">
        <f t="shared" si="52"/>
        <v>53260.200000000004</v>
      </c>
      <c r="BU42" s="22">
        <f t="shared" si="53"/>
        <v>42608.160000000003</v>
      </c>
      <c r="BW42" s="479">
        <v>0.71</v>
      </c>
      <c r="BX42" s="485">
        <f t="shared" si="42"/>
        <v>2.13</v>
      </c>
      <c r="BY42" s="382">
        <f t="shared" si="43"/>
        <v>20003.830985915494</v>
      </c>
      <c r="BZ42" s="2"/>
      <c r="CA42" s="383" t="s">
        <v>17</v>
      </c>
      <c r="CB42" s="384">
        <f t="shared" si="44"/>
        <v>1</v>
      </c>
      <c r="CC42" s="385">
        <f t="shared" si="45"/>
        <v>14202.720000000001</v>
      </c>
      <c r="CD42" s="384">
        <f t="shared" si="46"/>
        <v>2</v>
      </c>
      <c r="CE42" s="385">
        <f t="shared" si="47"/>
        <v>28405.440000000002</v>
      </c>
      <c r="CF42" s="357" t="b">
        <f t="shared" si="54"/>
        <v>1</v>
      </c>
    </row>
    <row r="43" spans="1:84" s="388" customFormat="1" ht="13.95" customHeight="1" x14ac:dyDescent="0.25">
      <c r="A43" s="365"/>
      <c r="B43" s="376"/>
      <c r="C43" s="376"/>
      <c r="D43" s="377" t="s">
        <v>187</v>
      </c>
      <c r="E43" s="378" t="s">
        <v>201</v>
      </c>
      <c r="F43" s="378">
        <v>0.85416666666666663</v>
      </c>
      <c r="G43" s="378" t="s">
        <v>217</v>
      </c>
      <c r="H43" s="394">
        <v>60</v>
      </c>
      <c r="I43" s="11"/>
      <c r="J43" s="11"/>
      <c r="K43" s="13"/>
      <c r="L43" s="13"/>
      <c r="M43" s="11"/>
      <c r="N43" s="12"/>
      <c r="O43" s="12"/>
      <c r="P43" s="12"/>
      <c r="Q43" s="11"/>
      <c r="R43" s="13"/>
      <c r="S43" s="13"/>
      <c r="T43" s="11"/>
      <c r="U43" s="12"/>
      <c r="V43" s="12"/>
      <c r="W43" s="12"/>
      <c r="X43" s="11"/>
      <c r="Y43" s="13"/>
      <c r="Z43" s="13"/>
      <c r="AA43" s="11"/>
      <c r="AB43" s="12"/>
      <c r="AC43" s="12"/>
      <c r="AD43" s="12"/>
      <c r="AE43" s="11">
        <v>1</v>
      </c>
      <c r="AF43" s="13"/>
      <c r="AG43" s="13"/>
      <c r="AH43" s="11"/>
      <c r="AI43" s="11"/>
      <c r="AJ43" s="11"/>
      <c r="AK43" s="12"/>
      <c r="AL43" s="12"/>
      <c r="AM43" s="13"/>
      <c r="AN43" s="13"/>
      <c r="AO43" s="11"/>
      <c r="AP43" s="12"/>
      <c r="AQ43" s="12"/>
      <c r="AR43" s="12"/>
      <c r="AS43" s="11"/>
      <c r="AT43" s="13"/>
      <c r="AU43" s="13"/>
      <c r="AV43" s="11"/>
      <c r="AW43" s="12"/>
      <c r="AX43" s="12"/>
      <c r="AY43" s="12"/>
      <c r="AZ43" s="11"/>
      <c r="BA43" s="13"/>
      <c r="BB43" s="13"/>
      <c r="BC43" s="11"/>
      <c r="BD43" s="12"/>
      <c r="BE43" s="12"/>
      <c r="BF43" s="12"/>
      <c r="BG43" s="11"/>
      <c r="BH43" s="13"/>
      <c r="BI43" s="13"/>
      <c r="BJ43" s="11"/>
      <c r="BK43" s="12"/>
      <c r="BL43" s="12"/>
      <c r="BM43" s="12"/>
      <c r="BN43" s="11"/>
      <c r="BO43" s="13"/>
      <c r="BP43" s="379">
        <f t="shared" si="50"/>
        <v>1</v>
      </c>
      <c r="BQ43" s="390">
        <v>236712</v>
      </c>
      <c r="BR43" s="19">
        <v>0.85</v>
      </c>
      <c r="BS43" s="20">
        <f t="shared" si="51"/>
        <v>35506.800000000003</v>
      </c>
      <c r="BT43" s="21">
        <f t="shared" si="52"/>
        <v>35506.800000000003</v>
      </c>
      <c r="BU43" s="22">
        <f t="shared" si="53"/>
        <v>28405.440000000002</v>
      </c>
      <c r="BV43" s="1"/>
      <c r="BW43" s="479">
        <v>0.71</v>
      </c>
      <c r="BX43" s="485">
        <f t="shared" si="42"/>
        <v>0.71</v>
      </c>
      <c r="BY43" s="382">
        <f t="shared" si="43"/>
        <v>40007.661971830988</v>
      </c>
      <c r="BZ43" s="2"/>
      <c r="CA43" s="383" t="s">
        <v>17</v>
      </c>
      <c r="CB43" s="384">
        <f t="shared" si="44"/>
        <v>1</v>
      </c>
      <c r="CC43" s="385">
        <f t="shared" si="45"/>
        <v>28405.440000000002</v>
      </c>
      <c r="CD43" s="384">
        <f t="shared" si="46"/>
        <v>0</v>
      </c>
      <c r="CE43" s="385">
        <f t="shared" si="47"/>
        <v>0</v>
      </c>
      <c r="CF43" s="357" t="b">
        <f>SUM(CC43,CE43)=BU43</f>
        <v>1</v>
      </c>
    </row>
    <row r="44" spans="1:84" s="388" customFormat="1" ht="13.95" customHeight="1" x14ac:dyDescent="0.25">
      <c r="A44" s="365"/>
      <c r="B44" s="376"/>
      <c r="C44" s="376"/>
      <c r="D44" s="389"/>
      <c r="E44" s="378"/>
      <c r="F44" s="378"/>
      <c r="G44" s="378"/>
      <c r="H44" s="394"/>
      <c r="I44" s="11"/>
      <c r="J44" s="11"/>
      <c r="K44" s="13"/>
      <c r="L44" s="13"/>
      <c r="M44" s="11"/>
      <c r="N44" s="12"/>
      <c r="O44" s="12"/>
      <c r="P44" s="12"/>
      <c r="Q44" s="11"/>
      <c r="R44" s="13"/>
      <c r="S44" s="13"/>
      <c r="T44" s="11"/>
      <c r="U44" s="12"/>
      <c r="V44" s="12"/>
      <c r="W44" s="12"/>
      <c r="X44" s="11"/>
      <c r="Y44" s="13"/>
      <c r="Z44" s="13"/>
      <c r="AA44" s="11"/>
      <c r="AB44" s="12"/>
      <c r="AC44" s="12"/>
      <c r="AD44" s="12"/>
      <c r="AE44" s="11"/>
      <c r="AF44" s="13"/>
      <c r="AG44" s="13"/>
      <c r="AH44" s="11"/>
      <c r="AI44" s="11"/>
      <c r="AJ44" s="11"/>
      <c r="AK44" s="12"/>
      <c r="AL44" s="12"/>
      <c r="AM44" s="13"/>
      <c r="AN44" s="13"/>
      <c r="AO44" s="11"/>
      <c r="AP44" s="12"/>
      <c r="AQ44" s="12"/>
      <c r="AR44" s="12"/>
      <c r="AS44" s="11"/>
      <c r="AT44" s="13"/>
      <c r="AU44" s="13"/>
      <c r="AV44" s="11"/>
      <c r="AW44" s="12"/>
      <c r="AX44" s="12"/>
      <c r="AY44" s="12"/>
      <c r="AZ44" s="11"/>
      <c r="BA44" s="13"/>
      <c r="BB44" s="13"/>
      <c r="BC44" s="11"/>
      <c r="BD44" s="12"/>
      <c r="BE44" s="12"/>
      <c r="BF44" s="12"/>
      <c r="BG44" s="11"/>
      <c r="BH44" s="13"/>
      <c r="BI44" s="13"/>
      <c r="BJ44" s="11"/>
      <c r="BK44" s="12"/>
      <c r="BL44" s="12"/>
      <c r="BM44" s="12"/>
      <c r="BN44" s="11"/>
      <c r="BO44" s="13"/>
      <c r="BP44" s="379"/>
      <c r="BQ44" s="15"/>
      <c r="BR44" s="19"/>
      <c r="BS44" s="20"/>
      <c r="BT44" s="21"/>
      <c r="BU44" s="22"/>
      <c r="BV44" s="1"/>
      <c r="BW44" s="481"/>
      <c r="BX44" s="486"/>
      <c r="BY44" s="382"/>
      <c r="BZ44" s="2"/>
      <c r="CA44" s="424" t="s">
        <v>142</v>
      </c>
      <c r="CB44" s="425">
        <f>SUM(CB33:CB43)</f>
        <v>9</v>
      </c>
      <c r="CC44" s="426">
        <f>SUM(CC33:CC43)</f>
        <v>94831.080000000016</v>
      </c>
      <c r="CD44" s="425">
        <f>SUM(CD33:CD43)</f>
        <v>9</v>
      </c>
      <c r="CE44" s="426">
        <f>SUM(CE33:CE43)</f>
        <v>61838.880000000005</v>
      </c>
      <c r="CF44" s="357"/>
    </row>
    <row r="45" spans="1:84" s="388" customFormat="1" ht="13.95" customHeight="1" x14ac:dyDescent="0.25">
      <c r="A45" s="365"/>
      <c r="B45" s="376"/>
      <c r="C45" s="376" t="s">
        <v>225</v>
      </c>
      <c r="D45" s="389" t="s">
        <v>218</v>
      </c>
      <c r="E45" s="378" t="s">
        <v>204</v>
      </c>
      <c r="F45" s="378">
        <v>0.875</v>
      </c>
      <c r="G45" s="378" t="s">
        <v>226</v>
      </c>
      <c r="H45" s="394">
        <v>30</v>
      </c>
      <c r="I45" s="11"/>
      <c r="J45" s="11"/>
      <c r="K45" s="13"/>
      <c r="L45" s="13"/>
      <c r="M45" s="11"/>
      <c r="N45" s="12"/>
      <c r="O45" s="12"/>
      <c r="P45" s="12"/>
      <c r="Q45" s="11"/>
      <c r="R45" s="13"/>
      <c r="S45" s="13"/>
      <c r="T45" s="11"/>
      <c r="U45" s="12"/>
      <c r="V45" s="12"/>
      <c r="W45" s="12"/>
      <c r="X45" s="11"/>
      <c r="Y45" s="13"/>
      <c r="Z45" s="13"/>
      <c r="AA45" s="11"/>
      <c r="AB45" s="12"/>
      <c r="AC45" s="12"/>
      <c r="AD45" s="12"/>
      <c r="AE45" s="11"/>
      <c r="AF45" s="13"/>
      <c r="AG45" s="13"/>
      <c r="AH45" s="11"/>
      <c r="AI45" s="11"/>
      <c r="AJ45" s="11"/>
      <c r="AK45" s="12"/>
      <c r="AL45" s="12"/>
      <c r="AM45" s="13">
        <v>1</v>
      </c>
      <c r="AN45" s="13"/>
      <c r="AO45" s="11"/>
      <c r="AP45" s="12"/>
      <c r="AQ45" s="12"/>
      <c r="AR45" s="12"/>
      <c r="AS45" s="11"/>
      <c r="AT45" s="13">
        <v>1</v>
      </c>
      <c r="AU45" s="13"/>
      <c r="AV45" s="11"/>
      <c r="AW45" s="12"/>
      <c r="AX45" s="12"/>
      <c r="AY45" s="12"/>
      <c r="AZ45" s="11"/>
      <c r="BA45" s="13">
        <v>1</v>
      </c>
      <c r="BB45" s="13"/>
      <c r="BC45" s="11"/>
      <c r="BD45" s="12"/>
      <c r="BE45" s="12"/>
      <c r="BF45" s="12"/>
      <c r="BG45" s="11"/>
      <c r="BH45" s="13"/>
      <c r="BI45" s="13"/>
      <c r="BJ45" s="11"/>
      <c r="BK45" s="12"/>
      <c r="BL45" s="12"/>
      <c r="BM45" s="12"/>
      <c r="BN45" s="11"/>
      <c r="BO45" s="13"/>
      <c r="BP45" s="379">
        <f t="shared" ref="BP45:BP56" si="55">SUM(I45:BO45)</f>
        <v>3</v>
      </c>
      <c r="BQ45" s="390">
        <v>68258</v>
      </c>
      <c r="BR45" s="19">
        <v>0.8</v>
      </c>
      <c r="BS45" s="20">
        <f t="shared" ref="BS45:BS56" si="56">BQ45*(1-BR45)</f>
        <v>13651.599999999997</v>
      </c>
      <c r="BT45" s="21">
        <f t="shared" ref="BT45:BT56" si="57">BS45*BP45</f>
        <v>40954.799999999988</v>
      </c>
      <c r="BU45" s="22">
        <f t="shared" ref="BU45:BU56" si="58">BT45*0.8</f>
        <v>32763.839999999993</v>
      </c>
      <c r="BV45" s="1"/>
      <c r="BW45" s="479">
        <v>2.19</v>
      </c>
      <c r="BX45" s="485">
        <f t="shared" ref="BX45:BX56" si="59">BW45*BP45</f>
        <v>6.57</v>
      </c>
      <c r="BY45" s="382">
        <f t="shared" ref="BY45:BY56" si="60">IFERROR(BU45/BX45,0)</f>
        <v>4986.8858447488574</v>
      </c>
      <c r="BZ45" s="2"/>
      <c r="CA45" s="383" t="s">
        <v>225</v>
      </c>
      <c r="CB45" s="384">
        <f t="shared" ref="CB45:CB56" si="61">COUNTA(I45:AM45)</f>
        <v>1</v>
      </c>
      <c r="CC45" s="385">
        <f t="shared" ref="CC45:CC56" si="62">CB45*BS45*0.8</f>
        <v>10921.279999999999</v>
      </c>
      <c r="CD45" s="384">
        <f t="shared" ref="CD45:CD56" si="63">COUNTA(AN45:BO45)</f>
        <v>2</v>
      </c>
      <c r="CE45" s="385">
        <f t="shared" ref="CE45:CE56" si="64">CD45*BS45*0.8</f>
        <v>21842.559999999998</v>
      </c>
      <c r="CF45" s="357" t="b">
        <f t="shared" ref="CF45:CF56" si="65">SUM(CC45,CE45)=BU45</f>
        <v>1</v>
      </c>
    </row>
    <row r="46" spans="1:84" s="388" customFormat="1" ht="13.95" customHeight="1" x14ac:dyDescent="0.25">
      <c r="A46" s="365"/>
      <c r="B46" s="376"/>
      <c r="C46" s="376"/>
      <c r="D46" s="396" t="s">
        <v>218</v>
      </c>
      <c r="E46" s="378" t="s">
        <v>204</v>
      </c>
      <c r="F46" s="378">
        <v>0.875</v>
      </c>
      <c r="G46" s="378" t="s">
        <v>226</v>
      </c>
      <c r="H46" s="394">
        <v>60</v>
      </c>
      <c r="I46" s="11"/>
      <c r="J46" s="11"/>
      <c r="K46" s="13"/>
      <c r="L46" s="13"/>
      <c r="M46" s="11"/>
      <c r="N46" s="12"/>
      <c r="O46" s="12"/>
      <c r="P46" s="12"/>
      <c r="Q46" s="11"/>
      <c r="R46" s="13"/>
      <c r="S46" s="13"/>
      <c r="T46" s="11"/>
      <c r="U46" s="12"/>
      <c r="V46" s="12"/>
      <c r="W46" s="12"/>
      <c r="X46" s="11"/>
      <c r="Y46" s="13"/>
      <c r="Z46" s="13"/>
      <c r="AA46" s="11"/>
      <c r="AB46" s="12"/>
      <c r="AC46" s="12"/>
      <c r="AD46" s="12"/>
      <c r="AE46" s="11"/>
      <c r="AF46" s="13">
        <v>1</v>
      </c>
      <c r="AG46" s="13"/>
      <c r="AH46" s="11"/>
      <c r="AI46" s="11"/>
      <c r="AJ46" s="11"/>
      <c r="AK46" s="12"/>
      <c r="AL46" s="12"/>
      <c r="AM46" s="13"/>
      <c r="AN46" s="13"/>
      <c r="AO46" s="11"/>
      <c r="AP46" s="12"/>
      <c r="AQ46" s="12"/>
      <c r="AR46" s="12"/>
      <c r="AS46" s="11"/>
      <c r="AT46" s="13"/>
      <c r="AU46" s="13"/>
      <c r="AV46" s="11"/>
      <c r="AW46" s="12"/>
      <c r="AX46" s="12"/>
      <c r="AY46" s="12"/>
      <c r="AZ46" s="11"/>
      <c r="BA46" s="13"/>
      <c r="BB46" s="13"/>
      <c r="BC46" s="11"/>
      <c r="BD46" s="12"/>
      <c r="BE46" s="12"/>
      <c r="BF46" s="12"/>
      <c r="BG46" s="11"/>
      <c r="BH46" s="13"/>
      <c r="BI46" s="13"/>
      <c r="BJ46" s="11"/>
      <c r="BK46" s="12"/>
      <c r="BL46" s="12"/>
      <c r="BM46" s="12"/>
      <c r="BN46" s="11"/>
      <c r="BO46" s="13"/>
      <c r="BP46" s="379">
        <f t="shared" si="55"/>
        <v>1</v>
      </c>
      <c r="BQ46" s="390">
        <v>136516</v>
      </c>
      <c r="BR46" s="19">
        <v>0.8</v>
      </c>
      <c r="BS46" s="20">
        <f t="shared" si="56"/>
        <v>27303.199999999993</v>
      </c>
      <c r="BT46" s="21">
        <f t="shared" si="57"/>
        <v>27303.199999999993</v>
      </c>
      <c r="BU46" s="22">
        <f t="shared" si="58"/>
        <v>21842.559999999998</v>
      </c>
      <c r="BV46" s="1"/>
      <c r="BW46" s="479">
        <v>2.19</v>
      </c>
      <c r="BX46" s="485">
        <f t="shared" si="59"/>
        <v>2.19</v>
      </c>
      <c r="BY46" s="382">
        <f t="shared" si="60"/>
        <v>9973.7716894977166</v>
      </c>
      <c r="BZ46" s="2"/>
      <c r="CA46" s="383" t="s">
        <v>225</v>
      </c>
      <c r="CB46" s="384">
        <f t="shared" si="61"/>
        <v>1</v>
      </c>
      <c r="CC46" s="385">
        <f t="shared" si="62"/>
        <v>21842.559999999998</v>
      </c>
      <c r="CD46" s="384">
        <f t="shared" si="63"/>
        <v>0</v>
      </c>
      <c r="CE46" s="385">
        <f t="shared" si="64"/>
        <v>0</v>
      </c>
      <c r="CF46" s="357" t="b">
        <f t="shared" si="65"/>
        <v>1</v>
      </c>
    </row>
    <row r="47" spans="1:84" s="388" customFormat="1" ht="13.95" customHeight="1" x14ac:dyDescent="0.25">
      <c r="A47" s="365"/>
      <c r="B47" s="376"/>
      <c r="C47" s="376"/>
      <c r="D47" s="377" t="s">
        <v>219</v>
      </c>
      <c r="E47" s="378" t="s">
        <v>203</v>
      </c>
      <c r="F47" s="378">
        <v>0.75</v>
      </c>
      <c r="G47" s="378" t="s">
        <v>227</v>
      </c>
      <c r="H47" s="394">
        <v>30</v>
      </c>
      <c r="I47" s="11"/>
      <c r="J47" s="11"/>
      <c r="K47" s="13"/>
      <c r="L47" s="13"/>
      <c r="M47" s="11"/>
      <c r="N47" s="12"/>
      <c r="O47" s="12"/>
      <c r="P47" s="12"/>
      <c r="Q47" s="11"/>
      <c r="R47" s="13"/>
      <c r="S47" s="13"/>
      <c r="T47" s="11"/>
      <c r="U47" s="12"/>
      <c r="V47" s="12"/>
      <c r="W47" s="12"/>
      <c r="X47" s="11"/>
      <c r="Y47" s="13"/>
      <c r="Z47" s="13"/>
      <c r="AA47" s="11"/>
      <c r="AB47" s="12"/>
      <c r="AC47" s="12"/>
      <c r="AD47" s="12"/>
      <c r="AE47" s="11"/>
      <c r="AF47" s="13"/>
      <c r="AG47" s="13"/>
      <c r="AH47" s="11"/>
      <c r="AI47" s="11"/>
      <c r="AJ47" s="11"/>
      <c r="AK47" s="12"/>
      <c r="AL47" s="12"/>
      <c r="AM47" s="13"/>
      <c r="AN47" s="13">
        <v>1</v>
      </c>
      <c r="AO47" s="11"/>
      <c r="AP47" s="12"/>
      <c r="AQ47" s="12"/>
      <c r="AR47" s="12"/>
      <c r="AS47" s="11"/>
      <c r="AT47" s="13"/>
      <c r="AU47" s="13">
        <v>1</v>
      </c>
      <c r="AV47" s="11"/>
      <c r="AW47" s="12"/>
      <c r="AX47" s="12"/>
      <c r="AY47" s="12"/>
      <c r="AZ47" s="11"/>
      <c r="BA47" s="13"/>
      <c r="BB47" s="13">
        <v>1</v>
      </c>
      <c r="BC47" s="11"/>
      <c r="BD47" s="12"/>
      <c r="BE47" s="12"/>
      <c r="BF47" s="12"/>
      <c r="BG47" s="11"/>
      <c r="BH47" s="13"/>
      <c r="BI47" s="13"/>
      <c r="BJ47" s="11"/>
      <c r="BK47" s="12"/>
      <c r="BL47" s="12"/>
      <c r="BM47" s="12"/>
      <c r="BN47" s="11"/>
      <c r="BO47" s="13"/>
      <c r="BP47" s="379">
        <f t="shared" si="55"/>
        <v>3</v>
      </c>
      <c r="BQ47" s="390">
        <v>393224</v>
      </c>
      <c r="BR47" s="19">
        <v>0.8</v>
      </c>
      <c r="BS47" s="20">
        <f t="shared" si="56"/>
        <v>78644.799999999988</v>
      </c>
      <c r="BT47" s="21">
        <f t="shared" si="57"/>
        <v>235934.39999999997</v>
      </c>
      <c r="BU47" s="22">
        <f t="shared" si="58"/>
        <v>188747.51999999999</v>
      </c>
      <c r="BV47" s="1"/>
      <c r="BW47" s="479">
        <v>3.05</v>
      </c>
      <c r="BX47" s="485">
        <f t="shared" si="59"/>
        <v>9.1499999999999986</v>
      </c>
      <c r="BY47" s="382">
        <f t="shared" si="60"/>
        <v>20628.144262295085</v>
      </c>
      <c r="BZ47" s="2"/>
      <c r="CA47" s="383" t="s">
        <v>225</v>
      </c>
      <c r="CB47" s="384">
        <f t="shared" si="61"/>
        <v>0</v>
      </c>
      <c r="CC47" s="385">
        <f t="shared" si="62"/>
        <v>0</v>
      </c>
      <c r="CD47" s="384">
        <f t="shared" si="63"/>
        <v>3</v>
      </c>
      <c r="CE47" s="385">
        <f t="shared" si="64"/>
        <v>188747.51999999999</v>
      </c>
      <c r="CF47" s="357" t="b">
        <f t="shared" si="65"/>
        <v>1</v>
      </c>
    </row>
    <row r="48" spans="1:84" s="388" customFormat="1" ht="13.95" customHeight="1" x14ac:dyDescent="0.25">
      <c r="A48" s="365"/>
      <c r="B48" s="376"/>
      <c r="C48" s="376"/>
      <c r="D48" s="377" t="s">
        <v>219</v>
      </c>
      <c r="E48" s="378" t="s">
        <v>203</v>
      </c>
      <c r="F48" s="378">
        <v>0.75</v>
      </c>
      <c r="G48" s="378" t="s">
        <v>227</v>
      </c>
      <c r="H48" s="394">
        <v>60</v>
      </c>
      <c r="I48" s="11"/>
      <c r="J48" s="11"/>
      <c r="K48" s="13"/>
      <c r="L48" s="13"/>
      <c r="M48" s="11"/>
      <c r="N48" s="12"/>
      <c r="O48" s="12"/>
      <c r="P48" s="12"/>
      <c r="Q48" s="11"/>
      <c r="R48" s="13"/>
      <c r="S48" s="13"/>
      <c r="T48" s="11"/>
      <c r="U48" s="12"/>
      <c r="V48" s="12"/>
      <c r="W48" s="12"/>
      <c r="X48" s="11"/>
      <c r="Y48" s="13"/>
      <c r="Z48" s="13"/>
      <c r="AA48" s="11"/>
      <c r="AB48" s="12"/>
      <c r="AC48" s="12"/>
      <c r="AD48" s="12"/>
      <c r="AE48" s="11"/>
      <c r="AF48" s="13"/>
      <c r="AG48" s="13">
        <v>1</v>
      </c>
      <c r="AH48" s="11"/>
      <c r="AI48" s="11"/>
      <c r="AJ48" s="11"/>
      <c r="AK48" s="12"/>
      <c r="AL48" s="12"/>
      <c r="AM48" s="13"/>
      <c r="AN48" s="13"/>
      <c r="AO48" s="11"/>
      <c r="AP48" s="12"/>
      <c r="AQ48" s="12"/>
      <c r="AR48" s="12"/>
      <c r="AS48" s="11"/>
      <c r="AT48" s="13"/>
      <c r="AU48" s="13"/>
      <c r="AV48" s="11"/>
      <c r="AW48" s="12"/>
      <c r="AX48" s="12"/>
      <c r="AY48" s="12"/>
      <c r="AZ48" s="11"/>
      <c r="BA48" s="13"/>
      <c r="BB48" s="13"/>
      <c r="BC48" s="11"/>
      <c r="BD48" s="12"/>
      <c r="BE48" s="12"/>
      <c r="BF48" s="12"/>
      <c r="BG48" s="11"/>
      <c r="BH48" s="13"/>
      <c r="BI48" s="13"/>
      <c r="BJ48" s="11"/>
      <c r="BK48" s="12"/>
      <c r="BL48" s="12"/>
      <c r="BM48" s="12"/>
      <c r="BN48" s="11"/>
      <c r="BO48" s="13"/>
      <c r="BP48" s="379">
        <f t="shared" si="55"/>
        <v>1</v>
      </c>
      <c r="BQ48" s="390">
        <v>786448</v>
      </c>
      <c r="BR48" s="19">
        <v>0.8</v>
      </c>
      <c r="BS48" s="20">
        <f t="shared" si="56"/>
        <v>157289.59999999998</v>
      </c>
      <c r="BT48" s="21">
        <f t="shared" si="57"/>
        <v>157289.59999999998</v>
      </c>
      <c r="BU48" s="22">
        <f t="shared" si="58"/>
        <v>125831.67999999999</v>
      </c>
      <c r="BV48" s="1"/>
      <c r="BW48" s="479">
        <v>3.05</v>
      </c>
      <c r="BX48" s="485">
        <f t="shared" si="59"/>
        <v>3.05</v>
      </c>
      <c r="BY48" s="382">
        <f t="shared" si="60"/>
        <v>41256.288524590163</v>
      </c>
      <c r="BZ48" s="2"/>
      <c r="CA48" s="383" t="s">
        <v>225</v>
      </c>
      <c r="CB48" s="384">
        <f t="shared" si="61"/>
        <v>1</v>
      </c>
      <c r="CC48" s="385">
        <f t="shared" si="62"/>
        <v>125831.67999999999</v>
      </c>
      <c r="CD48" s="384">
        <f t="shared" si="63"/>
        <v>0</v>
      </c>
      <c r="CE48" s="385">
        <f t="shared" si="64"/>
        <v>0</v>
      </c>
      <c r="CF48" s="357" t="b">
        <f t="shared" si="65"/>
        <v>1</v>
      </c>
    </row>
    <row r="49" spans="1:84" s="388" customFormat="1" ht="13.95" customHeight="1" x14ac:dyDescent="0.25">
      <c r="A49" s="365"/>
      <c r="B49" s="376"/>
      <c r="C49" s="376"/>
      <c r="D49" s="389" t="s">
        <v>220</v>
      </c>
      <c r="E49" s="378" t="s">
        <v>201</v>
      </c>
      <c r="F49" s="378">
        <v>0.35416666666666669</v>
      </c>
      <c r="G49" s="378" t="s">
        <v>228</v>
      </c>
      <c r="H49" s="394">
        <v>30</v>
      </c>
      <c r="I49" s="11"/>
      <c r="J49" s="11"/>
      <c r="K49" s="13"/>
      <c r="L49" s="13"/>
      <c r="M49" s="11"/>
      <c r="N49" s="12"/>
      <c r="O49" s="12"/>
      <c r="P49" s="12"/>
      <c r="Q49" s="11"/>
      <c r="R49" s="13"/>
      <c r="S49" s="13"/>
      <c r="T49" s="11"/>
      <c r="U49" s="12"/>
      <c r="V49" s="12"/>
      <c r="W49" s="12"/>
      <c r="X49" s="11"/>
      <c r="Y49" s="13"/>
      <c r="Z49" s="13"/>
      <c r="AA49" s="11"/>
      <c r="AB49" s="12"/>
      <c r="AC49" s="12"/>
      <c r="AD49" s="12"/>
      <c r="AE49" s="11"/>
      <c r="AF49" s="13"/>
      <c r="AG49" s="13"/>
      <c r="AH49" s="11"/>
      <c r="AI49" s="11"/>
      <c r="AJ49" s="11">
        <v>1</v>
      </c>
      <c r="AK49" s="12"/>
      <c r="AL49" s="12"/>
      <c r="AM49" s="13"/>
      <c r="AN49" s="13"/>
      <c r="AO49" s="11"/>
      <c r="AP49" s="12"/>
      <c r="AQ49" s="12">
        <v>1</v>
      </c>
      <c r="AR49" s="12"/>
      <c r="AS49" s="11"/>
      <c r="AT49" s="13"/>
      <c r="AU49" s="13"/>
      <c r="AV49" s="11"/>
      <c r="AW49" s="12"/>
      <c r="AX49" s="12">
        <v>1</v>
      </c>
      <c r="AY49" s="12"/>
      <c r="AZ49" s="11"/>
      <c r="BA49" s="13"/>
      <c r="BB49" s="13"/>
      <c r="BC49" s="11"/>
      <c r="BD49" s="12"/>
      <c r="BE49" s="12"/>
      <c r="BF49" s="12"/>
      <c r="BG49" s="11"/>
      <c r="BH49" s="13"/>
      <c r="BI49" s="13"/>
      <c r="BJ49" s="11"/>
      <c r="BK49" s="12"/>
      <c r="BL49" s="12"/>
      <c r="BM49" s="12"/>
      <c r="BN49" s="11"/>
      <c r="BO49" s="13"/>
      <c r="BP49" s="379">
        <f t="shared" si="55"/>
        <v>3</v>
      </c>
      <c r="BQ49" s="390">
        <v>88342</v>
      </c>
      <c r="BR49" s="19">
        <v>0.8</v>
      </c>
      <c r="BS49" s="20">
        <f t="shared" si="56"/>
        <v>17668.399999999998</v>
      </c>
      <c r="BT49" s="21">
        <f t="shared" si="57"/>
        <v>53005.2</v>
      </c>
      <c r="BU49" s="22">
        <f t="shared" si="58"/>
        <v>42404.160000000003</v>
      </c>
      <c r="BV49" s="1"/>
      <c r="BW49" s="479">
        <v>1.95</v>
      </c>
      <c r="BX49" s="485">
        <f t="shared" si="59"/>
        <v>5.85</v>
      </c>
      <c r="BY49" s="382">
        <f t="shared" si="60"/>
        <v>7248.5743589743597</v>
      </c>
      <c r="BZ49" s="2"/>
      <c r="CA49" s="383" t="s">
        <v>225</v>
      </c>
      <c r="CB49" s="384">
        <f t="shared" si="61"/>
        <v>1</v>
      </c>
      <c r="CC49" s="385">
        <f t="shared" si="62"/>
        <v>14134.72</v>
      </c>
      <c r="CD49" s="384">
        <f t="shared" si="63"/>
        <v>2</v>
      </c>
      <c r="CE49" s="385">
        <f t="shared" si="64"/>
        <v>28269.439999999999</v>
      </c>
      <c r="CF49" s="357" t="b">
        <f t="shared" si="65"/>
        <v>1</v>
      </c>
    </row>
    <row r="50" spans="1:84" s="388" customFormat="1" ht="13.95" customHeight="1" x14ac:dyDescent="0.25">
      <c r="A50" s="365"/>
      <c r="B50" s="376"/>
      <c r="C50" s="376"/>
      <c r="D50" s="396" t="s">
        <v>220</v>
      </c>
      <c r="E50" s="378" t="s">
        <v>201</v>
      </c>
      <c r="F50" s="378">
        <v>0.35416666666666669</v>
      </c>
      <c r="G50" s="378" t="s">
        <v>228</v>
      </c>
      <c r="H50" s="394">
        <v>60</v>
      </c>
      <c r="I50" s="11"/>
      <c r="J50" s="11"/>
      <c r="K50" s="13"/>
      <c r="L50" s="13"/>
      <c r="M50" s="11"/>
      <c r="N50" s="12"/>
      <c r="O50" s="12"/>
      <c r="P50" s="12"/>
      <c r="Q50" s="11"/>
      <c r="R50" s="13"/>
      <c r="S50" s="13"/>
      <c r="T50" s="11"/>
      <c r="U50" s="12"/>
      <c r="V50" s="12"/>
      <c r="W50" s="12"/>
      <c r="X50" s="11"/>
      <c r="Y50" s="13"/>
      <c r="Z50" s="13"/>
      <c r="AA50" s="11"/>
      <c r="AB50" s="12"/>
      <c r="AC50" s="12"/>
      <c r="AD50" s="12"/>
      <c r="AE50" s="11">
        <v>1</v>
      </c>
      <c r="AF50" s="13"/>
      <c r="AG50" s="13"/>
      <c r="AH50" s="11"/>
      <c r="AI50" s="11"/>
      <c r="AJ50" s="11"/>
      <c r="AK50" s="12"/>
      <c r="AL50" s="12"/>
      <c r="AM50" s="13"/>
      <c r="AN50" s="13"/>
      <c r="AO50" s="11"/>
      <c r="AP50" s="12"/>
      <c r="AQ50" s="12"/>
      <c r="AR50" s="12"/>
      <c r="AS50" s="11"/>
      <c r="AT50" s="13"/>
      <c r="AU50" s="13"/>
      <c r="AV50" s="11"/>
      <c r="AW50" s="12"/>
      <c r="AX50" s="12"/>
      <c r="AY50" s="12"/>
      <c r="AZ50" s="11"/>
      <c r="BA50" s="13"/>
      <c r="BB50" s="13"/>
      <c r="BC50" s="11"/>
      <c r="BD50" s="12"/>
      <c r="BE50" s="12"/>
      <c r="BF50" s="12"/>
      <c r="BG50" s="11"/>
      <c r="BH50" s="13"/>
      <c r="BI50" s="13"/>
      <c r="BJ50" s="11"/>
      <c r="BK50" s="12"/>
      <c r="BL50" s="12"/>
      <c r="BM50" s="12"/>
      <c r="BN50" s="11"/>
      <c r="BO50" s="13"/>
      <c r="BP50" s="379">
        <f t="shared" si="55"/>
        <v>1</v>
      </c>
      <c r="BQ50" s="390">
        <v>176684</v>
      </c>
      <c r="BR50" s="19">
        <v>0.8</v>
      </c>
      <c r="BS50" s="20">
        <f t="shared" si="56"/>
        <v>35336.799999999996</v>
      </c>
      <c r="BT50" s="21">
        <f t="shared" si="57"/>
        <v>35336.799999999996</v>
      </c>
      <c r="BU50" s="22">
        <f t="shared" si="58"/>
        <v>28269.439999999999</v>
      </c>
      <c r="BV50" s="1"/>
      <c r="BW50" s="479">
        <v>1.95</v>
      </c>
      <c r="BX50" s="485">
        <f t="shared" si="59"/>
        <v>1.95</v>
      </c>
      <c r="BY50" s="382">
        <f t="shared" si="60"/>
        <v>14497.148717948718</v>
      </c>
      <c r="BZ50" s="2"/>
      <c r="CA50" s="383" t="s">
        <v>225</v>
      </c>
      <c r="CB50" s="384">
        <f t="shared" si="61"/>
        <v>1</v>
      </c>
      <c r="CC50" s="385">
        <f t="shared" si="62"/>
        <v>28269.439999999999</v>
      </c>
      <c r="CD50" s="384">
        <f t="shared" si="63"/>
        <v>0</v>
      </c>
      <c r="CE50" s="385">
        <f t="shared" si="64"/>
        <v>0</v>
      </c>
      <c r="CF50" s="357" t="b">
        <f t="shared" si="65"/>
        <v>1</v>
      </c>
    </row>
    <row r="51" spans="1:84" s="388" customFormat="1" ht="13.95" customHeight="1" x14ac:dyDescent="0.25">
      <c r="A51" s="365"/>
      <c r="B51" s="376"/>
      <c r="C51" s="376"/>
      <c r="D51" s="377" t="s">
        <v>221</v>
      </c>
      <c r="E51" s="378" t="s">
        <v>201</v>
      </c>
      <c r="F51" s="378">
        <v>0.39930555555555558</v>
      </c>
      <c r="G51" s="378" t="s">
        <v>229</v>
      </c>
      <c r="H51" s="394">
        <v>30</v>
      </c>
      <c r="I51" s="11"/>
      <c r="J51" s="11"/>
      <c r="K51" s="13"/>
      <c r="L51" s="13"/>
      <c r="M51" s="11"/>
      <c r="N51" s="12"/>
      <c r="O51" s="12"/>
      <c r="P51" s="12"/>
      <c r="Q51" s="11"/>
      <c r="R51" s="13"/>
      <c r="S51" s="13"/>
      <c r="T51" s="11"/>
      <c r="U51" s="12"/>
      <c r="V51" s="12"/>
      <c r="W51" s="12"/>
      <c r="X51" s="11"/>
      <c r="Y51" s="13"/>
      <c r="Z51" s="13"/>
      <c r="AA51" s="11"/>
      <c r="AB51" s="12"/>
      <c r="AC51" s="12"/>
      <c r="AD51" s="12"/>
      <c r="AE51" s="11"/>
      <c r="AF51" s="13"/>
      <c r="AG51" s="13"/>
      <c r="AH51" s="11"/>
      <c r="AI51" s="11">
        <v>1</v>
      </c>
      <c r="AJ51" s="11"/>
      <c r="AK51" s="12"/>
      <c r="AL51" s="12"/>
      <c r="AM51" s="13"/>
      <c r="AN51" s="13"/>
      <c r="AO51" s="11"/>
      <c r="AP51" s="12">
        <v>1</v>
      </c>
      <c r="AQ51" s="12"/>
      <c r="AR51" s="12"/>
      <c r="AS51" s="11"/>
      <c r="AT51" s="13"/>
      <c r="AU51" s="13"/>
      <c r="AV51" s="11"/>
      <c r="AW51" s="12">
        <v>1</v>
      </c>
      <c r="AX51" s="12"/>
      <c r="AY51" s="12"/>
      <c r="AZ51" s="11"/>
      <c r="BA51" s="13"/>
      <c r="BB51" s="13"/>
      <c r="BC51" s="11"/>
      <c r="BD51" s="12"/>
      <c r="BE51" s="12"/>
      <c r="BF51" s="12"/>
      <c r="BG51" s="11"/>
      <c r="BH51" s="13"/>
      <c r="BI51" s="13"/>
      <c r="BJ51" s="11"/>
      <c r="BK51" s="12"/>
      <c r="BL51" s="12"/>
      <c r="BM51" s="12"/>
      <c r="BN51" s="11"/>
      <c r="BO51" s="13"/>
      <c r="BP51" s="379">
        <f t="shared" si="55"/>
        <v>3</v>
      </c>
      <c r="BQ51" s="390">
        <v>68116</v>
      </c>
      <c r="BR51" s="19">
        <v>0.8</v>
      </c>
      <c r="BS51" s="20">
        <f t="shared" si="56"/>
        <v>13623.199999999997</v>
      </c>
      <c r="BT51" s="21">
        <f t="shared" si="57"/>
        <v>40869.599999999991</v>
      </c>
      <c r="BU51" s="22">
        <f t="shared" si="58"/>
        <v>32695.679999999993</v>
      </c>
      <c r="BV51" s="1"/>
      <c r="BW51" s="479">
        <v>2.0099999999999998</v>
      </c>
      <c r="BX51" s="485">
        <f t="shared" si="59"/>
        <v>6.0299999999999994</v>
      </c>
      <c r="BY51" s="382">
        <f t="shared" si="60"/>
        <v>5422.1691542288554</v>
      </c>
      <c r="BZ51" s="2"/>
      <c r="CA51" s="383" t="s">
        <v>225</v>
      </c>
      <c r="CB51" s="384">
        <f t="shared" si="61"/>
        <v>1</v>
      </c>
      <c r="CC51" s="385">
        <f t="shared" si="62"/>
        <v>10898.559999999998</v>
      </c>
      <c r="CD51" s="384">
        <f t="shared" si="63"/>
        <v>2</v>
      </c>
      <c r="CE51" s="385">
        <f t="shared" si="64"/>
        <v>21797.119999999995</v>
      </c>
      <c r="CF51" s="357" t="b">
        <f t="shared" si="65"/>
        <v>1</v>
      </c>
    </row>
    <row r="52" spans="1:84" s="388" customFormat="1" ht="13.95" customHeight="1" x14ac:dyDescent="0.25">
      <c r="A52" s="365"/>
      <c r="B52" s="376"/>
      <c r="C52" s="376"/>
      <c r="D52" s="389" t="s">
        <v>222</v>
      </c>
      <c r="E52" s="378" t="s">
        <v>201</v>
      </c>
      <c r="F52" s="378">
        <v>0.91666666666666663</v>
      </c>
      <c r="G52" s="378" t="s">
        <v>226</v>
      </c>
      <c r="H52" s="394">
        <v>30</v>
      </c>
      <c r="I52" s="11"/>
      <c r="J52" s="11"/>
      <c r="K52" s="13"/>
      <c r="L52" s="13"/>
      <c r="M52" s="11"/>
      <c r="N52" s="12"/>
      <c r="O52" s="12"/>
      <c r="P52" s="12"/>
      <c r="Q52" s="11"/>
      <c r="R52" s="13"/>
      <c r="S52" s="13"/>
      <c r="T52" s="11"/>
      <c r="U52" s="12"/>
      <c r="V52" s="12"/>
      <c r="W52" s="12"/>
      <c r="X52" s="11"/>
      <c r="Y52" s="13"/>
      <c r="Z52" s="13"/>
      <c r="AA52" s="11"/>
      <c r="AB52" s="12"/>
      <c r="AC52" s="12"/>
      <c r="AD52" s="12"/>
      <c r="AE52" s="11"/>
      <c r="AF52" s="13"/>
      <c r="AG52" s="13"/>
      <c r="AH52" s="11"/>
      <c r="AI52" s="11"/>
      <c r="AJ52" s="11"/>
      <c r="AK52" s="12">
        <v>1</v>
      </c>
      <c r="AL52" s="12"/>
      <c r="AM52" s="13"/>
      <c r="AN52" s="13"/>
      <c r="AO52" s="11"/>
      <c r="AP52" s="12"/>
      <c r="AQ52" s="12"/>
      <c r="AR52" s="12">
        <v>1</v>
      </c>
      <c r="AS52" s="11"/>
      <c r="AT52" s="13"/>
      <c r="AU52" s="13"/>
      <c r="AV52" s="11"/>
      <c r="AW52" s="12"/>
      <c r="AX52" s="12"/>
      <c r="AY52" s="12">
        <v>1</v>
      </c>
      <c r="AZ52" s="11"/>
      <c r="BA52" s="13"/>
      <c r="BB52" s="13"/>
      <c r="BC52" s="11"/>
      <c r="BD52" s="12"/>
      <c r="BE52" s="12"/>
      <c r="BF52" s="12"/>
      <c r="BG52" s="11"/>
      <c r="BH52" s="13"/>
      <c r="BI52" s="13"/>
      <c r="BJ52" s="11"/>
      <c r="BK52" s="12"/>
      <c r="BL52" s="12"/>
      <c r="BM52" s="12"/>
      <c r="BN52" s="11"/>
      <c r="BO52" s="13"/>
      <c r="BP52" s="379">
        <f t="shared" si="55"/>
        <v>3</v>
      </c>
      <c r="BQ52" s="390">
        <v>235310</v>
      </c>
      <c r="BR52" s="19">
        <v>0.8</v>
      </c>
      <c r="BS52" s="20">
        <f t="shared" si="56"/>
        <v>47061.999999999993</v>
      </c>
      <c r="BT52" s="21">
        <f t="shared" si="57"/>
        <v>141185.99999999997</v>
      </c>
      <c r="BU52" s="22">
        <f t="shared" si="58"/>
        <v>112948.79999999999</v>
      </c>
      <c r="BV52" s="1"/>
      <c r="BW52" s="479">
        <v>2.27</v>
      </c>
      <c r="BX52" s="485">
        <f t="shared" si="59"/>
        <v>6.8100000000000005</v>
      </c>
      <c r="BY52" s="382">
        <f t="shared" si="60"/>
        <v>16585.726872246694</v>
      </c>
      <c r="BZ52" s="2"/>
      <c r="CA52" s="383" t="s">
        <v>225</v>
      </c>
      <c r="CB52" s="384">
        <f t="shared" si="61"/>
        <v>1</v>
      </c>
      <c r="CC52" s="385">
        <f t="shared" si="62"/>
        <v>37649.599999999999</v>
      </c>
      <c r="CD52" s="384">
        <f t="shared" si="63"/>
        <v>2</v>
      </c>
      <c r="CE52" s="385">
        <f t="shared" si="64"/>
        <v>75299.199999999997</v>
      </c>
      <c r="CF52" s="357" t="b">
        <f t="shared" si="65"/>
        <v>1</v>
      </c>
    </row>
    <row r="53" spans="1:84" s="388" customFormat="1" ht="13.95" customHeight="1" x14ac:dyDescent="0.25">
      <c r="A53" s="365"/>
      <c r="B53" s="376"/>
      <c r="C53" s="376"/>
      <c r="D53" s="396" t="s">
        <v>222</v>
      </c>
      <c r="E53" s="378" t="s">
        <v>201</v>
      </c>
      <c r="F53" s="378">
        <v>0.91666666666666663</v>
      </c>
      <c r="G53" s="378" t="s">
        <v>226</v>
      </c>
      <c r="H53" s="394">
        <v>60</v>
      </c>
      <c r="I53" s="11"/>
      <c r="J53" s="11"/>
      <c r="K53" s="13"/>
      <c r="L53" s="13"/>
      <c r="M53" s="11"/>
      <c r="N53" s="12"/>
      <c r="O53" s="12"/>
      <c r="P53" s="12"/>
      <c r="Q53" s="11"/>
      <c r="R53" s="13"/>
      <c r="S53" s="13"/>
      <c r="T53" s="11"/>
      <c r="U53" s="12"/>
      <c r="V53" s="12"/>
      <c r="W53" s="12"/>
      <c r="X53" s="11"/>
      <c r="Y53" s="13"/>
      <c r="Z53" s="13"/>
      <c r="AA53" s="11"/>
      <c r="AB53" s="12"/>
      <c r="AC53" s="12"/>
      <c r="AD53" s="12">
        <v>1</v>
      </c>
      <c r="AE53" s="11"/>
      <c r="AF53" s="13"/>
      <c r="AG53" s="13"/>
      <c r="AH53" s="11"/>
      <c r="AI53" s="11"/>
      <c r="AJ53" s="11"/>
      <c r="AK53" s="12"/>
      <c r="AL53" s="12"/>
      <c r="AM53" s="13"/>
      <c r="AN53" s="13"/>
      <c r="AO53" s="11"/>
      <c r="AP53" s="12"/>
      <c r="AQ53" s="12"/>
      <c r="AR53" s="12"/>
      <c r="AS53" s="11"/>
      <c r="AT53" s="13"/>
      <c r="AU53" s="13"/>
      <c r="AV53" s="11"/>
      <c r="AW53" s="12"/>
      <c r="AX53" s="12"/>
      <c r="AY53" s="12"/>
      <c r="AZ53" s="11"/>
      <c r="BA53" s="13"/>
      <c r="BB53" s="13"/>
      <c r="BC53" s="11"/>
      <c r="BD53" s="12"/>
      <c r="BE53" s="12"/>
      <c r="BF53" s="12"/>
      <c r="BG53" s="11"/>
      <c r="BH53" s="13"/>
      <c r="BI53" s="13"/>
      <c r="BJ53" s="11"/>
      <c r="BK53" s="12"/>
      <c r="BL53" s="12"/>
      <c r="BM53" s="12"/>
      <c r="BN53" s="11"/>
      <c r="BO53" s="13"/>
      <c r="BP53" s="379">
        <f t="shared" si="55"/>
        <v>1</v>
      </c>
      <c r="BQ53" s="390">
        <v>470620</v>
      </c>
      <c r="BR53" s="19">
        <v>0.8</v>
      </c>
      <c r="BS53" s="20">
        <f t="shared" si="56"/>
        <v>94123.999999999985</v>
      </c>
      <c r="BT53" s="21">
        <f t="shared" si="57"/>
        <v>94123.999999999985</v>
      </c>
      <c r="BU53" s="22">
        <f t="shared" si="58"/>
        <v>75299.199999999997</v>
      </c>
      <c r="BV53" s="1"/>
      <c r="BW53" s="479">
        <v>2.27</v>
      </c>
      <c r="BX53" s="485">
        <f t="shared" si="59"/>
        <v>2.27</v>
      </c>
      <c r="BY53" s="382">
        <f t="shared" si="60"/>
        <v>33171.453744493389</v>
      </c>
      <c r="BZ53" s="2"/>
      <c r="CA53" s="383" t="s">
        <v>225</v>
      </c>
      <c r="CB53" s="384">
        <f t="shared" si="61"/>
        <v>1</v>
      </c>
      <c r="CC53" s="385">
        <f t="shared" si="62"/>
        <v>75299.199999999997</v>
      </c>
      <c r="CD53" s="384">
        <f t="shared" si="63"/>
        <v>0</v>
      </c>
      <c r="CE53" s="385">
        <f t="shared" si="64"/>
        <v>0</v>
      </c>
      <c r="CF53" s="357" t="b">
        <f t="shared" si="65"/>
        <v>1</v>
      </c>
    </row>
    <row r="54" spans="1:84" s="388" customFormat="1" ht="13.95" customHeight="1" x14ac:dyDescent="0.25">
      <c r="A54" s="365"/>
      <c r="B54" s="376"/>
      <c r="C54" s="376"/>
      <c r="D54" s="377" t="s">
        <v>223</v>
      </c>
      <c r="E54" s="378" t="s">
        <v>201</v>
      </c>
      <c r="F54" s="378">
        <v>0.875</v>
      </c>
      <c r="G54" s="378" t="s">
        <v>230</v>
      </c>
      <c r="H54" s="394">
        <v>30</v>
      </c>
      <c r="I54" s="11"/>
      <c r="J54" s="11"/>
      <c r="K54" s="13"/>
      <c r="L54" s="13"/>
      <c r="M54" s="11"/>
      <c r="N54" s="12"/>
      <c r="O54" s="12"/>
      <c r="P54" s="12"/>
      <c r="Q54" s="11"/>
      <c r="R54" s="13"/>
      <c r="S54" s="13"/>
      <c r="T54" s="11"/>
      <c r="U54" s="12"/>
      <c r="V54" s="12"/>
      <c r="W54" s="12"/>
      <c r="X54" s="11"/>
      <c r="Y54" s="13"/>
      <c r="Z54" s="13"/>
      <c r="AA54" s="11"/>
      <c r="AB54" s="12"/>
      <c r="AC54" s="12"/>
      <c r="AD54" s="12"/>
      <c r="AE54" s="11"/>
      <c r="AF54" s="13"/>
      <c r="AG54" s="13"/>
      <c r="AH54" s="11"/>
      <c r="AI54" s="11"/>
      <c r="AJ54" s="11"/>
      <c r="AK54" s="12"/>
      <c r="AL54" s="12">
        <v>1</v>
      </c>
      <c r="AM54" s="13"/>
      <c r="AN54" s="13"/>
      <c r="AO54" s="11"/>
      <c r="AP54" s="12"/>
      <c r="AQ54" s="12"/>
      <c r="AR54" s="12"/>
      <c r="AS54" s="11">
        <v>1</v>
      </c>
      <c r="AT54" s="13"/>
      <c r="AU54" s="13"/>
      <c r="AV54" s="11"/>
      <c r="AW54" s="12"/>
      <c r="AX54" s="12"/>
      <c r="AY54" s="12"/>
      <c r="AZ54" s="11">
        <v>1</v>
      </c>
      <c r="BA54" s="13"/>
      <c r="BB54" s="13"/>
      <c r="BC54" s="11"/>
      <c r="BD54" s="12"/>
      <c r="BE54" s="12"/>
      <c r="BF54" s="12"/>
      <c r="BG54" s="11"/>
      <c r="BH54" s="13"/>
      <c r="BI54" s="13"/>
      <c r="BJ54" s="11"/>
      <c r="BK54" s="12"/>
      <c r="BL54" s="12"/>
      <c r="BM54" s="12"/>
      <c r="BN54" s="11"/>
      <c r="BO54" s="13"/>
      <c r="BP54" s="379">
        <f t="shared" si="55"/>
        <v>3</v>
      </c>
      <c r="BQ54" s="390">
        <v>297974</v>
      </c>
      <c r="BR54" s="19">
        <v>0.8</v>
      </c>
      <c r="BS54" s="20">
        <f t="shared" si="56"/>
        <v>59594.799999999988</v>
      </c>
      <c r="BT54" s="21">
        <f t="shared" si="57"/>
        <v>178784.39999999997</v>
      </c>
      <c r="BU54" s="22">
        <f t="shared" si="58"/>
        <v>143027.51999999999</v>
      </c>
      <c r="BV54" s="1"/>
      <c r="BW54" s="479">
        <v>2.56</v>
      </c>
      <c r="BX54" s="485">
        <f t="shared" si="59"/>
        <v>7.68</v>
      </c>
      <c r="BY54" s="382">
        <f t="shared" si="60"/>
        <v>18623.375</v>
      </c>
      <c r="BZ54" s="2"/>
      <c r="CA54" s="383" t="s">
        <v>225</v>
      </c>
      <c r="CB54" s="384">
        <f t="shared" si="61"/>
        <v>1</v>
      </c>
      <c r="CC54" s="385">
        <f t="shared" si="62"/>
        <v>47675.839999999997</v>
      </c>
      <c r="CD54" s="384">
        <f t="shared" si="63"/>
        <v>2</v>
      </c>
      <c r="CE54" s="385">
        <f t="shared" si="64"/>
        <v>95351.679999999993</v>
      </c>
      <c r="CF54" s="357" t="b">
        <f t="shared" si="65"/>
        <v>1</v>
      </c>
    </row>
    <row r="55" spans="1:84" s="388" customFormat="1" ht="13.95" customHeight="1" x14ac:dyDescent="0.25">
      <c r="A55" s="365"/>
      <c r="B55" s="376"/>
      <c r="C55" s="376"/>
      <c r="D55" s="377" t="s">
        <v>223</v>
      </c>
      <c r="E55" s="378" t="s">
        <v>201</v>
      </c>
      <c r="F55" s="378">
        <v>0.875</v>
      </c>
      <c r="G55" s="378" t="s">
        <v>230</v>
      </c>
      <c r="H55" s="394">
        <v>60</v>
      </c>
      <c r="I55" s="11"/>
      <c r="J55" s="11"/>
      <c r="K55" s="13"/>
      <c r="L55" s="13"/>
      <c r="M55" s="11"/>
      <c r="N55" s="12"/>
      <c r="O55" s="12"/>
      <c r="P55" s="12"/>
      <c r="Q55" s="11"/>
      <c r="R55" s="13"/>
      <c r="S55" s="13"/>
      <c r="T55" s="11"/>
      <c r="U55" s="12"/>
      <c r="V55" s="12"/>
      <c r="W55" s="12"/>
      <c r="X55" s="11"/>
      <c r="Y55" s="13"/>
      <c r="Z55" s="13"/>
      <c r="AA55" s="11"/>
      <c r="AB55" s="12"/>
      <c r="AC55" s="12"/>
      <c r="AD55" s="12"/>
      <c r="AE55" s="11">
        <v>1</v>
      </c>
      <c r="AF55" s="13"/>
      <c r="AG55" s="13"/>
      <c r="AH55" s="11"/>
      <c r="AI55" s="11"/>
      <c r="AJ55" s="11"/>
      <c r="AK55" s="12"/>
      <c r="AL55" s="12"/>
      <c r="AM55" s="13"/>
      <c r="AN55" s="13"/>
      <c r="AO55" s="11"/>
      <c r="AP55" s="12"/>
      <c r="AQ55" s="12"/>
      <c r="AR55" s="12"/>
      <c r="AS55" s="11"/>
      <c r="AT55" s="13"/>
      <c r="AU55" s="13"/>
      <c r="AV55" s="11"/>
      <c r="AW55" s="12"/>
      <c r="AX55" s="12"/>
      <c r="AY55" s="12"/>
      <c r="AZ55" s="11"/>
      <c r="BA55" s="13"/>
      <c r="BB55" s="13"/>
      <c r="BC55" s="11"/>
      <c r="BD55" s="12"/>
      <c r="BE55" s="12"/>
      <c r="BF55" s="12"/>
      <c r="BG55" s="11"/>
      <c r="BH55" s="13"/>
      <c r="BI55" s="13"/>
      <c r="BJ55" s="11"/>
      <c r="BK55" s="12"/>
      <c r="BL55" s="12"/>
      <c r="BM55" s="12"/>
      <c r="BN55" s="11"/>
      <c r="BO55" s="13"/>
      <c r="BP55" s="379">
        <f t="shared" si="55"/>
        <v>1</v>
      </c>
      <c r="BQ55" s="390">
        <v>595948</v>
      </c>
      <c r="BR55" s="19">
        <v>0.8</v>
      </c>
      <c r="BS55" s="20">
        <f t="shared" si="56"/>
        <v>119189.59999999998</v>
      </c>
      <c r="BT55" s="21">
        <f t="shared" si="57"/>
        <v>119189.59999999998</v>
      </c>
      <c r="BU55" s="22">
        <f t="shared" si="58"/>
        <v>95351.679999999993</v>
      </c>
      <c r="BV55" s="1"/>
      <c r="BW55" s="479">
        <v>2.56</v>
      </c>
      <c r="BX55" s="485">
        <f t="shared" si="59"/>
        <v>2.56</v>
      </c>
      <c r="BY55" s="382">
        <f t="shared" si="60"/>
        <v>37246.75</v>
      </c>
      <c r="BZ55" s="2"/>
      <c r="CA55" s="383" t="s">
        <v>225</v>
      </c>
      <c r="CB55" s="384">
        <f t="shared" si="61"/>
        <v>1</v>
      </c>
      <c r="CC55" s="385">
        <f t="shared" si="62"/>
        <v>95351.679999999993</v>
      </c>
      <c r="CD55" s="384">
        <f t="shared" si="63"/>
        <v>0</v>
      </c>
      <c r="CE55" s="385">
        <f t="shared" si="64"/>
        <v>0</v>
      </c>
      <c r="CF55" s="357" t="b">
        <f t="shared" si="65"/>
        <v>1</v>
      </c>
    </row>
    <row r="56" spans="1:84" s="388" customFormat="1" ht="13.95" customHeight="1" x14ac:dyDescent="0.25">
      <c r="A56" s="365"/>
      <c r="B56" s="376"/>
      <c r="C56" s="376"/>
      <c r="D56" s="389" t="s">
        <v>224</v>
      </c>
      <c r="E56" s="378" t="s">
        <v>201</v>
      </c>
      <c r="F56" s="378">
        <v>0.64583333333333337</v>
      </c>
      <c r="G56" s="378" t="s">
        <v>231</v>
      </c>
      <c r="H56" s="394">
        <v>30</v>
      </c>
      <c r="I56" s="11"/>
      <c r="J56" s="11"/>
      <c r="K56" s="13"/>
      <c r="L56" s="13"/>
      <c r="M56" s="11"/>
      <c r="N56" s="12"/>
      <c r="O56" s="12"/>
      <c r="P56" s="12"/>
      <c r="Q56" s="11"/>
      <c r="R56" s="13"/>
      <c r="S56" s="13"/>
      <c r="T56" s="11"/>
      <c r="U56" s="12"/>
      <c r="V56" s="12"/>
      <c r="W56" s="12"/>
      <c r="X56" s="11"/>
      <c r="Y56" s="13"/>
      <c r="Z56" s="13"/>
      <c r="AA56" s="11"/>
      <c r="AB56" s="12"/>
      <c r="AC56" s="12"/>
      <c r="AD56" s="12"/>
      <c r="AE56" s="11"/>
      <c r="AF56" s="13"/>
      <c r="AG56" s="13"/>
      <c r="AH56" s="11">
        <v>1</v>
      </c>
      <c r="AI56" s="11"/>
      <c r="AJ56" s="11"/>
      <c r="AK56" s="12"/>
      <c r="AL56" s="12"/>
      <c r="AM56" s="13"/>
      <c r="AN56" s="13"/>
      <c r="AO56" s="11">
        <v>1</v>
      </c>
      <c r="AP56" s="12"/>
      <c r="AQ56" s="12"/>
      <c r="AR56" s="12"/>
      <c r="AS56" s="11"/>
      <c r="AT56" s="13"/>
      <c r="AU56" s="13"/>
      <c r="AV56" s="11">
        <v>1</v>
      </c>
      <c r="AW56" s="12"/>
      <c r="AX56" s="12"/>
      <c r="AY56" s="12"/>
      <c r="AZ56" s="11"/>
      <c r="BA56" s="13"/>
      <c r="BB56" s="13"/>
      <c r="BC56" s="11"/>
      <c r="BD56" s="12"/>
      <c r="BE56" s="12"/>
      <c r="BF56" s="12"/>
      <c r="BG56" s="11"/>
      <c r="BH56" s="13"/>
      <c r="BI56" s="13"/>
      <c r="BJ56" s="11"/>
      <c r="BK56" s="12"/>
      <c r="BL56" s="12"/>
      <c r="BM56" s="12"/>
      <c r="BN56" s="11"/>
      <c r="BO56" s="13"/>
      <c r="BP56" s="379">
        <f t="shared" si="55"/>
        <v>3</v>
      </c>
      <c r="BQ56" s="390">
        <v>87447</v>
      </c>
      <c r="BR56" s="19">
        <v>0.8</v>
      </c>
      <c r="BS56" s="20">
        <f t="shared" si="56"/>
        <v>17489.399999999998</v>
      </c>
      <c r="BT56" s="21">
        <f t="shared" si="57"/>
        <v>52468.2</v>
      </c>
      <c r="BU56" s="22">
        <f t="shared" si="58"/>
        <v>41974.559999999998</v>
      </c>
      <c r="BV56" s="1"/>
      <c r="BW56" s="479">
        <v>2.39</v>
      </c>
      <c r="BX56" s="485">
        <f t="shared" si="59"/>
        <v>7.17</v>
      </c>
      <c r="BY56" s="382">
        <f t="shared" si="60"/>
        <v>5854.1924686192469</v>
      </c>
      <c r="BZ56" s="2"/>
      <c r="CA56" s="383" t="s">
        <v>225</v>
      </c>
      <c r="CB56" s="384">
        <f t="shared" si="61"/>
        <v>1</v>
      </c>
      <c r="CC56" s="385">
        <f t="shared" si="62"/>
        <v>13991.519999999999</v>
      </c>
      <c r="CD56" s="384">
        <f t="shared" si="63"/>
        <v>2</v>
      </c>
      <c r="CE56" s="385">
        <f t="shared" si="64"/>
        <v>27983.039999999997</v>
      </c>
      <c r="CF56" s="357" t="b">
        <f t="shared" si="65"/>
        <v>1</v>
      </c>
    </row>
    <row r="57" spans="1:84" s="388" customFormat="1" ht="13.95" customHeight="1" x14ac:dyDescent="0.25">
      <c r="A57" s="365"/>
      <c r="B57" s="376"/>
      <c r="C57" s="376"/>
      <c r="D57" s="396"/>
      <c r="E57" s="378"/>
      <c r="F57" s="378"/>
      <c r="G57" s="378"/>
      <c r="H57" s="394"/>
      <c r="I57" s="11"/>
      <c r="J57" s="11"/>
      <c r="K57" s="13"/>
      <c r="L57" s="13"/>
      <c r="M57" s="11"/>
      <c r="N57" s="12"/>
      <c r="O57" s="12"/>
      <c r="P57" s="12"/>
      <c r="Q57" s="11"/>
      <c r="R57" s="13"/>
      <c r="S57" s="13"/>
      <c r="T57" s="11"/>
      <c r="U57" s="12"/>
      <c r="V57" s="12"/>
      <c r="W57" s="12"/>
      <c r="X57" s="11"/>
      <c r="Y57" s="13"/>
      <c r="Z57" s="13"/>
      <c r="AA57" s="11"/>
      <c r="AB57" s="12"/>
      <c r="AC57" s="12"/>
      <c r="AD57" s="12"/>
      <c r="AE57" s="11"/>
      <c r="AF57" s="13"/>
      <c r="AG57" s="13"/>
      <c r="AH57" s="11"/>
      <c r="AI57" s="11"/>
      <c r="AJ57" s="11"/>
      <c r="AK57" s="12"/>
      <c r="AL57" s="12"/>
      <c r="AM57" s="13"/>
      <c r="AN57" s="13"/>
      <c r="AO57" s="11"/>
      <c r="AP57" s="12"/>
      <c r="AQ57" s="12"/>
      <c r="AR57" s="12"/>
      <c r="AS57" s="11"/>
      <c r="AT57" s="13"/>
      <c r="AU57" s="13"/>
      <c r="AV57" s="11"/>
      <c r="AW57" s="12"/>
      <c r="AX57" s="12"/>
      <c r="AY57" s="12"/>
      <c r="AZ57" s="11"/>
      <c r="BA57" s="13"/>
      <c r="BB57" s="13"/>
      <c r="BC57" s="11"/>
      <c r="BD57" s="12"/>
      <c r="BE57" s="12"/>
      <c r="BF57" s="12"/>
      <c r="BG57" s="11"/>
      <c r="BH57" s="13"/>
      <c r="BI57" s="13"/>
      <c r="BJ57" s="11"/>
      <c r="BK57" s="12"/>
      <c r="BL57" s="12"/>
      <c r="BM57" s="12"/>
      <c r="BN57" s="11"/>
      <c r="BO57" s="13"/>
      <c r="BP57" s="379"/>
      <c r="BQ57" s="15"/>
      <c r="BR57" s="386"/>
      <c r="BS57" s="15"/>
      <c r="BT57" s="22"/>
      <c r="BU57" s="22"/>
      <c r="BV57" s="1"/>
      <c r="BW57" s="481"/>
      <c r="BX57" s="486"/>
      <c r="BY57" s="382"/>
      <c r="BZ57" s="2"/>
      <c r="CA57" s="424" t="s">
        <v>142</v>
      </c>
      <c r="CB57" s="425">
        <f>SUM(CB45:CB56)</f>
        <v>11</v>
      </c>
      <c r="CC57" s="426">
        <f>SUM(CC45:CC56)</f>
        <v>481866.08</v>
      </c>
      <c r="CD57" s="425">
        <f>SUM(CD45:CD56)</f>
        <v>15</v>
      </c>
      <c r="CE57" s="426">
        <f>SUM(CE45:CE56)</f>
        <v>459290.55999999994</v>
      </c>
      <c r="CF57" s="357"/>
    </row>
    <row r="58" spans="1:84" s="388" customFormat="1" ht="13.95" customHeight="1" x14ac:dyDescent="0.25">
      <c r="A58" s="365"/>
      <c r="B58" s="376"/>
      <c r="C58" s="376" t="s">
        <v>232</v>
      </c>
      <c r="D58" s="389" t="s">
        <v>233</v>
      </c>
      <c r="E58" s="378" t="s">
        <v>201</v>
      </c>
      <c r="F58" s="378">
        <v>0.45833333333333331</v>
      </c>
      <c r="G58" s="378" t="s">
        <v>241</v>
      </c>
      <c r="H58" s="394">
        <v>30</v>
      </c>
      <c r="I58" s="11"/>
      <c r="J58" s="11"/>
      <c r="K58" s="13"/>
      <c r="L58" s="13"/>
      <c r="M58" s="11"/>
      <c r="N58" s="12"/>
      <c r="O58" s="12"/>
      <c r="P58" s="12"/>
      <c r="Q58" s="11"/>
      <c r="R58" s="13"/>
      <c r="S58" s="13"/>
      <c r="T58" s="11"/>
      <c r="U58" s="12"/>
      <c r="V58" s="12"/>
      <c r="W58" s="12"/>
      <c r="X58" s="11"/>
      <c r="Y58" s="13"/>
      <c r="Z58" s="13"/>
      <c r="AA58" s="11"/>
      <c r="AB58" s="12"/>
      <c r="AC58" s="12"/>
      <c r="AD58" s="12"/>
      <c r="AE58" s="11"/>
      <c r="AF58" s="13"/>
      <c r="AG58" s="13"/>
      <c r="AH58" s="11">
        <v>1</v>
      </c>
      <c r="AI58" s="11"/>
      <c r="AJ58" s="11"/>
      <c r="AK58" s="12"/>
      <c r="AL58" s="12"/>
      <c r="AM58" s="13"/>
      <c r="AN58" s="13"/>
      <c r="AO58" s="11">
        <v>1</v>
      </c>
      <c r="AP58" s="12"/>
      <c r="AQ58" s="12"/>
      <c r="AR58" s="12"/>
      <c r="AS58" s="11"/>
      <c r="AT58" s="13"/>
      <c r="AU58" s="13"/>
      <c r="AV58" s="11">
        <v>1</v>
      </c>
      <c r="AW58" s="12"/>
      <c r="AX58" s="12"/>
      <c r="AY58" s="12"/>
      <c r="AZ58" s="11"/>
      <c r="BA58" s="13"/>
      <c r="BB58" s="13"/>
      <c r="BC58" s="11"/>
      <c r="BD58" s="12"/>
      <c r="BE58" s="12"/>
      <c r="BF58" s="12"/>
      <c r="BG58" s="11"/>
      <c r="BH58" s="13"/>
      <c r="BI58" s="13"/>
      <c r="BJ58" s="11"/>
      <c r="BK58" s="12"/>
      <c r="BL58" s="12"/>
      <c r="BM58" s="12"/>
      <c r="BN58" s="11"/>
      <c r="BO58" s="13"/>
      <c r="BP58" s="379">
        <f t="shared" ref="BP58:BP69" si="66">SUM(I58:BO58)</f>
        <v>3</v>
      </c>
      <c r="BQ58" s="390">
        <v>89256</v>
      </c>
      <c r="BR58" s="19">
        <v>0.75</v>
      </c>
      <c r="BS58" s="20">
        <f t="shared" ref="BS58:BS69" si="67">BQ58*(1-BR58)</f>
        <v>22314</v>
      </c>
      <c r="BT58" s="21">
        <f t="shared" ref="BT58:BT69" si="68">BS58*BP58</f>
        <v>66942</v>
      </c>
      <c r="BU58" s="421">
        <f t="shared" ref="BU58:BU69" si="69">BT58*0.8</f>
        <v>53553.600000000006</v>
      </c>
      <c r="BV58" s="1"/>
      <c r="BW58" s="479">
        <v>1.45</v>
      </c>
      <c r="BX58" s="485">
        <f t="shared" ref="BX58:BX69" si="70">BW58*BP58</f>
        <v>4.3499999999999996</v>
      </c>
      <c r="BY58" s="382">
        <f t="shared" ref="BY58:BY69" si="71">IFERROR(BU58/BX58,0)</f>
        <v>12311.172413793105</v>
      </c>
      <c r="BZ58" s="2"/>
      <c r="CA58" s="383" t="s">
        <v>232</v>
      </c>
      <c r="CB58" s="384">
        <f t="shared" ref="CB58" si="72">COUNTA(I58:AM58)</f>
        <v>1</v>
      </c>
      <c r="CC58" s="385">
        <f t="shared" ref="CC58" si="73">CB58*BS58*0.8</f>
        <v>17851.2</v>
      </c>
      <c r="CD58" s="384">
        <f t="shared" ref="CD58" si="74">COUNTA(AN58:BO58)</f>
        <v>2</v>
      </c>
      <c r="CE58" s="385">
        <f t="shared" ref="CE58" si="75">CD58*BS58*0.8</f>
        <v>35702.400000000001</v>
      </c>
      <c r="CF58" s="357" t="b">
        <f t="shared" ref="CF58:CF69" si="76">SUM(CC58,CE58)=BU58</f>
        <v>1</v>
      </c>
    </row>
    <row r="59" spans="1:84" s="388" customFormat="1" ht="13.95" customHeight="1" x14ac:dyDescent="0.25">
      <c r="A59" s="365"/>
      <c r="B59" s="376"/>
      <c r="C59" s="376"/>
      <c r="D59" s="396" t="s">
        <v>234</v>
      </c>
      <c r="E59" s="378" t="s">
        <v>203</v>
      </c>
      <c r="F59" s="378">
        <v>0.46875</v>
      </c>
      <c r="G59" s="378" t="s">
        <v>242</v>
      </c>
      <c r="H59" s="394">
        <v>30</v>
      </c>
      <c r="I59" s="11"/>
      <c r="J59" s="11"/>
      <c r="K59" s="13"/>
      <c r="L59" s="13"/>
      <c r="M59" s="11"/>
      <c r="N59" s="12"/>
      <c r="O59" s="12"/>
      <c r="P59" s="12"/>
      <c r="Q59" s="11"/>
      <c r="R59" s="13"/>
      <c r="S59" s="13"/>
      <c r="T59" s="11"/>
      <c r="U59" s="12"/>
      <c r="V59" s="12"/>
      <c r="W59" s="12"/>
      <c r="X59" s="11"/>
      <c r="Y59" s="13"/>
      <c r="Z59" s="13"/>
      <c r="AA59" s="11"/>
      <c r="AB59" s="12"/>
      <c r="AC59" s="12"/>
      <c r="AD59" s="12"/>
      <c r="AE59" s="11"/>
      <c r="AF59" s="13"/>
      <c r="AG59" s="13"/>
      <c r="AH59" s="11"/>
      <c r="AI59" s="11"/>
      <c r="AJ59" s="11"/>
      <c r="AK59" s="12"/>
      <c r="AL59" s="12"/>
      <c r="AM59" s="13"/>
      <c r="AN59" s="13">
        <v>1</v>
      </c>
      <c r="AO59" s="11"/>
      <c r="AP59" s="12"/>
      <c r="AQ59" s="12"/>
      <c r="AR59" s="12"/>
      <c r="AS59" s="11"/>
      <c r="AT59" s="13"/>
      <c r="AU59" s="13">
        <v>1</v>
      </c>
      <c r="AV59" s="11"/>
      <c r="AW59" s="12"/>
      <c r="AX59" s="12"/>
      <c r="AY59" s="12"/>
      <c r="AZ59" s="11"/>
      <c r="BA59" s="13"/>
      <c r="BB59" s="13">
        <v>1</v>
      </c>
      <c r="BC59" s="11"/>
      <c r="BD59" s="12"/>
      <c r="BE59" s="12"/>
      <c r="BF59" s="12"/>
      <c r="BG59" s="11"/>
      <c r="BH59" s="13"/>
      <c r="BI59" s="13"/>
      <c r="BJ59" s="11"/>
      <c r="BK59" s="12"/>
      <c r="BL59" s="12"/>
      <c r="BM59" s="12"/>
      <c r="BN59" s="11"/>
      <c r="BO59" s="13"/>
      <c r="BP59" s="379">
        <f t="shared" si="66"/>
        <v>3</v>
      </c>
      <c r="BQ59" s="390">
        <v>206148</v>
      </c>
      <c r="BR59" s="19">
        <v>0.75</v>
      </c>
      <c r="BS59" s="20">
        <f t="shared" si="67"/>
        <v>51537</v>
      </c>
      <c r="BT59" s="21">
        <f t="shared" si="68"/>
        <v>154611</v>
      </c>
      <c r="BU59" s="421">
        <f t="shared" si="69"/>
        <v>123688.8</v>
      </c>
      <c r="BV59" s="1"/>
      <c r="BW59" s="479">
        <v>2.99</v>
      </c>
      <c r="BX59" s="485">
        <f t="shared" si="70"/>
        <v>8.9700000000000006</v>
      </c>
      <c r="BY59" s="382">
        <f t="shared" si="71"/>
        <v>13789.163879598662</v>
      </c>
      <c r="BZ59" s="2"/>
      <c r="CA59" s="383" t="s">
        <v>232</v>
      </c>
      <c r="CB59" s="384">
        <f t="shared" ref="CB59:CB69" si="77">COUNTA(I59:AM59)</f>
        <v>0</v>
      </c>
      <c r="CC59" s="385">
        <f t="shared" ref="CC59:CC69" si="78">CB59*BS59*0.8</f>
        <v>0</v>
      </c>
      <c r="CD59" s="384">
        <f t="shared" ref="CD59:CD69" si="79">COUNTA(AN59:BO59)</f>
        <v>3</v>
      </c>
      <c r="CE59" s="385">
        <f t="shared" ref="CE59:CE69" si="80">CD59*BS59*0.8</f>
        <v>123688.8</v>
      </c>
      <c r="CF59" s="357" t="b">
        <f t="shared" si="76"/>
        <v>1</v>
      </c>
    </row>
    <row r="60" spans="1:84" s="388" customFormat="1" ht="13.95" customHeight="1" x14ac:dyDescent="0.25">
      <c r="A60" s="365"/>
      <c r="B60" s="376"/>
      <c r="C60" s="376"/>
      <c r="D60" s="377" t="s">
        <v>234</v>
      </c>
      <c r="E60" s="378" t="s">
        <v>203</v>
      </c>
      <c r="F60" s="378">
        <v>0.46875</v>
      </c>
      <c r="G60" s="378" t="s">
        <v>242</v>
      </c>
      <c r="H60" s="394">
        <v>60</v>
      </c>
      <c r="I60" s="11"/>
      <c r="J60" s="11"/>
      <c r="K60" s="13"/>
      <c r="L60" s="13"/>
      <c r="M60" s="11"/>
      <c r="N60" s="12"/>
      <c r="O60" s="12"/>
      <c r="P60" s="12"/>
      <c r="Q60" s="11"/>
      <c r="R60" s="13"/>
      <c r="S60" s="13"/>
      <c r="T60" s="11"/>
      <c r="U60" s="12"/>
      <c r="V60" s="12"/>
      <c r="W60" s="12"/>
      <c r="X60" s="11"/>
      <c r="Y60" s="13"/>
      <c r="Z60" s="13"/>
      <c r="AA60" s="11"/>
      <c r="AB60" s="12"/>
      <c r="AC60" s="12"/>
      <c r="AD60" s="12"/>
      <c r="AE60" s="11"/>
      <c r="AF60" s="13"/>
      <c r="AG60" s="13">
        <v>1</v>
      </c>
      <c r="AH60" s="11"/>
      <c r="AI60" s="11"/>
      <c r="AJ60" s="11"/>
      <c r="AK60" s="12"/>
      <c r="AL60" s="12"/>
      <c r="AM60" s="13"/>
      <c r="AN60" s="13"/>
      <c r="AO60" s="11"/>
      <c r="AP60" s="12"/>
      <c r="AQ60" s="12"/>
      <c r="AR60" s="12"/>
      <c r="AS60" s="11"/>
      <c r="AT60" s="13"/>
      <c r="AU60" s="13"/>
      <c r="AV60" s="11"/>
      <c r="AW60" s="12"/>
      <c r="AX60" s="12"/>
      <c r="AY60" s="12"/>
      <c r="AZ60" s="11"/>
      <c r="BA60" s="13"/>
      <c r="BB60" s="13"/>
      <c r="BC60" s="11"/>
      <c r="BD60" s="12"/>
      <c r="BE60" s="12"/>
      <c r="BF60" s="12"/>
      <c r="BG60" s="11"/>
      <c r="BH60" s="13"/>
      <c r="BI60" s="13"/>
      <c r="BJ60" s="11"/>
      <c r="BK60" s="12"/>
      <c r="BL60" s="12"/>
      <c r="BM60" s="12"/>
      <c r="BN60" s="11"/>
      <c r="BO60" s="13"/>
      <c r="BP60" s="379">
        <f t="shared" si="66"/>
        <v>1</v>
      </c>
      <c r="BQ60" s="390">
        <v>412296</v>
      </c>
      <c r="BR60" s="19">
        <v>0.75</v>
      </c>
      <c r="BS60" s="20">
        <f t="shared" si="67"/>
        <v>103074</v>
      </c>
      <c r="BT60" s="21">
        <f t="shared" si="68"/>
        <v>103074</v>
      </c>
      <c r="BU60" s="421">
        <f t="shared" si="69"/>
        <v>82459.200000000012</v>
      </c>
      <c r="BV60" s="1"/>
      <c r="BW60" s="479">
        <v>2.99</v>
      </c>
      <c r="BX60" s="485">
        <f t="shared" si="70"/>
        <v>2.99</v>
      </c>
      <c r="BY60" s="382">
        <f t="shared" si="71"/>
        <v>27578.327759197327</v>
      </c>
      <c r="BZ60" s="2"/>
      <c r="CA60" s="383" t="s">
        <v>232</v>
      </c>
      <c r="CB60" s="384">
        <f t="shared" si="77"/>
        <v>1</v>
      </c>
      <c r="CC60" s="385">
        <f t="shared" si="78"/>
        <v>82459.200000000012</v>
      </c>
      <c r="CD60" s="384">
        <f t="shared" si="79"/>
        <v>0</v>
      </c>
      <c r="CE60" s="385">
        <f t="shared" si="80"/>
        <v>0</v>
      </c>
      <c r="CF60" s="357" t="b">
        <f t="shared" si="76"/>
        <v>1</v>
      </c>
    </row>
    <row r="61" spans="1:84" s="388" customFormat="1" ht="13.95" customHeight="1" x14ac:dyDescent="0.25">
      <c r="A61" s="365"/>
      <c r="B61" s="376"/>
      <c r="C61" s="376"/>
      <c r="D61" s="377" t="s">
        <v>235</v>
      </c>
      <c r="E61" s="378" t="s">
        <v>201</v>
      </c>
      <c r="F61" s="378">
        <v>0.875</v>
      </c>
      <c r="G61" s="378" t="s">
        <v>243</v>
      </c>
      <c r="H61" s="394">
        <v>30</v>
      </c>
      <c r="I61" s="11"/>
      <c r="J61" s="11"/>
      <c r="K61" s="13"/>
      <c r="L61" s="13"/>
      <c r="M61" s="11"/>
      <c r="N61" s="12"/>
      <c r="O61" s="12"/>
      <c r="P61" s="12"/>
      <c r="Q61" s="11"/>
      <c r="R61" s="13"/>
      <c r="S61" s="13"/>
      <c r="T61" s="11"/>
      <c r="U61" s="12"/>
      <c r="V61" s="12"/>
      <c r="W61" s="12"/>
      <c r="X61" s="11"/>
      <c r="Y61" s="13"/>
      <c r="Z61" s="13"/>
      <c r="AA61" s="11"/>
      <c r="AB61" s="12"/>
      <c r="AC61" s="12"/>
      <c r="AD61" s="12"/>
      <c r="AE61" s="11"/>
      <c r="AF61" s="13"/>
      <c r="AG61" s="13"/>
      <c r="AH61" s="11">
        <v>1</v>
      </c>
      <c r="AI61" s="11"/>
      <c r="AJ61" s="11"/>
      <c r="AK61" s="12"/>
      <c r="AL61" s="12"/>
      <c r="AM61" s="13"/>
      <c r="AN61" s="13"/>
      <c r="AO61" s="11">
        <v>1</v>
      </c>
      <c r="AP61" s="12"/>
      <c r="AQ61" s="12"/>
      <c r="AR61" s="12"/>
      <c r="AS61" s="11"/>
      <c r="AT61" s="13"/>
      <c r="AU61" s="13"/>
      <c r="AV61" s="11">
        <v>1</v>
      </c>
      <c r="AW61" s="12"/>
      <c r="AX61" s="12"/>
      <c r="AY61" s="12"/>
      <c r="AZ61" s="11"/>
      <c r="BA61" s="13"/>
      <c r="BB61" s="13"/>
      <c r="BC61" s="11"/>
      <c r="BD61" s="12"/>
      <c r="BE61" s="12"/>
      <c r="BF61" s="12"/>
      <c r="BG61" s="11"/>
      <c r="BH61" s="13"/>
      <c r="BI61" s="13"/>
      <c r="BJ61" s="11"/>
      <c r="BK61" s="12"/>
      <c r="BL61" s="12"/>
      <c r="BM61" s="12"/>
      <c r="BN61" s="11"/>
      <c r="BO61" s="13"/>
      <c r="BP61" s="379">
        <f t="shared" si="66"/>
        <v>3</v>
      </c>
      <c r="BQ61" s="390">
        <v>249316</v>
      </c>
      <c r="BR61" s="19">
        <v>0.75</v>
      </c>
      <c r="BS61" s="20">
        <f t="shared" si="67"/>
        <v>62329</v>
      </c>
      <c r="BT61" s="21">
        <f t="shared" si="68"/>
        <v>186987</v>
      </c>
      <c r="BU61" s="421">
        <f t="shared" si="69"/>
        <v>149589.6</v>
      </c>
      <c r="BV61" s="1"/>
      <c r="BW61" s="479">
        <v>2.14</v>
      </c>
      <c r="BX61" s="485">
        <f t="shared" si="70"/>
        <v>6.42</v>
      </c>
      <c r="BY61" s="382">
        <f t="shared" si="71"/>
        <v>23300.560747663552</v>
      </c>
      <c r="BZ61" s="2"/>
      <c r="CA61" s="383" t="s">
        <v>232</v>
      </c>
      <c r="CB61" s="384">
        <f t="shared" si="77"/>
        <v>1</v>
      </c>
      <c r="CC61" s="385">
        <f t="shared" si="78"/>
        <v>49863.200000000004</v>
      </c>
      <c r="CD61" s="384">
        <f t="shared" si="79"/>
        <v>2</v>
      </c>
      <c r="CE61" s="385">
        <f t="shared" si="80"/>
        <v>99726.400000000009</v>
      </c>
      <c r="CF61" s="357" t="b">
        <f t="shared" si="76"/>
        <v>1</v>
      </c>
    </row>
    <row r="62" spans="1:84" s="388" customFormat="1" ht="13.95" customHeight="1" x14ac:dyDescent="0.25">
      <c r="A62" s="365"/>
      <c r="B62" s="376"/>
      <c r="C62" s="376"/>
      <c r="D62" s="389" t="s">
        <v>235</v>
      </c>
      <c r="E62" s="378" t="s">
        <v>201</v>
      </c>
      <c r="F62" s="378">
        <v>0.875</v>
      </c>
      <c r="G62" s="378" t="s">
        <v>243</v>
      </c>
      <c r="H62" s="394">
        <v>60</v>
      </c>
      <c r="I62" s="11"/>
      <c r="J62" s="11"/>
      <c r="K62" s="13"/>
      <c r="L62" s="13"/>
      <c r="M62" s="11"/>
      <c r="N62" s="12"/>
      <c r="O62" s="12"/>
      <c r="P62" s="12"/>
      <c r="Q62" s="11"/>
      <c r="R62" s="13"/>
      <c r="S62" s="13"/>
      <c r="T62" s="11"/>
      <c r="U62" s="12"/>
      <c r="V62" s="12"/>
      <c r="W62" s="12"/>
      <c r="X62" s="11"/>
      <c r="Y62" s="13"/>
      <c r="Z62" s="13"/>
      <c r="AA62" s="11"/>
      <c r="AB62" s="12"/>
      <c r="AC62" s="12"/>
      <c r="AD62" s="12">
        <v>1</v>
      </c>
      <c r="AE62" s="11"/>
      <c r="AF62" s="13"/>
      <c r="AG62" s="13"/>
      <c r="AH62" s="11"/>
      <c r="AI62" s="11"/>
      <c r="AJ62" s="11"/>
      <c r="AK62" s="12"/>
      <c r="AL62" s="12"/>
      <c r="AM62" s="13"/>
      <c r="AN62" s="13"/>
      <c r="AO62" s="11"/>
      <c r="AP62" s="12"/>
      <c r="AQ62" s="12"/>
      <c r="AR62" s="12"/>
      <c r="AS62" s="11"/>
      <c r="AT62" s="13"/>
      <c r="AU62" s="13"/>
      <c r="AV62" s="11"/>
      <c r="AW62" s="12"/>
      <c r="AX62" s="12"/>
      <c r="AY62" s="12"/>
      <c r="AZ62" s="11"/>
      <c r="BA62" s="13"/>
      <c r="BB62" s="13"/>
      <c r="BC62" s="11"/>
      <c r="BD62" s="12"/>
      <c r="BE62" s="12"/>
      <c r="BF62" s="12"/>
      <c r="BG62" s="11"/>
      <c r="BH62" s="13"/>
      <c r="BI62" s="13"/>
      <c r="BJ62" s="11"/>
      <c r="BK62" s="12"/>
      <c r="BL62" s="12"/>
      <c r="BM62" s="12"/>
      <c r="BN62" s="11"/>
      <c r="BO62" s="13"/>
      <c r="BP62" s="379">
        <f t="shared" si="66"/>
        <v>1</v>
      </c>
      <c r="BQ62" s="390">
        <v>498632</v>
      </c>
      <c r="BR62" s="19">
        <v>0.75</v>
      </c>
      <c r="BS62" s="20">
        <f t="shared" si="67"/>
        <v>124658</v>
      </c>
      <c r="BT62" s="21">
        <f t="shared" si="68"/>
        <v>124658</v>
      </c>
      <c r="BU62" s="421">
        <f t="shared" si="69"/>
        <v>99726.400000000009</v>
      </c>
      <c r="BV62" s="1"/>
      <c r="BW62" s="479">
        <v>2.14</v>
      </c>
      <c r="BX62" s="485">
        <f t="shared" si="70"/>
        <v>2.14</v>
      </c>
      <c r="BY62" s="382">
        <f t="shared" si="71"/>
        <v>46601.121495327105</v>
      </c>
      <c r="BZ62" s="2"/>
      <c r="CA62" s="383" t="s">
        <v>232</v>
      </c>
      <c r="CB62" s="384">
        <f t="shared" si="77"/>
        <v>1</v>
      </c>
      <c r="CC62" s="385">
        <f t="shared" si="78"/>
        <v>99726.400000000009</v>
      </c>
      <c r="CD62" s="384">
        <f t="shared" si="79"/>
        <v>0</v>
      </c>
      <c r="CE62" s="385">
        <f t="shared" si="80"/>
        <v>0</v>
      </c>
      <c r="CF62" s="357" t="b">
        <f t="shared" si="76"/>
        <v>1</v>
      </c>
    </row>
    <row r="63" spans="1:84" s="388" customFormat="1" ht="13.95" customHeight="1" x14ac:dyDescent="0.25">
      <c r="A63" s="365"/>
      <c r="B63" s="376"/>
      <c r="C63" s="376"/>
      <c r="D63" s="396" t="s">
        <v>236</v>
      </c>
      <c r="E63" s="378" t="s">
        <v>201</v>
      </c>
      <c r="F63" s="378">
        <v>0.73958333333333337</v>
      </c>
      <c r="G63" s="378" t="s">
        <v>244</v>
      </c>
      <c r="H63" s="394">
        <v>30</v>
      </c>
      <c r="I63" s="11"/>
      <c r="J63" s="11"/>
      <c r="K63" s="13"/>
      <c r="L63" s="13"/>
      <c r="M63" s="11"/>
      <c r="N63" s="12"/>
      <c r="O63" s="12"/>
      <c r="P63" s="12"/>
      <c r="Q63" s="11"/>
      <c r="R63" s="13"/>
      <c r="S63" s="13"/>
      <c r="T63" s="11"/>
      <c r="U63" s="12"/>
      <c r="V63" s="12"/>
      <c r="W63" s="12"/>
      <c r="X63" s="11"/>
      <c r="Y63" s="13"/>
      <c r="Z63" s="13"/>
      <c r="AA63" s="11"/>
      <c r="AB63" s="12"/>
      <c r="AC63" s="12"/>
      <c r="AD63" s="12"/>
      <c r="AE63" s="11"/>
      <c r="AF63" s="13"/>
      <c r="AG63" s="13"/>
      <c r="AH63" s="11"/>
      <c r="AI63" s="11"/>
      <c r="AJ63" s="11"/>
      <c r="AK63" s="12">
        <v>1</v>
      </c>
      <c r="AL63" s="12"/>
      <c r="AM63" s="13"/>
      <c r="AN63" s="13"/>
      <c r="AO63" s="11"/>
      <c r="AP63" s="12"/>
      <c r="AQ63" s="12"/>
      <c r="AR63" s="12">
        <v>1</v>
      </c>
      <c r="AS63" s="11"/>
      <c r="AT63" s="13"/>
      <c r="AU63" s="13"/>
      <c r="AV63" s="11"/>
      <c r="AW63" s="12"/>
      <c r="AX63" s="12"/>
      <c r="AY63" s="12">
        <v>1</v>
      </c>
      <c r="AZ63" s="11"/>
      <c r="BA63" s="13"/>
      <c r="BB63" s="13"/>
      <c r="BC63" s="11"/>
      <c r="BD63" s="12"/>
      <c r="BE63" s="12"/>
      <c r="BF63" s="12"/>
      <c r="BG63" s="11"/>
      <c r="BH63" s="13"/>
      <c r="BI63" s="13"/>
      <c r="BJ63" s="11"/>
      <c r="BK63" s="12"/>
      <c r="BL63" s="12"/>
      <c r="BM63" s="12"/>
      <c r="BN63" s="11"/>
      <c r="BO63" s="13"/>
      <c r="BP63" s="379">
        <f t="shared" si="66"/>
        <v>3</v>
      </c>
      <c r="BQ63" s="390">
        <v>149464</v>
      </c>
      <c r="BR63" s="19">
        <v>0.75</v>
      </c>
      <c r="BS63" s="20">
        <f t="shared" si="67"/>
        <v>37366</v>
      </c>
      <c r="BT63" s="21">
        <f t="shared" si="68"/>
        <v>112098</v>
      </c>
      <c r="BU63" s="421">
        <f t="shared" si="69"/>
        <v>89678.400000000009</v>
      </c>
      <c r="BV63" s="1"/>
      <c r="BW63" s="479">
        <v>1.08</v>
      </c>
      <c r="BX63" s="485">
        <f t="shared" si="70"/>
        <v>3.24</v>
      </c>
      <c r="BY63" s="382">
        <f t="shared" si="71"/>
        <v>27678.518518518518</v>
      </c>
      <c r="BZ63" s="2"/>
      <c r="CA63" s="383" t="s">
        <v>232</v>
      </c>
      <c r="CB63" s="384">
        <f t="shared" si="77"/>
        <v>1</v>
      </c>
      <c r="CC63" s="385">
        <f t="shared" si="78"/>
        <v>29892.800000000003</v>
      </c>
      <c r="CD63" s="384">
        <f t="shared" si="79"/>
        <v>2</v>
      </c>
      <c r="CE63" s="385">
        <f t="shared" si="80"/>
        <v>59785.600000000006</v>
      </c>
      <c r="CF63" s="357" t="b">
        <f t="shared" si="76"/>
        <v>1</v>
      </c>
    </row>
    <row r="64" spans="1:84" s="388" customFormat="1" ht="13.95" customHeight="1" x14ac:dyDescent="0.25">
      <c r="A64" s="365"/>
      <c r="B64" s="376"/>
      <c r="C64" s="376"/>
      <c r="D64" s="377" t="s">
        <v>237</v>
      </c>
      <c r="E64" s="378" t="s">
        <v>201</v>
      </c>
      <c r="F64" s="378">
        <v>0.60416666666666663</v>
      </c>
      <c r="G64" s="378" t="s">
        <v>245</v>
      </c>
      <c r="H64" s="394">
        <v>30</v>
      </c>
      <c r="I64" s="11"/>
      <c r="J64" s="11"/>
      <c r="K64" s="13"/>
      <c r="L64" s="13"/>
      <c r="M64" s="11"/>
      <c r="N64" s="12"/>
      <c r="O64" s="12"/>
      <c r="P64" s="12"/>
      <c r="Q64" s="11"/>
      <c r="R64" s="13"/>
      <c r="S64" s="13"/>
      <c r="T64" s="11"/>
      <c r="U64" s="12"/>
      <c r="V64" s="12"/>
      <c r="W64" s="12"/>
      <c r="X64" s="11"/>
      <c r="Y64" s="13"/>
      <c r="Z64" s="13"/>
      <c r="AA64" s="11"/>
      <c r="AB64" s="12"/>
      <c r="AC64" s="12"/>
      <c r="AD64" s="12"/>
      <c r="AE64" s="11"/>
      <c r="AF64" s="13"/>
      <c r="AG64" s="13"/>
      <c r="AH64" s="11"/>
      <c r="AI64" s="11"/>
      <c r="AJ64" s="11">
        <v>1</v>
      </c>
      <c r="AK64" s="12"/>
      <c r="AL64" s="12"/>
      <c r="AM64" s="13"/>
      <c r="AN64" s="13"/>
      <c r="AO64" s="11"/>
      <c r="AP64" s="12"/>
      <c r="AQ64" s="12">
        <v>1</v>
      </c>
      <c r="AR64" s="12"/>
      <c r="AS64" s="11"/>
      <c r="AT64" s="13"/>
      <c r="AU64" s="13"/>
      <c r="AV64" s="11"/>
      <c r="AW64" s="12"/>
      <c r="AX64" s="12">
        <v>1</v>
      </c>
      <c r="AY64" s="12"/>
      <c r="AZ64" s="11"/>
      <c r="BA64" s="13"/>
      <c r="BB64" s="13"/>
      <c r="BC64" s="11"/>
      <c r="BD64" s="12"/>
      <c r="BE64" s="12"/>
      <c r="BF64" s="12"/>
      <c r="BG64" s="11"/>
      <c r="BH64" s="13"/>
      <c r="BI64" s="13"/>
      <c r="BJ64" s="11"/>
      <c r="BK64" s="12"/>
      <c r="BL64" s="12"/>
      <c r="BM64" s="12"/>
      <c r="BN64" s="11"/>
      <c r="BO64" s="13"/>
      <c r="BP64" s="379">
        <f t="shared" si="66"/>
        <v>3</v>
      </c>
      <c r="BQ64" s="390">
        <v>128521</v>
      </c>
      <c r="BR64" s="19">
        <v>0.75</v>
      </c>
      <c r="BS64" s="20">
        <f t="shared" si="67"/>
        <v>32130.25</v>
      </c>
      <c r="BT64" s="21">
        <f t="shared" si="68"/>
        <v>96390.75</v>
      </c>
      <c r="BU64" s="421">
        <f t="shared" si="69"/>
        <v>77112.600000000006</v>
      </c>
      <c r="BV64" s="1"/>
      <c r="BW64" s="479">
        <v>1.58</v>
      </c>
      <c r="BX64" s="485">
        <f t="shared" si="70"/>
        <v>4.74</v>
      </c>
      <c r="BY64" s="382">
        <f t="shared" si="71"/>
        <v>16268.481012658229</v>
      </c>
      <c r="BZ64" s="2"/>
      <c r="CA64" s="383" t="s">
        <v>232</v>
      </c>
      <c r="CB64" s="384">
        <f t="shared" si="77"/>
        <v>1</v>
      </c>
      <c r="CC64" s="385">
        <f t="shared" si="78"/>
        <v>25704.2</v>
      </c>
      <c r="CD64" s="384">
        <f t="shared" si="79"/>
        <v>2</v>
      </c>
      <c r="CE64" s="385">
        <f t="shared" si="80"/>
        <v>51408.4</v>
      </c>
      <c r="CF64" s="357" t="b">
        <f t="shared" si="76"/>
        <v>1</v>
      </c>
    </row>
    <row r="65" spans="1:107" s="388" customFormat="1" ht="13.95" customHeight="1" x14ac:dyDescent="0.25">
      <c r="A65" s="365"/>
      <c r="B65" s="376"/>
      <c r="C65" s="376"/>
      <c r="D65" s="389" t="s">
        <v>238</v>
      </c>
      <c r="E65" s="378" t="s">
        <v>201</v>
      </c>
      <c r="F65" s="378">
        <v>0.35416666666666669</v>
      </c>
      <c r="G65" s="378" t="s">
        <v>212</v>
      </c>
      <c r="H65" s="394">
        <v>30</v>
      </c>
      <c r="I65" s="11"/>
      <c r="J65" s="11"/>
      <c r="K65" s="13"/>
      <c r="L65" s="13"/>
      <c r="M65" s="11"/>
      <c r="N65" s="12"/>
      <c r="O65" s="12"/>
      <c r="P65" s="12"/>
      <c r="Q65" s="11"/>
      <c r="R65" s="13"/>
      <c r="S65" s="13"/>
      <c r="T65" s="11"/>
      <c r="U65" s="12"/>
      <c r="V65" s="12"/>
      <c r="W65" s="12"/>
      <c r="X65" s="11"/>
      <c r="Y65" s="13"/>
      <c r="Z65" s="13"/>
      <c r="AA65" s="11"/>
      <c r="AB65" s="12"/>
      <c r="AC65" s="12"/>
      <c r="AD65" s="12"/>
      <c r="AE65" s="11"/>
      <c r="AF65" s="13"/>
      <c r="AG65" s="13"/>
      <c r="AH65" s="11"/>
      <c r="AI65" s="11">
        <v>1</v>
      </c>
      <c r="AJ65" s="11"/>
      <c r="AK65" s="12"/>
      <c r="AL65" s="12"/>
      <c r="AM65" s="13"/>
      <c r="AN65" s="13"/>
      <c r="AO65" s="11"/>
      <c r="AP65" s="12">
        <v>1</v>
      </c>
      <c r="AQ65" s="12"/>
      <c r="AR65" s="12"/>
      <c r="AS65" s="11"/>
      <c r="AT65" s="13"/>
      <c r="AU65" s="13"/>
      <c r="AV65" s="11"/>
      <c r="AW65" s="12">
        <v>1</v>
      </c>
      <c r="AX65" s="12"/>
      <c r="AY65" s="12"/>
      <c r="AZ65" s="11"/>
      <c r="BA65" s="13"/>
      <c r="BB65" s="13"/>
      <c r="BC65" s="11"/>
      <c r="BD65" s="12"/>
      <c r="BE65" s="12"/>
      <c r="BF65" s="12"/>
      <c r="BG65" s="11"/>
      <c r="BH65" s="13"/>
      <c r="BI65" s="13"/>
      <c r="BJ65" s="11"/>
      <c r="BK65" s="12"/>
      <c r="BL65" s="12"/>
      <c r="BM65" s="12"/>
      <c r="BN65" s="11"/>
      <c r="BO65" s="13"/>
      <c r="BP65" s="379">
        <f t="shared" si="66"/>
        <v>3</v>
      </c>
      <c r="BQ65" s="390">
        <v>73583</v>
      </c>
      <c r="BR65" s="19">
        <v>0.75</v>
      </c>
      <c r="BS65" s="20">
        <f t="shared" si="67"/>
        <v>18395.75</v>
      </c>
      <c r="BT65" s="21">
        <f t="shared" si="68"/>
        <v>55187.25</v>
      </c>
      <c r="BU65" s="421">
        <f t="shared" si="69"/>
        <v>44149.8</v>
      </c>
      <c r="BV65" s="1"/>
      <c r="BW65" s="479">
        <v>1.38</v>
      </c>
      <c r="BX65" s="485">
        <f t="shared" si="70"/>
        <v>4.1399999999999997</v>
      </c>
      <c r="BY65" s="382">
        <f t="shared" si="71"/>
        <v>10664.202898550726</v>
      </c>
      <c r="BZ65" s="2"/>
      <c r="CA65" s="383" t="s">
        <v>232</v>
      </c>
      <c r="CB65" s="384">
        <f t="shared" si="77"/>
        <v>1</v>
      </c>
      <c r="CC65" s="385">
        <f t="shared" si="78"/>
        <v>14716.6</v>
      </c>
      <c r="CD65" s="384">
        <f t="shared" si="79"/>
        <v>2</v>
      </c>
      <c r="CE65" s="385">
        <f t="shared" si="80"/>
        <v>29433.200000000001</v>
      </c>
      <c r="CF65" s="357" t="b">
        <f t="shared" si="76"/>
        <v>1</v>
      </c>
    </row>
    <row r="66" spans="1:107" s="388" customFormat="1" ht="13.95" customHeight="1" x14ac:dyDescent="0.25">
      <c r="A66" s="365"/>
      <c r="B66" s="376"/>
      <c r="C66" s="376"/>
      <c r="D66" s="396" t="s">
        <v>239</v>
      </c>
      <c r="E66" s="378" t="s">
        <v>201</v>
      </c>
      <c r="F66" s="378">
        <v>0.3125</v>
      </c>
      <c r="G66" s="378" t="s">
        <v>246</v>
      </c>
      <c r="H66" s="394">
        <v>30</v>
      </c>
      <c r="I66" s="11"/>
      <c r="J66" s="11"/>
      <c r="K66" s="13"/>
      <c r="L66" s="13"/>
      <c r="M66" s="11"/>
      <c r="N66" s="12"/>
      <c r="O66" s="12"/>
      <c r="P66" s="12"/>
      <c r="Q66" s="11"/>
      <c r="R66" s="13"/>
      <c r="S66" s="13"/>
      <c r="T66" s="11"/>
      <c r="U66" s="12"/>
      <c r="V66" s="12"/>
      <c r="W66" s="12"/>
      <c r="X66" s="11"/>
      <c r="Y66" s="13"/>
      <c r="Z66" s="13"/>
      <c r="AA66" s="11"/>
      <c r="AB66" s="12"/>
      <c r="AC66" s="12"/>
      <c r="AD66" s="12"/>
      <c r="AE66" s="11"/>
      <c r="AF66" s="13"/>
      <c r="AG66" s="13"/>
      <c r="AH66" s="11"/>
      <c r="AI66" s="11"/>
      <c r="AJ66" s="11"/>
      <c r="AK66" s="12"/>
      <c r="AL66" s="12">
        <v>1</v>
      </c>
      <c r="AM66" s="13"/>
      <c r="AN66" s="13"/>
      <c r="AO66" s="11"/>
      <c r="AP66" s="12"/>
      <c r="AQ66" s="12"/>
      <c r="AR66" s="12"/>
      <c r="AS66" s="11">
        <v>1</v>
      </c>
      <c r="AT66" s="13"/>
      <c r="AU66" s="13"/>
      <c r="AV66" s="11"/>
      <c r="AW66" s="12"/>
      <c r="AX66" s="12"/>
      <c r="AY66" s="12"/>
      <c r="AZ66" s="11">
        <v>1</v>
      </c>
      <c r="BA66" s="13"/>
      <c r="BB66" s="13"/>
      <c r="BC66" s="11"/>
      <c r="BD66" s="12"/>
      <c r="BE66" s="12"/>
      <c r="BF66" s="12"/>
      <c r="BG66" s="11"/>
      <c r="BH66" s="13"/>
      <c r="BI66" s="13"/>
      <c r="BJ66" s="11"/>
      <c r="BK66" s="12"/>
      <c r="BL66" s="12"/>
      <c r="BM66" s="12"/>
      <c r="BN66" s="11"/>
      <c r="BO66" s="13"/>
      <c r="BP66" s="379">
        <f t="shared" si="66"/>
        <v>3</v>
      </c>
      <c r="BQ66" s="390">
        <v>73583</v>
      </c>
      <c r="BR66" s="19">
        <v>0.75</v>
      </c>
      <c r="BS66" s="20">
        <f t="shared" si="67"/>
        <v>18395.75</v>
      </c>
      <c r="BT66" s="21">
        <f t="shared" si="68"/>
        <v>55187.25</v>
      </c>
      <c r="BU66" s="421">
        <f t="shared" si="69"/>
        <v>44149.8</v>
      </c>
      <c r="BV66" s="1"/>
      <c r="BW66" s="479">
        <v>1.25</v>
      </c>
      <c r="BX66" s="485">
        <f t="shared" si="70"/>
        <v>3.75</v>
      </c>
      <c r="BY66" s="382">
        <f t="shared" si="71"/>
        <v>11773.28</v>
      </c>
      <c r="BZ66" s="2"/>
      <c r="CA66" s="383" t="s">
        <v>232</v>
      </c>
      <c r="CB66" s="384">
        <f t="shared" si="77"/>
        <v>1</v>
      </c>
      <c r="CC66" s="385">
        <f t="shared" si="78"/>
        <v>14716.6</v>
      </c>
      <c r="CD66" s="384">
        <f t="shared" si="79"/>
        <v>2</v>
      </c>
      <c r="CE66" s="385">
        <f t="shared" si="80"/>
        <v>29433.200000000001</v>
      </c>
      <c r="CF66" s="357" t="b">
        <f t="shared" si="76"/>
        <v>1</v>
      </c>
    </row>
    <row r="67" spans="1:107" s="388" customFormat="1" ht="13.95" customHeight="1" x14ac:dyDescent="0.25">
      <c r="A67" s="365"/>
      <c r="B67" s="376"/>
      <c r="C67" s="376"/>
      <c r="D67" s="377" t="s">
        <v>239</v>
      </c>
      <c r="E67" s="378" t="s">
        <v>201</v>
      </c>
      <c r="F67" s="378">
        <v>0.3125</v>
      </c>
      <c r="G67" s="378" t="s">
        <v>246</v>
      </c>
      <c r="H67" s="394">
        <v>60</v>
      </c>
      <c r="I67" s="11"/>
      <c r="J67" s="11"/>
      <c r="K67" s="13"/>
      <c r="L67" s="13"/>
      <c r="M67" s="11"/>
      <c r="N67" s="12"/>
      <c r="O67" s="12"/>
      <c r="P67" s="12"/>
      <c r="Q67" s="11"/>
      <c r="R67" s="13"/>
      <c r="S67" s="13"/>
      <c r="T67" s="11"/>
      <c r="U67" s="12"/>
      <c r="V67" s="12"/>
      <c r="W67" s="12"/>
      <c r="X67" s="11"/>
      <c r="Y67" s="13"/>
      <c r="Z67" s="13"/>
      <c r="AA67" s="11"/>
      <c r="AB67" s="12"/>
      <c r="AC67" s="12"/>
      <c r="AD67" s="12"/>
      <c r="AE67" s="11">
        <v>1</v>
      </c>
      <c r="AF67" s="13"/>
      <c r="AG67" s="13"/>
      <c r="AH67" s="11"/>
      <c r="AI67" s="11"/>
      <c r="AJ67" s="11"/>
      <c r="AK67" s="12"/>
      <c r="AL67" s="12"/>
      <c r="AM67" s="13"/>
      <c r="AN67" s="13"/>
      <c r="AO67" s="11"/>
      <c r="AP67" s="12"/>
      <c r="AQ67" s="12"/>
      <c r="AR67" s="12"/>
      <c r="AS67" s="11"/>
      <c r="AT67" s="13"/>
      <c r="AU67" s="13"/>
      <c r="AV67" s="11"/>
      <c r="AW67" s="12"/>
      <c r="AX67" s="12"/>
      <c r="AY67" s="12"/>
      <c r="AZ67" s="11"/>
      <c r="BA67" s="13"/>
      <c r="BB67" s="13"/>
      <c r="BC67" s="11"/>
      <c r="BD67" s="12"/>
      <c r="BE67" s="12"/>
      <c r="BF67" s="12"/>
      <c r="BG67" s="11"/>
      <c r="BH67" s="13"/>
      <c r="BI67" s="13"/>
      <c r="BJ67" s="11"/>
      <c r="BK67" s="12"/>
      <c r="BL67" s="12"/>
      <c r="BM67" s="12"/>
      <c r="BN67" s="11"/>
      <c r="BO67" s="13"/>
      <c r="BP67" s="379">
        <f t="shared" si="66"/>
        <v>1</v>
      </c>
      <c r="BQ67" s="390">
        <v>147166</v>
      </c>
      <c r="BR67" s="19">
        <v>0.75</v>
      </c>
      <c r="BS67" s="20">
        <f t="shared" si="67"/>
        <v>36791.5</v>
      </c>
      <c r="BT67" s="21">
        <f t="shared" si="68"/>
        <v>36791.5</v>
      </c>
      <c r="BU67" s="421">
        <f t="shared" si="69"/>
        <v>29433.200000000001</v>
      </c>
      <c r="BV67" s="1"/>
      <c r="BW67" s="479">
        <v>1.25</v>
      </c>
      <c r="BX67" s="485">
        <f t="shared" si="70"/>
        <v>1.25</v>
      </c>
      <c r="BY67" s="382">
        <f t="shared" si="71"/>
        <v>23546.560000000001</v>
      </c>
      <c r="BZ67" s="2"/>
      <c r="CA67" s="383" t="s">
        <v>232</v>
      </c>
      <c r="CB67" s="384">
        <f t="shared" si="77"/>
        <v>1</v>
      </c>
      <c r="CC67" s="385">
        <f t="shared" si="78"/>
        <v>29433.200000000001</v>
      </c>
      <c r="CD67" s="384">
        <f t="shared" si="79"/>
        <v>0</v>
      </c>
      <c r="CE67" s="385">
        <f t="shared" si="80"/>
        <v>0</v>
      </c>
      <c r="CF67" s="357" t="b">
        <f t="shared" si="76"/>
        <v>1</v>
      </c>
    </row>
    <row r="68" spans="1:107" s="388" customFormat="1" ht="13.95" customHeight="1" x14ac:dyDescent="0.25">
      <c r="A68" s="365"/>
      <c r="B68" s="376"/>
      <c r="C68" s="376"/>
      <c r="D68" s="377" t="s">
        <v>240</v>
      </c>
      <c r="E68" s="378" t="s">
        <v>201</v>
      </c>
      <c r="F68" s="378">
        <v>0.45833333333333331</v>
      </c>
      <c r="G68" s="378" t="s">
        <v>247</v>
      </c>
      <c r="H68" s="394">
        <v>30</v>
      </c>
      <c r="I68" s="11"/>
      <c r="J68" s="11"/>
      <c r="K68" s="13"/>
      <c r="L68" s="13"/>
      <c r="M68" s="11"/>
      <c r="N68" s="12"/>
      <c r="O68" s="12"/>
      <c r="P68" s="12"/>
      <c r="Q68" s="11"/>
      <c r="R68" s="13"/>
      <c r="S68" s="13"/>
      <c r="T68" s="11"/>
      <c r="U68" s="12"/>
      <c r="V68" s="12"/>
      <c r="W68" s="12"/>
      <c r="X68" s="11"/>
      <c r="Y68" s="13"/>
      <c r="Z68" s="13"/>
      <c r="AA68" s="11"/>
      <c r="AB68" s="12"/>
      <c r="AC68" s="12"/>
      <c r="AD68" s="12"/>
      <c r="AE68" s="11"/>
      <c r="AF68" s="13"/>
      <c r="AG68" s="13"/>
      <c r="AH68" s="11"/>
      <c r="AI68" s="11"/>
      <c r="AJ68" s="11"/>
      <c r="AK68" s="12"/>
      <c r="AL68" s="12"/>
      <c r="AM68" s="13">
        <v>1</v>
      </c>
      <c r="AN68" s="13"/>
      <c r="AO68" s="11"/>
      <c r="AP68" s="12"/>
      <c r="AQ68" s="12"/>
      <c r="AR68" s="12"/>
      <c r="AS68" s="11"/>
      <c r="AT68" s="13">
        <v>1</v>
      </c>
      <c r="AU68" s="13"/>
      <c r="AV68" s="11"/>
      <c r="AW68" s="12"/>
      <c r="AX68" s="12"/>
      <c r="AY68" s="12"/>
      <c r="AZ68" s="11"/>
      <c r="BA68" s="13">
        <v>1</v>
      </c>
      <c r="BB68" s="13"/>
      <c r="BC68" s="11"/>
      <c r="BD68" s="12"/>
      <c r="BE68" s="12"/>
      <c r="BF68" s="12"/>
      <c r="BG68" s="11"/>
      <c r="BH68" s="13"/>
      <c r="BI68" s="13"/>
      <c r="BJ68" s="11"/>
      <c r="BK68" s="12"/>
      <c r="BL68" s="12"/>
      <c r="BM68" s="12"/>
      <c r="BN68" s="11"/>
      <c r="BO68" s="13"/>
      <c r="BP68" s="379">
        <f t="shared" si="66"/>
        <v>3</v>
      </c>
      <c r="BQ68" s="390">
        <v>73583</v>
      </c>
      <c r="BR68" s="19">
        <v>0.75</v>
      </c>
      <c r="BS68" s="20">
        <f t="shared" si="67"/>
        <v>18395.75</v>
      </c>
      <c r="BT68" s="21">
        <f t="shared" si="68"/>
        <v>55187.25</v>
      </c>
      <c r="BU68" s="421">
        <f t="shared" si="69"/>
        <v>44149.8</v>
      </c>
      <c r="BV68" s="1"/>
      <c r="BW68" s="479">
        <v>1.17</v>
      </c>
      <c r="BX68" s="485">
        <f t="shared" si="70"/>
        <v>3.51</v>
      </c>
      <c r="BY68" s="382">
        <f t="shared" si="71"/>
        <v>12578.2905982906</v>
      </c>
      <c r="BZ68" s="2"/>
      <c r="CA68" s="383" t="s">
        <v>232</v>
      </c>
      <c r="CB68" s="384">
        <f t="shared" si="77"/>
        <v>1</v>
      </c>
      <c r="CC68" s="385">
        <f t="shared" si="78"/>
        <v>14716.6</v>
      </c>
      <c r="CD68" s="384">
        <f t="shared" si="79"/>
        <v>2</v>
      </c>
      <c r="CE68" s="385">
        <f t="shared" si="80"/>
        <v>29433.200000000001</v>
      </c>
      <c r="CF68" s="357" t="b">
        <f t="shared" si="76"/>
        <v>1</v>
      </c>
    </row>
    <row r="69" spans="1:107" s="388" customFormat="1" ht="13.95" customHeight="1" x14ac:dyDescent="0.25">
      <c r="A69" s="365"/>
      <c r="B69" s="376"/>
      <c r="C69" s="376"/>
      <c r="D69" s="389" t="s">
        <v>240</v>
      </c>
      <c r="E69" s="378" t="s">
        <v>201</v>
      </c>
      <c r="F69" s="378">
        <v>0.45833333333333331</v>
      </c>
      <c r="G69" s="378" t="s">
        <v>247</v>
      </c>
      <c r="H69" s="394">
        <v>60</v>
      </c>
      <c r="I69" s="11"/>
      <c r="J69" s="11"/>
      <c r="K69" s="13"/>
      <c r="L69" s="13"/>
      <c r="M69" s="11"/>
      <c r="N69" s="12"/>
      <c r="O69" s="12"/>
      <c r="P69" s="12"/>
      <c r="Q69" s="11"/>
      <c r="R69" s="13"/>
      <c r="S69" s="13"/>
      <c r="T69" s="11"/>
      <c r="U69" s="12"/>
      <c r="V69" s="12"/>
      <c r="W69" s="12"/>
      <c r="X69" s="11"/>
      <c r="Y69" s="13"/>
      <c r="Z69" s="13"/>
      <c r="AA69" s="11"/>
      <c r="AB69" s="12"/>
      <c r="AC69" s="12"/>
      <c r="AD69" s="12"/>
      <c r="AE69" s="11"/>
      <c r="AF69" s="13">
        <v>1</v>
      </c>
      <c r="AG69" s="13"/>
      <c r="AH69" s="11"/>
      <c r="AI69" s="11"/>
      <c r="AJ69" s="11"/>
      <c r="AK69" s="12"/>
      <c r="AL69" s="12"/>
      <c r="AM69" s="13"/>
      <c r="AN69" s="13"/>
      <c r="AO69" s="11"/>
      <c r="AP69" s="12"/>
      <c r="AQ69" s="12"/>
      <c r="AR69" s="12"/>
      <c r="AS69" s="11"/>
      <c r="AT69" s="13"/>
      <c r="AU69" s="13"/>
      <c r="AV69" s="11"/>
      <c r="AW69" s="12"/>
      <c r="AX69" s="12"/>
      <c r="AY69" s="12"/>
      <c r="AZ69" s="11"/>
      <c r="BA69" s="13"/>
      <c r="BB69" s="13"/>
      <c r="BC69" s="11"/>
      <c r="BD69" s="12"/>
      <c r="BE69" s="12"/>
      <c r="BF69" s="12"/>
      <c r="BG69" s="11"/>
      <c r="BH69" s="13"/>
      <c r="BI69" s="13"/>
      <c r="BJ69" s="11"/>
      <c r="BK69" s="12"/>
      <c r="BL69" s="12"/>
      <c r="BM69" s="12"/>
      <c r="BN69" s="11"/>
      <c r="BO69" s="13"/>
      <c r="BP69" s="379">
        <f t="shared" si="66"/>
        <v>1</v>
      </c>
      <c r="BQ69" s="390">
        <v>147166</v>
      </c>
      <c r="BR69" s="19">
        <v>0.75</v>
      </c>
      <c r="BS69" s="20">
        <f t="shared" si="67"/>
        <v>36791.5</v>
      </c>
      <c r="BT69" s="21">
        <f t="shared" si="68"/>
        <v>36791.5</v>
      </c>
      <c r="BU69" s="421">
        <f t="shared" si="69"/>
        <v>29433.200000000001</v>
      </c>
      <c r="BV69" s="1"/>
      <c r="BW69" s="479">
        <v>1.17</v>
      </c>
      <c r="BX69" s="485">
        <f t="shared" si="70"/>
        <v>1.17</v>
      </c>
      <c r="BY69" s="382">
        <f t="shared" si="71"/>
        <v>25156.581196581199</v>
      </c>
      <c r="BZ69" s="2"/>
      <c r="CA69" s="383" t="s">
        <v>232</v>
      </c>
      <c r="CB69" s="384">
        <f t="shared" si="77"/>
        <v>1</v>
      </c>
      <c r="CC69" s="385">
        <f t="shared" si="78"/>
        <v>29433.200000000001</v>
      </c>
      <c r="CD69" s="384">
        <f t="shared" si="79"/>
        <v>0</v>
      </c>
      <c r="CE69" s="385">
        <f t="shared" si="80"/>
        <v>0</v>
      </c>
      <c r="CF69" s="357" t="b">
        <f t="shared" si="76"/>
        <v>1</v>
      </c>
    </row>
    <row r="70" spans="1:107" s="388" customFormat="1" ht="13.95" customHeight="1" x14ac:dyDescent="0.25">
      <c r="A70" s="365"/>
      <c r="B70" s="376"/>
      <c r="C70" s="376"/>
      <c r="D70" s="396"/>
      <c r="E70" s="378"/>
      <c r="F70" s="378"/>
      <c r="G70" s="378"/>
      <c r="H70" s="394"/>
      <c r="I70" s="11"/>
      <c r="J70" s="11"/>
      <c r="K70" s="13"/>
      <c r="L70" s="13"/>
      <c r="M70" s="11"/>
      <c r="N70" s="12"/>
      <c r="O70" s="12"/>
      <c r="P70" s="12"/>
      <c r="Q70" s="11"/>
      <c r="R70" s="13"/>
      <c r="S70" s="13"/>
      <c r="T70" s="11"/>
      <c r="U70" s="12"/>
      <c r="V70" s="12"/>
      <c r="W70" s="12"/>
      <c r="X70" s="11"/>
      <c r="Y70" s="13"/>
      <c r="Z70" s="13"/>
      <c r="AA70" s="11"/>
      <c r="AB70" s="12"/>
      <c r="AC70" s="12"/>
      <c r="AD70" s="12"/>
      <c r="AE70" s="11"/>
      <c r="AF70" s="13"/>
      <c r="AG70" s="13"/>
      <c r="AH70" s="11"/>
      <c r="AI70" s="11"/>
      <c r="AJ70" s="11"/>
      <c r="AK70" s="12"/>
      <c r="AL70" s="12"/>
      <c r="AM70" s="13"/>
      <c r="AN70" s="13"/>
      <c r="AO70" s="11"/>
      <c r="AP70" s="12"/>
      <c r="AQ70" s="12"/>
      <c r="AR70" s="12"/>
      <c r="AS70" s="11"/>
      <c r="AT70" s="13"/>
      <c r="AU70" s="13"/>
      <c r="AV70" s="11"/>
      <c r="AW70" s="12"/>
      <c r="AX70" s="12"/>
      <c r="AY70" s="12"/>
      <c r="AZ70" s="11"/>
      <c r="BA70" s="13"/>
      <c r="BB70" s="13"/>
      <c r="BC70" s="11"/>
      <c r="BD70" s="12"/>
      <c r="BE70" s="12"/>
      <c r="BF70" s="12"/>
      <c r="BG70" s="11"/>
      <c r="BH70" s="13"/>
      <c r="BI70" s="13"/>
      <c r="BJ70" s="11"/>
      <c r="BK70" s="12"/>
      <c r="BL70" s="12"/>
      <c r="BM70" s="12"/>
      <c r="BN70" s="11"/>
      <c r="BO70" s="13"/>
      <c r="BP70" s="379"/>
      <c r="BQ70" s="15"/>
      <c r="BR70" s="386"/>
      <c r="BS70" s="15"/>
      <c r="BT70" s="22"/>
      <c r="BU70" s="22"/>
      <c r="BV70" s="1"/>
      <c r="BW70" s="487"/>
      <c r="BX70" s="482"/>
      <c r="BY70" s="483"/>
      <c r="BZ70" s="2"/>
      <c r="CA70" s="424" t="s">
        <v>142</v>
      </c>
      <c r="CB70" s="425">
        <f>SUM(CB58:CB69)</f>
        <v>11</v>
      </c>
      <c r="CC70" s="426">
        <f>SUM(CC58:CC69)</f>
        <v>408513.19999999995</v>
      </c>
      <c r="CD70" s="425">
        <f>SUM(CD58:CD69)</f>
        <v>17</v>
      </c>
      <c r="CE70" s="426">
        <f>SUM(CE58:CE69)</f>
        <v>458611.20000000013</v>
      </c>
      <c r="CF70" s="357"/>
    </row>
    <row r="71" spans="1:107" ht="3.75" customHeight="1" x14ac:dyDescent="0.25">
      <c r="A71" s="365"/>
      <c r="B71" s="397"/>
      <c r="C71" s="398"/>
      <c r="D71" s="398"/>
      <c r="E71" s="398"/>
      <c r="F71" s="398"/>
      <c r="G71" s="398"/>
      <c r="H71" s="398"/>
      <c r="I71" s="398"/>
      <c r="J71" s="398"/>
      <c r="K71" s="398"/>
      <c r="L71" s="398"/>
      <c r="M71" s="398"/>
      <c r="N71" s="398"/>
      <c r="O71" s="398"/>
      <c r="P71" s="398"/>
      <c r="Q71" s="398"/>
      <c r="R71" s="398"/>
      <c r="S71" s="398"/>
      <c r="T71" s="398"/>
      <c r="U71" s="398"/>
      <c r="V71" s="398"/>
      <c r="W71" s="398"/>
      <c r="X71" s="398"/>
      <c r="Y71" s="398"/>
      <c r="Z71" s="398"/>
      <c r="AA71" s="398"/>
      <c r="AB71" s="398"/>
      <c r="AC71" s="398"/>
      <c r="AD71" s="398"/>
      <c r="AE71" s="398"/>
      <c r="AF71" s="13"/>
      <c r="AG71" s="13"/>
      <c r="AH71" s="398"/>
      <c r="AI71" s="398"/>
      <c r="AJ71" s="398"/>
      <c r="AK71" s="398"/>
      <c r="AL71" s="398"/>
      <c r="AM71" s="13"/>
      <c r="AN71" s="398"/>
      <c r="AO71" s="398"/>
      <c r="AP71" s="398"/>
      <c r="AQ71" s="398"/>
      <c r="AR71" s="398"/>
      <c r="AS71" s="398"/>
      <c r="AT71" s="398"/>
      <c r="AU71" s="398"/>
      <c r="AV71" s="398"/>
      <c r="AW71" s="398"/>
      <c r="AX71" s="398"/>
      <c r="AY71" s="398"/>
      <c r="AZ71" s="398"/>
      <c r="BA71" s="398"/>
      <c r="BB71" s="398"/>
      <c r="BC71" s="398"/>
      <c r="BD71" s="398"/>
      <c r="BE71" s="398"/>
      <c r="BF71" s="398"/>
      <c r="BG71" s="398"/>
      <c r="BH71" s="398"/>
      <c r="BI71" s="398"/>
      <c r="BJ71" s="398"/>
      <c r="BK71" s="13"/>
      <c r="BL71" s="13"/>
      <c r="BM71" s="398"/>
      <c r="BN71" s="398"/>
      <c r="BO71" s="398"/>
      <c r="BP71" s="398"/>
      <c r="BQ71" s="398"/>
      <c r="BR71" s="398"/>
      <c r="BS71" s="398"/>
      <c r="BT71" s="23"/>
      <c r="BU71" s="24"/>
      <c r="BY71" s="399"/>
      <c r="CA71" s="400"/>
      <c r="CB71" s="401"/>
      <c r="CC71" s="402"/>
      <c r="CD71" s="401"/>
      <c r="CE71" s="402"/>
    </row>
    <row r="72" spans="1:107" x14ac:dyDescent="0.25">
      <c r="A72" s="2"/>
      <c r="B72" s="25" t="s">
        <v>189</v>
      </c>
      <c r="C72" s="403"/>
      <c r="D72" s="403"/>
      <c r="E72" s="403"/>
      <c r="F72" s="403"/>
      <c r="G72" s="403"/>
      <c r="H72" s="403"/>
      <c r="I72" s="403">
        <f>COUNTA(I12:I22)</f>
        <v>0</v>
      </c>
      <c r="J72" s="403">
        <f>COUNTA(J12:J22)</f>
        <v>0</v>
      </c>
      <c r="K72" s="403">
        <f>COUNTA(K12:K22)</f>
        <v>0</v>
      </c>
      <c r="L72" s="403">
        <f>COUNTA(L12:L22)</f>
        <v>0</v>
      </c>
      <c r="M72" s="403">
        <f>COUNTA(M12:M22)</f>
        <v>0</v>
      </c>
      <c r="N72" s="403">
        <f>SUM(N12:N22)</f>
        <v>0</v>
      </c>
      <c r="O72" s="403">
        <f>SUM(O12:O22)</f>
        <v>0</v>
      </c>
      <c r="P72" s="403">
        <f>SUM(P12:P22)</f>
        <v>0</v>
      </c>
      <c r="Q72" s="403">
        <f t="shared" ref="Q72:AA72" si="81">SUM(Q12:Q70)</f>
        <v>0</v>
      </c>
      <c r="R72" s="403">
        <f t="shared" si="81"/>
        <v>0</v>
      </c>
      <c r="S72" s="403">
        <f t="shared" si="81"/>
        <v>0</v>
      </c>
      <c r="T72" s="403">
        <f t="shared" si="81"/>
        <v>0</v>
      </c>
      <c r="U72" s="403">
        <f t="shared" si="81"/>
        <v>0</v>
      </c>
      <c r="V72" s="403">
        <f t="shared" si="81"/>
        <v>0</v>
      </c>
      <c r="W72" s="403">
        <f t="shared" si="81"/>
        <v>0</v>
      </c>
      <c r="X72" s="403">
        <f t="shared" si="81"/>
        <v>0</v>
      </c>
      <c r="Y72" s="403">
        <f t="shared" si="81"/>
        <v>0</v>
      </c>
      <c r="Z72" s="403">
        <f t="shared" si="81"/>
        <v>0</v>
      </c>
      <c r="AA72" s="403">
        <f t="shared" si="81"/>
        <v>0</v>
      </c>
      <c r="AB72" s="403">
        <f t="shared" ref="AB72:BB72" si="82">SUM(AB12:AB70)</f>
        <v>0</v>
      </c>
      <c r="AC72" s="403">
        <f t="shared" si="82"/>
        <v>1</v>
      </c>
      <c r="AD72" s="403">
        <f t="shared" si="82"/>
        <v>5</v>
      </c>
      <c r="AE72" s="403">
        <f t="shared" si="82"/>
        <v>6</v>
      </c>
      <c r="AF72" s="403">
        <f t="shared" si="82"/>
        <v>3</v>
      </c>
      <c r="AG72" s="403">
        <f t="shared" si="82"/>
        <v>3</v>
      </c>
      <c r="AH72" s="403">
        <f t="shared" si="82"/>
        <v>6</v>
      </c>
      <c r="AI72" s="403">
        <f t="shared" si="82"/>
        <v>3</v>
      </c>
      <c r="AJ72" s="403">
        <f t="shared" si="82"/>
        <v>4</v>
      </c>
      <c r="AK72" s="403">
        <f t="shared" si="82"/>
        <v>5</v>
      </c>
      <c r="AL72" s="403">
        <f t="shared" si="82"/>
        <v>4</v>
      </c>
      <c r="AM72" s="403">
        <f t="shared" si="82"/>
        <v>3</v>
      </c>
      <c r="AN72" s="403">
        <f t="shared" si="82"/>
        <v>2</v>
      </c>
      <c r="AO72" s="403">
        <f t="shared" si="82"/>
        <v>6</v>
      </c>
      <c r="AP72" s="403">
        <f t="shared" si="82"/>
        <v>2</v>
      </c>
      <c r="AQ72" s="403">
        <f t="shared" si="82"/>
        <v>4</v>
      </c>
      <c r="AR72" s="403">
        <f t="shared" si="82"/>
        <v>4</v>
      </c>
      <c r="AS72" s="403">
        <f t="shared" si="82"/>
        <v>4</v>
      </c>
      <c r="AT72" s="403">
        <f t="shared" si="82"/>
        <v>3</v>
      </c>
      <c r="AU72" s="403">
        <f t="shared" si="82"/>
        <v>4</v>
      </c>
      <c r="AV72" s="403">
        <f t="shared" si="82"/>
        <v>5</v>
      </c>
      <c r="AW72" s="403">
        <f t="shared" si="82"/>
        <v>4</v>
      </c>
      <c r="AX72" s="403">
        <f t="shared" si="82"/>
        <v>3</v>
      </c>
      <c r="AY72" s="403">
        <f t="shared" si="82"/>
        <v>4</v>
      </c>
      <c r="AZ72" s="403">
        <f t="shared" si="82"/>
        <v>3</v>
      </c>
      <c r="BA72" s="403">
        <f t="shared" si="82"/>
        <v>2</v>
      </c>
      <c r="BB72" s="403">
        <f t="shared" si="82"/>
        <v>2</v>
      </c>
      <c r="BC72" s="403">
        <f t="shared" ref="BC72:BJ72" si="83">SUM(BC12:BC70)</f>
        <v>0</v>
      </c>
      <c r="BD72" s="403">
        <f t="shared" si="83"/>
        <v>0</v>
      </c>
      <c r="BE72" s="403">
        <f t="shared" si="83"/>
        <v>0</v>
      </c>
      <c r="BF72" s="403">
        <f t="shared" si="83"/>
        <v>0</v>
      </c>
      <c r="BG72" s="403">
        <f t="shared" si="83"/>
        <v>0</v>
      </c>
      <c r="BH72" s="403">
        <f t="shared" si="83"/>
        <v>0</v>
      </c>
      <c r="BI72" s="403">
        <f t="shared" si="83"/>
        <v>0</v>
      </c>
      <c r="BJ72" s="403">
        <f t="shared" si="83"/>
        <v>0</v>
      </c>
      <c r="BK72" s="403">
        <f>SUM(BK13:BK71)</f>
        <v>0</v>
      </c>
      <c r="BL72" s="403">
        <f>SUM(BL13:BL71)</f>
        <v>0</v>
      </c>
      <c r="BM72" s="403">
        <f>SUM(BM12:BM22)</f>
        <v>0</v>
      </c>
      <c r="BN72" s="403">
        <f>SUM(BN12:BN22)</f>
        <v>0</v>
      </c>
      <c r="BO72" s="403">
        <f>SUM(BO12:BO22)</f>
        <v>0</v>
      </c>
      <c r="BP72" s="404">
        <f>SUM(BP13:BP70)</f>
        <v>95</v>
      </c>
      <c r="BQ72" s="26"/>
      <c r="BR72" s="26"/>
      <c r="BS72" s="405"/>
      <c r="BT72" s="406">
        <f>SUM(BT13:BT70)</f>
        <v>6911592.1899999995</v>
      </c>
      <c r="BU72" s="406">
        <f>SUM(BU13:BU70)</f>
        <v>5529273.7520000003</v>
      </c>
      <c r="BW72" s="407"/>
      <c r="BX72" s="408">
        <f>SUM(BX12:BX70)</f>
        <v>354.22000000000014</v>
      </c>
      <c r="BY72" s="409">
        <f>BU72/BX72</f>
        <v>15609.716424820728</v>
      </c>
      <c r="CA72" s="427" t="s">
        <v>171</v>
      </c>
      <c r="CB72" s="410">
        <f>CB32+CB44+CB57+CB70</f>
        <v>43</v>
      </c>
      <c r="CC72" s="411">
        <f>CC32+CC44+CC57+CC70</f>
        <v>3573083.5120000001</v>
      </c>
      <c r="CD72" s="410">
        <f>CD32+CD44+CD57+CD70</f>
        <v>52</v>
      </c>
      <c r="CE72" s="411">
        <f>CE32+CE44+CE57+CE70</f>
        <v>1956190.2400000002</v>
      </c>
    </row>
    <row r="73" spans="1:107" x14ac:dyDescent="0.25">
      <c r="A73" s="2"/>
      <c r="B73" s="2"/>
      <c r="C73" s="2"/>
      <c r="D73" s="2"/>
      <c r="E73" s="2"/>
      <c r="F73" s="2"/>
      <c r="G73" s="2"/>
      <c r="H73" s="35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422" t="s">
        <v>248</v>
      </c>
      <c r="BU73" s="412">
        <f>SUM(BU58:BU69)</f>
        <v>867124.40000000014</v>
      </c>
      <c r="CC73" s="361"/>
      <c r="CD73" s="428"/>
      <c r="CE73" s="429"/>
    </row>
    <row r="74" spans="1:107" s="357" customFormat="1" x14ac:dyDescent="0.25">
      <c r="A74" s="1"/>
      <c r="B74" s="1"/>
      <c r="C74" s="1"/>
      <c r="D74" s="414"/>
      <c r="E74" s="1"/>
      <c r="F74" s="1"/>
      <c r="G74" s="1"/>
      <c r="H74" s="35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423" t="s">
        <v>249</v>
      </c>
      <c r="BU74" s="360">
        <f>BU72-BU73</f>
        <v>4662149.352</v>
      </c>
      <c r="BV74" s="1"/>
      <c r="BW74" s="588" t="s">
        <v>300</v>
      </c>
      <c r="BX74" s="588"/>
      <c r="BY74" s="417" t="s">
        <v>305</v>
      </c>
      <c r="BZ74" s="1"/>
      <c r="CA74" s="355"/>
      <c r="CB74" s="355"/>
      <c r="CC74" s="355"/>
      <c r="CD74" s="430" t="s">
        <v>142</v>
      </c>
      <c r="CE74" s="431">
        <f>CC72+CE72</f>
        <v>5529273.7520000003</v>
      </c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s="357" customFormat="1" x14ac:dyDescent="0.25">
      <c r="A75" s="1"/>
      <c r="B75" s="1"/>
      <c r="C75" s="1"/>
      <c r="D75" s="414"/>
      <c r="E75" s="1"/>
      <c r="F75" s="1"/>
      <c r="G75" s="1"/>
      <c r="H75" s="35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413"/>
      <c r="BV75" s="1"/>
      <c r="BW75" s="488" t="s">
        <v>301</v>
      </c>
      <c r="BX75" s="489">
        <v>0.52</v>
      </c>
      <c r="BY75" s="492">
        <v>32157000</v>
      </c>
      <c r="BZ75" s="1"/>
      <c r="CA75" s="355"/>
      <c r="CB75" s="355"/>
      <c r="CC75" s="355"/>
      <c r="CD75" s="355"/>
      <c r="CE75" s="432" t="b">
        <f>CE74=BU72</f>
        <v>1</v>
      </c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s="357" customFormat="1" x14ac:dyDescent="0.25">
      <c r="A76" s="1"/>
      <c r="B76" s="1"/>
      <c r="C76" s="1"/>
      <c r="D76" s="1"/>
      <c r="E76" s="1"/>
      <c r="F76" s="1"/>
      <c r="G76" s="1"/>
      <c r="H76" s="35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413"/>
      <c r="BV76" s="1"/>
      <c r="BW76" s="488" t="s">
        <v>302</v>
      </c>
      <c r="BX76" s="490">
        <f>BY75*BX75</f>
        <v>16721640</v>
      </c>
      <c r="BY76" s="2"/>
      <c r="BZ76" s="1"/>
      <c r="CA76" s="355"/>
      <c r="CB76" s="355"/>
      <c r="CC76" s="355"/>
      <c r="CD76" s="355"/>
      <c r="CE76" s="355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x14ac:dyDescent="0.25">
      <c r="BW77" s="488" t="s">
        <v>303</v>
      </c>
      <c r="BX77" s="488">
        <v>4.0999999999999996</v>
      </c>
      <c r="BY77" s="2"/>
    </row>
    <row r="78" spans="1:107" x14ac:dyDescent="0.25">
      <c r="BW78" s="488" t="s">
        <v>304</v>
      </c>
      <c r="BX78" s="490">
        <f>BY75*BX72%</f>
        <v>113906525.40000005</v>
      </c>
      <c r="BY78" s="2"/>
    </row>
    <row r="79" spans="1:107" x14ac:dyDescent="0.25">
      <c r="BW79" s="488" t="s">
        <v>31</v>
      </c>
      <c r="BX79" s="491">
        <f>BU72/BX78*1000</f>
        <v>48.542203640951357</v>
      </c>
      <c r="BY79" s="2"/>
    </row>
  </sheetData>
  <mergeCells count="24">
    <mergeCell ref="BW74:BX74"/>
    <mergeCell ref="BW7:BY7"/>
    <mergeCell ref="B8:B10"/>
    <mergeCell ref="C8:C10"/>
    <mergeCell ref="D8:D10"/>
    <mergeCell ref="F8:F10"/>
    <mergeCell ref="G8:G10"/>
    <mergeCell ref="H8:H10"/>
    <mergeCell ref="BY8:BY10"/>
    <mergeCell ref="E8:E10"/>
    <mergeCell ref="CA8:CE9"/>
    <mergeCell ref="CA10:CA12"/>
    <mergeCell ref="CB10:CC11"/>
    <mergeCell ref="CD10:CE11"/>
    <mergeCell ref="I8:AM8"/>
    <mergeCell ref="AN8:BO8"/>
    <mergeCell ref="BW8:BW10"/>
    <mergeCell ref="BX8:BX10"/>
    <mergeCell ref="BP8:BP10"/>
    <mergeCell ref="BQ8:BQ10"/>
    <mergeCell ref="BR8:BR10"/>
    <mergeCell ref="BS8:BS10"/>
    <mergeCell ref="BT8:BT10"/>
    <mergeCell ref="BU8:BU10"/>
  </mergeCells>
  <conditionalFormatting sqref="I12:BO70">
    <cfRule type="notContainsBlanks" dxfId="125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29A8-7B26-4566-94AF-D12A16262C35}">
  <sheetPr>
    <tabColor theme="4"/>
  </sheetPr>
  <dimension ref="A1:DC34"/>
  <sheetViews>
    <sheetView showGridLines="0" zoomScale="85" zoomScaleNormal="85" workbookViewId="0">
      <pane xSplit="4" ySplit="10" topLeftCell="H11" activePane="bottomRight" state="frozen"/>
      <selection activeCell="CA117" sqref="CA117"/>
      <selection pane="topRight" activeCell="CA117" sqref="CA117"/>
      <selection pane="bottomLeft" activeCell="CA117" sqref="CA117"/>
      <selection pane="bottomRight" activeCell="BW15" sqref="BW15"/>
    </sheetView>
  </sheetViews>
  <sheetFormatPr defaultColWidth="8.796875" defaultRowHeight="13.2" x14ac:dyDescent="0.25"/>
  <cols>
    <col min="1" max="1" width="4" style="1" customWidth="1"/>
    <col min="2" max="2" width="20.19921875" style="1" customWidth="1"/>
    <col min="3" max="3" width="13.5" style="1" customWidth="1"/>
    <col min="4" max="4" width="30.296875" style="1" bestFit="1" customWidth="1"/>
    <col min="5" max="7" width="13.69921875" style="1" customWidth="1"/>
    <col min="8" max="8" width="10.3984375" style="355" customWidth="1"/>
    <col min="9" max="26" width="4.296875" style="1" hidden="1" customWidth="1"/>
    <col min="27" max="54" width="4.296875" style="1" customWidth="1"/>
    <col min="55" max="67" width="4.296875" style="1" hidden="1" customWidth="1"/>
    <col min="68" max="68" width="9" style="1" customWidth="1"/>
    <col min="69" max="69" width="12.5" style="1" customWidth="1"/>
    <col min="70" max="70" width="8.796875" style="1"/>
    <col min="71" max="71" width="14.796875" style="1" customWidth="1"/>
    <col min="72" max="72" width="16.59765625" style="1" customWidth="1"/>
    <col min="73" max="73" width="18.296875" style="1" customWidth="1"/>
    <col min="74" max="74" width="2.69921875" style="1" customWidth="1"/>
    <col min="75" max="76" width="11.69921875" style="1" customWidth="1"/>
    <col min="77" max="77" width="14" style="1" customWidth="1"/>
    <col min="78" max="78" width="3.69921875" style="1" customWidth="1"/>
    <col min="79" max="79" width="16.3984375" style="355" customWidth="1"/>
    <col min="80" max="80" width="3.69921875" style="355" customWidth="1"/>
    <col min="81" max="81" width="15.5" style="355" customWidth="1"/>
    <col min="82" max="82" width="3.69921875" style="355" customWidth="1"/>
    <col min="83" max="83" width="15.5" style="355" customWidth="1"/>
    <col min="84" max="84" width="11.59765625" style="357" customWidth="1"/>
    <col min="85" max="16384" width="8.796875" style="1"/>
  </cols>
  <sheetData>
    <row r="1" spans="1:84" x14ac:dyDescent="0.25">
      <c r="N1" s="356"/>
      <c r="O1" s="356"/>
      <c r="AS1" s="356"/>
      <c r="AT1" s="356"/>
    </row>
    <row r="2" spans="1:84" ht="15.6" x14ac:dyDescent="0.3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5.6" x14ac:dyDescent="0.3">
      <c r="A3" s="2"/>
      <c r="B3" s="3"/>
      <c r="C3" s="2"/>
      <c r="D3" s="2"/>
      <c r="E3" s="2"/>
      <c r="F3" s="2"/>
      <c r="G3" s="2"/>
      <c r="H3" s="35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4"/>
      <c r="BR3" s="4"/>
      <c r="BS3" s="359"/>
      <c r="BT3" s="2"/>
      <c r="BU3" s="2"/>
    </row>
    <row r="4" spans="1:84" ht="15.6" x14ac:dyDescent="0.3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4"/>
      <c r="BR4" s="4"/>
      <c r="BS4" s="359"/>
      <c r="BT4" s="2"/>
      <c r="BU4" s="2"/>
    </row>
    <row r="5" spans="1:84" ht="13.95" customHeight="1" x14ac:dyDescent="0.3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4"/>
      <c r="BR5" s="4"/>
      <c r="BS5" s="359"/>
      <c r="BT5" s="2"/>
      <c r="BU5" s="360"/>
      <c r="CC5" s="361"/>
    </row>
    <row r="6" spans="1:84" ht="13.95" customHeight="1" x14ac:dyDescent="0.3">
      <c r="A6" s="2"/>
      <c r="B6" s="6" t="s">
        <v>144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362"/>
      <c r="BT6" s="363"/>
      <c r="BU6" s="364"/>
    </row>
    <row r="7" spans="1:84" s="35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363"/>
      <c r="BU7" s="363"/>
      <c r="BV7" s="1"/>
      <c r="BW7" s="596" t="s">
        <v>173</v>
      </c>
      <c r="BX7" s="596"/>
      <c r="BY7" s="596"/>
      <c r="BZ7" s="1"/>
      <c r="CA7" s="355"/>
      <c r="CB7" s="355"/>
      <c r="CC7" s="355"/>
      <c r="CD7" s="355"/>
      <c r="CE7" s="355"/>
    </row>
    <row r="8" spans="1:84" s="357" customFormat="1" ht="15.75" customHeight="1" x14ac:dyDescent="0.25">
      <c r="A8" s="365"/>
      <c r="B8" s="597" t="s">
        <v>3</v>
      </c>
      <c r="C8" s="591" t="s">
        <v>4</v>
      </c>
      <c r="D8" s="591" t="s">
        <v>174</v>
      </c>
      <c r="E8" s="598" t="s">
        <v>200</v>
      </c>
      <c r="F8" s="598" t="s">
        <v>175</v>
      </c>
      <c r="G8" s="598" t="s">
        <v>176</v>
      </c>
      <c r="H8" s="601" t="s">
        <v>172</v>
      </c>
      <c r="I8" s="604" t="s">
        <v>6</v>
      </c>
      <c r="J8" s="605"/>
      <c r="K8" s="605"/>
      <c r="L8" s="605"/>
      <c r="M8" s="605"/>
      <c r="N8" s="605"/>
      <c r="O8" s="605"/>
      <c r="P8" s="605"/>
      <c r="Q8" s="605"/>
      <c r="R8" s="605"/>
      <c r="S8" s="605"/>
      <c r="T8" s="605"/>
      <c r="U8" s="605"/>
      <c r="V8" s="605"/>
      <c r="W8" s="605"/>
      <c r="X8" s="605"/>
      <c r="Y8" s="605"/>
      <c r="Z8" s="605"/>
      <c r="AA8" s="605"/>
      <c r="AB8" s="605"/>
      <c r="AC8" s="605"/>
      <c r="AD8" s="605"/>
      <c r="AE8" s="605"/>
      <c r="AF8" s="605"/>
      <c r="AG8" s="605"/>
      <c r="AH8" s="605"/>
      <c r="AI8" s="605"/>
      <c r="AJ8" s="605"/>
      <c r="AK8" s="605"/>
      <c r="AL8" s="605"/>
      <c r="AM8" s="606"/>
      <c r="AN8" s="604"/>
      <c r="AO8" s="605"/>
      <c r="AP8" s="605"/>
      <c r="AQ8" s="605"/>
      <c r="AR8" s="605"/>
      <c r="AS8" s="605"/>
      <c r="AT8" s="605"/>
      <c r="AU8" s="605"/>
      <c r="AV8" s="605"/>
      <c r="AW8" s="605"/>
      <c r="AX8" s="605"/>
      <c r="AY8" s="605"/>
      <c r="AZ8" s="605"/>
      <c r="BA8" s="605"/>
      <c r="BB8" s="605"/>
      <c r="BC8" s="605"/>
      <c r="BD8" s="605"/>
      <c r="BE8" s="605"/>
      <c r="BF8" s="605"/>
      <c r="BG8" s="605"/>
      <c r="BH8" s="605"/>
      <c r="BI8" s="605"/>
      <c r="BJ8" s="605"/>
      <c r="BK8" s="605"/>
      <c r="BL8" s="605"/>
      <c r="BM8" s="605"/>
      <c r="BN8" s="605"/>
      <c r="BO8" s="606"/>
      <c r="BP8" s="597" t="s">
        <v>7</v>
      </c>
      <c r="BQ8" s="592" t="s">
        <v>8</v>
      </c>
      <c r="BR8" s="597" t="s">
        <v>9</v>
      </c>
      <c r="BS8" s="592" t="s">
        <v>10</v>
      </c>
      <c r="BT8" s="592" t="s">
        <v>11</v>
      </c>
      <c r="BU8" s="592" t="s">
        <v>177</v>
      </c>
      <c r="BV8" s="1"/>
      <c r="BW8" s="593" t="s">
        <v>178</v>
      </c>
      <c r="BX8" s="593" t="s">
        <v>12</v>
      </c>
      <c r="BY8" s="593" t="s">
        <v>179</v>
      </c>
      <c r="BZ8" s="1"/>
      <c r="CA8" s="587" t="s">
        <v>180</v>
      </c>
      <c r="CB8" s="588"/>
      <c r="CC8" s="588"/>
      <c r="CD8" s="588"/>
      <c r="CE8" s="588"/>
    </row>
    <row r="9" spans="1:84" s="357" customFormat="1" ht="15.75" customHeight="1" x14ac:dyDescent="0.25">
      <c r="A9" s="365"/>
      <c r="B9" s="597"/>
      <c r="C9" s="591"/>
      <c r="D9" s="591"/>
      <c r="E9" s="599"/>
      <c r="F9" s="599"/>
      <c r="G9" s="599"/>
      <c r="H9" s="602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597"/>
      <c r="BQ9" s="592"/>
      <c r="BR9" s="597"/>
      <c r="BS9" s="592"/>
      <c r="BT9" s="592"/>
      <c r="BU9" s="592"/>
      <c r="BV9" s="1"/>
      <c r="BW9" s="594"/>
      <c r="BX9" s="594"/>
      <c r="BY9" s="594"/>
      <c r="BZ9" s="1"/>
      <c r="CA9" s="587"/>
      <c r="CB9" s="588"/>
      <c r="CC9" s="588"/>
      <c r="CD9" s="588"/>
      <c r="CE9" s="588"/>
    </row>
    <row r="10" spans="1:84" s="357" customFormat="1" ht="15.75" customHeight="1" x14ac:dyDescent="0.25">
      <c r="A10" s="365"/>
      <c r="B10" s="597"/>
      <c r="C10" s="591"/>
      <c r="D10" s="591"/>
      <c r="E10" s="600"/>
      <c r="F10" s="600"/>
      <c r="G10" s="600"/>
      <c r="H10" s="603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:AM10" si="1">AH10+1</f>
        <v>27</v>
      </c>
      <c r="AJ10" s="7">
        <f t="shared" si="1"/>
        <v>28</v>
      </c>
      <c r="AK10" s="7">
        <f t="shared" si="1"/>
        <v>29</v>
      </c>
      <c r="AL10" s="7">
        <f t="shared" si="1"/>
        <v>30</v>
      </c>
      <c r="AM10" s="8">
        <f t="shared" si="1"/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:BL10" si="2">BF10+1</f>
        <v>20</v>
      </c>
      <c r="BH10" s="8">
        <f t="shared" si="2"/>
        <v>21</v>
      </c>
      <c r="BI10" s="8">
        <f t="shared" si="2"/>
        <v>22</v>
      </c>
      <c r="BJ10" s="7">
        <f t="shared" si="2"/>
        <v>23</v>
      </c>
      <c r="BK10" s="7">
        <f t="shared" si="2"/>
        <v>24</v>
      </c>
      <c r="BL10" s="7">
        <f t="shared" si="2"/>
        <v>25</v>
      </c>
      <c r="BM10" s="7">
        <f>BL10+1</f>
        <v>26</v>
      </c>
      <c r="BN10" s="7">
        <f t="shared" ref="BN10:BO10" si="3">BM10+1</f>
        <v>27</v>
      </c>
      <c r="BO10" s="8">
        <f t="shared" si="3"/>
        <v>28</v>
      </c>
      <c r="BP10" s="597"/>
      <c r="BQ10" s="592"/>
      <c r="BR10" s="597"/>
      <c r="BS10" s="592"/>
      <c r="BT10" s="592"/>
      <c r="BU10" s="592"/>
      <c r="BV10" s="1"/>
      <c r="BW10" s="595"/>
      <c r="BX10" s="595"/>
      <c r="BY10" s="595"/>
      <c r="BZ10" s="1"/>
      <c r="CA10" s="589" t="s">
        <v>4</v>
      </c>
      <c r="CB10" s="591" t="s">
        <v>6</v>
      </c>
      <c r="CC10" s="591"/>
      <c r="CD10" s="591" t="s">
        <v>140</v>
      </c>
      <c r="CE10" s="591"/>
    </row>
    <row r="11" spans="1:84" s="357" customFormat="1" ht="16.05" customHeight="1" x14ac:dyDescent="0.25">
      <c r="A11" s="365"/>
      <c r="B11" s="367"/>
      <c r="C11" s="368"/>
      <c r="D11" s="368"/>
      <c r="E11" s="368"/>
      <c r="F11" s="368"/>
      <c r="G11" s="36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587"/>
      <c r="CB11" s="591"/>
      <c r="CC11" s="591"/>
      <c r="CD11" s="591"/>
      <c r="CE11" s="591"/>
    </row>
    <row r="12" spans="1:84" s="357" customFormat="1" ht="13.95" customHeight="1" x14ac:dyDescent="0.25">
      <c r="A12" s="365"/>
      <c r="B12" s="369"/>
      <c r="C12" s="370"/>
      <c r="D12" s="371"/>
      <c r="E12" s="372"/>
      <c r="F12" s="372"/>
      <c r="G12" s="372"/>
      <c r="H12" s="37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373"/>
      <c r="BR12" s="16"/>
      <c r="BS12" s="17"/>
      <c r="BT12" s="18"/>
      <c r="BU12" s="18"/>
      <c r="BV12" s="1"/>
      <c r="BW12" s="374"/>
      <c r="BX12" s="375"/>
      <c r="BY12" s="18"/>
      <c r="BZ12" s="2"/>
      <c r="CA12" s="590"/>
      <c r="CB12" s="366" t="s">
        <v>181</v>
      </c>
      <c r="CC12" s="366" t="s">
        <v>182</v>
      </c>
      <c r="CD12" s="366" t="s">
        <v>181</v>
      </c>
      <c r="CE12" s="366" t="s">
        <v>182</v>
      </c>
    </row>
    <row r="13" spans="1:84" ht="13.95" customHeight="1" x14ac:dyDescent="0.25">
      <c r="A13" s="365"/>
      <c r="B13" s="391" t="s">
        <v>206</v>
      </c>
      <c r="C13" s="376" t="s">
        <v>183</v>
      </c>
      <c r="D13" s="377" t="s">
        <v>252</v>
      </c>
      <c r="E13" s="378" t="s">
        <v>201</v>
      </c>
      <c r="F13" s="378">
        <v>0.48958333333333331</v>
      </c>
      <c r="G13" s="378" t="s">
        <v>253</v>
      </c>
      <c r="H13" s="39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>
        <v>1</v>
      </c>
      <c r="AI13" s="11"/>
      <c r="AJ13" s="11">
        <v>1</v>
      </c>
      <c r="AK13" s="12"/>
      <c r="AL13" s="12">
        <v>1</v>
      </c>
      <c r="AM13" s="13"/>
      <c r="AN13" s="13"/>
      <c r="AO13" s="11"/>
      <c r="AP13" s="12">
        <v>1</v>
      </c>
      <c r="AQ13" s="12"/>
      <c r="AR13" s="12">
        <v>1</v>
      </c>
      <c r="AS13" s="11"/>
      <c r="AT13" s="13"/>
      <c r="AU13" s="13"/>
      <c r="AV13" s="11">
        <v>1</v>
      </c>
      <c r="AW13" s="12"/>
      <c r="AX13" s="12">
        <v>1</v>
      </c>
      <c r="AY13" s="12"/>
      <c r="AZ13" s="11">
        <v>1</v>
      </c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379">
        <f>SUM(I13:BO13)</f>
        <v>8</v>
      </c>
      <c r="BQ13" s="15">
        <v>27572</v>
      </c>
      <c r="BR13" s="19">
        <v>0.1</v>
      </c>
      <c r="BS13" s="20">
        <f>BQ13*(1-BR13)</f>
        <v>24814.799999999999</v>
      </c>
      <c r="BT13" s="21">
        <f>BS13*BP13</f>
        <v>198518.39999999999</v>
      </c>
      <c r="BU13" s="21">
        <f t="shared" ref="BU13:BU16" si="4">BT13*0.8</f>
        <v>158814.72</v>
      </c>
      <c r="BW13" s="392">
        <v>5.24</v>
      </c>
      <c r="BX13" s="381">
        <f>BW13*BP13</f>
        <v>41.92</v>
      </c>
      <c r="BY13" s="382">
        <f>IFERROR(BU13/BX13,0)</f>
        <v>3788.5190839694656</v>
      </c>
      <c r="BZ13" s="2"/>
      <c r="CA13" s="383" t="s">
        <v>183</v>
      </c>
      <c r="CB13" s="384">
        <f>COUNTA(I13:AM13)</f>
        <v>3</v>
      </c>
      <c r="CC13" s="385">
        <f>CB13*BS13*0.8</f>
        <v>59555.519999999997</v>
      </c>
      <c r="CD13" s="384">
        <f>COUNTA(AN13:BO13)</f>
        <v>5</v>
      </c>
      <c r="CE13" s="385">
        <f>CD13*BS13*0.8</f>
        <v>99259.200000000012</v>
      </c>
      <c r="CF13" s="357" t="b">
        <f>SUM(CC13,CE13)=BU13</f>
        <v>1</v>
      </c>
    </row>
    <row r="14" spans="1:84" s="388" customFormat="1" ht="13.95" customHeight="1" x14ac:dyDescent="0.25">
      <c r="A14" s="365"/>
      <c r="B14" s="376"/>
      <c r="C14" s="376"/>
      <c r="D14" s="389"/>
      <c r="E14" s="378" t="s">
        <v>201</v>
      </c>
      <c r="F14" s="378">
        <v>0.48958333333333331</v>
      </c>
      <c r="G14" s="378" t="s">
        <v>253</v>
      </c>
      <c r="H14" s="394">
        <v>60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>
        <v>1</v>
      </c>
      <c r="AF14" s="13"/>
      <c r="AG14" s="13"/>
      <c r="AH14" s="11"/>
      <c r="AI14" s="11"/>
      <c r="AJ14" s="11"/>
      <c r="AK14" s="12"/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379">
        <f>SUM(I14:BO14)</f>
        <v>1</v>
      </c>
      <c r="BQ14" s="390">
        <v>55144</v>
      </c>
      <c r="BR14" s="19">
        <v>0.1</v>
      </c>
      <c r="BS14" s="20">
        <f t="shared" ref="BS14:BS16" si="5">BQ14*(1-BR14)</f>
        <v>49629.599999999999</v>
      </c>
      <c r="BT14" s="21">
        <f t="shared" ref="BT14:BT16" si="6">BS14*BP14</f>
        <v>49629.599999999999</v>
      </c>
      <c r="BU14" s="22">
        <f t="shared" si="4"/>
        <v>39703.68</v>
      </c>
      <c r="BV14" s="1"/>
      <c r="BW14" s="380">
        <v>5.24</v>
      </c>
      <c r="BX14" s="381">
        <f>BW14*BP14</f>
        <v>5.24</v>
      </c>
      <c r="BY14" s="382">
        <f>IFERROR(BU14/BX14,0)</f>
        <v>7577.0381679389311</v>
      </c>
      <c r="BZ14" s="2"/>
      <c r="CA14" s="383" t="s">
        <v>183</v>
      </c>
      <c r="CB14" s="384">
        <f t="shared" ref="CB14:CB16" si="7">COUNTA(I14:AM14)</f>
        <v>1</v>
      </c>
      <c r="CC14" s="385">
        <f t="shared" ref="CC14:CC16" si="8">CB14*BS14*0.8</f>
        <v>39703.68</v>
      </c>
      <c r="CD14" s="384">
        <f t="shared" ref="CD14:CD16" si="9">COUNTA(AN14:BO14)</f>
        <v>0</v>
      </c>
      <c r="CE14" s="385">
        <f t="shared" ref="CE14:CE16" si="10">CD14*BS14*0.8</f>
        <v>0</v>
      </c>
      <c r="CF14" s="357" t="b">
        <f>SUM(CC14,CE14)=BU14</f>
        <v>1</v>
      </c>
    </row>
    <row r="15" spans="1:84" s="388" customFormat="1" ht="13.95" customHeight="1" x14ac:dyDescent="0.25">
      <c r="A15" s="365"/>
      <c r="B15" s="376"/>
      <c r="C15" s="376"/>
      <c r="D15" s="377" t="s">
        <v>185</v>
      </c>
      <c r="E15" s="378" t="s">
        <v>201</v>
      </c>
      <c r="F15" s="378">
        <v>0.79861111111111116</v>
      </c>
      <c r="G15" s="378" t="s">
        <v>254</v>
      </c>
      <c r="H15" s="394">
        <v>30</v>
      </c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/>
      <c r="AI15" s="11"/>
      <c r="AJ15" s="11"/>
      <c r="AK15" s="12">
        <v>1</v>
      </c>
      <c r="AL15" s="12"/>
      <c r="AM15" s="13"/>
      <c r="AN15" s="13"/>
      <c r="AO15" s="11">
        <v>1</v>
      </c>
      <c r="AP15" s="12"/>
      <c r="AQ15" s="12"/>
      <c r="AR15" s="12"/>
      <c r="AS15" s="11">
        <v>1</v>
      </c>
      <c r="AT15" s="13"/>
      <c r="AU15" s="13"/>
      <c r="AV15" s="11"/>
      <c r="AW15" s="12"/>
      <c r="AX15" s="12"/>
      <c r="AY15" s="12">
        <v>1</v>
      </c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379">
        <f>SUM(I15:BO15)</f>
        <v>4</v>
      </c>
      <c r="BQ15" s="15">
        <v>112324</v>
      </c>
      <c r="BR15" s="19">
        <v>0.1</v>
      </c>
      <c r="BS15" s="20">
        <f t="shared" si="5"/>
        <v>101091.6</v>
      </c>
      <c r="BT15" s="21">
        <f t="shared" si="6"/>
        <v>404366.4</v>
      </c>
      <c r="BU15" s="22">
        <f t="shared" si="4"/>
        <v>323493.12000000005</v>
      </c>
      <c r="BV15" s="1"/>
      <c r="BW15" s="380">
        <v>12.39</v>
      </c>
      <c r="BX15" s="381">
        <f>BW15*BP15</f>
        <v>49.56</v>
      </c>
      <c r="BY15" s="382">
        <f>IFERROR(BU15/BX15,0)</f>
        <v>6527.3026634382577</v>
      </c>
      <c r="BZ15" s="2"/>
      <c r="CA15" s="383" t="s">
        <v>183</v>
      </c>
      <c r="CB15" s="384">
        <f t="shared" si="7"/>
        <v>1</v>
      </c>
      <c r="CC15" s="385">
        <f t="shared" si="8"/>
        <v>80873.280000000013</v>
      </c>
      <c r="CD15" s="384">
        <f t="shared" si="9"/>
        <v>3</v>
      </c>
      <c r="CE15" s="385">
        <f t="shared" si="10"/>
        <v>242619.84000000005</v>
      </c>
      <c r="CF15" s="357" t="b">
        <f>SUM(CC15,CE15)=BU15</f>
        <v>1</v>
      </c>
    </row>
    <row r="16" spans="1:84" ht="13.95" customHeight="1" x14ac:dyDescent="0.25">
      <c r="A16" s="365"/>
      <c r="B16" s="376"/>
      <c r="C16" s="376"/>
      <c r="D16" s="377"/>
      <c r="E16" s="378" t="s">
        <v>201</v>
      </c>
      <c r="F16" s="378">
        <v>0.79861111111111116</v>
      </c>
      <c r="G16" s="378" t="s">
        <v>254</v>
      </c>
      <c r="H16" s="394">
        <v>60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>
        <v>1</v>
      </c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/>
      <c r="AP16" s="12"/>
      <c r="AQ16" s="12"/>
      <c r="AR16" s="12"/>
      <c r="AS16" s="11"/>
      <c r="AT16" s="13"/>
      <c r="AU16" s="13"/>
      <c r="AV16" s="11"/>
      <c r="AW16" s="12"/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379">
        <f>SUM(I16:BO16)</f>
        <v>1</v>
      </c>
      <c r="BQ16" s="15">
        <v>224648</v>
      </c>
      <c r="BR16" s="19">
        <v>0.1</v>
      </c>
      <c r="BS16" s="20">
        <f t="shared" si="5"/>
        <v>202183.2</v>
      </c>
      <c r="BT16" s="21">
        <f t="shared" si="6"/>
        <v>202183.2</v>
      </c>
      <c r="BU16" s="22">
        <f t="shared" si="4"/>
        <v>161746.56000000003</v>
      </c>
      <c r="BW16" s="380">
        <v>12.39</v>
      </c>
      <c r="BX16" s="381">
        <f t="shared" ref="BX16" si="11">BW16*BP16</f>
        <v>12.39</v>
      </c>
      <c r="BY16" s="382">
        <f t="shared" ref="BY16" si="12">IFERROR(BU16/BX16,0)</f>
        <v>13054.605326876515</v>
      </c>
      <c r="BZ16" s="2"/>
      <c r="CA16" s="383" t="s">
        <v>183</v>
      </c>
      <c r="CB16" s="384">
        <f t="shared" si="7"/>
        <v>1</v>
      </c>
      <c r="CC16" s="385">
        <f t="shared" si="8"/>
        <v>161746.56000000003</v>
      </c>
      <c r="CD16" s="384">
        <f t="shared" si="9"/>
        <v>0</v>
      </c>
      <c r="CE16" s="385">
        <f t="shared" si="10"/>
        <v>0</v>
      </c>
      <c r="CF16" s="357" t="b">
        <f>SUM(CC16,CE16)=BU16</f>
        <v>1</v>
      </c>
    </row>
    <row r="17" spans="1:107" s="357" customFormat="1" ht="13.95" customHeight="1" x14ac:dyDescent="0.25">
      <c r="A17" s="365"/>
      <c r="B17" s="418"/>
      <c r="C17" s="419"/>
      <c r="D17" s="420"/>
      <c r="E17" s="420"/>
      <c r="F17" s="420"/>
      <c r="G17" s="420"/>
      <c r="H17" s="420"/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/>
      <c r="AR17" s="12"/>
      <c r="AS17" s="11"/>
      <c r="AT17" s="13"/>
      <c r="AU17" s="13"/>
      <c r="AV17" s="11"/>
      <c r="AW17" s="12"/>
      <c r="AX17" s="12"/>
      <c r="AY17" s="12"/>
      <c r="AZ17" s="11"/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336"/>
      <c r="BQ17" s="15"/>
      <c r="BR17" s="19"/>
      <c r="BS17" s="20"/>
      <c r="BT17" s="21"/>
      <c r="BU17" s="21"/>
      <c r="BV17" s="1"/>
      <c r="BW17" s="392"/>
      <c r="BX17" s="381"/>
      <c r="BY17" s="21"/>
      <c r="BZ17" s="2"/>
      <c r="CA17" s="424" t="s">
        <v>142</v>
      </c>
      <c r="CB17" s="425">
        <f>SUM(CB13:CB16)</f>
        <v>6</v>
      </c>
      <c r="CC17" s="426">
        <f>SUM(CC13:CC16)</f>
        <v>341879.04000000004</v>
      </c>
      <c r="CD17" s="425">
        <f>SUM(CD13:CD16)</f>
        <v>8</v>
      </c>
      <c r="CE17" s="426">
        <f>SUM(CE13:CE16)</f>
        <v>341879.04000000004</v>
      </c>
    </row>
    <row r="18" spans="1:107" ht="13.95" customHeight="1" x14ac:dyDescent="0.25">
      <c r="A18" s="365"/>
      <c r="B18" s="391"/>
      <c r="C18" s="376" t="s">
        <v>17</v>
      </c>
      <c r="D18" s="377" t="s">
        <v>255</v>
      </c>
      <c r="E18" s="378" t="s">
        <v>201</v>
      </c>
      <c r="F18" s="378">
        <v>0.80555555555555558</v>
      </c>
      <c r="G18" s="378" t="s">
        <v>188</v>
      </c>
      <c r="H18" s="394">
        <v>30</v>
      </c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>
        <v>1</v>
      </c>
      <c r="AJ18" s="11"/>
      <c r="AK18" s="12">
        <v>1</v>
      </c>
      <c r="AL18" s="12"/>
      <c r="AM18" s="13"/>
      <c r="AN18" s="13"/>
      <c r="AO18" s="11"/>
      <c r="AP18" s="12">
        <v>1</v>
      </c>
      <c r="AQ18" s="12"/>
      <c r="AR18" s="12">
        <v>1</v>
      </c>
      <c r="AS18" s="11"/>
      <c r="AT18" s="13"/>
      <c r="AU18" s="13"/>
      <c r="AV18" s="11"/>
      <c r="AW18" s="12">
        <v>1</v>
      </c>
      <c r="AX18" s="12"/>
      <c r="AY18" s="12">
        <v>1</v>
      </c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379">
        <f>SUM(I18:BO18)</f>
        <v>6</v>
      </c>
      <c r="BQ18" s="15">
        <v>107608</v>
      </c>
      <c r="BR18" s="19">
        <v>0.85</v>
      </c>
      <c r="BS18" s="20">
        <f>BQ18*(1-BR18)</f>
        <v>16141.200000000003</v>
      </c>
      <c r="BT18" s="21">
        <f>BS18*BP18</f>
        <v>96847.200000000012</v>
      </c>
      <c r="BU18" s="21">
        <f t="shared" ref="BU18:BU19" si="13">BT18*0.8</f>
        <v>77477.760000000009</v>
      </c>
      <c r="BW18" s="392">
        <v>1.59</v>
      </c>
      <c r="BX18" s="381">
        <f t="shared" ref="BX18:BX19" si="14">BW18*BP18</f>
        <v>9.5400000000000009</v>
      </c>
      <c r="BY18" s="382">
        <f t="shared" ref="BY18:BY19" si="15">IFERROR(BU18/BX18,0)</f>
        <v>8121.3584905660382</v>
      </c>
      <c r="BZ18" s="2"/>
      <c r="CA18" s="383" t="s">
        <v>17</v>
      </c>
      <c r="CB18" s="384">
        <f t="shared" ref="CB18:CB19" si="16">COUNTA(I18:AM18)</f>
        <v>2</v>
      </c>
      <c r="CC18" s="385">
        <f t="shared" ref="CC18:CC19" si="17">CB18*BS18*0.8</f>
        <v>25825.920000000006</v>
      </c>
      <c r="CD18" s="384">
        <f t="shared" ref="CD18:CD19" si="18">COUNTA(AN18:BO18)</f>
        <v>4</v>
      </c>
      <c r="CE18" s="385">
        <f t="shared" ref="CE18:CE19" si="19">CD18*BS18*0.8</f>
        <v>51651.840000000011</v>
      </c>
      <c r="CF18" s="357" t="b">
        <f>SUM(CC18,CE18)=BU18</f>
        <v>1</v>
      </c>
    </row>
    <row r="19" spans="1:107" s="388" customFormat="1" ht="13.95" customHeight="1" x14ac:dyDescent="0.25">
      <c r="A19" s="365"/>
      <c r="B19" s="376"/>
      <c r="C19" s="376"/>
      <c r="D19" s="389"/>
      <c r="E19" s="378" t="s">
        <v>201</v>
      </c>
      <c r="F19" s="378">
        <v>0.80555555555555558</v>
      </c>
      <c r="G19" s="378" t="s">
        <v>188</v>
      </c>
      <c r="H19" s="394">
        <v>60</v>
      </c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>
        <v>1</v>
      </c>
      <c r="AE19" s="11"/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/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379">
        <f>SUM(I19:BO19)</f>
        <v>1</v>
      </c>
      <c r="BQ19" s="390">
        <v>215216</v>
      </c>
      <c r="BR19" s="19">
        <v>0.85</v>
      </c>
      <c r="BS19" s="20">
        <f t="shared" ref="BS19" si="20">BQ19*(1-BR19)</f>
        <v>32282.400000000005</v>
      </c>
      <c r="BT19" s="21">
        <f t="shared" ref="BT19" si="21">BS19*BP19</f>
        <v>32282.400000000005</v>
      </c>
      <c r="BU19" s="22">
        <f t="shared" si="13"/>
        <v>25825.920000000006</v>
      </c>
      <c r="BV19" s="1"/>
      <c r="BW19" s="380">
        <v>1.59</v>
      </c>
      <c r="BX19" s="381">
        <f t="shared" si="14"/>
        <v>1.59</v>
      </c>
      <c r="BY19" s="382">
        <f t="shared" si="15"/>
        <v>16242.716981132078</v>
      </c>
      <c r="BZ19" s="2"/>
      <c r="CA19" s="383" t="s">
        <v>17</v>
      </c>
      <c r="CB19" s="384">
        <f t="shared" si="16"/>
        <v>1</v>
      </c>
      <c r="CC19" s="385">
        <f t="shared" si="17"/>
        <v>25825.920000000006</v>
      </c>
      <c r="CD19" s="384">
        <f t="shared" si="18"/>
        <v>0</v>
      </c>
      <c r="CE19" s="385">
        <f t="shared" si="19"/>
        <v>0</v>
      </c>
      <c r="CF19" s="357" t="b">
        <f>SUM(CC19,CE19)=BU19</f>
        <v>1</v>
      </c>
    </row>
    <row r="20" spans="1:107" s="388" customFormat="1" ht="13.95" customHeight="1" x14ac:dyDescent="0.25">
      <c r="A20" s="365"/>
      <c r="B20" s="376"/>
      <c r="C20" s="376"/>
      <c r="D20" s="389"/>
      <c r="E20" s="378"/>
      <c r="F20" s="378"/>
      <c r="G20" s="378"/>
      <c r="H20" s="394"/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/>
      <c r="AI20" s="11"/>
      <c r="AJ20" s="11"/>
      <c r="AK20" s="12"/>
      <c r="AL20" s="12"/>
      <c r="AM20" s="13"/>
      <c r="AN20" s="13"/>
      <c r="AO20" s="11"/>
      <c r="AP20" s="12"/>
      <c r="AQ20" s="12"/>
      <c r="AR20" s="12"/>
      <c r="AS20" s="11"/>
      <c r="AT20" s="13"/>
      <c r="AU20" s="13"/>
      <c r="AV20" s="11"/>
      <c r="AW20" s="12"/>
      <c r="AX20" s="12"/>
      <c r="AY20" s="12"/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379"/>
      <c r="BQ20" s="15"/>
      <c r="BR20" s="19"/>
      <c r="BS20" s="20"/>
      <c r="BT20" s="21"/>
      <c r="BU20" s="22"/>
      <c r="BV20" s="1"/>
      <c r="BW20" s="380"/>
      <c r="BX20" s="387"/>
      <c r="BY20" s="382"/>
      <c r="BZ20" s="2"/>
      <c r="CA20" s="424" t="s">
        <v>142</v>
      </c>
      <c r="CB20" s="425">
        <f>SUM(CB18:CB19)</f>
        <v>3</v>
      </c>
      <c r="CC20" s="426">
        <f>SUM(CC18:CC19)</f>
        <v>51651.840000000011</v>
      </c>
      <c r="CD20" s="425">
        <f>SUM(CD18:CD19)</f>
        <v>4</v>
      </c>
      <c r="CE20" s="426">
        <f>SUM(CE18:CE19)</f>
        <v>51651.840000000011</v>
      </c>
      <c r="CF20" s="357"/>
    </row>
    <row r="21" spans="1:107" s="388" customFormat="1" ht="13.95" customHeight="1" x14ac:dyDescent="0.25">
      <c r="A21" s="365"/>
      <c r="B21" s="376"/>
      <c r="C21" s="376" t="s">
        <v>225</v>
      </c>
      <c r="D21" s="389" t="s">
        <v>256</v>
      </c>
      <c r="E21" s="378" t="s">
        <v>201</v>
      </c>
      <c r="F21" s="378">
        <v>0.82986111111111116</v>
      </c>
      <c r="G21" s="378" t="s">
        <v>251</v>
      </c>
      <c r="H21" s="394">
        <v>30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/>
      <c r="AE21" s="11"/>
      <c r="AF21" s="13"/>
      <c r="AG21" s="13"/>
      <c r="AH21" s="11"/>
      <c r="AI21" s="11"/>
      <c r="AJ21" s="11">
        <v>1</v>
      </c>
      <c r="AK21" s="12"/>
      <c r="AL21" s="12">
        <v>1</v>
      </c>
      <c r="AM21" s="13"/>
      <c r="AN21" s="13"/>
      <c r="AO21" s="11"/>
      <c r="AP21" s="12"/>
      <c r="AQ21" s="12">
        <v>1</v>
      </c>
      <c r="AR21" s="12"/>
      <c r="AS21" s="11">
        <v>1</v>
      </c>
      <c r="AT21" s="13"/>
      <c r="AU21" s="13"/>
      <c r="AV21" s="11"/>
      <c r="AW21" s="12"/>
      <c r="AX21" s="12">
        <v>1</v>
      </c>
      <c r="AY21" s="12"/>
      <c r="AZ21" s="11">
        <v>1</v>
      </c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379">
        <f t="shared" ref="BP21:BP22" si="22">SUM(I21:BO21)</f>
        <v>6</v>
      </c>
      <c r="BQ21" s="390">
        <v>335107</v>
      </c>
      <c r="BR21" s="19">
        <v>0.8</v>
      </c>
      <c r="BS21" s="20">
        <f t="shared" ref="BS21:BS22" si="23">BQ21*(1-BR21)</f>
        <v>67021.39999999998</v>
      </c>
      <c r="BT21" s="21">
        <f t="shared" ref="BT21:BT22" si="24">BS21*BP21</f>
        <v>402128.39999999991</v>
      </c>
      <c r="BU21" s="22">
        <f t="shared" ref="BU21:BU22" si="25">BT21*0.8</f>
        <v>321702.71999999997</v>
      </c>
      <c r="BV21" s="1"/>
      <c r="BW21" s="380">
        <v>3.53</v>
      </c>
      <c r="BX21" s="381">
        <f t="shared" ref="BX21:BX22" si="26">BW21*BP21</f>
        <v>21.18</v>
      </c>
      <c r="BY21" s="382">
        <f t="shared" ref="BY21:BY22" si="27">IFERROR(BU21/BX21,0)</f>
        <v>15188.985835694049</v>
      </c>
      <c r="BZ21" s="2"/>
      <c r="CA21" s="383" t="s">
        <v>225</v>
      </c>
      <c r="CB21" s="384">
        <f t="shared" ref="CB21:CB22" si="28">COUNTA(I21:AM21)</f>
        <v>2</v>
      </c>
      <c r="CC21" s="385">
        <f t="shared" ref="CC21:CC22" si="29">CB21*BS21*0.8</f>
        <v>107234.23999999998</v>
      </c>
      <c r="CD21" s="384">
        <f t="shared" ref="CD21:CD22" si="30">COUNTA(AN21:BO21)</f>
        <v>4</v>
      </c>
      <c r="CE21" s="385">
        <f t="shared" ref="CE21:CE22" si="31">CD21*BS21*0.8</f>
        <v>214468.47999999995</v>
      </c>
      <c r="CF21" s="357" t="b">
        <f t="shared" ref="CF21:CF22" si="32">SUM(CC21,CE21)=BU21</f>
        <v>1</v>
      </c>
    </row>
    <row r="22" spans="1:107" s="388" customFormat="1" ht="13.95" customHeight="1" x14ac:dyDescent="0.25">
      <c r="A22" s="365"/>
      <c r="B22" s="376"/>
      <c r="C22" s="376"/>
      <c r="D22" s="396"/>
      <c r="E22" s="378" t="s">
        <v>201</v>
      </c>
      <c r="F22" s="378">
        <v>0.82986111111111116</v>
      </c>
      <c r="G22" s="378" t="s">
        <v>251</v>
      </c>
      <c r="H22" s="394">
        <v>60</v>
      </c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>
        <v>1</v>
      </c>
      <c r="AF22" s="13"/>
      <c r="AG22" s="13"/>
      <c r="AH22" s="11"/>
      <c r="AI22" s="11"/>
      <c r="AJ22" s="11"/>
      <c r="AK22" s="12"/>
      <c r="AL22" s="12"/>
      <c r="AM22" s="13"/>
      <c r="AN22" s="13"/>
      <c r="AO22" s="11"/>
      <c r="AP22" s="12"/>
      <c r="AQ22" s="12"/>
      <c r="AR22" s="12"/>
      <c r="AS22" s="11"/>
      <c r="AT22" s="13"/>
      <c r="AU22" s="13"/>
      <c r="AV22" s="11"/>
      <c r="AW22" s="12"/>
      <c r="AX22" s="12"/>
      <c r="AY22" s="12"/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379">
        <f t="shared" si="22"/>
        <v>1</v>
      </c>
      <c r="BQ22" s="390">
        <v>670214</v>
      </c>
      <c r="BR22" s="19">
        <v>0.8</v>
      </c>
      <c r="BS22" s="20">
        <f t="shared" si="23"/>
        <v>134042.79999999996</v>
      </c>
      <c r="BT22" s="21">
        <f t="shared" si="24"/>
        <v>134042.79999999996</v>
      </c>
      <c r="BU22" s="22">
        <f t="shared" si="25"/>
        <v>107234.23999999998</v>
      </c>
      <c r="BV22" s="1"/>
      <c r="BW22" s="380">
        <v>3.53</v>
      </c>
      <c r="BX22" s="381">
        <f t="shared" si="26"/>
        <v>3.53</v>
      </c>
      <c r="BY22" s="382">
        <f t="shared" si="27"/>
        <v>30377.971671388095</v>
      </c>
      <c r="BZ22" s="2"/>
      <c r="CA22" s="383" t="s">
        <v>225</v>
      </c>
      <c r="CB22" s="384">
        <f t="shared" si="28"/>
        <v>1</v>
      </c>
      <c r="CC22" s="385">
        <f t="shared" si="29"/>
        <v>107234.23999999998</v>
      </c>
      <c r="CD22" s="384">
        <f t="shared" si="30"/>
        <v>0</v>
      </c>
      <c r="CE22" s="385">
        <f t="shared" si="31"/>
        <v>0</v>
      </c>
      <c r="CF22" s="357" t="b">
        <f t="shared" si="32"/>
        <v>1</v>
      </c>
    </row>
    <row r="23" spans="1:107" s="388" customFormat="1" ht="13.95" customHeight="1" x14ac:dyDescent="0.25">
      <c r="A23" s="365"/>
      <c r="B23" s="376"/>
      <c r="C23" s="376"/>
      <c r="D23" s="396"/>
      <c r="E23" s="378"/>
      <c r="F23" s="378"/>
      <c r="G23" s="378"/>
      <c r="H23" s="394"/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/>
      <c r="AI23" s="11"/>
      <c r="AJ23" s="11"/>
      <c r="AK23" s="12"/>
      <c r="AL23" s="12"/>
      <c r="AM23" s="13"/>
      <c r="AN23" s="13"/>
      <c r="AO23" s="11"/>
      <c r="AP23" s="12"/>
      <c r="AQ23" s="12"/>
      <c r="AR23" s="12"/>
      <c r="AS23" s="11"/>
      <c r="AT23" s="13"/>
      <c r="AU23" s="13"/>
      <c r="AV23" s="11"/>
      <c r="AW23" s="12"/>
      <c r="AX23" s="12"/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379"/>
      <c r="BQ23" s="15"/>
      <c r="BR23" s="386"/>
      <c r="BS23" s="15"/>
      <c r="BT23" s="22"/>
      <c r="BU23" s="22"/>
      <c r="BV23" s="1"/>
      <c r="BW23" s="380"/>
      <c r="BX23" s="387"/>
      <c r="BY23" s="382"/>
      <c r="BZ23" s="2"/>
      <c r="CA23" s="424" t="s">
        <v>142</v>
      </c>
      <c r="CB23" s="425">
        <f>SUM(CB21:CB22)</f>
        <v>3</v>
      </c>
      <c r="CC23" s="426">
        <f>SUM(CC21:CC22)</f>
        <v>214468.47999999995</v>
      </c>
      <c r="CD23" s="425">
        <f>SUM(CD21:CD22)</f>
        <v>4</v>
      </c>
      <c r="CE23" s="426">
        <f>SUM(CE21:CE22)</f>
        <v>214468.47999999995</v>
      </c>
      <c r="CF23" s="357"/>
    </row>
    <row r="24" spans="1:107" s="388" customFormat="1" ht="13.95" customHeight="1" x14ac:dyDescent="0.25">
      <c r="A24" s="365"/>
      <c r="B24" s="376"/>
      <c r="C24" s="376" t="s">
        <v>232</v>
      </c>
      <c r="D24" s="389" t="s">
        <v>257</v>
      </c>
      <c r="E24" s="378" t="s">
        <v>201</v>
      </c>
      <c r="F24" s="378">
        <v>0.82291666666666663</v>
      </c>
      <c r="G24" s="378" t="s">
        <v>251</v>
      </c>
      <c r="H24" s="394">
        <v>30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/>
      <c r="AF24" s="13"/>
      <c r="AG24" s="13"/>
      <c r="AH24" s="11"/>
      <c r="AI24" s="11">
        <v>1</v>
      </c>
      <c r="AJ24" s="11"/>
      <c r="AK24" s="12">
        <v>1</v>
      </c>
      <c r="AL24" s="12"/>
      <c r="AM24" s="13"/>
      <c r="AN24" s="13"/>
      <c r="AO24" s="11"/>
      <c r="AP24" s="12">
        <v>1</v>
      </c>
      <c r="AQ24" s="12"/>
      <c r="AR24" s="12">
        <v>1</v>
      </c>
      <c r="AS24" s="11"/>
      <c r="AT24" s="13"/>
      <c r="AU24" s="13"/>
      <c r="AV24" s="11"/>
      <c r="AW24" s="12">
        <v>1</v>
      </c>
      <c r="AX24" s="12"/>
      <c r="AY24" s="12">
        <v>1</v>
      </c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379">
        <f t="shared" ref="BP24" si="33">SUM(I24:BO24)</f>
        <v>6</v>
      </c>
      <c r="BQ24" s="390">
        <v>155300</v>
      </c>
      <c r="BR24" s="19">
        <v>0.75</v>
      </c>
      <c r="BS24" s="20">
        <f t="shared" ref="BS24" si="34">BQ24*(1-BR24)</f>
        <v>38825</v>
      </c>
      <c r="BT24" s="21">
        <f t="shared" ref="BT24" si="35">BS24*BP24</f>
        <v>232950</v>
      </c>
      <c r="BU24" s="421">
        <f t="shared" ref="BU24" si="36">BT24*0.8</f>
        <v>186360</v>
      </c>
      <c r="BV24" s="1"/>
      <c r="BW24" s="380">
        <v>1.91</v>
      </c>
      <c r="BX24" s="381">
        <f t="shared" ref="BX24" si="37">BW24*BP24</f>
        <v>11.459999999999999</v>
      </c>
      <c r="BY24" s="382">
        <f t="shared" ref="BY24" si="38">IFERROR(BU24/BX24,0)</f>
        <v>16261.780104712043</v>
      </c>
      <c r="BZ24" s="2"/>
      <c r="CA24" s="383" t="s">
        <v>232</v>
      </c>
      <c r="CB24" s="384">
        <f t="shared" ref="CB24" si="39">COUNTA(I24:AM24)</f>
        <v>2</v>
      </c>
      <c r="CC24" s="385">
        <f t="shared" ref="CC24" si="40">CB24*BS24*0.8</f>
        <v>62120</v>
      </c>
      <c r="CD24" s="384">
        <f t="shared" ref="CD24" si="41">COUNTA(AN24:BO24)</f>
        <v>4</v>
      </c>
      <c r="CE24" s="385">
        <f t="shared" ref="CE24" si="42">CD24*BS24*0.8</f>
        <v>124240</v>
      </c>
      <c r="CF24" s="357" t="b">
        <f t="shared" ref="CF24" si="43">SUM(CC24,CE24)=BU24</f>
        <v>1</v>
      </c>
    </row>
    <row r="25" spans="1:107" s="388" customFormat="1" ht="13.95" customHeight="1" x14ac:dyDescent="0.25">
      <c r="A25" s="365"/>
      <c r="B25" s="376"/>
      <c r="C25" s="376"/>
      <c r="D25" s="377"/>
      <c r="E25" s="378"/>
      <c r="F25" s="378"/>
      <c r="G25" s="378"/>
      <c r="H25" s="394"/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/>
      <c r="AE25" s="11"/>
      <c r="AF25" s="13"/>
      <c r="AG25" s="13"/>
      <c r="AH25" s="11"/>
      <c r="AI25" s="11"/>
      <c r="AJ25" s="11"/>
      <c r="AK25" s="12"/>
      <c r="AL25" s="12"/>
      <c r="AM25" s="13"/>
      <c r="AN25" s="13"/>
      <c r="AO25" s="11"/>
      <c r="AP25" s="12"/>
      <c r="AQ25" s="12"/>
      <c r="AR25" s="12"/>
      <c r="AS25" s="11"/>
      <c r="AT25" s="13"/>
      <c r="AU25" s="13"/>
      <c r="AV25" s="11"/>
      <c r="AW25" s="12"/>
      <c r="AX25" s="12"/>
      <c r="AY25" s="12"/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379"/>
      <c r="BQ25" s="390"/>
      <c r="BR25" s="19"/>
      <c r="BS25" s="20"/>
      <c r="BT25" s="21"/>
      <c r="BU25" s="170"/>
      <c r="BV25" s="1"/>
      <c r="BW25" s="380"/>
      <c r="BX25" s="381"/>
      <c r="BY25" s="382"/>
      <c r="BZ25" s="2"/>
      <c r="CA25" s="424" t="s">
        <v>142</v>
      </c>
      <c r="CB25" s="425">
        <f>SUM(CB24)</f>
        <v>2</v>
      </c>
      <c r="CC25" s="426">
        <f>SUM(CC24)</f>
        <v>62120</v>
      </c>
      <c r="CD25" s="425">
        <f>SUM(CD24)</f>
        <v>4</v>
      </c>
      <c r="CE25" s="426">
        <f>SUM(CE24)</f>
        <v>124240</v>
      </c>
      <c r="CF25" s="357"/>
    </row>
    <row r="26" spans="1:107" s="388" customFormat="1" ht="13.95" customHeight="1" x14ac:dyDescent="0.25">
      <c r="A26" s="365"/>
      <c r="B26" s="376"/>
      <c r="C26" s="376" t="s">
        <v>250</v>
      </c>
      <c r="D26" s="389" t="s">
        <v>258</v>
      </c>
      <c r="E26" s="378" t="s">
        <v>201</v>
      </c>
      <c r="F26" s="378">
        <v>0.82986111111111116</v>
      </c>
      <c r="G26" s="378" t="s">
        <v>188</v>
      </c>
      <c r="H26" s="394">
        <v>30</v>
      </c>
      <c r="I26" s="11"/>
      <c r="J26" s="11"/>
      <c r="K26" s="13"/>
      <c r="L26" s="13"/>
      <c r="M26" s="11"/>
      <c r="N26" s="12"/>
      <c r="O26" s="12"/>
      <c r="P26" s="12"/>
      <c r="Q26" s="11"/>
      <c r="R26" s="13"/>
      <c r="S26" s="13"/>
      <c r="T26" s="11"/>
      <c r="U26" s="12"/>
      <c r="V26" s="12"/>
      <c r="W26" s="12"/>
      <c r="X26" s="11"/>
      <c r="Y26" s="13"/>
      <c r="Z26" s="13"/>
      <c r="AA26" s="11"/>
      <c r="AB26" s="12"/>
      <c r="AC26" s="12"/>
      <c r="AD26" s="12"/>
      <c r="AE26" s="11"/>
      <c r="AF26" s="13"/>
      <c r="AG26" s="13"/>
      <c r="AH26" s="11"/>
      <c r="AI26" s="11">
        <v>1</v>
      </c>
      <c r="AJ26" s="11"/>
      <c r="AK26" s="12"/>
      <c r="AL26" s="12">
        <v>1</v>
      </c>
      <c r="AM26" s="13"/>
      <c r="AN26" s="13"/>
      <c r="AO26" s="11"/>
      <c r="AP26" s="12">
        <v>1</v>
      </c>
      <c r="AQ26" s="12"/>
      <c r="AR26" s="12"/>
      <c r="AS26" s="11">
        <v>1</v>
      </c>
      <c r="AT26" s="13"/>
      <c r="AU26" s="13"/>
      <c r="AV26" s="11"/>
      <c r="AW26" s="12">
        <v>1</v>
      </c>
      <c r="AX26" s="12"/>
      <c r="AY26" s="12"/>
      <c r="AZ26" s="11">
        <v>1</v>
      </c>
      <c r="BA26" s="13"/>
      <c r="BB26" s="13"/>
      <c r="BC26" s="11"/>
      <c r="BD26" s="12"/>
      <c r="BE26" s="12"/>
      <c r="BF26" s="12"/>
      <c r="BG26" s="11"/>
      <c r="BH26" s="13"/>
      <c r="BI26" s="13"/>
      <c r="BJ26" s="11"/>
      <c r="BK26" s="12"/>
      <c r="BL26" s="12"/>
      <c r="BM26" s="12"/>
      <c r="BN26" s="11"/>
      <c r="BO26" s="13"/>
      <c r="BP26" s="379">
        <f t="shared" ref="BP26:BP27" si="44">SUM(I26:BO26)</f>
        <v>6</v>
      </c>
      <c r="BQ26" s="390">
        <v>83652</v>
      </c>
      <c r="BR26" s="19">
        <v>0.85</v>
      </c>
      <c r="BS26" s="20">
        <f t="shared" ref="BS26:BS27" si="45">BQ26*(1-BR26)</f>
        <v>12547.800000000001</v>
      </c>
      <c r="BT26" s="21">
        <f t="shared" ref="BT26:BT27" si="46">BS26*BP26</f>
        <v>75286.8</v>
      </c>
      <c r="BU26" s="421">
        <f t="shared" ref="BU26:BU27" si="47">BT26*0.8</f>
        <v>60229.440000000002</v>
      </c>
      <c r="BV26" s="1"/>
      <c r="BW26" s="380">
        <v>0.14000000000000001</v>
      </c>
      <c r="BX26" s="381">
        <f t="shared" ref="BX26:BX27" si="48">BW26*BP26</f>
        <v>0.84000000000000008</v>
      </c>
      <c r="BY26" s="382">
        <f>IFERROR(BU26/BX26,0)</f>
        <v>71701.714285714275</v>
      </c>
      <c r="BZ26" s="2"/>
      <c r="CA26" s="383" t="s">
        <v>250</v>
      </c>
      <c r="CB26" s="384">
        <f>COUNTA(I26:AM26)</f>
        <v>2</v>
      </c>
      <c r="CC26" s="385">
        <f t="shared" ref="CC26:CC27" si="49">CB26*BS26*0.8</f>
        <v>20076.480000000003</v>
      </c>
      <c r="CD26" s="384">
        <f t="shared" ref="CD26:CD27" si="50">COUNTA(AN26:BO26)</f>
        <v>4</v>
      </c>
      <c r="CE26" s="385">
        <f t="shared" ref="CE26:CE27" si="51">CD26*BS26*0.8</f>
        <v>40152.960000000006</v>
      </c>
      <c r="CF26" s="357" t="b">
        <f t="shared" ref="CF26:CF27" si="52">SUM(CC26,CE26)=BU26</f>
        <v>1</v>
      </c>
    </row>
    <row r="27" spans="1:107" s="388" customFormat="1" ht="13.95" customHeight="1" x14ac:dyDescent="0.25">
      <c r="A27" s="365"/>
      <c r="B27" s="376"/>
      <c r="C27" s="376"/>
      <c r="D27" s="396"/>
      <c r="E27" s="378" t="s">
        <v>201</v>
      </c>
      <c r="F27" s="378">
        <v>0.82986111111111116</v>
      </c>
      <c r="G27" s="378" t="s">
        <v>188</v>
      </c>
      <c r="H27" s="394">
        <v>60</v>
      </c>
      <c r="I27" s="11"/>
      <c r="J27" s="11"/>
      <c r="K27" s="13"/>
      <c r="L27" s="13"/>
      <c r="M27" s="11"/>
      <c r="N27" s="12"/>
      <c r="O27" s="12"/>
      <c r="P27" s="12"/>
      <c r="Q27" s="11"/>
      <c r="R27" s="13"/>
      <c r="S27" s="13"/>
      <c r="T27" s="11"/>
      <c r="U27" s="12"/>
      <c r="V27" s="12"/>
      <c r="W27" s="12"/>
      <c r="X27" s="11"/>
      <c r="Y27" s="13"/>
      <c r="Z27" s="13"/>
      <c r="AA27" s="11"/>
      <c r="AB27" s="12"/>
      <c r="AC27" s="12"/>
      <c r="AD27" s="12"/>
      <c r="AE27" s="11">
        <v>1</v>
      </c>
      <c r="AF27" s="13"/>
      <c r="AG27" s="13"/>
      <c r="AH27" s="11"/>
      <c r="AI27" s="11"/>
      <c r="AJ27" s="11"/>
      <c r="AK27" s="12"/>
      <c r="AL27" s="12"/>
      <c r="AM27" s="13"/>
      <c r="AN27" s="13"/>
      <c r="AO27" s="11"/>
      <c r="AP27" s="12"/>
      <c r="AQ27" s="12"/>
      <c r="AR27" s="12"/>
      <c r="AS27" s="11"/>
      <c r="AT27" s="13"/>
      <c r="AU27" s="13"/>
      <c r="AV27" s="11"/>
      <c r="AW27" s="12"/>
      <c r="AX27" s="12"/>
      <c r="AY27" s="12"/>
      <c r="AZ27" s="11"/>
      <c r="BA27" s="13"/>
      <c r="BB27" s="13"/>
      <c r="BC27" s="11"/>
      <c r="BD27" s="12"/>
      <c r="BE27" s="12"/>
      <c r="BF27" s="12"/>
      <c r="BG27" s="11"/>
      <c r="BH27" s="13"/>
      <c r="BI27" s="13"/>
      <c r="BJ27" s="11"/>
      <c r="BK27" s="12"/>
      <c r="BL27" s="12"/>
      <c r="BM27" s="12"/>
      <c r="BN27" s="11"/>
      <c r="BO27" s="13"/>
      <c r="BP27" s="379">
        <f t="shared" si="44"/>
        <v>1</v>
      </c>
      <c r="BQ27" s="390">
        <v>167304</v>
      </c>
      <c r="BR27" s="19">
        <v>0.85</v>
      </c>
      <c r="BS27" s="20">
        <f t="shared" si="45"/>
        <v>25095.600000000002</v>
      </c>
      <c r="BT27" s="21">
        <f t="shared" si="46"/>
        <v>25095.600000000002</v>
      </c>
      <c r="BU27" s="421">
        <f t="shared" si="47"/>
        <v>20076.480000000003</v>
      </c>
      <c r="BV27" s="1"/>
      <c r="BW27" s="380">
        <v>0.14000000000000001</v>
      </c>
      <c r="BX27" s="381">
        <f t="shared" si="48"/>
        <v>0.14000000000000001</v>
      </c>
      <c r="BY27" s="382">
        <f t="shared" ref="BY27" si="53">IFERROR(BU27/BX27,0)</f>
        <v>143403.42857142858</v>
      </c>
      <c r="BZ27" s="2"/>
      <c r="CA27" s="383" t="s">
        <v>250</v>
      </c>
      <c r="CB27" s="384">
        <f t="shared" ref="CB27" si="54">COUNTA(I27:AM27)</f>
        <v>1</v>
      </c>
      <c r="CC27" s="385">
        <f t="shared" si="49"/>
        <v>20076.480000000003</v>
      </c>
      <c r="CD27" s="384">
        <f t="shared" si="50"/>
        <v>0</v>
      </c>
      <c r="CE27" s="385">
        <f t="shared" si="51"/>
        <v>0</v>
      </c>
      <c r="CF27" s="357" t="b">
        <f t="shared" si="52"/>
        <v>1</v>
      </c>
    </row>
    <row r="28" spans="1:107" s="388" customFormat="1" ht="13.95" customHeight="1" x14ac:dyDescent="0.25">
      <c r="A28" s="365"/>
      <c r="B28" s="376"/>
      <c r="C28" s="376"/>
      <c r="D28" s="396"/>
      <c r="E28" s="378"/>
      <c r="F28" s="378"/>
      <c r="G28" s="378"/>
      <c r="H28" s="394"/>
      <c r="I28" s="11"/>
      <c r="J28" s="11"/>
      <c r="K28" s="13"/>
      <c r="L28" s="13"/>
      <c r="M28" s="11"/>
      <c r="N28" s="12"/>
      <c r="O28" s="12"/>
      <c r="P28" s="12"/>
      <c r="Q28" s="11"/>
      <c r="R28" s="13"/>
      <c r="S28" s="13"/>
      <c r="T28" s="11"/>
      <c r="U28" s="12"/>
      <c r="V28" s="12"/>
      <c r="W28" s="12"/>
      <c r="X28" s="11"/>
      <c r="Y28" s="13"/>
      <c r="Z28" s="13"/>
      <c r="AA28" s="11"/>
      <c r="AB28" s="12"/>
      <c r="AC28" s="12"/>
      <c r="AD28" s="12"/>
      <c r="AE28" s="11"/>
      <c r="AF28" s="13"/>
      <c r="AG28" s="13"/>
      <c r="AH28" s="11"/>
      <c r="AI28" s="11"/>
      <c r="AJ28" s="11"/>
      <c r="AK28" s="12"/>
      <c r="AL28" s="12"/>
      <c r="AM28" s="13"/>
      <c r="AN28" s="13"/>
      <c r="AO28" s="11"/>
      <c r="AP28" s="12"/>
      <c r="AQ28" s="12"/>
      <c r="AR28" s="12"/>
      <c r="AS28" s="11"/>
      <c r="AT28" s="13"/>
      <c r="AU28" s="13"/>
      <c r="AV28" s="11"/>
      <c r="AW28" s="12"/>
      <c r="AX28" s="12"/>
      <c r="AY28" s="12"/>
      <c r="AZ28" s="11"/>
      <c r="BA28" s="13"/>
      <c r="BB28" s="13"/>
      <c r="BC28" s="11"/>
      <c r="BD28" s="12"/>
      <c r="BE28" s="12"/>
      <c r="BF28" s="12"/>
      <c r="BG28" s="11"/>
      <c r="BH28" s="13"/>
      <c r="BI28" s="13"/>
      <c r="BJ28" s="11"/>
      <c r="BK28" s="12"/>
      <c r="BL28" s="12"/>
      <c r="BM28" s="12"/>
      <c r="BN28" s="11"/>
      <c r="BO28" s="13"/>
      <c r="BP28" s="379"/>
      <c r="BQ28" s="15"/>
      <c r="BR28" s="386"/>
      <c r="BS28" s="15"/>
      <c r="BT28" s="22"/>
      <c r="BU28" s="22"/>
      <c r="BV28" s="1"/>
      <c r="BW28" s="455"/>
      <c r="BX28" s="456"/>
      <c r="BY28" s="457"/>
      <c r="BZ28" s="2"/>
      <c r="CA28" s="424" t="s">
        <v>142</v>
      </c>
      <c r="CB28" s="425">
        <f>SUM(CB26:CB27)</f>
        <v>3</v>
      </c>
      <c r="CC28" s="426">
        <f>SUM(CC26:CC27)</f>
        <v>40152.960000000006</v>
      </c>
      <c r="CD28" s="425">
        <f>SUM(CD26:CD27)</f>
        <v>4</v>
      </c>
      <c r="CE28" s="426">
        <f>SUM(CE26:CE27)</f>
        <v>40152.960000000006</v>
      </c>
      <c r="CF28" s="357"/>
    </row>
    <row r="29" spans="1:107" ht="3.75" customHeight="1" x14ac:dyDescent="0.25">
      <c r="A29" s="365"/>
      <c r="B29" s="397"/>
      <c r="C29" s="398"/>
      <c r="D29" s="398"/>
      <c r="E29" s="398"/>
      <c r="F29" s="398"/>
      <c r="G29" s="398"/>
      <c r="H29" s="398"/>
      <c r="I29" s="398"/>
      <c r="J29" s="398"/>
      <c r="K29" s="398"/>
      <c r="L29" s="398"/>
      <c r="M29" s="398"/>
      <c r="N29" s="398"/>
      <c r="O29" s="398"/>
      <c r="P29" s="398"/>
      <c r="Q29" s="398"/>
      <c r="R29" s="398"/>
      <c r="S29" s="398"/>
      <c r="T29" s="398"/>
      <c r="U29" s="398"/>
      <c r="V29" s="398"/>
      <c r="W29" s="398"/>
      <c r="X29" s="398"/>
      <c r="Y29" s="398"/>
      <c r="Z29" s="398"/>
      <c r="AA29" s="398"/>
      <c r="AB29" s="398"/>
      <c r="AC29" s="398"/>
      <c r="AD29" s="398"/>
      <c r="AE29" s="398"/>
      <c r="AF29" s="13"/>
      <c r="AG29" s="13"/>
      <c r="AH29" s="398"/>
      <c r="AI29" s="398"/>
      <c r="AJ29" s="398"/>
      <c r="AK29" s="398"/>
      <c r="AL29" s="398"/>
      <c r="AM29" s="13"/>
      <c r="AN29" s="398"/>
      <c r="AO29" s="398"/>
      <c r="AP29" s="398"/>
      <c r="AQ29" s="398"/>
      <c r="AR29" s="398"/>
      <c r="AS29" s="398"/>
      <c r="AT29" s="398"/>
      <c r="AU29" s="398"/>
      <c r="AV29" s="398"/>
      <c r="AW29" s="398"/>
      <c r="AX29" s="398"/>
      <c r="AY29" s="398"/>
      <c r="AZ29" s="398"/>
      <c r="BA29" s="398"/>
      <c r="BB29" s="398"/>
      <c r="BC29" s="398"/>
      <c r="BD29" s="398"/>
      <c r="BE29" s="398"/>
      <c r="BF29" s="398"/>
      <c r="BG29" s="398"/>
      <c r="BH29" s="398"/>
      <c r="BI29" s="398"/>
      <c r="BJ29" s="398"/>
      <c r="BK29" s="13"/>
      <c r="BL29" s="13"/>
      <c r="BM29" s="398"/>
      <c r="BN29" s="398"/>
      <c r="BO29" s="398"/>
      <c r="BP29" s="398"/>
      <c r="BQ29" s="398"/>
      <c r="BR29" s="398"/>
      <c r="BS29" s="398"/>
      <c r="BT29" s="23"/>
      <c r="BU29" s="24"/>
      <c r="BY29" s="399"/>
      <c r="CA29" s="400"/>
      <c r="CB29" s="401"/>
      <c r="CC29" s="402"/>
      <c r="CD29" s="401"/>
      <c r="CE29" s="402"/>
    </row>
    <row r="30" spans="1:107" s="436" customFormat="1" x14ac:dyDescent="0.3">
      <c r="A30" s="433"/>
      <c r="B30" s="25" t="s">
        <v>189</v>
      </c>
      <c r="C30" s="403"/>
      <c r="D30" s="403"/>
      <c r="E30" s="403"/>
      <c r="F30" s="403"/>
      <c r="G30" s="403"/>
      <c r="H30" s="403"/>
      <c r="I30" s="403">
        <f>COUNTA(I12:I16)</f>
        <v>0</v>
      </c>
      <c r="J30" s="403">
        <f>COUNTA(J12:J16)</f>
        <v>0</v>
      </c>
      <c r="K30" s="403">
        <f>COUNTA(K12:K16)</f>
        <v>0</v>
      </c>
      <c r="L30" s="403">
        <f>COUNTA(L12:L16)</f>
        <v>0</v>
      </c>
      <c r="M30" s="403">
        <f>COUNTA(M12:M16)</f>
        <v>0</v>
      </c>
      <c r="N30" s="403">
        <f>SUM(N12:N16)</f>
        <v>0</v>
      </c>
      <c r="O30" s="403">
        <f>SUM(O12:O16)</f>
        <v>0</v>
      </c>
      <c r="P30" s="403">
        <f>SUM(P12:P16)</f>
        <v>0</v>
      </c>
      <c r="Q30" s="403">
        <f t="shared" ref="Q30:BJ30" si="55">SUM(Q12:Q28)</f>
        <v>0</v>
      </c>
      <c r="R30" s="403">
        <f t="shared" si="55"/>
        <v>0</v>
      </c>
      <c r="S30" s="403">
        <f t="shared" si="55"/>
        <v>0</v>
      </c>
      <c r="T30" s="403">
        <f t="shared" si="55"/>
        <v>0</v>
      </c>
      <c r="U30" s="403">
        <f t="shared" si="55"/>
        <v>0</v>
      </c>
      <c r="V30" s="403">
        <f t="shared" si="55"/>
        <v>0</v>
      </c>
      <c r="W30" s="403">
        <f t="shared" si="55"/>
        <v>0</v>
      </c>
      <c r="X30" s="403">
        <f t="shared" si="55"/>
        <v>0</v>
      </c>
      <c r="Y30" s="403">
        <f t="shared" si="55"/>
        <v>0</v>
      </c>
      <c r="Z30" s="403">
        <f t="shared" si="55"/>
        <v>0</v>
      </c>
      <c r="AA30" s="403">
        <f t="shared" si="55"/>
        <v>0</v>
      </c>
      <c r="AB30" s="403">
        <f t="shared" si="55"/>
        <v>0</v>
      </c>
      <c r="AC30" s="403">
        <f t="shared" si="55"/>
        <v>0</v>
      </c>
      <c r="AD30" s="403">
        <f t="shared" si="55"/>
        <v>2</v>
      </c>
      <c r="AE30" s="403">
        <f t="shared" si="55"/>
        <v>3</v>
      </c>
      <c r="AF30" s="403">
        <f t="shared" si="55"/>
        <v>0</v>
      </c>
      <c r="AG30" s="403">
        <f t="shared" si="55"/>
        <v>0</v>
      </c>
      <c r="AH30" s="403">
        <f t="shared" si="55"/>
        <v>1</v>
      </c>
      <c r="AI30" s="403">
        <f t="shared" si="55"/>
        <v>3</v>
      </c>
      <c r="AJ30" s="403">
        <f t="shared" si="55"/>
        <v>2</v>
      </c>
      <c r="AK30" s="403">
        <f t="shared" si="55"/>
        <v>3</v>
      </c>
      <c r="AL30" s="403">
        <f t="shared" si="55"/>
        <v>3</v>
      </c>
      <c r="AM30" s="403">
        <f t="shared" si="55"/>
        <v>0</v>
      </c>
      <c r="AN30" s="403">
        <f t="shared" si="55"/>
        <v>0</v>
      </c>
      <c r="AO30" s="403">
        <f t="shared" si="55"/>
        <v>1</v>
      </c>
      <c r="AP30" s="403">
        <f t="shared" si="55"/>
        <v>4</v>
      </c>
      <c r="AQ30" s="403">
        <f t="shared" si="55"/>
        <v>1</v>
      </c>
      <c r="AR30" s="403">
        <f t="shared" si="55"/>
        <v>3</v>
      </c>
      <c r="AS30" s="403">
        <f t="shared" si="55"/>
        <v>3</v>
      </c>
      <c r="AT30" s="403">
        <f t="shared" si="55"/>
        <v>0</v>
      </c>
      <c r="AU30" s="403">
        <f t="shared" si="55"/>
        <v>0</v>
      </c>
      <c r="AV30" s="403">
        <f t="shared" si="55"/>
        <v>1</v>
      </c>
      <c r="AW30" s="403">
        <f t="shared" si="55"/>
        <v>3</v>
      </c>
      <c r="AX30" s="403">
        <f t="shared" si="55"/>
        <v>2</v>
      </c>
      <c r="AY30" s="403">
        <f t="shared" si="55"/>
        <v>3</v>
      </c>
      <c r="AZ30" s="403">
        <f t="shared" si="55"/>
        <v>3</v>
      </c>
      <c r="BA30" s="403">
        <f t="shared" si="55"/>
        <v>0</v>
      </c>
      <c r="BB30" s="403">
        <f t="shared" si="55"/>
        <v>0</v>
      </c>
      <c r="BC30" s="403">
        <f t="shared" si="55"/>
        <v>0</v>
      </c>
      <c r="BD30" s="403">
        <f t="shared" si="55"/>
        <v>0</v>
      </c>
      <c r="BE30" s="403">
        <f t="shared" si="55"/>
        <v>0</v>
      </c>
      <c r="BF30" s="403">
        <f t="shared" si="55"/>
        <v>0</v>
      </c>
      <c r="BG30" s="403">
        <f t="shared" si="55"/>
        <v>0</v>
      </c>
      <c r="BH30" s="403">
        <f t="shared" si="55"/>
        <v>0</v>
      </c>
      <c r="BI30" s="403">
        <f t="shared" si="55"/>
        <v>0</v>
      </c>
      <c r="BJ30" s="403">
        <f t="shared" si="55"/>
        <v>0</v>
      </c>
      <c r="BK30" s="403">
        <f>SUM(BK13:BK29)</f>
        <v>0</v>
      </c>
      <c r="BL30" s="403">
        <f>SUM(BL13:BL29)</f>
        <v>0</v>
      </c>
      <c r="BM30" s="403">
        <f>SUM(BM12:BM16)</f>
        <v>0</v>
      </c>
      <c r="BN30" s="403">
        <f>SUM(BN12:BN16)</f>
        <v>0</v>
      </c>
      <c r="BO30" s="403">
        <f>SUM(BO12:BO16)</f>
        <v>0</v>
      </c>
      <c r="BP30" s="404">
        <f>SUM(BP13:BP28)</f>
        <v>41</v>
      </c>
      <c r="BQ30" s="26"/>
      <c r="BR30" s="26"/>
      <c r="BS30" s="434"/>
      <c r="BT30" s="435">
        <f>SUM(BT13:BT28)</f>
        <v>1853330.8000000003</v>
      </c>
      <c r="BU30" s="435">
        <f>SUM(BU13:BU28)</f>
        <v>1482664.64</v>
      </c>
      <c r="BW30" s="437"/>
      <c r="BX30" s="438">
        <f>SUM(BX13:BX27)</f>
        <v>157.39000000000001</v>
      </c>
      <c r="BY30" s="439">
        <f>BU30/BX30</f>
        <v>9420.3230192515384</v>
      </c>
      <c r="CA30" s="427" t="s">
        <v>171</v>
      </c>
      <c r="CB30" s="440">
        <f>CB17+CB20+CB23+CB28+CB25</f>
        <v>17</v>
      </c>
      <c r="CC30" s="441">
        <f>CC17+CC20+CC23+CC28+CC25</f>
        <v>710272.32</v>
      </c>
      <c r="CD30" s="440">
        <f>CD17+CD20+CD23+CD28+CD25</f>
        <v>24</v>
      </c>
      <c r="CE30" s="441">
        <f>CE17+CE20+CE23+CE28+CE25</f>
        <v>772392.32</v>
      </c>
      <c r="CF30" s="442"/>
    </row>
    <row r="31" spans="1:107" x14ac:dyDescent="0.25">
      <c r="A31" s="2"/>
      <c r="B31" s="2"/>
      <c r="C31" s="2"/>
      <c r="D31" s="2"/>
      <c r="E31" s="2"/>
      <c r="F31" s="2"/>
      <c r="G31" s="2"/>
      <c r="H31" s="35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422" t="s">
        <v>248</v>
      </c>
      <c r="BU31" s="412">
        <f>SUM(BU24:BU27)</f>
        <v>266665.92</v>
      </c>
      <c r="CC31" s="361"/>
      <c r="CD31" s="428"/>
      <c r="CE31" s="429"/>
    </row>
    <row r="32" spans="1:107" s="357" customFormat="1" x14ac:dyDescent="0.25">
      <c r="A32" s="1"/>
      <c r="B32" s="1"/>
      <c r="C32" s="1"/>
      <c r="D32" s="414"/>
      <c r="E32" s="1"/>
      <c r="F32" s="1"/>
      <c r="G32" s="1"/>
      <c r="H32" s="35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423" t="s">
        <v>249</v>
      </c>
      <c r="BU32" s="360">
        <f>BU30-BU31</f>
        <v>1215998.72</v>
      </c>
      <c r="BV32" s="1"/>
      <c r="BW32" s="1"/>
      <c r="BX32" s="1"/>
      <c r="BY32" s="1"/>
      <c r="BZ32" s="1"/>
      <c r="CA32" s="355"/>
      <c r="CB32" s="355"/>
      <c r="CC32" s="355"/>
      <c r="CD32" s="430" t="s">
        <v>142</v>
      </c>
      <c r="CE32" s="431">
        <f>CC30+CE30</f>
        <v>1482664.64</v>
      </c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 s="357" customFormat="1" x14ac:dyDescent="0.25">
      <c r="A33" s="1"/>
      <c r="B33" s="1"/>
      <c r="C33" s="1"/>
      <c r="D33" s="414"/>
      <c r="E33" s="1"/>
      <c r="F33" s="1"/>
      <c r="G33" s="1"/>
      <c r="H33" s="35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413"/>
      <c r="BV33" s="1"/>
      <c r="BW33" s="1"/>
      <c r="BX33" s="1"/>
      <c r="BY33" s="1"/>
      <c r="BZ33" s="1"/>
      <c r="CA33" s="355"/>
      <c r="CB33" s="355"/>
      <c r="CC33" s="355"/>
      <c r="CD33" s="355"/>
      <c r="CE33" s="432" t="b">
        <f>CE32=BU30</f>
        <v>1</v>
      </c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s="357" customFormat="1" x14ac:dyDescent="0.25">
      <c r="A34" s="1"/>
      <c r="B34" s="1"/>
      <c r="C34" s="1"/>
      <c r="D34" s="1"/>
      <c r="E34" s="1"/>
      <c r="F34" s="1"/>
      <c r="G34" s="1"/>
      <c r="H34" s="35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413"/>
      <c r="BV34" s="1"/>
      <c r="BW34" s="1"/>
      <c r="BX34" s="1"/>
      <c r="BY34" s="1"/>
      <c r="BZ34" s="1"/>
      <c r="CA34" s="355"/>
      <c r="CB34" s="355"/>
      <c r="CC34" s="355"/>
      <c r="CD34" s="355"/>
      <c r="CE34" s="355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</sheetData>
  <mergeCells count="23">
    <mergeCell ref="BW8:BW10"/>
    <mergeCell ref="BX8:BX10"/>
    <mergeCell ref="BY8:BY10"/>
    <mergeCell ref="CA8:CE9"/>
    <mergeCell ref="CA10:CA12"/>
    <mergeCell ref="CB10:CC11"/>
    <mergeCell ref="CD10:CE11"/>
    <mergeCell ref="BU8:BU10"/>
    <mergeCell ref="BW7:BY7"/>
    <mergeCell ref="B8:B10"/>
    <mergeCell ref="C8:C10"/>
    <mergeCell ref="D8:D10"/>
    <mergeCell ref="E8:E10"/>
    <mergeCell ref="F8:F10"/>
    <mergeCell ref="G8:G10"/>
    <mergeCell ref="H8:H10"/>
    <mergeCell ref="I8:AM8"/>
    <mergeCell ref="AN8:BO8"/>
    <mergeCell ref="BP8:BP10"/>
    <mergeCell ref="BQ8:BQ10"/>
    <mergeCell ref="BR8:BR10"/>
    <mergeCell ref="BS8:BS10"/>
    <mergeCell ref="BT8:BT10"/>
  </mergeCells>
  <conditionalFormatting sqref="I12:BO28">
    <cfRule type="notContainsBlanks" dxfId="124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72AD-0757-4202-9016-8643A9822149}">
  <sheetPr>
    <tabColor theme="4"/>
  </sheetPr>
  <dimension ref="A1:DC31"/>
  <sheetViews>
    <sheetView showGridLines="0" zoomScaleNormal="100" workbookViewId="0">
      <pane xSplit="4" ySplit="10" topLeftCell="BP11" activePane="bottomRight" state="frozen"/>
      <selection activeCell="CA117" sqref="CA117"/>
      <selection pane="topRight" activeCell="CA117" sqref="CA117"/>
      <selection pane="bottomLeft" activeCell="CA117" sqref="CA117"/>
      <selection pane="bottomRight" activeCell="CA117" sqref="CA117"/>
    </sheetView>
  </sheetViews>
  <sheetFormatPr defaultColWidth="8.796875" defaultRowHeight="13.2" x14ac:dyDescent="0.25"/>
  <cols>
    <col min="1" max="1" width="4" style="1" customWidth="1"/>
    <col min="2" max="2" width="20.19921875" style="1" customWidth="1"/>
    <col min="3" max="3" width="13.5" style="1" customWidth="1"/>
    <col min="4" max="4" width="30.296875" style="1" bestFit="1" customWidth="1"/>
    <col min="5" max="7" width="13.69921875" style="1" customWidth="1"/>
    <col min="8" max="8" width="10.3984375" style="355" customWidth="1"/>
    <col min="9" max="26" width="4.296875" style="1" hidden="1" customWidth="1"/>
    <col min="27" max="54" width="4.296875" style="1" customWidth="1"/>
    <col min="55" max="67" width="4.296875" style="1" hidden="1" customWidth="1"/>
    <col min="68" max="68" width="9" style="1" customWidth="1"/>
    <col min="69" max="69" width="12.5" style="1" customWidth="1"/>
    <col min="70" max="70" width="8.796875" style="1"/>
    <col min="71" max="71" width="14.796875" style="1" customWidth="1"/>
    <col min="72" max="72" width="16.59765625" style="1" customWidth="1"/>
    <col min="73" max="73" width="18.296875" style="1" customWidth="1"/>
    <col min="74" max="74" width="2.69921875" style="1" customWidth="1"/>
    <col min="75" max="76" width="11.69921875" style="1" customWidth="1"/>
    <col min="77" max="77" width="14" style="1" customWidth="1"/>
    <col min="78" max="78" width="3.69921875" style="1" customWidth="1"/>
    <col min="79" max="79" width="16.3984375" style="355" customWidth="1"/>
    <col min="80" max="80" width="3.69921875" style="355" customWidth="1"/>
    <col min="81" max="81" width="15.5" style="355" customWidth="1"/>
    <col min="82" max="82" width="3.69921875" style="355" customWidth="1"/>
    <col min="83" max="83" width="15.5" style="355" customWidth="1"/>
    <col min="84" max="84" width="11.59765625" style="357" customWidth="1"/>
    <col min="85" max="16384" width="8.796875" style="1"/>
  </cols>
  <sheetData>
    <row r="1" spans="1:84" x14ac:dyDescent="0.25">
      <c r="N1" s="356"/>
      <c r="O1" s="356"/>
      <c r="AS1" s="356"/>
      <c r="AT1" s="356"/>
    </row>
    <row r="2" spans="1:84" ht="15.6" x14ac:dyDescent="0.3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5.6" x14ac:dyDescent="0.3">
      <c r="A3" s="2"/>
      <c r="B3" s="3"/>
      <c r="C3" s="2"/>
      <c r="D3" s="2"/>
      <c r="E3" s="2"/>
      <c r="F3" s="2"/>
      <c r="G3" s="2"/>
      <c r="H3" s="35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4"/>
      <c r="BR3" s="4"/>
      <c r="BS3" s="359"/>
      <c r="BT3" s="2"/>
      <c r="BU3" s="2"/>
    </row>
    <row r="4" spans="1:84" ht="15.6" x14ac:dyDescent="0.3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4"/>
      <c r="BR4" s="4"/>
      <c r="BS4" s="359"/>
      <c r="BT4" s="2"/>
      <c r="BU4" s="2"/>
    </row>
    <row r="5" spans="1:84" ht="13.95" customHeight="1" x14ac:dyDescent="0.3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4"/>
      <c r="BR5" s="4"/>
      <c r="BS5" s="359"/>
      <c r="BT5" s="2"/>
      <c r="BU5" s="360"/>
      <c r="CC5" s="361"/>
    </row>
    <row r="6" spans="1:84" ht="13.95" customHeight="1" x14ac:dyDescent="0.3">
      <c r="A6" s="2"/>
      <c r="B6" s="6" t="s">
        <v>144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362"/>
      <c r="BT6" s="363"/>
      <c r="BU6" s="364"/>
    </row>
    <row r="7" spans="1:84" s="35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363"/>
      <c r="BU7" s="363"/>
      <c r="BV7" s="1"/>
      <c r="BW7" s="596" t="s">
        <v>173</v>
      </c>
      <c r="BX7" s="596"/>
      <c r="BY7" s="596"/>
      <c r="BZ7" s="1"/>
      <c r="CA7" s="355"/>
      <c r="CB7" s="355"/>
      <c r="CC7" s="355"/>
      <c r="CD7" s="355"/>
      <c r="CE7" s="355"/>
    </row>
    <row r="8" spans="1:84" s="357" customFormat="1" ht="15.75" customHeight="1" x14ac:dyDescent="0.25">
      <c r="A8" s="365"/>
      <c r="B8" s="597" t="s">
        <v>3</v>
      </c>
      <c r="C8" s="591" t="s">
        <v>4</v>
      </c>
      <c r="D8" s="591" t="s">
        <v>174</v>
      </c>
      <c r="E8" s="598" t="s">
        <v>200</v>
      </c>
      <c r="F8" s="598" t="s">
        <v>175</v>
      </c>
      <c r="G8" s="598" t="s">
        <v>176</v>
      </c>
      <c r="H8" s="601" t="s">
        <v>172</v>
      </c>
      <c r="I8" s="604" t="s">
        <v>6</v>
      </c>
      <c r="J8" s="605"/>
      <c r="K8" s="605"/>
      <c r="L8" s="605"/>
      <c r="M8" s="605"/>
      <c r="N8" s="605"/>
      <c r="O8" s="605"/>
      <c r="P8" s="605"/>
      <c r="Q8" s="605"/>
      <c r="R8" s="605"/>
      <c r="S8" s="605"/>
      <c r="T8" s="605"/>
      <c r="U8" s="605"/>
      <c r="V8" s="605"/>
      <c r="W8" s="605"/>
      <c r="X8" s="605"/>
      <c r="Y8" s="605"/>
      <c r="Z8" s="605"/>
      <c r="AA8" s="605"/>
      <c r="AB8" s="605"/>
      <c r="AC8" s="605"/>
      <c r="AD8" s="605"/>
      <c r="AE8" s="605"/>
      <c r="AF8" s="605"/>
      <c r="AG8" s="605"/>
      <c r="AH8" s="605"/>
      <c r="AI8" s="605"/>
      <c r="AJ8" s="605"/>
      <c r="AK8" s="605"/>
      <c r="AL8" s="605"/>
      <c r="AM8" s="606"/>
      <c r="AN8" s="604"/>
      <c r="AO8" s="605"/>
      <c r="AP8" s="605"/>
      <c r="AQ8" s="605"/>
      <c r="AR8" s="605"/>
      <c r="AS8" s="605"/>
      <c r="AT8" s="605"/>
      <c r="AU8" s="605"/>
      <c r="AV8" s="605"/>
      <c r="AW8" s="605"/>
      <c r="AX8" s="605"/>
      <c r="AY8" s="605"/>
      <c r="AZ8" s="605"/>
      <c r="BA8" s="605"/>
      <c r="BB8" s="605"/>
      <c r="BC8" s="605"/>
      <c r="BD8" s="605"/>
      <c r="BE8" s="605"/>
      <c r="BF8" s="605"/>
      <c r="BG8" s="605"/>
      <c r="BH8" s="605"/>
      <c r="BI8" s="605"/>
      <c r="BJ8" s="605"/>
      <c r="BK8" s="605"/>
      <c r="BL8" s="605"/>
      <c r="BM8" s="605"/>
      <c r="BN8" s="605"/>
      <c r="BO8" s="606"/>
      <c r="BP8" s="597" t="s">
        <v>7</v>
      </c>
      <c r="BQ8" s="592" t="s">
        <v>8</v>
      </c>
      <c r="BR8" s="597" t="s">
        <v>9</v>
      </c>
      <c r="BS8" s="592" t="s">
        <v>10</v>
      </c>
      <c r="BT8" s="592" t="s">
        <v>11</v>
      </c>
      <c r="BU8" s="592" t="s">
        <v>177</v>
      </c>
      <c r="BV8" s="1"/>
      <c r="BW8" s="593" t="s">
        <v>178</v>
      </c>
      <c r="BX8" s="593" t="s">
        <v>12</v>
      </c>
      <c r="BY8" s="593" t="s">
        <v>179</v>
      </c>
      <c r="BZ8" s="1"/>
      <c r="CA8" s="587" t="s">
        <v>180</v>
      </c>
      <c r="CB8" s="588"/>
      <c r="CC8" s="588"/>
      <c r="CD8" s="588"/>
      <c r="CE8" s="588"/>
    </row>
    <row r="9" spans="1:84" s="357" customFormat="1" ht="15.75" customHeight="1" x14ac:dyDescent="0.25">
      <c r="A9" s="365"/>
      <c r="B9" s="597"/>
      <c r="C9" s="591"/>
      <c r="D9" s="591"/>
      <c r="E9" s="599"/>
      <c r="F9" s="599"/>
      <c r="G9" s="599"/>
      <c r="H9" s="602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597"/>
      <c r="BQ9" s="592"/>
      <c r="BR9" s="597"/>
      <c r="BS9" s="592"/>
      <c r="BT9" s="592"/>
      <c r="BU9" s="592"/>
      <c r="BV9" s="1"/>
      <c r="BW9" s="594"/>
      <c r="BX9" s="594"/>
      <c r="BY9" s="594"/>
      <c r="BZ9" s="1"/>
      <c r="CA9" s="587"/>
      <c r="CB9" s="588"/>
      <c r="CC9" s="588"/>
      <c r="CD9" s="588"/>
      <c r="CE9" s="588"/>
    </row>
    <row r="10" spans="1:84" s="357" customFormat="1" ht="15.75" customHeight="1" x14ac:dyDescent="0.25">
      <c r="A10" s="365"/>
      <c r="B10" s="597"/>
      <c r="C10" s="591"/>
      <c r="D10" s="591"/>
      <c r="E10" s="600"/>
      <c r="F10" s="600"/>
      <c r="G10" s="600"/>
      <c r="H10" s="603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:AM10" si="1">AH10+1</f>
        <v>27</v>
      </c>
      <c r="AJ10" s="7">
        <f t="shared" si="1"/>
        <v>28</v>
      </c>
      <c r="AK10" s="7">
        <f t="shared" si="1"/>
        <v>29</v>
      </c>
      <c r="AL10" s="7">
        <f t="shared" si="1"/>
        <v>30</v>
      </c>
      <c r="AM10" s="8">
        <f t="shared" si="1"/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:BL10" si="2">BF10+1</f>
        <v>20</v>
      </c>
      <c r="BH10" s="8">
        <f t="shared" si="2"/>
        <v>21</v>
      </c>
      <c r="BI10" s="8">
        <f t="shared" si="2"/>
        <v>22</v>
      </c>
      <c r="BJ10" s="7">
        <f t="shared" si="2"/>
        <v>23</v>
      </c>
      <c r="BK10" s="7">
        <f t="shared" si="2"/>
        <v>24</v>
      </c>
      <c r="BL10" s="7">
        <f t="shared" si="2"/>
        <v>25</v>
      </c>
      <c r="BM10" s="7">
        <f>BL10+1</f>
        <v>26</v>
      </c>
      <c r="BN10" s="7">
        <f t="shared" ref="BN10:BO10" si="3">BM10+1</f>
        <v>27</v>
      </c>
      <c r="BO10" s="8">
        <f t="shared" si="3"/>
        <v>28</v>
      </c>
      <c r="BP10" s="597"/>
      <c r="BQ10" s="592"/>
      <c r="BR10" s="597"/>
      <c r="BS10" s="592"/>
      <c r="BT10" s="592"/>
      <c r="BU10" s="592"/>
      <c r="BV10" s="1"/>
      <c r="BW10" s="595"/>
      <c r="BX10" s="595"/>
      <c r="BY10" s="595"/>
      <c r="BZ10" s="1"/>
      <c r="CA10" s="589" t="s">
        <v>4</v>
      </c>
      <c r="CB10" s="591" t="s">
        <v>6</v>
      </c>
      <c r="CC10" s="591"/>
      <c r="CD10" s="591" t="s">
        <v>140</v>
      </c>
      <c r="CE10" s="591"/>
    </row>
    <row r="11" spans="1:84" s="357" customFormat="1" ht="16.05" customHeight="1" x14ac:dyDescent="0.25">
      <c r="A11" s="365"/>
      <c r="B11" s="367"/>
      <c r="C11" s="368"/>
      <c r="D11" s="368"/>
      <c r="E11" s="368"/>
      <c r="F11" s="368"/>
      <c r="G11" s="36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587"/>
      <c r="CB11" s="591"/>
      <c r="CC11" s="591"/>
      <c r="CD11" s="591"/>
      <c r="CE11" s="591"/>
    </row>
    <row r="12" spans="1:84" s="357" customFormat="1" ht="13.95" customHeight="1" x14ac:dyDescent="0.25">
      <c r="A12" s="365"/>
      <c r="B12" s="369"/>
      <c r="C12" s="370"/>
      <c r="D12" s="371"/>
      <c r="E12" s="372"/>
      <c r="F12" s="372"/>
      <c r="G12" s="372"/>
      <c r="H12" s="37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373"/>
      <c r="BR12" s="16"/>
      <c r="BS12" s="17"/>
      <c r="BT12" s="18"/>
      <c r="BU12" s="18"/>
      <c r="BV12" s="1"/>
      <c r="BW12" s="374"/>
      <c r="BX12" s="375"/>
      <c r="BY12" s="18"/>
      <c r="BZ12" s="2"/>
      <c r="CA12" s="590"/>
      <c r="CB12" s="366" t="s">
        <v>181</v>
      </c>
      <c r="CC12" s="366" t="s">
        <v>182</v>
      </c>
      <c r="CD12" s="366" t="s">
        <v>181</v>
      </c>
      <c r="CE12" s="366" t="s">
        <v>182</v>
      </c>
    </row>
    <row r="13" spans="1:84" ht="13.95" customHeight="1" x14ac:dyDescent="0.25">
      <c r="A13" s="365"/>
      <c r="B13" s="391" t="s">
        <v>207</v>
      </c>
      <c r="C13" s="376" t="s">
        <v>183</v>
      </c>
      <c r="D13" s="377" t="s">
        <v>252</v>
      </c>
      <c r="E13" s="378" t="s">
        <v>201</v>
      </c>
      <c r="F13" s="378">
        <v>0.48958333333333331</v>
      </c>
      <c r="G13" s="378" t="s">
        <v>253</v>
      </c>
      <c r="H13" s="39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>
        <v>1</v>
      </c>
      <c r="AI13" s="11"/>
      <c r="AJ13" s="11">
        <v>1</v>
      </c>
      <c r="AK13" s="12"/>
      <c r="AL13" s="12">
        <v>1</v>
      </c>
      <c r="AM13" s="13"/>
      <c r="AN13" s="13"/>
      <c r="AO13" s="11"/>
      <c r="AP13" s="12">
        <v>1</v>
      </c>
      <c r="AQ13" s="12"/>
      <c r="AR13" s="12">
        <v>1</v>
      </c>
      <c r="AS13" s="11"/>
      <c r="AT13" s="13"/>
      <c r="AU13" s="13"/>
      <c r="AV13" s="11">
        <v>1</v>
      </c>
      <c r="AW13" s="12"/>
      <c r="AX13" s="12">
        <v>1</v>
      </c>
      <c r="AY13" s="12"/>
      <c r="AZ13" s="11">
        <v>1</v>
      </c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379">
        <f>SUM(I13:BO13)</f>
        <v>8</v>
      </c>
      <c r="BQ13" s="15">
        <v>64054</v>
      </c>
      <c r="BR13" s="19">
        <v>0.1</v>
      </c>
      <c r="BS13" s="20">
        <f>BQ13*(1-BR13)</f>
        <v>57648.6</v>
      </c>
      <c r="BT13" s="21">
        <f>BS13*BP13</f>
        <v>461188.8</v>
      </c>
      <c r="BU13" s="21">
        <f t="shared" ref="BU13:BU15" si="4">BT13*0.8</f>
        <v>368951.04000000004</v>
      </c>
      <c r="BW13" s="392">
        <v>5.24</v>
      </c>
      <c r="BX13" s="381">
        <f>BW13*BP13</f>
        <v>41.92</v>
      </c>
      <c r="BY13" s="382">
        <f>IFERROR(BU13/BX13,0)</f>
        <v>8801.3129770992364</v>
      </c>
      <c r="BZ13" s="2"/>
      <c r="CA13" s="383" t="s">
        <v>183</v>
      </c>
      <c r="CB13" s="384">
        <f>COUNTA(I13:AM13)</f>
        <v>3</v>
      </c>
      <c r="CC13" s="385">
        <f>CB13*BS13*0.8</f>
        <v>138356.63999999998</v>
      </c>
      <c r="CD13" s="384">
        <f>COUNTA(AN13:BO13)</f>
        <v>5</v>
      </c>
      <c r="CE13" s="385">
        <f>CD13*BS13*0.8</f>
        <v>230594.40000000002</v>
      </c>
      <c r="CF13" s="357" t="b">
        <f>SUM(CC13,CE13)=BU13</f>
        <v>1</v>
      </c>
    </row>
    <row r="14" spans="1:84" s="388" customFormat="1" ht="13.95" customHeight="1" x14ac:dyDescent="0.25">
      <c r="A14" s="365"/>
      <c r="B14" s="376"/>
      <c r="C14" s="376"/>
      <c r="D14" s="389"/>
      <c r="E14" s="378" t="s">
        <v>201</v>
      </c>
      <c r="F14" s="378">
        <v>0.48958333333333331</v>
      </c>
      <c r="G14" s="378" t="s">
        <v>253</v>
      </c>
      <c r="H14" s="394">
        <v>60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>
        <v>1</v>
      </c>
      <c r="AF14" s="13"/>
      <c r="AG14" s="13"/>
      <c r="AH14" s="11"/>
      <c r="AI14" s="11"/>
      <c r="AJ14" s="11"/>
      <c r="AK14" s="12"/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379">
        <f>SUM(I14:BO14)</f>
        <v>1</v>
      </c>
      <c r="BQ14" s="390">
        <v>128108</v>
      </c>
      <c r="BR14" s="19">
        <v>0.1</v>
      </c>
      <c r="BS14" s="20">
        <f t="shared" ref="BS14:BS15" si="5">BQ14*(1-BR14)</f>
        <v>115297.2</v>
      </c>
      <c r="BT14" s="21">
        <f t="shared" ref="BT14:BT15" si="6">BS14*BP14</f>
        <v>115297.2</v>
      </c>
      <c r="BU14" s="22">
        <f t="shared" si="4"/>
        <v>92237.760000000009</v>
      </c>
      <c r="BV14" s="1"/>
      <c r="BW14" s="380">
        <v>5.24</v>
      </c>
      <c r="BX14" s="381">
        <f>BW14*BP14</f>
        <v>5.24</v>
      </c>
      <c r="BY14" s="382">
        <f>IFERROR(BU14/BX14,0)</f>
        <v>17602.625954198473</v>
      </c>
      <c r="BZ14" s="2"/>
      <c r="CA14" s="383" t="s">
        <v>183</v>
      </c>
      <c r="CB14" s="384">
        <f t="shared" ref="CB14:CB16" si="7">COUNTA(I14:AM14)</f>
        <v>1</v>
      </c>
      <c r="CC14" s="385">
        <f t="shared" ref="CC14:CC16" si="8">CB14*BS14*0.8</f>
        <v>92237.760000000009</v>
      </c>
      <c r="CD14" s="384">
        <f t="shared" ref="CD14:CD16" si="9">COUNTA(AN14:BO14)</f>
        <v>0</v>
      </c>
      <c r="CE14" s="385">
        <f t="shared" ref="CE14:CE16" si="10">CD14*BS14*0.8</f>
        <v>0</v>
      </c>
      <c r="CF14" s="357" t="b">
        <f>SUM(CC14,CE14)=BU14</f>
        <v>1</v>
      </c>
    </row>
    <row r="15" spans="1:84" s="388" customFormat="1" ht="13.95" customHeight="1" x14ac:dyDescent="0.25">
      <c r="A15" s="365"/>
      <c r="B15" s="376"/>
      <c r="C15" s="376"/>
      <c r="D15" s="377" t="s">
        <v>185</v>
      </c>
      <c r="E15" s="378" t="s">
        <v>201</v>
      </c>
      <c r="F15" s="378">
        <v>0.79861111111111116</v>
      </c>
      <c r="G15" s="378" t="s">
        <v>254</v>
      </c>
      <c r="H15" s="394">
        <v>30</v>
      </c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/>
      <c r="AI15" s="11"/>
      <c r="AJ15" s="11"/>
      <c r="AK15" s="12">
        <v>1</v>
      </c>
      <c r="AL15" s="12"/>
      <c r="AM15" s="13"/>
      <c r="AN15" s="13"/>
      <c r="AO15" s="11">
        <v>1</v>
      </c>
      <c r="AP15" s="12"/>
      <c r="AQ15" s="12"/>
      <c r="AR15" s="12"/>
      <c r="AS15" s="11">
        <v>1</v>
      </c>
      <c r="AT15" s="13"/>
      <c r="AU15" s="13"/>
      <c r="AV15" s="11"/>
      <c r="AW15" s="12"/>
      <c r="AX15" s="12"/>
      <c r="AY15" s="12">
        <v>1</v>
      </c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379">
        <f>SUM(I15:BO15)</f>
        <v>4</v>
      </c>
      <c r="BQ15" s="15">
        <v>200802</v>
      </c>
      <c r="BR15" s="19">
        <v>0.1</v>
      </c>
      <c r="BS15" s="20">
        <f t="shared" si="5"/>
        <v>180721.80000000002</v>
      </c>
      <c r="BT15" s="21">
        <f t="shared" si="6"/>
        <v>722887.20000000007</v>
      </c>
      <c r="BU15" s="22">
        <f t="shared" si="4"/>
        <v>578309.76000000013</v>
      </c>
      <c r="BV15" s="1"/>
      <c r="BW15" s="380">
        <v>12.39</v>
      </c>
      <c r="BX15" s="381">
        <f>BW15*BP15</f>
        <v>49.56</v>
      </c>
      <c r="BY15" s="382">
        <f>IFERROR(BU15/BX15,0)</f>
        <v>11668.881355932206</v>
      </c>
      <c r="BZ15" s="2"/>
      <c r="CA15" s="383" t="s">
        <v>183</v>
      </c>
      <c r="CB15" s="384">
        <f t="shared" si="7"/>
        <v>1</v>
      </c>
      <c r="CC15" s="385">
        <f t="shared" si="8"/>
        <v>144577.44000000003</v>
      </c>
      <c r="CD15" s="384">
        <f t="shared" si="9"/>
        <v>3</v>
      </c>
      <c r="CE15" s="385">
        <f t="shared" si="10"/>
        <v>433732.32000000007</v>
      </c>
      <c r="CF15" s="357" t="b">
        <f>SUM(CC15,CE15)=BU15</f>
        <v>1</v>
      </c>
    </row>
    <row r="16" spans="1:84" ht="13.95" customHeight="1" x14ac:dyDescent="0.25">
      <c r="A16" s="365"/>
      <c r="B16" s="376"/>
      <c r="C16" s="376"/>
      <c r="D16" s="377"/>
      <c r="E16" s="378" t="s">
        <v>201</v>
      </c>
      <c r="F16" s="378">
        <v>0.79861111111111116</v>
      </c>
      <c r="G16" s="378" t="s">
        <v>254</v>
      </c>
      <c r="H16" s="394">
        <v>60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>
        <v>1</v>
      </c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/>
      <c r="AP16" s="12"/>
      <c r="AQ16" s="12"/>
      <c r="AR16" s="12"/>
      <c r="AS16" s="11"/>
      <c r="AT16" s="13"/>
      <c r="AU16" s="13"/>
      <c r="AV16" s="11"/>
      <c r="AW16" s="12"/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379">
        <f>SUM(I16:BO16)</f>
        <v>1</v>
      </c>
      <c r="BQ16" s="15">
        <v>401604</v>
      </c>
      <c r="BR16" s="19">
        <v>0.1</v>
      </c>
      <c r="BS16" s="20">
        <f t="shared" ref="BS16" si="11">BQ16*(1-BR16)</f>
        <v>361443.60000000003</v>
      </c>
      <c r="BT16" s="21">
        <f t="shared" ref="BT16" si="12">BS16*BP16</f>
        <v>361443.60000000003</v>
      </c>
      <c r="BU16" s="22">
        <f t="shared" ref="BU16" si="13">BT16*0.8</f>
        <v>289154.88000000006</v>
      </c>
      <c r="BW16" s="380">
        <v>12.39</v>
      </c>
      <c r="BX16" s="381">
        <f t="shared" ref="BX16" si="14">BW16*BP16</f>
        <v>12.39</v>
      </c>
      <c r="BY16" s="382">
        <f t="shared" ref="BY16" si="15">IFERROR(BU16/BX16,0)</f>
        <v>23337.762711864412</v>
      </c>
      <c r="BZ16" s="2"/>
      <c r="CA16" s="383" t="s">
        <v>183</v>
      </c>
      <c r="CB16" s="384">
        <f t="shared" si="7"/>
        <v>1</v>
      </c>
      <c r="CC16" s="385">
        <f t="shared" si="8"/>
        <v>289154.88000000006</v>
      </c>
      <c r="CD16" s="384">
        <f t="shared" si="9"/>
        <v>0</v>
      </c>
      <c r="CE16" s="385">
        <f t="shared" si="10"/>
        <v>0</v>
      </c>
      <c r="CF16" s="357" t="b">
        <f>SUM(CC16,CE16)=BU16</f>
        <v>1</v>
      </c>
    </row>
    <row r="17" spans="1:107" s="357" customFormat="1" ht="13.95" customHeight="1" x14ac:dyDescent="0.25">
      <c r="A17" s="365"/>
      <c r="B17" s="418"/>
      <c r="C17" s="419"/>
      <c r="D17" s="420"/>
      <c r="E17" s="420"/>
      <c r="F17" s="420"/>
      <c r="G17" s="420"/>
      <c r="H17" s="420"/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/>
      <c r="AR17" s="12"/>
      <c r="AS17" s="11"/>
      <c r="AT17" s="13"/>
      <c r="AU17" s="13"/>
      <c r="AV17" s="11"/>
      <c r="AW17" s="12"/>
      <c r="AX17" s="12"/>
      <c r="AY17" s="12"/>
      <c r="AZ17" s="11"/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336"/>
      <c r="BQ17" s="15"/>
      <c r="BR17" s="19"/>
      <c r="BS17" s="20"/>
      <c r="BT17" s="21"/>
      <c r="BU17" s="21"/>
      <c r="BV17" s="1"/>
      <c r="BW17" s="392"/>
      <c r="BX17" s="381"/>
      <c r="BY17" s="21"/>
      <c r="BZ17" s="2"/>
      <c r="CA17" s="424" t="s">
        <v>142</v>
      </c>
      <c r="CB17" s="425">
        <f>SUM(CB13:CB16)</f>
        <v>6</v>
      </c>
      <c r="CC17" s="426">
        <f>SUM(CC13:CC16)</f>
        <v>664326.72000000009</v>
      </c>
      <c r="CD17" s="425">
        <f>SUM(CD13:CD16)</f>
        <v>8</v>
      </c>
      <c r="CE17" s="426">
        <f>SUM(CE13:CE16)</f>
        <v>664326.72000000009</v>
      </c>
    </row>
    <row r="18" spans="1:107" ht="13.95" customHeight="1" x14ac:dyDescent="0.25">
      <c r="A18" s="365"/>
      <c r="B18" s="391"/>
      <c r="C18" s="376" t="s">
        <v>17</v>
      </c>
      <c r="D18" s="377" t="s">
        <v>255</v>
      </c>
      <c r="E18" s="378" t="s">
        <v>201</v>
      </c>
      <c r="F18" s="378">
        <v>0.80555555555555558</v>
      </c>
      <c r="G18" s="378" t="s">
        <v>188</v>
      </c>
      <c r="H18" s="394">
        <v>30</v>
      </c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>
        <v>1</v>
      </c>
      <c r="AJ18" s="11"/>
      <c r="AK18" s="12">
        <v>1</v>
      </c>
      <c r="AL18" s="12"/>
      <c r="AM18" s="13"/>
      <c r="AN18" s="13"/>
      <c r="AO18" s="11"/>
      <c r="AP18" s="12">
        <v>1</v>
      </c>
      <c r="AQ18" s="12"/>
      <c r="AR18" s="12">
        <v>1</v>
      </c>
      <c r="AS18" s="11"/>
      <c r="AT18" s="13"/>
      <c r="AU18" s="13"/>
      <c r="AV18" s="11"/>
      <c r="AW18" s="12">
        <v>1</v>
      </c>
      <c r="AX18" s="12"/>
      <c r="AY18" s="12">
        <v>1</v>
      </c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379">
        <f>SUM(I18:BO18)</f>
        <v>6</v>
      </c>
      <c r="BQ18" s="15">
        <v>190834</v>
      </c>
      <c r="BR18" s="19">
        <v>0.85</v>
      </c>
      <c r="BS18" s="20">
        <f>BQ18*(1-BR18)</f>
        <v>28625.100000000006</v>
      </c>
      <c r="BT18" s="21">
        <f>BS18*BP18</f>
        <v>171750.60000000003</v>
      </c>
      <c r="BU18" s="21">
        <f t="shared" ref="BU18:BU19" si="16">BT18*0.8</f>
        <v>137400.48000000004</v>
      </c>
      <c r="BW18" s="392">
        <v>1.59</v>
      </c>
      <c r="BX18" s="381">
        <f t="shared" ref="BX18:BX19" si="17">BW18*BP18</f>
        <v>9.5400000000000009</v>
      </c>
      <c r="BY18" s="382">
        <f t="shared" ref="BY18:BY19" si="18">IFERROR(BU18/BX18,0)</f>
        <v>14402.566037735853</v>
      </c>
      <c r="BZ18" s="2"/>
      <c r="CA18" s="383" t="s">
        <v>17</v>
      </c>
      <c r="CB18" s="384">
        <f t="shared" ref="CB18:CB19" si="19">COUNTA(I18:AM18)</f>
        <v>2</v>
      </c>
      <c r="CC18" s="385">
        <f t="shared" ref="CC18:CC19" si="20">CB18*BS18*0.8</f>
        <v>45800.160000000011</v>
      </c>
      <c r="CD18" s="384">
        <f t="shared" ref="CD18:CD19" si="21">COUNTA(AN18:BO18)</f>
        <v>4</v>
      </c>
      <c r="CE18" s="385">
        <f t="shared" ref="CE18:CE19" si="22">CD18*BS18*0.8</f>
        <v>91600.320000000022</v>
      </c>
      <c r="CF18" s="357" t="b">
        <f>SUM(CC18,CE18)=BU18</f>
        <v>1</v>
      </c>
    </row>
    <row r="19" spans="1:107" s="388" customFormat="1" ht="13.95" customHeight="1" x14ac:dyDescent="0.25">
      <c r="A19" s="365"/>
      <c r="B19" s="376"/>
      <c r="C19" s="376"/>
      <c r="D19" s="389"/>
      <c r="E19" s="378" t="s">
        <v>201</v>
      </c>
      <c r="F19" s="378">
        <v>0.80555555555555558</v>
      </c>
      <c r="G19" s="378" t="s">
        <v>188</v>
      </c>
      <c r="H19" s="394">
        <v>60</v>
      </c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>
        <v>1</v>
      </c>
      <c r="AE19" s="11"/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/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379">
        <f>SUM(I19:BO19)</f>
        <v>1</v>
      </c>
      <c r="BQ19" s="390">
        <v>381668</v>
      </c>
      <c r="BR19" s="19">
        <v>0.85</v>
      </c>
      <c r="BS19" s="20">
        <f t="shared" ref="BS19" si="23">BQ19*(1-BR19)</f>
        <v>57250.200000000012</v>
      </c>
      <c r="BT19" s="21">
        <f t="shared" ref="BT19" si="24">BS19*BP19</f>
        <v>57250.200000000012</v>
      </c>
      <c r="BU19" s="22">
        <f t="shared" si="16"/>
        <v>45800.160000000011</v>
      </c>
      <c r="BV19" s="1"/>
      <c r="BW19" s="380">
        <v>1.59</v>
      </c>
      <c r="BX19" s="381">
        <f t="shared" si="17"/>
        <v>1.59</v>
      </c>
      <c r="BY19" s="382">
        <f t="shared" si="18"/>
        <v>28805.132075471702</v>
      </c>
      <c r="BZ19" s="2"/>
      <c r="CA19" s="383" t="s">
        <v>17</v>
      </c>
      <c r="CB19" s="384">
        <f t="shared" si="19"/>
        <v>1</v>
      </c>
      <c r="CC19" s="385">
        <f t="shared" si="20"/>
        <v>45800.160000000011</v>
      </c>
      <c r="CD19" s="384">
        <f t="shared" si="21"/>
        <v>0</v>
      </c>
      <c r="CE19" s="385">
        <f t="shared" si="22"/>
        <v>0</v>
      </c>
      <c r="CF19" s="357" t="b">
        <f>SUM(CC19,CE19)=BU19</f>
        <v>1</v>
      </c>
    </row>
    <row r="20" spans="1:107" s="388" customFormat="1" ht="13.95" customHeight="1" x14ac:dyDescent="0.25">
      <c r="A20" s="365"/>
      <c r="B20" s="376"/>
      <c r="C20" s="376"/>
      <c r="D20" s="389"/>
      <c r="E20" s="378"/>
      <c r="F20" s="378"/>
      <c r="G20" s="378"/>
      <c r="H20" s="394"/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/>
      <c r="AI20" s="11"/>
      <c r="AJ20" s="11"/>
      <c r="AK20" s="12"/>
      <c r="AL20" s="12"/>
      <c r="AM20" s="13"/>
      <c r="AN20" s="13"/>
      <c r="AO20" s="11"/>
      <c r="AP20" s="12"/>
      <c r="AQ20" s="12"/>
      <c r="AR20" s="12"/>
      <c r="AS20" s="11"/>
      <c r="AT20" s="13"/>
      <c r="AU20" s="13"/>
      <c r="AV20" s="11"/>
      <c r="AW20" s="12"/>
      <c r="AX20" s="12"/>
      <c r="AY20" s="12"/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379"/>
      <c r="BQ20" s="15"/>
      <c r="BR20" s="19"/>
      <c r="BS20" s="20"/>
      <c r="BT20" s="21"/>
      <c r="BU20" s="22"/>
      <c r="BV20" s="1"/>
      <c r="BW20" s="380"/>
      <c r="BX20" s="387"/>
      <c r="BY20" s="382"/>
      <c r="BZ20" s="2"/>
      <c r="CA20" s="424" t="s">
        <v>142</v>
      </c>
      <c r="CB20" s="425">
        <f>SUM(CB18:CB19)</f>
        <v>3</v>
      </c>
      <c r="CC20" s="426">
        <f>SUM(CC18:CC19)</f>
        <v>91600.320000000022</v>
      </c>
      <c r="CD20" s="425">
        <f>SUM(CD18:CD19)</f>
        <v>4</v>
      </c>
      <c r="CE20" s="426">
        <f>SUM(CE18:CE19)</f>
        <v>91600.320000000022</v>
      </c>
      <c r="CF20" s="357"/>
    </row>
    <row r="21" spans="1:107" s="388" customFormat="1" ht="13.95" customHeight="1" x14ac:dyDescent="0.25">
      <c r="A21" s="365"/>
      <c r="B21" s="376"/>
      <c r="C21" s="376" t="s">
        <v>225</v>
      </c>
      <c r="D21" s="389" t="s">
        <v>256</v>
      </c>
      <c r="E21" s="378" t="s">
        <v>201</v>
      </c>
      <c r="F21" s="378">
        <v>0.82986111111111116</v>
      </c>
      <c r="G21" s="378" t="s">
        <v>251</v>
      </c>
      <c r="H21" s="394">
        <v>30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/>
      <c r="AE21" s="11"/>
      <c r="AF21" s="13"/>
      <c r="AG21" s="13"/>
      <c r="AH21" s="11"/>
      <c r="AI21" s="11"/>
      <c r="AJ21" s="11">
        <v>1</v>
      </c>
      <c r="AK21" s="12"/>
      <c r="AL21" s="12">
        <v>1</v>
      </c>
      <c r="AM21" s="13"/>
      <c r="AN21" s="13"/>
      <c r="AO21" s="11"/>
      <c r="AP21" s="12"/>
      <c r="AQ21" s="12">
        <v>1</v>
      </c>
      <c r="AR21" s="12"/>
      <c r="AS21" s="11">
        <v>1</v>
      </c>
      <c r="AT21" s="13"/>
      <c r="AU21" s="13"/>
      <c r="AV21" s="11"/>
      <c r="AW21" s="12"/>
      <c r="AX21" s="12">
        <v>1</v>
      </c>
      <c r="AY21" s="12"/>
      <c r="AZ21" s="11">
        <v>1</v>
      </c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379">
        <f t="shared" ref="BP21:BP22" si="25">SUM(I21:BO21)</f>
        <v>6</v>
      </c>
      <c r="BQ21" s="390">
        <v>405550</v>
      </c>
      <c r="BR21" s="19">
        <v>0.8</v>
      </c>
      <c r="BS21" s="20">
        <f t="shared" ref="BS21:BS22" si="26">BQ21*(1-BR21)</f>
        <v>81109.999999999985</v>
      </c>
      <c r="BT21" s="21">
        <f t="shared" ref="BT21:BT22" si="27">BS21*BP21</f>
        <v>486659.99999999988</v>
      </c>
      <c r="BU21" s="22">
        <f t="shared" ref="BU21:BU22" si="28">BT21*0.8</f>
        <v>389327.99999999994</v>
      </c>
      <c r="BV21" s="1"/>
      <c r="BW21" s="380">
        <v>3.53</v>
      </c>
      <c r="BX21" s="381">
        <f t="shared" ref="BX21:BX22" si="29">BW21*BP21</f>
        <v>21.18</v>
      </c>
      <c r="BY21" s="382">
        <f t="shared" ref="BY21:BY22" si="30">IFERROR(BU21/BX21,0)</f>
        <v>18381.869688385268</v>
      </c>
      <c r="BZ21" s="2"/>
      <c r="CA21" s="383" t="s">
        <v>225</v>
      </c>
      <c r="CB21" s="384">
        <f t="shared" ref="CB21:CB22" si="31">COUNTA(I21:AM21)</f>
        <v>2</v>
      </c>
      <c r="CC21" s="385">
        <f t="shared" ref="CC21:CC22" si="32">CB21*BS21*0.8</f>
        <v>129775.99999999999</v>
      </c>
      <c r="CD21" s="384">
        <f t="shared" ref="CD21:CD22" si="33">COUNTA(AN21:BO21)</f>
        <v>4</v>
      </c>
      <c r="CE21" s="385">
        <f t="shared" ref="CE21:CE22" si="34">CD21*BS21*0.8</f>
        <v>259551.99999999997</v>
      </c>
      <c r="CF21" s="357" t="b">
        <f t="shared" ref="CF21:CF22" si="35">SUM(CC21,CE21)=BU21</f>
        <v>1</v>
      </c>
    </row>
    <row r="22" spans="1:107" s="388" customFormat="1" ht="13.95" customHeight="1" x14ac:dyDescent="0.25">
      <c r="A22" s="365"/>
      <c r="B22" s="376"/>
      <c r="C22" s="376"/>
      <c r="D22" s="396"/>
      <c r="E22" s="378" t="s">
        <v>201</v>
      </c>
      <c r="F22" s="378">
        <v>0.82986111111111116</v>
      </c>
      <c r="G22" s="378" t="s">
        <v>251</v>
      </c>
      <c r="H22" s="394">
        <v>60</v>
      </c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>
        <v>1</v>
      </c>
      <c r="AF22" s="13"/>
      <c r="AG22" s="13"/>
      <c r="AH22" s="11"/>
      <c r="AI22" s="11"/>
      <c r="AJ22" s="11"/>
      <c r="AK22" s="12"/>
      <c r="AL22" s="12"/>
      <c r="AM22" s="13"/>
      <c r="AN22" s="13"/>
      <c r="AO22" s="11"/>
      <c r="AP22" s="12"/>
      <c r="AQ22" s="12"/>
      <c r="AR22" s="12"/>
      <c r="AS22" s="11"/>
      <c r="AT22" s="13"/>
      <c r="AU22" s="13"/>
      <c r="AV22" s="11"/>
      <c r="AW22" s="12"/>
      <c r="AX22" s="12"/>
      <c r="AY22" s="12"/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379">
        <f t="shared" si="25"/>
        <v>1</v>
      </c>
      <c r="BQ22" s="390">
        <v>811100</v>
      </c>
      <c r="BR22" s="19">
        <v>0.8</v>
      </c>
      <c r="BS22" s="20">
        <f t="shared" si="26"/>
        <v>162219.99999999997</v>
      </c>
      <c r="BT22" s="21">
        <f t="shared" si="27"/>
        <v>162219.99999999997</v>
      </c>
      <c r="BU22" s="22">
        <f t="shared" si="28"/>
        <v>129775.99999999999</v>
      </c>
      <c r="BV22" s="1"/>
      <c r="BW22" s="380">
        <v>3.53</v>
      </c>
      <c r="BX22" s="381">
        <f t="shared" si="29"/>
        <v>3.53</v>
      </c>
      <c r="BY22" s="382">
        <f t="shared" si="30"/>
        <v>36763.739376770536</v>
      </c>
      <c r="BZ22" s="2"/>
      <c r="CA22" s="383" t="s">
        <v>225</v>
      </c>
      <c r="CB22" s="384">
        <f t="shared" si="31"/>
        <v>1</v>
      </c>
      <c r="CC22" s="385">
        <f t="shared" si="32"/>
        <v>129775.99999999999</v>
      </c>
      <c r="CD22" s="384">
        <f t="shared" si="33"/>
        <v>0</v>
      </c>
      <c r="CE22" s="385">
        <f t="shared" si="34"/>
        <v>0</v>
      </c>
      <c r="CF22" s="357" t="b">
        <f t="shared" si="35"/>
        <v>1</v>
      </c>
    </row>
    <row r="23" spans="1:107" s="388" customFormat="1" ht="13.95" customHeight="1" x14ac:dyDescent="0.25">
      <c r="A23" s="365"/>
      <c r="B23" s="376"/>
      <c r="C23" s="376"/>
      <c r="D23" s="396"/>
      <c r="E23" s="378"/>
      <c r="F23" s="378"/>
      <c r="G23" s="378"/>
      <c r="H23" s="394"/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/>
      <c r="AI23" s="11"/>
      <c r="AJ23" s="11"/>
      <c r="AK23" s="12"/>
      <c r="AL23" s="12"/>
      <c r="AM23" s="13"/>
      <c r="AN23" s="13"/>
      <c r="AO23" s="11"/>
      <c r="AP23" s="12"/>
      <c r="AQ23" s="12"/>
      <c r="AR23" s="12"/>
      <c r="AS23" s="11"/>
      <c r="AT23" s="13"/>
      <c r="AU23" s="13"/>
      <c r="AV23" s="11"/>
      <c r="AW23" s="12"/>
      <c r="AX23" s="12"/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379"/>
      <c r="BQ23" s="15"/>
      <c r="BR23" s="386"/>
      <c r="BS23" s="15"/>
      <c r="BT23" s="22"/>
      <c r="BU23" s="22"/>
      <c r="BV23" s="1"/>
      <c r="BW23" s="380"/>
      <c r="BX23" s="387"/>
      <c r="BY23" s="382"/>
      <c r="BZ23" s="2"/>
      <c r="CA23" s="424" t="s">
        <v>142</v>
      </c>
      <c r="CB23" s="425">
        <f>SUM(CB21:CB22)</f>
        <v>3</v>
      </c>
      <c r="CC23" s="426">
        <f>SUM(CC21:CC22)</f>
        <v>259551.99999999997</v>
      </c>
      <c r="CD23" s="425">
        <f>SUM(CD21:CD22)</f>
        <v>4</v>
      </c>
      <c r="CE23" s="426">
        <f>SUM(CE21:CE22)</f>
        <v>259551.99999999997</v>
      </c>
      <c r="CF23" s="357"/>
    </row>
    <row r="24" spans="1:107" s="388" customFormat="1" ht="13.95" customHeight="1" x14ac:dyDescent="0.25">
      <c r="A24" s="365"/>
      <c r="B24" s="376"/>
      <c r="C24" s="376" t="s">
        <v>232</v>
      </c>
      <c r="D24" s="389" t="s">
        <v>257</v>
      </c>
      <c r="E24" s="378" t="s">
        <v>201</v>
      </c>
      <c r="F24" s="378">
        <v>0.82291666666666663</v>
      </c>
      <c r="G24" s="378" t="s">
        <v>251</v>
      </c>
      <c r="H24" s="394">
        <v>30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/>
      <c r="AF24" s="13"/>
      <c r="AG24" s="13"/>
      <c r="AH24" s="11"/>
      <c r="AI24" s="11">
        <v>1</v>
      </c>
      <c r="AJ24" s="11"/>
      <c r="AK24" s="12">
        <v>1</v>
      </c>
      <c r="AL24" s="12"/>
      <c r="AM24" s="13"/>
      <c r="AN24" s="13"/>
      <c r="AO24" s="11"/>
      <c r="AP24" s="12">
        <v>1</v>
      </c>
      <c r="AQ24" s="12"/>
      <c r="AR24" s="12">
        <v>1</v>
      </c>
      <c r="AS24" s="11"/>
      <c r="AT24" s="13"/>
      <c r="AU24" s="13"/>
      <c r="AV24" s="11"/>
      <c r="AW24" s="12">
        <v>1</v>
      </c>
      <c r="AX24" s="12"/>
      <c r="AY24" s="12">
        <v>1</v>
      </c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379">
        <f t="shared" ref="BP24" si="36">SUM(I24:BO24)</f>
        <v>6</v>
      </c>
      <c r="BQ24" s="390">
        <v>201971</v>
      </c>
      <c r="BR24" s="19">
        <v>0.75</v>
      </c>
      <c r="BS24" s="20">
        <f t="shared" ref="BS24" si="37">BQ24*(1-BR24)</f>
        <v>50492.75</v>
      </c>
      <c r="BT24" s="21">
        <f t="shared" ref="BT24" si="38">BS24*BP24</f>
        <v>302956.5</v>
      </c>
      <c r="BU24" s="421">
        <f t="shared" ref="BU24" si="39">BT24*0.8</f>
        <v>242365.2</v>
      </c>
      <c r="BV24" s="1"/>
      <c r="BW24" s="380">
        <v>1.91</v>
      </c>
      <c r="BX24" s="381">
        <f t="shared" ref="BX24" si="40">BW24*BP24</f>
        <v>11.459999999999999</v>
      </c>
      <c r="BY24" s="382">
        <f t="shared" ref="BY24" si="41">IFERROR(BU24/BX24,0)</f>
        <v>21148.795811518328</v>
      </c>
      <c r="BZ24" s="2"/>
      <c r="CA24" s="383" t="s">
        <v>232</v>
      </c>
      <c r="CB24" s="384">
        <f t="shared" ref="CB24" si="42">COUNTA(I24:AM24)</f>
        <v>2</v>
      </c>
      <c r="CC24" s="385">
        <f t="shared" ref="CC24" si="43">CB24*BS24*0.8</f>
        <v>80788.400000000009</v>
      </c>
      <c r="CD24" s="384">
        <f t="shared" ref="CD24" si="44">COUNTA(AN24:BO24)</f>
        <v>4</v>
      </c>
      <c r="CE24" s="385">
        <f t="shared" ref="CE24" si="45">CD24*BS24*0.8</f>
        <v>161576.80000000002</v>
      </c>
      <c r="CF24" s="357" t="b">
        <f t="shared" ref="CF24" si="46">SUM(CC24,CE24)=BU24</f>
        <v>1</v>
      </c>
    </row>
    <row r="25" spans="1:107" s="388" customFormat="1" ht="13.95" customHeight="1" x14ac:dyDescent="0.25">
      <c r="A25" s="365"/>
      <c r="B25" s="376"/>
      <c r="C25" s="376"/>
      <c r="D25" s="396"/>
      <c r="E25" s="378"/>
      <c r="F25" s="378"/>
      <c r="G25" s="378"/>
      <c r="H25" s="394"/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/>
      <c r="AE25" s="11"/>
      <c r="AF25" s="13"/>
      <c r="AG25" s="13"/>
      <c r="AH25" s="11"/>
      <c r="AI25" s="11"/>
      <c r="AJ25" s="11"/>
      <c r="AK25" s="12"/>
      <c r="AL25" s="12"/>
      <c r="AM25" s="13"/>
      <c r="AN25" s="13"/>
      <c r="AO25" s="11"/>
      <c r="AP25" s="12"/>
      <c r="AQ25" s="12"/>
      <c r="AR25" s="12"/>
      <c r="AS25" s="11"/>
      <c r="AT25" s="13"/>
      <c r="AU25" s="13"/>
      <c r="AV25" s="11"/>
      <c r="AW25" s="12"/>
      <c r="AX25" s="12"/>
      <c r="AY25" s="12"/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379"/>
      <c r="BQ25" s="15"/>
      <c r="BR25" s="386"/>
      <c r="BS25" s="15"/>
      <c r="BT25" s="22"/>
      <c r="BU25" s="22"/>
      <c r="BV25" s="1"/>
      <c r="BW25" s="455"/>
      <c r="BX25" s="456"/>
      <c r="BY25" s="457"/>
      <c r="BZ25" s="2"/>
      <c r="CA25" s="424" t="s">
        <v>142</v>
      </c>
      <c r="CB25" s="425">
        <f>SUM(CB24)</f>
        <v>2</v>
      </c>
      <c r="CC25" s="426">
        <f>SUM(CC24)</f>
        <v>80788.400000000009</v>
      </c>
      <c r="CD25" s="425">
        <f>SUM(CD24)</f>
        <v>4</v>
      </c>
      <c r="CE25" s="426">
        <f>SUM(CE24)</f>
        <v>161576.80000000002</v>
      </c>
      <c r="CF25" s="357"/>
    </row>
    <row r="26" spans="1:107" ht="3.75" customHeight="1" x14ac:dyDescent="0.25">
      <c r="A26" s="365"/>
      <c r="B26" s="397"/>
      <c r="C26" s="398"/>
      <c r="D26" s="398"/>
      <c r="E26" s="398"/>
      <c r="F26" s="398"/>
      <c r="G26" s="398"/>
      <c r="H26" s="398"/>
      <c r="I26" s="398"/>
      <c r="J26" s="398"/>
      <c r="K26" s="398"/>
      <c r="L26" s="398"/>
      <c r="M26" s="398"/>
      <c r="N26" s="398"/>
      <c r="O26" s="398"/>
      <c r="P26" s="398"/>
      <c r="Q26" s="398"/>
      <c r="R26" s="398"/>
      <c r="S26" s="398"/>
      <c r="T26" s="398"/>
      <c r="U26" s="398"/>
      <c r="V26" s="398"/>
      <c r="W26" s="398"/>
      <c r="X26" s="398"/>
      <c r="Y26" s="398"/>
      <c r="Z26" s="398"/>
      <c r="AA26" s="398"/>
      <c r="AB26" s="398"/>
      <c r="AC26" s="398"/>
      <c r="AD26" s="398"/>
      <c r="AE26" s="398"/>
      <c r="AF26" s="13"/>
      <c r="AG26" s="13"/>
      <c r="AH26" s="398"/>
      <c r="AI26" s="398"/>
      <c r="AJ26" s="398"/>
      <c r="AK26" s="398"/>
      <c r="AL26" s="398"/>
      <c r="AM26" s="13"/>
      <c r="AN26" s="398"/>
      <c r="AO26" s="398"/>
      <c r="AP26" s="398"/>
      <c r="AQ26" s="398"/>
      <c r="AR26" s="398"/>
      <c r="AS26" s="398"/>
      <c r="AT26" s="398"/>
      <c r="AU26" s="398"/>
      <c r="AV26" s="398"/>
      <c r="AW26" s="398"/>
      <c r="AX26" s="398"/>
      <c r="AY26" s="398"/>
      <c r="AZ26" s="398"/>
      <c r="BA26" s="398"/>
      <c r="BB26" s="398"/>
      <c r="BC26" s="398"/>
      <c r="BD26" s="398"/>
      <c r="BE26" s="398"/>
      <c r="BF26" s="398"/>
      <c r="BG26" s="398"/>
      <c r="BH26" s="398"/>
      <c r="BI26" s="398"/>
      <c r="BJ26" s="398"/>
      <c r="BK26" s="13"/>
      <c r="BL26" s="13"/>
      <c r="BM26" s="398"/>
      <c r="BN26" s="398"/>
      <c r="BO26" s="398"/>
      <c r="BP26" s="398"/>
      <c r="BQ26" s="398"/>
      <c r="BR26" s="398"/>
      <c r="BS26" s="398"/>
      <c r="BT26" s="23"/>
      <c r="BU26" s="24"/>
      <c r="BY26" s="399"/>
      <c r="CA26" s="400"/>
      <c r="CB26" s="401"/>
      <c r="CC26" s="402"/>
      <c r="CD26" s="401"/>
      <c r="CE26" s="402"/>
    </row>
    <row r="27" spans="1:107" x14ac:dyDescent="0.25">
      <c r="A27" s="2"/>
      <c r="B27" s="25" t="s">
        <v>189</v>
      </c>
      <c r="C27" s="403"/>
      <c r="D27" s="403"/>
      <c r="E27" s="403"/>
      <c r="F27" s="403"/>
      <c r="G27" s="403"/>
      <c r="H27" s="403"/>
      <c r="I27" s="403">
        <f>COUNTA(I12:I16)</f>
        <v>0</v>
      </c>
      <c r="J27" s="403">
        <f>COUNTA(J12:J16)</f>
        <v>0</v>
      </c>
      <c r="K27" s="403">
        <f>COUNTA(K12:K16)</f>
        <v>0</v>
      </c>
      <c r="L27" s="403">
        <f>COUNTA(L12:L16)</f>
        <v>0</v>
      </c>
      <c r="M27" s="403">
        <f>COUNTA(M12:M16)</f>
        <v>0</v>
      </c>
      <c r="N27" s="403">
        <f>SUM(N12:N16)</f>
        <v>0</v>
      </c>
      <c r="O27" s="403">
        <f>SUM(O12:O16)</f>
        <v>0</v>
      </c>
      <c r="P27" s="403">
        <f>SUM(P12:P16)</f>
        <v>0</v>
      </c>
      <c r="Q27" s="403">
        <f t="shared" ref="Q27:BJ27" si="47">SUM(Q12:Q25)</f>
        <v>0</v>
      </c>
      <c r="R27" s="403">
        <f t="shared" si="47"/>
        <v>0</v>
      </c>
      <c r="S27" s="403">
        <f t="shared" si="47"/>
        <v>0</v>
      </c>
      <c r="T27" s="403">
        <f t="shared" si="47"/>
        <v>0</v>
      </c>
      <c r="U27" s="403">
        <f t="shared" si="47"/>
        <v>0</v>
      </c>
      <c r="V27" s="403">
        <f t="shared" si="47"/>
        <v>0</v>
      </c>
      <c r="W27" s="403">
        <f t="shared" si="47"/>
        <v>0</v>
      </c>
      <c r="X27" s="403">
        <f t="shared" si="47"/>
        <v>0</v>
      </c>
      <c r="Y27" s="403">
        <f t="shared" si="47"/>
        <v>0</v>
      </c>
      <c r="Z27" s="403">
        <f t="shared" si="47"/>
        <v>0</v>
      </c>
      <c r="AA27" s="403">
        <f t="shared" si="47"/>
        <v>0</v>
      </c>
      <c r="AB27" s="403">
        <f t="shared" si="47"/>
        <v>0</v>
      </c>
      <c r="AC27" s="403">
        <f t="shared" si="47"/>
        <v>0</v>
      </c>
      <c r="AD27" s="403">
        <f t="shared" si="47"/>
        <v>2</v>
      </c>
      <c r="AE27" s="403">
        <f t="shared" si="47"/>
        <v>2</v>
      </c>
      <c r="AF27" s="403">
        <f t="shared" si="47"/>
        <v>0</v>
      </c>
      <c r="AG27" s="403">
        <f t="shared" si="47"/>
        <v>0</v>
      </c>
      <c r="AH27" s="403">
        <f t="shared" si="47"/>
        <v>1</v>
      </c>
      <c r="AI27" s="403">
        <f t="shared" si="47"/>
        <v>2</v>
      </c>
      <c r="AJ27" s="403">
        <f t="shared" si="47"/>
        <v>2</v>
      </c>
      <c r="AK27" s="403">
        <f t="shared" si="47"/>
        <v>3</v>
      </c>
      <c r="AL27" s="403">
        <f t="shared" si="47"/>
        <v>2</v>
      </c>
      <c r="AM27" s="403">
        <f t="shared" si="47"/>
        <v>0</v>
      </c>
      <c r="AN27" s="403">
        <f t="shared" si="47"/>
        <v>0</v>
      </c>
      <c r="AO27" s="403">
        <f t="shared" si="47"/>
        <v>1</v>
      </c>
      <c r="AP27" s="403">
        <f t="shared" si="47"/>
        <v>3</v>
      </c>
      <c r="AQ27" s="403">
        <f t="shared" si="47"/>
        <v>1</v>
      </c>
      <c r="AR27" s="403">
        <f t="shared" si="47"/>
        <v>3</v>
      </c>
      <c r="AS27" s="403">
        <f t="shared" si="47"/>
        <v>2</v>
      </c>
      <c r="AT27" s="403">
        <f t="shared" si="47"/>
        <v>0</v>
      </c>
      <c r="AU27" s="403">
        <f t="shared" si="47"/>
        <v>0</v>
      </c>
      <c r="AV27" s="403">
        <f t="shared" si="47"/>
        <v>1</v>
      </c>
      <c r="AW27" s="403">
        <f t="shared" si="47"/>
        <v>2</v>
      </c>
      <c r="AX27" s="403">
        <f t="shared" si="47"/>
        <v>2</v>
      </c>
      <c r="AY27" s="403">
        <f t="shared" si="47"/>
        <v>3</v>
      </c>
      <c r="AZ27" s="403">
        <f t="shared" si="47"/>
        <v>2</v>
      </c>
      <c r="BA27" s="403">
        <f t="shared" si="47"/>
        <v>0</v>
      </c>
      <c r="BB27" s="403">
        <f t="shared" si="47"/>
        <v>0</v>
      </c>
      <c r="BC27" s="403">
        <f t="shared" si="47"/>
        <v>0</v>
      </c>
      <c r="BD27" s="403">
        <f t="shared" si="47"/>
        <v>0</v>
      </c>
      <c r="BE27" s="403">
        <f t="shared" si="47"/>
        <v>0</v>
      </c>
      <c r="BF27" s="403">
        <f t="shared" si="47"/>
        <v>0</v>
      </c>
      <c r="BG27" s="403">
        <f t="shared" si="47"/>
        <v>0</v>
      </c>
      <c r="BH27" s="403">
        <f t="shared" si="47"/>
        <v>0</v>
      </c>
      <c r="BI27" s="403">
        <f t="shared" si="47"/>
        <v>0</v>
      </c>
      <c r="BJ27" s="403">
        <f t="shared" si="47"/>
        <v>0</v>
      </c>
      <c r="BK27" s="403">
        <f>SUM(BK13:BK26)</f>
        <v>0</v>
      </c>
      <c r="BL27" s="403">
        <f>SUM(BL13:BL26)</f>
        <v>0</v>
      </c>
      <c r="BM27" s="403">
        <f>SUM(BM12:BM16)</f>
        <v>0</v>
      </c>
      <c r="BN27" s="403">
        <f>SUM(BN12:BN16)</f>
        <v>0</v>
      </c>
      <c r="BO27" s="403">
        <f>SUM(BO12:BO16)</f>
        <v>0</v>
      </c>
      <c r="BP27" s="404">
        <f>SUM(BP13:BP25)</f>
        <v>34</v>
      </c>
      <c r="BQ27" s="26"/>
      <c r="BR27" s="26"/>
      <c r="BS27" s="405"/>
      <c r="BT27" s="406">
        <f>SUM(BT13:BT25)</f>
        <v>2841654.1</v>
      </c>
      <c r="BU27" s="406">
        <f>SUM(BU13:BU25)</f>
        <v>2273323.2800000003</v>
      </c>
      <c r="BW27" s="407"/>
      <c r="BX27" s="408">
        <f>SUM(BX13:BX25)</f>
        <v>156.41000000000003</v>
      </c>
      <c r="BY27" s="409">
        <f>BU27/BX27</f>
        <v>14534.385780960296</v>
      </c>
      <c r="CA27" s="427" t="s">
        <v>171</v>
      </c>
      <c r="CB27" s="440">
        <f>CB17+CB20+CB23+CB25</f>
        <v>14</v>
      </c>
      <c r="CC27" s="441">
        <f>CC17+CC20+CC23+CC25</f>
        <v>1096267.4400000002</v>
      </c>
      <c r="CD27" s="440">
        <f>CD17+CD20+CD23+CD25</f>
        <v>20</v>
      </c>
      <c r="CE27" s="441">
        <f>CE17+CE20+CE23+CE25</f>
        <v>1177055.8400000001</v>
      </c>
    </row>
    <row r="28" spans="1:107" x14ac:dyDescent="0.25">
      <c r="A28" s="2"/>
      <c r="B28" s="2"/>
      <c r="C28" s="2"/>
      <c r="D28" s="2"/>
      <c r="E28" s="2"/>
      <c r="F28" s="2"/>
      <c r="G28" s="2"/>
      <c r="H28" s="35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422" t="s">
        <v>248</v>
      </c>
      <c r="BU28" s="412">
        <f>SUM(BU24:BU24)</f>
        <v>242365.2</v>
      </c>
      <c r="CC28" s="361"/>
      <c r="CD28" s="428"/>
      <c r="CE28" s="429"/>
    </row>
    <row r="29" spans="1:107" s="357" customFormat="1" x14ac:dyDescent="0.25">
      <c r="A29" s="1"/>
      <c r="B29" s="1"/>
      <c r="C29" s="1"/>
      <c r="D29" s="414"/>
      <c r="E29" s="1"/>
      <c r="F29" s="1"/>
      <c r="G29" s="1"/>
      <c r="H29" s="35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423" t="s">
        <v>249</v>
      </c>
      <c r="BU29" s="360">
        <f>BU27-BU28</f>
        <v>2030958.0800000003</v>
      </c>
      <c r="BV29" s="1"/>
      <c r="BW29" s="1"/>
      <c r="BX29" s="1"/>
      <c r="BY29" s="1"/>
      <c r="BZ29" s="1"/>
      <c r="CA29" s="355"/>
      <c r="CB29" s="355"/>
      <c r="CC29" s="355"/>
      <c r="CD29" s="430" t="s">
        <v>142</v>
      </c>
      <c r="CE29" s="431">
        <f>CC27+CE27</f>
        <v>2273323.2800000003</v>
      </c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 s="357" customFormat="1" x14ac:dyDescent="0.25">
      <c r="A30" s="1"/>
      <c r="B30" s="1"/>
      <c r="C30" s="1"/>
      <c r="D30" s="414"/>
      <c r="E30" s="1"/>
      <c r="F30" s="1"/>
      <c r="G30" s="1"/>
      <c r="H30" s="35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413"/>
      <c r="BV30" s="1"/>
      <c r="BW30" s="1"/>
      <c r="BX30" s="1"/>
      <c r="BY30" s="1"/>
      <c r="BZ30" s="1"/>
      <c r="CA30" s="355"/>
      <c r="CB30" s="355"/>
      <c r="CC30" s="355"/>
      <c r="CD30" s="355"/>
      <c r="CE30" s="432" t="b">
        <f>CE29=BU27</f>
        <v>1</v>
      </c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s="357" customFormat="1" x14ac:dyDescent="0.25">
      <c r="A31" s="1"/>
      <c r="B31" s="1"/>
      <c r="C31" s="1"/>
      <c r="D31" s="1"/>
      <c r="E31" s="1"/>
      <c r="F31" s="1"/>
      <c r="G31" s="1"/>
      <c r="H31" s="35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13"/>
      <c r="BV31" s="1"/>
      <c r="BW31" s="1"/>
      <c r="BX31" s="1"/>
      <c r="BY31" s="1"/>
      <c r="BZ31" s="1"/>
      <c r="CA31" s="355"/>
      <c r="CB31" s="355"/>
      <c r="CC31" s="355"/>
      <c r="CD31" s="355"/>
      <c r="CE31" s="355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</sheetData>
  <mergeCells count="23">
    <mergeCell ref="BW8:BW10"/>
    <mergeCell ref="BX8:BX10"/>
    <mergeCell ref="BY8:BY10"/>
    <mergeCell ref="CA8:CE9"/>
    <mergeCell ref="CA10:CA12"/>
    <mergeCell ref="CB10:CC11"/>
    <mergeCell ref="CD10:CE11"/>
    <mergeCell ref="BU8:BU10"/>
    <mergeCell ref="BW7:BY7"/>
    <mergeCell ref="B8:B10"/>
    <mergeCell ref="C8:C10"/>
    <mergeCell ref="D8:D10"/>
    <mergeCell ref="E8:E10"/>
    <mergeCell ref="F8:F10"/>
    <mergeCell ref="G8:G10"/>
    <mergeCell ref="H8:H10"/>
    <mergeCell ref="I8:AM8"/>
    <mergeCell ref="AN8:BO8"/>
    <mergeCell ref="BP8:BP10"/>
    <mergeCell ref="BQ8:BQ10"/>
    <mergeCell ref="BR8:BR10"/>
    <mergeCell ref="BS8:BS10"/>
    <mergeCell ref="BT8:BT10"/>
  </mergeCells>
  <conditionalFormatting sqref="I12:BO25">
    <cfRule type="notContainsBlanks" dxfId="123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0BF8-4655-46E3-9F8D-BA4E88E82C4D}">
  <dimension ref="A1:DC32"/>
  <sheetViews>
    <sheetView showGridLines="0" zoomScale="70" zoomScaleNormal="70" workbookViewId="0">
      <pane xSplit="4" ySplit="10" topLeftCell="E11" activePane="bottomRight" state="frozen"/>
      <selection activeCell="BQ32" sqref="BQ32"/>
      <selection pane="topRight" activeCell="BQ32" sqref="BQ32"/>
      <selection pane="bottomLeft" activeCell="BQ32" sqref="BQ32"/>
      <selection pane="bottomRight" activeCell="D14" sqref="D14"/>
    </sheetView>
  </sheetViews>
  <sheetFormatPr defaultColWidth="8.796875" defaultRowHeight="13.2" x14ac:dyDescent="0.25"/>
  <cols>
    <col min="1" max="1" width="4" style="1" customWidth="1"/>
    <col min="2" max="2" width="20.19921875" style="1" customWidth="1"/>
    <col min="3" max="3" width="13.5" style="1" customWidth="1"/>
    <col min="4" max="4" width="30.296875" style="1" bestFit="1" customWidth="1"/>
    <col min="5" max="7" width="13.69921875" style="1" customWidth="1"/>
    <col min="8" max="8" width="10.3984375" style="355" customWidth="1"/>
    <col min="9" max="26" width="4.296875" style="1" hidden="1" customWidth="1"/>
    <col min="27" max="54" width="4.296875" style="1" customWidth="1"/>
    <col min="55" max="67" width="4.296875" style="1" hidden="1" customWidth="1"/>
    <col min="68" max="68" width="9" style="1" customWidth="1"/>
    <col min="69" max="69" width="12.5" style="1" customWidth="1"/>
    <col min="70" max="70" width="8.796875" style="1"/>
    <col min="71" max="71" width="14.796875" style="1" customWidth="1"/>
    <col min="72" max="72" width="16.59765625" style="1" customWidth="1"/>
    <col min="73" max="73" width="18.296875" style="1" customWidth="1"/>
    <col min="74" max="74" width="2.69921875" style="1" customWidth="1"/>
    <col min="75" max="76" width="11.69921875" style="1" customWidth="1"/>
    <col min="77" max="77" width="14" style="1" customWidth="1"/>
    <col min="78" max="78" width="3.69921875" style="1" customWidth="1"/>
    <col min="79" max="79" width="16.3984375" style="355" customWidth="1"/>
    <col min="80" max="80" width="4.19921875" style="355" customWidth="1"/>
    <col min="81" max="81" width="15.5" style="355" customWidth="1"/>
    <col min="82" max="82" width="4.19921875" style="355" customWidth="1"/>
    <col min="83" max="83" width="15.5" style="355" customWidth="1"/>
    <col min="84" max="84" width="11.59765625" style="357" customWidth="1"/>
    <col min="85" max="16384" width="8.796875" style="1"/>
  </cols>
  <sheetData>
    <row r="1" spans="1:84" x14ac:dyDescent="0.25">
      <c r="N1" s="356"/>
      <c r="O1" s="356"/>
      <c r="AS1" s="356"/>
      <c r="AT1" s="356"/>
    </row>
    <row r="2" spans="1:84" ht="15.6" x14ac:dyDescent="0.3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5.6" x14ac:dyDescent="0.3">
      <c r="A3" s="2"/>
      <c r="B3" s="3"/>
      <c r="C3" s="2"/>
      <c r="D3" s="2"/>
      <c r="E3" s="2"/>
      <c r="F3" s="2"/>
      <c r="G3" s="2"/>
      <c r="H3" s="35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4"/>
      <c r="BR3" s="4"/>
      <c r="BS3" s="359"/>
      <c r="BT3" s="2"/>
      <c r="BU3" s="2"/>
    </row>
    <row r="4" spans="1:84" ht="15.6" x14ac:dyDescent="0.3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4"/>
      <c r="BR4" s="4"/>
      <c r="BS4" s="359"/>
      <c r="BT4" s="2"/>
      <c r="BU4" s="2"/>
    </row>
    <row r="5" spans="1:84" ht="13.95" customHeight="1" x14ac:dyDescent="0.3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4"/>
      <c r="BR5" s="4"/>
      <c r="BS5" s="359"/>
      <c r="BT5" s="2"/>
      <c r="BU5" s="360"/>
      <c r="CC5" s="361"/>
    </row>
    <row r="6" spans="1:84" ht="13.95" customHeight="1" x14ac:dyDescent="0.3">
      <c r="A6" s="2"/>
      <c r="B6" s="6" t="s">
        <v>144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362"/>
      <c r="BT6" s="363"/>
      <c r="BU6" s="364"/>
    </row>
    <row r="7" spans="1:84" s="35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363"/>
      <c r="BU7" s="363"/>
      <c r="BV7" s="1"/>
      <c r="BW7" s="596" t="s">
        <v>173</v>
      </c>
      <c r="BX7" s="596"/>
      <c r="BY7" s="596"/>
      <c r="BZ7" s="1"/>
      <c r="CA7" s="355"/>
      <c r="CB7" s="355"/>
      <c r="CC7" s="355"/>
      <c r="CD7" s="355"/>
      <c r="CE7" s="355"/>
    </row>
    <row r="8" spans="1:84" s="357" customFormat="1" ht="15.75" customHeight="1" x14ac:dyDescent="0.25">
      <c r="A8" s="365"/>
      <c r="B8" s="597" t="s">
        <v>3</v>
      </c>
      <c r="C8" s="591" t="s">
        <v>4</v>
      </c>
      <c r="D8" s="591" t="s">
        <v>174</v>
      </c>
      <c r="E8" s="598" t="s">
        <v>200</v>
      </c>
      <c r="F8" s="598" t="s">
        <v>175</v>
      </c>
      <c r="G8" s="598" t="s">
        <v>176</v>
      </c>
      <c r="H8" s="601" t="s">
        <v>172</v>
      </c>
      <c r="I8" s="604" t="s">
        <v>6</v>
      </c>
      <c r="J8" s="605"/>
      <c r="K8" s="605"/>
      <c r="L8" s="605"/>
      <c r="M8" s="605"/>
      <c r="N8" s="605"/>
      <c r="O8" s="605"/>
      <c r="P8" s="605"/>
      <c r="Q8" s="605"/>
      <c r="R8" s="605"/>
      <c r="S8" s="605"/>
      <c r="T8" s="605"/>
      <c r="U8" s="605"/>
      <c r="V8" s="605"/>
      <c r="W8" s="605"/>
      <c r="X8" s="605"/>
      <c r="Y8" s="605"/>
      <c r="Z8" s="605"/>
      <c r="AA8" s="605"/>
      <c r="AB8" s="605"/>
      <c r="AC8" s="605"/>
      <c r="AD8" s="605"/>
      <c r="AE8" s="605"/>
      <c r="AF8" s="605"/>
      <c r="AG8" s="605"/>
      <c r="AH8" s="605"/>
      <c r="AI8" s="605"/>
      <c r="AJ8" s="605"/>
      <c r="AK8" s="605"/>
      <c r="AL8" s="605"/>
      <c r="AM8" s="606"/>
      <c r="AN8" s="604"/>
      <c r="AO8" s="605"/>
      <c r="AP8" s="605"/>
      <c r="AQ8" s="605"/>
      <c r="AR8" s="605"/>
      <c r="AS8" s="605"/>
      <c r="AT8" s="605"/>
      <c r="AU8" s="605"/>
      <c r="AV8" s="605"/>
      <c r="AW8" s="605"/>
      <c r="AX8" s="605"/>
      <c r="AY8" s="605"/>
      <c r="AZ8" s="605"/>
      <c r="BA8" s="605"/>
      <c r="BB8" s="605"/>
      <c r="BC8" s="605"/>
      <c r="BD8" s="605"/>
      <c r="BE8" s="605"/>
      <c r="BF8" s="605"/>
      <c r="BG8" s="605"/>
      <c r="BH8" s="605"/>
      <c r="BI8" s="605"/>
      <c r="BJ8" s="605"/>
      <c r="BK8" s="605"/>
      <c r="BL8" s="605"/>
      <c r="BM8" s="605"/>
      <c r="BN8" s="605"/>
      <c r="BO8" s="606"/>
      <c r="BP8" s="597" t="s">
        <v>7</v>
      </c>
      <c r="BQ8" s="592" t="s">
        <v>8</v>
      </c>
      <c r="BR8" s="597" t="s">
        <v>9</v>
      </c>
      <c r="BS8" s="592" t="s">
        <v>10</v>
      </c>
      <c r="BT8" s="592" t="s">
        <v>11</v>
      </c>
      <c r="BU8" s="592" t="s">
        <v>177</v>
      </c>
      <c r="BV8" s="1"/>
      <c r="BW8" s="593" t="s">
        <v>178</v>
      </c>
      <c r="BX8" s="593" t="s">
        <v>12</v>
      </c>
      <c r="BY8" s="593" t="s">
        <v>179</v>
      </c>
      <c r="BZ8" s="1"/>
      <c r="CA8" s="587" t="s">
        <v>180</v>
      </c>
      <c r="CB8" s="588"/>
      <c r="CC8" s="588"/>
      <c r="CD8" s="588"/>
      <c r="CE8" s="588"/>
    </row>
    <row r="9" spans="1:84" s="357" customFormat="1" ht="15.75" customHeight="1" x14ac:dyDescent="0.25">
      <c r="A9" s="365"/>
      <c r="B9" s="597"/>
      <c r="C9" s="591"/>
      <c r="D9" s="591"/>
      <c r="E9" s="599"/>
      <c r="F9" s="599"/>
      <c r="G9" s="599"/>
      <c r="H9" s="602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597"/>
      <c r="BQ9" s="592"/>
      <c r="BR9" s="597"/>
      <c r="BS9" s="592"/>
      <c r="BT9" s="592"/>
      <c r="BU9" s="592"/>
      <c r="BV9" s="1"/>
      <c r="BW9" s="594"/>
      <c r="BX9" s="594"/>
      <c r="BY9" s="594"/>
      <c r="BZ9" s="1"/>
      <c r="CA9" s="587"/>
      <c r="CB9" s="588"/>
      <c r="CC9" s="588"/>
      <c r="CD9" s="588"/>
      <c r="CE9" s="588"/>
    </row>
    <row r="10" spans="1:84" s="357" customFormat="1" ht="15.75" customHeight="1" x14ac:dyDescent="0.25">
      <c r="A10" s="365"/>
      <c r="B10" s="597"/>
      <c r="C10" s="591"/>
      <c r="D10" s="591"/>
      <c r="E10" s="600"/>
      <c r="F10" s="600"/>
      <c r="G10" s="600"/>
      <c r="H10" s="603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:AM10" si="1">AH10+1</f>
        <v>27</v>
      </c>
      <c r="AJ10" s="7">
        <f t="shared" si="1"/>
        <v>28</v>
      </c>
      <c r="AK10" s="7">
        <f t="shared" si="1"/>
        <v>29</v>
      </c>
      <c r="AL10" s="7">
        <f t="shared" si="1"/>
        <v>30</v>
      </c>
      <c r="AM10" s="8">
        <f t="shared" si="1"/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:BL10" si="2">BF10+1</f>
        <v>20</v>
      </c>
      <c r="BH10" s="8">
        <f t="shared" si="2"/>
        <v>21</v>
      </c>
      <c r="BI10" s="8">
        <f t="shared" si="2"/>
        <v>22</v>
      </c>
      <c r="BJ10" s="7">
        <f t="shared" si="2"/>
        <v>23</v>
      </c>
      <c r="BK10" s="7">
        <f t="shared" si="2"/>
        <v>24</v>
      </c>
      <c r="BL10" s="7">
        <f t="shared" si="2"/>
        <v>25</v>
      </c>
      <c r="BM10" s="7">
        <f>BL10+1</f>
        <v>26</v>
      </c>
      <c r="BN10" s="7">
        <f t="shared" ref="BN10:BO10" si="3">BM10+1</f>
        <v>27</v>
      </c>
      <c r="BO10" s="8">
        <f t="shared" si="3"/>
        <v>28</v>
      </c>
      <c r="BP10" s="597"/>
      <c r="BQ10" s="592"/>
      <c r="BR10" s="597"/>
      <c r="BS10" s="592"/>
      <c r="BT10" s="592"/>
      <c r="BU10" s="592"/>
      <c r="BV10" s="1"/>
      <c r="BW10" s="595"/>
      <c r="BX10" s="595"/>
      <c r="BY10" s="595"/>
      <c r="BZ10" s="1"/>
      <c r="CA10" s="589" t="s">
        <v>4</v>
      </c>
      <c r="CB10" s="591" t="s">
        <v>6</v>
      </c>
      <c r="CC10" s="591"/>
      <c r="CD10" s="591" t="s">
        <v>140</v>
      </c>
      <c r="CE10" s="591"/>
    </row>
    <row r="11" spans="1:84" s="357" customFormat="1" ht="16.05" customHeight="1" x14ac:dyDescent="0.25">
      <c r="A11" s="365"/>
      <c r="B11" s="367"/>
      <c r="C11" s="368"/>
      <c r="D11" s="368"/>
      <c r="E11" s="368"/>
      <c r="F11" s="368"/>
      <c r="G11" s="36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587"/>
      <c r="CB11" s="591"/>
      <c r="CC11" s="591"/>
      <c r="CD11" s="591"/>
      <c r="CE11" s="591"/>
    </row>
    <row r="12" spans="1:84" s="357" customFormat="1" ht="13.95" customHeight="1" x14ac:dyDescent="0.25">
      <c r="A12" s="365"/>
      <c r="B12" s="369"/>
      <c r="C12" s="370"/>
      <c r="D12" s="371"/>
      <c r="E12" s="372"/>
      <c r="F12" s="372"/>
      <c r="G12" s="372"/>
      <c r="H12" s="37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373"/>
      <c r="BR12" s="16"/>
      <c r="BS12" s="17"/>
      <c r="BT12" s="18"/>
      <c r="BU12" s="18"/>
      <c r="BV12" s="1"/>
      <c r="BW12" s="374"/>
      <c r="BX12" s="375"/>
      <c r="BY12" s="18"/>
      <c r="BZ12" s="2"/>
      <c r="CA12" s="590"/>
      <c r="CB12" s="366" t="s">
        <v>181</v>
      </c>
      <c r="CC12" s="366" t="s">
        <v>182</v>
      </c>
      <c r="CD12" s="366" t="s">
        <v>181</v>
      </c>
      <c r="CE12" s="366" t="s">
        <v>182</v>
      </c>
    </row>
    <row r="13" spans="1:84" ht="13.95" customHeight="1" x14ac:dyDescent="0.25">
      <c r="A13" s="365"/>
      <c r="B13" s="376" t="s">
        <v>206</v>
      </c>
      <c r="C13" s="376" t="s">
        <v>259</v>
      </c>
      <c r="D13" s="377" t="s">
        <v>260</v>
      </c>
      <c r="E13" s="378" t="s">
        <v>201</v>
      </c>
      <c r="F13" s="378">
        <v>0.83333333333333337</v>
      </c>
      <c r="G13" s="378" t="s">
        <v>230</v>
      </c>
      <c r="H13" s="39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/>
      <c r="AI13" s="11">
        <v>1</v>
      </c>
      <c r="AJ13" s="11"/>
      <c r="AK13" s="12">
        <v>1</v>
      </c>
      <c r="AL13" s="12"/>
      <c r="AM13" s="13"/>
      <c r="AN13" s="13"/>
      <c r="AO13" s="11">
        <v>1</v>
      </c>
      <c r="AP13" s="12"/>
      <c r="AQ13" s="12"/>
      <c r="AR13" s="12">
        <v>1</v>
      </c>
      <c r="AS13" s="11"/>
      <c r="AT13" s="13"/>
      <c r="AU13" s="13"/>
      <c r="AV13" s="11">
        <v>1</v>
      </c>
      <c r="AW13" s="12"/>
      <c r="AX13" s="12">
        <v>1</v>
      </c>
      <c r="AY13" s="12"/>
      <c r="AZ13" s="11"/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379">
        <f>SUM(I13:BO13)</f>
        <v>6</v>
      </c>
      <c r="BQ13" s="15">
        <v>4180</v>
      </c>
      <c r="BR13" s="19">
        <v>0.4</v>
      </c>
      <c r="BS13" s="20">
        <f>BQ13*(1-BR13)</f>
        <v>2508</v>
      </c>
      <c r="BT13" s="21">
        <f>BS13*BP13</f>
        <v>15048</v>
      </c>
      <c r="BU13" s="21">
        <f t="shared" ref="BU13:BU16" si="4">BT13*0.8</f>
        <v>12038.400000000001</v>
      </c>
      <c r="BW13" s="494">
        <v>0.05</v>
      </c>
      <c r="BX13" s="381">
        <f>BW13*BP13</f>
        <v>0.30000000000000004</v>
      </c>
      <c r="BY13" s="382">
        <f>IFERROR(BU13/BX13,0)</f>
        <v>40128</v>
      </c>
      <c r="BZ13" s="2"/>
      <c r="CA13" s="448" t="s">
        <v>259</v>
      </c>
      <c r="CB13" s="449">
        <f>COUNTA(I13:AM13)</f>
        <v>2</v>
      </c>
      <c r="CC13" s="450">
        <f>CB13*BS13*0.8</f>
        <v>4012.8</v>
      </c>
      <c r="CD13" s="449">
        <f>COUNTA(AN13:BO13)</f>
        <v>4</v>
      </c>
      <c r="CE13" s="450">
        <f>CD13*BS13*0.8</f>
        <v>8025.6</v>
      </c>
      <c r="CF13" s="357" t="b">
        <f>SUM(CC13,CE13)=BU13</f>
        <v>1</v>
      </c>
    </row>
    <row r="14" spans="1:84" s="388" customFormat="1" ht="13.95" customHeight="1" x14ac:dyDescent="0.25">
      <c r="A14" s="365"/>
      <c r="B14" s="376"/>
      <c r="C14" s="376"/>
      <c r="D14" s="389"/>
      <c r="E14" s="378" t="s">
        <v>201</v>
      </c>
      <c r="F14" s="378">
        <v>0.83333333333333337</v>
      </c>
      <c r="G14" s="378" t="s">
        <v>230</v>
      </c>
      <c r="H14" s="394">
        <v>60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>
        <v>1</v>
      </c>
      <c r="AF14" s="13"/>
      <c r="AG14" s="13"/>
      <c r="AH14" s="11"/>
      <c r="AI14" s="11"/>
      <c r="AJ14" s="11"/>
      <c r="AK14" s="12"/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379">
        <f>SUM(I14:BO14)</f>
        <v>1</v>
      </c>
      <c r="BQ14" s="390">
        <v>8360</v>
      </c>
      <c r="BR14" s="19">
        <v>0.4</v>
      </c>
      <c r="BS14" s="20">
        <f t="shared" ref="BS14:BS16" si="5">BQ14*(1-BR14)</f>
        <v>5016</v>
      </c>
      <c r="BT14" s="21">
        <f t="shared" ref="BT14:BT16" si="6">BS14*BP14</f>
        <v>5016</v>
      </c>
      <c r="BU14" s="22">
        <f t="shared" si="4"/>
        <v>4012.8</v>
      </c>
      <c r="BV14" s="1"/>
      <c r="BW14" s="494">
        <v>0.05</v>
      </c>
      <c r="BX14" s="381">
        <f>BW14*BP14</f>
        <v>0.05</v>
      </c>
      <c r="BY14" s="382">
        <f>IFERROR(BU14/BX14,0)</f>
        <v>80256</v>
      </c>
      <c r="BZ14" s="2"/>
      <c r="CA14" s="448" t="s">
        <v>259</v>
      </c>
      <c r="CB14" s="449">
        <f t="shared" ref="CB14:CB16" si="7">COUNTA(I14:AM14)</f>
        <v>1</v>
      </c>
      <c r="CC14" s="450">
        <f t="shared" ref="CC14:CC16" si="8">CB14*BS14*0.8</f>
        <v>4012.8</v>
      </c>
      <c r="CD14" s="449">
        <f t="shared" ref="CD14:CD16" si="9">COUNTA(AN14:BO14)</f>
        <v>0</v>
      </c>
      <c r="CE14" s="450">
        <f t="shared" ref="CE14:CE16" si="10">CD14*BS14*0.8</f>
        <v>0</v>
      </c>
      <c r="CF14" s="357" t="b">
        <f>SUM(CC14,CE14)=BU14</f>
        <v>1</v>
      </c>
    </row>
    <row r="15" spans="1:84" s="388" customFormat="1" ht="13.95" customHeight="1" x14ac:dyDescent="0.25">
      <c r="A15" s="365"/>
      <c r="B15" s="376"/>
      <c r="C15" s="376"/>
      <c r="D15" s="377" t="s">
        <v>261</v>
      </c>
      <c r="E15" s="378" t="s">
        <v>201</v>
      </c>
      <c r="F15" s="378">
        <v>0.91666666666666663</v>
      </c>
      <c r="G15" s="378" t="s">
        <v>214</v>
      </c>
      <c r="H15" s="394">
        <v>30</v>
      </c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>
        <v>1</v>
      </c>
      <c r="AI15" s="11"/>
      <c r="AJ15" s="11">
        <v>1</v>
      </c>
      <c r="AK15" s="12"/>
      <c r="AL15" s="12"/>
      <c r="AM15" s="13"/>
      <c r="AN15" s="13"/>
      <c r="AO15" s="11"/>
      <c r="AP15" s="12">
        <v>1</v>
      </c>
      <c r="AQ15" s="12"/>
      <c r="AR15" s="12"/>
      <c r="AS15" s="11">
        <v>1</v>
      </c>
      <c r="AT15" s="13"/>
      <c r="AU15" s="13"/>
      <c r="AV15" s="11"/>
      <c r="AW15" s="12">
        <v>1</v>
      </c>
      <c r="AX15" s="12"/>
      <c r="AY15" s="12">
        <v>1</v>
      </c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379">
        <f>SUM(I15:BO15)</f>
        <v>6</v>
      </c>
      <c r="BQ15" s="15">
        <v>5760</v>
      </c>
      <c r="BR15" s="19">
        <v>0.4</v>
      </c>
      <c r="BS15" s="20">
        <f t="shared" si="5"/>
        <v>3456</v>
      </c>
      <c r="BT15" s="21">
        <f t="shared" si="6"/>
        <v>20736</v>
      </c>
      <c r="BU15" s="22">
        <f t="shared" si="4"/>
        <v>16588.8</v>
      </c>
      <c r="BV15" s="1"/>
      <c r="BW15" s="494">
        <v>0.05</v>
      </c>
      <c r="BX15" s="381">
        <f>BW15*BP15</f>
        <v>0.30000000000000004</v>
      </c>
      <c r="BY15" s="382">
        <f>IFERROR(BU15/BX15,0)</f>
        <v>55295.999999999993</v>
      </c>
      <c r="BZ15" s="2"/>
      <c r="CA15" s="448" t="s">
        <v>259</v>
      </c>
      <c r="CB15" s="449">
        <f t="shared" si="7"/>
        <v>2</v>
      </c>
      <c r="CC15" s="450">
        <f t="shared" si="8"/>
        <v>5529.6</v>
      </c>
      <c r="CD15" s="449">
        <f t="shared" si="9"/>
        <v>4</v>
      </c>
      <c r="CE15" s="450">
        <f t="shared" si="10"/>
        <v>11059.2</v>
      </c>
      <c r="CF15" s="357" t="b">
        <f>SUM(CC15,CE15)=BU15</f>
        <v>1</v>
      </c>
    </row>
    <row r="16" spans="1:84" ht="13.95" customHeight="1" x14ac:dyDescent="0.25">
      <c r="A16" s="365"/>
      <c r="B16" s="376"/>
      <c r="C16" s="376"/>
      <c r="D16" s="377"/>
      <c r="E16" s="378" t="s">
        <v>201</v>
      </c>
      <c r="F16" s="378">
        <v>0.91666666666666663</v>
      </c>
      <c r="G16" s="378" t="s">
        <v>214</v>
      </c>
      <c r="H16" s="394">
        <v>60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>
        <v>1</v>
      </c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/>
      <c r="AP16" s="12"/>
      <c r="AQ16" s="12"/>
      <c r="AR16" s="12"/>
      <c r="AS16" s="11"/>
      <c r="AT16" s="13"/>
      <c r="AU16" s="13"/>
      <c r="AV16" s="11"/>
      <c r="AW16" s="12"/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379">
        <f>SUM(I16:BO16)</f>
        <v>1</v>
      </c>
      <c r="BQ16" s="15">
        <v>11520</v>
      </c>
      <c r="BR16" s="19">
        <v>0.4</v>
      </c>
      <c r="BS16" s="20">
        <f t="shared" si="5"/>
        <v>6912</v>
      </c>
      <c r="BT16" s="21">
        <f t="shared" si="6"/>
        <v>6912</v>
      </c>
      <c r="BU16" s="22">
        <f t="shared" si="4"/>
        <v>5529.6</v>
      </c>
      <c r="BW16" s="494">
        <v>0.05</v>
      </c>
      <c r="BX16" s="381">
        <f t="shared" ref="BX16" si="11">BW16*BP16</f>
        <v>0.05</v>
      </c>
      <c r="BY16" s="382">
        <f t="shared" ref="BY16" si="12">IFERROR(BU16/BX16,0)</f>
        <v>110592</v>
      </c>
      <c r="BZ16" s="2"/>
      <c r="CA16" s="448" t="s">
        <v>259</v>
      </c>
      <c r="CB16" s="449">
        <f t="shared" si="7"/>
        <v>1</v>
      </c>
      <c r="CC16" s="450">
        <f t="shared" si="8"/>
        <v>5529.6</v>
      </c>
      <c r="CD16" s="449">
        <f t="shared" si="9"/>
        <v>0</v>
      </c>
      <c r="CE16" s="450">
        <f t="shared" si="10"/>
        <v>0</v>
      </c>
      <c r="CF16" s="357" t="b">
        <f>SUM(CC16,CE16)=BU16</f>
        <v>1</v>
      </c>
    </row>
    <row r="17" spans="1:107" s="357" customFormat="1" ht="13.95" customHeight="1" x14ac:dyDescent="0.25">
      <c r="A17" s="365"/>
      <c r="B17" s="418"/>
      <c r="C17" s="419"/>
      <c r="D17" s="420"/>
      <c r="E17" s="420"/>
      <c r="F17" s="420"/>
      <c r="G17" s="420"/>
      <c r="H17" s="420"/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/>
      <c r="AR17" s="12"/>
      <c r="AS17" s="11"/>
      <c r="AT17" s="13"/>
      <c r="AU17" s="13"/>
      <c r="AV17" s="11"/>
      <c r="AW17" s="12"/>
      <c r="AX17" s="12"/>
      <c r="AY17" s="12"/>
      <c r="AZ17" s="11"/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336"/>
      <c r="BQ17" s="15"/>
      <c r="BR17" s="19"/>
      <c r="BS17" s="20"/>
      <c r="BT17" s="21"/>
      <c r="BU17" s="21"/>
      <c r="BV17" s="1"/>
      <c r="BW17" s="494"/>
      <c r="BX17" s="381"/>
      <c r="BY17" s="21"/>
      <c r="BZ17" s="2"/>
      <c r="CA17" s="451" t="s">
        <v>142</v>
      </c>
      <c r="CB17" s="425">
        <f>SUM(CB13:CB16)</f>
        <v>6</v>
      </c>
      <c r="CC17" s="426">
        <f>SUM(CC13:CC16)</f>
        <v>19084.800000000003</v>
      </c>
      <c r="CD17" s="425">
        <f>SUM(CD13:CD16)</f>
        <v>8</v>
      </c>
      <c r="CE17" s="426">
        <f>SUM(CE13:CE16)</f>
        <v>19084.800000000003</v>
      </c>
    </row>
    <row r="18" spans="1:107" ht="13.95" customHeight="1" x14ac:dyDescent="0.25">
      <c r="A18" s="365"/>
      <c r="B18" s="391"/>
      <c r="C18" s="376" t="s">
        <v>266</v>
      </c>
      <c r="D18" s="377" t="s">
        <v>267</v>
      </c>
      <c r="E18" s="378" t="s">
        <v>201</v>
      </c>
      <c r="F18" s="378">
        <v>0.83333333333333337</v>
      </c>
      <c r="G18" s="378" t="s">
        <v>230</v>
      </c>
      <c r="H18" s="394">
        <v>30</v>
      </c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>
        <v>1</v>
      </c>
      <c r="AJ18" s="11"/>
      <c r="AK18" s="12">
        <v>1</v>
      </c>
      <c r="AL18" s="12"/>
      <c r="AM18" s="13"/>
      <c r="AN18" s="13"/>
      <c r="AO18" s="11"/>
      <c r="AP18" s="12">
        <v>1</v>
      </c>
      <c r="AQ18" s="12"/>
      <c r="AR18" s="12">
        <v>1</v>
      </c>
      <c r="AS18" s="11"/>
      <c r="AT18" s="13"/>
      <c r="AU18" s="13"/>
      <c r="AV18" s="11">
        <v>1</v>
      </c>
      <c r="AW18" s="12"/>
      <c r="AX18" s="12">
        <v>1</v>
      </c>
      <c r="AY18" s="12"/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379">
        <f>SUM(I18:BO18)</f>
        <v>6</v>
      </c>
      <c r="BQ18" s="15">
        <v>11130</v>
      </c>
      <c r="BR18" s="19">
        <v>0.5</v>
      </c>
      <c r="BS18" s="20">
        <f>BQ18*(1-BR18)</f>
        <v>5565</v>
      </c>
      <c r="BT18" s="21">
        <f>BS18*BP18</f>
        <v>33390</v>
      </c>
      <c r="BU18" s="21">
        <f t="shared" ref="BU18:BU19" si="13">BT18*0.8</f>
        <v>26712</v>
      </c>
      <c r="BW18" s="494">
        <v>0.11</v>
      </c>
      <c r="BX18" s="381">
        <f t="shared" ref="BX18:BX19" si="14">BW18*BP18</f>
        <v>0.66</v>
      </c>
      <c r="BY18" s="382">
        <f t="shared" ref="BY18:BY19" si="15">IFERROR(BU18/BX18,0)</f>
        <v>40472.727272727272</v>
      </c>
      <c r="BZ18" s="2"/>
      <c r="CA18" s="448" t="s">
        <v>266</v>
      </c>
      <c r="CB18" s="449">
        <f t="shared" ref="CB18:CB19" si="16">COUNTA(I18:AM18)</f>
        <v>2</v>
      </c>
      <c r="CC18" s="450">
        <f t="shared" ref="CC18:CC19" si="17">CB18*BS18*0.8</f>
        <v>8904</v>
      </c>
      <c r="CD18" s="449">
        <f t="shared" ref="CD18:CD19" si="18">COUNTA(AN18:BO18)</f>
        <v>4</v>
      </c>
      <c r="CE18" s="450">
        <f t="shared" ref="CE18:CE19" si="19">CD18*BS18*0.8</f>
        <v>17808</v>
      </c>
      <c r="CF18" s="357" t="b">
        <f>SUM(CC18,CE18)=BU18</f>
        <v>1</v>
      </c>
    </row>
    <row r="19" spans="1:107" s="388" customFormat="1" ht="13.95" customHeight="1" x14ac:dyDescent="0.25">
      <c r="A19" s="365"/>
      <c r="B19" s="376"/>
      <c r="C19" s="376"/>
      <c r="D19" s="389"/>
      <c r="E19" s="378" t="s">
        <v>201</v>
      </c>
      <c r="F19" s="378">
        <v>0.83333333333333337</v>
      </c>
      <c r="G19" s="378" t="s">
        <v>230</v>
      </c>
      <c r="H19" s="394">
        <v>60</v>
      </c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>
        <v>1</v>
      </c>
      <c r="AE19" s="11"/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/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379">
        <f>SUM(I19:BO19)</f>
        <v>1</v>
      </c>
      <c r="BQ19" s="390">
        <v>22260</v>
      </c>
      <c r="BR19" s="19">
        <v>0.5</v>
      </c>
      <c r="BS19" s="20">
        <f t="shared" ref="BS19" si="20">BQ19*(1-BR19)</f>
        <v>11130</v>
      </c>
      <c r="BT19" s="21">
        <f t="shared" ref="BT19" si="21">BS19*BP19</f>
        <v>11130</v>
      </c>
      <c r="BU19" s="22">
        <f t="shared" si="13"/>
        <v>8904</v>
      </c>
      <c r="BV19" s="1"/>
      <c r="BW19" s="495">
        <v>0.11</v>
      </c>
      <c r="BX19" s="381">
        <f t="shared" si="14"/>
        <v>0.11</v>
      </c>
      <c r="BY19" s="382">
        <f t="shared" si="15"/>
        <v>80945.454545454544</v>
      </c>
      <c r="BZ19" s="2"/>
      <c r="CA19" s="448" t="s">
        <v>266</v>
      </c>
      <c r="CB19" s="449">
        <f t="shared" si="16"/>
        <v>1</v>
      </c>
      <c r="CC19" s="450">
        <f t="shared" si="17"/>
        <v>8904</v>
      </c>
      <c r="CD19" s="449">
        <f t="shared" si="18"/>
        <v>0</v>
      </c>
      <c r="CE19" s="450">
        <f t="shared" si="19"/>
        <v>0</v>
      </c>
      <c r="CF19" s="357" t="b">
        <f>SUM(CC19,CE19)=BU19</f>
        <v>1</v>
      </c>
    </row>
    <row r="20" spans="1:107" s="388" customFormat="1" ht="13.95" customHeight="1" x14ac:dyDescent="0.25">
      <c r="A20" s="365"/>
      <c r="B20" s="376"/>
      <c r="C20" s="376"/>
      <c r="D20" s="389"/>
      <c r="E20" s="378"/>
      <c r="F20" s="378"/>
      <c r="G20" s="378"/>
      <c r="H20" s="394"/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/>
      <c r="AI20" s="11"/>
      <c r="AJ20" s="11"/>
      <c r="AK20" s="12"/>
      <c r="AL20" s="12"/>
      <c r="AM20" s="13"/>
      <c r="AN20" s="13"/>
      <c r="AO20" s="11"/>
      <c r="AP20" s="12"/>
      <c r="AQ20" s="12"/>
      <c r="AR20" s="12"/>
      <c r="AS20" s="11"/>
      <c r="AT20" s="13"/>
      <c r="AU20" s="13"/>
      <c r="AV20" s="11"/>
      <c r="AW20" s="12"/>
      <c r="AX20" s="12"/>
      <c r="AY20" s="12"/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379"/>
      <c r="BQ20" s="15"/>
      <c r="BR20" s="19"/>
      <c r="BS20" s="20"/>
      <c r="BT20" s="21"/>
      <c r="BU20" s="22"/>
      <c r="BV20" s="1"/>
      <c r="BW20" s="495"/>
      <c r="BX20" s="387"/>
      <c r="BY20" s="382"/>
      <c r="BZ20" s="2"/>
      <c r="CA20" s="451" t="s">
        <v>142</v>
      </c>
      <c r="CB20" s="425">
        <f>SUM(CB18:CB19)</f>
        <v>3</v>
      </c>
      <c r="CC20" s="426">
        <f>SUM(CC18:CC19)</f>
        <v>17808</v>
      </c>
      <c r="CD20" s="425">
        <f>SUM(CD18:CD19)</f>
        <v>4</v>
      </c>
      <c r="CE20" s="426">
        <f>SUM(CE18:CE19)</f>
        <v>17808</v>
      </c>
      <c r="CF20" s="357"/>
    </row>
    <row r="21" spans="1:107" s="388" customFormat="1" ht="13.95" customHeight="1" x14ac:dyDescent="0.25">
      <c r="A21" s="365"/>
      <c r="B21" s="376" t="s">
        <v>207</v>
      </c>
      <c r="C21" s="376" t="s">
        <v>268</v>
      </c>
      <c r="D21" s="389" t="s">
        <v>269</v>
      </c>
      <c r="E21" s="378" t="s">
        <v>201</v>
      </c>
      <c r="F21" s="378">
        <v>0.875</v>
      </c>
      <c r="G21" s="378" t="s">
        <v>230</v>
      </c>
      <c r="H21" s="394">
        <v>30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/>
      <c r="AE21" s="11"/>
      <c r="AF21" s="13"/>
      <c r="AG21" s="13"/>
      <c r="AH21" s="11"/>
      <c r="AI21" s="11">
        <v>1</v>
      </c>
      <c r="AJ21" s="11"/>
      <c r="AK21" s="12"/>
      <c r="AL21" s="12">
        <v>1</v>
      </c>
      <c r="AM21" s="13"/>
      <c r="AN21" s="13"/>
      <c r="AO21" s="11"/>
      <c r="AP21" s="12"/>
      <c r="AQ21" s="12"/>
      <c r="AR21" s="12">
        <v>1</v>
      </c>
      <c r="AS21" s="11">
        <v>1</v>
      </c>
      <c r="AT21" s="13"/>
      <c r="AU21" s="13"/>
      <c r="AV21" s="11"/>
      <c r="AW21" s="12">
        <v>1</v>
      </c>
      <c r="AX21" s="12"/>
      <c r="AY21" s="12"/>
      <c r="AZ21" s="11">
        <v>1</v>
      </c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379">
        <f t="shared" ref="BP21:BP22" si="22">SUM(I21:BO21)</f>
        <v>6</v>
      </c>
      <c r="BQ21" s="390">
        <v>22000</v>
      </c>
      <c r="BR21" s="19">
        <v>0.75</v>
      </c>
      <c r="BS21" s="20">
        <f t="shared" ref="BS21:BS22" si="23">BQ21*(1-BR21)</f>
        <v>5500</v>
      </c>
      <c r="BT21" s="21">
        <f t="shared" ref="BT21:BT22" si="24">BS21*BP21</f>
        <v>33000</v>
      </c>
      <c r="BU21" s="22">
        <f t="shared" ref="BU21:BU22" si="25">BT21*0.8</f>
        <v>26400</v>
      </c>
      <c r="BV21" s="1"/>
      <c r="BW21" s="495">
        <v>0.13</v>
      </c>
      <c r="BX21" s="381">
        <f t="shared" ref="BX21:BX22" si="26">BW21*BP21</f>
        <v>0.78</v>
      </c>
      <c r="BY21" s="382">
        <f t="shared" ref="BY21:BY22" si="27">IFERROR(BU21/BX21,0)</f>
        <v>33846.153846153844</v>
      </c>
      <c r="BZ21" s="2"/>
      <c r="CA21" s="448" t="s">
        <v>268</v>
      </c>
      <c r="CB21" s="449">
        <f t="shared" ref="CB21:CB22" si="28">COUNTA(I21:AM21)</f>
        <v>2</v>
      </c>
      <c r="CC21" s="450">
        <f t="shared" ref="CC21:CC22" si="29">CB21*BS21*0.8</f>
        <v>8800</v>
      </c>
      <c r="CD21" s="449">
        <f t="shared" ref="CD21:CD22" si="30">COUNTA(AN21:BO21)</f>
        <v>4</v>
      </c>
      <c r="CE21" s="450">
        <f t="shared" ref="CE21:CE22" si="31">CD21*BS21*0.8</f>
        <v>17600</v>
      </c>
      <c r="CF21" s="357" t="b">
        <f t="shared" ref="CF21:CF22" si="32">SUM(CC21,CE21)=BU21</f>
        <v>1</v>
      </c>
    </row>
    <row r="22" spans="1:107" s="388" customFormat="1" ht="13.95" customHeight="1" x14ac:dyDescent="0.25">
      <c r="A22" s="365"/>
      <c r="B22" s="376"/>
      <c r="C22" s="376"/>
      <c r="D22" s="396"/>
      <c r="E22" s="378" t="s">
        <v>201</v>
      </c>
      <c r="F22" s="378">
        <v>0.875</v>
      </c>
      <c r="G22" s="378" t="s">
        <v>230</v>
      </c>
      <c r="H22" s="394">
        <v>60</v>
      </c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>
        <v>1</v>
      </c>
      <c r="AF22" s="13"/>
      <c r="AG22" s="13"/>
      <c r="AH22" s="11"/>
      <c r="AI22" s="11"/>
      <c r="AJ22" s="11"/>
      <c r="AK22" s="12"/>
      <c r="AL22" s="12"/>
      <c r="AM22" s="13"/>
      <c r="AN22" s="13"/>
      <c r="AO22" s="11"/>
      <c r="AP22" s="12"/>
      <c r="AQ22" s="12"/>
      <c r="AR22" s="12"/>
      <c r="AS22" s="11"/>
      <c r="AT22" s="13"/>
      <c r="AU22" s="13"/>
      <c r="AV22" s="11"/>
      <c r="AW22" s="12"/>
      <c r="AX22" s="12"/>
      <c r="AY22" s="12"/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379">
        <f t="shared" si="22"/>
        <v>1</v>
      </c>
      <c r="BQ22" s="390">
        <v>44000</v>
      </c>
      <c r="BR22" s="19">
        <v>0.75</v>
      </c>
      <c r="BS22" s="20">
        <f t="shared" si="23"/>
        <v>11000</v>
      </c>
      <c r="BT22" s="21">
        <f t="shared" si="24"/>
        <v>11000</v>
      </c>
      <c r="BU22" s="22">
        <f t="shared" si="25"/>
        <v>8800</v>
      </c>
      <c r="BV22" s="1"/>
      <c r="BW22" s="495">
        <v>0.13</v>
      </c>
      <c r="BX22" s="381">
        <f t="shared" si="26"/>
        <v>0.13</v>
      </c>
      <c r="BY22" s="382">
        <f t="shared" si="27"/>
        <v>67692.307692307688</v>
      </c>
      <c r="BZ22" s="2"/>
      <c r="CA22" s="448" t="s">
        <v>268</v>
      </c>
      <c r="CB22" s="449">
        <f t="shared" si="28"/>
        <v>1</v>
      </c>
      <c r="CC22" s="450">
        <f t="shared" si="29"/>
        <v>8800</v>
      </c>
      <c r="CD22" s="449">
        <f t="shared" si="30"/>
        <v>0</v>
      </c>
      <c r="CE22" s="450">
        <f t="shared" si="31"/>
        <v>0</v>
      </c>
      <c r="CF22" s="357" t="b">
        <f t="shared" si="32"/>
        <v>1</v>
      </c>
    </row>
    <row r="23" spans="1:107" s="388" customFormat="1" ht="13.95" customHeight="1" x14ac:dyDescent="0.25">
      <c r="A23" s="365"/>
      <c r="B23" s="376"/>
      <c r="C23" s="376"/>
      <c r="D23" s="396"/>
      <c r="E23" s="378"/>
      <c r="F23" s="378"/>
      <c r="G23" s="378"/>
      <c r="H23" s="394"/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/>
      <c r="AI23" s="11"/>
      <c r="AJ23" s="11"/>
      <c r="AK23" s="12"/>
      <c r="AL23" s="12"/>
      <c r="AM23" s="13"/>
      <c r="AN23" s="13"/>
      <c r="AO23" s="11"/>
      <c r="AP23" s="12"/>
      <c r="AQ23" s="12"/>
      <c r="AR23" s="12"/>
      <c r="AS23" s="11"/>
      <c r="AT23" s="13"/>
      <c r="AU23" s="13"/>
      <c r="AV23" s="11"/>
      <c r="AW23" s="12"/>
      <c r="AX23" s="12"/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379"/>
      <c r="BQ23" s="15"/>
      <c r="BR23" s="386"/>
      <c r="BS23" s="15"/>
      <c r="BT23" s="22"/>
      <c r="BU23" s="22"/>
      <c r="BV23" s="1"/>
      <c r="BW23" s="495"/>
      <c r="BX23" s="387"/>
      <c r="BY23" s="382"/>
      <c r="BZ23" s="2"/>
      <c r="CA23" s="451" t="s">
        <v>142</v>
      </c>
      <c r="CB23" s="425">
        <f>SUM(CB21:CB22)</f>
        <v>3</v>
      </c>
      <c r="CC23" s="426">
        <f>SUM(CC21:CC22)</f>
        <v>17600</v>
      </c>
      <c r="CD23" s="425">
        <f>SUM(CD21:CD22)</f>
        <v>4</v>
      </c>
      <c r="CE23" s="426">
        <f>SUM(CE21:CE22)</f>
        <v>17600</v>
      </c>
      <c r="CF23" s="357"/>
    </row>
    <row r="24" spans="1:107" s="388" customFormat="1" ht="13.95" customHeight="1" x14ac:dyDescent="0.25">
      <c r="A24" s="365"/>
      <c r="B24" s="376" t="s">
        <v>206</v>
      </c>
      <c r="C24" s="376" t="s">
        <v>270</v>
      </c>
      <c r="D24" s="389" t="s">
        <v>271</v>
      </c>
      <c r="E24" s="378" t="s">
        <v>201</v>
      </c>
      <c r="F24" s="378">
        <v>0.8125</v>
      </c>
      <c r="G24" s="378">
        <v>0.85416666666666663</v>
      </c>
      <c r="H24" s="394">
        <v>30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/>
      <c r="AF24" s="13"/>
      <c r="AG24" s="13"/>
      <c r="AH24" s="11">
        <v>1</v>
      </c>
      <c r="AI24" s="11"/>
      <c r="AJ24" s="11"/>
      <c r="AK24" s="12">
        <v>1</v>
      </c>
      <c r="AL24" s="12"/>
      <c r="AM24" s="13"/>
      <c r="AN24" s="13"/>
      <c r="AO24" s="11"/>
      <c r="AP24" s="12">
        <v>1</v>
      </c>
      <c r="AQ24" s="12"/>
      <c r="AR24" s="12">
        <v>1</v>
      </c>
      <c r="AS24" s="11"/>
      <c r="AT24" s="13"/>
      <c r="AU24" s="13"/>
      <c r="AV24" s="11"/>
      <c r="AW24" s="12">
        <v>1</v>
      </c>
      <c r="AX24" s="12"/>
      <c r="AY24" s="12">
        <v>1</v>
      </c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379">
        <f t="shared" ref="BP24:BP25" si="33">SUM(I24:BO24)</f>
        <v>6</v>
      </c>
      <c r="BQ24" s="390">
        <v>9631</v>
      </c>
      <c r="BR24" s="19">
        <v>0.7</v>
      </c>
      <c r="BS24" s="20">
        <f t="shared" ref="BS24:BS25" si="34">BQ24*(1-BR24)</f>
        <v>2889.3000000000006</v>
      </c>
      <c r="BT24" s="21">
        <f t="shared" ref="BT24:BT25" si="35">BS24*BP24</f>
        <v>17335.800000000003</v>
      </c>
      <c r="BU24" s="170">
        <f t="shared" ref="BU24:BU25" si="36">BT24*0.8</f>
        <v>13868.640000000003</v>
      </c>
      <c r="BV24" s="1"/>
      <c r="BW24" s="495">
        <v>1.4999999999999999E-2</v>
      </c>
      <c r="BX24" s="381">
        <f t="shared" ref="BX24" si="37">BW24*BP24</f>
        <v>0.09</v>
      </c>
      <c r="BY24" s="382">
        <f t="shared" ref="BY24:BY25" si="38">IFERROR(BU24/BX24,0)</f>
        <v>154096.00000000003</v>
      </c>
      <c r="BZ24" s="2"/>
      <c r="CA24" s="448" t="s">
        <v>270</v>
      </c>
      <c r="CB24" s="449">
        <f t="shared" ref="CB24:CB25" si="39">COUNTA(I24:AM24)</f>
        <v>2</v>
      </c>
      <c r="CC24" s="450">
        <f t="shared" ref="CC24:CC25" si="40">CB24*BS24*0.8</f>
        <v>4622.880000000001</v>
      </c>
      <c r="CD24" s="449">
        <f t="shared" ref="CD24:CD25" si="41">COUNTA(AN24:BO24)</f>
        <v>4</v>
      </c>
      <c r="CE24" s="450">
        <f t="shared" ref="CE24:CE25" si="42">CD24*BS24*0.8</f>
        <v>9245.760000000002</v>
      </c>
      <c r="CF24" s="357" t="b">
        <f t="shared" ref="CF24:CF25" si="43">SUM(CC24,CE24)=BU24</f>
        <v>1</v>
      </c>
    </row>
    <row r="25" spans="1:107" s="388" customFormat="1" ht="13.95" customHeight="1" x14ac:dyDescent="0.25">
      <c r="A25" s="365"/>
      <c r="B25" s="376"/>
      <c r="C25" s="376"/>
      <c r="D25" s="389"/>
      <c r="E25" s="378" t="s">
        <v>201</v>
      </c>
      <c r="F25" s="378">
        <v>0.8125</v>
      </c>
      <c r="G25" s="378">
        <v>0.85416666666666663</v>
      </c>
      <c r="H25" s="394">
        <v>60</v>
      </c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>
        <v>1</v>
      </c>
      <c r="AE25" s="11"/>
      <c r="AF25" s="13"/>
      <c r="AG25" s="13"/>
      <c r="AH25" s="11"/>
      <c r="AI25" s="11"/>
      <c r="AJ25" s="11"/>
      <c r="AK25" s="12"/>
      <c r="AL25" s="12"/>
      <c r="AM25" s="13"/>
      <c r="AN25" s="13"/>
      <c r="AO25" s="11"/>
      <c r="AP25" s="12"/>
      <c r="AQ25" s="12"/>
      <c r="AR25" s="12"/>
      <c r="AS25" s="11"/>
      <c r="AT25" s="13"/>
      <c r="AU25" s="13"/>
      <c r="AV25" s="11"/>
      <c r="AW25" s="12"/>
      <c r="AX25" s="12"/>
      <c r="AY25" s="12"/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379">
        <f t="shared" si="33"/>
        <v>1</v>
      </c>
      <c r="BQ25" s="390">
        <v>19262</v>
      </c>
      <c r="BR25" s="19">
        <v>0.7</v>
      </c>
      <c r="BS25" s="20">
        <f t="shared" si="34"/>
        <v>5778.6000000000013</v>
      </c>
      <c r="BT25" s="21">
        <f t="shared" si="35"/>
        <v>5778.6000000000013</v>
      </c>
      <c r="BU25" s="170">
        <f t="shared" si="36"/>
        <v>4622.880000000001</v>
      </c>
      <c r="BV25" s="1"/>
      <c r="BW25" s="495">
        <v>1.4999999999999999E-2</v>
      </c>
      <c r="BX25" s="381">
        <f>BW25*BP25</f>
        <v>1.4999999999999999E-2</v>
      </c>
      <c r="BY25" s="382">
        <f t="shared" si="38"/>
        <v>308192.00000000006</v>
      </c>
      <c r="BZ25" s="2"/>
      <c r="CA25" s="448" t="s">
        <v>270</v>
      </c>
      <c r="CB25" s="449">
        <f t="shared" si="39"/>
        <v>1</v>
      </c>
      <c r="CC25" s="450">
        <f t="shared" si="40"/>
        <v>4622.880000000001</v>
      </c>
      <c r="CD25" s="449">
        <f t="shared" si="41"/>
        <v>0</v>
      </c>
      <c r="CE25" s="450">
        <f t="shared" si="42"/>
        <v>0</v>
      </c>
      <c r="CF25" s="357" t="b">
        <f t="shared" si="43"/>
        <v>1</v>
      </c>
    </row>
    <row r="26" spans="1:107" s="388" customFormat="1" ht="13.95" customHeight="1" x14ac:dyDescent="0.25">
      <c r="A26" s="365"/>
      <c r="B26" s="376"/>
      <c r="C26" s="376"/>
      <c r="D26" s="396"/>
      <c r="E26" s="378"/>
      <c r="F26" s="378"/>
      <c r="G26" s="378"/>
      <c r="H26" s="394"/>
      <c r="I26" s="11"/>
      <c r="J26" s="11"/>
      <c r="K26" s="13"/>
      <c r="L26" s="13"/>
      <c r="M26" s="11"/>
      <c r="N26" s="12"/>
      <c r="O26" s="12"/>
      <c r="P26" s="12"/>
      <c r="Q26" s="11"/>
      <c r="R26" s="13"/>
      <c r="S26" s="13"/>
      <c r="T26" s="11"/>
      <c r="U26" s="12"/>
      <c r="V26" s="12"/>
      <c r="W26" s="12"/>
      <c r="X26" s="11"/>
      <c r="Y26" s="13"/>
      <c r="Z26" s="13"/>
      <c r="AA26" s="11"/>
      <c r="AB26" s="12"/>
      <c r="AC26" s="12"/>
      <c r="AD26" s="12"/>
      <c r="AE26" s="11"/>
      <c r="AF26" s="13"/>
      <c r="AG26" s="13"/>
      <c r="AH26" s="11"/>
      <c r="AI26" s="11"/>
      <c r="AJ26" s="11"/>
      <c r="AK26" s="12"/>
      <c r="AL26" s="12"/>
      <c r="AM26" s="13"/>
      <c r="AN26" s="13"/>
      <c r="AO26" s="11"/>
      <c r="AP26" s="12"/>
      <c r="AQ26" s="12"/>
      <c r="AR26" s="12"/>
      <c r="AS26" s="11"/>
      <c r="AT26" s="13"/>
      <c r="AU26" s="13"/>
      <c r="AV26" s="11"/>
      <c r="AW26" s="12"/>
      <c r="AX26" s="12"/>
      <c r="AY26" s="12"/>
      <c r="AZ26" s="11"/>
      <c r="BA26" s="13"/>
      <c r="BB26" s="13"/>
      <c r="BC26" s="11"/>
      <c r="BD26" s="12"/>
      <c r="BE26" s="12"/>
      <c r="BF26" s="12"/>
      <c r="BG26" s="11"/>
      <c r="BH26" s="13"/>
      <c r="BI26" s="13"/>
      <c r="BJ26" s="11"/>
      <c r="BK26" s="12"/>
      <c r="BL26" s="12"/>
      <c r="BM26" s="12"/>
      <c r="BN26" s="11"/>
      <c r="BO26" s="13"/>
      <c r="BP26" s="379"/>
      <c r="BQ26" s="15"/>
      <c r="BR26" s="386"/>
      <c r="BS26" s="15"/>
      <c r="BT26" s="22"/>
      <c r="BU26" s="22"/>
      <c r="BV26" s="1"/>
      <c r="BW26" s="487"/>
      <c r="BX26" s="482"/>
      <c r="BY26" s="483"/>
      <c r="BZ26" s="2"/>
      <c r="CA26" s="451" t="s">
        <v>142</v>
      </c>
      <c r="CB26" s="425">
        <f>SUM(CB24:CB25)</f>
        <v>3</v>
      </c>
      <c r="CC26" s="426">
        <f>SUM(CC24:CC25)</f>
        <v>9245.760000000002</v>
      </c>
      <c r="CD26" s="425">
        <f>SUM(CD24:CD25)</f>
        <v>4</v>
      </c>
      <c r="CE26" s="426">
        <f>SUM(CE24:CE25)</f>
        <v>9245.760000000002</v>
      </c>
      <c r="CF26" s="357"/>
    </row>
    <row r="27" spans="1:107" ht="3.75" customHeight="1" x14ac:dyDescent="0.25">
      <c r="A27" s="365"/>
      <c r="B27" s="397"/>
      <c r="C27" s="398"/>
      <c r="D27" s="398"/>
      <c r="E27" s="398"/>
      <c r="F27" s="398"/>
      <c r="G27" s="398"/>
      <c r="H27" s="398"/>
      <c r="I27" s="398"/>
      <c r="J27" s="398"/>
      <c r="K27" s="398"/>
      <c r="L27" s="398"/>
      <c r="M27" s="398"/>
      <c r="N27" s="398"/>
      <c r="O27" s="398"/>
      <c r="P27" s="398"/>
      <c r="Q27" s="398"/>
      <c r="R27" s="398"/>
      <c r="S27" s="398"/>
      <c r="T27" s="398"/>
      <c r="U27" s="398"/>
      <c r="V27" s="398"/>
      <c r="W27" s="398"/>
      <c r="X27" s="398"/>
      <c r="Y27" s="398"/>
      <c r="Z27" s="398"/>
      <c r="AA27" s="398"/>
      <c r="AB27" s="398"/>
      <c r="AC27" s="398"/>
      <c r="AD27" s="398"/>
      <c r="AE27" s="398"/>
      <c r="AF27" s="13"/>
      <c r="AG27" s="13"/>
      <c r="AH27" s="398"/>
      <c r="AI27" s="398"/>
      <c r="AJ27" s="398"/>
      <c r="AK27" s="398"/>
      <c r="AL27" s="398"/>
      <c r="AM27" s="13"/>
      <c r="AN27" s="398"/>
      <c r="AO27" s="398"/>
      <c r="AP27" s="398"/>
      <c r="AQ27" s="398"/>
      <c r="AR27" s="398"/>
      <c r="AS27" s="398"/>
      <c r="AT27" s="398"/>
      <c r="AU27" s="398"/>
      <c r="AV27" s="398"/>
      <c r="AW27" s="398"/>
      <c r="AX27" s="398"/>
      <c r="AY27" s="398"/>
      <c r="AZ27" s="398"/>
      <c r="BA27" s="398"/>
      <c r="BB27" s="398"/>
      <c r="BC27" s="398"/>
      <c r="BD27" s="398"/>
      <c r="BE27" s="398"/>
      <c r="BF27" s="398"/>
      <c r="BG27" s="398"/>
      <c r="BH27" s="398"/>
      <c r="BI27" s="398"/>
      <c r="BJ27" s="398"/>
      <c r="BK27" s="13"/>
      <c r="BL27" s="13"/>
      <c r="BM27" s="398"/>
      <c r="BN27" s="398"/>
      <c r="BO27" s="398"/>
      <c r="BP27" s="398"/>
      <c r="BQ27" s="398"/>
      <c r="BR27" s="398"/>
      <c r="BS27" s="398"/>
      <c r="BT27" s="23"/>
      <c r="BU27" s="24"/>
      <c r="BY27" s="399"/>
      <c r="CA27" s="452"/>
      <c r="CB27" s="453"/>
      <c r="CC27" s="454"/>
      <c r="CD27" s="453"/>
      <c r="CE27" s="454"/>
    </row>
    <row r="28" spans="1:107" s="436" customFormat="1" x14ac:dyDescent="0.3">
      <c r="A28" s="433"/>
      <c r="B28" s="25" t="s">
        <v>170</v>
      </c>
      <c r="C28" s="403"/>
      <c r="D28" s="403"/>
      <c r="E28" s="403"/>
      <c r="F28" s="403"/>
      <c r="G28" s="403"/>
      <c r="H28" s="403"/>
      <c r="I28" s="403">
        <f>COUNTA(I12:I16)</f>
        <v>0</v>
      </c>
      <c r="J28" s="403">
        <f>COUNTA(J12:J16)</f>
        <v>0</v>
      </c>
      <c r="K28" s="403">
        <f>COUNTA(K12:K16)</f>
        <v>0</v>
      </c>
      <c r="L28" s="403">
        <f>COUNTA(L12:L16)</f>
        <v>0</v>
      </c>
      <c r="M28" s="403">
        <f>COUNTA(M12:M16)</f>
        <v>0</v>
      </c>
      <c r="N28" s="403">
        <f>SUM(N12:N16)</f>
        <v>0</v>
      </c>
      <c r="O28" s="403">
        <f>SUM(O12:O16)</f>
        <v>0</v>
      </c>
      <c r="P28" s="403">
        <f>SUM(P12:P16)</f>
        <v>0</v>
      </c>
      <c r="Q28" s="403">
        <f t="shared" ref="Q28:BJ28" si="44">SUM(Q12:Q26)</f>
        <v>0</v>
      </c>
      <c r="R28" s="403">
        <f t="shared" si="44"/>
        <v>0</v>
      </c>
      <c r="S28" s="403">
        <f t="shared" si="44"/>
        <v>0</v>
      </c>
      <c r="T28" s="403">
        <f t="shared" si="44"/>
        <v>0</v>
      </c>
      <c r="U28" s="403">
        <f t="shared" si="44"/>
        <v>0</v>
      </c>
      <c r="V28" s="403">
        <f t="shared" si="44"/>
        <v>0</v>
      </c>
      <c r="W28" s="403">
        <f t="shared" si="44"/>
        <v>0</v>
      </c>
      <c r="X28" s="403">
        <f t="shared" si="44"/>
        <v>0</v>
      </c>
      <c r="Y28" s="403">
        <f t="shared" si="44"/>
        <v>0</v>
      </c>
      <c r="Z28" s="403">
        <f t="shared" si="44"/>
        <v>0</v>
      </c>
      <c r="AA28" s="403">
        <f t="shared" si="44"/>
        <v>0</v>
      </c>
      <c r="AB28" s="403">
        <f t="shared" si="44"/>
        <v>0</v>
      </c>
      <c r="AC28" s="403">
        <f t="shared" si="44"/>
        <v>0</v>
      </c>
      <c r="AD28" s="403">
        <f t="shared" si="44"/>
        <v>3</v>
      </c>
      <c r="AE28" s="403">
        <f t="shared" si="44"/>
        <v>2</v>
      </c>
      <c r="AF28" s="403">
        <f t="shared" si="44"/>
        <v>0</v>
      </c>
      <c r="AG28" s="403">
        <f t="shared" si="44"/>
        <v>0</v>
      </c>
      <c r="AH28" s="403">
        <f t="shared" si="44"/>
        <v>2</v>
      </c>
      <c r="AI28" s="403">
        <f t="shared" si="44"/>
        <v>3</v>
      </c>
      <c r="AJ28" s="403">
        <f t="shared" si="44"/>
        <v>1</v>
      </c>
      <c r="AK28" s="403">
        <f t="shared" si="44"/>
        <v>3</v>
      </c>
      <c r="AL28" s="403">
        <f t="shared" si="44"/>
        <v>1</v>
      </c>
      <c r="AM28" s="403">
        <f t="shared" si="44"/>
        <v>0</v>
      </c>
      <c r="AN28" s="403">
        <f t="shared" si="44"/>
        <v>0</v>
      </c>
      <c r="AO28" s="403">
        <f t="shared" si="44"/>
        <v>1</v>
      </c>
      <c r="AP28" s="403">
        <f t="shared" si="44"/>
        <v>3</v>
      </c>
      <c r="AQ28" s="403">
        <f t="shared" si="44"/>
        <v>0</v>
      </c>
      <c r="AR28" s="403">
        <f t="shared" si="44"/>
        <v>4</v>
      </c>
      <c r="AS28" s="403">
        <f t="shared" si="44"/>
        <v>2</v>
      </c>
      <c r="AT28" s="403">
        <f t="shared" si="44"/>
        <v>0</v>
      </c>
      <c r="AU28" s="403">
        <f t="shared" si="44"/>
        <v>0</v>
      </c>
      <c r="AV28" s="403">
        <f t="shared" si="44"/>
        <v>2</v>
      </c>
      <c r="AW28" s="403">
        <f t="shared" si="44"/>
        <v>3</v>
      </c>
      <c r="AX28" s="403">
        <f t="shared" si="44"/>
        <v>2</v>
      </c>
      <c r="AY28" s="403">
        <f t="shared" si="44"/>
        <v>2</v>
      </c>
      <c r="AZ28" s="403">
        <f t="shared" si="44"/>
        <v>1</v>
      </c>
      <c r="BA28" s="403">
        <f t="shared" si="44"/>
        <v>0</v>
      </c>
      <c r="BB28" s="403">
        <f t="shared" si="44"/>
        <v>0</v>
      </c>
      <c r="BC28" s="403">
        <f t="shared" si="44"/>
        <v>0</v>
      </c>
      <c r="BD28" s="403">
        <f t="shared" si="44"/>
        <v>0</v>
      </c>
      <c r="BE28" s="403">
        <f t="shared" si="44"/>
        <v>0</v>
      </c>
      <c r="BF28" s="403">
        <f t="shared" si="44"/>
        <v>0</v>
      </c>
      <c r="BG28" s="403">
        <f t="shared" si="44"/>
        <v>0</v>
      </c>
      <c r="BH28" s="403">
        <f t="shared" si="44"/>
        <v>0</v>
      </c>
      <c r="BI28" s="403">
        <f t="shared" si="44"/>
        <v>0</v>
      </c>
      <c r="BJ28" s="403">
        <f t="shared" si="44"/>
        <v>0</v>
      </c>
      <c r="BK28" s="403">
        <f>SUM(BK13:BK27)</f>
        <v>0</v>
      </c>
      <c r="BL28" s="403">
        <f>SUM(BL13:BL27)</f>
        <v>0</v>
      </c>
      <c r="BM28" s="403">
        <f>SUM(BM12:BM16)</f>
        <v>0</v>
      </c>
      <c r="BN28" s="403">
        <f>SUM(BN12:BN16)</f>
        <v>0</v>
      </c>
      <c r="BO28" s="403">
        <f>SUM(BO12:BO16)</f>
        <v>0</v>
      </c>
      <c r="BP28" s="404">
        <f>SUM(BP13:BP26)</f>
        <v>35</v>
      </c>
      <c r="BQ28" s="26"/>
      <c r="BR28" s="26"/>
      <c r="BS28" s="434"/>
      <c r="BT28" s="435">
        <f>SUM(BT13:BT26)</f>
        <v>159346.4</v>
      </c>
      <c r="BU28" s="435">
        <f>SUM(BU13:BU26)</f>
        <v>127477.12000000001</v>
      </c>
      <c r="BW28" s="437"/>
      <c r="BX28" s="438">
        <f>SUM(BX13:BX26)</f>
        <v>2.4850000000000003</v>
      </c>
      <c r="BY28" s="439">
        <f>BU28/BX28</f>
        <v>51298.6398390342</v>
      </c>
      <c r="CA28" s="427" t="s">
        <v>171</v>
      </c>
      <c r="CB28" s="440">
        <f>CB20+CB23+CB26</f>
        <v>9</v>
      </c>
      <c r="CC28" s="441">
        <f>CC17+CC20+CC23+CC26</f>
        <v>63738.560000000005</v>
      </c>
      <c r="CD28" s="440">
        <f>CD20+CD23+CD26</f>
        <v>12</v>
      </c>
      <c r="CE28" s="441">
        <f>CE17+CE20+CE23+CE26</f>
        <v>63738.560000000005</v>
      </c>
      <c r="CF28" s="442"/>
    </row>
    <row r="29" spans="1:107" x14ac:dyDescent="0.25">
      <c r="A29" s="2"/>
      <c r="B29" s="2"/>
      <c r="C29" s="2"/>
      <c r="D29" s="2"/>
      <c r="E29" s="2"/>
      <c r="F29" s="2"/>
      <c r="G29" s="2"/>
      <c r="H29" s="35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422"/>
      <c r="BU29" s="412"/>
      <c r="CC29" s="361"/>
      <c r="CD29" s="428"/>
      <c r="CE29" s="429"/>
    </row>
    <row r="30" spans="1:107" s="442" customFormat="1" x14ac:dyDescent="0.3">
      <c r="A30" s="436"/>
      <c r="B30" s="436"/>
      <c r="C30" s="436"/>
      <c r="D30" s="443"/>
      <c r="E30" s="436"/>
      <c r="F30" s="436"/>
      <c r="G30" s="436"/>
      <c r="H30" s="444"/>
      <c r="I30" s="436"/>
      <c r="J30" s="436"/>
      <c r="K30" s="436"/>
      <c r="L30" s="436"/>
      <c r="M30" s="436"/>
      <c r="N30" s="436"/>
      <c r="O30" s="436"/>
      <c r="P30" s="436"/>
      <c r="Q30" s="436"/>
      <c r="R30" s="436"/>
      <c r="S30" s="436"/>
      <c r="T30" s="436"/>
      <c r="U30" s="436"/>
      <c r="V30" s="436"/>
      <c r="W30" s="436"/>
      <c r="X30" s="436"/>
      <c r="Y30" s="436"/>
      <c r="Z30" s="436"/>
      <c r="AA30" s="436"/>
      <c r="AB30" s="436"/>
      <c r="AC30" s="436"/>
      <c r="AD30" s="436"/>
      <c r="AE30" s="436"/>
      <c r="AF30" s="436"/>
      <c r="AG30" s="436"/>
      <c r="AH30" s="436"/>
      <c r="AI30" s="436"/>
      <c r="AJ30" s="436"/>
      <c r="AK30" s="436"/>
      <c r="AL30" s="436"/>
      <c r="AM30" s="436"/>
      <c r="AN30" s="436"/>
      <c r="AO30" s="436"/>
      <c r="AP30" s="436"/>
      <c r="AQ30" s="436"/>
      <c r="AR30" s="436"/>
      <c r="AS30" s="436"/>
      <c r="AT30" s="436"/>
      <c r="AU30" s="436"/>
      <c r="AV30" s="436"/>
      <c r="AW30" s="436"/>
      <c r="AX30" s="436"/>
      <c r="AY30" s="436"/>
      <c r="AZ30" s="436"/>
      <c r="BA30" s="436"/>
      <c r="BB30" s="436"/>
      <c r="BC30" s="436"/>
      <c r="BD30" s="436"/>
      <c r="BE30" s="436"/>
      <c r="BF30" s="436"/>
      <c r="BG30" s="436"/>
      <c r="BH30" s="436"/>
      <c r="BI30" s="436"/>
      <c r="BJ30" s="436"/>
      <c r="BK30" s="436"/>
      <c r="BL30" s="436"/>
      <c r="BM30" s="436"/>
      <c r="BN30" s="436"/>
      <c r="BO30" s="436"/>
      <c r="BP30" s="436"/>
      <c r="BQ30" s="436"/>
      <c r="BR30" s="436"/>
      <c r="BS30" s="436"/>
      <c r="BT30" s="445"/>
      <c r="BU30" s="446"/>
      <c r="BV30" s="436"/>
      <c r="BW30" s="436"/>
      <c r="BX30" s="436"/>
      <c r="BY30" s="436"/>
      <c r="BZ30" s="436"/>
      <c r="CA30" s="444"/>
      <c r="CB30" s="444"/>
      <c r="CC30" s="444"/>
      <c r="CD30" s="417" t="s">
        <v>142</v>
      </c>
      <c r="CE30" s="447">
        <f>CC28+CE28</f>
        <v>127477.12000000001</v>
      </c>
      <c r="CG30" s="436"/>
      <c r="CH30" s="436"/>
      <c r="CI30" s="436"/>
      <c r="CJ30" s="436"/>
      <c r="CK30" s="436"/>
      <c r="CL30" s="436"/>
      <c r="CM30" s="436"/>
      <c r="CN30" s="436"/>
      <c r="CO30" s="436"/>
      <c r="CP30" s="436"/>
      <c r="CQ30" s="436"/>
      <c r="CR30" s="436"/>
      <c r="CS30" s="436"/>
      <c r="CT30" s="436"/>
      <c r="CU30" s="436"/>
      <c r="CV30" s="436"/>
      <c r="CW30" s="436"/>
      <c r="CX30" s="436"/>
      <c r="CY30" s="436"/>
      <c r="CZ30" s="436"/>
      <c r="DA30" s="436"/>
      <c r="DB30" s="436"/>
      <c r="DC30" s="436"/>
    </row>
    <row r="31" spans="1:107" s="357" customFormat="1" x14ac:dyDescent="0.25">
      <c r="A31" s="1"/>
      <c r="B31" s="1"/>
      <c r="C31" s="1"/>
      <c r="D31" s="414"/>
      <c r="E31" s="1"/>
      <c r="F31" s="1"/>
      <c r="G31" s="1"/>
      <c r="H31" s="35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13"/>
      <c r="BV31" s="1"/>
      <c r="BW31" s="1"/>
      <c r="BX31" s="1"/>
      <c r="BY31" s="1"/>
      <c r="BZ31" s="1"/>
      <c r="CA31" s="355"/>
      <c r="CB31" s="355"/>
      <c r="CC31" s="355"/>
      <c r="CD31" s="355"/>
      <c r="CE31" s="432" t="b">
        <f>CE30=BU28</f>
        <v>1</v>
      </c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 s="357" customFormat="1" x14ac:dyDescent="0.25">
      <c r="A32" s="1"/>
      <c r="B32" s="1"/>
      <c r="C32" s="1"/>
      <c r="D32" s="1"/>
      <c r="E32" s="1"/>
      <c r="F32" s="1"/>
      <c r="G32" s="1"/>
      <c r="H32" s="35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413"/>
      <c r="BV32" s="1"/>
      <c r="BW32" s="1"/>
      <c r="BX32" s="1"/>
      <c r="BY32" s="1"/>
      <c r="BZ32" s="1"/>
      <c r="CA32" s="355"/>
      <c r="CB32" s="355"/>
      <c r="CC32" s="355"/>
      <c r="CD32" s="355"/>
      <c r="CE32" s="355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</sheetData>
  <mergeCells count="23">
    <mergeCell ref="BW8:BW10"/>
    <mergeCell ref="BX8:BX10"/>
    <mergeCell ref="BY8:BY10"/>
    <mergeCell ref="CA8:CE9"/>
    <mergeCell ref="CA10:CA12"/>
    <mergeCell ref="CB10:CC11"/>
    <mergeCell ref="CD10:CE11"/>
    <mergeCell ref="BU8:BU10"/>
    <mergeCell ref="BW7:BY7"/>
    <mergeCell ref="B8:B10"/>
    <mergeCell ref="C8:C10"/>
    <mergeCell ref="D8:D10"/>
    <mergeCell ref="E8:E10"/>
    <mergeCell ref="F8:F10"/>
    <mergeCell ref="G8:G10"/>
    <mergeCell ref="H8:H10"/>
    <mergeCell ref="I8:AM8"/>
    <mergeCell ref="AN8:BO8"/>
    <mergeCell ref="BP8:BP10"/>
    <mergeCell ref="BQ8:BQ10"/>
    <mergeCell ref="BR8:BR10"/>
    <mergeCell ref="BS8:BS10"/>
    <mergeCell ref="BT8:BT10"/>
  </mergeCells>
  <conditionalFormatting sqref="I12:BO26">
    <cfRule type="notContainsBlanks" dxfId="122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2531-C0B1-4A3E-98EF-157A3ABD8CF7}">
  <dimension ref="A1:DC52"/>
  <sheetViews>
    <sheetView showGridLines="0" zoomScaleNormal="100" workbookViewId="0">
      <pane xSplit="4" ySplit="10" topLeftCell="BB11" activePane="bottomRight" state="frozen"/>
      <selection pane="topRight" activeCell="E1" sqref="E1"/>
      <selection pane="bottomLeft" activeCell="A14" sqref="A14"/>
      <selection pane="bottomRight" activeCell="BW44" sqref="BW44"/>
    </sheetView>
  </sheetViews>
  <sheetFormatPr defaultColWidth="8.796875" defaultRowHeight="13.2" x14ac:dyDescent="0.25"/>
  <cols>
    <col min="1" max="1" width="4" style="1" customWidth="1"/>
    <col min="2" max="2" width="20.19921875" style="1" customWidth="1"/>
    <col min="3" max="3" width="13.5" style="1" customWidth="1"/>
    <col min="4" max="4" width="30.296875" style="1" bestFit="1" customWidth="1"/>
    <col min="5" max="7" width="13.69921875" style="1" customWidth="1"/>
    <col min="8" max="8" width="10.3984375" style="355" customWidth="1"/>
    <col min="9" max="26" width="4.296875" style="1" hidden="1" customWidth="1"/>
    <col min="27" max="54" width="4.296875" style="1" customWidth="1"/>
    <col min="55" max="67" width="4.296875" style="1" hidden="1" customWidth="1"/>
    <col min="68" max="68" width="9" style="1" customWidth="1"/>
    <col min="69" max="69" width="12.5" style="1" customWidth="1"/>
    <col min="70" max="70" width="8.796875" style="1"/>
    <col min="71" max="71" width="14.796875" style="1" customWidth="1"/>
    <col min="72" max="72" width="16.59765625" style="1" customWidth="1"/>
    <col min="73" max="73" width="18.296875" style="1" customWidth="1"/>
    <col min="74" max="74" width="2.69921875" style="1" customWidth="1"/>
    <col min="75" max="76" width="11.69921875" style="1" customWidth="1"/>
    <col min="77" max="77" width="14" style="1" customWidth="1"/>
    <col min="78" max="78" width="3.69921875" style="1" customWidth="1"/>
    <col min="79" max="79" width="16.3984375" style="355" customWidth="1"/>
    <col min="80" max="80" width="3.69921875" style="355" customWidth="1"/>
    <col min="81" max="81" width="15.5" style="355" customWidth="1"/>
    <col min="82" max="82" width="3.69921875" style="355" customWidth="1"/>
    <col min="83" max="83" width="15.5" style="355" customWidth="1"/>
    <col min="84" max="84" width="11.59765625" style="357" customWidth="1"/>
    <col min="85" max="16384" width="8.796875" style="1"/>
  </cols>
  <sheetData>
    <row r="1" spans="1:84" x14ac:dyDescent="0.25">
      <c r="N1" s="356"/>
      <c r="O1" s="356"/>
      <c r="AS1" s="356"/>
      <c r="AT1" s="356"/>
    </row>
    <row r="2" spans="1:84" ht="15.6" x14ac:dyDescent="0.3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5.6" x14ac:dyDescent="0.3">
      <c r="A3" s="2"/>
      <c r="B3" s="3"/>
      <c r="C3" s="2"/>
      <c r="D3" s="2"/>
      <c r="E3" s="2"/>
      <c r="F3" s="2"/>
      <c r="G3" s="2"/>
      <c r="H3" s="35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4"/>
      <c r="BR3" s="4"/>
      <c r="BS3" s="359"/>
      <c r="BT3" s="2"/>
      <c r="BU3" s="2"/>
    </row>
    <row r="4" spans="1:84" ht="15.6" x14ac:dyDescent="0.3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4"/>
      <c r="BR4" s="4"/>
      <c r="BS4" s="359"/>
      <c r="BT4" s="2"/>
      <c r="BU4" s="2"/>
    </row>
    <row r="5" spans="1:84" ht="13.95" customHeight="1" x14ac:dyDescent="0.3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4"/>
      <c r="BR5" s="4"/>
      <c r="BS5" s="359"/>
      <c r="BT5" s="2"/>
      <c r="BU5" s="360"/>
      <c r="CC5" s="361"/>
    </row>
    <row r="6" spans="1:84" ht="13.95" customHeight="1" x14ac:dyDescent="0.3">
      <c r="A6" s="2"/>
      <c r="B6" s="6" t="s">
        <v>144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362"/>
      <c r="BT6" s="363"/>
      <c r="BU6" s="364"/>
    </row>
    <row r="7" spans="1:84" s="35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363"/>
      <c r="BU7" s="363"/>
      <c r="BV7" s="1"/>
      <c r="BW7" s="596" t="s">
        <v>173</v>
      </c>
      <c r="BX7" s="596"/>
      <c r="BY7" s="596"/>
      <c r="BZ7" s="1"/>
      <c r="CA7" s="355"/>
      <c r="CB7" s="355"/>
      <c r="CC7" s="355"/>
      <c r="CD7" s="355"/>
      <c r="CE7" s="355"/>
    </row>
    <row r="8" spans="1:84" s="357" customFormat="1" ht="15.75" customHeight="1" x14ac:dyDescent="0.25">
      <c r="A8" s="365"/>
      <c r="B8" s="597" t="s">
        <v>3</v>
      </c>
      <c r="C8" s="591" t="s">
        <v>4</v>
      </c>
      <c r="D8" s="591" t="s">
        <v>174</v>
      </c>
      <c r="E8" s="598" t="s">
        <v>200</v>
      </c>
      <c r="F8" s="598" t="s">
        <v>175</v>
      </c>
      <c r="G8" s="598" t="s">
        <v>176</v>
      </c>
      <c r="H8" s="601" t="s">
        <v>172</v>
      </c>
      <c r="I8" s="604" t="s">
        <v>6</v>
      </c>
      <c r="J8" s="605"/>
      <c r="K8" s="605"/>
      <c r="L8" s="605"/>
      <c r="M8" s="605"/>
      <c r="N8" s="605"/>
      <c r="O8" s="605"/>
      <c r="P8" s="605"/>
      <c r="Q8" s="605"/>
      <c r="R8" s="605"/>
      <c r="S8" s="605"/>
      <c r="T8" s="605"/>
      <c r="U8" s="605"/>
      <c r="V8" s="605"/>
      <c r="W8" s="605"/>
      <c r="X8" s="605"/>
      <c r="Y8" s="605"/>
      <c r="Z8" s="605"/>
      <c r="AA8" s="605"/>
      <c r="AB8" s="605"/>
      <c r="AC8" s="605"/>
      <c r="AD8" s="605"/>
      <c r="AE8" s="605"/>
      <c r="AF8" s="605"/>
      <c r="AG8" s="605"/>
      <c r="AH8" s="605"/>
      <c r="AI8" s="605"/>
      <c r="AJ8" s="605"/>
      <c r="AK8" s="605"/>
      <c r="AL8" s="605"/>
      <c r="AM8" s="606"/>
      <c r="AN8" s="604"/>
      <c r="AO8" s="605"/>
      <c r="AP8" s="605"/>
      <c r="AQ8" s="605"/>
      <c r="AR8" s="605"/>
      <c r="AS8" s="605"/>
      <c r="AT8" s="605"/>
      <c r="AU8" s="605"/>
      <c r="AV8" s="605"/>
      <c r="AW8" s="605"/>
      <c r="AX8" s="605"/>
      <c r="AY8" s="605"/>
      <c r="AZ8" s="605"/>
      <c r="BA8" s="605"/>
      <c r="BB8" s="605"/>
      <c r="BC8" s="605"/>
      <c r="BD8" s="605"/>
      <c r="BE8" s="605"/>
      <c r="BF8" s="605"/>
      <c r="BG8" s="605"/>
      <c r="BH8" s="605"/>
      <c r="BI8" s="605"/>
      <c r="BJ8" s="605"/>
      <c r="BK8" s="605"/>
      <c r="BL8" s="605"/>
      <c r="BM8" s="605"/>
      <c r="BN8" s="605"/>
      <c r="BO8" s="606"/>
      <c r="BP8" s="597" t="s">
        <v>7</v>
      </c>
      <c r="BQ8" s="592" t="s">
        <v>8</v>
      </c>
      <c r="BR8" s="597" t="s">
        <v>9</v>
      </c>
      <c r="BS8" s="592" t="s">
        <v>10</v>
      </c>
      <c r="BT8" s="592" t="s">
        <v>11</v>
      </c>
      <c r="BU8" s="592" t="s">
        <v>177</v>
      </c>
      <c r="BV8" s="1"/>
      <c r="BW8" s="593" t="s">
        <v>178</v>
      </c>
      <c r="BX8" s="593" t="s">
        <v>12</v>
      </c>
      <c r="BY8" s="593" t="s">
        <v>179</v>
      </c>
      <c r="BZ8" s="1"/>
      <c r="CA8" s="587" t="s">
        <v>180</v>
      </c>
      <c r="CB8" s="588"/>
      <c r="CC8" s="588"/>
      <c r="CD8" s="588"/>
      <c r="CE8" s="588"/>
    </row>
    <row r="9" spans="1:84" s="357" customFormat="1" ht="15.75" customHeight="1" x14ac:dyDescent="0.25">
      <c r="A9" s="365"/>
      <c r="B9" s="597"/>
      <c r="C9" s="591"/>
      <c r="D9" s="591"/>
      <c r="E9" s="599"/>
      <c r="F9" s="599"/>
      <c r="G9" s="599"/>
      <c r="H9" s="602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597"/>
      <c r="BQ9" s="592"/>
      <c r="BR9" s="597"/>
      <c r="BS9" s="592"/>
      <c r="BT9" s="592"/>
      <c r="BU9" s="592"/>
      <c r="BV9" s="1"/>
      <c r="BW9" s="594"/>
      <c r="BX9" s="594"/>
      <c r="BY9" s="594"/>
      <c r="BZ9" s="1"/>
      <c r="CA9" s="587"/>
      <c r="CB9" s="588"/>
      <c r="CC9" s="588"/>
      <c r="CD9" s="588"/>
      <c r="CE9" s="588"/>
    </row>
    <row r="10" spans="1:84" s="357" customFormat="1" ht="15.75" customHeight="1" x14ac:dyDescent="0.25">
      <c r="A10" s="365"/>
      <c r="B10" s="597"/>
      <c r="C10" s="591"/>
      <c r="D10" s="591"/>
      <c r="E10" s="600"/>
      <c r="F10" s="600"/>
      <c r="G10" s="600"/>
      <c r="H10" s="603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:AM10" si="1">AH10+1</f>
        <v>27</v>
      </c>
      <c r="AJ10" s="7">
        <f t="shared" si="1"/>
        <v>28</v>
      </c>
      <c r="AK10" s="7">
        <f t="shared" si="1"/>
        <v>29</v>
      </c>
      <c r="AL10" s="7">
        <f t="shared" si="1"/>
        <v>30</v>
      </c>
      <c r="AM10" s="8">
        <f t="shared" si="1"/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:BL10" si="2">BF10+1</f>
        <v>20</v>
      </c>
      <c r="BH10" s="8">
        <f t="shared" si="2"/>
        <v>21</v>
      </c>
      <c r="BI10" s="8">
        <f t="shared" si="2"/>
        <v>22</v>
      </c>
      <c r="BJ10" s="7">
        <f t="shared" si="2"/>
        <v>23</v>
      </c>
      <c r="BK10" s="7">
        <f t="shared" si="2"/>
        <v>24</v>
      </c>
      <c r="BL10" s="7">
        <f t="shared" si="2"/>
        <v>25</v>
      </c>
      <c r="BM10" s="7">
        <f>BL10+1</f>
        <v>26</v>
      </c>
      <c r="BN10" s="7">
        <f t="shared" ref="BN10:BO10" si="3">BM10+1</f>
        <v>27</v>
      </c>
      <c r="BO10" s="8">
        <f t="shared" si="3"/>
        <v>28</v>
      </c>
      <c r="BP10" s="597"/>
      <c r="BQ10" s="592"/>
      <c r="BR10" s="597"/>
      <c r="BS10" s="592"/>
      <c r="BT10" s="592"/>
      <c r="BU10" s="592"/>
      <c r="BV10" s="1"/>
      <c r="BW10" s="595"/>
      <c r="BX10" s="595"/>
      <c r="BY10" s="595"/>
      <c r="BZ10" s="1"/>
      <c r="CA10" s="589" t="s">
        <v>4</v>
      </c>
      <c r="CB10" s="591" t="s">
        <v>6</v>
      </c>
      <c r="CC10" s="591"/>
      <c r="CD10" s="591" t="s">
        <v>140</v>
      </c>
      <c r="CE10" s="591"/>
    </row>
    <row r="11" spans="1:84" s="357" customFormat="1" ht="16.05" customHeight="1" x14ac:dyDescent="0.25">
      <c r="A11" s="365"/>
      <c r="B11" s="367"/>
      <c r="C11" s="368"/>
      <c r="D11" s="368"/>
      <c r="E11" s="368"/>
      <c r="F11" s="368"/>
      <c r="G11" s="36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587"/>
      <c r="CB11" s="591"/>
      <c r="CC11" s="591"/>
      <c r="CD11" s="591"/>
      <c r="CE11" s="591"/>
    </row>
    <row r="12" spans="1:84" s="357" customFormat="1" ht="13.95" customHeight="1" x14ac:dyDescent="0.25">
      <c r="A12" s="365"/>
      <c r="B12" s="369"/>
      <c r="C12" s="370"/>
      <c r="D12" s="371"/>
      <c r="E12" s="372"/>
      <c r="F12" s="372"/>
      <c r="G12" s="372"/>
      <c r="H12" s="37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373"/>
      <c r="BR12" s="16"/>
      <c r="BS12" s="17"/>
      <c r="BT12" s="18"/>
      <c r="BU12" s="18"/>
      <c r="BV12" s="1"/>
      <c r="BW12" s="374"/>
      <c r="BX12" s="375"/>
      <c r="BY12" s="18"/>
      <c r="BZ12" s="2"/>
      <c r="CA12" s="590"/>
      <c r="CB12" s="366" t="s">
        <v>181</v>
      </c>
      <c r="CC12" s="366" t="s">
        <v>182</v>
      </c>
      <c r="CD12" s="366" t="s">
        <v>181</v>
      </c>
      <c r="CE12" s="366" t="s">
        <v>182</v>
      </c>
    </row>
    <row r="13" spans="1:84" ht="13.95" customHeight="1" x14ac:dyDescent="0.25">
      <c r="A13" s="365"/>
      <c r="B13" s="391" t="s">
        <v>207</v>
      </c>
      <c r="C13" s="376" t="s">
        <v>259</v>
      </c>
      <c r="D13" s="377" t="s">
        <v>260</v>
      </c>
      <c r="E13" s="378" t="s">
        <v>201</v>
      </c>
      <c r="F13" s="378">
        <v>0.83333333333333337</v>
      </c>
      <c r="G13" s="378" t="s">
        <v>230</v>
      </c>
      <c r="H13" s="39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/>
      <c r="AI13" s="11">
        <v>1</v>
      </c>
      <c r="AJ13" s="11"/>
      <c r="AK13" s="12">
        <v>1</v>
      </c>
      <c r="AL13" s="12"/>
      <c r="AM13" s="13"/>
      <c r="AN13" s="13"/>
      <c r="AO13" s="11">
        <v>1</v>
      </c>
      <c r="AP13" s="12"/>
      <c r="AQ13" s="12"/>
      <c r="AR13" s="12">
        <v>1</v>
      </c>
      <c r="AS13" s="11"/>
      <c r="AT13" s="13"/>
      <c r="AU13" s="13"/>
      <c r="AV13" s="11">
        <v>1</v>
      </c>
      <c r="AW13" s="12"/>
      <c r="AX13" s="12">
        <v>1</v>
      </c>
      <c r="AY13" s="12"/>
      <c r="AZ13" s="11"/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379">
        <f>SUM(I13:BO13)</f>
        <v>6</v>
      </c>
      <c r="BQ13" s="15">
        <v>4180</v>
      </c>
      <c r="BR13" s="19">
        <v>0.4</v>
      </c>
      <c r="BS13" s="20">
        <f>BQ13*(1-BR13)</f>
        <v>2508</v>
      </c>
      <c r="BT13" s="21">
        <f>BS13*BP13</f>
        <v>15048</v>
      </c>
      <c r="BU13" s="21">
        <f t="shared" ref="BU13:BU16" si="4">BT13*0.8</f>
        <v>12038.400000000001</v>
      </c>
      <c r="BW13" s="494">
        <v>0.05</v>
      </c>
      <c r="BX13" s="381">
        <f>BW13*BP13</f>
        <v>0.30000000000000004</v>
      </c>
      <c r="BY13" s="382">
        <f>IFERROR(BU13/BX13,0)</f>
        <v>40128</v>
      </c>
      <c r="BZ13" s="2"/>
      <c r="CA13" s="448" t="s">
        <v>259</v>
      </c>
      <c r="CB13" s="449">
        <f>COUNTA(I13:AM13)</f>
        <v>2</v>
      </c>
      <c r="CC13" s="450">
        <f>CB13*BS13*0.8</f>
        <v>4012.8</v>
      </c>
      <c r="CD13" s="449">
        <f>COUNTA(AN13:BO13)</f>
        <v>4</v>
      </c>
      <c r="CE13" s="450">
        <f>CD13*BS13*0.8</f>
        <v>8025.6</v>
      </c>
      <c r="CF13" s="357" t="b">
        <f>SUM(CC13,CE13)=BU13</f>
        <v>1</v>
      </c>
    </row>
    <row r="14" spans="1:84" s="388" customFormat="1" ht="13.95" customHeight="1" x14ac:dyDescent="0.25">
      <c r="A14" s="365"/>
      <c r="B14" s="376"/>
      <c r="C14" s="376" t="s">
        <v>168</v>
      </c>
      <c r="D14" s="389"/>
      <c r="E14" s="378" t="s">
        <v>201</v>
      </c>
      <c r="F14" s="378">
        <v>0.83333333333333337</v>
      </c>
      <c r="G14" s="378" t="s">
        <v>230</v>
      </c>
      <c r="H14" s="394">
        <v>60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>
        <v>1</v>
      </c>
      <c r="AF14" s="13"/>
      <c r="AG14" s="13"/>
      <c r="AH14" s="11"/>
      <c r="AI14" s="11"/>
      <c r="AJ14" s="11"/>
      <c r="AK14" s="12"/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379">
        <f>SUM(I14:BO14)</f>
        <v>1</v>
      </c>
      <c r="BQ14" s="390">
        <v>8360</v>
      </c>
      <c r="BR14" s="19">
        <v>0.4</v>
      </c>
      <c r="BS14" s="20">
        <f t="shared" ref="BS14:BS16" si="5">BQ14*(1-BR14)</f>
        <v>5016</v>
      </c>
      <c r="BT14" s="21">
        <f t="shared" ref="BT14:BT16" si="6">BS14*BP14</f>
        <v>5016</v>
      </c>
      <c r="BU14" s="22">
        <f t="shared" si="4"/>
        <v>4012.8</v>
      </c>
      <c r="BV14" s="1"/>
      <c r="BW14" s="494">
        <v>0.05</v>
      </c>
      <c r="BX14" s="381">
        <f>BW14*BP14</f>
        <v>0.05</v>
      </c>
      <c r="BY14" s="382">
        <f>IFERROR(BU14/BX14,0)</f>
        <v>80256</v>
      </c>
      <c r="BZ14" s="2"/>
      <c r="CA14" s="448" t="s">
        <v>259</v>
      </c>
      <c r="CB14" s="449">
        <f t="shared" ref="CB14:CB36" si="7">COUNTA(I14:AM14)</f>
        <v>1</v>
      </c>
      <c r="CC14" s="450">
        <f t="shared" ref="CC14:CC36" si="8">CB14*BS14*0.8</f>
        <v>4012.8</v>
      </c>
      <c r="CD14" s="449">
        <f t="shared" ref="CD14:CD36" si="9">COUNTA(AN14:BO14)</f>
        <v>0</v>
      </c>
      <c r="CE14" s="450">
        <f t="shared" ref="CE14:CE36" si="10">CD14*BS14*0.8</f>
        <v>0</v>
      </c>
      <c r="CF14" s="357" t="b">
        <f>SUM(CC14,CE14)=BU14</f>
        <v>1</v>
      </c>
    </row>
    <row r="15" spans="1:84" s="388" customFormat="1" ht="13.95" customHeight="1" x14ac:dyDescent="0.25">
      <c r="A15" s="365"/>
      <c r="B15" s="376"/>
      <c r="C15" s="376"/>
      <c r="D15" s="377" t="s">
        <v>261</v>
      </c>
      <c r="E15" s="378" t="s">
        <v>201</v>
      </c>
      <c r="F15" s="378">
        <v>0.91666666666666663</v>
      </c>
      <c r="G15" s="378" t="s">
        <v>214</v>
      </c>
      <c r="H15" s="394">
        <v>30</v>
      </c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>
        <v>1</v>
      </c>
      <c r="AI15" s="11"/>
      <c r="AJ15" s="11">
        <v>1</v>
      </c>
      <c r="AK15" s="12"/>
      <c r="AL15" s="12"/>
      <c r="AM15" s="13"/>
      <c r="AN15" s="13"/>
      <c r="AO15" s="11"/>
      <c r="AP15" s="12">
        <v>1</v>
      </c>
      <c r="AQ15" s="12"/>
      <c r="AR15" s="12"/>
      <c r="AS15" s="11">
        <v>1</v>
      </c>
      <c r="AT15" s="13"/>
      <c r="AU15" s="13"/>
      <c r="AV15" s="11"/>
      <c r="AW15" s="12">
        <v>1</v>
      </c>
      <c r="AX15" s="12"/>
      <c r="AY15" s="12">
        <v>1</v>
      </c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379">
        <f>SUM(I15:BO15)</f>
        <v>6</v>
      </c>
      <c r="BQ15" s="15">
        <v>5760</v>
      </c>
      <c r="BR15" s="19">
        <v>0.4</v>
      </c>
      <c r="BS15" s="20">
        <f t="shared" si="5"/>
        <v>3456</v>
      </c>
      <c r="BT15" s="21">
        <f t="shared" si="6"/>
        <v>20736</v>
      </c>
      <c r="BU15" s="22">
        <f t="shared" si="4"/>
        <v>16588.8</v>
      </c>
      <c r="BV15" s="1"/>
      <c r="BW15" s="494">
        <v>0.05</v>
      </c>
      <c r="BX15" s="381">
        <f>BW15*BP15</f>
        <v>0.30000000000000004</v>
      </c>
      <c r="BY15" s="382">
        <f>IFERROR(BU15/BX15,0)</f>
        <v>55295.999999999993</v>
      </c>
      <c r="BZ15" s="2"/>
      <c r="CA15" s="448" t="s">
        <v>259</v>
      </c>
      <c r="CB15" s="449">
        <f t="shared" si="7"/>
        <v>2</v>
      </c>
      <c r="CC15" s="450">
        <f t="shared" si="8"/>
        <v>5529.6</v>
      </c>
      <c r="CD15" s="449">
        <f t="shared" si="9"/>
        <v>4</v>
      </c>
      <c r="CE15" s="450">
        <f t="shared" si="10"/>
        <v>11059.2</v>
      </c>
      <c r="CF15" s="357" t="b">
        <f>SUM(CC15,CE15)=BU15</f>
        <v>1</v>
      </c>
    </row>
    <row r="16" spans="1:84" ht="13.95" customHeight="1" x14ac:dyDescent="0.25">
      <c r="A16" s="365"/>
      <c r="B16" s="376"/>
      <c r="C16" s="376"/>
      <c r="D16" s="377"/>
      <c r="E16" s="378" t="s">
        <v>201</v>
      </c>
      <c r="F16" s="378">
        <v>0.91666666666666663</v>
      </c>
      <c r="G16" s="378" t="s">
        <v>214</v>
      </c>
      <c r="H16" s="394">
        <v>60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>
        <v>1</v>
      </c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/>
      <c r="AP16" s="12"/>
      <c r="AQ16" s="12"/>
      <c r="AR16" s="12"/>
      <c r="AS16" s="11"/>
      <c r="AT16" s="13"/>
      <c r="AU16" s="13"/>
      <c r="AV16" s="11"/>
      <c r="AW16" s="12"/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379">
        <f>SUM(I16:BO16)</f>
        <v>1</v>
      </c>
      <c r="BQ16" s="15">
        <v>11520</v>
      </c>
      <c r="BR16" s="19">
        <v>0.4</v>
      </c>
      <c r="BS16" s="20">
        <f t="shared" si="5"/>
        <v>6912</v>
      </c>
      <c r="BT16" s="21">
        <f t="shared" si="6"/>
        <v>6912</v>
      </c>
      <c r="BU16" s="22">
        <f t="shared" si="4"/>
        <v>5529.6</v>
      </c>
      <c r="BW16" s="494">
        <v>0.05</v>
      </c>
      <c r="BX16" s="381">
        <f>BW16*BP16</f>
        <v>0.05</v>
      </c>
      <c r="BY16" s="382">
        <f>IFERROR(BU16/BX16,0)</f>
        <v>110592</v>
      </c>
      <c r="BZ16" s="2"/>
      <c r="CA16" s="448" t="s">
        <v>259</v>
      </c>
      <c r="CB16" s="449">
        <f t="shared" si="7"/>
        <v>1</v>
      </c>
      <c r="CC16" s="450">
        <f t="shared" si="8"/>
        <v>5529.6</v>
      </c>
      <c r="CD16" s="449">
        <f t="shared" si="9"/>
        <v>0</v>
      </c>
      <c r="CE16" s="450">
        <f t="shared" si="10"/>
        <v>0</v>
      </c>
      <c r="CF16" s="357" t="b">
        <f>SUM(CC16,CE16)=BU16</f>
        <v>1</v>
      </c>
    </row>
    <row r="17" spans="1:84" s="357" customFormat="1" ht="13.95" customHeight="1" x14ac:dyDescent="0.25">
      <c r="A17" s="365"/>
      <c r="B17" s="418"/>
      <c r="C17" s="419"/>
      <c r="D17" s="420"/>
      <c r="E17" s="420"/>
      <c r="F17" s="420"/>
      <c r="G17" s="420"/>
      <c r="H17" s="420"/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/>
      <c r="AR17" s="12"/>
      <c r="AS17" s="11"/>
      <c r="AT17" s="13"/>
      <c r="AU17" s="13"/>
      <c r="AV17" s="11"/>
      <c r="AW17" s="12"/>
      <c r="AX17" s="12"/>
      <c r="AY17" s="12"/>
      <c r="AZ17" s="11"/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336"/>
      <c r="BQ17" s="15"/>
      <c r="BR17" s="19"/>
      <c r="BS17" s="20"/>
      <c r="BT17" s="21"/>
      <c r="BU17" s="21"/>
      <c r="BV17" s="1"/>
      <c r="BW17" s="392"/>
      <c r="BX17" s="381"/>
      <c r="BY17" s="21"/>
      <c r="BZ17" s="2"/>
      <c r="CA17" s="448"/>
      <c r="CB17" s="449"/>
      <c r="CC17" s="450"/>
      <c r="CD17" s="449"/>
      <c r="CE17" s="450"/>
    </row>
    <row r="18" spans="1:84" ht="13.95" customHeight="1" x14ac:dyDescent="0.25">
      <c r="A18" s="365"/>
      <c r="B18" s="391"/>
      <c r="C18" s="376" t="s">
        <v>259</v>
      </c>
      <c r="D18" s="377" t="s">
        <v>260</v>
      </c>
      <c r="E18" s="378" t="s">
        <v>201</v>
      </c>
      <c r="F18" s="378">
        <v>0.83333333333333337</v>
      </c>
      <c r="G18" s="378" t="s">
        <v>230</v>
      </c>
      <c r="H18" s="394">
        <v>30</v>
      </c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>
        <v>1</v>
      </c>
      <c r="AJ18" s="11"/>
      <c r="AK18" s="12">
        <v>1</v>
      </c>
      <c r="AL18" s="12"/>
      <c r="AM18" s="13"/>
      <c r="AN18" s="13"/>
      <c r="AO18" s="11">
        <v>1</v>
      </c>
      <c r="AP18" s="12"/>
      <c r="AQ18" s="12"/>
      <c r="AR18" s="12">
        <v>1</v>
      </c>
      <c r="AS18" s="11"/>
      <c r="AT18" s="13"/>
      <c r="AU18" s="13"/>
      <c r="AV18" s="11">
        <v>1</v>
      </c>
      <c r="AW18" s="12"/>
      <c r="AX18" s="12">
        <v>1</v>
      </c>
      <c r="AY18" s="12"/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379">
        <f>SUM(I18:BO18)</f>
        <v>6</v>
      </c>
      <c r="BQ18" s="15">
        <v>640</v>
      </c>
      <c r="BR18" s="19">
        <v>0.4</v>
      </c>
      <c r="BS18" s="20">
        <f>BQ18*(1-BR18)</f>
        <v>384</v>
      </c>
      <c r="BT18" s="21">
        <f>BS18*BP18</f>
        <v>2304</v>
      </c>
      <c r="BU18" s="21">
        <f t="shared" ref="BU18:BU21" si="11">BT18*0.8</f>
        <v>1843.2</v>
      </c>
      <c r="BW18" s="494">
        <v>0.05</v>
      </c>
      <c r="BX18" s="381">
        <f>BW18*BP18</f>
        <v>0.30000000000000004</v>
      </c>
      <c r="BY18" s="382">
        <f>IFERROR(BU18/BX18,0)</f>
        <v>6143.9999999999991</v>
      </c>
      <c r="BZ18" s="2"/>
      <c r="CA18" s="448" t="s">
        <v>259</v>
      </c>
      <c r="CB18" s="449">
        <f t="shared" si="7"/>
        <v>2</v>
      </c>
      <c r="CC18" s="450">
        <f t="shared" si="8"/>
        <v>614.40000000000009</v>
      </c>
      <c r="CD18" s="449">
        <f t="shared" si="9"/>
        <v>4</v>
      </c>
      <c r="CE18" s="450">
        <f t="shared" si="10"/>
        <v>1228.8000000000002</v>
      </c>
      <c r="CF18" s="357" t="b">
        <f>SUM(CC18,CE18)=BU18</f>
        <v>1</v>
      </c>
    </row>
    <row r="19" spans="1:84" s="388" customFormat="1" ht="13.95" customHeight="1" x14ac:dyDescent="0.25">
      <c r="A19" s="365"/>
      <c r="B19" s="376"/>
      <c r="C19" s="376" t="s">
        <v>262</v>
      </c>
      <c r="D19" s="389"/>
      <c r="E19" s="378" t="s">
        <v>201</v>
      </c>
      <c r="F19" s="378">
        <v>0.83333333333333337</v>
      </c>
      <c r="G19" s="378" t="s">
        <v>230</v>
      </c>
      <c r="H19" s="394">
        <v>60</v>
      </c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/>
      <c r="AE19" s="11">
        <v>1</v>
      </c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/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379">
        <f>SUM(I19:BO19)</f>
        <v>1</v>
      </c>
      <c r="BQ19" s="390">
        <v>1280</v>
      </c>
      <c r="BR19" s="19">
        <v>0.4</v>
      </c>
      <c r="BS19" s="20">
        <f t="shared" ref="BS19:BS21" si="12">BQ19*(1-BR19)</f>
        <v>768</v>
      </c>
      <c r="BT19" s="21">
        <f t="shared" ref="BT19:BT21" si="13">BS19*BP19</f>
        <v>768</v>
      </c>
      <c r="BU19" s="22">
        <f t="shared" si="11"/>
        <v>614.40000000000009</v>
      </c>
      <c r="BV19" s="1"/>
      <c r="BW19" s="494">
        <v>0.05</v>
      </c>
      <c r="BX19" s="381">
        <f>BW19*BP19</f>
        <v>0.05</v>
      </c>
      <c r="BY19" s="382">
        <f>IFERROR(BU19/BX19,0)</f>
        <v>12288.000000000002</v>
      </c>
      <c r="BZ19" s="2"/>
      <c r="CA19" s="448" t="s">
        <v>259</v>
      </c>
      <c r="CB19" s="449">
        <f t="shared" si="7"/>
        <v>1</v>
      </c>
      <c r="CC19" s="450">
        <f t="shared" si="8"/>
        <v>614.40000000000009</v>
      </c>
      <c r="CD19" s="449">
        <f t="shared" si="9"/>
        <v>0</v>
      </c>
      <c r="CE19" s="450">
        <f t="shared" si="10"/>
        <v>0</v>
      </c>
      <c r="CF19" s="357" t="b">
        <f>SUM(CC19,CE19)=BU19</f>
        <v>1</v>
      </c>
    </row>
    <row r="20" spans="1:84" s="388" customFormat="1" ht="13.95" customHeight="1" x14ac:dyDescent="0.25">
      <c r="A20" s="365"/>
      <c r="B20" s="376"/>
      <c r="C20" s="376"/>
      <c r="D20" s="377" t="s">
        <v>261</v>
      </c>
      <c r="E20" s="378" t="s">
        <v>201</v>
      </c>
      <c r="F20" s="378">
        <v>0.91666666666666663</v>
      </c>
      <c r="G20" s="378" t="s">
        <v>214</v>
      </c>
      <c r="H20" s="394">
        <v>30</v>
      </c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>
        <v>1</v>
      </c>
      <c r="AI20" s="11"/>
      <c r="AJ20" s="11">
        <v>1</v>
      </c>
      <c r="AK20" s="12"/>
      <c r="AL20" s="12"/>
      <c r="AM20" s="13"/>
      <c r="AN20" s="13"/>
      <c r="AO20" s="11"/>
      <c r="AP20" s="12">
        <v>1</v>
      </c>
      <c r="AQ20" s="12"/>
      <c r="AR20" s="12"/>
      <c r="AS20" s="11">
        <v>1</v>
      </c>
      <c r="AT20" s="13"/>
      <c r="AU20" s="13"/>
      <c r="AV20" s="11"/>
      <c r="AW20" s="12">
        <v>1</v>
      </c>
      <c r="AX20" s="12"/>
      <c r="AY20" s="12">
        <v>1</v>
      </c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379">
        <f>SUM(I20:BO20)</f>
        <v>6</v>
      </c>
      <c r="BQ20" s="15">
        <v>860</v>
      </c>
      <c r="BR20" s="19">
        <v>0.4</v>
      </c>
      <c r="BS20" s="20">
        <f t="shared" si="12"/>
        <v>516</v>
      </c>
      <c r="BT20" s="21">
        <f t="shared" si="13"/>
        <v>3096</v>
      </c>
      <c r="BU20" s="22">
        <f t="shared" si="11"/>
        <v>2476.8000000000002</v>
      </c>
      <c r="BV20" s="1"/>
      <c r="BW20" s="494">
        <v>0.05</v>
      </c>
      <c r="BX20" s="381">
        <f>BW20*BP20</f>
        <v>0.30000000000000004</v>
      </c>
      <c r="BY20" s="382">
        <f>IFERROR(BU20/BX20,0)</f>
        <v>8256</v>
      </c>
      <c r="BZ20" s="2"/>
      <c r="CA20" s="448" t="s">
        <v>259</v>
      </c>
      <c r="CB20" s="449">
        <f t="shared" si="7"/>
        <v>2</v>
      </c>
      <c r="CC20" s="450">
        <f t="shared" si="8"/>
        <v>825.6</v>
      </c>
      <c r="CD20" s="449">
        <f t="shared" si="9"/>
        <v>4</v>
      </c>
      <c r="CE20" s="450">
        <f t="shared" si="10"/>
        <v>1651.2</v>
      </c>
      <c r="CF20" s="357" t="b">
        <f>SUM(CC20,CE20)=BU20</f>
        <v>1</v>
      </c>
    </row>
    <row r="21" spans="1:84" ht="13.95" customHeight="1" x14ac:dyDescent="0.25">
      <c r="A21" s="365"/>
      <c r="B21" s="376"/>
      <c r="C21" s="376"/>
      <c r="D21" s="377"/>
      <c r="E21" s="378" t="s">
        <v>201</v>
      </c>
      <c r="F21" s="378">
        <v>0.91666666666666663</v>
      </c>
      <c r="G21" s="378" t="s">
        <v>214</v>
      </c>
      <c r="H21" s="394">
        <v>60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>
        <v>1</v>
      </c>
      <c r="AE21" s="11"/>
      <c r="AF21" s="13"/>
      <c r="AG21" s="13"/>
      <c r="AH21" s="11"/>
      <c r="AI21" s="11"/>
      <c r="AJ21" s="11"/>
      <c r="AK21" s="12"/>
      <c r="AL21" s="12"/>
      <c r="AM21" s="13"/>
      <c r="AN21" s="13"/>
      <c r="AO21" s="11"/>
      <c r="AP21" s="12"/>
      <c r="AQ21" s="12"/>
      <c r="AR21" s="12"/>
      <c r="AS21" s="11"/>
      <c r="AT21" s="13"/>
      <c r="AU21" s="13"/>
      <c r="AV21" s="11"/>
      <c r="AW21" s="12"/>
      <c r="AX21" s="12"/>
      <c r="AY21" s="12"/>
      <c r="AZ21" s="11"/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379">
        <f>SUM(I21:BO21)</f>
        <v>1</v>
      </c>
      <c r="BQ21" s="15">
        <v>1720</v>
      </c>
      <c r="BR21" s="19">
        <v>0.4</v>
      </c>
      <c r="BS21" s="20">
        <f t="shared" si="12"/>
        <v>1032</v>
      </c>
      <c r="BT21" s="21">
        <f t="shared" si="13"/>
        <v>1032</v>
      </c>
      <c r="BU21" s="22">
        <f t="shared" si="11"/>
        <v>825.6</v>
      </c>
      <c r="BW21" s="494">
        <v>0.05</v>
      </c>
      <c r="BX21" s="381">
        <f>BW21*BP21</f>
        <v>0.05</v>
      </c>
      <c r="BY21" s="382">
        <f>IFERROR(BU21/BX21,0)</f>
        <v>16512</v>
      </c>
      <c r="BZ21" s="2"/>
      <c r="CA21" s="448" t="s">
        <v>259</v>
      </c>
      <c r="CB21" s="449">
        <f t="shared" si="7"/>
        <v>1</v>
      </c>
      <c r="CC21" s="450">
        <f t="shared" si="8"/>
        <v>825.6</v>
      </c>
      <c r="CD21" s="449">
        <f t="shared" si="9"/>
        <v>0</v>
      </c>
      <c r="CE21" s="450">
        <f t="shared" si="10"/>
        <v>0</v>
      </c>
      <c r="CF21" s="357" t="b">
        <f>SUM(CC21,CE21)=BU21</f>
        <v>1</v>
      </c>
    </row>
    <row r="22" spans="1:84" s="357" customFormat="1" ht="13.95" customHeight="1" x14ac:dyDescent="0.25">
      <c r="A22" s="365"/>
      <c r="B22" s="418"/>
      <c r="C22" s="419"/>
      <c r="D22" s="420"/>
      <c r="E22" s="420"/>
      <c r="F22" s="420"/>
      <c r="G22" s="420"/>
      <c r="H22" s="420"/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/>
      <c r="AF22" s="13"/>
      <c r="AG22" s="13"/>
      <c r="AH22" s="11"/>
      <c r="AI22" s="11"/>
      <c r="AJ22" s="11"/>
      <c r="AK22" s="12"/>
      <c r="AL22" s="12"/>
      <c r="AM22" s="13"/>
      <c r="AN22" s="13"/>
      <c r="AO22" s="11"/>
      <c r="AP22" s="12"/>
      <c r="AQ22" s="12"/>
      <c r="AR22" s="12"/>
      <c r="AS22" s="11"/>
      <c r="AT22" s="13"/>
      <c r="AU22" s="13"/>
      <c r="AV22" s="11"/>
      <c r="AW22" s="12"/>
      <c r="AX22" s="12"/>
      <c r="AY22" s="12"/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336"/>
      <c r="BQ22" s="15"/>
      <c r="BR22" s="19"/>
      <c r="BS22" s="20"/>
      <c r="BT22" s="21"/>
      <c r="BU22" s="21"/>
      <c r="BV22" s="1"/>
      <c r="BW22" s="392"/>
      <c r="BX22" s="381"/>
      <c r="BY22" s="21"/>
      <c r="BZ22" s="2"/>
      <c r="CA22" s="448"/>
      <c r="CB22" s="449"/>
      <c r="CC22" s="450"/>
      <c r="CD22" s="449"/>
      <c r="CE22" s="450"/>
    </row>
    <row r="23" spans="1:84" ht="13.95" customHeight="1" x14ac:dyDescent="0.25">
      <c r="A23" s="365"/>
      <c r="B23" s="391"/>
      <c r="C23" s="376" t="s">
        <v>259</v>
      </c>
      <c r="D23" s="377" t="s">
        <v>260</v>
      </c>
      <c r="E23" s="378" t="s">
        <v>201</v>
      </c>
      <c r="F23" s="378">
        <v>0.83333333333333337</v>
      </c>
      <c r="G23" s="378" t="s">
        <v>230</v>
      </c>
      <c r="H23" s="394">
        <v>30</v>
      </c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/>
      <c r="AI23" s="11">
        <v>1</v>
      </c>
      <c r="AJ23" s="11"/>
      <c r="AK23" s="12">
        <v>1</v>
      </c>
      <c r="AL23" s="12"/>
      <c r="AM23" s="13"/>
      <c r="AN23" s="13"/>
      <c r="AO23" s="11">
        <v>1</v>
      </c>
      <c r="AP23" s="12"/>
      <c r="AQ23" s="12"/>
      <c r="AR23" s="12">
        <v>1</v>
      </c>
      <c r="AS23" s="11"/>
      <c r="AT23" s="13"/>
      <c r="AU23" s="13"/>
      <c r="AV23" s="11">
        <v>1</v>
      </c>
      <c r="AW23" s="12"/>
      <c r="AX23" s="12">
        <v>1</v>
      </c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379">
        <f>SUM(I23:BO23)</f>
        <v>6</v>
      </c>
      <c r="BQ23" s="15">
        <v>1140</v>
      </c>
      <c r="BR23" s="19">
        <v>0.4</v>
      </c>
      <c r="BS23" s="20">
        <f>BQ23*(1-BR23)</f>
        <v>684</v>
      </c>
      <c r="BT23" s="21">
        <f>BS23*BP23</f>
        <v>4104</v>
      </c>
      <c r="BU23" s="21">
        <f t="shared" ref="BU23:BU26" si="14">BT23*0.8</f>
        <v>3283.2000000000003</v>
      </c>
      <c r="BW23" s="494">
        <v>0.05</v>
      </c>
      <c r="BX23" s="381">
        <f>BW23*BP23</f>
        <v>0.30000000000000004</v>
      </c>
      <c r="BY23" s="382">
        <f>IFERROR(BU23/BX23,0)</f>
        <v>10944</v>
      </c>
      <c r="BZ23" s="2"/>
      <c r="CA23" s="448" t="s">
        <v>259</v>
      </c>
      <c r="CB23" s="449">
        <f t="shared" si="7"/>
        <v>2</v>
      </c>
      <c r="CC23" s="450">
        <f t="shared" si="8"/>
        <v>1094.4000000000001</v>
      </c>
      <c r="CD23" s="449">
        <f t="shared" si="9"/>
        <v>4</v>
      </c>
      <c r="CE23" s="450">
        <f t="shared" si="10"/>
        <v>2188.8000000000002</v>
      </c>
      <c r="CF23" s="357" t="b">
        <f>SUM(CC23,CE23)=BU23</f>
        <v>1</v>
      </c>
    </row>
    <row r="24" spans="1:84" s="388" customFormat="1" ht="13.95" customHeight="1" x14ac:dyDescent="0.25">
      <c r="A24" s="365"/>
      <c r="B24" s="376"/>
      <c r="C24" s="376" t="s">
        <v>263</v>
      </c>
      <c r="D24" s="389"/>
      <c r="E24" s="378" t="s">
        <v>201</v>
      </c>
      <c r="F24" s="378">
        <v>0.83333333333333337</v>
      </c>
      <c r="G24" s="378" t="s">
        <v>230</v>
      </c>
      <c r="H24" s="394">
        <v>60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>
        <v>1</v>
      </c>
      <c r="AF24" s="13"/>
      <c r="AG24" s="13"/>
      <c r="AH24" s="11"/>
      <c r="AI24" s="11"/>
      <c r="AJ24" s="11"/>
      <c r="AK24" s="12"/>
      <c r="AL24" s="12"/>
      <c r="AM24" s="13"/>
      <c r="AN24" s="13"/>
      <c r="AO24" s="11"/>
      <c r="AP24" s="12"/>
      <c r="AQ24" s="12"/>
      <c r="AR24" s="12"/>
      <c r="AS24" s="11"/>
      <c r="AT24" s="13"/>
      <c r="AU24" s="13"/>
      <c r="AV24" s="11"/>
      <c r="AW24" s="12"/>
      <c r="AX24" s="12"/>
      <c r="AY24" s="12"/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379">
        <f>SUM(I24:BO24)</f>
        <v>1</v>
      </c>
      <c r="BQ24" s="390">
        <v>2280</v>
      </c>
      <c r="BR24" s="19">
        <v>0.4</v>
      </c>
      <c r="BS24" s="20">
        <f t="shared" ref="BS24:BS26" si="15">BQ24*(1-BR24)</f>
        <v>1368</v>
      </c>
      <c r="BT24" s="21">
        <f t="shared" ref="BT24:BT26" si="16">BS24*BP24</f>
        <v>1368</v>
      </c>
      <c r="BU24" s="22">
        <f t="shared" si="14"/>
        <v>1094.4000000000001</v>
      </c>
      <c r="BV24" s="1"/>
      <c r="BW24" s="494">
        <v>0.05</v>
      </c>
      <c r="BX24" s="381">
        <f>BW24*BP24</f>
        <v>0.05</v>
      </c>
      <c r="BY24" s="382">
        <f>IFERROR(BU24/BX24,0)</f>
        <v>21888</v>
      </c>
      <c r="BZ24" s="2"/>
      <c r="CA24" s="448" t="s">
        <v>259</v>
      </c>
      <c r="CB24" s="449">
        <f t="shared" si="7"/>
        <v>1</v>
      </c>
      <c r="CC24" s="450">
        <f t="shared" si="8"/>
        <v>1094.4000000000001</v>
      </c>
      <c r="CD24" s="449">
        <f t="shared" si="9"/>
        <v>0</v>
      </c>
      <c r="CE24" s="450">
        <f t="shared" si="10"/>
        <v>0</v>
      </c>
      <c r="CF24" s="357" t="b">
        <f>SUM(CC24,CE24)=BU24</f>
        <v>1</v>
      </c>
    </row>
    <row r="25" spans="1:84" s="388" customFormat="1" ht="13.95" customHeight="1" x14ac:dyDescent="0.25">
      <c r="A25" s="365"/>
      <c r="B25" s="376"/>
      <c r="C25" s="376"/>
      <c r="D25" s="377" t="s">
        <v>261</v>
      </c>
      <c r="E25" s="378" t="s">
        <v>201</v>
      </c>
      <c r="F25" s="378">
        <v>0.91666666666666663</v>
      </c>
      <c r="G25" s="378" t="s">
        <v>214</v>
      </c>
      <c r="H25" s="394">
        <v>30</v>
      </c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/>
      <c r="AE25" s="11"/>
      <c r="AF25" s="13"/>
      <c r="AG25" s="13"/>
      <c r="AH25" s="11">
        <v>1</v>
      </c>
      <c r="AI25" s="11"/>
      <c r="AJ25" s="11">
        <v>1</v>
      </c>
      <c r="AK25" s="12"/>
      <c r="AL25" s="12"/>
      <c r="AM25" s="13"/>
      <c r="AN25" s="13"/>
      <c r="AO25" s="11"/>
      <c r="AP25" s="12">
        <v>1</v>
      </c>
      <c r="AQ25" s="12"/>
      <c r="AR25" s="12"/>
      <c r="AS25" s="11">
        <v>1</v>
      </c>
      <c r="AT25" s="13"/>
      <c r="AU25" s="13"/>
      <c r="AV25" s="11"/>
      <c r="AW25" s="12">
        <v>1</v>
      </c>
      <c r="AX25" s="12"/>
      <c r="AY25" s="12">
        <v>1</v>
      </c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379">
        <f>SUM(I25:BO25)</f>
        <v>6</v>
      </c>
      <c r="BQ25" s="15">
        <v>1550</v>
      </c>
      <c r="BR25" s="19">
        <v>0.4</v>
      </c>
      <c r="BS25" s="20">
        <f t="shared" si="15"/>
        <v>930</v>
      </c>
      <c r="BT25" s="21">
        <f t="shared" si="16"/>
        <v>5580</v>
      </c>
      <c r="BU25" s="22">
        <f t="shared" si="14"/>
        <v>4464</v>
      </c>
      <c r="BV25" s="1"/>
      <c r="BW25" s="494">
        <v>0.05</v>
      </c>
      <c r="BX25" s="381">
        <f>BW25*BP25</f>
        <v>0.30000000000000004</v>
      </c>
      <c r="BY25" s="382">
        <f>IFERROR(BU25/BX25,0)</f>
        <v>14879.999999999998</v>
      </c>
      <c r="BZ25" s="2"/>
      <c r="CA25" s="448" t="s">
        <v>259</v>
      </c>
      <c r="CB25" s="449">
        <f t="shared" si="7"/>
        <v>2</v>
      </c>
      <c r="CC25" s="450">
        <f t="shared" si="8"/>
        <v>1488</v>
      </c>
      <c r="CD25" s="449">
        <f t="shared" si="9"/>
        <v>4</v>
      </c>
      <c r="CE25" s="450">
        <f t="shared" si="10"/>
        <v>2976</v>
      </c>
      <c r="CF25" s="357" t="b">
        <f>SUM(CC25,CE25)=BU25</f>
        <v>1</v>
      </c>
    </row>
    <row r="26" spans="1:84" ht="13.95" customHeight="1" x14ac:dyDescent="0.25">
      <c r="A26" s="365"/>
      <c r="B26" s="376"/>
      <c r="C26" s="376"/>
      <c r="D26" s="377"/>
      <c r="E26" s="378" t="s">
        <v>201</v>
      </c>
      <c r="F26" s="378">
        <v>0.91666666666666663</v>
      </c>
      <c r="G26" s="378" t="s">
        <v>214</v>
      </c>
      <c r="H26" s="394">
        <v>60</v>
      </c>
      <c r="I26" s="11"/>
      <c r="J26" s="11"/>
      <c r="K26" s="13"/>
      <c r="L26" s="13"/>
      <c r="M26" s="11"/>
      <c r="N26" s="12"/>
      <c r="O26" s="12"/>
      <c r="P26" s="12"/>
      <c r="Q26" s="11"/>
      <c r="R26" s="13"/>
      <c r="S26" s="13"/>
      <c r="T26" s="11"/>
      <c r="U26" s="12"/>
      <c r="V26" s="12"/>
      <c r="W26" s="12"/>
      <c r="X26" s="11"/>
      <c r="Y26" s="13"/>
      <c r="Z26" s="13"/>
      <c r="AA26" s="11"/>
      <c r="AB26" s="12"/>
      <c r="AC26" s="12"/>
      <c r="AD26" s="12">
        <v>1</v>
      </c>
      <c r="AE26" s="11"/>
      <c r="AF26" s="13"/>
      <c r="AG26" s="13"/>
      <c r="AH26" s="11"/>
      <c r="AI26" s="11"/>
      <c r="AJ26" s="11"/>
      <c r="AK26" s="12"/>
      <c r="AL26" s="12"/>
      <c r="AM26" s="13"/>
      <c r="AN26" s="13"/>
      <c r="AO26" s="11"/>
      <c r="AP26" s="12"/>
      <c r="AQ26" s="12"/>
      <c r="AR26" s="12"/>
      <c r="AS26" s="11"/>
      <c r="AT26" s="13"/>
      <c r="AU26" s="13"/>
      <c r="AV26" s="11"/>
      <c r="AW26" s="12"/>
      <c r="AX26" s="12"/>
      <c r="AY26" s="12"/>
      <c r="AZ26" s="11"/>
      <c r="BA26" s="13"/>
      <c r="BB26" s="13"/>
      <c r="BC26" s="11"/>
      <c r="BD26" s="12"/>
      <c r="BE26" s="12"/>
      <c r="BF26" s="12"/>
      <c r="BG26" s="11"/>
      <c r="BH26" s="13"/>
      <c r="BI26" s="13"/>
      <c r="BJ26" s="11"/>
      <c r="BK26" s="12"/>
      <c r="BL26" s="12"/>
      <c r="BM26" s="12"/>
      <c r="BN26" s="11"/>
      <c r="BO26" s="13"/>
      <c r="BP26" s="379">
        <f>SUM(I26:BO26)</f>
        <v>1</v>
      </c>
      <c r="BQ26" s="15">
        <v>3100</v>
      </c>
      <c r="BR26" s="19">
        <v>0.4</v>
      </c>
      <c r="BS26" s="20">
        <f t="shared" si="15"/>
        <v>1860</v>
      </c>
      <c r="BT26" s="21">
        <f t="shared" si="16"/>
        <v>1860</v>
      </c>
      <c r="BU26" s="22">
        <f t="shared" si="14"/>
        <v>1488</v>
      </c>
      <c r="BW26" s="494">
        <v>0.05</v>
      </c>
      <c r="BX26" s="381">
        <f>BW26*BP26</f>
        <v>0.05</v>
      </c>
      <c r="BY26" s="382">
        <f>IFERROR(BU26/BX26,0)</f>
        <v>29760</v>
      </c>
      <c r="BZ26" s="2"/>
      <c r="CA26" s="448" t="s">
        <v>259</v>
      </c>
      <c r="CB26" s="449">
        <f t="shared" si="7"/>
        <v>1</v>
      </c>
      <c r="CC26" s="450">
        <f t="shared" si="8"/>
        <v>1488</v>
      </c>
      <c r="CD26" s="449">
        <f t="shared" si="9"/>
        <v>0</v>
      </c>
      <c r="CE26" s="450">
        <f t="shared" si="10"/>
        <v>0</v>
      </c>
      <c r="CF26" s="357" t="b">
        <f>SUM(CC26,CE26)=BU26</f>
        <v>1</v>
      </c>
    </row>
    <row r="27" spans="1:84" s="357" customFormat="1" ht="13.95" customHeight="1" x14ac:dyDescent="0.25">
      <c r="A27" s="365"/>
      <c r="B27" s="418"/>
      <c r="C27" s="419"/>
      <c r="D27" s="420"/>
      <c r="E27" s="420"/>
      <c r="F27" s="420"/>
      <c r="G27" s="420"/>
      <c r="H27" s="420"/>
      <c r="I27" s="11"/>
      <c r="J27" s="11"/>
      <c r="K27" s="13"/>
      <c r="L27" s="13"/>
      <c r="M27" s="11"/>
      <c r="N27" s="12"/>
      <c r="O27" s="12"/>
      <c r="P27" s="12"/>
      <c r="Q27" s="11"/>
      <c r="R27" s="13"/>
      <c r="S27" s="13"/>
      <c r="T27" s="11"/>
      <c r="U27" s="12"/>
      <c r="V27" s="12"/>
      <c r="W27" s="12"/>
      <c r="X27" s="11"/>
      <c r="Y27" s="13"/>
      <c r="Z27" s="13"/>
      <c r="AA27" s="11"/>
      <c r="AB27" s="12"/>
      <c r="AC27" s="12"/>
      <c r="AD27" s="12"/>
      <c r="AE27" s="11"/>
      <c r="AF27" s="13"/>
      <c r="AG27" s="13"/>
      <c r="AH27" s="11"/>
      <c r="AI27" s="11"/>
      <c r="AJ27" s="11"/>
      <c r="AK27" s="12"/>
      <c r="AL27" s="12"/>
      <c r="AM27" s="13"/>
      <c r="AN27" s="13"/>
      <c r="AO27" s="11"/>
      <c r="AP27" s="12"/>
      <c r="AQ27" s="12"/>
      <c r="AR27" s="12"/>
      <c r="AS27" s="11"/>
      <c r="AT27" s="13"/>
      <c r="AU27" s="13"/>
      <c r="AV27" s="11"/>
      <c r="AW27" s="12"/>
      <c r="AX27" s="12"/>
      <c r="AY27" s="12"/>
      <c r="AZ27" s="11"/>
      <c r="BA27" s="13"/>
      <c r="BB27" s="13"/>
      <c r="BC27" s="11"/>
      <c r="BD27" s="12"/>
      <c r="BE27" s="12"/>
      <c r="BF27" s="12"/>
      <c r="BG27" s="11"/>
      <c r="BH27" s="13"/>
      <c r="BI27" s="13"/>
      <c r="BJ27" s="11"/>
      <c r="BK27" s="12"/>
      <c r="BL27" s="12"/>
      <c r="BM27" s="12"/>
      <c r="BN27" s="11"/>
      <c r="BO27" s="13"/>
      <c r="BP27" s="336"/>
      <c r="BQ27" s="15"/>
      <c r="BR27" s="19"/>
      <c r="BS27" s="20"/>
      <c r="BT27" s="21"/>
      <c r="BU27" s="21"/>
      <c r="BV27" s="1"/>
      <c r="BW27" s="392"/>
      <c r="BX27" s="381"/>
      <c r="BY27" s="21"/>
      <c r="BZ27" s="2"/>
      <c r="CA27" s="448"/>
      <c r="CB27" s="449"/>
      <c r="CC27" s="450"/>
      <c r="CD27" s="449"/>
      <c r="CE27" s="450"/>
    </row>
    <row r="28" spans="1:84" ht="13.95" customHeight="1" x14ac:dyDescent="0.25">
      <c r="A28" s="365"/>
      <c r="B28" s="391"/>
      <c r="C28" s="376" t="s">
        <v>259</v>
      </c>
      <c r="D28" s="377" t="s">
        <v>260</v>
      </c>
      <c r="E28" s="378" t="s">
        <v>201</v>
      </c>
      <c r="F28" s="378">
        <v>0.83333333333333337</v>
      </c>
      <c r="G28" s="378" t="s">
        <v>230</v>
      </c>
      <c r="H28" s="394">
        <v>30</v>
      </c>
      <c r="I28" s="11"/>
      <c r="J28" s="11"/>
      <c r="K28" s="13"/>
      <c r="L28" s="13"/>
      <c r="M28" s="11"/>
      <c r="N28" s="12"/>
      <c r="O28" s="12"/>
      <c r="P28" s="12"/>
      <c r="Q28" s="11"/>
      <c r="R28" s="13"/>
      <c r="S28" s="13"/>
      <c r="T28" s="11"/>
      <c r="U28" s="12"/>
      <c r="V28" s="12"/>
      <c r="W28" s="12"/>
      <c r="X28" s="11"/>
      <c r="Y28" s="13"/>
      <c r="Z28" s="13"/>
      <c r="AA28" s="11"/>
      <c r="AB28" s="12"/>
      <c r="AC28" s="12"/>
      <c r="AD28" s="12"/>
      <c r="AE28" s="11"/>
      <c r="AF28" s="13"/>
      <c r="AG28" s="13"/>
      <c r="AH28" s="11"/>
      <c r="AI28" s="11">
        <v>1</v>
      </c>
      <c r="AJ28" s="11"/>
      <c r="AK28" s="12">
        <v>1</v>
      </c>
      <c r="AL28" s="12"/>
      <c r="AM28" s="13"/>
      <c r="AN28" s="13"/>
      <c r="AO28" s="11">
        <v>1</v>
      </c>
      <c r="AP28" s="12"/>
      <c r="AQ28" s="12"/>
      <c r="AR28" s="12">
        <v>1</v>
      </c>
      <c r="AS28" s="11"/>
      <c r="AT28" s="13"/>
      <c r="AU28" s="13"/>
      <c r="AV28" s="11">
        <v>1</v>
      </c>
      <c r="AW28" s="12"/>
      <c r="AX28" s="12">
        <v>1</v>
      </c>
      <c r="AY28" s="12"/>
      <c r="AZ28" s="11"/>
      <c r="BA28" s="13"/>
      <c r="BB28" s="13"/>
      <c r="BC28" s="11"/>
      <c r="BD28" s="12"/>
      <c r="BE28" s="12"/>
      <c r="BF28" s="12"/>
      <c r="BG28" s="11"/>
      <c r="BH28" s="13"/>
      <c r="BI28" s="13"/>
      <c r="BJ28" s="11"/>
      <c r="BK28" s="12"/>
      <c r="BL28" s="12"/>
      <c r="BM28" s="12"/>
      <c r="BN28" s="11"/>
      <c r="BO28" s="13"/>
      <c r="BP28" s="379">
        <f>SUM(I28:BO28)</f>
        <v>6</v>
      </c>
      <c r="BQ28" s="15">
        <v>440</v>
      </c>
      <c r="BR28" s="19">
        <v>0.4</v>
      </c>
      <c r="BS28" s="20">
        <f>BQ28*(1-BR28)</f>
        <v>264</v>
      </c>
      <c r="BT28" s="21">
        <f>BS28*BP28</f>
        <v>1584</v>
      </c>
      <c r="BU28" s="21">
        <f t="shared" ref="BU28:BU31" si="17">BT28*0.8</f>
        <v>1267.2</v>
      </c>
      <c r="BW28" s="494">
        <v>0.05</v>
      </c>
      <c r="BX28" s="381">
        <f>BW28*BP28</f>
        <v>0.30000000000000004</v>
      </c>
      <c r="BY28" s="382">
        <f>IFERROR(BU28/BX28,0)</f>
        <v>4223.9999999999991</v>
      </c>
      <c r="BZ28" s="2"/>
      <c r="CA28" s="448" t="s">
        <v>259</v>
      </c>
      <c r="CB28" s="449">
        <f t="shared" si="7"/>
        <v>2</v>
      </c>
      <c r="CC28" s="450">
        <f t="shared" si="8"/>
        <v>422.40000000000003</v>
      </c>
      <c r="CD28" s="449">
        <f t="shared" si="9"/>
        <v>4</v>
      </c>
      <c r="CE28" s="450">
        <f t="shared" si="10"/>
        <v>844.80000000000007</v>
      </c>
      <c r="CF28" s="357" t="b">
        <f>SUM(CC28,CE28)=BU28</f>
        <v>1</v>
      </c>
    </row>
    <row r="29" spans="1:84" s="388" customFormat="1" ht="13.95" customHeight="1" x14ac:dyDescent="0.25">
      <c r="A29" s="365"/>
      <c r="B29" s="376"/>
      <c r="C29" s="376" t="s">
        <v>264</v>
      </c>
      <c r="D29" s="389"/>
      <c r="E29" s="378" t="s">
        <v>201</v>
      </c>
      <c r="F29" s="378">
        <v>0.83333333333333337</v>
      </c>
      <c r="G29" s="378" t="s">
        <v>230</v>
      </c>
      <c r="H29" s="394">
        <v>60</v>
      </c>
      <c r="I29" s="11"/>
      <c r="J29" s="11"/>
      <c r="K29" s="13"/>
      <c r="L29" s="13"/>
      <c r="M29" s="11"/>
      <c r="N29" s="12"/>
      <c r="O29" s="12"/>
      <c r="P29" s="12"/>
      <c r="Q29" s="11"/>
      <c r="R29" s="13"/>
      <c r="S29" s="13"/>
      <c r="T29" s="11"/>
      <c r="U29" s="12"/>
      <c r="V29" s="12"/>
      <c r="W29" s="12"/>
      <c r="X29" s="11"/>
      <c r="Y29" s="13"/>
      <c r="Z29" s="13"/>
      <c r="AA29" s="11"/>
      <c r="AB29" s="12"/>
      <c r="AC29" s="12"/>
      <c r="AD29" s="12"/>
      <c r="AE29" s="11">
        <v>1</v>
      </c>
      <c r="AF29" s="13"/>
      <c r="AG29" s="13"/>
      <c r="AH29" s="11"/>
      <c r="AI29" s="11"/>
      <c r="AJ29" s="11"/>
      <c r="AK29" s="12"/>
      <c r="AL29" s="12"/>
      <c r="AM29" s="13"/>
      <c r="AN29" s="13"/>
      <c r="AO29" s="11"/>
      <c r="AP29" s="12"/>
      <c r="AQ29" s="12"/>
      <c r="AR29" s="12"/>
      <c r="AS29" s="11"/>
      <c r="AT29" s="13"/>
      <c r="AU29" s="13"/>
      <c r="AV29" s="11"/>
      <c r="AW29" s="12"/>
      <c r="AX29" s="12"/>
      <c r="AY29" s="12"/>
      <c r="AZ29" s="11"/>
      <c r="BA29" s="13"/>
      <c r="BB29" s="13"/>
      <c r="BC29" s="11"/>
      <c r="BD29" s="12"/>
      <c r="BE29" s="12"/>
      <c r="BF29" s="12"/>
      <c r="BG29" s="11"/>
      <c r="BH29" s="13"/>
      <c r="BI29" s="13"/>
      <c r="BJ29" s="11"/>
      <c r="BK29" s="12"/>
      <c r="BL29" s="12"/>
      <c r="BM29" s="12"/>
      <c r="BN29" s="11"/>
      <c r="BO29" s="13"/>
      <c r="BP29" s="379">
        <f>SUM(I29:BO29)</f>
        <v>1</v>
      </c>
      <c r="BQ29" s="390">
        <v>880</v>
      </c>
      <c r="BR29" s="19">
        <v>0.4</v>
      </c>
      <c r="BS29" s="20">
        <f t="shared" ref="BS29:BS31" si="18">BQ29*(1-BR29)</f>
        <v>528</v>
      </c>
      <c r="BT29" s="21">
        <f t="shared" ref="BT29:BT31" si="19">BS29*BP29</f>
        <v>528</v>
      </c>
      <c r="BU29" s="22">
        <f t="shared" si="17"/>
        <v>422.40000000000003</v>
      </c>
      <c r="BV29" s="1"/>
      <c r="BW29" s="494">
        <v>0.05</v>
      </c>
      <c r="BX29" s="381">
        <f>BW29*BP29</f>
        <v>0.05</v>
      </c>
      <c r="BY29" s="382">
        <f>IFERROR(BU29/BX29,0)</f>
        <v>8448</v>
      </c>
      <c r="BZ29" s="2"/>
      <c r="CA29" s="448" t="s">
        <v>259</v>
      </c>
      <c r="CB29" s="449">
        <f t="shared" si="7"/>
        <v>1</v>
      </c>
      <c r="CC29" s="450">
        <f t="shared" si="8"/>
        <v>422.40000000000003</v>
      </c>
      <c r="CD29" s="449">
        <f t="shared" si="9"/>
        <v>0</v>
      </c>
      <c r="CE29" s="450">
        <f t="shared" si="10"/>
        <v>0</v>
      </c>
      <c r="CF29" s="357" t="b">
        <f>SUM(CC29,CE29)=BU29</f>
        <v>1</v>
      </c>
    </row>
    <row r="30" spans="1:84" s="388" customFormat="1" ht="13.95" customHeight="1" x14ac:dyDescent="0.25">
      <c r="A30" s="365"/>
      <c r="B30" s="376"/>
      <c r="C30" s="376"/>
      <c r="D30" s="377" t="s">
        <v>261</v>
      </c>
      <c r="E30" s="378" t="s">
        <v>201</v>
      </c>
      <c r="F30" s="378">
        <v>0.91666666666666663</v>
      </c>
      <c r="G30" s="378" t="s">
        <v>214</v>
      </c>
      <c r="H30" s="394">
        <v>30</v>
      </c>
      <c r="I30" s="11"/>
      <c r="J30" s="11"/>
      <c r="K30" s="13"/>
      <c r="L30" s="13"/>
      <c r="M30" s="11"/>
      <c r="N30" s="12"/>
      <c r="O30" s="12"/>
      <c r="P30" s="12"/>
      <c r="Q30" s="11"/>
      <c r="R30" s="13"/>
      <c r="S30" s="13"/>
      <c r="T30" s="11"/>
      <c r="U30" s="12"/>
      <c r="V30" s="12"/>
      <c r="W30" s="12"/>
      <c r="X30" s="11"/>
      <c r="Y30" s="13"/>
      <c r="Z30" s="13"/>
      <c r="AA30" s="11"/>
      <c r="AB30" s="12"/>
      <c r="AC30" s="12"/>
      <c r="AD30" s="12"/>
      <c r="AE30" s="11"/>
      <c r="AF30" s="13"/>
      <c r="AG30" s="13"/>
      <c r="AH30" s="11">
        <v>1</v>
      </c>
      <c r="AI30" s="11"/>
      <c r="AJ30" s="11">
        <v>1</v>
      </c>
      <c r="AK30" s="12"/>
      <c r="AL30" s="12"/>
      <c r="AM30" s="13"/>
      <c r="AN30" s="13"/>
      <c r="AO30" s="11"/>
      <c r="AP30" s="12">
        <v>1</v>
      </c>
      <c r="AQ30" s="12"/>
      <c r="AR30" s="12"/>
      <c r="AS30" s="11">
        <v>1</v>
      </c>
      <c r="AT30" s="13"/>
      <c r="AU30" s="13"/>
      <c r="AV30" s="11"/>
      <c r="AW30" s="12">
        <v>1</v>
      </c>
      <c r="AX30" s="12"/>
      <c r="AY30" s="12">
        <v>1</v>
      </c>
      <c r="AZ30" s="11"/>
      <c r="BA30" s="13"/>
      <c r="BB30" s="13"/>
      <c r="BC30" s="11"/>
      <c r="BD30" s="12"/>
      <c r="BE30" s="12"/>
      <c r="BF30" s="12"/>
      <c r="BG30" s="11"/>
      <c r="BH30" s="13"/>
      <c r="BI30" s="13"/>
      <c r="BJ30" s="11"/>
      <c r="BK30" s="12"/>
      <c r="BL30" s="12"/>
      <c r="BM30" s="12"/>
      <c r="BN30" s="11"/>
      <c r="BO30" s="13"/>
      <c r="BP30" s="379">
        <f>SUM(I30:BO30)</f>
        <v>6</v>
      </c>
      <c r="BQ30" s="15">
        <v>600</v>
      </c>
      <c r="BR30" s="19">
        <v>0.4</v>
      </c>
      <c r="BS30" s="20">
        <f t="shared" si="18"/>
        <v>360</v>
      </c>
      <c r="BT30" s="21">
        <f t="shared" si="19"/>
        <v>2160</v>
      </c>
      <c r="BU30" s="22">
        <f t="shared" si="17"/>
        <v>1728</v>
      </c>
      <c r="BV30" s="1"/>
      <c r="BW30" s="494">
        <v>0.05</v>
      </c>
      <c r="BX30" s="381">
        <f>BW30*BP30</f>
        <v>0.30000000000000004</v>
      </c>
      <c r="BY30" s="382">
        <f>IFERROR(BU30/BX30,0)</f>
        <v>5759.9999999999991</v>
      </c>
      <c r="BZ30" s="2"/>
      <c r="CA30" s="448" t="s">
        <v>259</v>
      </c>
      <c r="CB30" s="449">
        <f t="shared" si="7"/>
        <v>2</v>
      </c>
      <c r="CC30" s="450">
        <f t="shared" si="8"/>
        <v>576</v>
      </c>
      <c r="CD30" s="449">
        <f t="shared" si="9"/>
        <v>4</v>
      </c>
      <c r="CE30" s="450">
        <f t="shared" si="10"/>
        <v>1152</v>
      </c>
      <c r="CF30" s="357" t="b">
        <f>SUM(CC30,CE30)=BU30</f>
        <v>1</v>
      </c>
    </row>
    <row r="31" spans="1:84" ht="13.95" customHeight="1" x14ac:dyDescent="0.25">
      <c r="A31" s="365"/>
      <c r="B31" s="376"/>
      <c r="C31" s="376"/>
      <c r="D31" s="377"/>
      <c r="E31" s="378" t="s">
        <v>201</v>
      </c>
      <c r="F31" s="378">
        <v>0.91666666666666663</v>
      </c>
      <c r="G31" s="378" t="s">
        <v>214</v>
      </c>
      <c r="H31" s="394">
        <v>60</v>
      </c>
      <c r="I31" s="11"/>
      <c r="J31" s="11"/>
      <c r="K31" s="13"/>
      <c r="L31" s="13"/>
      <c r="M31" s="11"/>
      <c r="N31" s="12"/>
      <c r="O31" s="12"/>
      <c r="P31" s="12"/>
      <c r="Q31" s="11"/>
      <c r="R31" s="13"/>
      <c r="S31" s="13"/>
      <c r="T31" s="11"/>
      <c r="U31" s="12"/>
      <c r="V31" s="12"/>
      <c r="W31" s="12"/>
      <c r="X31" s="11"/>
      <c r="Y31" s="13"/>
      <c r="Z31" s="13"/>
      <c r="AA31" s="11"/>
      <c r="AB31" s="12"/>
      <c r="AC31" s="12"/>
      <c r="AD31" s="12">
        <v>1</v>
      </c>
      <c r="AE31" s="11"/>
      <c r="AF31" s="13"/>
      <c r="AG31" s="13"/>
      <c r="AH31" s="11"/>
      <c r="AI31" s="11"/>
      <c r="AJ31" s="11"/>
      <c r="AK31" s="12"/>
      <c r="AL31" s="12"/>
      <c r="AM31" s="13"/>
      <c r="AN31" s="13"/>
      <c r="AO31" s="11"/>
      <c r="AP31" s="12"/>
      <c r="AQ31" s="12"/>
      <c r="AR31" s="12"/>
      <c r="AS31" s="11"/>
      <c r="AT31" s="13"/>
      <c r="AU31" s="13"/>
      <c r="AV31" s="11"/>
      <c r="AW31" s="12"/>
      <c r="AX31" s="12"/>
      <c r="AY31" s="12"/>
      <c r="AZ31" s="11"/>
      <c r="BA31" s="13"/>
      <c r="BB31" s="13"/>
      <c r="BC31" s="11"/>
      <c r="BD31" s="12"/>
      <c r="BE31" s="12"/>
      <c r="BF31" s="12"/>
      <c r="BG31" s="11"/>
      <c r="BH31" s="13"/>
      <c r="BI31" s="13"/>
      <c r="BJ31" s="11"/>
      <c r="BK31" s="12"/>
      <c r="BL31" s="12"/>
      <c r="BM31" s="12"/>
      <c r="BN31" s="11"/>
      <c r="BO31" s="13"/>
      <c r="BP31" s="379">
        <f>SUM(I31:BO31)</f>
        <v>1</v>
      </c>
      <c r="BQ31" s="15">
        <v>1200</v>
      </c>
      <c r="BR31" s="19">
        <v>0.4</v>
      </c>
      <c r="BS31" s="20">
        <f t="shared" si="18"/>
        <v>720</v>
      </c>
      <c r="BT31" s="21">
        <f t="shared" si="19"/>
        <v>720</v>
      </c>
      <c r="BU31" s="22">
        <f t="shared" si="17"/>
        <v>576</v>
      </c>
      <c r="BW31" s="494">
        <v>0.05</v>
      </c>
      <c r="BX31" s="381">
        <f>BW31*BP31</f>
        <v>0.05</v>
      </c>
      <c r="BY31" s="382">
        <f>IFERROR(BU31/BX31,0)</f>
        <v>11520</v>
      </c>
      <c r="BZ31" s="2"/>
      <c r="CA31" s="448" t="s">
        <v>259</v>
      </c>
      <c r="CB31" s="449">
        <f t="shared" si="7"/>
        <v>1</v>
      </c>
      <c r="CC31" s="450">
        <f t="shared" si="8"/>
        <v>576</v>
      </c>
      <c r="CD31" s="449">
        <f t="shared" si="9"/>
        <v>0</v>
      </c>
      <c r="CE31" s="450">
        <f t="shared" si="10"/>
        <v>0</v>
      </c>
      <c r="CF31" s="357" t="b">
        <f>SUM(CC31,CE31)=BU31</f>
        <v>1</v>
      </c>
    </row>
    <row r="32" spans="1:84" s="357" customFormat="1" ht="13.95" customHeight="1" x14ac:dyDescent="0.25">
      <c r="A32" s="365"/>
      <c r="B32" s="418"/>
      <c r="C32" s="419"/>
      <c r="D32" s="420"/>
      <c r="E32" s="420"/>
      <c r="F32" s="420"/>
      <c r="G32" s="420"/>
      <c r="H32" s="420"/>
      <c r="I32" s="11"/>
      <c r="J32" s="11"/>
      <c r="K32" s="13"/>
      <c r="L32" s="13"/>
      <c r="M32" s="11"/>
      <c r="N32" s="12"/>
      <c r="O32" s="12"/>
      <c r="P32" s="12"/>
      <c r="Q32" s="11"/>
      <c r="R32" s="13"/>
      <c r="S32" s="13"/>
      <c r="T32" s="11"/>
      <c r="U32" s="12"/>
      <c r="V32" s="12"/>
      <c r="W32" s="12"/>
      <c r="X32" s="11"/>
      <c r="Y32" s="13"/>
      <c r="Z32" s="13"/>
      <c r="AA32" s="11"/>
      <c r="AB32" s="12"/>
      <c r="AC32" s="12"/>
      <c r="AD32" s="12"/>
      <c r="AE32" s="11"/>
      <c r="AF32" s="13"/>
      <c r="AG32" s="13"/>
      <c r="AH32" s="11"/>
      <c r="AI32" s="11"/>
      <c r="AJ32" s="11"/>
      <c r="AK32" s="12"/>
      <c r="AL32" s="12"/>
      <c r="AM32" s="13"/>
      <c r="AN32" s="13"/>
      <c r="AO32" s="11"/>
      <c r="AP32" s="12"/>
      <c r="AQ32" s="12"/>
      <c r="AR32" s="12"/>
      <c r="AS32" s="11"/>
      <c r="AT32" s="13"/>
      <c r="AU32" s="13"/>
      <c r="AV32" s="11"/>
      <c r="AW32" s="12"/>
      <c r="AX32" s="12"/>
      <c r="AY32" s="12"/>
      <c r="AZ32" s="11"/>
      <c r="BA32" s="13"/>
      <c r="BB32" s="13"/>
      <c r="BC32" s="11"/>
      <c r="BD32" s="12"/>
      <c r="BE32" s="12"/>
      <c r="BF32" s="12"/>
      <c r="BG32" s="11"/>
      <c r="BH32" s="13"/>
      <c r="BI32" s="13"/>
      <c r="BJ32" s="11"/>
      <c r="BK32" s="12"/>
      <c r="BL32" s="12"/>
      <c r="BM32" s="12"/>
      <c r="BN32" s="11"/>
      <c r="BO32" s="13"/>
      <c r="BP32" s="336"/>
      <c r="BQ32" s="15"/>
      <c r="BR32" s="19"/>
      <c r="BS32" s="20"/>
      <c r="BT32" s="21"/>
      <c r="BU32" s="21"/>
      <c r="BV32" s="1"/>
      <c r="BW32" s="392"/>
      <c r="BX32" s="381"/>
      <c r="BY32" s="21"/>
      <c r="BZ32" s="2"/>
      <c r="CA32" s="448"/>
      <c r="CB32" s="449"/>
      <c r="CC32" s="450"/>
      <c r="CD32" s="449"/>
      <c r="CE32" s="450"/>
    </row>
    <row r="33" spans="1:84" ht="13.95" customHeight="1" x14ac:dyDescent="0.25">
      <c r="A33" s="365"/>
      <c r="B33" s="391"/>
      <c r="C33" s="376" t="s">
        <v>259</v>
      </c>
      <c r="D33" s="377" t="s">
        <v>260</v>
      </c>
      <c r="E33" s="378" t="s">
        <v>201</v>
      </c>
      <c r="F33" s="378">
        <v>0.83333333333333337</v>
      </c>
      <c r="G33" s="378" t="s">
        <v>230</v>
      </c>
      <c r="H33" s="394">
        <v>30</v>
      </c>
      <c r="I33" s="11"/>
      <c r="J33" s="11"/>
      <c r="K33" s="13"/>
      <c r="L33" s="13"/>
      <c r="M33" s="11"/>
      <c r="N33" s="12"/>
      <c r="O33" s="12"/>
      <c r="P33" s="12"/>
      <c r="Q33" s="11"/>
      <c r="R33" s="13"/>
      <c r="S33" s="13"/>
      <c r="T33" s="11"/>
      <c r="U33" s="12"/>
      <c r="V33" s="12"/>
      <c r="W33" s="12"/>
      <c r="X33" s="11"/>
      <c r="Y33" s="13"/>
      <c r="Z33" s="13"/>
      <c r="AA33" s="11"/>
      <c r="AB33" s="12"/>
      <c r="AC33" s="12"/>
      <c r="AD33" s="12"/>
      <c r="AE33" s="11"/>
      <c r="AF33" s="13"/>
      <c r="AG33" s="13"/>
      <c r="AH33" s="11"/>
      <c r="AI33" s="11">
        <v>1</v>
      </c>
      <c r="AJ33" s="11"/>
      <c r="AK33" s="12">
        <v>1</v>
      </c>
      <c r="AL33" s="12"/>
      <c r="AM33" s="13"/>
      <c r="AN33" s="13"/>
      <c r="AO33" s="11">
        <v>1</v>
      </c>
      <c r="AP33" s="12"/>
      <c r="AQ33" s="12"/>
      <c r="AR33" s="12">
        <v>1</v>
      </c>
      <c r="AS33" s="11"/>
      <c r="AT33" s="13"/>
      <c r="AU33" s="13"/>
      <c r="AV33" s="11">
        <v>1</v>
      </c>
      <c r="AW33" s="12"/>
      <c r="AX33" s="12">
        <v>1</v>
      </c>
      <c r="AY33" s="12"/>
      <c r="AZ33" s="11"/>
      <c r="BA33" s="13"/>
      <c r="BB33" s="13"/>
      <c r="BC33" s="11"/>
      <c r="BD33" s="12"/>
      <c r="BE33" s="12"/>
      <c r="BF33" s="12"/>
      <c r="BG33" s="11"/>
      <c r="BH33" s="13"/>
      <c r="BI33" s="13"/>
      <c r="BJ33" s="11"/>
      <c r="BK33" s="12"/>
      <c r="BL33" s="12"/>
      <c r="BM33" s="12"/>
      <c r="BN33" s="11"/>
      <c r="BO33" s="13"/>
      <c r="BP33" s="379">
        <f>SUM(I33:BO33)</f>
        <v>6</v>
      </c>
      <c r="BQ33" s="15">
        <v>440</v>
      </c>
      <c r="BR33" s="19">
        <v>0.4</v>
      </c>
      <c r="BS33" s="20">
        <f>BQ33*(1-BR33)</f>
        <v>264</v>
      </c>
      <c r="BT33" s="21">
        <f>BS33*BP33</f>
        <v>1584</v>
      </c>
      <c r="BU33" s="21">
        <f t="shared" ref="BU33:BU36" si="20">BT33*0.8</f>
        <v>1267.2</v>
      </c>
      <c r="BW33" s="494">
        <v>0.05</v>
      </c>
      <c r="BX33" s="381">
        <f>BW33*BP33</f>
        <v>0.30000000000000004</v>
      </c>
      <c r="BY33" s="382">
        <f>IFERROR(BU33/BX33,0)</f>
        <v>4223.9999999999991</v>
      </c>
      <c r="BZ33" s="2"/>
      <c r="CA33" s="448" t="s">
        <v>259</v>
      </c>
      <c r="CB33" s="449">
        <f t="shared" si="7"/>
        <v>2</v>
      </c>
      <c r="CC33" s="450">
        <f t="shared" si="8"/>
        <v>422.40000000000003</v>
      </c>
      <c r="CD33" s="449">
        <f t="shared" si="9"/>
        <v>4</v>
      </c>
      <c r="CE33" s="450">
        <f t="shared" si="10"/>
        <v>844.80000000000007</v>
      </c>
      <c r="CF33" s="357" t="b">
        <f>SUM(CC33,CE33)=BU33</f>
        <v>1</v>
      </c>
    </row>
    <row r="34" spans="1:84" s="388" customFormat="1" ht="13.95" customHeight="1" x14ac:dyDescent="0.25">
      <c r="A34" s="365"/>
      <c r="B34" s="376"/>
      <c r="C34" s="376" t="s">
        <v>265</v>
      </c>
      <c r="D34" s="389"/>
      <c r="E34" s="378" t="s">
        <v>201</v>
      </c>
      <c r="F34" s="378">
        <v>0.83333333333333337</v>
      </c>
      <c r="G34" s="378" t="s">
        <v>230</v>
      </c>
      <c r="H34" s="394">
        <v>60</v>
      </c>
      <c r="I34" s="11"/>
      <c r="J34" s="11"/>
      <c r="K34" s="13"/>
      <c r="L34" s="13"/>
      <c r="M34" s="11"/>
      <c r="N34" s="12"/>
      <c r="O34" s="12"/>
      <c r="P34" s="12"/>
      <c r="Q34" s="11"/>
      <c r="R34" s="13"/>
      <c r="S34" s="13"/>
      <c r="T34" s="11"/>
      <c r="U34" s="12"/>
      <c r="V34" s="12"/>
      <c r="W34" s="12"/>
      <c r="X34" s="11"/>
      <c r="Y34" s="13"/>
      <c r="Z34" s="13"/>
      <c r="AA34" s="11"/>
      <c r="AB34" s="12"/>
      <c r="AC34" s="12"/>
      <c r="AD34" s="12"/>
      <c r="AE34" s="11">
        <v>1</v>
      </c>
      <c r="AF34" s="13"/>
      <c r="AG34" s="13"/>
      <c r="AH34" s="11"/>
      <c r="AI34" s="11"/>
      <c r="AJ34" s="11"/>
      <c r="AK34" s="12"/>
      <c r="AL34" s="12"/>
      <c r="AM34" s="13"/>
      <c r="AN34" s="13"/>
      <c r="AO34" s="11"/>
      <c r="AP34" s="12"/>
      <c r="AQ34" s="12"/>
      <c r="AR34" s="12"/>
      <c r="AS34" s="11"/>
      <c r="AT34" s="13"/>
      <c r="AU34" s="13"/>
      <c r="AV34" s="11"/>
      <c r="AW34" s="12"/>
      <c r="AX34" s="12"/>
      <c r="AY34" s="12"/>
      <c r="AZ34" s="11"/>
      <c r="BA34" s="13"/>
      <c r="BB34" s="13"/>
      <c r="BC34" s="11"/>
      <c r="BD34" s="12"/>
      <c r="BE34" s="12"/>
      <c r="BF34" s="12"/>
      <c r="BG34" s="11"/>
      <c r="BH34" s="13"/>
      <c r="BI34" s="13"/>
      <c r="BJ34" s="11"/>
      <c r="BK34" s="12"/>
      <c r="BL34" s="12"/>
      <c r="BM34" s="12"/>
      <c r="BN34" s="11"/>
      <c r="BO34" s="13"/>
      <c r="BP34" s="379">
        <f>SUM(I34:BO34)</f>
        <v>1</v>
      </c>
      <c r="BQ34" s="390">
        <v>880</v>
      </c>
      <c r="BR34" s="19">
        <v>0.4</v>
      </c>
      <c r="BS34" s="20">
        <f t="shared" ref="BS34:BS36" si="21">BQ34*(1-BR34)</f>
        <v>528</v>
      </c>
      <c r="BT34" s="21">
        <f t="shared" ref="BT34:BT36" si="22">BS34*BP34</f>
        <v>528</v>
      </c>
      <c r="BU34" s="22">
        <f t="shared" si="20"/>
        <v>422.40000000000003</v>
      </c>
      <c r="BV34" s="1"/>
      <c r="BW34" s="494">
        <v>0.05</v>
      </c>
      <c r="BX34" s="381">
        <f>BW34*BP34</f>
        <v>0.05</v>
      </c>
      <c r="BY34" s="382">
        <f>IFERROR(BU34/BX34,0)</f>
        <v>8448</v>
      </c>
      <c r="BZ34" s="2"/>
      <c r="CA34" s="448" t="s">
        <v>259</v>
      </c>
      <c r="CB34" s="449">
        <f t="shared" si="7"/>
        <v>1</v>
      </c>
      <c r="CC34" s="450">
        <f t="shared" si="8"/>
        <v>422.40000000000003</v>
      </c>
      <c r="CD34" s="449">
        <f t="shared" si="9"/>
        <v>0</v>
      </c>
      <c r="CE34" s="450">
        <f t="shared" si="10"/>
        <v>0</v>
      </c>
      <c r="CF34" s="357" t="b">
        <f>SUM(CC34,CE34)=BU34</f>
        <v>1</v>
      </c>
    </row>
    <row r="35" spans="1:84" s="388" customFormat="1" ht="13.95" customHeight="1" x14ac:dyDescent="0.25">
      <c r="A35" s="365"/>
      <c r="B35" s="376"/>
      <c r="C35" s="376"/>
      <c r="D35" s="377" t="s">
        <v>261</v>
      </c>
      <c r="E35" s="378" t="s">
        <v>201</v>
      </c>
      <c r="F35" s="378">
        <v>0.91666666666666663</v>
      </c>
      <c r="G35" s="378" t="s">
        <v>214</v>
      </c>
      <c r="H35" s="394">
        <v>30</v>
      </c>
      <c r="I35" s="11"/>
      <c r="J35" s="11"/>
      <c r="K35" s="13"/>
      <c r="L35" s="13"/>
      <c r="M35" s="11"/>
      <c r="N35" s="12"/>
      <c r="O35" s="12"/>
      <c r="P35" s="12"/>
      <c r="Q35" s="11"/>
      <c r="R35" s="13"/>
      <c r="S35" s="13"/>
      <c r="T35" s="11"/>
      <c r="U35" s="12"/>
      <c r="V35" s="12"/>
      <c r="W35" s="12"/>
      <c r="X35" s="11"/>
      <c r="Y35" s="13"/>
      <c r="Z35" s="13"/>
      <c r="AA35" s="11"/>
      <c r="AB35" s="12"/>
      <c r="AC35" s="12"/>
      <c r="AD35" s="12"/>
      <c r="AE35" s="11"/>
      <c r="AF35" s="13"/>
      <c r="AG35" s="13"/>
      <c r="AH35" s="11">
        <v>1</v>
      </c>
      <c r="AI35" s="11"/>
      <c r="AJ35" s="11">
        <v>1</v>
      </c>
      <c r="AK35" s="12"/>
      <c r="AL35" s="12"/>
      <c r="AM35" s="13"/>
      <c r="AN35" s="13"/>
      <c r="AO35" s="11"/>
      <c r="AP35" s="12">
        <v>1</v>
      </c>
      <c r="AQ35" s="12"/>
      <c r="AR35" s="12"/>
      <c r="AS35" s="11">
        <v>1</v>
      </c>
      <c r="AT35" s="13"/>
      <c r="AU35" s="13"/>
      <c r="AV35" s="11"/>
      <c r="AW35" s="12">
        <v>1</v>
      </c>
      <c r="AX35" s="12"/>
      <c r="AY35" s="12">
        <v>1</v>
      </c>
      <c r="AZ35" s="11"/>
      <c r="BA35" s="13"/>
      <c r="BB35" s="13"/>
      <c r="BC35" s="11"/>
      <c r="BD35" s="12"/>
      <c r="BE35" s="12"/>
      <c r="BF35" s="12"/>
      <c r="BG35" s="11"/>
      <c r="BH35" s="13"/>
      <c r="BI35" s="13"/>
      <c r="BJ35" s="11"/>
      <c r="BK35" s="12"/>
      <c r="BL35" s="12"/>
      <c r="BM35" s="12"/>
      <c r="BN35" s="11"/>
      <c r="BO35" s="13"/>
      <c r="BP35" s="379">
        <f>SUM(I35:BO35)</f>
        <v>6</v>
      </c>
      <c r="BQ35" s="15">
        <v>600</v>
      </c>
      <c r="BR35" s="19">
        <v>0.4</v>
      </c>
      <c r="BS35" s="20">
        <f t="shared" si="21"/>
        <v>360</v>
      </c>
      <c r="BT35" s="21">
        <f t="shared" si="22"/>
        <v>2160</v>
      </c>
      <c r="BU35" s="22">
        <f t="shared" si="20"/>
        <v>1728</v>
      </c>
      <c r="BV35" s="1"/>
      <c r="BW35" s="494">
        <v>0.05</v>
      </c>
      <c r="BX35" s="381">
        <f>BW35*BP35</f>
        <v>0.30000000000000004</v>
      </c>
      <c r="BY35" s="382">
        <f>IFERROR(BU35/BX35,0)</f>
        <v>5759.9999999999991</v>
      </c>
      <c r="BZ35" s="2"/>
      <c r="CA35" s="448" t="s">
        <v>259</v>
      </c>
      <c r="CB35" s="449">
        <f t="shared" si="7"/>
        <v>2</v>
      </c>
      <c r="CC35" s="450">
        <f t="shared" si="8"/>
        <v>576</v>
      </c>
      <c r="CD35" s="449">
        <f t="shared" si="9"/>
        <v>4</v>
      </c>
      <c r="CE35" s="450">
        <f t="shared" si="10"/>
        <v>1152</v>
      </c>
      <c r="CF35" s="357" t="b">
        <f>SUM(CC35,CE35)=BU35</f>
        <v>1</v>
      </c>
    </row>
    <row r="36" spans="1:84" ht="13.95" customHeight="1" x14ac:dyDescent="0.25">
      <c r="A36" s="365"/>
      <c r="B36" s="376"/>
      <c r="C36" s="376"/>
      <c r="D36" s="377" t="s">
        <v>261</v>
      </c>
      <c r="E36" s="378" t="s">
        <v>201</v>
      </c>
      <c r="F36" s="378">
        <v>0.91666666666666663</v>
      </c>
      <c r="G36" s="378" t="s">
        <v>214</v>
      </c>
      <c r="H36" s="394">
        <v>60</v>
      </c>
      <c r="I36" s="11"/>
      <c r="J36" s="11"/>
      <c r="K36" s="13"/>
      <c r="L36" s="13"/>
      <c r="M36" s="11"/>
      <c r="N36" s="12"/>
      <c r="O36" s="12"/>
      <c r="P36" s="12"/>
      <c r="Q36" s="11"/>
      <c r="R36" s="13"/>
      <c r="S36" s="13"/>
      <c r="T36" s="11"/>
      <c r="U36" s="12"/>
      <c r="V36" s="12"/>
      <c r="W36" s="12"/>
      <c r="X36" s="11"/>
      <c r="Y36" s="13"/>
      <c r="Z36" s="13"/>
      <c r="AA36" s="11"/>
      <c r="AB36" s="12"/>
      <c r="AC36" s="12"/>
      <c r="AD36" s="12">
        <v>1</v>
      </c>
      <c r="AE36" s="11"/>
      <c r="AF36" s="13"/>
      <c r="AG36" s="13"/>
      <c r="AH36" s="11"/>
      <c r="AI36" s="11"/>
      <c r="AJ36" s="11"/>
      <c r="AK36" s="12"/>
      <c r="AL36" s="12"/>
      <c r="AM36" s="13"/>
      <c r="AN36" s="13"/>
      <c r="AO36" s="11"/>
      <c r="AP36" s="12"/>
      <c r="AQ36" s="12"/>
      <c r="AR36" s="12"/>
      <c r="AS36" s="11"/>
      <c r="AT36" s="13"/>
      <c r="AU36" s="13"/>
      <c r="AV36" s="11"/>
      <c r="AW36" s="12"/>
      <c r="AX36" s="12"/>
      <c r="AY36" s="12"/>
      <c r="AZ36" s="11"/>
      <c r="BA36" s="13"/>
      <c r="BB36" s="13"/>
      <c r="BC36" s="11"/>
      <c r="BD36" s="12"/>
      <c r="BE36" s="12"/>
      <c r="BF36" s="12"/>
      <c r="BG36" s="11"/>
      <c r="BH36" s="13"/>
      <c r="BI36" s="13"/>
      <c r="BJ36" s="11"/>
      <c r="BK36" s="12"/>
      <c r="BL36" s="12"/>
      <c r="BM36" s="12"/>
      <c r="BN36" s="11"/>
      <c r="BO36" s="13"/>
      <c r="BP36" s="379">
        <f>SUM(I36:BO36)</f>
        <v>1</v>
      </c>
      <c r="BQ36" s="15">
        <v>1200</v>
      </c>
      <c r="BR36" s="19">
        <v>0.4</v>
      </c>
      <c r="BS36" s="20">
        <f t="shared" si="21"/>
        <v>720</v>
      </c>
      <c r="BT36" s="21">
        <f t="shared" si="22"/>
        <v>720</v>
      </c>
      <c r="BU36" s="22">
        <f t="shared" si="20"/>
        <v>576</v>
      </c>
      <c r="BW36" s="494">
        <v>0.05</v>
      </c>
      <c r="BX36" s="381">
        <f>BW36*BP36</f>
        <v>0.05</v>
      </c>
      <c r="BY36" s="382">
        <f>IFERROR(BU36/BX36,0)</f>
        <v>11520</v>
      </c>
      <c r="BZ36" s="2"/>
      <c r="CA36" s="448" t="s">
        <v>259</v>
      </c>
      <c r="CB36" s="449">
        <f t="shared" si="7"/>
        <v>1</v>
      </c>
      <c r="CC36" s="450">
        <f t="shared" si="8"/>
        <v>576</v>
      </c>
      <c r="CD36" s="449">
        <f t="shared" si="9"/>
        <v>0</v>
      </c>
      <c r="CE36" s="450">
        <f t="shared" si="10"/>
        <v>0</v>
      </c>
      <c r="CF36" s="357" t="b">
        <f>SUM(CC36,CE36)=BU36</f>
        <v>1</v>
      </c>
    </row>
    <row r="37" spans="1:84" s="357" customFormat="1" ht="13.95" customHeight="1" x14ac:dyDescent="0.25">
      <c r="A37" s="365"/>
      <c r="B37" s="418"/>
      <c r="C37" s="419"/>
      <c r="D37" s="420"/>
      <c r="E37" s="420"/>
      <c r="F37" s="420"/>
      <c r="G37" s="420"/>
      <c r="H37" s="420"/>
      <c r="I37" s="11"/>
      <c r="J37" s="11"/>
      <c r="K37" s="13"/>
      <c r="L37" s="13"/>
      <c r="M37" s="11"/>
      <c r="N37" s="12"/>
      <c r="O37" s="12"/>
      <c r="P37" s="12"/>
      <c r="Q37" s="11"/>
      <c r="R37" s="13"/>
      <c r="S37" s="13"/>
      <c r="T37" s="11"/>
      <c r="U37" s="12"/>
      <c r="V37" s="12"/>
      <c r="W37" s="12"/>
      <c r="X37" s="11"/>
      <c r="Y37" s="13"/>
      <c r="Z37" s="13"/>
      <c r="AA37" s="11"/>
      <c r="AB37" s="12"/>
      <c r="AC37" s="12"/>
      <c r="AD37" s="12"/>
      <c r="AE37" s="11"/>
      <c r="AF37" s="13"/>
      <c r="AG37" s="13"/>
      <c r="AH37" s="11"/>
      <c r="AI37" s="11"/>
      <c r="AJ37" s="11"/>
      <c r="AK37" s="12"/>
      <c r="AL37" s="12"/>
      <c r="AM37" s="13"/>
      <c r="AN37" s="13"/>
      <c r="AO37" s="11"/>
      <c r="AP37" s="12"/>
      <c r="AQ37" s="12"/>
      <c r="AR37" s="12"/>
      <c r="AS37" s="11"/>
      <c r="AT37" s="13"/>
      <c r="AU37" s="13"/>
      <c r="AV37" s="11"/>
      <c r="AW37" s="12"/>
      <c r="AX37" s="12"/>
      <c r="AY37" s="12"/>
      <c r="AZ37" s="11"/>
      <c r="BA37" s="13"/>
      <c r="BB37" s="13"/>
      <c r="BC37" s="11"/>
      <c r="BD37" s="12"/>
      <c r="BE37" s="12"/>
      <c r="BF37" s="12"/>
      <c r="BG37" s="11"/>
      <c r="BH37" s="13"/>
      <c r="BI37" s="13"/>
      <c r="BJ37" s="11"/>
      <c r="BK37" s="12"/>
      <c r="BL37" s="12"/>
      <c r="BM37" s="12"/>
      <c r="BN37" s="11"/>
      <c r="BO37" s="13"/>
      <c r="BP37" s="336"/>
      <c r="BQ37" s="15"/>
      <c r="BR37" s="19"/>
      <c r="BS37" s="20"/>
      <c r="BT37" s="21"/>
      <c r="BU37" s="21"/>
      <c r="BV37" s="1"/>
      <c r="BW37" s="392"/>
      <c r="BX37" s="381"/>
      <c r="BY37" s="21"/>
      <c r="BZ37" s="2"/>
      <c r="CA37" s="451" t="s">
        <v>142</v>
      </c>
      <c r="CB37" s="425">
        <f>SUM(CB13:CB36)</f>
        <v>30</v>
      </c>
      <c r="CC37" s="426">
        <f>SUM(CC13:CC36)</f>
        <v>31123.200000000012</v>
      </c>
      <c r="CD37" s="425">
        <f>SUM(CD13:CD36)</f>
        <v>40</v>
      </c>
      <c r="CE37" s="426">
        <f>SUM(CE13:CE36)</f>
        <v>31123.200000000001</v>
      </c>
    </row>
    <row r="38" spans="1:84" ht="13.95" customHeight="1" x14ac:dyDescent="0.25">
      <c r="A38" s="365"/>
      <c r="B38" s="391"/>
      <c r="C38" s="376" t="s">
        <v>266</v>
      </c>
      <c r="D38" s="377" t="s">
        <v>267</v>
      </c>
      <c r="E38" s="378" t="s">
        <v>201</v>
      </c>
      <c r="F38" s="378">
        <v>0.83333333333333337</v>
      </c>
      <c r="G38" s="378" t="s">
        <v>230</v>
      </c>
      <c r="H38" s="394">
        <v>30</v>
      </c>
      <c r="I38" s="11"/>
      <c r="J38" s="11"/>
      <c r="K38" s="13"/>
      <c r="L38" s="13"/>
      <c r="M38" s="11"/>
      <c r="N38" s="12"/>
      <c r="O38" s="12"/>
      <c r="P38" s="12"/>
      <c r="Q38" s="11"/>
      <c r="R38" s="13"/>
      <c r="S38" s="13"/>
      <c r="T38" s="11"/>
      <c r="U38" s="12"/>
      <c r="V38" s="12"/>
      <c r="W38" s="12"/>
      <c r="X38" s="11"/>
      <c r="Y38" s="13"/>
      <c r="Z38" s="13"/>
      <c r="AA38" s="11"/>
      <c r="AB38" s="12"/>
      <c r="AC38" s="12"/>
      <c r="AD38" s="12"/>
      <c r="AE38" s="11"/>
      <c r="AF38" s="13"/>
      <c r="AG38" s="13"/>
      <c r="AH38" s="11"/>
      <c r="AI38" s="11">
        <v>1</v>
      </c>
      <c r="AJ38" s="11"/>
      <c r="AK38" s="12">
        <v>1</v>
      </c>
      <c r="AL38" s="12"/>
      <c r="AM38" s="13"/>
      <c r="AN38" s="13"/>
      <c r="AO38" s="11"/>
      <c r="AP38" s="12">
        <v>1</v>
      </c>
      <c r="AQ38" s="12"/>
      <c r="AR38" s="12">
        <v>1</v>
      </c>
      <c r="AS38" s="11"/>
      <c r="AT38" s="13"/>
      <c r="AU38" s="13"/>
      <c r="AV38" s="11">
        <v>1</v>
      </c>
      <c r="AW38" s="12"/>
      <c r="AX38" s="12">
        <v>1</v>
      </c>
      <c r="AY38" s="12"/>
      <c r="AZ38" s="11"/>
      <c r="BA38" s="13"/>
      <c r="BB38" s="13"/>
      <c r="BC38" s="11"/>
      <c r="BD38" s="12"/>
      <c r="BE38" s="12"/>
      <c r="BF38" s="12"/>
      <c r="BG38" s="11"/>
      <c r="BH38" s="13"/>
      <c r="BI38" s="13"/>
      <c r="BJ38" s="11"/>
      <c r="BK38" s="12"/>
      <c r="BL38" s="12"/>
      <c r="BM38" s="12"/>
      <c r="BN38" s="11"/>
      <c r="BO38" s="13"/>
      <c r="BP38" s="379">
        <f>SUM(I38:BO38)</f>
        <v>6</v>
      </c>
      <c r="BQ38" s="15">
        <v>11130</v>
      </c>
      <c r="BR38" s="19">
        <v>0.5</v>
      </c>
      <c r="BS38" s="20">
        <f>BQ38*(1-BR38)</f>
        <v>5565</v>
      </c>
      <c r="BT38" s="21">
        <f>BS38*BP38</f>
        <v>33390</v>
      </c>
      <c r="BU38" s="21">
        <f t="shared" ref="BU38:BU39" si="23">BT38*0.8</f>
        <v>26712</v>
      </c>
      <c r="BW38" s="494">
        <v>0.11</v>
      </c>
      <c r="BX38" s="381">
        <f t="shared" ref="BX38:BX39" si="24">BW38*BP38</f>
        <v>0.66</v>
      </c>
      <c r="BY38" s="382">
        <f t="shared" ref="BY38:BY39" si="25">IFERROR(BU38/BX38,0)</f>
        <v>40472.727272727272</v>
      </c>
      <c r="BZ38" s="2"/>
      <c r="CA38" s="448" t="s">
        <v>266</v>
      </c>
      <c r="CB38" s="449">
        <f t="shared" ref="CB38:CB39" si="26">COUNTA(I38:AM38)</f>
        <v>2</v>
      </c>
      <c r="CC38" s="450">
        <f t="shared" ref="CC38:CC39" si="27">CB38*BS38*0.8</f>
        <v>8904</v>
      </c>
      <c r="CD38" s="449">
        <f t="shared" ref="CD38:CD39" si="28">COUNTA(AN38:BO38)</f>
        <v>4</v>
      </c>
      <c r="CE38" s="450">
        <f t="shared" ref="CE38:CE39" si="29">CD38*BS38*0.8</f>
        <v>17808</v>
      </c>
      <c r="CF38" s="357" t="b">
        <f>SUM(CC38,CE38)=BU38</f>
        <v>1</v>
      </c>
    </row>
    <row r="39" spans="1:84" s="388" customFormat="1" ht="13.95" customHeight="1" x14ac:dyDescent="0.25">
      <c r="A39" s="365"/>
      <c r="B39" s="376"/>
      <c r="C39" s="376"/>
      <c r="D39" s="389"/>
      <c r="E39" s="378" t="s">
        <v>201</v>
      </c>
      <c r="F39" s="378">
        <v>0.83333333333333337</v>
      </c>
      <c r="G39" s="378" t="s">
        <v>230</v>
      </c>
      <c r="H39" s="394">
        <v>60</v>
      </c>
      <c r="I39" s="11"/>
      <c r="J39" s="11"/>
      <c r="K39" s="13"/>
      <c r="L39" s="13"/>
      <c r="M39" s="11"/>
      <c r="N39" s="12"/>
      <c r="O39" s="12"/>
      <c r="P39" s="12"/>
      <c r="Q39" s="11"/>
      <c r="R39" s="13"/>
      <c r="S39" s="13"/>
      <c r="T39" s="11"/>
      <c r="U39" s="12"/>
      <c r="V39" s="12"/>
      <c r="W39" s="12"/>
      <c r="X39" s="11"/>
      <c r="Y39" s="13"/>
      <c r="Z39" s="13"/>
      <c r="AA39" s="11"/>
      <c r="AB39" s="12"/>
      <c r="AC39" s="12"/>
      <c r="AD39" s="12">
        <v>1</v>
      </c>
      <c r="AE39" s="11"/>
      <c r="AF39" s="13"/>
      <c r="AG39" s="13"/>
      <c r="AH39" s="11"/>
      <c r="AI39" s="11"/>
      <c r="AJ39" s="11"/>
      <c r="AK39" s="12"/>
      <c r="AL39" s="12"/>
      <c r="AM39" s="13"/>
      <c r="AN39" s="13"/>
      <c r="AO39" s="11"/>
      <c r="AP39" s="12"/>
      <c r="AQ39" s="12"/>
      <c r="AR39" s="12"/>
      <c r="AS39" s="11"/>
      <c r="AT39" s="13"/>
      <c r="AU39" s="13"/>
      <c r="AV39" s="11"/>
      <c r="AW39" s="12"/>
      <c r="AX39" s="12"/>
      <c r="AY39" s="12"/>
      <c r="AZ39" s="11"/>
      <c r="BA39" s="13"/>
      <c r="BB39" s="13"/>
      <c r="BC39" s="11"/>
      <c r="BD39" s="12"/>
      <c r="BE39" s="12"/>
      <c r="BF39" s="12"/>
      <c r="BG39" s="11"/>
      <c r="BH39" s="13"/>
      <c r="BI39" s="13"/>
      <c r="BJ39" s="11"/>
      <c r="BK39" s="12"/>
      <c r="BL39" s="12"/>
      <c r="BM39" s="12"/>
      <c r="BN39" s="11"/>
      <c r="BO39" s="13"/>
      <c r="BP39" s="379">
        <f>SUM(I39:BO39)</f>
        <v>1</v>
      </c>
      <c r="BQ39" s="390">
        <v>22260</v>
      </c>
      <c r="BR39" s="19">
        <v>0.5</v>
      </c>
      <c r="BS39" s="20">
        <f t="shared" ref="BS39" si="30">BQ39*(1-BR39)</f>
        <v>11130</v>
      </c>
      <c r="BT39" s="21">
        <f t="shared" ref="BT39" si="31">BS39*BP39</f>
        <v>11130</v>
      </c>
      <c r="BU39" s="22">
        <f t="shared" si="23"/>
        <v>8904</v>
      </c>
      <c r="BV39" s="1"/>
      <c r="BW39" s="495">
        <v>0.11</v>
      </c>
      <c r="BX39" s="381">
        <f t="shared" si="24"/>
        <v>0.11</v>
      </c>
      <c r="BY39" s="382">
        <f t="shared" si="25"/>
        <v>80945.454545454544</v>
      </c>
      <c r="BZ39" s="2"/>
      <c r="CA39" s="448" t="s">
        <v>266</v>
      </c>
      <c r="CB39" s="449">
        <f t="shared" si="26"/>
        <v>1</v>
      </c>
      <c r="CC39" s="450">
        <f t="shared" si="27"/>
        <v>8904</v>
      </c>
      <c r="CD39" s="449">
        <f t="shared" si="28"/>
        <v>0</v>
      </c>
      <c r="CE39" s="450">
        <f t="shared" si="29"/>
        <v>0</v>
      </c>
      <c r="CF39" s="357" t="b">
        <f>SUM(CC39,CE39)=BU39</f>
        <v>1</v>
      </c>
    </row>
    <row r="40" spans="1:84" s="388" customFormat="1" ht="13.95" customHeight="1" x14ac:dyDescent="0.25">
      <c r="A40" s="365"/>
      <c r="B40" s="376"/>
      <c r="C40" s="376"/>
      <c r="D40" s="389"/>
      <c r="E40" s="378"/>
      <c r="F40" s="378"/>
      <c r="G40" s="378"/>
      <c r="H40" s="394"/>
      <c r="I40" s="11"/>
      <c r="J40" s="11"/>
      <c r="K40" s="13"/>
      <c r="L40" s="13"/>
      <c r="M40" s="11"/>
      <c r="N40" s="12"/>
      <c r="O40" s="12"/>
      <c r="P40" s="12"/>
      <c r="Q40" s="11"/>
      <c r="R40" s="13"/>
      <c r="S40" s="13"/>
      <c r="T40" s="11"/>
      <c r="U40" s="12"/>
      <c r="V40" s="12"/>
      <c r="W40" s="12"/>
      <c r="X40" s="11"/>
      <c r="Y40" s="13"/>
      <c r="Z40" s="13"/>
      <c r="AA40" s="11"/>
      <c r="AB40" s="12"/>
      <c r="AC40" s="12"/>
      <c r="AD40" s="12"/>
      <c r="AE40" s="11"/>
      <c r="AF40" s="13"/>
      <c r="AG40" s="13"/>
      <c r="AH40" s="11"/>
      <c r="AI40" s="11"/>
      <c r="AJ40" s="11"/>
      <c r="AK40" s="12"/>
      <c r="AL40" s="12"/>
      <c r="AM40" s="13"/>
      <c r="AN40" s="13"/>
      <c r="AO40" s="11"/>
      <c r="AP40" s="12"/>
      <c r="AQ40" s="12"/>
      <c r="AR40" s="12"/>
      <c r="AS40" s="11"/>
      <c r="AT40" s="13"/>
      <c r="AU40" s="13"/>
      <c r="AV40" s="11"/>
      <c r="AW40" s="12"/>
      <c r="AX40" s="12"/>
      <c r="AY40" s="12"/>
      <c r="AZ40" s="11"/>
      <c r="BA40" s="13"/>
      <c r="BB40" s="13"/>
      <c r="BC40" s="11"/>
      <c r="BD40" s="12"/>
      <c r="BE40" s="12"/>
      <c r="BF40" s="12"/>
      <c r="BG40" s="11"/>
      <c r="BH40" s="13"/>
      <c r="BI40" s="13"/>
      <c r="BJ40" s="11"/>
      <c r="BK40" s="12"/>
      <c r="BL40" s="12"/>
      <c r="BM40" s="12"/>
      <c r="BN40" s="11"/>
      <c r="BO40" s="13"/>
      <c r="BP40" s="379"/>
      <c r="BQ40" s="15"/>
      <c r="BR40" s="19"/>
      <c r="BS40" s="20"/>
      <c r="BT40" s="21"/>
      <c r="BU40" s="22"/>
      <c r="BV40" s="1"/>
      <c r="BW40" s="495"/>
      <c r="BX40" s="387"/>
      <c r="BY40" s="382"/>
      <c r="BZ40" s="2"/>
      <c r="CA40" s="451" t="s">
        <v>142</v>
      </c>
      <c r="CB40" s="425">
        <f>SUM(CB38:CB39)</f>
        <v>3</v>
      </c>
      <c r="CC40" s="426">
        <f>SUM(CC38:CC39)</f>
        <v>17808</v>
      </c>
      <c r="CD40" s="425">
        <f>SUM(CD38:CD39)</f>
        <v>4</v>
      </c>
      <c r="CE40" s="426">
        <f>SUM(CE38:CE39)</f>
        <v>17808</v>
      </c>
      <c r="CF40" s="357"/>
    </row>
    <row r="41" spans="1:84" s="388" customFormat="1" ht="13.95" customHeight="1" x14ac:dyDescent="0.25">
      <c r="A41" s="365"/>
      <c r="B41" s="376"/>
      <c r="C41" s="376" t="s">
        <v>268</v>
      </c>
      <c r="D41" s="389" t="s">
        <v>269</v>
      </c>
      <c r="E41" s="378" t="s">
        <v>201</v>
      </c>
      <c r="F41" s="378">
        <v>0.875</v>
      </c>
      <c r="G41" s="378" t="s">
        <v>230</v>
      </c>
      <c r="H41" s="394">
        <v>30</v>
      </c>
      <c r="I41" s="11"/>
      <c r="J41" s="11"/>
      <c r="K41" s="13"/>
      <c r="L41" s="13"/>
      <c r="M41" s="11"/>
      <c r="N41" s="12"/>
      <c r="O41" s="12"/>
      <c r="P41" s="12"/>
      <c r="Q41" s="11"/>
      <c r="R41" s="13"/>
      <c r="S41" s="13"/>
      <c r="T41" s="11"/>
      <c r="U41" s="12"/>
      <c r="V41" s="12"/>
      <c r="W41" s="12"/>
      <c r="X41" s="11"/>
      <c r="Y41" s="13"/>
      <c r="Z41" s="13"/>
      <c r="AA41" s="11"/>
      <c r="AB41" s="12"/>
      <c r="AC41" s="12"/>
      <c r="AD41" s="12"/>
      <c r="AE41" s="11"/>
      <c r="AF41" s="13"/>
      <c r="AG41" s="13"/>
      <c r="AH41" s="11"/>
      <c r="AI41" s="11">
        <v>1</v>
      </c>
      <c r="AJ41" s="11"/>
      <c r="AK41" s="12"/>
      <c r="AL41" s="12">
        <v>1</v>
      </c>
      <c r="AM41" s="13"/>
      <c r="AN41" s="13"/>
      <c r="AO41" s="11"/>
      <c r="AP41" s="12"/>
      <c r="AQ41" s="12"/>
      <c r="AR41" s="12">
        <v>1</v>
      </c>
      <c r="AS41" s="11">
        <v>1</v>
      </c>
      <c r="AT41" s="13"/>
      <c r="AU41" s="13"/>
      <c r="AV41" s="11"/>
      <c r="AW41" s="12">
        <v>1</v>
      </c>
      <c r="AX41" s="12"/>
      <c r="AY41" s="12"/>
      <c r="AZ41" s="11">
        <v>1</v>
      </c>
      <c r="BA41" s="13"/>
      <c r="BB41" s="13"/>
      <c r="BC41" s="11"/>
      <c r="BD41" s="12"/>
      <c r="BE41" s="12"/>
      <c r="BF41" s="12"/>
      <c r="BG41" s="11"/>
      <c r="BH41" s="13"/>
      <c r="BI41" s="13"/>
      <c r="BJ41" s="11"/>
      <c r="BK41" s="12"/>
      <c r="BL41" s="12"/>
      <c r="BM41" s="12"/>
      <c r="BN41" s="11"/>
      <c r="BO41" s="13"/>
      <c r="BP41" s="379">
        <f t="shared" ref="BP41:BP42" si="32">SUM(I41:BO41)</f>
        <v>6</v>
      </c>
      <c r="BQ41" s="390">
        <v>22000</v>
      </c>
      <c r="BR41" s="19">
        <v>0.75</v>
      </c>
      <c r="BS41" s="20">
        <f t="shared" ref="BS41:BS42" si="33">BQ41*(1-BR41)</f>
        <v>5500</v>
      </c>
      <c r="BT41" s="21">
        <f t="shared" ref="BT41:BT42" si="34">BS41*BP41</f>
        <v>33000</v>
      </c>
      <c r="BU41" s="22">
        <f t="shared" ref="BU41:BU42" si="35">BT41*0.8</f>
        <v>26400</v>
      </c>
      <c r="BV41" s="1"/>
      <c r="BW41" s="495">
        <v>0.13</v>
      </c>
      <c r="BX41" s="381">
        <f t="shared" ref="BX41:BX42" si="36">BW41*BP41</f>
        <v>0.78</v>
      </c>
      <c r="BY41" s="382">
        <f t="shared" ref="BY41:BY42" si="37">IFERROR(BU41/BX41,0)</f>
        <v>33846.153846153844</v>
      </c>
      <c r="BZ41" s="2"/>
      <c r="CA41" s="448" t="s">
        <v>268</v>
      </c>
      <c r="CB41" s="449">
        <f t="shared" ref="CB41:CB42" si="38">COUNTA(I41:AM41)</f>
        <v>2</v>
      </c>
      <c r="CC41" s="450">
        <f t="shared" ref="CC41:CC42" si="39">CB41*BS41*0.8</f>
        <v>8800</v>
      </c>
      <c r="CD41" s="449">
        <f t="shared" ref="CD41:CD42" si="40">COUNTA(AN41:BO41)</f>
        <v>4</v>
      </c>
      <c r="CE41" s="450">
        <f t="shared" ref="CE41:CE42" si="41">CD41*BS41*0.8</f>
        <v>17600</v>
      </c>
      <c r="CF41" s="357" t="b">
        <f t="shared" ref="CF41:CF42" si="42">SUM(CC41,CE41)=BU41</f>
        <v>1</v>
      </c>
    </row>
    <row r="42" spans="1:84" s="388" customFormat="1" ht="13.95" customHeight="1" x14ac:dyDescent="0.25">
      <c r="A42" s="365"/>
      <c r="B42" s="376"/>
      <c r="C42" s="376"/>
      <c r="D42" s="396"/>
      <c r="E42" s="378" t="s">
        <v>201</v>
      </c>
      <c r="F42" s="378">
        <v>0.875</v>
      </c>
      <c r="G42" s="378" t="s">
        <v>230</v>
      </c>
      <c r="H42" s="394">
        <v>60</v>
      </c>
      <c r="I42" s="11"/>
      <c r="J42" s="11"/>
      <c r="K42" s="13"/>
      <c r="L42" s="13"/>
      <c r="M42" s="11"/>
      <c r="N42" s="12"/>
      <c r="O42" s="12"/>
      <c r="P42" s="12"/>
      <c r="Q42" s="11"/>
      <c r="R42" s="13"/>
      <c r="S42" s="13"/>
      <c r="T42" s="11"/>
      <c r="U42" s="12"/>
      <c r="V42" s="12"/>
      <c r="W42" s="12"/>
      <c r="X42" s="11"/>
      <c r="Y42" s="13"/>
      <c r="Z42" s="13"/>
      <c r="AA42" s="11"/>
      <c r="AB42" s="12"/>
      <c r="AC42" s="12"/>
      <c r="AD42" s="12"/>
      <c r="AE42" s="11">
        <v>1</v>
      </c>
      <c r="AF42" s="13"/>
      <c r="AG42" s="13"/>
      <c r="AH42" s="11"/>
      <c r="AI42" s="11"/>
      <c r="AJ42" s="11"/>
      <c r="AK42" s="12"/>
      <c r="AL42" s="12"/>
      <c r="AM42" s="13"/>
      <c r="AN42" s="13"/>
      <c r="AO42" s="11"/>
      <c r="AP42" s="12"/>
      <c r="AQ42" s="12"/>
      <c r="AR42" s="12"/>
      <c r="AS42" s="11"/>
      <c r="AT42" s="13"/>
      <c r="AU42" s="13"/>
      <c r="AV42" s="11"/>
      <c r="AW42" s="12"/>
      <c r="AX42" s="12"/>
      <c r="AY42" s="12"/>
      <c r="AZ42" s="11"/>
      <c r="BA42" s="13"/>
      <c r="BB42" s="13"/>
      <c r="BC42" s="11"/>
      <c r="BD42" s="12"/>
      <c r="BE42" s="12"/>
      <c r="BF42" s="12"/>
      <c r="BG42" s="11"/>
      <c r="BH42" s="13"/>
      <c r="BI42" s="13"/>
      <c r="BJ42" s="11"/>
      <c r="BK42" s="12"/>
      <c r="BL42" s="12"/>
      <c r="BM42" s="12"/>
      <c r="BN42" s="11"/>
      <c r="BO42" s="13"/>
      <c r="BP42" s="379">
        <f t="shared" si="32"/>
        <v>1</v>
      </c>
      <c r="BQ42" s="390">
        <v>44000</v>
      </c>
      <c r="BR42" s="19">
        <v>0.75</v>
      </c>
      <c r="BS42" s="20">
        <f t="shared" si="33"/>
        <v>11000</v>
      </c>
      <c r="BT42" s="21">
        <f t="shared" si="34"/>
        <v>11000</v>
      </c>
      <c r="BU42" s="22">
        <f t="shared" si="35"/>
        <v>8800</v>
      </c>
      <c r="BV42" s="1"/>
      <c r="BW42" s="495">
        <v>0.13</v>
      </c>
      <c r="BX42" s="381">
        <f t="shared" si="36"/>
        <v>0.13</v>
      </c>
      <c r="BY42" s="382">
        <f t="shared" si="37"/>
        <v>67692.307692307688</v>
      </c>
      <c r="BZ42" s="2"/>
      <c r="CA42" s="448" t="s">
        <v>268</v>
      </c>
      <c r="CB42" s="449">
        <f t="shared" si="38"/>
        <v>1</v>
      </c>
      <c r="CC42" s="450">
        <f t="shared" si="39"/>
        <v>8800</v>
      </c>
      <c r="CD42" s="449">
        <f t="shared" si="40"/>
        <v>0</v>
      </c>
      <c r="CE42" s="450">
        <f t="shared" si="41"/>
        <v>0</v>
      </c>
      <c r="CF42" s="357" t="b">
        <f t="shared" si="42"/>
        <v>1</v>
      </c>
    </row>
    <row r="43" spans="1:84" s="388" customFormat="1" ht="13.95" customHeight="1" x14ac:dyDescent="0.25">
      <c r="A43" s="365"/>
      <c r="B43" s="376"/>
      <c r="C43" s="376"/>
      <c r="D43" s="396"/>
      <c r="E43" s="378"/>
      <c r="F43" s="378"/>
      <c r="G43" s="378"/>
      <c r="H43" s="394"/>
      <c r="I43" s="11"/>
      <c r="J43" s="11"/>
      <c r="K43" s="13"/>
      <c r="L43" s="13"/>
      <c r="M43" s="11"/>
      <c r="N43" s="12"/>
      <c r="O43" s="12"/>
      <c r="P43" s="12"/>
      <c r="Q43" s="11"/>
      <c r="R43" s="13"/>
      <c r="S43" s="13"/>
      <c r="T43" s="11"/>
      <c r="U43" s="12"/>
      <c r="V43" s="12"/>
      <c r="W43" s="12"/>
      <c r="X43" s="11"/>
      <c r="Y43" s="13"/>
      <c r="Z43" s="13"/>
      <c r="AA43" s="11"/>
      <c r="AB43" s="12"/>
      <c r="AC43" s="12"/>
      <c r="AD43" s="12"/>
      <c r="AE43" s="11"/>
      <c r="AF43" s="13"/>
      <c r="AG43" s="13"/>
      <c r="AH43" s="11"/>
      <c r="AI43" s="11"/>
      <c r="AJ43" s="11"/>
      <c r="AK43" s="12"/>
      <c r="AL43" s="12"/>
      <c r="AM43" s="13"/>
      <c r="AN43" s="13"/>
      <c r="AO43" s="11"/>
      <c r="AP43" s="12"/>
      <c r="AQ43" s="12"/>
      <c r="AR43" s="12"/>
      <c r="AS43" s="11"/>
      <c r="AT43" s="13"/>
      <c r="AU43" s="13"/>
      <c r="AV43" s="11"/>
      <c r="AW43" s="12"/>
      <c r="AX43" s="12"/>
      <c r="AY43" s="12"/>
      <c r="AZ43" s="11"/>
      <c r="BA43" s="13"/>
      <c r="BB43" s="13"/>
      <c r="BC43" s="11"/>
      <c r="BD43" s="12"/>
      <c r="BE43" s="12"/>
      <c r="BF43" s="12"/>
      <c r="BG43" s="11"/>
      <c r="BH43" s="13"/>
      <c r="BI43" s="13"/>
      <c r="BJ43" s="11"/>
      <c r="BK43" s="12"/>
      <c r="BL43" s="12"/>
      <c r="BM43" s="12"/>
      <c r="BN43" s="11"/>
      <c r="BO43" s="13"/>
      <c r="BP43" s="379"/>
      <c r="BQ43" s="15"/>
      <c r="BR43" s="386"/>
      <c r="BS43" s="15"/>
      <c r="BT43" s="22"/>
      <c r="BU43" s="22"/>
      <c r="BV43" s="1"/>
      <c r="BW43" s="495"/>
      <c r="BX43" s="387"/>
      <c r="BY43" s="382"/>
      <c r="BZ43" s="2"/>
      <c r="CA43" s="451" t="s">
        <v>142</v>
      </c>
      <c r="CB43" s="425">
        <f>SUM(CB41:CB42)</f>
        <v>3</v>
      </c>
      <c r="CC43" s="426">
        <f>SUM(CC41:CC42)</f>
        <v>17600</v>
      </c>
      <c r="CD43" s="425">
        <f>SUM(CD41:CD42)</f>
        <v>4</v>
      </c>
      <c r="CE43" s="426">
        <f>SUM(CE41:CE42)</f>
        <v>17600</v>
      </c>
      <c r="CF43" s="357"/>
    </row>
    <row r="44" spans="1:84" s="388" customFormat="1" ht="13.95" customHeight="1" x14ac:dyDescent="0.25">
      <c r="A44" s="365"/>
      <c r="B44" s="376" t="s">
        <v>206</v>
      </c>
      <c r="C44" s="376" t="s">
        <v>270</v>
      </c>
      <c r="D44" s="389" t="s">
        <v>271</v>
      </c>
      <c r="E44" s="378" t="s">
        <v>201</v>
      </c>
      <c r="F44" s="378">
        <v>0.8125</v>
      </c>
      <c r="G44" s="378">
        <v>0.85416666666666663</v>
      </c>
      <c r="H44" s="394">
        <v>30</v>
      </c>
      <c r="I44" s="11"/>
      <c r="J44" s="11"/>
      <c r="K44" s="13"/>
      <c r="L44" s="13"/>
      <c r="M44" s="11"/>
      <c r="N44" s="12"/>
      <c r="O44" s="12"/>
      <c r="P44" s="12"/>
      <c r="Q44" s="11"/>
      <c r="R44" s="13"/>
      <c r="S44" s="13"/>
      <c r="T44" s="11"/>
      <c r="U44" s="12"/>
      <c r="V44" s="12"/>
      <c r="W44" s="12"/>
      <c r="X44" s="11"/>
      <c r="Y44" s="13"/>
      <c r="Z44" s="13"/>
      <c r="AA44" s="11"/>
      <c r="AB44" s="12"/>
      <c r="AC44" s="12"/>
      <c r="AD44" s="12"/>
      <c r="AE44" s="11"/>
      <c r="AF44" s="13"/>
      <c r="AG44" s="13"/>
      <c r="AH44" s="11">
        <v>1</v>
      </c>
      <c r="AI44" s="11"/>
      <c r="AJ44" s="11"/>
      <c r="AK44" s="12">
        <v>1</v>
      </c>
      <c r="AL44" s="12"/>
      <c r="AM44" s="13"/>
      <c r="AN44" s="13"/>
      <c r="AO44" s="11"/>
      <c r="AP44" s="12">
        <v>1</v>
      </c>
      <c r="AQ44" s="12"/>
      <c r="AR44" s="12">
        <v>1</v>
      </c>
      <c r="AS44" s="11"/>
      <c r="AT44" s="13"/>
      <c r="AU44" s="13"/>
      <c r="AV44" s="11"/>
      <c r="AW44" s="12">
        <v>1</v>
      </c>
      <c r="AX44" s="12"/>
      <c r="AY44" s="12">
        <v>1</v>
      </c>
      <c r="AZ44" s="11"/>
      <c r="BA44" s="13"/>
      <c r="BB44" s="13"/>
      <c r="BC44" s="11"/>
      <c r="BD44" s="12"/>
      <c r="BE44" s="12"/>
      <c r="BF44" s="12"/>
      <c r="BG44" s="11"/>
      <c r="BH44" s="13"/>
      <c r="BI44" s="13"/>
      <c r="BJ44" s="11"/>
      <c r="BK44" s="12"/>
      <c r="BL44" s="12"/>
      <c r="BM44" s="12"/>
      <c r="BN44" s="11"/>
      <c r="BO44" s="13"/>
      <c r="BP44" s="379">
        <f t="shared" ref="BP44" si="43">SUM(I44:BO44)</f>
        <v>6</v>
      </c>
      <c r="BQ44" s="390">
        <v>9631</v>
      </c>
      <c r="BR44" s="19">
        <v>0.7</v>
      </c>
      <c r="BS44" s="20">
        <f t="shared" ref="BS44" si="44">BQ44*(1-BR44)</f>
        <v>2889.3000000000006</v>
      </c>
      <c r="BT44" s="21">
        <f t="shared" ref="BT44" si="45">BS44*BP44</f>
        <v>17335.800000000003</v>
      </c>
      <c r="BU44" s="170">
        <f t="shared" ref="BU44" si="46">BT44*0.8</f>
        <v>13868.640000000003</v>
      </c>
      <c r="BV44" s="1"/>
      <c r="BW44" s="495">
        <v>1.4999999999999999E-2</v>
      </c>
      <c r="BX44" s="381">
        <f t="shared" ref="BX44" si="47">BW44*BP44</f>
        <v>0.09</v>
      </c>
      <c r="BY44" s="382">
        <f t="shared" ref="BY44:BY45" si="48">IFERROR(BU44/BX44,0)</f>
        <v>154096.00000000003</v>
      </c>
      <c r="BZ44" s="2"/>
      <c r="CA44" s="448" t="s">
        <v>270</v>
      </c>
      <c r="CB44" s="449">
        <f t="shared" ref="CB44" si="49">COUNTA(I44:AM44)</f>
        <v>2</v>
      </c>
      <c r="CC44" s="450">
        <f t="shared" ref="CC44" si="50">CB44*BS44*0.8</f>
        <v>4622.880000000001</v>
      </c>
      <c r="CD44" s="449">
        <f t="shared" ref="CD44" si="51">COUNTA(AN44:BO44)</f>
        <v>4</v>
      </c>
      <c r="CE44" s="450">
        <f t="shared" ref="CE44" si="52">CD44*BS44*0.8</f>
        <v>9245.760000000002</v>
      </c>
      <c r="CF44" s="357" t="b">
        <f t="shared" ref="CF44" si="53">SUM(CC44,CE44)=BU44</f>
        <v>1</v>
      </c>
    </row>
    <row r="45" spans="1:84" s="388" customFormat="1" ht="13.95" customHeight="1" x14ac:dyDescent="0.25">
      <c r="A45" s="365"/>
      <c r="B45" s="376"/>
      <c r="C45" s="376"/>
      <c r="D45" s="389"/>
      <c r="E45" s="378" t="s">
        <v>201</v>
      </c>
      <c r="F45" s="378">
        <v>0.8125</v>
      </c>
      <c r="G45" s="378">
        <v>0.85416666666666663</v>
      </c>
      <c r="H45" s="394">
        <v>60</v>
      </c>
      <c r="I45" s="11"/>
      <c r="J45" s="11"/>
      <c r="K45" s="13"/>
      <c r="L45" s="13"/>
      <c r="M45" s="11"/>
      <c r="N45" s="12"/>
      <c r="O45" s="12"/>
      <c r="P45" s="12"/>
      <c r="Q45" s="11"/>
      <c r="R45" s="13"/>
      <c r="S45" s="13"/>
      <c r="T45" s="11"/>
      <c r="U45" s="12"/>
      <c r="V45" s="12"/>
      <c r="W45" s="12"/>
      <c r="X45" s="11"/>
      <c r="Y45" s="13"/>
      <c r="Z45" s="13"/>
      <c r="AA45" s="11"/>
      <c r="AB45" s="12"/>
      <c r="AC45" s="12"/>
      <c r="AD45" s="12">
        <v>1</v>
      </c>
      <c r="AE45" s="11"/>
      <c r="AF45" s="13"/>
      <c r="AG45" s="13"/>
      <c r="AH45" s="11"/>
      <c r="AI45" s="11"/>
      <c r="AJ45" s="11"/>
      <c r="AK45" s="12"/>
      <c r="AL45" s="12"/>
      <c r="AM45" s="13"/>
      <c r="AN45" s="13"/>
      <c r="AO45" s="11"/>
      <c r="AP45" s="12"/>
      <c r="AQ45" s="12"/>
      <c r="AR45" s="12"/>
      <c r="AS45" s="11"/>
      <c r="AT45" s="13"/>
      <c r="AU45" s="13"/>
      <c r="AV45" s="11"/>
      <c r="AW45" s="12"/>
      <c r="AX45" s="12"/>
      <c r="AY45" s="12"/>
      <c r="AZ45" s="11"/>
      <c r="BA45" s="13"/>
      <c r="BB45" s="13"/>
      <c r="BC45" s="11"/>
      <c r="BD45" s="12"/>
      <c r="BE45" s="12"/>
      <c r="BF45" s="12"/>
      <c r="BG45" s="11"/>
      <c r="BH45" s="13"/>
      <c r="BI45" s="13"/>
      <c r="BJ45" s="11"/>
      <c r="BK45" s="12"/>
      <c r="BL45" s="12"/>
      <c r="BM45" s="12"/>
      <c r="BN45" s="11"/>
      <c r="BO45" s="13"/>
      <c r="BP45" s="379">
        <f t="shared" ref="BP45" si="54">SUM(I45:BO45)</f>
        <v>1</v>
      </c>
      <c r="BQ45" s="390">
        <v>19262</v>
      </c>
      <c r="BR45" s="19">
        <v>0.7</v>
      </c>
      <c r="BS45" s="20">
        <f t="shared" ref="BS45" si="55">BQ45*(1-BR45)</f>
        <v>5778.6000000000013</v>
      </c>
      <c r="BT45" s="21">
        <f t="shared" ref="BT45" si="56">BS45*BP45</f>
        <v>5778.6000000000013</v>
      </c>
      <c r="BU45" s="170">
        <f t="shared" ref="BU45" si="57">BT45*0.8</f>
        <v>4622.880000000001</v>
      </c>
      <c r="BV45" s="1"/>
      <c r="BW45" s="495">
        <v>1.4999999999999999E-2</v>
      </c>
      <c r="BX45" s="381">
        <f>BW45*BP45</f>
        <v>1.4999999999999999E-2</v>
      </c>
      <c r="BY45" s="382">
        <f t="shared" si="48"/>
        <v>308192.00000000006</v>
      </c>
      <c r="BZ45" s="2"/>
      <c r="CA45" s="448" t="s">
        <v>270</v>
      </c>
      <c r="CB45" s="449">
        <f t="shared" ref="CB45" si="58">COUNTA(I45:AM45)</f>
        <v>1</v>
      </c>
      <c r="CC45" s="450">
        <f t="shared" ref="CC45" si="59">CB45*BS45*0.8</f>
        <v>4622.880000000001</v>
      </c>
      <c r="CD45" s="449">
        <f t="shared" ref="CD45" si="60">COUNTA(AN45:BO45)</f>
        <v>0</v>
      </c>
      <c r="CE45" s="450">
        <f t="shared" ref="CE45" si="61">CD45*BS45*0.8</f>
        <v>0</v>
      </c>
      <c r="CF45" s="357" t="b">
        <f t="shared" ref="CF45" si="62">SUM(CC45,CE45)=BU45</f>
        <v>1</v>
      </c>
    </row>
    <row r="46" spans="1:84" s="388" customFormat="1" ht="13.95" customHeight="1" x14ac:dyDescent="0.25">
      <c r="A46" s="365"/>
      <c r="B46" s="376"/>
      <c r="C46" s="376"/>
      <c r="D46" s="396"/>
      <c r="E46" s="378"/>
      <c r="F46" s="378"/>
      <c r="G46" s="378"/>
      <c r="H46" s="394"/>
      <c r="I46" s="11"/>
      <c r="J46" s="11"/>
      <c r="K46" s="13"/>
      <c r="L46" s="13"/>
      <c r="M46" s="11"/>
      <c r="N46" s="12"/>
      <c r="O46" s="12"/>
      <c r="P46" s="12"/>
      <c r="Q46" s="11"/>
      <c r="R46" s="13"/>
      <c r="S46" s="13"/>
      <c r="T46" s="11"/>
      <c r="U46" s="12"/>
      <c r="V46" s="12"/>
      <c r="W46" s="12"/>
      <c r="X46" s="11"/>
      <c r="Y46" s="13"/>
      <c r="Z46" s="13"/>
      <c r="AA46" s="11"/>
      <c r="AB46" s="12"/>
      <c r="AC46" s="12"/>
      <c r="AD46" s="12"/>
      <c r="AE46" s="11"/>
      <c r="AF46" s="13"/>
      <c r="AG46" s="13"/>
      <c r="AH46" s="11"/>
      <c r="AI46" s="11"/>
      <c r="AJ46" s="11"/>
      <c r="AK46" s="12"/>
      <c r="AL46" s="12"/>
      <c r="AM46" s="13"/>
      <c r="AN46" s="13"/>
      <c r="AO46" s="11"/>
      <c r="AP46" s="12"/>
      <c r="AQ46" s="12"/>
      <c r="AR46" s="12"/>
      <c r="AS46" s="11"/>
      <c r="AT46" s="13"/>
      <c r="AU46" s="13"/>
      <c r="AV46" s="11"/>
      <c r="AW46" s="12"/>
      <c r="AX46" s="12"/>
      <c r="AY46" s="12"/>
      <c r="AZ46" s="11"/>
      <c r="BA46" s="13"/>
      <c r="BB46" s="13"/>
      <c r="BC46" s="11"/>
      <c r="BD46" s="12"/>
      <c r="BE46" s="12"/>
      <c r="BF46" s="12"/>
      <c r="BG46" s="11"/>
      <c r="BH46" s="13"/>
      <c r="BI46" s="13"/>
      <c r="BJ46" s="11"/>
      <c r="BK46" s="12"/>
      <c r="BL46" s="12"/>
      <c r="BM46" s="12"/>
      <c r="BN46" s="11"/>
      <c r="BO46" s="13"/>
      <c r="BP46" s="379"/>
      <c r="BQ46" s="15"/>
      <c r="BR46" s="386"/>
      <c r="BS46" s="15"/>
      <c r="BT46" s="22"/>
      <c r="BU46" s="22"/>
      <c r="BV46" s="1"/>
      <c r="BW46" s="487"/>
      <c r="BX46" s="482"/>
      <c r="BY46" s="483"/>
      <c r="BZ46" s="2"/>
      <c r="CA46" s="451" t="s">
        <v>142</v>
      </c>
      <c r="CB46" s="425">
        <f>SUM(CB44:CB45)</f>
        <v>3</v>
      </c>
      <c r="CC46" s="426">
        <f>SUM(CC44:CC45)</f>
        <v>9245.760000000002</v>
      </c>
      <c r="CD46" s="425">
        <f>SUM(CD44:CD45)</f>
        <v>4</v>
      </c>
      <c r="CE46" s="426">
        <f>SUM(CE44:CE45)</f>
        <v>9245.760000000002</v>
      </c>
      <c r="CF46" s="357"/>
    </row>
    <row r="47" spans="1:84" ht="3.75" customHeight="1" x14ac:dyDescent="0.25">
      <c r="A47" s="365"/>
      <c r="B47" s="397"/>
      <c r="C47" s="398"/>
      <c r="D47" s="398"/>
      <c r="E47" s="398"/>
      <c r="F47" s="398"/>
      <c r="G47" s="398"/>
      <c r="H47" s="398"/>
      <c r="I47" s="398"/>
      <c r="J47" s="398"/>
      <c r="K47" s="398"/>
      <c r="L47" s="398"/>
      <c r="M47" s="398"/>
      <c r="N47" s="398"/>
      <c r="O47" s="398"/>
      <c r="P47" s="398"/>
      <c r="Q47" s="398"/>
      <c r="R47" s="398"/>
      <c r="S47" s="398"/>
      <c r="T47" s="398"/>
      <c r="U47" s="398"/>
      <c r="V47" s="398"/>
      <c r="W47" s="398"/>
      <c r="X47" s="398"/>
      <c r="Y47" s="398"/>
      <c r="Z47" s="398"/>
      <c r="AA47" s="398"/>
      <c r="AB47" s="398"/>
      <c r="AC47" s="398"/>
      <c r="AD47" s="398"/>
      <c r="AE47" s="398"/>
      <c r="AF47" s="13"/>
      <c r="AG47" s="13"/>
      <c r="AH47" s="398"/>
      <c r="AI47" s="398"/>
      <c r="AJ47" s="398"/>
      <c r="AK47" s="398"/>
      <c r="AL47" s="398"/>
      <c r="AM47" s="13"/>
      <c r="AN47" s="398"/>
      <c r="AO47" s="398"/>
      <c r="AP47" s="398"/>
      <c r="AQ47" s="398"/>
      <c r="AR47" s="398"/>
      <c r="AS47" s="398"/>
      <c r="AT47" s="398"/>
      <c r="AU47" s="398"/>
      <c r="AV47" s="398"/>
      <c r="AW47" s="398"/>
      <c r="AX47" s="398"/>
      <c r="AY47" s="398"/>
      <c r="AZ47" s="398"/>
      <c r="BA47" s="398"/>
      <c r="BB47" s="398"/>
      <c r="BC47" s="398"/>
      <c r="BD47" s="398"/>
      <c r="BE47" s="398"/>
      <c r="BF47" s="398"/>
      <c r="BG47" s="398"/>
      <c r="BH47" s="398"/>
      <c r="BI47" s="398"/>
      <c r="BJ47" s="398"/>
      <c r="BK47" s="13"/>
      <c r="BL47" s="13"/>
      <c r="BM47" s="398"/>
      <c r="BN47" s="398"/>
      <c r="BO47" s="398"/>
      <c r="BP47" s="398"/>
      <c r="BQ47" s="398"/>
      <c r="BR47" s="398"/>
      <c r="BS47" s="398"/>
      <c r="BT47" s="23"/>
      <c r="BU47" s="24"/>
      <c r="BY47" s="399"/>
      <c r="CA47" s="452"/>
      <c r="CB47" s="453"/>
      <c r="CC47" s="454"/>
      <c r="CD47" s="453"/>
      <c r="CE47" s="454"/>
    </row>
    <row r="48" spans="1:84" s="436" customFormat="1" x14ac:dyDescent="0.3">
      <c r="A48" s="433"/>
      <c r="B48" s="25" t="s">
        <v>170</v>
      </c>
      <c r="C48" s="403"/>
      <c r="D48" s="403"/>
      <c r="E48" s="403"/>
      <c r="F48" s="403"/>
      <c r="G48" s="403"/>
      <c r="H48" s="403"/>
      <c r="I48" s="403">
        <f>COUNTA(I12:I16)</f>
        <v>0</v>
      </c>
      <c r="J48" s="403">
        <f>COUNTA(J12:J16)</f>
        <v>0</v>
      </c>
      <c r="K48" s="403">
        <f>COUNTA(K12:K16)</f>
        <v>0</v>
      </c>
      <c r="L48" s="403">
        <f>COUNTA(L12:L16)</f>
        <v>0</v>
      </c>
      <c r="M48" s="403">
        <f>COUNTA(M12:M16)</f>
        <v>0</v>
      </c>
      <c r="N48" s="403">
        <f>SUM(N12:N16)</f>
        <v>0</v>
      </c>
      <c r="O48" s="403">
        <f>SUM(O12:O16)</f>
        <v>0</v>
      </c>
      <c r="P48" s="403">
        <f>SUM(P12:P16)</f>
        <v>0</v>
      </c>
      <c r="Q48" s="403">
        <f t="shared" ref="Q48:BJ48" si="63">SUM(Q12:Q46)</f>
        <v>0</v>
      </c>
      <c r="R48" s="403">
        <f t="shared" si="63"/>
        <v>0</v>
      </c>
      <c r="S48" s="403">
        <f t="shared" si="63"/>
        <v>0</v>
      </c>
      <c r="T48" s="403">
        <f t="shared" si="63"/>
        <v>0</v>
      </c>
      <c r="U48" s="403">
        <f t="shared" si="63"/>
        <v>0</v>
      </c>
      <c r="V48" s="403">
        <f t="shared" si="63"/>
        <v>0</v>
      </c>
      <c r="W48" s="403">
        <f t="shared" si="63"/>
        <v>0</v>
      </c>
      <c r="X48" s="403">
        <f t="shared" si="63"/>
        <v>0</v>
      </c>
      <c r="Y48" s="403">
        <f t="shared" si="63"/>
        <v>0</v>
      </c>
      <c r="Z48" s="403">
        <f t="shared" si="63"/>
        <v>0</v>
      </c>
      <c r="AA48" s="403">
        <f t="shared" si="63"/>
        <v>0</v>
      </c>
      <c r="AB48" s="403">
        <f t="shared" si="63"/>
        <v>0</v>
      </c>
      <c r="AC48" s="403">
        <f t="shared" si="63"/>
        <v>0</v>
      </c>
      <c r="AD48" s="403">
        <f t="shared" si="63"/>
        <v>7</v>
      </c>
      <c r="AE48" s="403">
        <f t="shared" si="63"/>
        <v>6</v>
      </c>
      <c r="AF48" s="403">
        <f t="shared" si="63"/>
        <v>0</v>
      </c>
      <c r="AG48" s="403">
        <f t="shared" si="63"/>
        <v>0</v>
      </c>
      <c r="AH48" s="403">
        <f t="shared" si="63"/>
        <v>6</v>
      </c>
      <c r="AI48" s="403">
        <f t="shared" si="63"/>
        <v>7</v>
      </c>
      <c r="AJ48" s="403">
        <f t="shared" si="63"/>
        <v>5</v>
      </c>
      <c r="AK48" s="403">
        <f t="shared" si="63"/>
        <v>7</v>
      </c>
      <c r="AL48" s="403">
        <f t="shared" si="63"/>
        <v>1</v>
      </c>
      <c r="AM48" s="403">
        <f t="shared" si="63"/>
        <v>0</v>
      </c>
      <c r="AN48" s="403">
        <f t="shared" si="63"/>
        <v>0</v>
      </c>
      <c r="AO48" s="403">
        <f t="shared" si="63"/>
        <v>5</v>
      </c>
      <c r="AP48" s="403">
        <f t="shared" si="63"/>
        <v>7</v>
      </c>
      <c r="AQ48" s="403">
        <f t="shared" si="63"/>
        <v>0</v>
      </c>
      <c r="AR48" s="403">
        <f t="shared" si="63"/>
        <v>8</v>
      </c>
      <c r="AS48" s="403">
        <f t="shared" si="63"/>
        <v>6</v>
      </c>
      <c r="AT48" s="403">
        <f t="shared" si="63"/>
        <v>0</v>
      </c>
      <c r="AU48" s="403">
        <f t="shared" si="63"/>
        <v>0</v>
      </c>
      <c r="AV48" s="403">
        <f t="shared" si="63"/>
        <v>6</v>
      </c>
      <c r="AW48" s="403">
        <f t="shared" si="63"/>
        <v>7</v>
      </c>
      <c r="AX48" s="403">
        <f t="shared" si="63"/>
        <v>6</v>
      </c>
      <c r="AY48" s="403">
        <f t="shared" si="63"/>
        <v>6</v>
      </c>
      <c r="AZ48" s="403">
        <f t="shared" si="63"/>
        <v>1</v>
      </c>
      <c r="BA48" s="403">
        <f t="shared" si="63"/>
        <v>0</v>
      </c>
      <c r="BB48" s="403">
        <f t="shared" si="63"/>
        <v>0</v>
      </c>
      <c r="BC48" s="403">
        <f t="shared" si="63"/>
        <v>0</v>
      </c>
      <c r="BD48" s="403">
        <f t="shared" si="63"/>
        <v>0</v>
      </c>
      <c r="BE48" s="403">
        <f t="shared" si="63"/>
        <v>0</v>
      </c>
      <c r="BF48" s="403">
        <f t="shared" si="63"/>
        <v>0</v>
      </c>
      <c r="BG48" s="403">
        <f t="shared" si="63"/>
        <v>0</v>
      </c>
      <c r="BH48" s="403">
        <f t="shared" si="63"/>
        <v>0</v>
      </c>
      <c r="BI48" s="403">
        <f t="shared" si="63"/>
        <v>0</v>
      </c>
      <c r="BJ48" s="403">
        <f t="shared" si="63"/>
        <v>0</v>
      </c>
      <c r="BK48" s="403">
        <f>SUM(BK13:BK47)</f>
        <v>0</v>
      </c>
      <c r="BL48" s="403">
        <f>SUM(BL13:BL47)</f>
        <v>0</v>
      </c>
      <c r="BM48" s="403">
        <f>SUM(BM12:BM16)</f>
        <v>0</v>
      </c>
      <c r="BN48" s="403">
        <f>SUM(BN12:BN16)</f>
        <v>0</v>
      </c>
      <c r="BO48" s="403">
        <f>SUM(BO12:BO16)</f>
        <v>0</v>
      </c>
      <c r="BP48" s="404">
        <f>SUM(BP13:BP46)</f>
        <v>91</v>
      </c>
      <c r="BQ48" s="26"/>
      <c r="BR48" s="26"/>
      <c r="BS48" s="434"/>
      <c r="BT48" s="435">
        <f>SUM(BT13:BT46)</f>
        <v>189442.4</v>
      </c>
      <c r="BU48" s="435">
        <f>SUM(BU13:BU46)</f>
        <v>151553.92000000001</v>
      </c>
      <c r="BW48" s="437"/>
      <c r="BX48" s="438">
        <f>SUM(BX13:BX45)</f>
        <v>5.2849999999999993</v>
      </c>
      <c r="BY48" s="439">
        <f>BU48/BX48</f>
        <v>28676.238410596034</v>
      </c>
      <c r="CA48" s="427" t="s">
        <v>171</v>
      </c>
      <c r="CB48" s="440">
        <f>CB17+CB40+CB43+CB46</f>
        <v>9</v>
      </c>
      <c r="CC48" s="441">
        <f>CC37+CC40+CC43+CC46</f>
        <v>75776.960000000021</v>
      </c>
      <c r="CD48" s="440">
        <f>CD17+CD40+CD43+CD46</f>
        <v>12</v>
      </c>
      <c r="CE48" s="441">
        <f>CE37+CE40+CE43+CE46</f>
        <v>75776.959999999992</v>
      </c>
      <c r="CF48" s="442"/>
    </row>
    <row r="49" spans="1:107" x14ac:dyDescent="0.25">
      <c r="A49" s="2"/>
      <c r="B49" s="2"/>
      <c r="C49" s="2"/>
      <c r="D49" s="2"/>
      <c r="E49" s="2"/>
      <c r="F49" s="2"/>
      <c r="G49" s="2"/>
      <c r="H49" s="35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422"/>
      <c r="BU49" s="412"/>
      <c r="CC49" s="361"/>
      <c r="CD49" s="428"/>
      <c r="CE49" s="429"/>
    </row>
    <row r="50" spans="1:107" s="442" customFormat="1" x14ac:dyDescent="0.3">
      <c r="A50" s="436"/>
      <c r="B50" s="436"/>
      <c r="C50" s="436"/>
      <c r="D50" s="443"/>
      <c r="E50" s="436"/>
      <c r="F50" s="436"/>
      <c r="G50" s="436"/>
      <c r="H50" s="444"/>
      <c r="I50" s="436"/>
      <c r="J50" s="436"/>
      <c r="K50" s="436"/>
      <c r="L50" s="436"/>
      <c r="M50" s="436"/>
      <c r="N50" s="436"/>
      <c r="O50" s="436"/>
      <c r="P50" s="436"/>
      <c r="Q50" s="436"/>
      <c r="R50" s="436"/>
      <c r="S50" s="436"/>
      <c r="T50" s="436"/>
      <c r="U50" s="436"/>
      <c r="V50" s="436"/>
      <c r="W50" s="436"/>
      <c r="X50" s="436"/>
      <c r="Y50" s="436"/>
      <c r="Z50" s="436"/>
      <c r="AA50" s="436"/>
      <c r="AB50" s="436"/>
      <c r="AC50" s="436"/>
      <c r="AD50" s="436"/>
      <c r="AE50" s="436"/>
      <c r="AF50" s="436"/>
      <c r="AG50" s="436"/>
      <c r="AH50" s="436"/>
      <c r="AI50" s="436"/>
      <c r="AJ50" s="436"/>
      <c r="AK50" s="436"/>
      <c r="AL50" s="436"/>
      <c r="AM50" s="436"/>
      <c r="AN50" s="436"/>
      <c r="AO50" s="436"/>
      <c r="AP50" s="436"/>
      <c r="AQ50" s="436"/>
      <c r="AR50" s="436"/>
      <c r="AS50" s="436"/>
      <c r="AT50" s="436"/>
      <c r="AU50" s="436"/>
      <c r="AV50" s="436"/>
      <c r="AW50" s="436"/>
      <c r="AX50" s="436"/>
      <c r="AY50" s="436"/>
      <c r="AZ50" s="436"/>
      <c r="BA50" s="436"/>
      <c r="BB50" s="436"/>
      <c r="BC50" s="436"/>
      <c r="BD50" s="436"/>
      <c r="BE50" s="436"/>
      <c r="BF50" s="436"/>
      <c r="BG50" s="436"/>
      <c r="BH50" s="436"/>
      <c r="BI50" s="436"/>
      <c r="BJ50" s="436"/>
      <c r="BK50" s="436"/>
      <c r="BL50" s="436"/>
      <c r="BM50" s="436"/>
      <c r="BN50" s="436"/>
      <c r="BO50" s="436"/>
      <c r="BP50" s="436"/>
      <c r="BQ50" s="436"/>
      <c r="BR50" s="436"/>
      <c r="BS50" s="436"/>
      <c r="BT50" s="445"/>
      <c r="BU50" s="446"/>
      <c r="BV50" s="436"/>
      <c r="BW50" s="436"/>
      <c r="BX50" s="436"/>
      <c r="BY50" s="436"/>
      <c r="BZ50" s="436"/>
      <c r="CA50" s="444"/>
      <c r="CB50" s="444"/>
      <c r="CC50" s="444"/>
      <c r="CD50" s="417" t="s">
        <v>142</v>
      </c>
      <c r="CE50" s="447">
        <f>CC48+CE48</f>
        <v>151553.92000000001</v>
      </c>
      <c r="CG50" s="436"/>
      <c r="CH50" s="436"/>
      <c r="CI50" s="436"/>
      <c r="CJ50" s="436"/>
      <c r="CK50" s="436"/>
      <c r="CL50" s="436"/>
      <c r="CM50" s="436"/>
      <c r="CN50" s="436"/>
      <c r="CO50" s="436"/>
      <c r="CP50" s="436"/>
      <c r="CQ50" s="436"/>
      <c r="CR50" s="436"/>
      <c r="CS50" s="436"/>
      <c r="CT50" s="436"/>
      <c r="CU50" s="436"/>
      <c r="CV50" s="436"/>
      <c r="CW50" s="436"/>
      <c r="CX50" s="436"/>
      <c r="CY50" s="436"/>
      <c r="CZ50" s="436"/>
      <c r="DA50" s="436"/>
      <c r="DB50" s="436"/>
      <c r="DC50" s="436"/>
    </row>
    <row r="51" spans="1:107" s="357" customFormat="1" x14ac:dyDescent="0.25">
      <c r="A51" s="1"/>
      <c r="B51" s="1"/>
      <c r="C51" s="1"/>
      <c r="D51" s="414"/>
      <c r="E51" s="1"/>
      <c r="F51" s="1"/>
      <c r="G51" s="1"/>
      <c r="H51" s="35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413"/>
      <c r="BV51" s="1"/>
      <c r="BW51" s="1"/>
      <c r="BX51" s="1"/>
      <c r="BY51" s="1"/>
      <c r="BZ51" s="1"/>
      <c r="CA51" s="355"/>
      <c r="CB51" s="355"/>
      <c r="CC51" s="355"/>
      <c r="CD51" s="355"/>
      <c r="CE51" s="432" t="b">
        <f>CE50=BU48</f>
        <v>1</v>
      </c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s="357" customFormat="1" x14ac:dyDescent="0.25">
      <c r="A52" s="1"/>
      <c r="B52" s="1"/>
      <c r="C52" s="1"/>
      <c r="D52" s="1"/>
      <c r="E52" s="1"/>
      <c r="F52" s="1"/>
      <c r="G52" s="1"/>
      <c r="H52" s="35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413"/>
      <c r="BV52" s="1"/>
      <c r="BW52" s="1"/>
      <c r="BX52" s="1"/>
      <c r="BY52" s="1"/>
      <c r="BZ52" s="1"/>
      <c r="CA52" s="355"/>
      <c r="CB52" s="355"/>
      <c r="CC52" s="355"/>
      <c r="CD52" s="355"/>
      <c r="CE52" s="355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</sheetData>
  <mergeCells count="23">
    <mergeCell ref="BW8:BW10"/>
    <mergeCell ref="BX8:BX10"/>
    <mergeCell ref="BY8:BY10"/>
    <mergeCell ref="CA8:CE9"/>
    <mergeCell ref="CA10:CA12"/>
    <mergeCell ref="CB10:CC11"/>
    <mergeCell ref="CD10:CE11"/>
    <mergeCell ref="BU8:BU10"/>
    <mergeCell ref="BW7:BY7"/>
    <mergeCell ref="B8:B10"/>
    <mergeCell ref="C8:C10"/>
    <mergeCell ref="D8:D10"/>
    <mergeCell ref="E8:E10"/>
    <mergeCell ref="F8:F10"/>
    <mergeCell ref="G8:G10"/>
    <mergeCell ref="H8:H10"/>
    <mergeCell ref="I8:AM8"/>
    <mergeCell ref="AN8:BO8"/>
    <mergeCell ref="BP8:BP10"/>
    <mergeCell ref="BQ8:BQ10"/>
    <mergeCell ref="BR8:BR10"/>
    <mergeCell ref="BS8:BS10"/>
    <mergeCell ref="BT8:BT10"/>
  </mergeCells>
  <conditionalFormatting sqref="I12:BO46">
    <cfRule type="notContainsBlanks" dxfId="121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41FC-7E24-48B4-BCFB-3620680E99C4}">
  <dimension ref="A1:EO423"/>
  <sheetViews>
    <sheetView showGridLines="0" topLeftCell="A188" zoomScale="60" zoomScaleNormal="60" zoomScaleSheetLayoutView="45" workbookViewId="0">
      <pane xSplit="3" topLeftCell="D1" activePane="topRight" state="frozen"/>
      <selection activeCell="A19" sqref="A19"/>
      <selection pane="topRight" activeCell="D220" sqref="D220"/>
    </sheetView>
  </sheetViews>
  <sheetFormatPr defaultColWidth="8.796875" defaultRowHeight="13.2" x14ac:dyDescent="0.25"/>
  <cols>
    <col min="1" max="1" width="4" style="45" customWidth="1"/>
    <col min="2" max="2" width="26.296875" style="45" customWidth="1"/>
    <col min="3" max="3" width="30.796875" style="45" customWidth="1"/>
    <col min="4" max="4" width="23.296875" style="45" customWidth="1"/>
    <col min="5" max="5" width="10.5" style="45" customWidth="1"/>
    <col min="6" max="24" width="4.5" style="45" hidden="1" customWidth="1"/>
    <col min="25" max="26" width="5" style="45" hidden="1" customWidth="1"/>
    <col min="27" max="34" width="4.5" style="45" hidden="1" customWidth="1"/>
    <col min="35" max="36" width="4.796875" style="45" hidden="1" customWidth="1"/>
    <col min="37" max="55" width="4.5" style="45" hidden="1" customWidth="1"/>
    <col min="56" max="57" width="5" style="45" customWidth="1"/>
    <col min="58" max="65" width="4.5" style="45" customWidth="1"/>
    <col min="66" max="66" width="4.796875" style="45" customWidth="1"/>
    <col min="67" max="67" width="8.296875" style="45" customWidth="1"/>
    <col min="68" max="68" width="16.5" style="45" customWidth="1"/>
    <col min="69" max="69" width="9.796875" style="45" bestFit="1" customWidth="1"/>
    <col min="70" max="70" width="16.5" style="45" customWidth="1"/>
    <col min="71" max="71" width="17" style="45" customWidth="1"/>
    <col min="72" max="72" width="16.19921875" style="45" customWidth="1"/>
    <col min="73" max="73" width="3.296875" style="45" customWidth="1"/>
    <col min="74" max="75" width="15.69921875" style="45" customWidth="1"/>
    <col min="76" max="76" width="3.296875" style="45" customWidth="1"/>
    <col min="77" max="77" width="14.796875" style="206" customWidth="1"/>
    <col min="78" max="78" width="14.796875" style="207" customWidth="1"/>
    <col min="79" max="79" width="14.796875" style="208" customWidth="1"/>
    <col min="80" max="81" width="14.796875" style="209" customWidth="1"/>
    <col min="82" max="82" width="14.796875" style="210" customWidth="1"/>
    <col min="83" max="83" width="12.8984375" style="45" customWidth="1"/>
    <col min="84" max="84" width="3.296875" style="45" customWidth="1"/>
    <col min="85" max="85" width="18.296875" style="30" customWidth="1"/>
    <col min="86" max="86" width="12.796875" style="30" customWidth="1"/>
    <col min="87" max="87" width="7.796875" style="30" customWidth="1"/>
    <col min="88" max="88" width="16" style="30" customWidth="1"/>
    <col min="89" max="89" width="7.796875" style="30" customWidth="1"/>
    <col min="90" max="90" width="16" style="30" customWidth="1"/>
    <col min="91" max="91" width="16.19921875" style="50" customWidth="1"/>
    <col min="92" max="16384" width="8.796875" style="45"/>
  </cols>
  <sheetData>
    <row r="1" spans="1:145" x14ac:dyDescent="0.25">
      <c r="BT1" s="31"/>
      <c r="BV1" s="31"/>
      <c r="BW1" s="31"/>
      <c r="BY1" s="46"/>
      <c r="BZ1" s="47"/>
      <c r="CA1" s="48"/>
      <c r="CB1" s="49"/>
      <c r="CC1" s="49"/>
      <c r="CD1" s="49"/>
      <c r="CE1" s="31"/>
      <c r="CF1" s="31"/>
    </row>
    <row r="2" spans="1:145" x14ac:dyDescent="0.25">
      <c r="BP2" s="28"/>
      <c r="BQ2" s="28"/>
      <c r="BR2" s="28"/>
      <c r="BS2" s="28"/>
      <c r="BT2" s="31"/>
      <c r="BV2" s="31"/>
      <c r="BW2" s="31"/>
      <c r="BY2" s="46"/>
      <c r="BZ2" s="47"/>
      <c r="CA2" s="48"/>
      <c r="CB2" s="49"/>
      <c r="CC2" s="49"/>
      <c r="CD2" s="49"/>
      <c r="CE2" s="31"/>
      <c r="CF2" s="31"/>
    </row>
    <row r="3" spans="1:145" x14ac:dyDescent="0.25">
      <c r="A3" s="28"/>
      <c r="B3" s="51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9"/>
      <c r="BP3" s="52"/>
      <c r="BQ3" s="52"/>
      <c r="BR3" s="52"/>
      <c r="BS3" s="52"/>
      <c r="BT3" s="31"/>
      <c r="BU3" s="28"/>
      <c r="BV3" s="31"/>
      <c r="BW3" s="31"/>
      <c r="BX3" s="28"/>
      <c r="BY3" s="46"/>
      <c r="BZ3" s="47"/>
      <c r="CA3" s="48"/>
      <c r="CB3" s="49"/>
      <c r="CC3" s="49"/>
      <c r="CD3" s="49"/>
      <c r="CE3" s="31"/>
      <c r="CF3" s="31"/>
    </row>
    <row r="4" spans="1:145" x14ac:dyDescent="0.25">
      <c r="A4" s="28"/>
      <c r="B4" s="51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53"/>
      <c r="BP4" s="52"/>
      <c r="BQ4" s="52"/>
      <c r="BR4" s="52"/>
      <c r="BS4" s="52"/>
      <c r="BT4" s="31"/>
      <c r="BU4" s="28"/>
      <c r="BV4" s="31"/>
      <c r="BW4" s="31"/>
      <c r="BX4" s="28"/>
      <c r="BY4" s="46"/>
      <c r="BZ4" s="47"/>
      <c r="CA4" s="48"/>
      <c r="CB4" s="49"/>
      <c r="CC4" s="49"/>
      <c r="CD4" s="49"/>
      <c r="CE4" s="31"/>
      <c r="CF4" s="31"/>
    </row>
    <row r="5" spans="1:145" x14ac:dyDescent="0.25">
      <c r="A5" s="28"/>
      <c r="B5" s="5" t="s">
        <v>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53"/>
      <c r="BP5" s="28"/>
      <c r="BQ5" s="52"/>
      <c r="BR5" s="52"/>
      <c r="BS5" s="52"/>
      <c r="BT5" s="31"/>
      <c r="BU5" s="28"/>
      <c r="BV5" s="31"/>
      <c r="BW5" s="31"/>
      <c r="BX5" s="28"/>
      <c r="BY5" s="46"/>
      <c r="BZ5" s="47"/>
      <c r="CA5" s="48"/>
      <c r="CB5" s="49"/>
      <c r="CC5" s="49"/>
      <c r="CD5" s="49"/>
      <c r="CE5" s="31"/>
      <c r="CF5" s="31"/>
    </row>
    <row r="6" spans="1:145" x14ac:dyDescent="0.25">
      <c r="A6" s="28"/>
      <c r="B6" s="6" t="s">
        <v>1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53"/>
      <c r="BP6" s="28"/>
      <c r="BQ6" s="52"/>
      <c r="BR6" s="52"/>
      <c r="BS6" s="52"/>
      <c r="BT6" s="31"/>
      <c r="BU6" s="28"/>
      <c r="BV6" s="31"/>
      <c r="BW6" s="31"/>
      <c r="BX6" s="28"/>
      <c r="BY6" s="46"/>
      <c r="BZ6" s="47"/>
      <c r="CA6" s="48"/>
      <c r="CB6" s="49"/>
      <c r="CC6" s="49"/>
      <c r="CD6" s="49"/>
      <c r="CE6" s="31"/>
      <c r="CF6" s="31"/>
    </row>
    <row r="7" spans="1:145" x14ac:dyDescent="0.25">
      <c r="A7" s="28"/>
      <c r="B7" s="54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52"/>
      <c r="BQ7" s="52"/>
      <c r="BR7" s="52"/>
      <c r="BS7" s="52"/>
      <c r="BT7" s="31"/>
      <c r="BU7" s="28"/>
      <c r="BV7" s="31"/>
      <c r="BW7" s="31"/>
      <c r="BX7" s="28"/>
      <c r="BY7" s="46"/>
      <c r="BZ7" s="47"/>
      <c r="CA7" s="48"/>
      <c r="CB7" s="49"/>
      <c r="CC7" s="49"/>
      <c r="CD7" s="49"/>
      <c r="CE7" s="31"/>
      <c r="CF7" s="31"/>
    </row>
    <row r="8" spans="1:145" s="28" customFormat="1" ht="16.05" customHeight="1" x14ac:dyDescent="0.2">
      <c r="A8" s="32"/>
      <c r="B8" s="607" t="s">
        <v>3</v>
      </c>
      <c r="C8" s="607" t="s">
        <v>4</v>
      </c>
      <c r="D8" s="608" t="s">
        <v>19</v>
      </c>
      <c r="E8" s="609" t="s">
        <v>20</v>
      </c>
      <c r="F8" s="604" t="s">
        <v>21</v>
      </c>
      <c r="G8" s="605"/>
      <c r="H8" s="605"/>
      <c r="I8" s="605"/>
      <c r="J8" s="605"/>
      <c r="K8" s="605"/>
      <c r="L8" s="605"/>
      <c r="M8" s="605"/>
      <c r="N8" s="605"/>
      <c r="O8" s="605"/>
      <c r="P8" s="605"/>
      <c r="Q8" s="605"/>
      <c r="R8" s="605"/>
      <c r="S8" s="605"/>
      <c r="T8" s="605"/>
      <c r="U8" s="605"/>
      <c r="V8" s="605"/>
      <c r="W8" s="605"/>
      <c r="X8" s="605"/>
      <c r="Y8" s="605"/>
      <c r="Z8" s="605"/>
      <c r="AA8" s="605"/>
      <c r="AB8" s="605"/>
      <c r="AC8" s="605"/>
      <c r="AD8" s="605"/>
      <c r="AE8" s="605"/>
      <c r="AF8" s="605"/>
      <c r="AG8" s="605"/>
      <c r="AH8" s="605"/>
      <c r="AI8" s="605"/>
      <c r="AJ8" s="606"/>
      <c r="AK8" s="215" t="s">
        <v>22</v>
      </c>
      <c r="AL8" s="216"/>
      <c r="AM8" s="216"/>
      <c r="AN8" s="216"/>
      <c r="AO8" s="216"/>
      <c r="AP8" s="216"/>
      <c r="AQ8" s="216"/>
      <c r="AR8" s="216"/>
      <c r="AS8" s="216"/>
      <c r="AT8" s="216"/>
      <c r="AU8" s="216"/>
      <c r="AV8" s="216"/>
      <c r="AW8" s="216"/>
      <c r="AX8" s="216"/>
      <c r="AY8" s="216"/>
      <c r="AZ8" s="216"/>
      <c r="BA8" s="216"/>
      <c r="BB8" s="216"/>
      <c r="BC8" s="216"/>
      <c r="BD8" s="605" t="s">
        <v>5</v>
      </c>
      <c r="BE8" s="605"/>
      <c r="BF8" s="605"/>
      <c r="BG8" s="606"/>
      <c r="BH8" s="604" t="s">
        <v>6</v>
      </c>
      <c r="BI8" s="605"/>
      <c r="BJ8" s="605"/>
      <c r="BK8" s="605"/>
      <c r="BL8" s="605"/>
      <c r="BM8" s="605"/>
      <c r="BN8" s="606"/>
      <c r="BO8" s="610" t="s">
        <v>7</v>
      </c>
      <c r="BP8" s="592" t="s">
        <v>8</v>
      </c>
      <c r="BQ8" s="609" t="s">
        <v>9</v>
      </c>
      <c r="BR8" s="592" t="s">
        <v>10</v>
      </c>
      <c r="BS8" s="592" t="s">
        <v>11</v>
      </c>
      <c r="BT8" s="593" t="s">
        <v>23</v>
      </c>
      <c r="BU8" s="32"/>
      <c r="BV8" s="593" t="s">
        <v>24</v>
      </c>
      <c r="BW8" s="593" t="s">
        <v>25</v>
      </c>
      <c r="BX8" s="32"/>
      <c r="BY8" s="592" t="s">
        <v>26</v>
      </c>
      <c r="BZ8" s="611" t="s">
        <v>27</v>
      </c>
      <c r="CA8" s="614" t="s">
        <v>12</v>
      </c>
      <c r="CB8" s="611" t="s">
        <v>28</v>
      </c>
      <c r="CC8" s="618" t="s">
        <v>29</v>
      </c>
      <c r="CD8" s="611" t="s">
        <v>30</v>
      </c>
      <c r="CE8" s="611" t="s">
        <v>31</v>
      </c>
      <c r="CF8" s="55"/>
      <c r="CG8" s="610" t="s">
        <v>32</v>
      </c>
      <c r="CH8" s="610" t="s">
        <v>33</v>
      </c>
      <c r="CI8" s="607" t="s">
        <v>5</v>
      </c>
      <c r="CJ8" s="607"/>
      <c r="CK8" s="607" t="s">
        <v>6</v>
      </c>
      <c r="CL8" s="607"/>
      <c r="CM8" s="50"/>
    </row>
    <row r="9" spans="1:145" s="28" customFormat="1" ht="16.05" customHeight="1" x14ac:dyDescent="0.2">
      <c r="A9" s="32"/>
      <c r="B9" s="607"/>
      <c r="C9" s="607"/>
      <c r="D9" s="608"/>
      <c r="E9" s="609"/>
      <c r="F9" s="7" t="s">
        <v>15</v>
      </c>
      <c r="G9" s="7" t="s">
        <v>14</v>
      </c>
      <c r="H9" s="7" t="s">
        <v>2</v>
      </c>
      <c r="I9" s="8" t="s">
        <v>16</v>
      </c>
      <c r="J9" s="8" t="s">
        <v>16</v>
      </c>
      <c r="K9" s="7" t="s">
        <v>13</v>
      </c>
      <c r="L9" s="7" t="s">
        <v>14</v>
      </c>
      <c r="M9" s="7" t="s">
        <v>15</v>
      </c>
      <c r="N9" s="7" t="s">
        <v>14</v>
      </c>
      <c r="O9" s="7" t="s">
        <v>2</v>
      </c>
      <c r="P9" s="8" t="s">
        <v>16</v>
      </c>
      <c r="Q9" s="8" t="s">
        <v>16</v>
      </c>
      <c r="R9" s="7" t="s">
        <v>13</v>
      </c>
      <c r="S9" s="7" t="s">
        <v>14</v>
      </c>
      <c r="T9" s="7" t="s">
        <v>15</v>
      </c>
      <c r="U9" s="7" t="s">
        <v>14</v>
      </c>
      <c r="V9" s="7" t="s">
        <v>2</v>
      </c>
      <c r="W9" s="8" t="s">
        <v>16</v>
      </c>
      <c r="X9" s="8" t="s">
        <v>16</v>
      </c>
      <c r="Y9" s="7" t="s">
        <v>13</v>
      </c>
      <c r="Z9" s="7" t="s">
        <v>14</v>
      </c>
      <c r="AA9" s="7" t="s">
        <v>15</v>
      </c>
      <c r="AB9" s="7" t="s">
        <v>14</v>
      </c>
      <c r="AC9" s="7" t="s">
        <v>2</v>
      </c>
      <c r="AD9" s="8" t="s">
        <v>16</v>
      </c>
      <c r="AE9" s="8" t="s">
        <v>16</v>
      </c>
      <c r="AF9" s="7" t="s">
        <v>13</v>
      </c>
      <c r="AG9" s="7" t="s">
        <v>14</v>
      </c>
      <c r="AH9" s="7" t="s">
        <v>15</v>
      </c>
      <c r="AI9" s="7" t="s">
        <v>14</v>
      </c>
      <c r="AJ9" s="7" t="s">
        <v>2</v>
      </c>
      <c r="AK9" s="8" t="s">
        <v>16</v>
      </c>
      <c r="AL9" s="8" t="s">
        <v>16</v>
      </c>
      <c r="AM9" s="7" t="s">
        <v>13</v>
      </c>
      <c r="AN9" s="7" t="s">
        <v>14</v>
      </c>
      <c r="AO9" s="7" t="s">
        <v>15</v>
      </c>
      <c r="AP9" s="7" t="s">
        <v>14</v>
      </c>
      <c r="AQ9" s="7" t="s">
        <v>2</v>
      </c>
      <c r="AR9" s="8" t="s">
        <v>16</v>
      </c>
      <c r="AS9" s="8" t="s">
        <v>16</v>
      </c>
      <c r="AT9" s="7" t="s">
        <v>13</v>
      </c>
      <c r="AU9" s="7" t="s">
        <v>14</v>
      </c>
      <c r="AV9" s="7" t="s">
        <v>15</v>
      </c>
      <c r="AW9" s="7" t="s">
        <v>14</v>
      </c>
      <c r="AX9" s="7" t="s">
        <v>2</v>
      </c>
      <c r="AY9" s="8" t="s">
        <v>16</v>
      </c>
      <c r="AZ9" s="8" t="s">
        <v>16</v>
      </c>
      <c r="BA9" s="7" t="s">
        <v>13</v>
      </c>
      <c r="BB9" s="7" t="s">
        <v>14</v>
      </c>
      <c r="BC9" s="7" t="s">
        <v>15</v>
      </c>
      <c r="BD9" s="8" t="s">
        <v>16</v>
      </c>
      <c r="BE9" s="7" t="s">
        <v>13</v>
      </c>
      <c r="BF9" s="7" t="s">
        <v>14</v>
      </c>
      <c r="BG9" s="7" t="s">
        <v>15</v>
      </c>
      <c r="BH9" s="7" t="s">
        <v>14</v>
      </c>
      <c r="BI9" s="7" t="s">
        <v>2</v>
      </c>
      <c r="BJ9" s="8" t="s">
        <v>16</v>
      </c>
      <c r="BK9" s="8" t="s">
        <v>16</v>
      </c>
      <c r="BL9" s="7" t="s">
        <v>2</v>
      </c>
      <c r="BM9" s="7" t="s">
        <v>16</v>
      </c>
      <c r="BN9" s="7" t="s">
        <v>16</v>
      </c>
      <c r="BO9" s="610"/>
      <c r="BP9" s="592"/>
      <c r="BQ9" s="609"/>
      <c r="BR9" s="592"/>
      <c r="BS9" s="592"/>
      <c r="BT9" s="594"/>
      <c r="BU9" s="32"/>
      <c r="BV9" s="594"/>
      <c r="BW9" s="594"/>
      <c r="BX9" s="32"/>
      <c r="BY9" s="592"/>
      <c r="BZ9" s="612"/>
      <c r="CA9" s="615"/>
      <c r="CB9" s="612"/>
      <c r="CC9" s="618"/>
      <c r="CD9" s="612"/>
      <c r="CE9" s="612"/>
      <c r="CF9" s="55"/>
      <c r="CG9" s="610"/>
      <c r="CH9" s="610"/>
      <c r="CI9" s="607"/>
      <c r="CJ9" s="607"/>
      <c r="CK9" s="607"/>
      <c r="CL9" s="607"/>
      <c r="CM9" s="50"/>
    </row>
    <row r="10" spans="1:145" s="28" customFormat="1" ht="16.05" customHeight="1" x14ac:dyDescent="0.2">
      <c r="A10" s="32"/>
      <c r="B10" s="607"/>
      <c r="C10" s="607"/>
      <c r="D10" s="608"/>
      <c r="E10" s="609"/>
      <c r="F10" s="7">
        <v>1</v>
      </c>
      <c r="G10" s="7">
        <v>2</v>
      </c>
      <c r="H10" s="7">
        <v>3</v>
      </c>
      <c r="I10" s="8">
        <v>4</v>
      </c>
      <c r="J10" s="8">
        <v>5</v>
      </c>
      <c r="K10" s="7">
        <v>6</v>
      </c>
      <c r="L10" s="7">
        <v>7</v>
      </c>
      <c r="M10" s="7">
        <v>8</v>
      </c>
      <c r="N10" s="7">
        <v>9</v>
      </c>
      <c r="O10" s="7">
        <v>10</v>
      </c>
      <c r="P10" s="8">
        <v>11</v>
      </c>
      <c r="Q10" s="8">
        <v>12</v>
      </c>
      <c r="R10" s="7">
        <v>13</v>
      </c>
      <c r="S10" s="7">
        <v>14</v>
      </c>
      <c r="T10" s="7">
        <v>15</v>
      </c>
      <c r="U10" s="7">
        <v>16</v>
      </c>
      <c r="V10" s="7">
        <v>17</v>
      </c>
      <c r="W10" s="8">
        <v>18</v>
      </c>
      <c r="X10" s="8">
        <v>19</v>
      </c>
      <c r="Y10" s="7">
        <v>20</v>
      </c>
      <c r="Z10" s="7">
        <v>21</v>
      </c>
      <c r="AA10" s="7">
        <v>22</v>
      </c>
      <c r="AB10" s="7">
        <v>23</v>
      </c>
      <c r="AC10" s="7">
        <v>24</v>
      </c>
      <c r="AD10" s="8">
        <v>25</v>
      </c>
      <c r="AE10" s="8">
        <v>26</v>
      </c>
      <c r="AF10" s="7">
        <v>27</v>
      </c>
      <c r="AG10" s="7">
        <v>28</v>
      </c>
      <c r="AH10" s="7">
        <v>29</v>
      </c>
      <c r="AI10" s="7">
        <v>30</v>
      </c>
      <c r="AJ10" s="7">
        <v>31</v>
      </c>
      <c r="AK10" s="8">
        <v>1</v>
      </c>
      <c r="AL10" s="8">
        <v>2</v>
      </c>
      <c r="AM10" s="7">
        <v>3</v>
      </c>
      <c r="AN10" s="7">
        <v>4</v>
      </c>
      <c r="AO10" s="7">
        <v>5</v>
      </c>
      <c r="AP10" s="7">
        <v>6</v>
      </c>
      <c r="AQ10" s="7">
        <v>7</v>
      </c>
      <c r="AR10" s="8">
        <v>8</v>
      </c>
      <c r="AS10" s="8">
        <v>9</v>
      </c>
      <c r="AT10" s="7">
        <v>10</v>
      </c>
      <c r="AU10" s="7">
        <v>11</v>
      </c>
      <c r="AV10" s="7">
        <v>12</v>
      </c>
      <c r="AW10" s="7">
        <v>13</v>
      </c>
      <c r="AX10" s="7">
        <v>14</v>
      </c>
      <c r="AY10" s="8">
        <v>15</v>
      </c>
      <c r="AZ10" s="8">
        <v>16</v>
      </c>
      <c r="BA10" s="7">
        <v>17</v>
      </c>
      <c r="BB10" s="7">
        <v>18</v>
      </c>
      <c r="BC10" s="7">
        <v>19</v>
      </c>
      <c r="BD10" s="8">
        <v>28</v>
      </c>
      <c r="BE10" s="7">
        <f>BD10+1</f>
        <v>29</v>
      </c>
      <c r="BF10" s="7">
        <f t="shared" ref="BF10:BG10" si="0">BE10+1</f>
        <v>30</v>
      </c>
      <c r="BG10" s="7">
        <f t="shared" si="0"/>
        <v>31</v>
      </c>
      <c r="BH10" s="7">
        <v>1</v>
      </c>
      <c r="BI10" s="7">
        <f>BH10+1</f>
        <v>2</v>
      </c>
      <c r="BJ10" s="8">
        <f t="shared" ref="BJ10:BN10" si="1">BI10+1</f>
        <v>3</v>
      </c>
      <c r="BK10" s="8">
        <f t="shared" si="1"/>
        <v>4</v>
      </c>
      <c r="BL10" s="7">
        <f t="shared" si="1"/>
        <v>5</v>
      </c>
      <c r="BM10" s="7">
        <f t="shared" si="1"/>
        <v>6</v>
      </c>
      <c r="BN10" s="7">
        <f t="shared" si="1"/>
        <v>7</v>
      </c>
      <c r="BO10" s="610"/>
      <c r="BP10" s="592"/>
      <c r="BQ10" s="609"/>
      <c r="BR10" s="592"/>
      <c r="BS10" s="592"/>
      <c r="BT10" s="595"/>
      <c r="BU10" s="32"/>
      <c r="BV10" s="595"/>
      <c r="BW10" s="595"/>
      <c r="BX10" s="32"/>
      <c r="BY10" s="592"/>
      <c r="BZ10" s="613"/>
      <c r="CA10" s="616"/>
      <c r="CB10" s="613"/>
      <c r="CC10" s="618"/>
      <c r="CD10" s="613"/>
      <c r="CE10" s="613"/>
      <c r="CF10" s="55"/>
      <c r="CG10" s="610"/>
      <c r="CH10" s="610"/>
      <c r="CI10" s="7" t="s">
        <v>7</v>
      </c>
      <c r="CJ10" s="7" t="s">
        <v>34</v>
      </c>
      <c r="CK10" s="7" t="s">
        <v>7</v>
      </c>
      <c r="CL10" s="7" t="s">
        <v>34</v>
      </c>
      <c r="CM10" s="50"/>
    </row>
    <row r="11" spans="1:145" ht="16.05" customHeight="1" x14ac:dyDescent="0.25">
      <c r="A11" s="32"/>
      <c r="B11" s="56"/>
      <c r="C11" s="56"/>
      <c r="D11" s="57"/>
      <c r="E11" s="57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8"/>
      <c r="BP11" s="55"/>
      <c r="BQ11" s="59"/>
      <c r="BR11" s="55"/>
      <c r="BS11" s="55"/>
      <c r="BT11" s="55"/>
      <c r="BU11" s="32"/>
      <c r="BV11" s="55"/>
      <c r="BW11" s="55"/>
      <c r="BX11" s="32"/>
      <c r="BY11" s="60"/>
      <c r="BZ11" s="61"/>
      <c r="CA11" s="62"/>
      <c r="CB11" s="61"/>
      <c r="CC11" s="61"/>
      <c r="CD11" s="55"/>
      <c r="CE11" s="55"/>
      <c r="CF11" s="55"/>
    </row>
    <row r="12" spans="1:145" s="28" customFormat="1" ht="15.45" customHeight="1" x14ac:dyDescent="0.25">
      <c r="A12" s="32"/>
      <c r="B12" s="63"/>
      <c r="C12" s="64"/>
      <c r="D12" s="64"/>
      <c r="E12" s="41"/>
      <c r="F12" s="65"/>
      <c r="G12" s="65"/>
      <c r="H12" s="65"/>
      <c r="I12" s="66"/>
      <c r="J12" s="66"/>
      <c r="K12" s="65"/>
      <c r="L12" s="65"/>
      <c r="M12" s="65"/>
      <c r="N12" s="65"/>
      <c r="O12" s="65"/>
      <c r="P12" s="66"/>
      <c r="Q12" s="66"/>
      <c r="R12" s="65"/>
      <c r="S12" s="65"/>
      <c r="T12" s="65"/>
      <c r="U12" s="65"/>
      <c r="V12" s="65"/>
      <c r="W12" s="66"/>
      <c r="X12" s="66"/>
      <c r="Y12" s="65"/>
      <c r="Z12" s="65"/>
      <c r="AA12" s="65"/>
      <c r="AB12" s="65"/>
      <c r="AC12" s="65"/>
      <c r="AD12" s="66"/>
      <c r="AE12" s="66"/>
      <c r="AF12" s="65"/>
      <c r="AG12" s="65"/>
      <c r="AH12" s="65"/>
      <c r="AI12" s="65"/>
      <c r="AJ12" s="65"/>
      <c r="AK12" s="66"/>
      <c r="AL12" s="66"/>
      <c r="AM12" s="65"/>
      <c r="AN12" s="65"/>
      <c r="AO12" s="65"/>
      <c r="AP12" s="65"/>
      <c r="AQ12" s="65"/>
      <c r="AR12" s="66"/>
      <c r="AS12" s="66"/>
      <c r="AT12" s="65"/>
      <c r="AU12" s="65"/>
      <c r="AV12" s="65"/>
      <c r="AW12" s="65"/>
      <c r="AX12" s="65"/>
      <c r="AY12" s="66"/>
      <c r="AZ12" s="66"/>
      <c r="BA12" s="65"/>
      <c r="BB12" s="65"/>
      <c r="BC12" s="65"/>
      <c r="BD12" s="66"/>
      <c r="BE12" s="65"/>
      <c r="BF12" s="214"/>
      <c r="BG12" s="214"/>
      <c r="BH12" s="65"/>
      <c r="BI12" s="65"/>
      <c r="BJ12" s="66"/>
      <c r="BK12" s="66"/>
      <c r="BL12" s="65"/>
      <c r="BM12" s="214"/>
      <c r="BN12" s="214"/>
      <c r="BO12" s="67"/>
      <c r="BP12" s="68"/>
      <c r="BQ12" s="69"/>
      <c r="BR12" s="68"/>
      <c r="BS12" s="68"/>
      <c r="BT12" s="70"/>
      <c r="BU12" s="32"/>
      <c r="BV12" s="70"/>
      <c r="BW12" s="70"/>
      <c r="BX12" s="32"/>
      <c r="BY12" s="71"/>
      <c r="BZ12" s="72"/>
      <c r="CA12" s="73"/>
      <c r="CB12" s="74"/>
      <c r="CC12" s="75"/>
      <c r="CD12" s="76"/>
      <c r="CE12" s="18"/>
      <c r="CF12" s="10"/>
      <c r="CG12" s="77"/>
      <c r="CH12" s="78"/>
      <c r="CI12" s="35"/>
      <c r="CJ12" s="79"/>
      <c r="CK12" s="35"/>
      <c r="CL12" s="79"/>
      <c r="CM12" s="50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</row>
    <row r="13" spans="1:145" s="28" customFormat="1" ht="15.45" customHeight="1" x14ac:dyDescent="0.25">
      <c r="A13" s="32"/>
      <c r="B13" s="80" t="s">
        <v>35</v>
      </c>
      <c r="C13" s="81" t="s">
        <v>36</v>
      </c>
      <c r="D13" s="81"/>
      <c r="E13" s="39"/>
      <c r="F13" s="65"/>
      <c r="G13" s="65"/>
      <c r="H13" s="65"/>
      <c r="I13" s="66"/>
      <c r="J13" s="66"/>
      <c r="K13" s="65"/>
      <c r="L13" s="65"/>
      <c r="M13" s="65"/>
      <c r="N13" s="65"/>
      <c r="O13" s="65"/>
      <c r="P13" s="66"/>
      <c r="Q13" s="66"/>
      <c r="R13" s="65"/>
      <c r="S13" s="65"/>
      <c r="T13" s="65"/>
      <c r="U13" s="65"/>
      <c r="V13" s="65"/>
      <c r="W13" s="66"/>
      <c r="X13" s="66"/>
      <c r="Y13" s="65"/>
      <c r="Z13" s="65"/>
      <c r="AA13" s="65"/>
      <c r="AB13" s="65"/>
      <c r="AC13" s="65"/>
      <c r="AD13" s="66"/>
      <c r="AE13" s="66"/>
      <c r="AF13" s="65"/>
      <c r="AG13" s="65"/>
      <c r="AH13" s="65"/>
      <c r="AI13" s="65"/>
      <c r="AJ13" s="65"/>
      <c r="AK13" s="66"/>
      <c r="AL13" s="66"/>
      <c r="AM13" s="65"/>
      <c r="AN13" s="65"/>
      <c r="AO13" s="65"/>
      <c r="AP13" s="65"/>
      <c r="AQ13" s="65"/>
      <c r="AR13" s="66"/>
      <c r="AS13" s="66"/>
      <c r="AT13" s="65"/>
      <c r="AU13" s="65"/>
      <c r="AV13" s="65"/>
      <c r="AW13" s="65"/>
      <c r="AX13" s="65"/>
      <c r="AY13" s="66"/>
      <c r="AZ13" s="66"/>
      <c r="BA13" s="65"/>
      <c r="BB13" s="65"/>
      <c r="BC13" s="65"/>
      <c r="BD13" s="66"/>
      <c r="BE13" s="65"/>
      <c r="BF13" s="214"/>
      <c r="BG13" s="214"/>
      <c r="BH13" s="65"/>
      <c r="BI13" s="65"/>
      <c r="BJ13" s="66"/>
      <c r="BK13" s="66"/>
      <c r="BL13" s="65"/>
      <c r="BM13" s="214"/>
      <c r="BN13" s="214"/>
      <c r="BO13" s="82"/>
      <c r="BP13" s="22"/>
      <c r="BQ13" s="83"/>
      <c r="BR13" s="22"/>
      <c r="BS13" s="22"/>
      <c r="BT13" s="84"/>
      <c r="BU13" s="32"/>
      <c r="BV13" s="84"/>
      <c r="BW13" s="84"/>
      <c r="BX13" s="32"/>
      <c r="BY13" s="85"/>
      <c r="BZ13" s="86"/>
      <c r="CA13" s="87"/>
      <c r="CB13" s="88"/>
      <c r="CC13" s="89"/>
      <c r="CD13" s="90"/>
      <c r="CE13" s="21"/>
      <c r="CF13" s="10"/>
      <c r="CG13" s="44"/>
      <c r="CH13" s="91"/>
      <c r="CI13" s="37"/>
      <c r="CJ13" s="92"/>
      <c r="CK13" s="37"/>
      <c r="CL13" s="92"/>
      <c r="CM13" s="50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</row>
    <row r="14" spans="1:145" s="28" customFormat="1" ht="15.45" customHeight="1" x14ac:dyDescent="0.25">
      <c r="A14" s="32"/>
      <c r="B14" s="93" t="s">
        <v>37</v>
      </c>
      <c r="C14" s="94" t="s">
        <v>38</v>
      </c>
      <c r="D14" s="95" t="s">
        <v>39</v>
      </c>
      <c r="E14" s="39" t="s">
        <v>40</v>
      </c>
      <c r="F14" s="65"/>
      <c r="G14" s="65"/>
      <c r="H14" s="65"/>
      <c r="I14" s="66"/>
      <c r="J14" s="66"/>
      <c r="K14" s="65"/>
      <c r="L14" s="65"/>
      <c r="M14" s="65"/>
      <c r="N14" s="65"/>
      <c r="O14" s="65"/>
      <c r="P14" s="66"/>
      <c r="Q14" s="66"/>
      <c r="R14" s="65"/>
      <c r="S14" s="65"/>
      <c r="T14" s="65"/>
      <c r="U14" s="65"/>
      <c r="V14" s="65"/>
      <c r="W14" s="66"/>
      <c r="X14" s="66"/>
      <c r="Y14" s="65"/>
      <c r="Z14" s="65"/>
      <c r="AA14" s="65"/>
      <c r="AB14" s="65"/>
      <c r="AC14" s="65"/>
      <c r="AD14" s="66"/>
      <c r="AE14" s="66"/>
      <c r="AF14" s="65"/>
      <c r="AG14" s="65"/>
      <c r="AH14" s="65"/>
      <c r="AI14" s="65"/>
      <c r="AJ14" s="65"/>
      <c r="AK14" s="66"/>
      <c r="AL14" s="66"/>
      <c r="AM14" s="65"/>
      <c r="AN14" s="65"/>
      <c r="AO14" s="65"/>
      <c r="AP14" s="65"/>
      <c r="AQ14" s="65"/>
      <c r="AR14" s="66"/>
      <c r="AS14" s="66"/>
      <c r="AT14" s="65"/>
      <c r="AU14" s="65"/>
      <c r="AV14" s="65"/>
      <c r="AW14" s="65"/>
      <c r="AX14" s="65"/>
      <c r="AY14" s="66"/>
      <c r="AZ14" s="66"/>
      <c r="BA14" s="65"/>
      <c r="BB14" s="65"/>
      <c r="BC14" s="65"/>
      <c r="BD14" s="66"/>
      <c r="BE14" s="65">
        <v>3</v>
      </c>
      <c r="BF14" s="65">
        <v>3</v>
      </c>
      <c r="BG14" s="65">
        <v>3</v>
      </c>
      <c r="BH14" s="65">
        <v>3</v>
      </c>
      <c r="BI14" s="65">
        <v>3</v>
      </c>
      <c r="BJ14" s="65">
        <v>3</v>
      </c>
      <c r="BK14" s="65">
        <v>3</v>
      </c>
      <c r="BL14" s="65">
        <v>3</v>
      </c>
      <c r="BM14" s="214"/>
      <c r="BN14" s="214"/>
      <c r="BO14" s="82">
        <f>SUM(F14:BN14)</f>
        <v>24</v>
      </c>
      <c r="BP14" s="22">
        <f>13891.5</f>
        <v>13891.5</v>
      </c>
      <c r="BQ14" s="217">
        <v>0.65990000000000004</v>
      </c>
      <c r="BR14" s="22">
        <f>BP14*(1-BQ14)</f>
        <v>4724.4991499999996</v>
      </c>
      <c r="BS14" s="22">
        <f>BR14*BO14</f>
        <v>113387.97959999999</v>
      </c>
      <c r="BT14" s="84">
        <f>BS14*0.8</f>
        <v>90710.383679999999</v>
      </c>
      <c r="BU14" s="97"/>
      <c r="BV14" s="98" cm="1">
        <f t="array" ref="BV14">SUM(BT14:BT15/$BT$29)</f>
        <v>0.31554697807736626</v>
      </c>
      <c r="BW14" s="98">
        <v>0.31796335413369642</v>
      </c>
      <c r="BX14" s="97"/>
      <c r="BY14" s="99">
        <v>0.97</v>
      </c>
      <c r="BZ14" s="86">
        <v>97631</v>
      </c>
      <c r="CA14" s="87">
        <f>BY14*BO14</f>
        <v>23.28</v>
      </c>
      <c r="CB14" s="88">
        <v>11451245</v>
      </c>
      <c r="CC14" s="100">
        <v>16255139</v>
      </c>
      <c r="CD14" s="90">
        <f>CC14*CA14/100</f>
        <v>3784196.3592000003</v>
      </c>
      <c r="CE14" s="21">
        <f>SUM(BT14:BT15)/SUM(CD14:CD15)*1000</f>
        <v>19.997899240090785</v>
      </c>
      <c r="CF14" s="10"/>
      <c r="CG14" s="44" t="s">
        <v>36</v>
      </c>
      <c r="CH14" s="91">
        <f>BR14*0.8</f>
        <v>3779.5993199999998</v>
      </c>
      <c r="CI14" s="37">
        <f>SUM(AK14:BG14)</f>
        <v>9</v>
      </c>
      <c r="CJ14" s="92">
        <f>CH14*CI14</f>
        <v>34016.393879999996</v>
      </c>
      <c r="CK14" s="37">
        <f>SUM(BH14:BN14)</f>
        <v>15</v>
      </c>
      <c r="CL14" s="92">
        <f>CK14*CH14</f>
        <v>56693.989799999996</v>
      </c>
      <c r="CM14" s="101" t="b">
        <f>(CJ14+CL14)=BT14</f>
        <v>1</v>
      </c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</row>
    <row r="15" spans="1:145" s="28" customFormat="1" ht="15.45" customHeight="1" x14ac:dyDescent="0.25">
      <c r="A15" s="32"/>
      <c r="B15" s="102"/>
      <c r="C15" s="94" t="s">
        <v>41</v>
      </c>
      <c r="D15" s="95" t="s">
        <v>42</v>
      </c>
      <c r="E15" s="39" t="s">
        <v>40</v>
      </c>
      <c r="F15" s="65"/>
      <c r="G15" s="65"/>
      <c r="H15" s="65"/>
      <c r="I15" s="66"/>
      <c r="J15" s="66"/>
      <c r="K15" s="65"/>
      <c r="L15" s="65"/>
      <c r="M15" s="65"/>
      <c r="N15" s="65"/>
      <c r="O15" s="65"/>
      <c r="P15" s="66"/>
      <c r="Q15" s="66"/>
      <c r="R15" s="65"/>
      <c r="S15" s="65"/>
      <c r="T15" s="65"/>
      <c r="U15" s="65"/>
      <c r="V15" s="65"/>
      <c r="W15" s="66"/>
      <c r="X15" s="66"/>
      <c r="Y15" s="65"/>
      <c r="Z15" s="65"/>
      <c r="AA15" s="65"/>
      <c r="AB15" s="65"/>
      <c r="AC15" s="65"/>
      <c r="AD15" s="66"/>
      <c r="AE15" s="66"/>
      <c r="AF15" s="65"/>
      <c r="AG15" s="65"/>
      <c r="AH15" s="65"/>
      <c r="AI15" s="65"/>
      <c r="AJ15" s="65"/>
      <c r="AK15" s="66"/>
      <c r="AL15" s="66"/>
      <c r="AM15" s="65"/>
      <c r="AN15" s="65"/>
      <c r="AO15" s="65"/>
      <c r="AP15" s="65"/>
      <c r="AQ15" s="65"/>
      <c r="AR15" s="66"/>
      <c r="AS15" s="66"/>
      <c r="AT15" s="65"/>
      <c r="AU15" s="65"/>
      <c r="AV15" s="65"/>
      <c r="AW15" s="65"/>
      <c r="AX15" s="65"/>
      <c r="AY15" s="66"/>
      <c r="AZ15" s="66"/>
      <c r="BA15" s="65"/>
      <c r="BB15" s="65"/>
      <c r="BC15" s="65"/>
      <c r="BD15" s="66"/>
      <c r="BE15" s="65">
        <v>1</v>
      </c>
      <c r="BF15" s="65">
        <v>1</v>
      </c>
      <c r="BG15" s="65">
        <v>1</v>
      </c>
      <c r="BH15" s="65">
        <v>1</v>
      </c>
      <c r="BI15" s="65">
        <v>1</v>
      </c>
      <c r="BJ15" s="65">
        <v>1</v>
      </c>
      <c r="BK15" s="65">
        <v>1</v>
      </c>
      <c r="BL15" s="65">
        <v>1</v>
      </c>
      <c r="BM15" s="214"/>
      <c r="BN15" s="214"/>
      <c r="BO15" s="82">
        <f>SUM(F15:BN15)</f>
        <v>8</v>
      </c>
      <c r="BP15" s="22">
        <f>4681.95</f>
        <v>4681.95</v>
      </c>
      <c r="BQ15" s="217">
        <v>0.65990000000000004</v>
      </c>
      <c r="BR15" s="22">
        <f>BP15*(1-BQ15)</f>
        <v>1592.3311949999998</v>
      </c>
      <c r="BS15" s="22">
        <f>BR15*BO15</f>
        <v>12738.649559999998</v>
      </c>
      <c r="BT15" s="84">
        <f>BS15*0.8</f>
        <v>10190.919647999999</v>
      </c>
      <c r="BU15" s="97"/>
      <c r="BV15" s="98"/>
      <c r="BW15" s="98"/>
      <c r="BX15" s="97"/>
      <c r="BY15" s="99">
        <v>0.97</v>
      </c>
      <c r="BZ15" s="86">
        <v>97631</v>
      </c>
      <c r="CA15" s="87">
        <f>BY15*BO15</f>
        <v>7.76</v>
      </c>
      <c r="CB15" s="88">
        <v>11451245</v>
      </c>
      <c r="CC15" s="100">
        <v>16255139</v>
      </c>
      <c r="CD15" s="90">
        <f>CC15*CA15/100</f>
        <v>1261398.7864000001</v>
      </c>
      <c r="CE15" s="21"/>
      <c r="CF15" s="10"/>
      <c r="CG15" s="44"/>
      <c r="CH15" s="91">
        <f>BR15*0.8</f>
        <v>1273.8649559999999</v>
      </c>
      <c r="CI15" s="37">
        <f>SUM(AK15:BG15)</f>
        <v>3</v>
      </c>
      <c r="CJ15" s="92">
        <f>CH15*CI15</f>
        <v>3821.5948679999997</v>
      </c>
      <c r="CK15" s="37">
        <f>SUM(BH15:BN15)</f>
        <v>5</v>
      </c>
      <c r="CL15" s="92">
        <f>CK15*CH15</f>
        <v>6369.324779999999</v>
      </c>
      <c r="CM15" s="101" t="b">
        <f>(CJ15+CL15)=BT15</f>
        <v>1</v>
      </c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</row>
    <row r="16" spans="1:145" s="28" customFormat="1" ht="15.45" customHeight="1" x14ac:dyDescent="0.25">
      <c r="A16" s="32"/>
      <c r="B16" s="102"/>
      <c r="C16" s="94"/>
      <c r="D16" s="95"/>
      <c r="E16" s="39"/>
      <c r="F16" s="65"/>
      <c r="G16" s="65"/>
      <c r="H16" s="65"/>
      <c r="I16" s="66"/>
      <c r="J16" s="66"/>
      <c r="K16" s="65"/>
      <c r="L16" s="65"/>
      <c r="M16" s="65"/>
      <c r="N16" s="65"/>
      <c r="O16" s="65"/>
      <c r="P16" s="66"/>
      <c r="Q16" s="66"/>
      <c r="R16" s="65"/>
      <c r="S16" s="65"/>
      <c r="T16" s="65"/>
      <c r="U16" s="65"/>
      <c r="V16" s="65"/>
      <c r="W16" s="66"/>
      <c r="X16" s="66"/>
      <c r="Y16" s="65"/>
      <c r="Z16" s="65"/>
      <c r="AA16" s="65"/>
      <c r="AB16" s="65"/>
      <c r="AC16" s="65"/>
      <c r="AD16" s="66"/>
      <c r="AE16" s="66"/>
      <c r="AF16" s="65"/>
      <c r="AG16" s="65"/>
      <c r="AH16" s="65"/>
      <c r="AI16" s="65"/>
      <c r="AJ16" s="65"/>
      <c r="AK16" s="66"/>
      <c r="AL16" s="66"/>
      <c r="AM16" s="65"/>
      <c r="AN16" s="65"/>
      <c r="AO16" s="65"/>
      <c r="AP16" s="65"/>
      <c r="AQ16" s="65"/>
      <c r="AR16" s="66"/>
      <c r="AS16" s="66"/>
      <c r="AT16" s="65"/>
      <c r="AU16" s="65"/>
      <c r="AV16" s="65"/>
      <c r="AW16" s="65"/>
      <c r="AX16" s="65"/>
      <c r="AY16" s="66"/>
      <c r="AZ16" s="66"/>
      <c r="BA16" s="65"/>
      <c r="BB16" s="65"/>
      <c r="BC16" s="65"/>
      <c r="BD16" s="66"/>
      <c r="BE16" s="65"/>
      <c r="BF16" s="214"/>
      <c r="BG16" s="214"/>
      <c r="BH16" s="65"/>
      <c r="BI16" s="65"/>
      <c r="BJ16" s="66"/>
      <c r="BK16" s="66"/>
      <c r="BL16" s="65"/>
      <c r="BM16" s="214"/>
      <c r="BN16" s="214"/>
      <c r="BO16" s="82"/>
      <c r="BP16" s="22"/>
      <c r="BQ16" s="103"/>
      <c r="BR16" s="22"/>
      <c r="BS16" s="22"/>
      <c r="BT16" s="104"/>
      <c r="BU16" s="97"/>
      <c r="BV16" s="105"/>
      <c r="BW16" s="105"/>
      <c r="BX16" s="97"/>
      <c r="BY16" s="106"/>
      <c r="BZ16" s="107"/>
      <c r="CA16" s="108"/>
      <c r="CB16" s="109"/>
      <c r="CC16" s="110"/>
      <c r="CD16" s="109"/>
      <c r="CE16" s="21"/>
      <c r="CF16" s="10"/>
      <c r="CG16" s="44"/>
      <c r="CH16" s="91"/>
      <c r="CI16" s="37"/>
      <c r="CJ16" s="92"/>
      <c r="CK16" s="37"/>
      <c r="CL16" s="92"/>
      <c r="CM16" s="50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</row>
    <row r="17" spans="1:145" s="28" customFormat="1" ht="15.45" customHeight="1" x14ac:dyDescent="0.25">
      <c r="A17" s="32"/>
      <c r="B17" s="111"/>
      <c r="C17" s="81"/>
      <c r="D17" s="81"/>
      <c r="E17" s="39"/>
      <c r="F17" s="65"/>
      <c r="G17" s="65"/>
      <c r="H17" s="65"/>
      <c r="I17" s="66"/>
      <c r="J17" s="66"/>
      <c r="K17" s="65"/>
      <c r="L17" s="65"/>
      <c r="M17" s="65"/>
      <c r="N17" s="65"/>
      <c r="O17" s="65"/>
      <c r="P17" s="66"/>
      <c r="Q17" s="66"/>
      <c r="R17" s="65"/>
      <c r="S17" s="65"/>
      <c r="T17" s="65"/>
      <c r="U17" s="65"/>
      <c r="V17" s="65"/>
      <c r="W17" s="66"/>
      <c r="X17" s="66"/>
      <c r="Y17" s="65"/>
      <c r="Z17" s="65"/>
      <c r="AA17" s="65"/>
      <c r="AB17" s="65"/>
      <c r="AC17" s="65"/>
      <c r="AD17" s="66"/>
      <c r="AE17" s="66"/>
      <c r="AF17" s="65"/>
      <c r="AG17" s="65"/>
      <c r="AH17" s="65"/>
      <c r="AI17" s="65"/>
      <c r="AJ17" s="65"/>
      <c r="AK17" s="66"/>
      <c r="AL17" s="66"/>
      <c r="AM17" s="65"/>
      <c r="AN17" s="65"/>
      <c r="AO17" s="65"/>
      <c r="AP17" s="65"/>
      <c r="AQ17" s="65"/>
      <c r="AR17" s="66"/>
      <c r="AS17" s="66"/>
      <c r="AT17" s="65"/>
      <c r="AU17" s="65"/>
      <c r="AV17" s="65"/>
      <c r="AW17" s="65"/>
      <c r="AX17" s="65"/>
      <c r="AY17" s="66"/>
      <c r="AZ17" s="66"/>
      <c r="BA17" s="65"/>
      <c r="BB17" s="65"/>
      <c r="BC17" s="65"/>
      <c r="BD17" s="66"/>
      <c r="BE17" s="65"/>
      <c r="BF17" s="214"/>
      <c r="BG17" s="214"/>
      <c r="BH17" s="65"/>
      <c r="BI17" s="65"/>
      <c r="BJ17" s="66"/>
      <c r="BK17" s="66"/>
      <c r="BL17" s="65"/>
      <c r="BM17" s="214"/>
      <c r="BN17" s="214"/>
      <c r="BO17" s="67"/>
      <c r="BP17" s="68"/>
      <c r="BQ17" s="112"/>
      <c r="BR17" s="68"/>
      <c r="BS17" s="68"/>
      <c r="BT17" s="84"/>
      <c r="BU17" s="97"/>
      <c r="BV17" s="98"/>
      <c r="BW17" s="98"/>
      <c r="BX17" s="97"/>
      <c r="BY17" s="99"/>
      <c r="BZ17" s="86"/>
      <c r="CA17" s="87"/>
      <c r="CB17" s="88"/>
      <c r="CC17" s="89"/>
      <c r="CD17" s="90"/>
      <c r="CE17" s="18"/>
      <c r="CF17" s="10"/>
      <c r="CG17" s="44"/>
      <c r="CH17" s="91"/>
      <c r="CI17" s="37"/>
      <c r="CJ17" s="92"/>
      <c r="CK17" s="37"/>
      <c r="CL17" s="92"/>
      <c r="CM17" s="50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</row>
    <row r="18" spans="1:145" ht="15.45" customHeight="1" x14ac:dyDescent="0.25">
      <c r="A18" s="32"/>
      <c r="B18" s="111"/>
      <c r="C18" s="81" t="s">
        <v>43</v>
      </c>
      <c r="D18" s="95" t="s">
        <v>39</v>
      </c>
      <c r="E18" s="39" t="s">
        <v>40</v>
      </c>
      <c r="F18" s="65"/>
      <c r="G18" s="65"/>
      <c r="H18" s="65"/>
      <c r="I18" s="66"/>
      <c r="J18" s="66"/>
      <c r="K18" s="65"/>
      <c r="L18" s="65"/>
      <c r="M18" s="65"/>
      <c r="N18" s="65"/>
      <c r="O18" s="65"/>
      <c r="P18" s="66"/>
      <c r="Q18" s="66"/>
      <c r="R18" s="65"/>
      <c r="S18" s="65"/>
      <c r="T18" s="65"/>
      <c r="U18" s="65"/>
      <c r="V18" s="65"/>
      <c r="W18" s="66"/>
      <c r="X18" s="66"/>
      <c r="Y18" s="65"/>
      <c r="Z18" s="65"/>
      <c r="AA18" s="65"/>
      <c r="AB18" s="65"/>
      <c r="AC18" s="65"/>
      <c r="AD18" s="66"/>
      <c r="AE18" s="66"/>
      <c r="AF18" s="65"/>
      <c r="AG18" s="65"/>
      <c r="AH18" s="65"/>
      <c r="AI18" s="65"/>
      <c r="AJ18" s="65"/>
      <c r="AK18" s="66"/>
      <c r="AL18" s="66"/>
      <c r="AM18" s="65"/>
      <c r="AN18" s="65"/>
      <c r="AO18" s="65"/>
      <c r="AP18" s="65"/>
      <c r="AQ18" s="65"/>
      <c r="AR18" s="66"/>
      <c r="AS18" s="66"/>
      <c r="AT18" s="65"/>
      <c r="AU18" s="65"/>
      <c r="AV18" s="65"/>
      <c r="AW18" s="65"/>
      <c r="AX18" s="65"/>
      <c r="AY18" s="66"/>
      <c r="AZ18" s="66"/>
      <c r="BA18" s="65"/>
      <c r="BB18" s="65"/>
      <c r="BC18" s="65"/>
      <c r="BD18" s="66"/>
      <c r="BE18" s="65">
        <v>5</v>
      </c>
      <c r="BF18" s="65">
        <v>5</v>
      </c>
      <c r="BG18" s="65">
        <v>5</v>
      </c>
      <c r="BH18" s="65">
        <v>4</v>
      </c>
      <c r="BI18" s="65">
        <v>4</v>
      </c>
      <c r="BJ18" s="65">
        <v>4</v>
      </c>
      <c r="BK18" s="66">
        <v>4</v>
      </c>
      <c r="BL18" s="65">
        <v>4</v>
      </c>
      <c r="BM18" s="214"/>
      <c r="BN18" s="214"/>
      <c r="BO18" s="82">
        <f>SUM(F18:BN18)</f>
        <v>35</v>
      </c>
      <c r="BP18" s="22">
        <f>7604</f>
        <v>7604</v>
      </c>
      <c r="BQ18" s="103">
        <v>0.65</v>
      </c>
      <c r="BR18" s="22">
        <f>BP18*(1-BQ18)</f>
        <v>2661.3999999999996</v>
      </c>
      <c r="BS18" s="22">
        <f>BR18*BO18</f>
        <v>93148.999999999985</v>
      </c>
      <c r="BT18" s="84">
        <f>BS18*0.8</f>
        <v>74519.199999999997</v>
      </c>
      <c r="BU18" s="97"/>
      <c r="BV18" s="98">
        <f>SUM(BT18:BT19)/$BT$29</f>
        <v>0.23304266241541877</v>
      </c>
      <c r="BW18" s="98">
        <v>0.26616162091521489</v>
      </c>
      <c r="BX18" s="97"/>
      <c r="BY18" s="99">
        <v>0.92</v>
      </c>
      <c r="BZ18" s="86">
        <v>81725</v>
      </c>
      <c r="CA18" s="87">
        <f>BY18*BO18</f>
        <v>32.200000000000003</v>
      </c>
      <c r="CB18" s="88">
        <v>11451245</v>
      </c>
      <c r="CC18" s="100">
        <v>16255139</v>
      </c>
      <c r="CD18" s="90">
        <f>CC18*CA18/100</f>
        <v>5234154.7580000004</v>
      </c>
      <c r="CE18" s="21">
        <f>BT18/CD18*1000</f>
        <v>14.237102922129532</v>
      </c>
      <c r="CF18" s="113"/>
      <c r="CG18" s="44" t="s">
        <v>43</v>
      </c>
      <c r="CH18" s="91">
        <f>BR18*0.8</f>
        <v>2129.12</v>
      </c>
      <c r="CI18" s="37">
        <f>SUM(AK18:BG18)</f>
        <v>15</v>
      </c>
      <c r="CJ18" s="92">
        <f>CH18*CI18</f>
        <v>31936.799999999999</v>
      </c>
      <c r="CK18" s="37">
        <f>SUM(BH18:BN18)</f>
        <v>20</v>
      </c>
      <c r="CL18" s="92">
        <f>CK18*CH18</f>
        <v>42582.399999999994</v>
      </c>
      <c r="CM18" s="101" t="b">
        <f>(CJ18+CL18)=BT18</f>
        <v>1</v>
      </c>
    </row>
    <row r="19" spans="1:145" ht="15.45" hidden="1" customHeight="1" x14ac:dyDescent="0.25">
      <c r="A19" s="32"/>
      <c r="B19" s="111"/>
      <c r="C19" s="94" t="s">
        <v>38</v>
      </c>
      <c r="D19" s="95"/>
      <c r="E19" s="39" t="s">
        <v>40</v>
      </c>
      <c r="F19" s="65"/>
      <c r="G19" s="65"/>
      <c r="H19" s="65"/>
      <c r="I19" s="66"/>
      <c r="J19" s="66"/>
      <c r="K19" s="65"/>
      <c r="L19" s="65"/>
      <c r="M19" s="65"/>
      <c r="N19" s="65"/>
      <c r="O19" s="65"/>
      <c r="P19" s="66"/>
      <c r="Q19" s="66"/>
      <c r="R19" s="65"/>
      <c r="S19" s="65"/>
      <c r="T19" s="65"/>
      <c r="U19" s="65"/>
      <c r="V19" s="65"/>
      <c r="W19" s="66"/>
      <c r="X19" s="66"/>
      <c r="Y19" s="65"/>
      <c r="Z19" s="65"/>
      <c r="AA19" s="65"/>
      <c r="AB19" s="65"/>
      <c r="AC19" s="65"/>
      <c r="AD19" s="66"/>
      <c r="AE19" s="66"/>
      <c r="AF19" s="65"/>
      <c r="AG19" s="65"/>
      <c r="AH19" s="65"/>
      <c r="AI19" s="65"/>
      <c r="AJ19" s="65"/>
      <c r="AK19" s="66"/>
      <c r="AL19" s="66"/>
      <c r="AM19" s="65"/>
      <c r="AN19" s="65"/>
      <c r="AO19" s="65"/>
      <c r="AP19" s="65"/>
      <c r="AQ19" s="65"/>
      <c r="AR19" s="66"/>
      <c r="AS19" s="66"/>
      <c r="AT19" s="65"/>
      <c r="AU19" s="65"/>
      <c r="AV19" s="65"/>
      <c r="AW19" s="65"/>
      <c r="AX19" s="65"/>
      <c r="AY19" s="66"/>
      <c r="AZ19" s="66"/>
      <c r="BA19" s="65"/>
      <c r="BB19" s="65"/>
      <c r="BC19" s="65"/>
      <c r="BD19" s="66"/>
      <c r="BE19" s="65"/>
      <c r="BF19" s="214"/>
      <c r="BG19" s="214"/>
      <c r="BH19" s="65"/>
      <c r="BI19" s="65"/>
      <c r="BJ19" s="66"/>
      <c r="BK19" s="66"/>
      <c r="BL19" s="65"/>
      <c r="BM19" s="214"/>
      <c r="BN19" s="214"/>
      <c r="BO19" s="82">
        <f>SUM(F19:BN19)</f>
        <v>0</v>
      </c>
      <c r="BP19" s="22">
        <f>7604</f>
        <v>7604</v>
      </c>
      <c r="BQ19" s="96">
        <v>1</v>
      </c>
      <c r="BR19" s="22">
        <f>BP19*(1-BQ19)</f>
        <v>0</v>
      </c>
      <c r="BS19" s="22">
        <f>BR19*BO19</f>
        <v>0</v>
      </c>
      <c r="BT19" s="84">
        <f>BS19*0.8</f>
        <v>0</v>
      </c>
      <c r="BU19" s="97"/>
      <c r="BV19" s="98"/>
      <c r="BW19" s="98"/>
      <c r="BX19" s="97"/>
      <c r="BY19" s="99">
        <v>0.92</v>
      </c>
      <c r="BZ19" s="86">
        <v>81725</v>
      </c>
      <c r="CA19" s="87">
        <f>BY19*BO19</f>
        <v>0</v>
      </c>
      <c r="CB19" s="88">
        <v>11451245</v>
      </c>
      <c r="CC19" s="89">
        <v>17116728</v>
      </c>
      <c r="CD19" s="90">
        <f>CC19*CA19/100</f>
        <v>0</v>
      </c>
      <c r="CE19" s="21" t="e">
        <f>BT19/CD19*1000</f>
        <v>#DIV/0!</v>
      </c>
      <c r="CF19" s="113"/>
      <c r="CG19" s="44"/>
      <c r="CH19" s="91">
        <f>BR19*0.8</f>
        <v>0</v>
      </c>
      <c r="CI19" s="37">
        <f>SUM(AK19:BN19)</f>
        <v>0</v>
      </c>
      <c r="CJ19" s="92">
        <f>CH19*CI19</f>
        <v>0</v>
      </c>
      <c r="CK19" s="37">
        <f>SUM(AM19:BP19)</f>
        <v>7604</v>
      </c>
      <c r="CL19" s="92">
        <f>CJ19*CK19</f>
        <v>0</v>
      </c>
      <c r="CM19" s="101" t="e">
        <f>SUM(#REF!,CJ19,#REF!)=BT19</f>
        <v>#REF!</v>
      </c>
    </row>
    <row r="20" spans="1:145" ht="15.45" customHeight="1" x14ac:dyDescent="0.25">
      <c r="A20" s="32"/>
      <c r="B20" s="111"/>
      <c r="C20" s="94"/>
      <c r="D20" s="95"/>
      <c r="E20" s="39"/>
      <c r="F20" s="65"/>
      <c r="G20" s="65"/>
      <c r="H20" s="65"/>
      <c r="I20" s="66"/>
      <c r="J20" s="66"/>
      <c r="K20" s="65"/>
      <c r="L20" s="65"/>
      <c r="M20" s="65"/>
      <c r="N20" s="65"/>
      <c r="O20" s="65"/>
      <c r="P20" s="66"/>
      <c r="Q20" s="66"/>
      <c r="R20" s="65"/>
      <c r="S20" s="65"/>
      <c r="T20" s="65"/>
      <c r="U20" s="65"/>
      <c r="V20" s="65"/>
      <c r="W20" s="66"/>
      <c r="X20" s="66"/>
      <c r="Y20" s="65"/>
      <c r="Z20" s="65"/>
      <c r="AA20" s="65"/>
      <c r="AB20" s="65"/>
      <c r="AC20" s="65"/>
      <c r="AD20" s="66"/>
      <c r="AE20" s="66"/>
      <c r="AF20" s="65"/>
      <c r="AG20" s="65"/>
      <c r="AH20" s="65"/>
      <c r="AI20" s="65"/>
      <c r="AJ20" s="65"/>
      <c r="AK20" s="66"/>
      <c r="AL20" s="66"/>
      <c r="AM20" s="65"/>
      <c r="AN20" s="65"/>
      <c r="AO20" s="65"/>
      <c r="AP20" s="65"/>
      <c r="AQ20" s="65"/>
      <c r="AR20" s="66"/>
      <c r="AS20" s="66"/>
      <c r="AT20" s="65"/>
      <c r="AU20" s="65"/>
      <c r="AV20" s="65"/>
      <c r="AW20" s="65"/>
      <c r="AX20" s="65"/>
      <c r="AY20" s="66"/>
      <c r="AZ20" s="66"/>
      <c r="BA20" s="65"/>
      <c r="BB20" s="65"/>
      <c r="BC20" s="65"/>
      <c r="BD20" s="66"/>
      <c r="BE20" s="65"/>
      <c r="BF20" s="214"/>
      <c r="BG20" s="214"/>
      <c r="BH20" s="65"/>
      <c r="BI20" s="65"/>
      <c r="BJ20" s="66"/>
      <c r="BK20" s="66"/>
      <c r="BL20" s="65"/>
      <c r="BM20" s="214"/>
      <c r="BN20" s="214"/>
      <c r="BO20" s="82"/>
      <c r="BP20" s="22"/>
      <c r="BQ20" s="103"/>
      <c r="BR20" s="22"/>
      <c r="BS20" s="22"/>
      <c r="BT20" s="104"/>
      <c r="BU20" s="97"/>
      <c r="BV20" s="105"/>
      <c r="BW20" s="105"/>
      <c r="BX20" s="97"/>
      <c r="BY20" s="106"/>
      <c r="BZ20" s="107"/>
      <c r="CA20" s="108"/>
      <c r="CB20" s="109"/>
      <c r="CC20" s="110"/>
      <c r="CD20" s="109"/>
      <c r="CE20" s="114"/>
      <c r="CF20" s="10"/>
      <c r="CG20" s="44"/>
      <c r="CH20" s="91"/>
      <c r="CI20" s="37"/>
      <c r="CJ20" s="92"/>
      <c r="CK20" s="37"/>
      <c r="CL20" s="92"/>
    </row>
    <row r="21" spans="1:145" ht="15.45" customHeight="1" x14ac:dyDescent="0.25">
      <c r="A21" s="32"/>
      <c r="B21" s="115"/>
      <c r="C21" s="116"/>
      <c r="D21" s="42"/>
      <c r="E21" s="117"/>
      <c r="F21" s="65"/>
      <c r="G21" s="65"/>
      <c r="H21" s="65"/>
      <c r="I21" s="66"/>
      <c r="J21" s="66"/>
      <c r="K21" s="65"/>
      <c r="L21" s="65"/>
      <c r="M21" s="65"/>
      <c r="N21" s="65"/>
      <c r="O21" s="65"/>
      <c r="P21" s="66"/>
      <c r="Q21" s="66"/>
      <c r="R21" s="65"/>
      <c r="S21" s="65"/>
      <c r="T21" s="65"/>
      <c r="U21" s="65"/>
      <c r="V21" s="65"/>
      <c r="W21" s="66"/>
      <c r="X21" s="66"/>
      <c r="Y21" s="65"/>
      <c r="Z21" s="65"/>
      <c r="AA21" s="65"/>
      <c r="AB21" s="65"/>
      <c r="AC21" s="65"/>
      <c r="AD21" s="66"/>
      <c r="AE21" s="66"/>
      <c r="AF21" s="65"/>
      <c r="AG21" s="65"/>
      <c r="AH21" s="65"/>
      <c r="AI21" s="65"/>
      <c r="AJ21" s="65"/>
      <c r="AK21" s="66"/>
      <c r="AL21" s="66"/>
      <c r="AM21" s="65"/>
      <c r="AN21" s="65"/>
      <c r="AO21" s="65"/>
      <c r="AP21" s="65"/>
      <c r="AQ21" s="65"/>
      <c r="AR21" s="66"/>
      <c r="AS21" s="66"/>
      <c r="AT21" s="65"/>
      <c r="AU21" s="65"/>
      <c r="AV21" s="65"/>
      <c r="AW21" s="65"/>
      <c r="AX21" s="65"/>
      <c r="AY21" s="66"/>
      <c r="AZ21" s="66"/>
      <c r="BA21" s="65"/>
      <c r="BB21" s="65"/>
      <c r="BC21" s="65"/>
      <c r="BD21" s="66"/>
      <c r="BE21" s="65"/>
      <c r="BF21" s="214"/>
      <c r="BG21" s="214"/>
      <c r="BH21" s="65"/>
      <c r="BI21" s="65"/>
      <c r="BJ21" s="66"/>
      <c r="BK21" s="66"/>
      <c r="BL21" s="65"/>
      <c r="BM21" s="214"/>
      <c r="BN21" s="214"/>
      <c r="BO21" s="118"/>
      <c r="BP21" s="68"/>
      <c r="BQ21" s="119"/>
      <c r="BR21" s="68"/>
      <c r="BS21" s="68"/>
      <c r="BT21" s="68"/>
      <c r="BU21" s="97"/>
      <c r="BV21" s="120"/>
      <c r="BW21" s="120"/>
      <c r="BX21" s="97"/>
      <c r="BY21" s="121"/>
      <c r="BZ21" s="122"/>
      <c r="CA21" s="123"/>
      <c r="CB21" s="90"/>
      <c r="CC21" s="89"/>
      <c r="CD21" s="90"/>
      <c r="CE21" s="18"/>
      <c r="CF21" s="10"/>
      <c r="CG21" s="44"/>
      <c r="CH21" s="91"/>
      <c r="CI21" s="37"/>
      <c r="CJ21" s="92"/>
      <c r="CK21" s="37"/>
      <c r="CL21" s="92"/>
    </row>
    <row r="22" spans="1:145" ht="15.45" customHeight="1" x14ac:dyDescent="0.25">
      <c r="A22" s="32"/>
      <c r="B22" s="111"/>
      <c r="C22" s="81" t="s">
        <v>44</v>
      </c>
      <c r="D22" s="95" t="s">
        <v>45</v>
      </c>
      <c r="E22" s="39" t="s">
        <v>40</v>
      </c>
      <c r="F22" s="65"/>
      <c r="G22" s="65"/>
      <c r="H22" s="65"/>
      <c r="I22" s="66"/>
      <c r="J22" s="66"/>
      <c r="K22" s="65"/>
      <c r="L22" s="65"/>
      <c r="M22" s="65"/>
      <c r="N22" s="65"/>
      <c r="O22" s="65"/>
      <c r="P22" s="66"/>
      <c r="Q22" s="66"/>
      <c r="R22" s="65"/>
      <c r="S22" s="65"/>
      <c r="T22" s="65"/>
      <c r="U22" s="65"/>
      <c r="V22" s="65"/>
      <c r="W22" s="66"/>
      <c r="X22" s="66"/>
      <c r="Y22" s="65"/>
      <c r="Z22" s="65"/>
      <c r="AA22" s="65"/>
      <c r="AB22" s="65"/>
      <c r="AC22" s="65"/>
      <c r="AD22" s="66"/>
      <c r="AE22" s="66"/>
      <c r="AF22" s="65"/>
      <c r="AG22" s="65"/>
      <c r="AH22" s="65"/>
      <c r="AI22" s="65"/>
      <c r="AJ22" s="65"/>
      <c r="AK22" s="66"/>
      <c r="AL22" s="66"/>
      <c r="AM22" s="65"/>
      <c r="AN22" s="65"/>
      <c r="AO22" s="65"/>
      <c r="AP22" s="65"/>
      <c r="AQ22" s="65"/>
      <c r="AR22" s="66"/>
      <c r="AS22" s="66"/>
      <c r="AT22" s="65"/>
      <c r="AU22" s="65"/>
      <c r="AV22" s="65"/>
      <c r="AW22" s="65"/>
      <c r="AX22" s="65"/>
      <c r="AY22" s="66"/>
      <c r="AZ22" s="66"/>
      <c r="BA22" s="65"/>
      <c r="BB22" s="65"/>
      <c r="BC22" s="65"/>
      <c r="BD22" s="66"/>
      <c r="BE22" s="65">
        <v>4</v>
      </c>
      <c r="BF22" s="65">
        <v>4</v>
      </c>
      <c r="BG22" s="65">
        <v>4</v>
      </c>
      <c r="BH22" s="65">
        <v>3</v>
      </c>
      <c r="BI22" s="65">
        <v>3</v>
      </c>
      <c r="BJ22" s="65">
        <v>3</v>
      </c>
      <c r="BK22" s="66">
        <v>3</v>
      </c>
      <c r="BL22" s="65">
        <v>3</v>
      </c>
      <c r="BM22" s="214"/>
      <c r="BN22" s="214"/>
      <c r="BO22" s="82">
        <f>SUM(F22:BN22)</f>
        <v>27</v>
      </c>
      <c r="BP22" s="22">
        <f>8190</f>
        <v>8190</v>
      </c>
      <c r="BQ22" s="103">
        <v>0.65</v>
      </c>
      <c r="BR22" s="22">
        <f>BP22*(1-BQ22)</f>
        <v>2866.5</v>
      </c>
      <c r="BS22" s="22">
        <f>BR22*BO22</f>
        <v>77395.5</v>
      </c>
      <c r="BT22" s="84">
        <f>BS22*0.8</f>
        <v>61916.4</v>
      </c>
      <c r="BU22" s="97"/>
      <c r="BV22" s="98" cm="1">
        <f t="array" ref="BV22">SUM(BT22:BT23/$BT$29)</f>
        <v>0.19363013428992845</v>
      </c>
      <c r="BW22" s="98">
        <v>0.19686040153690601</v>
      </c>
      <c r="BX22" s="97"/>
      <c r="BY22" s="99">
        <v>0.89</v>
      </c>
      <c r="BZ22" s="86">
        <v>60446</v>
      </c>
      <c r="CA22" s="87">
        <f>BY22*BO22</f>
        <v>24.03</v>
      </c>
      <c r="CB22" s="88">
        <v>11451245</v>
      </c>
      <c r="CC22" s="100">
        <v>16255139</v>
      </c>
      <c r="CD22" s="90">
        <f>CC22*(CA22+CA24)/100</f>
        <v>3906109.9017000003</v>
      </c>
      <c r="CE22" s="21">
        <f>BT22/CD22*1000</f>
        <v>15.851166904713308</v>
      </c>
      <c r="CF22" s="10"/>
      <c r="CG22" s="44" t="s">
        <v>44</v>
      </c>
      <c r="CH22" s="91">
        <f>BR22*0.8</f>
        <v>2293.2000000000003</v>
      </c>
      <c r="CI22" s="37">
        <f>SUM(AK22:BG22)</f>
        <v>12</v>
      </c>
      <c r="CJ22" s="92">
        <f>CH22*CI22</f>
        <v>27518.400000000001</v>
      </c>
      <c r="CK22" s="37">
        <f>SUM(BH22:BN22)</f>
        <v>15</v>
      </c>
      <c r="CL22" s="92">
        <f>CK22*CH22</f>
        <v>34398.000000000007</v>
      </c>
      <c r="CM22" s="101" t="b">
        <f>(CJ22+CL22)=BT22</f>
        <v>1</v>
      </c>
    </row>
    <row r="23" spans="1:145" ht="15.45" hidden="1" customHeight="1" x14ac:dyDescent="0.25">
      <c r="A23" s="32"/>
      <c r="B23" s="111"/>
      <c r="C23" s="94" t="s">
        <v>38</v>
      </c>
      <c r="D23" s="95"/>
      <c r="E23" s="39" t="s">
        <v>40</v>
      </c>
      <c r="F23" s="65"/>
      <c r="G23" s="65"/>
      <c r="H23" s="65"/>
      <c r="I23" s="66"/>
      <c r="J23" s="66"/>
      <c r="K23" s="65"/>
      <c r="L23" s="65"/>
      <c r="M23" s="65"/>
      <c r="N23" s="65"/>
      <c r="O23" s="65"/>
      <c r="P23" s="66"/>
      <c r="Q23" s="66"/>
      <c r="R23" s="65"/>
      <c r="S23" s="65"/>
      <c r="T23" s="65"/>
      <c r="U23" s="65"/>
      <c r="V23" s="65"/>
      <c r="W23" s="66"/>
      <c r="X23" s="66"/>
      <c r="Y23" s="65"/>
      <c r="Z23" s="65"/>
      <c r="AA23" s="65"/>
      <c r="AB23" s="65"/>
      <c r="AC23" s="65"/>
      <c r="AD23" s="66"/>
      <c r="AE23" s="66"/>
      <c r="AF23" s="65"/>
      <c r="AG23" s="65"/>
      <c r="AH23" s="65"/>
      <c r="AI23" s="65"/>
      <c r="AJ23" s="65"/>
      <c r="AK23" s="66"/>
      <c r="AL23" s="66"/>
      <c r="AM23" s="65"/>
      <c r="AN23" s="65"/>
      <c r="AO23" s="65"/>
      <c r="AP23" s="65"/>
      <c r="AQ23" s="65"/>
      <c r="AR23" s="66"/>
      <c r="AS23" s="66"/>
      <c r="AT23" s="65"/>
      <c r="AU23" s="65"/>
      <c r="AV23" s="65"/>
      <c r="AW23" s="65"/>
      <c r="AX23" s="65"/>
      <c r="AY23" s="66"/>
      <c r="AZ23" s="66"/>
      <c r="BA23" s="65"/>
      <c r="BB23" s="65"/>
      <c r="BC23" s="65"/>
      <c r="BD23" s="66"/>
      <c r="BE23" s="65"/>
      <c r="BF23" s="214"/>
      <c r="BG23" s="214"/>
      <c r="BH23" s="65"/>
      <c r="BI23" s="65"/>
      <c r="BJ23" s="66"/>
      <c r="BK23" s="66"/>
      <c r="BL23" s="65"/>
      <c r="BM23" s="214"/>
      <c r="BN23" s="214"/>
      <c r="BO23" s="82">
        <f>SUM(F23:BN23)</f>
        <v>0</v>
      </c>
      <c r="BP23" s="22">
        <f>8190</f>
        <v>8190</v>
      </c>
      <c r="BQ23" s="96">
        <v>1</v>
      </c>
      <c r="BR23" s="22">
        <f>BP23*(1-BQ23)</f>
        <v>0</v>
      </c>
      <c r="BS23" s="22">
        <f>BR23*BO23</f>
        <v>0</v>
      </c>
      <c r="BT23" s="84">
        <f>BS23*0.8</f>
        <v>0</v>
      </c>
      <c r="BU23" s="97"/>
      <c r="BV23" s="98"/>
      <c r="BW23" s="98"/>
      <c r="BX23" s="97"/>
      <c r="BY23" s="99">
        <v>0.89</v>
      </c>
      <c r="BZ23" s="86">
        <v>60446</v>
      </c>
      <c r="CA23" s="87">
        <f>BY23*BO23</f>
        <v>0</v>
      </c>
      <c r="CB23" s="88">
        <v>11451245</v>
      </c>
      <c r="CC23" s="89">
        <v>17116728</v>
      </c>
      <c r="CD23" s="90">
        <f>CC23*(CA23+CA25)/100</f>
        <v>0</v>
      </c>
      <c r="CE23" s="21" t="e">
        <f>BT23/CD23*1000</f>
        <v>#DIV/0!</v>
      </c>
      <c r="CF23" s="10"/>
      <c r="CG23" s="44"/>
      <c r="CH23" s="91">
        <f>BR23*0.8</f>
        <v>0</v>
      </c>
      <c r="CI23" s="37">
        <f>SUM(AK23:BN23)</f>
        <v>0</v>
      </c>
      <c r="CJ23" s="92">
        <f>CH23*CI23</f>
        <v>0</v>
      </c>
      <c r="CK23" s="37">
        <f>SUM(AM23:BP23)</f>
        <v>8190</v>
      </c>
      <c r="CL23" s="92">
        <f>CJ23*CK23</f>
        <v>0</v>
      </c>
    </row>
    <row r="24" spans="1:145" ht="15.45" customHeight="1" x14ac:dyDescent="0.25">
      <c r="A24" s="32"/>
      <c r="B24" s="111"/>
      <c r="C24" s="94"/>
      <c r="D24" s="95"/>
      <c r="E24" s="39"/>
      <c r="F24" s="65"/>
      <c r="G24" s="65"/>
      <c r="H24" s="65"/>
      <c r="I24" s="66"/>
      <c r="J24" s="66"/>
      <c r="K24" s="65"/>
      <c r="L24" s="65"/>
      <c r="M24" s="65"/>
      <c r="N24" s="65"/>
      <c r="O24" s="65"/>
      <c r="P24" s="66"/>
      <c r="Q24" s="66"/>
      <c r="R24" s="65"/>
      <c r="S24" s="65"/>
      <c r="T24" s="65"/>
      <c r="U24" s="65"/>
      <c r="V24" s="65"/>
      <c r="W24" s="66"/>
      <c r="X24" s="66"/>
      <c r="Y24" s="65"/>
      <c r="Z24" s="65"/>
      <c r="AA24" s="65"/>
      <c r="AB24" s="65"/>
      <c r="AC24" s="65"/>
      <c r="AD24" s="66"/>
      <c r="AE24" s="66"/>
      <c r="AF24" s="65"/>
      <c r="AG24" s="65"/>
      <c r="AH24" s="65"/>
      <c r="AI24" s="65"/>
      <c r="AJ24" s="65"/>
      <c r="AK24" s="66"/>
      <c r="AL24" s="66"/>
      <c r="AM24" s="65"/>
      <c r="AN24" s="65"/>
      <c r="AO24" s="65"/>
      <c r="AP24" s="65"/>
      <c r="AQ24" s="65"/>
      <c r="AR24" s="66"/>
      <c r="AS24" s="66"/>
      <c r="AT24" s="65"/>
      <c r="AU24" s="65"/>
      <c r="AV24" s="65"/>
      <c r="AW24" s="65"/>
      <c r="AX24" s="65"/>
      <c r="AY24" s="66"/>
      <c r="AZ24" s="66"/>
      <c r="BA24" s="65"/>
      <c r="BB24" s="65"/>
      <c r="BC24" s="65"/>
      <c r="BD24" s="66"/>
      <c r="BE24" s="65"/>
      <c r="BF24" s="214"/>
      <c r="BG24" s="214"/>
      <c r="BH24" s="65"/>
      <c r="BI24" s="65"/>
      <c r="BJ24" s="66"/>
      <c r="BK24" s="66"/>
      <c r="BL24" s="65"/>
      <c r="BM24" s="214"/>
      <c r="BN24" s="214"/>
      <c r="BO24" s="82"/>
      <c r="BP24" s="22"/>
      <c r="BQ24" s="103"/>
      <c r="BR24" s="22"/>
      <c r="BS24" s="22"/>
      <c r="BT24" s="124"/>
      <c r="BU24" s="97"/>
      <c r="BV24" s="125"/>
      <c r="BW24" s="125"/>
      <c r="BX24" s="97"/>
      <c r="BY24" s="106"/>
      <c r="BZ24" s="107"/>
      <c r="CA24" s="108"/>
      <c r="CB24" s="109"/>
      <c r="CC24" s="110"/>
      <c r="CD24" s="109"/>
      <c r="CE24" s="114"/>
      <c r="CF24" s="10"/>
      <c r="CG24" s="44"/>
      <c r="CH24" s="91"/>
      <c r="CI24" s="37"/>
      <c r="CJ24" s="92"/>
      <c r="CK24" s="37"/>
      <c r="CL24" s="92"/>
    </row>
    <row r="25" spans="1:145" ht="15.45" customHeight="1" x14ac:dyDescent="0.25">
      <c r="A25" s="32"/>
      <c r="B25" s="115"/>
      <c r="C25" s="116"/>
      <c r="D25" s="42"/>
      <c r="E25" s="117"/>
      <c r="F25" s="65"/>
      <c r="G25" s="65"/>
      <c r="H25" s="65"/>
      <c r="I25" s="66"/>
      <c r="J25" s="66"/>
      <c r="K25" s="65"/>
      <c r="L25" s="65"/>
      <c r="M25" s="65"/>
      <c r="N25" s="65"/>
      <c r="O25" s="65"/>
      <c r="P25" s="66"/>
      <c r="Q25" s="66"/>
      <c r="R25" s="65"/>
      <c r="S25" s="65"/>
      <c r="T25" s="65"/>
      <c r="U25" s="65"/>
      <c r="V25" s="65"/>
      <c r="W25" s="66"/>
      <c r="X25" s="66"/>
      <c r="Y25" s="65"/>
      <c r="Z25" s="65"/>
      <c r="AA25" s="65"/>
      <c r="AB25" s="65"/>
      <c r="AC25" s="65"/>
      <c r="AD25" s="66"/>
      <c r="AE25" s="66"/>
      <c r="AF25" s="65"/>
      <c r="AG25" s="65"/>
      <c r="AH25" s="65"/>
      <c r="AI25" s="65"/>
      <c r="AJ25" s="65"/>
      <c r="AK25" s="66"/>
      <c r="AL25" s="66"/>
      <c r="AM25" s="65"/>
      <c r="AN25" s="65"/>
      <c r="AO25" s="65"/>
      <c r="AP25" s="65"/>
      <c r="AQ25" s="65"/>
      <c r="AR25" s="66"/>
      <c r="AS25" s="66"/>
      <c r="AT25" s="65"/>
      <c r="AU25" s="65"/>
      <c r="AV25" s="65"/>
      <c r="AW25" s="65"/>
      <c r="AX25" s="65"/>
      <c r="AY25" s="66"/>
      <c r="AZ25" s="66"/>
      <c r="BA25" s="65"/>
      <c r="BB25" s="65"/>
      <c r="BC25" s="65"/>
      <c r="BD25" s="66"/>
      <c r="BE25" s="65"/>
      <c r="BF25" s="214"/>
      <c r="BG25" s="214"/>
      <c r="BH25" s="65"/>
      <c r="BI25" s="65"/>
      <c r="BJ25" s="66"/>
      <c r="BK25" s="66"/>
      <c r="BL25" s="65"/>
      <c r="BM25" s="214"/>
      <c r="BN25" s="214"/>
      <c r="BO25" s="118"/>
      <c r="BP25" s="68"/>
      <c r="BQ25" s="119"/>
      <c r="BR25" s="68"/>
      <c r="BS25" s="68"/>
      <c r="BT25" s="22"/>
      <c r="BU25" s="97"/>
      <c r="BV25" s="126"/>
      <c r="BW25" s="126"/>
      <c r="BX25" s="97"/>
      <c r="BY25" s="127"/>
      <c r="BZ25" s="128"/>
      <c r="CA25" s="129"/>
      <c r="CB25" s="76"/>
      <c r="CC25" s="75"/>
      <c r="CD25" s="76"/>
      <c r="CE25" s="18"/>
      <c r="CF25" s="10"/>
      <c r="CG25" s="44"/>
      <c r="CH25" s="91"/>
      <c r="CI25" s="37"/>
      <c r="CJ25" s="92"/>
      <c r="CK25" s="37"/>
      <c r="CL25" s="92"/>
    </row>
    <row r="26" spans="1:145" ht="15.45" customHeight="1" x14ac:dyDescent="0.25">
      <c r="A26" s="32"/>
      <c r="B26" s="111"/>
      <c r="C26" s="130" t="s">
        <v>46</v>
      </c>
      <c r="D26" s="95" t="s">
        <v>39</v>
      </c>
      <c r="E26" s="39" t="s">
        <v>40</v>
      </c>
      <c r="F26" s="65"/>
      <c r="G26" s="65"/>
      <c r="H26" s="65"/>
      <c r="I26" s="66"/>
      <c r="J26" s="66"/>
      <c r="K26" s="65"/>
      <c r="L26" s="65"/>
      <c r="M26" s="65"/>
      <c r="N26" s="65"/>
      <c r="O26" s="65"/>
      <c r="P26" s="66"/>
      <c r="Q26" s="66"/>
      <c r="R26" s="65"/>
      <c r="S26" s="65"/>
      <c r="T26" s="65"/>
      <c r="U26" s="65"/>
      <c r="V26" s="65"/>
      <c r="W26" s="66"/>
      <c r="X26" s="66"/>
      <c r="Y26" s="65"/>
      <c r="Z26" s="65"/>
      <c r="AA26" s="65"/>
      <c r="AB26" s="65"/>
      <c r="AC26" s="65"/>
      <c r="AD26" s="66"/>
      <c r="AE26" s="66"/>
      <c r="AF26" s="65"/>
      <c r="AG26" s="65"/>
      <c r="AH26" s="65"/>
      <c r="AI26" s="65"/>
      <c r="AJ26" s="65"/>
      <c r="AK26" s="66"/>
      <c r="AL26" s="66"/>
      <c r="AM26" s="65"/>
      <c r="AN26" s="65"/>
      <c r="AO26" s="65"/>
      <c r="AP26" s="65"/>
      <c r="AQ26" s="65"/>
      <c r="AR26" s="66"/>
      <c r="AS26" s="66"/>
      <c r="AT26" s="65"/>
      <c r="AU26" s="65"/>
      <c r="AV26" s="65"/>
      <c r="AW26" s="65"/>
      <c r="AX26" s="65"/>
      <c r="AY26" s="66"/>
      <c r="AZ26" s="66"/>
      <c r="BA26" s="65"/>
      <c r="BB26" s="65"/>
      <c r="BC26" s="65"/>
      <c r="BD26" s="66"/>
      <c r="BE26" s="65">
        <v>2</v>
      </c>
      <c r="BF26" s="65">
        <v>2</v>
      </c>
      <c r="BG26" s="65">
        <v>2</v>
      </c>
      <c r="BH26" s="65">
        <v>2</v>
      </c>
      <c r="BI26" s="65">
        <v>2</v>
      </c>
      <c r="BJ26" s="66">
        <v>2</v>
      </c>
      <c r="BK26" s="66">
        <v>2</v>
      </c>
      <c r="BL26" s="65">
        <v>2</v>
      </c>
      <c r="BM26" s="214"/>
      <c r="BN26" s="214"/>
      <c r="BO26" s="82">
        <f>SUM(F26:BN26)</f>
        <v>16</v>
      </c>
      <c r="BP26" s="22">
        <f>10733</f>
        <v>10733</v>
      </c>
      <c r="BQ26" s="103">
        <v>0.4</v>
      </c>
      <c r="BR26" s="22">
        <f>BP26*(1-BQ26)</f>
        <v>6439.8</v>
      </c>
      <c r="BS26" s="22">
        <f>BR26*BO26</f>
        <v>103036.8</v>
      </c>
      <c r="BT26" s="84">
        <f>BS26*0.8</f>
        <v>82429.440000000002</v>
      </c>
      <c r="BU26" s="97"/>
      <c r="BV26" s="98">
        <f>SUM(BT26:BT27)/$BT$29</f>
        <v>0.2577802252172865</v>
      </c>
      <c r="BW26" s="98">
        <v>0.25901462341418302</v>
      </c>
      <c r="BX26" s="97"/>
      <c r="BY26" s="99">
        <v>0.87</v>
      </c>
      <c r="BZ26" s="86">
        <v>67249</v>
      </c>
      <c r="CA26" s="87">
        <f>BY26*BO26</f>
        <v>13.92</v>
      </c>
      <c r="CB26" s="88">
        <v>11451245</v>
      </c>
      <c r="CC26" s="100">
        <v>16255139</v>
      </c>
      <c r="CD26" s="90">
        <f>CC26*CA26/100</f>
        <v>2262715.3487999998</v>
      </c>
      <c r="CE26" s="21">
        <f>BT26/CD26*1000</f>
        <v>36.429434238697034</v>
      </c>
      <c r="CF26" s="10"/>
      <c r="CG26" s="44" t="s">
        <v>46</v>
      </c>
      <c r="CH26" s="91">
        <f>BR26*0.8</f>
        <v>5151.84</v>
      </c>
      <c r="CI26" s="37">
        <f>SUM(AK26:BG26)</f>
        <v>6</v>
      </c>
      <c r="CJ26" s="92">
        <f>CH26*CI26</f>
        <v>30911.040000000001</v>
      </c>
      <c r="CK26" s="37">
        <f>SUM(BH26:BN26)</f>
        <v>10</v>
      </c>
      <c r="CL26" s="92">
        <f>CK26*CH26</f>
        <v>51518.400000000001</v>
      </c>
      <c r="CM26" s="101" t="b">
        <f>(CJ26+CL26)=BT26</f>
        <v>1</v>
      </c>
    </row>
    <row r="27" spans="1:145" ht="15.45" hidden="1" customHeight="1" x14ac:dyDescent="0.25">
      <c r="A27" s="32"/>
      <c r="B27" s="111"/>
      <c r="C27" s="94" t="s">
        <v>38</v>
      </c>
      <c r="D27" s="95"/>
      <c r="E27" s="39" t="s">
        <v>40</v>
      </c>
      <c r="F27" s="65"/>
      <c r="G27" s="65"/>
      <c r="H27" s="65"/>
      <c r="I27" s="66"/>
      <c r="J27" s="66"/>
      <c r="K27" s="65"/>
      <c r="L27" s="65"/>
      <c r="M27" s="65"/>
      <c r="N27" s="65"/>
      <c r="O27" s="65"/>
      <c r="P27" s="66"/>
      <c r="Q27" s="66"/>
      <c r="R27" s="65"/>
      <c r="S27" s="65"/>
      <c r="T27" s="65"/>
      <c r="U27" s="65"/>
      <c r="V27" s="65"/>
      <c r="W27" s="66"/>
      <c r="X27" s="66"/>
      <c r="Y27" s="65"/>
      <c r="Z27" s="65"/>
      <c r="AA27" s="65"/>
      <c r="AB27" s="65"/>
      <c r="AC27" s="65"/>
      <c r="AD27" s="66"/>
      <c r="AE27" s="66"/>
      <c r="AF27" s="65"/>
      <c r="AG27" s="65"/>
      <c r="AH27" s="65"/>
      <c r="AI27" s="65"/>
      <c r="AJ27" s="65"/>
      <c r="AK27" s="66"/>
      <c r="AL27" s="66"/>
      <c r="AM27" s="65"/>
      <c r="AN27" s="65"/>
      <c r="AO27" s="65"/>
      <c r="AP27" s="65"/>
      <c r="AQ27" s="65"/>
      <c r="AR27" s="66"/>
      <c r="AS27" s="66"/>
      <c r="AT27" s="65"/>
      <c r="AU27" s="65"/>
      <c r="AV27" s="65"/>
      <c r="AW27" s="65"/>
      <c r="AX27" s="65"/>
      <c r="AY27" s="66"/>
      <c r="AZ27" s="66"/>
      <c r="BA27" s="65"/>
      <c r="BB27" s="65"/>
      <c r="BC27" s="65"/>
      <c r="BD27" s="66"/>
      <c r="BE27" s="65"/>
      <c r="BF27" s="214"/>
      <c r="BG27" s="214"/>
      <c r="BH27" s="65"/>
      <c r="BI27" s="65"/>
      <c r="BJ27" s="66"/>
      <c r="BK27" s="66"/>
      <c r="BL27" s="65"/>
      <c r="BM27" s="214"/>
      <c r="BN27" s="214"/>
      <c r="BO27" s="82">
        <f>SUM(F27:BN27)</f>
        <v>0</v>
      </c>
      <c r="BP27" s="22">
        <f>10733</f>
        <v>10733</v>
      </c>
      <c r="BQ27" s="96">
        <v>1</v>
      </c>
      <c r="BR27" s="22">
        <f>BP27*(1-BQ27)</f>
        <v>0</v>
      </c>
      <c r="BS27" s="22">
        <f>BR27*BO27</f>
        <v>0</v>
      </c>
      <c r="BT27" s="84">
        <f>BS27*0.8</f>
        <v>0</v>
      </c>
      <c r="BU27" s="97"/>
      <c r="BV27" s="98"/>
      <c r="BW27" s="98"/>
      <c r="BX27" s="97"/>
      <c r="BY27" s="99">
        <v>0.87</v>
      </c>
      <c r="BZ27" s="86">
        <v>67249</v>
      </c>
      <c r="CA27" s="87">
        <f>BY27*BO27</f>
        <v>0</v>
      </c>
      <c r="CB27" s="88">
        <v>11451245</v>
      </c>
      <c r="CC27" s="89">
        <v>21515727.096000001</v>
      </c>
      <c r="CD27" s="90">
        <f>CC27*CA27/100</f>
        <v>0</v>
      </c>
      <c r="CE27" s="21" t="e">
        <f>BT27/CD27*1000</f>
        <v>#DIV/0!</v>
      </c>
      <c r="CF27" s="10"/>
      <c r="CG27" s="44"/>
      <c r="CH27" s="91">
        <f>BR27*0.8</f>
        <v>0</v>
      </c>
      <c r="CI27" s="37">
        <f>SUM(AK27:BN27)</f>
        <v>0</v>
      </c>
      <c r="CJ27" s="92">
        <f>CH27*CI27</f>
        <v>0</v>
      </c>
      <c r="CK27" s="37">
        <f>SUM(AM27:BP27)</f>
        <v>10733</v>
      </c>
      <c r="CL27" s="92">
        <f>CJ27*CK27</f>
        <v>0</v>
      </c>
    </row>
    <row r="28" spans="1:145" ht="15.45" customHeight="1" x14ac:dyDescent="0.25">
      <c r="A28" s="32"/>
      <c r="B28" s="111"/>
      <c r="C28" s="94"/>
      <c r="D28" s="95"/>
      <c r="E28" s="39"/>
      <c r="F28" s="65"/>
      <c r="G28" s="65"/>
      <c r="H28" s="65"/>
      <c r="I28" s="66"/>
      <c r="J28" s="66"/>
      <c r="K28" s="65"/>
      <c r="L28" s="65"/>
      <c r="M28" s="65"/>
      <c r="N28" s="65"/>
      <c r="O28" s="65"/>
      <c r="P28" s="66"/>
      <c r="Q28" s="66"/>
      <c r="R28" s="65"/>
      <c r="S28" s="65"/>
      <c r="T28" s="65"/>
      <c r="U28" s="65"/>
      <c r="V28" s="65"/>
      <c r="W28" s="66"/>
      <c r="X28" s="66"/>
      <c r="Y28" s="65"/>
      <c r="Z28" s="65"/>
      <c r="AA28" s="65"/>
      <c r="AB28" s="65"/>
      <c r="AC28" s="65"/>
      <c r="AD28" s="66"/>
      <c r="AE28" s="66"/>
      <c r="AF28" s="65"/>
      <c r="AG28" s="65"/>
      <c r="AH28" s="65"/>
      <c r="AI28" s="65"/>
      <c r="AJ28" s="65"/>
      <c r="AK28" s="66"/>
      <c r="AL28" s="66"/>
      <c r="AM28" s="65"/>
      <c r="AN28" s="65"/>
      <c r="AO28" s="65"/>
      <c r="AP28" s="65"/>
      <c r="AQ28" s="65"/>
      <c r="AR28" s="66"/>
      <c r="AS28" s="66"/>
      <c r="AT28" s="65"/>
      <c r="AU28" s="65"/>
      <c r="AV28" s="65"/>
      <c r="AW28" s="65"/>
      <c r="AX28" s="65"/>
      <c r="AY28" s="66"/>
      <c r="AZ28" s="66"/>
      <c r="BA28" s="65"/>
      <c r="BB28" s="65"/>
      <c r="BC28" s="65"/>
      <c r="BD28" s="66"/>
      <c r="BE28" s="65"/>
      <c r="BF28" s="214"/>
      <c r="BG28" s="214"/>
      <c r="BH28" s="65"/>
      <c r="BI28" s="65"/>
      <c r="BJ28" s="66"/>
      <c r="BK28" s="66"/>
      <c r="BL28" s="65"/>
      <c r="BM28" s="214"/>
      <c r="BN28" s="214"/>
      <c r="BO28" s="82"/>
      <c r="BP28" s="22"/>
      <c r="BQ28" s="103"/>
      <c r="BR28" s="22"/>
      <c r="BS28" s="22"/>
      <c r="BT28" s="84"/>
      <c r="BU28" s="97"/>
      <c r="BV28" s="98"/>
      <c r="BW28" s="98"/>
      <c r="BX28" s="97"/>
      <c r="BY28" s="131"/>
      <c r="BZ28" s="132"/>
      <c r="CA28" s="133"/>
      <c r="CB28" s="134"/>
      <c r="CC28" s="110"/>
      <c r="CD28" s="109"/>
      <c r="CE28" s="114"/>
      <c r="CF28" s="10"/>
      <c r="CG28" s="135"/>
      <c r="CH28" s="136"/>
      <c r="CI28" s="137"/>
      <c r="CJ28" s="138"/>
      <c r="CK28" s="137"/>
      <c r="CL28" s="138"/>
    </row>
    <row r="29" spans="1:145" x14ac:dyDescent="0.25">
      <c r="A29" s="32"/>
      <c r="B29" s="25" t="s">
        <v>47</v>
      </c>
      <c r="C29" s="139"/>
      <c r="D29" s="139"/>
      <c r="E29" s="139"/>
      <c r="F29" s="40">
        <f t="shared" ref="F29:Z29" si="2">SUM(F12:F28)</f>
        <v>0</v>
      </c>
      <c r="G29" s="40">
        <f t="shared" si="2"/>
        <v>0</v>
      </c>
      <c r="H29" s="40">
        <f t="shared" si="2"/>
        <v>0</v>
      </c>
      <c r="I29" s="40">
        <f t="shared" si="2"/>
        <v>0</v>
      </c>
      <c r="J29" s="40">
        <f t="shared" si="2"/>
        <v>0</v>
      </c>
      <c r="K29" s="40">
        <f t="shared" si="2"/>
        <v>0</v>
      </c>
      <c r="L29" s="40">
        <f t="shared" si="2"/>
        <v>0</v>
      </c>
      <c r="M29" s="40">
        <f t="shared" si="2"/>
        <v>0</v>
      </c>
      <c r="N29" s="40">
        <f t="shared" si="2"/>
        <v>0</v>
      </c>
      <c r="O29" s="40">
        <f t="shared" si="2"/>
        <v>0</v>
      </c>
      <c r="P29" s="40">
        <f t="shared" si="2"/>
        <v>0</v>
      </c>
      <c r="Q29" s="40">
        <f t="shared" si="2"/>
        <v>0</v>
      </c>
      <c r="R29" s="40">
        <f t="shared" si="2"/>
        <v>0</v>
      </c>
      <c r="S29" s="40">
        <f t="shared" si="2"/>
        <v>0</v>
      </c>
      <c r="T29" s="40">
        <f t="shared" si="2"/>
        <v>0</v>
      </c>
      <c r="U29" s="40">
        <f t="shared" si="2"/>
        <v>0</v>
      </c>
      <c r="V29" s="40">
        <f t="shared" si="2"/>
        <v>0</v>
      </c>
      <c r="W29" s="40">
        <f t="shared" si="2"/>
        <v>0</v>
      </c>
      <c r="X29" s="40">
        <f t="shared" si="2"/>
        <v>0</v>
      </c>
      <c r="Y29" s="40">
        <f t="shared" si="2"/>
        <v>0</v>
      </c>
      <c r="Z29" s="40">
        <f t="shared" si="2"/>
        <v>0</v>
      </c>
      <c r="AA29" s="40">
        <f>SUM(AA12:AA27)</f>
        <v>0</v>
      </c>
      <c r="AB29" s="40">
        <f t="shared" ref="AB29:BN29" si="3">SUM(AB12:AB28)</f>
        <v>0</v>
      </c>
      <c r="AC29" s="40">
        <f t="shared" si="3"/>
        <v>0</v>
      </c>
      <c r="AD29" s="40">
        <f t="shared" si="3"/>
        <v>0</v>
      </c>
      <c r="AE29" s="40">
        <f t="shared" si="3"/>
        <v>0</v>
      </c>
      <c r="AF29" s="40">
        <f t="shared" si="3"/>
        <v>0</v>
      </c>
      <c r="AG29" s="40">
        <f t="shared" si="3"/>
        <v>0</v>
      </c>
      <c r="AH29" s="40">
        <f t="shared" si="3"/>
        <v>0</v>
      </c>
      <c r="AI29" s="40">
        <f t="shared" si="3"/>
        <v>0</v>
      </c>
      <c r="AJ29" s="40">
        <f t="shared" si="3"/>
        <v>0</v>
      </c>
      <c r="AK29" s="40">
        <f t="shared" si="3"/>
        <v>0</v>
      </c>
      <c r="AL29" s="40">
        <f t="shared" si="3"/>
        <v>0</v>
      </c>
      <c r="AM29" s="40">
        <f t="shared" si="3"/>
        <v>0</v>
      </c>
      <c r="AN29" s="40">
        <f t="shared" si="3"/>
        <v>0</v>
      </c>
      <c r="AO29" s="40">
        <f t="shared" si="3"/>
        <v>0</v>
      </c>
      <c r="AP29" s="40">
        <f t="shared" si="3"/>
        <v>0</v>
      </c>
      <c r="AQ29" s="40">
        <f t="shared" si="3"/>
        <v>0</v>
      </c>
      <c r="AR29" s="40">
        <f t="shared" si="3"/>
        <v>0</v>
      </c>
      <c r="AS29" s="40">
        <f t="shared" si="3"/>
        <v>0</v>
      </c>
      <c r="AT29" s="40">
        <f t="shared" si="3"/>
        <v>0</v>
      </c>
      <c r="AU29" s="40">
        <f t="shared" si="3"/>
        <v>0</v>
      </c>
      <c r="AV29" s="40">
        <f t="shared" si="3"/>
        <v>0</v>
      </c>
      <c r="AW29" s="40">
        <f t="shared" si="3"/>
        <v>0</v>
      </c>
      <c r="AX29" s="40">
        <f>SUM(AX12:AX28)</f>
        <v>0</v>
      </c>
      <c r="AY29" s="40">
        <f t="shared" si="3"/>
        <v>0</v>
      </c>
      <c r="AZ29" s="40">
        <f t="shared" si="3"/>
        <v>0</v>
      </c>
      <c r="BA29" s="40">
        <f t="shared" si="3"/>
        <v>0</v>
      </c>
      <c r="BB29" s="40">
        <f t="shared" si="3"/>
        <v>0</v>
      </c>
      <c r="BC29" s="40">
        <f t="shared" si="3"/>
        <v>0</v>
      </c>
      <c r="BD29" s="40">
        <f t="shared" si="3"/>
        <v>0</v>
      </c>
      <c r="BE29" s="40">
        <f t="shared" si="3"/>
        <v>15</v>
      </c>
      <c r="BF29" s="40">
        <f t="shared" si="3"/>
        <v>15</v>
      </c>
      <c r="BG29" s="40">
        <f t="shared" si="3"/>
        <v>15</v>
      </c>
      <c r="BH29" s="40">
        <f t="shared" si="3"/>
        <v>13</v>
      </c>
      <c r="BI29" s="40">
        <f t="shared" si="3"/>
        <v>13</v>
      </c>
      <c r="BJ29" s="40">
        <f t="shared" si="3"/>
        <v>13</v>
      </c>
      <c r="BK29" s="40">
        <f t="shared" si="3"/>
        <v>13</v>
      </c>
      <c r="BL29" s="40">
        <f t="shared" si="3"/>
        <v>13</v>
      </c>
      <c r="BM29" s="40">
        <f t="shared" si="3"/>
        <v>0</v>
      </c>
      <c r="BN29" s="40">
        <f t="shared" si="3"/>
        <v>0</v>
      </c>
      <c r="BO29" s="140">
        <f>SUM(BO12:BO28)</f>
        <v>110</v>
      </c>
      <c r="BP29" s="141"/>
      <c r="BQ29" s="141"/>
      <c r="BR29" s="141"/>
      <c r="BS29" s="141">
        <f>SUM(BS12:BS28)</f>
        <v>399707.92915999994</v>
      </c>
      <c r="BT29" s="141">
        <f>SUM(BT12:BT28)</f>
        <v>319766.34332799999</v>
      </c>
      <c r="BU29" s="43"/>
      <c r="BV29" s="142"/>
      <c r="BW29" s="142"/>
      <c r="BX29" s="43"/>
      <c r="BY29" s="143"/>
      <c r="BZ29" s="144"/>
      <c r="CA29" s="145"/>
      <c r="CB29" s="146">
        <f>CB26</f>
        <v>11451245</v>
      </c>
      <c r="CC29" s="147"/>
      <c r="CD29" s="148">
        <f>SUM(CD12:CD28)</f>
        <v>16448575.154100001</v>
      </c>
      <c r="CE29" s="149">
        <f>BT29/CD29*1000</f>
        <v>19.440367346851588</v>
      </c>
      <c r="CF29" s="10"/>
      <c r="CG29" s="148"/>
      <c r="CH29" s="150"/>
      <c r="CI29" s="148">
        <f t="shared" ref="CI29:CJ29" si="4">SUM(CI12:CI28)</f>
        <v>45</v>
      </c>
      <c r="CJ29" s="150">
        <f t="shared" si="4"/>
        <v>128204.22874799999</v>
      </c>
      <c r="CK29" s="148">
        <f t="shared" ref="CK29:CL29" si="5">SUM(CK12:CK28)</f>
        <v>26592</v>
      </c>
      <c r="CL29" s="150">
        <f t="shared" si="5"/>
        <v>191562.11457999999</v>
      </c>
      <c r="CM29" s="101" t="b">
        <f>(CJ29+CL29)=BT29</f>
        <v>1</v>
      </c>
    </row>
    <row r="30" spans="1:145" s="152" customFormat="1" ht="7.5" customHeight="1" x14ac:dyDescent="0.3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151"/>
    </row>
    <row r="31" spans="1:145" s="28" customFormat="1" ht="16.05" customHeight="1" x14ac:dyDescent="0.2">
      <c r="A31" s="32"/>
      <c r="B31" s="607" t="s">
        <v>3</v>
      </c>
      <c r="C31" s="607" t="s">
        <v>4</v>
      </c>
      <c r="D31" s="608" t="s">
        <v>19</v>
      </c>
      <c r="E31" s="609" t="s">
        <v>48</v>
      </c>
      <c r="F31" s="604" t="s">
        <v>21</v>
      </c>
      <c r="G31" s="605"/>
      <c r="H31" s="605"/>
      <c r="I31" s="605"/>
      <c r="J31" s="605"/>
      <c r="K31" s="605"/>
      <c r="L31" s="605"/>
      <c r="M31" s="605"/>
      <c r="N31" s="605"/>
      <c r="O31" s="605"/>
      <c r="P31" s="605"/>
      <c r="Q31" s="605"/>
      <c r="R31" s="605"/>
      <c r="S31" s="605"/>
      <c r="T31" s="605"/>
      <c r="U31" s="605"/>
      <c r="V31" s="605"/>
      <c r="W31" s="605"/>
      <c r="X31" s="605"/>
      <c r="Y31" s="605"/>
      <c r="Z31" s="605"/>
      <c r="AA31" s="605"/>
      <c r="AB31" s="605"/>
      <c r="AC31" s="605"/>
      <c r="AD31" s="605"/>
      <c r="AE31" s="605"/>
      <c r="AF31" s="605"/>
      <c r="AG31" s="605"/>
      <c r="AH31" s="605"/>
      <c r="AI31" s="605"/>
      <c r="AJ31" s="606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605" t="s">
        <v>5</v>
      </c>
      <c r="BE31" s="605"/>
      <c r="BF31" s="605"/>
      <c r="BG31" s="606"/>
      <c r="BH31" s="604" t="s">
        <v>6</v>
      </c>
      <c r="BI31" s="605"/>
      <c r="BJ31" s="605"/>
      <c r="BK31" s="605"/>
      <c r="BL31" s="605"/>
      <c r="BM31" s="605"/>
      <c r="BN31" s="606"/>
      <c r="BO31" s="610" t="s">
        <v>7</v>
      </c>
      <c r="BP31" s="592" t="s">
        <v>8</v>
      </c>
      <c r="BQ31" s="609" t="s">
        <v>9</v>
      </c>
      <c r="BR31" s="592" t="s">
        <v>10</v>
      </c>
      <c r="BS31" s="592" t="s">
        <v>11</v>
      </c>
      <c r="BT31" s="593" t="s">
        <v>23</v>
      </c>
      <c r="BU31" s="32"/>
      <c r="BV31" s="593" t="s">
        <v>24</v>
      </c>
      <c r="BW31" s="593" t="s">
        <v>25</v>
      </c>
      <c r="BX31" s="32"/>
      <c r="BY31" s="592" t="s">
        <v>26</v>
      </c>
      <c r="BZ31" s="618" t="s">
        <v>27</v>
      </c>
      <c r="CA31" s="619" t="s">
        <v>12</v>
      </c>
      <c r="CB31" s="618" t="s">
        <v>28</v>
      </c>
      <c r="CC31" s="618" t="s">
        <v>29</v>
      </c>
      <c r="CD31" s="618" t="s">
        <v>30</v>
      </c>
      <c r="CE31" s="618" t="s">
        <v>31</v>
      </c>
      <c r="CF31" s="55"/>
      <c r="CG31" s="610" t="s">
        <v>32</v>
      </c>
      <c r="CH31" s="610" t="s">
        <v>33</v>
      </c>
      <c r="CI31" s="607" t="s">
        <v>5</v>
      </c>
      <c r="CJ31" s="607"/>
      <c r="CK31" s="607" t="s">
        <v>6</v>
      </c>
      <c r="CL31" s="607"/>
      <c r="CM31" s="50"/>
    </row>
    <row r="32" spans="1:145" s="28" customFormat="1" ht="16.05" customHeight="1" x14ac:dyDescent="0.2">
      <c r="A32" s="32"/>
      <c r="B32" s="607"/>
      <c r="C32" s="607"/>
      <c r="D32" s="608"/>
      <c r="E32" s="609"/>
      <c r="F32" s="7" t="s">
        <v>15</v>
      </c>
      <c r="G32" s="7" t="s">
        <v>14</v>
      </c>
      <c r="H32" s="7" t="s">
        <v>2</v>
      </c>
      <c r="I32" s="8" t="s">
        <v>16</v>
      </c>
      <c r="J32" s="8" t="s">
        <v>16</v>
      </c>
      <c r="K32" s="7" t="s">
        <v>13</v>
      </c>
      <c r="L32" s="7" t="s">
        <v>14</v>
      </c>
      <c r="M32" s="7" t="s">
        <v>15</v>
      </c>
      <c r="N32" s="7" t="s">
        <v>14</v>
      </c>
      <c r="O32" s="7" t="s">
        <v>2</v>
      </c>
      <c r="P32" s="8" t="s">
        <v>16</v>
      </c>
      <c r="Q32" s="8" t="s">
        <v>16</v>
      </c>
      <c r="R32" s="7" t="s">
        <v>13</v>
      </c>
      <c r="S32" s="7" t="s">
        <v>14</v>
      </c>
      <c r="T32" s="7" t="s">
        <v>15</v>
      </c>
      <c r="U32" s="7" t="s">
        <v>14</v>
      </c>
      <c r="V32" s="7" t="s">
        <v>2</v>
      </c>
      <c r="W32" s="8" t="s">
        <v>16</v>
      </c>
      <c r="X32" s="8" t="s">
        <v>16</v>
      </c>
      <c r="Y32" s="7" t="s">
        <v>13</v>
      </c>
      <c r="Z32" s="7" t="s">
        <v>14</v>
      </c>
      <c r="AA32" s="7" t="s">
        <v>15</v>
      </c>
      <c r="AB32" s="7" t="s">
        <v>14</v>
      </c>
      <c r="AC32" s="7" t="s">
        <v>2</v>
      </c>
      <c r="AD32" s="8" t="s">
        <v>16</v>
      </c>
      <c r="AE32" s="8" t="s">
        <v>16</v>
      </c>
      <c r="AF32" s="7" t="s">
        <v>13</v>
      </c>
      <c r="AG32" s="7" t="s">
        <v>14</v>
      </c>
      <c r="AH32" s="7" t="s">
        <v>15</v>
      </c>
      <c r="AI32" s="7" t="s">
        <v>14</v>
      </c>
      <c r="AJ32" s="7" t="s">
        <v>2</v>
      </c>
      <c r="AK32" s="8" t="s">
        <v>16</v>
      </c>
      <c r="AL32" s="8" t="s">
        <v>16</v>
      </c>
      <c r="AM32" s="7" t="s">
        <v>13</v>
      </c>
      <c r="AN32" s="7" t="s">
        <v>14</v>
      </c>
      <c r="AO32" s="7" t="s">
        <v>15</v>
      </c>
      <c r="AP32" s="7" t="s">
        <v>14</v>
      </c>
      <c r="AQ32" s="7" t="s">
        <v>2</v>
      </c>
      <c r="AR32" s="8" t="s">
        <v>16</v>
      </c>
      <c r="AS32" s="8" t="s">
        <v>16</v>
      </c>
      <c r="AT32" s="7" t="s">
        <v>13</v>
      </c>
      <c r="AU32" s="7" t="s">
        <v>14</v>
      </c>
      <c r="AV32" s="7" t="s">
        <v>15</v>
      </c>
      <c r="AW32" s="7" t="s">
        <v>14</v>
      </c>
      <c r="AX32" s="7" t="s">
        <v>2</v>
      </c>
      <c r="AY32" s="8" t="s">
        <v>16</v>
      </c>
      <c r="AZ32" s="8" t="s">
        <v>16</v>
      </c>
      <c r="BA32" s="7" t="s">
        <v>13</v>
      </c>
      <c r="BB32" s="7" t="s">
        <v>14</v>
      </c>
      <c r="BC32" s="7" t="s">
        <v>15</v>
      </c>
      <c r="BD32" s="8" t="s">
        <v>16</v>
      </c>
      <c r="BE32" s="7" t="s">
        <v>13</v>
      </c>
      <c r="BF32" s="7" t="s">
        <v>14</v>
      </c>
      <c r="BG32" s="7" t="s">
        <v>15</v>
      </c>
      <c r="BH32" s="7" t="s">
        <v>14</v>
      </c>
      <c r="BI32" s="7" t="s">
        <v>2</v>
      </c>
      <c r="BJ32" s="8" t="s">
        <v>16</v>
      </c>
      <c r="BK32" s="8" t="s">
        <v>16</v>
      </c>
      <c r="BL32" s="7" t="s">
        <v>2</v>
      </c>
      <c r="BM32" s="7" t="s">
        <v>16</v>
      </c>
      <c r="BN32" s="7" t="s">
        <v>16</v>
      </c>
      <c r="BO32" s="610"/>
      <c r="BP32" s="592"/>
      <c r="BQ32" s="609"/>
      <c r="BR32" s="592"/>
      <c r="BS32" s="592"/>
      <c r="BT32" s="594"/>
      <c r="BU32" s="32"/>
      <c r="BV32" s="594"/>
      <c r="BW32" s="594"/>
      <c r="BX32" s="32"/>
      <c r="BY32" s="592"/>
      <c r="BZ32" s="618"/>
      <c r="CA32" s="619"/>
      <c r="CB32" s="618"/>
      <c r="CC32" s="618"/>
      <c r="CD32" s="618"/>
      <c r="CE32" s="618"/>
      <c r="CF32" s="55"/>
      <c r="CG32" s="610"/>
      <c r="CH32" s="610"/>
      <c r="CI32" s="607"/>
      <c r="CJ32" s="607"/>
      <c r="CK32" s="607"/>
      <c r="CL32" s="607"/>
      <c r="CM32" s="50"/>
    </row>
    <row r="33" spans="1:145" s="28" customFormat="1" ht="16.05" customHeight="1" x14ac:dyDescent="0.2">
      <c r="A33" s="32"/>
      <c r="B33" s="607"/>
      <c r="C33" s="607"/>
      <c r="D33" s="608"/>
      <c r="E33" s="609"/>
      <c r="F33" s="7">
        <v>1</v>
      </c>
      <c r="G33" s="7">
        <v>2</v>
      </c>
      <c r="H33" s="7">
        <v>3</v>
      </c>
      <c r="I33" s="8">
        <v>4</v>
      </c>
      <c r="J33" s="8">
        <v>5</v>
      </c>
      <c r="K33" s="7">
        <v>6</v>
      </c>
      <c r="L33" s="7">
        <v>7</v>
      </c>
      <c r="M33" s="7">
        <v>8</v>
      </c>
      <c r="N33" s="7">
        <v>9</v>
      </c>
      <c r="O33" s="7">
        <v>10</v>
      </c>
      <c r="P33" s="8">
        <v>11</v>
      </c>
      <c r="Q33" s="8">
        <v>12</v>
      </c>
      <c r="R33" s="7">
        <v>13</v>
      </c>
      <c r="S33" s="7">
        <v>14</v>
      </c>
      <c r="T33" s="7">
        <v>15</v>
      </c>
      <c r="U33" s="7">
        <v>16</v>
      </c>
      <c r="V33" s="7">
        <v>17</v>
      </c>
      <c r="W33" s="8">
        <v>18</v>
      </c>
      <c r="X33" s="8">
        <v>19</v>
      </c>
      <c r="Y33" s="7">
        <v>20</v>
      </c>
      <c r="Z33" s="7">
        <v>21</v>
      </c>
      <c r="AA33" s="7">
        <v>22</v>
      </c>
      <c r="AB33" s="7">
        <v>23</v>
      </c>
      <c r="AC33" s="7">
        <v>24</v>
      </c>
      <c r="AD33" s="8">
        <v>25</v>
      </c>
      <c r="AE33" s="8">
        <v>26</v>
      </c>
      <c r="AF33" s="7">
        <v>27</v>
      </c>
      <c r="AG33" s="7">
        <v>28</v>
      </c>
      <c r="AH33" s="7">
        <v>29</v>
      </c>
      <c r="AI33" s="7">
        <v>30</v>
      </c>
      <c r="AJ33" s="7">
        <v>31</v>
      </c>
      <c r="AK33" s="8">
        <v>1</v>
      </c>
      <c r="AL33" s="8">
        <v>2</v>
      </c>
      <c r="AM33" s="7">
        <v>3</v>
      </c>
      <c r="AN33" s="7">
        <v>4</v>
      </c>
      <c r="AO33" s="7">
        <v>5</v>
      </c>
      <c r="AP33" s="7">
        <v>6</v>
      </c>
      <c r="AQ33" s="7">
        <v>7</v>
      </c>
      <c r="AR33" s="8">
        <v>8</v>
      </c>
      <c r="AS33" s="8">
        <v>9</v>
      </c>
      <c r="AT33" s="7">
        <v>10</v>
      </c>
      <c r="AU33" s="7">
        <v>11</v>
      </c>
      <c r="AV33" s="7">
        <v>12</v>
      </c>
      <c r="AW33" s="7">
        <v>13</v>
      </c>
      <c r="AX33" s="7">
        <v>14</v>
      </c>
      <c r="AY33" s="8">
        <v>15</v>
      </c>
      <c r="AZ33" s="8">
        <v>16</v>
      </c>
      <c r="BA33" s="7">
        <v>17</v>
      </c>
      <c r="BB33" s="7">
        <v>18</v>
      </c>
      <c r="BC33" s="7">
        <v>19</v>
      </c>
      <c r="BD33" s="8">
        <v>28</v>
      </c>
      <c r="BE33" s="7">
        <f>BD33+1</f>
        <v>29</v>
      </c>
      <c r="BF33" s="7">
        <f t="shared" ref="BF33:BG33" si="6">BE33+1</f>
        <v>30</v>
      </c>
      <c r="BG33" s="7">
        <f t="shared" si="6"/>
        <v>31</v>
      </c>
      <c r="BH33" s="7">
        <v>1</v>
      </c>
      <c r="BI33" s="7">
        <f>BH33+1</f>
        <v>2</v>
      </c>
      <c r="BJ33" s="8">
        <f t="shared" ref="BJ33:BN33" si="7">BI33+1</f>
        <v>3</v>
      </c>
      <c r="BK33" s="8">
        <f t="shared" si="7"/>
        <v>4</v>
      </c>
      <c r="BL33" s="7">
        <f t="shared" si="7"/>
        <v>5</v>
      </c>
      <c r="BM33" s="7">
        <f t="shared" si="7"/>
        <v>6</v>
      </c>
      <c r="BN33" s="7">
        <f t="shared" si="7"/>
        <v>7</v>
      </c>
      <c r="BO33" s="610"/>
      <c r="BP33" s="592"/>
      <c r="BQ33" s="609"/>
      <c r="BR33" s="592"/>
      <c r="BS33" s="592"/>
      <c r="BT33" s="595"/>
      <c r="BU33" s="32"/>
      <c r="BV33" s="595"/>
      <c r="BW33" s="595"/>
      <c r="BX33" s="32"/>
      <c r="BY33" s="592"/>
      <c r="BZ33" s="618"/>
      <c r="CA33" s="619"/>
      <c r="CB33" s="618"/>
      <c r="CC33" s="618"/>
      <c r="CD33" s="618"/>
      <c r="CE33" s="618"/>
      <c r="CF33" s="55"/>
      <c r="CG33" s="610"/>
      <c r="CH33" s="610"/>
      <c r="CI33" s="7" t="s">
        <v>7</v>
      </c>
      <c r="CJ33" s="7" t="s">
        <v>34</v>
      </c>
      <c r="CK33" s="7" t="s">
        <v>7</v>
      </c>
      <c r="CL33" s="7" t="s">
        <v>34</v>
      </c>
      <c r="CM33" s="50"/>
    </row>
    <row r="34" spans="1:145" s="152" customFormat="1" ht="15.45" customHeight="1" x14ac:dyDescent="0.3">
      <c r="A34" s="43"/>
      <c r="B34" s="153"/>
      <c r="C34" s="116"/>
      <c r="D34" s="42"/>
      <c r="E34" s="117"/>
      <c r="F34" s="65"/>
      <c r="G34" s="65"/>
      <c r="H34" s="65"/>
      <c r="I34" s="66"/>
      <c r="J34" s="66"/>
      <c r="K34" s="65"/>
      <c r="L34" s="65"/>
      <c r="M34" s="65"/>
      <c r="N34" s="65"/>
      <c r="O34" s="65"/>
      <c r="P34" s="66"/>
      <c r="Q34" s="66"/>
      <c r="R34" s="65"/>
      <c r="S34" s="65"/>
      <c r="T34" s="65"/>
      <c r="U34" s="65"/>
      <c r="V34" s="65"/>
      <c r="W34" s="66"/>
      <c r="X34" s="66"/>
      <c r="Y34" s="65"/>
      <c r="Z34" s="65"/>
      <c r="AA34" s="65"/>
      <c r="AB34" s="65"/>
      <c r="AC34" s="65"/>
      <c r="AD34" s="66"/>
      <c r="AE34" s="66"/>
      <c r="AF34" s="65"/>
      <c r="AG34" s="65"/>
      <c r="AH34" s="65"/>
      <c r="AI34" s="65"/>
      <c r="AJ34" s="65"/>
      <c r="AK34" s="66"/>
      <c r="AL34" s="66"/>
      <c r="AM34" s="65"/>
      <c r="AN34" s="65"/>
      <c r="AO34" s="65"/>
      <c r="AP34" s="65"/>
      <c r="AQ34" s="65"/>
      <c r="AR34" s="66"/>
      <c r="AS34" s="66"/>
      <c r="AT34" s="65"/>
      <c r="AU34" s="65"/>
      <c r="AV34" s="65"/>
      <c r="AW34" s="65"/>
      <c r="AX34" s="65"/>
      <c r="AY34" s="66"/>
      <c r="AZ34" s="66"/>
      <c r="BA34" s="65"/>
      <c r="BB34" s="65"/>
      <c r="BC34" s="65"/>
      <c r="BD34" s="66"/>
      <c r="BE34" s="65"/>
      <c r="BF34" s="214"/>
      <c r="BG34" s="214"/>
      <c r="BH34" s="214"/>
      <c r="BI34" s="214"/>
      <c r="BJ34" s="66"/>
      <c r="BK34" s="66"/>
      <c r="BL34" s="214"/>
      <c r="BM34" s="214"/>
      <c r="BN34" s="214"/>
      <c r="BO34" s="154"/>
      <c r="BP34" s="21"/>
      <c r="BQ34" s="21"/>
      <c r="BR34" s="21"/>
      <c r="BS34" s="21"/>
      <c r="BT34" s="21"/>
      <c r="BU34" s="97"/>
      <c r="BV34" s="155"/>
      <c r="BW34" s="155"/>
      <c r="BX34" s="97"/>
      <c r="BY34" s="156"/>
      <c r="BZ34" s="157"/>
      <c r="CA34" s="158"/>
      <c r="CB34" s="89"/>
      <c r="CC34" s="89"/>
      <c r="CD34" s="90"/>
      <c r="CE34" s="159"/>
      <c r="CF34" s="160"/>
      <c r="CG34" s="44"/>
      <c r="CH34" s="91"/>
      <c r="CI34" s="37"/>
      <c r="CJ34" s="92"/>
      <c r="CK34" s="37"/>
      <c r="CL34" s="92"/>
      <c r="CM34" s="151"/>
    </row>
    <row r="35" spans="1:145" ht="15.45" customHeight="1" x14ac:dyDescent="0.25">
      <c r="A35" s="32"/>
      <c r="B35" s="80" t="s">
        <v>49</v>
      </c>
      <c r="C35" s="81" t="s">
        <v>50</v>
      </c>
      <c r="D35" s="95" t="s">
        <v>51</v>
      </c>
      <c r="E35" s="39" t="s">
        <v>40</v>
      </c>
      <c r="F35" s="65"/>
      <c r="G35" s="65"/>
      <c r="H35" s="65"/>
      <c r="I35" s="66"/>
      <c r="J35" s="66"/>
      <c r="K35" s="65"/>
      <c r="L35" s="65"/>
      <c r="M35" s="65"/>
      <c r="N35" s="65"/>
      <c r="O35" s="65"/>
      <c r="P35" s="66"/>
      <c r="Q35" s="66"/>
      <c r="R35" s="65"/>
      <c r="S35" s="65"/>
      <c r="T35" s="65"/>
      <c r="U35" s="65"/>
      <c r="V35" s="65"/>
      <c r="W35" s="66"/>
      <c r="X35" s="66"/>
      <c r="Y35" s="65"/>
      <c r="Z35" s="65"/>
      <c r="AA35" s="65"/>
      <c r="AB35" s="65"/>
      <c r="AC35" s="65"/>
      <c r="AD35" s="66"/>
      <c r="AE35" s="66"/>
      <c r="AF35" s="65"/>
      <c r="AG35" s="65"/>
      <c r="AH35" s="65"/>
      <c r="AI35" s="65"/>
      <c r="AJ35" s="65"/>
      <c r="AK35" s="66"/>
      <c r="AL35" s="66"/>
      <c r="AM35" s="65"/>
      <c r="AN35" s="65"/>
      <c r="AO35" s="65"/>
      <c r="AP35" s="65"/>
      <c r="AQ35" s="65"/>
      <c r="AR35" s="66"/>
      <c r="AS35" s="66"/>
      <c r="AT35" s="65"/>
      <c r="AU35" s="65"/>
      <c r="AV35" s="65"/>
      <c r="AW35" s="65"/>
      <c r="AX35" s="65"/>
      <c r="AY35" s="66"/>
      <c r="AZ35" s="66"/>
      <c r="BA35" s="65"/>
      <c r="BB35" s="65"/>
      <c r="BC35" s="65"/>
      <c r="BD35" s="66"/>
      <c r="BE35" s="65">
        <v>3</v>
      </c>
      <c r="BF35" s="66">
        <v>3</v>
      </c>
      <c r="BG35" s="66">
        <v>3</v>
      </c>
      <c r="BH35" s="65">
        <v>3</v>
      </c>
      <c r="BI35" s="65">
        <v>3</v>
      </c>
      <c r="BJ35" s="66">
        <v>3</v>
      </c>
      <c r="BK35" s="66">
        <v>3</v>
      </c>
      <c r="BL35" s="65">
        <v>3</v>
      </c>
      <c r="BM35" s="214"/>
      <c r="BN35" s="214"/>
      <c r="BO35" s="82">
        <f>SUM(F35:BN35)</f>
        <v>24</v>
      </c>
      <c r="BP35" s="21">
        <f>3624</f>
        <v>3624</v>
      </c>
      <c r="BQ35" s="103">
        <v>0.63</v>
      </c>
      <c r="BR35" s="21">
        <f>BP35*(1-BQ35)</f>
        <v>1340.8799999999999</v>
      </c>
      <c r="BS35" s="21">
        <f>BR35*BO35</f>
        <v>32181.119999999995</v>
      </c>
      <c r="BT35" s="21">
        <f>BS35*0.8</f>
        <v>25744.895999999997</v>
      </c>
      <c r="BU35" s="97"/>
      <c r="BV35" s="161">
        <f>BT35/$BT$81</f>
        <v>6.2819326971923356E-2</v>
      </c>
      <c r="BW35" s="161">
        <v>5.5898254935840698E-2</v>
      </c>
      <c r="BX35" s="97"/>
      <c r="BY35" s="99">
        <f>BZ35/CC35*100</f>
        <v>0.49702669414269546</v>
      </c>
      <c r="BZ35" s="86">
        <v>80792.38</v>
      </c>
      <c r="CA35" s="87">
        <f>BY35*BO35</f>
        <v>11.928640659424691</v>
      </c>
      <c r="CB35" s="88">
        <v>11451245</v>
      </c>
      <c r="CC35" s="100">
        <v>16255139</v>
      </c>
      <c r="CD35" s="90">
        <f>CC35*CA35/100</f>
        <v>1939017.12</v>
      </c>
      <c r="CE35" s="21">
        <f>BT35/CD35*1000</f>
        <v>13.277291744592743</v>
      </c>
      <c r="CF35" s="10"/>
      <c r="CG35" s="44" t="s">
        <v>52</v>
      </c>
      <c r="CH35" s="91">
        <f>BR35*0.8</f>
        <v>1072.704</v>
      </c>
      <c r="CI35" s="37">
        <f>SUM(AK35:BG35)</f>
        <v>9</v>
      </c>
      <c r="CJ35" s="92">
        <f>CH35*CI35</f>
        <v>9654.3359999999993</v>
      </c>
      <c r="CK35" s="37">
        <f>SUM(BH35:BN35)</f>
        <v>15</v>
      </c>
      <c r="CL35" s="92">
        <f>CK35*CH35</f>
        <v>16090.56</v>
      </c>
      <c r="CM35" s="101" t="b">
        <f>(CJ35+CL35)=BT35</f>
        <v>1</v>
      </c>
    </row>
    <row r="36" spans="1:145" ht="15.45" hidden="1" customHeight="1" x14ac:dyDescent="0.25">
      <c r="A36" s="32"/>
      <c r="B36" s="93" t="s">
        <v>37</v>
      </c>
      <c r="C36" s="81"/>
      <c r="D36" s="95"/>
      <c r="E36" s="39" t="s">
        <v>40</v>
      </c>
      <c r="F36" s="65"/>
      <c r="G36" s="65"/>
      <c r="H36" s="65"/>
      <c r="I36" s="66"/>
      <c r="J36" s="66"/>
      <c r="K36" s="65"/>
      <c r="L36" s="65"/>
      <c r="M36" s="65"/>
      <c r="N36" s="65"/>
      <c r="O36" s="65"/>
      <c r="P36" s="66"/>
      <c r="Q36" s="66"/>
      <c r="R36" s="65"/>
      <c r="S36" s="65"/>
      <c r="T36" s="65"/>
      <c r="U36" s="65"/>
      <c r="V36" s="65"/>
      <c r="W36" s="66"/>
      <c r="X36" s="66"/>
      <c r="Y36" s="65"/>
      <c r="Z36" s="65"/>
      <c r="AA36" s="65"/>
      <c r="AB36" s="65"/>
      <c r="AC36" s="65"/>
      <c r="AD36" s="66"/>
      <c r="AE36" s="66"/>
      <c r="AF36" s="65"/>
      <c r="AG36" s="65"/>
      <c r="AH36" s="65"/>
      <c r="AI36" s="65"/>
      <c r="AJ36" s="65"/>
      <c r="AK36" s="66"/>
      <c r="AL36" s="66"/>
      <c r="AM36" s="65"/>
      <c r="AN36" s="65"/>
      <c r="AO36" s="65"/>
      <c r="AP36" s="65"/>
      <c r="AQ36" s="65"/>
      <c r="AR36" s="66"/>
      <c r="AS36" s="66"/>
      <c r="AT36" s="65"/>
      <c r="AU36" s="65"/>
      <c r="AV36" s="65"/>
      <c r="AW36" s="65"/>
      <c r="AX36" s="65"/>
      <c r="AY36" s="66"/>
      <c r="AZ36" s="66"/>
      <c r="BA36" s="65"/>
      <c r="BB36" s="65"/>
      <c r="BC36" s="65"/>
      <c r="BD36" s="66"/>
      <c r="BE36" s="65"/>
      <c r="BF36" s="66"/>
      <c r="BG36" s="66"/>
      <c r="BH36" s="65"/>
      <c r="BI36" s="65"/>
      <c r="BJ36" s="66"/>
      <c r="BK36" s="66"/>
      <c r="BL36" s="65"/>
      <c r="BM36" s="214"/>
      <c r="BN36" s="214"/>
      <c r="BO36" s="82">
        <f>SUM(F36:BN36)</f>
        <v>0</v>
      </c>
      <c r="BP36" s="21">
        <f>3624</f>
        <v>3624</v>
      </c>
      <c r="BQ36" s="96">
        <v>1</v>
      </c>
      <c r="BR36" s="21">
        <f>BP36*(1-BQ36)</f>
        <v>0</v>
      </c>
      <c r="BS36" s="21">
        <f>BR36*BO36</f>
        <v>0</v>
      </c>
      <c r="BT36" s="21">
        <f>BS36*0.8</f>
        <v>0</v>
      </c>
      <c r="BU36" s="97"/>
      <c r="BV36" s="161"/>
      <c r="BW36" s="161"/>
      <c r="BX36" s="97"/>
      <c r="BY36" s="99">
        <f>BZ36/CC36*100</f>
        <v>0.47200831841225732</v>
      </c>
      <c r="BZ36" s="86">
        <v>80792.38</v>
      </c>
      <c r="CA36" s="87">
        <f>BY36*BO36</f>
        <v>0</v>
      </c>
      <c r="CB36" s="88">
        <v>11451245</v>
      </c>
      <c r="CC36" s="89">
        <v>17116728</v>
      </c>
      <c r="CD36" s="90">
        <f>CC36*CA36/100</f>
        <v>0</v>
      </c>
      <c r="CE36" s="21" t="e">
        <f>BT36/CD36*1000</f>
        <v>#DIV/0!</v>
      </c>
      <c r="CF36" s="10"/>
      <c r="CG36" s="44"/>
      <c r="CH36" s="91">
        <f>BR36*0.8</f>
        <v>0</v>
      </c>
      <c r="CI36" s="37">
        <f>SUM(AK36:BN36)</f>
        <v>0</v>
      </c>
      <c r="CJ36" s="92">
        <f>CH36*CI36</f>
        <v>0</v>
      </c>
      <c r="CK36" s="37">
        <f>SUM(AM36:BP36)</f>
        <v>3624</v>
      </c>
      <c r="CL36" s="92">
        <f>CJ36*CK36</f>
        <v>0</v>
      </c>
      <c r="CM36" s="101" t="e">
        <f>SUM(#REF!,CJ36,#REF!)=BT36</f>
        <v>#REF!</v>
      </c>
    </row>
    <row r="37" spans="1:145" ht="15.45" customHeight="1" x14ac:dyDescent="0.25">
      <c r="A37" s="32"/>
      <c r="B37" s="93" t="s">
        <v>37</v>
      </c>
      <c r="C37" s="81"/>
      <c r="D37" s="162"/>
      <c r="E37" s="39"/>
      <c r="F37" s="65"/>
      <c r="G37" s="65"/>
      <c r="H37" s="65"/>
      <c r="I37" s="66"/>
      <c r="J37" s="66"/>
      <c r="K37" s="65"/>
      <c r="L37" s="65"/>
      <c r="M37" s="65"/>
      <c r="N37" s="65"/>
      <c r="O37" s="65"/>
      <c r="P37" s="66"/>
      <c r="Q37" s="66"/>
      <c r="R37" s="65"/>
      <c r="S37" s="65"/>
      <c r="T37" s="65"/>
      <c r="U37" s="65"/>
      <c r="V37" s="65"/>
      <c r="W37" s="66"/>
      <c r="X37" s="66"/>
      <c r="Y37" s="65"/>
      <c r="Z37" s="65"/>
      <c r="AA37" s="65"/>
      <c r="AB37" s="65"/>
      <c r="AC37" s="65"/>
      <c r="AD37" s="66"/>
      <c r="AE37" s="66"/>
      <c r="AF37" s="65"/>
      <c r="AG37" s="65"/>
      <c r="AH37" s="65"/>
      <c r="AI37" s="65"/>
      <c r="AJ37" s="65"/>
      <c r="AK37" s="66"/>
      <c r="AL37" s="66"/>
      <c r="AM37" s="65"/>
      <c r="AN37" s="65"/>
      <c r="AO37" s="65"/>
      <c r="AP37" s="65"/>
      <c r="AQ37" s="65"/>
      <c r="AR37" s="66"/>
      <c r="AS37" s="66"/>
      <c r="AT37" s="65"/>
      <c r="AU37" s="65"/>
      <c r="AV37" s="65"/>
      <c r="AW37" s="65"/>
      <c r="AX37" s="65"/>
      <c r="AY37" s="66"/>
      <c r="AZ37" s="66"/>
      <c r="BA37" s="65"/>
      <c r="BB37" s="65"/>
      <c r="BC37" s="65"/>
      <c r="BD37" s="66"/>
      <c r="BE37" s="214"/>
      <c r="BF37" s="214"/>
      <c r="BG37" s="214"/>
      <c r="BH37" s="214"/>
      <c r="BI37" s="214"/>
      <c r="BJ37" s="66"/>
      <c r="BK37" s="66"/>
      <c r="BL37" s="214"/>
      <c r="BM37" s="214"/>
      <c r="BN37" s="214"/>
      <c r="BO37" s="163"/>
      <c r="BP37" s="21"/>
      <c r="BQ37" s="164"/>
      <c r="BR37" s="21"/>
      <c r="BS37" s="21"/>
      <c r="BT37" s="114"/>
      <c r="BU37" s="97"/>
      <c r="BV37" s="165"/>
      <c r="BW37" s="165"/>
      <c r="BX37" s="97"/>
      <c r="BY37" s="166"/>
      <c r="BZ37" s="107"/>
      <c r="CA37" s="108"/>
      <c r="CB37" s="109"/>
      <c r="CC37" s="110"/>
      <c r="CD37" s="109"/>
      <c r="CE37" s="114"/>
      <c r="CF37" s="10"/>
      <c r="CG37" s="44"/>
      <c r="CH37" s="91"/>
      <c r="CI37" s="37"/>
      <c r="CJ37" s="92"/>
      <c r="CK37" s="37"/>
      <c r="CL37" s="92"/>
    </row>
    <row r="38" spans="1:145" ht="15.45" customHeight="1" x14ac:dyDescent="0.25">
      <c r="A38" s="32"/>
      <c r="B38" s="115"/>
      <c r="C38" s="94"/>
      <c r="D38" s="95"/>
      <c r="E38" s="117"/>
      <c r="F38" s="65"/>
      <c r="G38" s="65"/>
      <c r="H38" s="65"/>
      <c r="I38" s="66"/>
      <c r="J38" s="66"/>
      <c r="K38" s="65"/>
      <c r="L38" s="65"/>
      <c r="M38" s="65"/>
      <c r="N38" s="65"/>
      <c r="O38" s="65"/>
      <c r="P38" s="66"/>
      <c r="Q38" s="66"/>
      <c r="R38" s="65"/>
      <c r="S38" s="65"/>
      <c r="T38" s="65"/>
      <c r="U38" s="65"/>
      <c r="V38" s="65"/>
      <c r="W38" s="66"/>
      <c r="X38" s="66"/>
      <c r="Y38" s="65"/>
      <c r="Z38" s="65"/>
      <c r="AA38" s="65"/>
      <c r="AB38" s="65"/>
      <c r="AC38" s="65"/>
      <c r="AD38" s="66"/>
      <c r="AE38" s="66"/>
      <c r="AF38" s="65"/>
      <c r="AG38" s="65"/>
      <c r="AH38" s="65"/>
      <c r="AI38" s="65"/>
      <c r="AJ38" s="65"/>
      <c r="AK38" s="66"/>
      <c r="AL38" s="66"/>
      <c r="AM38" s="65"/>
      <c r="AN38" s="65"/>
      <c r="AO38" s="65"/>
      <c r="AP38" s="65"/>
      <c r="AQ38" s="65"/>
      <c r="AR38" s="66"/>
      <c r="AS38" s="66"/>
      <c r="AT38" s="65"/>
      <c r="AU38" s="65"/>
      <c r="AV38" s="65"/>
      <c r="AW38" s="65"/>
      <c r="AX38" s="65"/>
      <c r="AY38" s="66"/>
      <c r="AZ38" s="66"/>
      <c r="BA38" s="65"/>
      <c r="BB38" s="65"/>
      <c r="BC38" s="65"/>
      <c r="BD38" s="66"/>
      <c r="BE38" s="214"/>
      <c r="BF38" s="214"/>
      <c r="BG38" s="214"/>
      <c r="BH38" s="214"/>
      <c r="BI38" s="214"/>
      <c r="BJ38" s="66"/>
      <c r="BK38" s="66"/>
      <c r="BL38" s="214"/>
      <c r="BM38" s="214"/>
      <c r="BN38" s="214"/>
      <c r="BO38" s="167"/>
      <c r="BP38" s="18"/>
      <c r="BQ38" s="168"/>
      <c r="BR38" s="18"/>
      <c r="BS38" s="18"/>
      <c r="BT38" s="21"/>
      <c r="BU38" s="97"/>
      <c r="BV38" s="155"/>
      <c r="BW38" s="155"/>
      <c r="BX38" s="97"/>
      <c r="BY38" s="15"/>
      <c r="BZ38" s="122"/>
      <c r="CA38" s="123"/>
      <c r="CB38" s="90"/>
      <c r="CC38" s="89"/>
      <c r="CD38" s="90"/>
      <c r="CE38" s="18"/>
      <c r="CF38" s="10"/>
      <c r="CG38" s="44"/>
      <c r="CH38" s="91"/>
      <c r="CI38" s="37"/>
      <c r="CJ38" s="92"/>
      <c r="CK38" s="37"/>
      <c r="CL38" s="92"/>
    </row>
    <row r="39" spans="1:145" ht="15.45" customHeight="1" x14ac:dyDescent="0.25">
      <c r="A39" s="32"/>
      <c r="B39" s="111"/>
      <c r="C39" s="81" t="s">
        <v>53</v>
      </c>
      <c r="D39" s="95" t="s">
        <v>51</v>
      </c>
      <c r="E39" s="39" t="s">
        <v>40</v>
      </c>
      <c r="F39" s="65"/>
      <c r="G39" s="65"/>
      <c r="H39" s="65"/>
      <c r="I39" s="66"/>
      <c r="J39" s="66"/>
      <c r="K39" s="65"/>
      <c r="L39" s="65"/>
      <c r="M39" s="65"/>
      <c r="N39" s="65"/>
      <c r="O39" s="65"/>
      <c r="P39" s="66"/>
      <c r="Q39" s="66"/>
      <c r="R39" s="65"/>
      <c r="S39" s="65"/>
      <c r="T39" s="65"/>
      <c r="U39" s="65"/>
      <c r="V39" s="65"/>
      <c r="W39" s="66"/>
      <c r="X39" s="66"/>
      <c r="Y39" s="65"/>
      <c r="Z39" s="65"/>
      <c r="AA39" s="65"/>
      <c r="AB39" s="65"/>
      <c r="AC39" s="65"/>
      <c r="AD39" s="66"/>
      <c r="AE39" s="66"/>
      <c r="AF39" s="65"/>
      <c r="AG39" s="65"/>
      <c r="AH39" s="65"/>
      <c r="AI39" s="65"/>
      <c r="AJ39" s="65"/>
      <c r="AK39" s="66"/>
      <c r="AL39" s="66"/>
      <c r="AM39" s="65"/>
      <c r="AN39" s="65"/>
      <c r="AO39" s="65"/>
      <c r="AP39" s="65"/>
      <c r="AQ39" s="65"/>
      <c r="AR39" s="66"/>
      <c r="AS39" s="66"/>
      <c r="AT39" s="65"/>
      <c r="AU39" s="65"/>
      <c r="AV39" s="65"/>
      <c r="AW39" s="65"/>
      <c r="AX39" s="65"/>
      <c r="AY39" s="66"/>
      <c r="AZ39" s="66"/>
      <c r="BA39" s="65"/>
      <c r="BB39" s="65"/>
      <c r="BC39" s="65"/>
      <c r="BD39" s="66"/>
      <c r="BE39" s="65">
        <v>4</v>
      </c>
      <c r="BF39" s="214">
        <v>4</v>
      </c>
      <c r="BG39" s="214">
        <v>4</v>
      </c>
      <c r="BH39" s="65">
        <v>4</v>
      </c>
      <c r="BI39" s="65">
        <v>4</v>
      </c>
      <c r="BJ39" s="66">
        <v>4</v>
      </c>
      <c r="BK39" s="66">
        <v>4</v>
      </c>
      <c r="BL39" s="65">
        <v>4</v>
      </c>
      <c r="BM39" s="214"/>
      <c r="BN39" s="214"/>
      <c r="BO39" s="82">
        <f>SUM(F39:BN39)</f>
        <v>32</v>
      </c>
      <c r="BP39" s="21">
        <f>4270</f>
        <v>4270</v>
      </c>
      <c r="BQ39" s="103">
        <v>0.65</v>
      </c>
      <c r="BR39" s="21">
        <f>BP39*(1-BQ39)</f>
        <v>1494.5</v>
      </c>
      <c r="BS39" s="21">
        <f>BR39*BO39</f>
        <v>47824</v>
      </c>
      <c r="BT39" s="21">
        <f>BS39*0.8</f>
        <v>38259.200000000004</v>
      </c>
      <c r="BU39" s="97"/>
      <c r="BV39" s="155">
        <f>BT39/$BT$81</f>
        <v>9.3355094325656252E-2</v>
      </c>
      <c r="BW39" s="155">
        <v>8.5607110097819003E-2</v>
      </c>
      <c r="BX39" s="97"/>
      <c r="BY39" s="99">
        <f>BZ39/CC39*100</f>
        <v>0.76557862716523062</v>
      </c>
      <c r="BZ39" s="86">
        <v>124445.87</v>
      </c>
      <c r="CA39" s="87">
        <f>BY39*BO39</f>
        <v>24.49851606928738</v>
      </c>
      <c r="CB39" s="88">
        <v>11451245</v>
      </c>
      <c r="CC39" s="100">
        <v>16255139</v>
      </c>
      <c r="CD39" s="90">
        <f>CC39*CA39/100</f>
        <v>3982267.84</v>
      </c>
      <c r="CE39" s="21">
        <f>BT39/CD39*1000</f>
        <v>9.6073899439169832</v>
      </c>
      <c r="CF39" s="10"/>
      <c r="CG39" s="44" t="s">
        <v>53</v>
      </c>
      <c r="CH39" s="91">
        <f>BR39*0.8</f>
        <v>1195.6000000000001</v>
      </c>
      <c r="CI39" s="37">
        <f>SUM(AK39:BG39)</f>
        <v>12</v>
      </c>
      <c r="CJ39" s="92">
        <f>CH39*CI39</f>
        <v>14347.2</v>
      </c>
      <c r="CK39" s="37">
        <f>SUM(BH39:BN39)</f>
        <v>20</v>
      </c>
      <c r="CL39" s="92">
        <f>CK39*CH39</f>
        <v>23912.000000000004</v>
      </c>
      <c r="CM39" s="101" t="b">
        <f>(CJ39+CL39)=BT39</f>
        <v>1</v>
      </c>
    </row>
    <row r="40" spans="1:145" ht="15.45" hidden="1" customHeight="1" x14ac:dyDescent="0.25">
      <c r="A40" s="32"/>
      <c r="B40" s="111"/>
      <c r="C40" s="81"/>
      <c r="D40" s="95"/>
      <c r="E40" s="39" t="s">
        <v>40</v>
      </c>
      <c r="F40" s="65"/>
      <c r="G40" s="65"/>
      <c r="H40" s="65"/>
      <c r="I40" s="66"/>
      <c r="J40" s="66"/>
      <c r="K40" s="65"/>
      <c r="L40" s="65"/>
      <c r="M40" s="65"/>
      <c r="N40" s="65"/>
      <c r="O40" s="65"/>
      <c r="P40" s="66"/>
      <c r="Q40" s="66"/>
      <c r="R40" s="65"/>
      <c r="S40" s="65"/>
      <c r="T40" s="65"/>
      <c r="U40" s="65"/>
      <c r="V40" s="65"/>
      <c r="W40" s="66"/>
      <c r="X40" s="66"/>
      <c r="Y40" s="65"/>
      <c r="Z40" s="65"/>
      <c r="AA40" s="65"/>
      <c r="AB40" s="65"/>
      <c r="AC40" s="65"/>
      <c r="AD40" s="66"/>
      <c r="AE40" s="66"/>
      <c r="AF40" s="65"/>
      <c r="AG40" s="65"/>
      <c r="AH40" s="65"/>
      <c r="AI40" s="65"/>
      <c r="AJ40" s="65"/>
      <c r="AK40" s="66"/>
      <c r="AL40" s="66"/>
      <c r="AM40" s="65"/>
      <c r="AN40" s="65"/>
      <c r="AO40" s="65"/>
      <c r="AP40" s="65"/>
      <c r="AQ40" s="65"/>
      <c r="AR40" s="66"/>
      <c r="AS40" s="66"/>
      <c r="AT40" s="65"/>
      <c r="AU40" s="65"/>
      <c r="AV40" s="65"/>
      <c r="AW40" s="65"/>
      <c r="AX40" s="65"/>
      <c r="AY40" s="66"/>
      <c r="AZ40" s="66"/>
      <c r="BA40" s="65"/>
      <c r="BB40" s="65"/>
      <c r="BC40" s="65"/>
      <c r="BD40" s="66"/>
      <c r="BE40" s="65"/>
      <c r="BF40" s="214"/>
      <c r="BG40" s="214"/>
      <c r="BH40" s="65"/>
      <c r="BI40" s="65"/>
      <c r="BJ40" s="66"/>
      <c r="BK40" s="66"/>
      <c r="BL40" s="65"/>
      <c r="BM40" s="214"/>
      <c r="BN40" s="214"/>
      <c r="BO40" s="82">
        <f>SUM(F40:BN40)</f>
        <v>0</v>
      </c>
      <c r="BP40" s="21">
        <f>4270</f>
        <v>4270</v>
      </c>
      <c r="BQ40" s="96">
        <v>1</v>
      </c>
      <c r="BR40" s="21">
        <f>BP40*(1-BQ40)</f>
        <v>0</v>
      </c>
      <c r="BS40" s="21">
        <f>BR40*BO40</f>
        <v>0</v>
      </c>
      <c r="BT40" s="21">
        <f>BS40*0.8</f>
        <v>0</v>
      </c>
      <c r="BU40" s="97"/>
      <c r="BV40" s="155"/>
      <c r="BW40" s="155"/>
      <c r="BX40" s="97"/>
      <c r="BY40" s="99">
        <f>BZ40/CC40*100</f>
        <v>0.72704239969227757</v>
      </c>
      <c r="BZ40" s="86">
        <v>124445.87</v>
      </c>
      <c r="CA40" s="87">
        <f>BY40*BO40</f>
        <v>0</v>
      </c>
      <c r="CB40" s="88">
        <v>11451245</v>
      </c>
      <c r="CC40" s="89">
        <v>17116728</v>
      </c>
      <c r="CD40" s="90">
        <f>CC40*CA40/100</f>
        <v>0</v>
      </c>
      <c r="CE40" s="21" t="e">
        <f>BT40/CD40*1000</f>
        <v>#DIV/0!</v>
      </c>
      <c r="CF40" s="10"/>
      <c r="CG40" s="44"/>
      <c r="CH40" s="91">
        <f>BR40*0.8</f>
        <v>0</v>
      </c>
      <c r="CI40" s="37">
        <f>SUM(AK40:BN40)</f>
        <v>0</v>
      </c>
      <c r="CJ40" s="92">
        <f>CH40*CI40</f>
        <v>0</v>
      </c>
      <c r="CK40" s="37">
        <f>SUM(AM40:BP40)</f>
        <v>4270</v>
      </c>
      <c r="CL40" s="92">
        <f>CJ40*CK40</f>
        <v>0</v>
      </c>
      <c r="CM40" s="101" t="e">
        <f>SUM(#REF!,CJ40,#REF!)=BT40</f>
        <v>#REF!</v>
      </c>
    </row>
    <row r="41" spans="1:145" ht="15.45" customHeight="1" x14ac:dyDescent="0.25">
      <c r="A41" s="32"/>
      <c r="B41" s="111"/>
      <c r="C41" s="81"/>
      <c r="D41" s="95"/>
      <c r="E41" s="39"/>
      <c r="F41" s="65"/>
      <c r="G41" s="65"/>
      <c r="H41" s="65"/>
      <c r="I41" s="66"/>
      <c r="J41" s="66"/>
      <c r="K41" s="65"/>
      <c r="L41" s="65"/>
      <c r="M41" s="65"/>
      <c r="N41" s="65"/>
      <c r="O41" s="65"/>
      <c r="P41" s="66"/>
      <c r="Q41" s="66"/>
      <c r="R41" s="65"/>
      <c r="S41" s="65"/>
      <c r="T41" s="65"/>
      <c r="U41" s="65"/>
      <c r="V41" s="65"/>
      <c r="W41" s="66"/>
      <c r="X41" s="66"/>
      <c r="Y41" s="65"/>
      <c r="Z41" s="65"/>
      <c r="AA41" s="65"/>
      <c r="AB41" s="65"/>
      <c r="AC41" s="65"/>
      <c r="AD41" s="66"/>
      <c r="AE41" s="66"/>
      <c r="AF41" s="65"/>
      <c r="AG41" s="65"/>
      <c r="AH41" s="65"/>
      <c r="AI41" s="65"/>
      <c r="AJ41" s="65"/>
      <c r="AK41" s="66"/>
      <c r="AL41" s="66"/>
      <c r="AM41" s="65"/>
      <c r="AN41" s="65"/>
      <c r="AO41" s="65"/>
      <c r="AP41" s="65"/>
      <c r="AQ41" s="65"/>
      <c r="AR41" s="66"/>
      <c r="AS41" s="66"/>
      <c r="AT41" s="65"/>
      <c r="AU41" s="65"/>
      <c r="AV41" s="65"/>
      <c r="AW41" s="65"/>
      <c r="AX41" s="65"/>
      <c r="AY41" s="66"/>
      <c r="AZ41" s="66"/>
      <c r="BA41" s="65"/>
      <c r="BB41" s="65"/>
      <c r="BC41" s="65"/>
      <c r="BD41" s="66"/>
      <c r="BE41" s="214"/>
      <c r="BF41" s="214"/>
      <c r="BG41" s="214"/>
      <c r="BH41" s="214"/>
      <c r="BI41" s="214"/>
      <c r="BJ41" s="66"/>
      <c r="BK41" s="66"/>
      <c r="BL41" s="214"/>
      <c r="BM41" s="214"/>
      <c r="BN41" s="214"/>
      <c r="BO41" s="163"/>
      <c r="BP41" s="21"/>
      <c r="BQ41" s="103"/>
      <c r="BR41" s="21"/>
      <c r="BS41" s="21"/>
      <c r="BT41" s="114"/>
      <c r="BU41" s="97"/>
      <c r="BV41" s="165"/>
      <c r="BW41" s="165"/>
      <c r="BX41" s="97"/>
      <c r="BY41" s="166"/>
      <c r="BZ41" s="107"/>
      <c r="CA41" s="108"/>
      <c r="CB41" s="109"/>
      <c r="CC41" s="110"/>
      <c r="CD41" s="109"/>
      <c r="CE41" s="114"/>
      <c r="CF41" s="10"/>
      <c r="CG41" s="44"/>
      <c r="CH41" s="91"/>
      <c r="CI41" s="37"/>
      <c r="CJ41" s="92"/>
      <c r="CK41" s="37"/>
      <c r="CL41" s="92"/>
    </row>
    <row r="42" spans="1:145" ht="15.45" customHeight="1" x14ac:dyDescent="0.25">
      <c r="A42" s="32"/>
      <c r="B42" s="115"/>
      <c r="C42" s="94"/>
      <c r="D42" s="95"/>
      <c r="E42" s="117"/>
      <c r="F42" s="65"/>
      <c r="G42" s="65"/>
      <c r="H42" s="65"/>
      <c r="I42" s="66"/>
      <c r="J42" s="66"/>
      <c r="K42" s="65"/>
      <c r="L42" s="65"/>
      <c r="M42" s="65"/>
      <c r="N42" s="65"/>
      <c r="O42" s="65"/>
      <c r="P42" s="66"/>
      <c r="Q42" s="66"/>
      <c r="R42" s="65"/>
      <c r="S42" s="65"/>
      <c r="T42" s="65"/>
      <c r="U42" s="65"/>
      <c r="V42" s="65"/>
      <c r="W42" s="66"/>
      <c r="X42" s="66"/>
      <c r="Y42" s="65"/>
      <c r="Z42" s="65"/>
      <c r="AA42" s="65"/>
      <c r="AB42" s="65"/>
      <c r="AC42" s="65"/>
      <c r="AD42" s="66"/>
      <c r="AE42" s="66"/>
      <c r="AF42" s="65"/>
      <c r="AG42" s="65"/>
      <c r="AH42" s="65"/>
      <c r="AI42" s="65"/>
      <c r="AJ42" s="65"/>
      <c r="AK42" s="66"/>
      <c r="AL42" s="66"/>
      <c r="AM42" s="65"/>
      <c r="AN42" s="65"/>
      <c r="AO42" s="65"/>
      <c r="AP42" s="65"/>
      <c r="AQ42" s="65"/>
      <c r="AR42" s="66"/>
      <c r="AS42" s="66"/>
      <c r="AT42" s="65"/>
      <c r="AU42" s="65"/>
      <c r="AV42" s="65"/>
      <c r="AW42" s="65"/>
      <c r="AX42" s="65"/>
      <c r="AY42" s="66"/>
      <c r="AZ42" s="66"/>
      <c r="BA42" s="65"/>
      <c r="BB42" s="65"/>
      <c r="BC42" s="65"/>
      <c r="BD42" s="66"/>
      <c r="BE42" s="214"/>
      <c r="BF42" s="214"/>
      <c r="BG42" s="214"/>
      <c r="BH42" s="214"/>
      <c r="BI42" s="214"/>
      <c r="BJ42" s="66"/>
      <c r="BK42" s="66"/>
      <c r="BL42" s="214"/>
      <c r="BM42" s="214"/>
      <c r="BN42" s="214"/>
      <c r="BO42" s="167"/>
      <c r="BP42" s="18"/>
      <c r="BQ42" s="119"/>
      <c r="BR42" s="18"/>
      <c r="BS42" s="18"/>
      <c r="BT42" s="21"/>
      <c r="BU42" s="97"/>
      <c r="BV42" s="155"/>
      <c r="BW42" s="155"/>
      <c r="BX42" s="97"/>
      <c r="BY42" s="15"/>
      <c r="BZ42" s="122"/>
      <c r="CA42" s="123"/>
      <c r="CB42" s="90"/>
      <c r="CC42" s="89"/>
      <c r="CD42" s="90"/>
      <c r="CE42" s="18"/>
      <c r="CF42" s="10"/>
      <c r="CG42" s="44"/>
      <c r="CH42" s="91"/>
      <c r="CI42" s="37"/>
      <c r="CJ42" s="92"/>
      <c r="CK42" s="37"/>
      <c r="CL42" s="92"/>
    </row>
    <row r="43" spans="1:145" ht="15.45" customHeight="1" x14ac:dyDescent="0.25">
      <c r="A43" s="32"/>
      <c r="B43" s="80"/>
      <c r="C43" s="81" t="s">
        <v>54</v>
      </c>
      <c r="D43" s="95" t="s">
        <v>51</v>
      </c>
      <c r="E43" s="39" t="s">
        <v>40</v>
      </c>
      <c r="F43" s="65"/>
      <c r="G43" s="65"/>
      <c r="H43" s="65"/>
      <c r="I43" s="66"/>
      <c r="J43" s="66"/>
      <c r="K43" s="65"/>
      <c r="L43" s="65"/>
      <c r="M43" s="65"/>
      <c r="N43" s="65"/>
      <c r="O43" s="65"/>
      <c r="P43" s="66"/>
      <c r="Q43" s="66"/>
      <c r="R43" s="65"/>
      <c r="S43" s="65"/>
      <c r="T43" s="65"/>
      <c r="U43" s="65"/>
      <c r="V43" s="65"/>
      <c r="W43" s="66"/>
      <c r="X43" s="66"/>
      <c r="Y43" s="65"/>
      <c r="Z43" s="65"/>
      <c r="AA43" s="65"/>
      <c r="AB43" s="65"/>
      <c r="AC43" s="65"/>
      <c r="AD43" s="66"/>
      <c r="AE43" s="66"/>
      <c r="AF43" s="65"/>
      <c r="AG43" s="65"/>
      <c r="AH43" s="65"/>
      <c r="AI43" s="65"/>
      <c r="AJ43" s="65"/>
      <c r="AK43" s="66"/>
      <c r="AL43" s="66"/>
      <c r="AM43" s="65"/>
      <c r="AN43" s="65"/>
      <c r="AO43" s="65"/>
      <c r="AP43" s="65"/>
      <c r="AQ43" s="65"/>
      <c r="AR43" s="66"/>
      <c r="AS43" s="66"/>
      <c r="AT43" s="65"/>
      <c r="AU43" s="65"/>
      <c r="AV43" s="65"/>
      <c r="AW43" s="65"/>
      <c r="AX43" s="65"/>
      <c r="AY43" s="66"/>
      <c r="AZ43" s="66"/>
      <c r="BA43" s="65"/>
      <c r="BB43" s="65"/>
      <c r="BC43" s="65"/>
      <c r="BD43" s="66"/>
      <c r="BE43" s="65">
        <v>4</v>
      </c>
      <c r="BF43" s="214">
        <v>4</v>
      </c>
      <c r="BG43" s="214">
        <v>4</v>
      </c>
      <c r="BH43" s="65">
        <v>4</v>
      </c>
      <c r="BI43" s="65">
        <v>4</v>
      </c>
      <c r="BJ43" s="66">
        <v>4</v>
      </c>
      <c r="BK43" s="66">
        <v>4</v>
      </c>
      <c r="BL43" s="65">
        <v>4</v>
      </c>
      <c r="BM43" s="214"/>
      <c r="BN43" s="214"/>
      <c r="BO43" s="82">
        <f>SUM(F43:BN43)</f>
        <v>32</v>
      </c>
      <c r="BP43" s="21">
        <f>4448</f>
        <v>4448</v>
      </c>
      <c r="BQ43" s="103">
        <v>0.7</v>
      </c>
      <c r="BR43" s="21">
        <f>BP43*(1-BQ43)</f>
        <v>1334.4</v>
      </c>
      <c r="BS43" s="21">
        <f>BR43*BO43</f>
        <v>42700.800000000003</v>
      </c>
      <c r="BT43" s="21">
        <f>BS43*0.8</f>
        <v>34160.640000000007</v>
      </c>
      <c r="BU43" s="97"/>
      <c r="BV43" s="155">
        <f>BT43/$BT$81</f>
        <v>8.3354324435032268E-2</v>
      </c>
      <c r="BW43" s="155">
        <v>7.6893332781943394E-2</v>
      </c>
      <c r="BX43" s="97"/>
      <c r="BY43" s="99">
        <f>BZ43/CC43*100</f>
        <v>0.56035731223215013</v>
      </c>
      <c r="BZ43" s="86">
        <v>91086.86</v>
      </c>
      <c r="CA43" s="87">
        <f>BY43*BO43</f>
        <v>17.931433991428804</v>
      </c>
      <c r="CB43" s="88">
        <v>11451245</v>
      </c>
      <c r="CC43" s="100">
        <v>16255139</v>
      </c>
      <c r="CD43" s="90">
        <f>CC43*CA43/100</f>
        <v>2914779.52</v>
      </c>
      <c r="CE43" s="21">
        <f>BT43/CD43*1000</f>
        <v>11.719802395208269</v>
      </c>
      <c r="CF43" s="10"/>
      <c r="CG43" s="44" t="s">
        <v>54</v>
      </c>
      <c r="CH43" s="91">
        <f>BR43*0.8</f>
        <v>1067.5200000000002</v>
      </c>
      <c r="CI43" s="37">
        <f>SUM(AK43:BG43)</f>
        <v>12</v>
      </c>
      <c r="CJ43" s="92">
        <f>CH43*CI43</f>
        <v>12810.240000000002</v>
      </c>
      <c r="CK43" s="37">
        <f>SUM(BH43:BN43)</f>
        <v>20</v>
      </c>
      <c r="CL43" s="92">
        <f>CK43*CH43</f>
        <v>21350.400000000005</v>
      </c>
      <c r="CM43" s="101" t="b">
        <f>(CJ43+CL43)=BT43</f>
        <v>1</v>
      </c>
    </row>
    <row r="44" spans="1:145" s="28" customFormat="1" ht="15.45" customHeight="1" x14ac:dyDescent="0.25">
      <c r="A44" s="32"/>
      <c r="B44" s="111"/>
      <c r="C44" s="81"/>
      <c r="D44" s="95"/>
      <c r="E44" s="39"/>
      <c r="F44" s="65"/>
      <c r="G44" s="65"/>
      <c r="H44" s="65"/>
      <c r="I44" s="66"/>
      <c r="J44" s="66"/>
      <c r="K44" s="65"/>
      <c r="L44" s="65"/>
      <c r="M44" s="65"/>
      <c r="N44" s="65"/>
      <c r="O44" s="65"/>
      <c r="P44" s="66"/>
      <c r="Q44" s="66"/>
      <c r="R44" s="65"/>
      <c r="S44" s="65"/>
      <c r="T44" s="65"/>
      <c r="U44" s="65"/>
      <c r="V44" s="65"/>
      <c r="W44" s="66"/>
      <c r="X44" s="66"/>
      <c r="Y44" s="65"/>
      <c r="Z44" s="65"/>
      <c r="AA44" s="65"/>
      <c r="AB44" s="65"/>
      <c r="AC44" s="65"/>
      <c r="AD44" s="66"/>
      <c r="AE44" s="66"/>
      <c r="AF44" s="65"/>
      <c r="AG44" s="65"/>
      <c r="AH44" s="65"/>
      <c r="AI44" s="65"/>
      <c r="AJ44" s="65"/>
      <c r="AK44" s="66"/>
      <c r="AL44" s="66"/>
      <c r="AM44" s="65"/>
      <c r="AN44" s="65"/>
      <c r="AO44" s="65"/>
      <c r="AP44" s="65"/>
      <c r="AQ44" s="65"/>
      <c r="AR44" s="66"/>
      <c r="AS44" s="66"/>
      <c r="AT44" s="65"/>
      <c r="AU44" s="65"/>
      <c r="AV44" s="65"/>
      <c r="AW44" s="65"/>
      <c r="AX44" s="65"/>
      <c r="AY44" s="66"/>
      <c r="AZ44" s="66"/>
      <c r="BA44" s="65"/>
      <c r="BB44" s="65"/>
      <c r="BC44" s="65"/>
      <c r="BD44" s="66"/>
      <c r="BE44" s="65"/>
      <c r="BF44" s="214"/>
      <c r="BG44" s="214"/>
      <c r="BH44" s="65"/>
      <c r="BI44" s="65"/>
      <c r="BJ44" s="66"/>
      <c r="BK44" s="66"/>
      <c r="BL44" s="65"/>
      <c r="BM44" s="214"/>
      <c r="BN44" s="214"/>
      <c r="BO44" s="163"/>
      <c r="BP44" s="21"/>
      <c r="BQ44" s="103"/>
      <c r="BR44" s="21"/>
      <c r="BS44" s="21"/>
      <c r="BT44" s="114"/>
      <c r="BU44" s="97"/>
      <c r="BV44" s="165"/>
      <c r="BW44" s="165"/>
      <c r="BX44" s="97"/>
      <c r="BY44" s="166"/>
      <c r="BZ44" s="107"/>
      <c r="CA44" s="108"/>
      <c r="CB44" s="109"/>
      <c r="CC44" s="110"/>
      <c r="CD44" s="109"/>
      <c r="CE44" s="114"/>
      <c r="CF44" s="10"/>
      <c r="CG44" s="44"/>
      <c r="CH44" s="91"/>
      <c r="CI44" s="37"/>
      <c r="CJ44" s="92"/>
      <c r="CK44" s="37"/>
      <c r="CL44" s="92"/>
      <c r="CM44" s="50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</row>
    <row r="45" spans="1:145" s="28" customFormat="1" ht="15.45" customHeight="1" x14ac:dyDescent="0.25">
      <c r="A45" s="32"/>
      <c r="B45" s="115"/>
      <c r="C45" s="94"/>
      <c r="D45" s="95"/>
      <c r="E45" s="117"/>
      <c r="F45" s="65"/>
      <c r="G45" s="65"/>
      <c r="H45" s="65"/>
      <c r="I45" s="66"/>
      <c r="J45" s="66"/>
      <c r="K45" s="65"/>
      <c r="L45" s="65"/>
      <c r="M45" s="65"/>
      <c r="N45" s="65"/>
      <c r="O45" s="65"/>
      <c r="P45" s="66"/>
      <c r="Q45" s="66"/>
      <c r="R45" s="65"/>
      <c r="S45" s="65"/>
      <c r="T45" s="65"/>
      <c r="U45" s="65"/>
      <c r="V45" s="65"/>
      <c r="W45" s="66"/>
      <c r="X45" s="66"/>
      <c r="Y45" s="65"/>
      <c r="Z45" s="65"/>
      <c r="AA45" s="65"/>
      <c r="AB45" s="65"/>
      <c r="AC45" s="65"/>
      <c r="AD45" s="66"/>
      <c r="AE45" s="66"/>
      <c r="AF45" s="65"/>
      <c r="AG45" s="65"/>
      <c r="AH45" s="65"/>
      <c r="AI45" s="65"/>
      <c r="AJ45" s="65"/>
      <c r="AK45" s="66"/>
      <c r="AL45" s="66"/>
      <c r="AM45" s="65"/>
      <c r="AN45" s="65"/>
      <c r="AO45" s="65"/>
      <c r="AP45" s="65"/>
      <c r="AQ45" s="65"/>
      <c r="AR45" s="66"/>
      <c r="AS45" s="66"/>
      <c r="AT45" s="65"/>
      <c r="AU45" s="65"/>
      <c r="AV45" s="65"/>
      <c r="AW45" s="65"/>
      <c r="AX45" s="65"/>
      <c r="AY45" s="66"/>
      <c r="AZ45" s="66"/>
      <c r="BA45" s="65"/>
      <c r="BB45" s="65"/>
      <c r="BC45" s="65"/>
      <c r="BD45" s="66"/>
      <c r="BE45" s="65"/>
      <c r="BF45" s="214"/>
      <c r="BG45" s="214"/>
      <c r="BH45" s="65"/>
      <c r="BI45" s="65"/>
      <c r="BJ45" s="66"/>
      <c r="BK45" s="66"/>
      <c r="BL45" s="65"/>
      <c r="BM45" s="214"/>
      <c r="BN45" s="214"/>
      <c r="BO45" s="167"/>
      <c r="BP45" s="18"/>
      <c r="BQ45" s="119"/>
      <c r="BR45" s="18"/>
      <c r="BS45" s="18"/>
      <c r="BT45" s="21"/>
      <c r="BU45" s="97"/>
      <c r="BV45" s="155"/>
      <c r="BW45" s="155"/>
      <c r="BX45" s="97"/>
      <c r="BY45" s="15"/>
      <c r="BZ45" s="122"/>
      <c r="CA45" s="123"/>
      <c r="CB45" s="90"/>
      <c r="CC45" s="89"/>
      <c r="CD45" s="90"/>
      <c r="CE45" s="18"/>
      <c r="CF45" s="10"/>
      <c r="CG45" s="44"/>
      <c r="CH45" s="91"/>
      <c r="CI45" s="37"/>
      <c r="CJ45" s="92"/>
      <c r="CK45" s="37"/>
      <c r="CL45" s="92"/>
      <c r="CM45" s="50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</row>
    <row r="46" spans="1:145" s="28" customFormat="1" ht="15.45" customHeight="1" x14ac:dyDescent="0.25">
      <c r="A46" s="32"/>
      <c r="B46" s="111"/>
      <c r="C46" s="81" t="s">
        <v>55</v>
      </c>
      <c r="D46" s="95" t="s">
        <v>51</v>
      </c>
      <c r="E46" s="39" t="s">
        <v>40</v>
      </c>
      <c r="F46" s="65"/>
      <c r="G46" s="65"/>
      <c r="H46" s="65"/>
      <c r="I46" s="66"/>
      <c r="J46" s="66"/>
      <c r="K46" s="65"/>
      <c r="L46" s="65"/>
      <c r="M46" s="65"/>
      <c r="N46" s="65"/>
      <c r="O46" s="65"/>
      <c r="P46" s="66"/>
      <c r="Q46" s="66"/>
      <c r="R46" s="65"/>
      <c r="S46" s="65"/>
      <c r="T46" s="65"/>
      <c r="U46" s="65"/>
      <c r="V46" s="65"/>
      <c r="W46" s="66"/>
      <c r="X46" s="66"/>
      <c r="Y46" s="65"/>
      <c r="Z46" s="65"/>
      <c r="AA46" s="65"/>
      <c r="AB46" s="65"/>
      <c r="AC46" s="65"/>
      <c r="AD46" s="66"/>
      <c r="AE46" s="66"/>
      <c r="AF46" s="65"/>
      <c r="AG46" s="65"/>
      <c r="AH46" s="65"/>
      <c r="AI46" s="65"/>
      <c r="AJ46" s="65"/>
      <c r="AK46" s="66"/>
      <c r="AL46" s="66"/>
      <c r="AM46" s="65"/>
      <c r="AN46" s="65"/>
      <c r="AO46" s="65"/>
      <c r="AP46" s="65"/>
      <c r="AQ46" s="65"/>
      <c r="AR46" s="66"/>
      <c r="AS46" s="66"/>
      <c r="AT46" s="65"/>
      <c r="AU46" s="65"/>
      <c r="AV46" s="65"/>
      <c r="AW46" s="65"/>
      <c r="AX46" s="65"/>
      <c r="AY46" s="66"/>
      <c r="AZ46" s="66"/>
      <c r="BA46" s="65"/>
      <c r="BB46" s="65"/>
      <c r="BC46" s="65"/>
      <c r="BD46" s="66"/>
      <c r="BE46" s="65">
        <v>4</v>
      </c>
      <c r="BF46" s="65">
        <v>4</v>
      </c>
      <c r="BG46" s="65">
        <v>4</v>
      </c>
      <c r="BH46" s="65">
        <v>3</v>
      </c>
      <c r="BI46" s="65">
        <v>3</v>
      </c>
      <c r="BJ46" s="66">
        <v>3</v>
      </c>
      <c r="BK46" s="66">
        <v>3</v>
      </c>
      <c r="BL46" s="65">
        <v>3</v>
      </c>
      <c r="BM46" s="214"/>
      <c r="BN46" s="214"/>
      <c r="BO46" s="82">
        <f>SUM(F46:BN46)</f>
        <v>27</v>
      </c>
      <c r="BP46" s="21">
        <f>4800</f>
        <v>4800</v>
      </c>
      <c r="BQ46" s="103">
        <v>0.57999999999999996</v>
      </c>
      <c r="BR46" s="21">
        <f>BP46*(1-BQ46)</f>
        <v>2016.0000000000002</v>
      </c>
      <c r="BS46" s="21">
        <f>BR46*BO46</f>
        <v>54432.000000000007</v>
      </c>
      <c r="BT46" s="21">
        <f>BS46*0.8</f>
        <v>43545.600000000006</v>
      </c>
      <c r="BU46" s="97"/>
      <c r="BV46" s="155">
        <f>BT46/$BT$81</f>
        <v>0.10625427597721063</v>
      </c>
      <c r="BW46" s="155">
        <v>9.770283969591298E-2</v>
      </c>
      <c r="BX46" s="97"/>
      <c r="BY46" s="99">
        <f>BZ46/CC46*100</f>
        <v>0.88456216830874212</v>
      </c>
      <c r="BZ46" s="86">
        <v>143786.81</v>
      </c>
      <c r="CA46" s="87">
        <f>BY46*BO46</f>
        <v>23.883178544336037</v>
      </c>
      <c r="CB46" s="88">
        <v>11451245</v>
      </c>
      <c r="CC46" s="100">
        <v>16255139</v>
      </c>
      <c r="CD46" s="90">
        <f>CC46*CA46/100</f>
        <v>3882243.8699999992</v>
      </c>
      <c r="CE46" s="21">
        <f>BT46/CD46*1000</f>
        <v>11.216606029440396</v>
      </c>
      <c r="CF46" s="10"/>
      <c r="CG46" s="44" t="s">
        <v>55</v>
      </c>
      <c r="CH46" s="91">
        <f>BR46*0.8</f>
        <v>1612.8000000000002</v>
      </c>
      <c r="CI46" s="37">
        <f>SUM(AK46:BG46)</f>
        <v>12</v>
      </c>
      <c r="CJ46" s="92">
        <f>CH46*CI46</f>
        <v>19353.600000000002</v>
      </c>
      <c r="CK46" s="37">
        <f>SUM(BH46:BN46)</f>
        <v>15</v>
      </c>
      <c r="CL46" s="92">
        <f>CK46*CH46</f>
        <v>24192.000000000004</v>
      </c>
      <c r="CM46" s="101" t="b">
        <f>(CJ46+CL46)=BT46</f>
        <v>1</v>
      </c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  <c r="EN46" s="45"/>
      <c r="EO46" s="45"/>
    </row>
    <row r="47" spans="1:145" s="28" customFormat="1" ht="15.45" customHeight="1" x14ac:dyDescent="0.25">
      <c r="A47" s="32"/>
      <c r="B47" s="111"/>
      <c r="C47" s="81"/>
      <c r="D47" s="95"/>
      <c r="E47" s="39"/>
      <c r="F47" s="65"/>
      <c r="G47" s="65"/>
      <c r="H47" s="65"/>
      <c r="I47" s="66"/>
      <c r="J47" s="66"/>
      <c r="K47" s="65"/>
      <c r="L47" s="65"/>
      <c r="M47" s="65"/>
      <c r="N47" s="65"/>
      <c r="O47" s="65"/>
      <c r="P47" s="66"/>
      <c r="Q47" s="66"/>
      <c r="R47" s="65"/>
      <c r="S47" s="65"/>
      <c r="T47" s="65"/>
      <c r="U47" s="65"/>
      <c r="V47" s="65"/>
      <c r="W47" s="66"/>
      <c r="X47" s="66"/>
      <c r="Y47" s="65"/>
      <c r="Z47" s="65"/>
      <c r="AA47" s="65"/>
      <c r="AB47" s="65"/>
      <c r="AC47" s="65"/>
      <c r="AD47" s="66"/>
      <c r="AE47" s="66"/>
      <c r="AF47" s="65"/>
      <c r="AG47" s="65"/>
      <c r="AH47" s="65"/>
      <c r="AI47" s="65"/>
      <c r="AJ47" s="65"/>
      <c r="AK47" s="66"/>
      <c r="AL47" s="66"/>
      <c r="AM47" s="65"/>
      <c r="AN47" s="65"/>
      <c r="AO47" s="65"/>
      <c r="AP47" s="65"/>
      <c r="AQ47" s="65"/>
      <c r="AR47" s="66"/>
      <c r="AS47" s="66"/>
      <c r="AT47" s="65"/>
      <c r="AU47" s="65"/>
      <c r="AV47" s="65"/>
      <c r="AW47" s="65"/>
      <c r="AX47" s="65"/>
      <c r="AY47" s="66"/>
      <c r="AZ47" s="66"/>
      <c r="BA47" s="65"/>
      <c r="BB47" s="65"/>
      <c r="BC47" s="65"/>
      <c r="BD47" s="66"/>
      <c r="BE47" s="65"/>
      <c r="BF47" s="214"/>
      <c r="BG47" s="214"/>
      <c r="BH47" s="65"/>
      <c r="BI47" s="65"/>
      <c r="BJ47" s="66"/>
      <c r="BK47" s="66"/>
      <c r="BL47" s="65"/>
      <c r="BM47" s="214"/>
      <c r="BN47" s="214"/>
      <c r="BO47" s="163"/>
      <c r="BP47" s="21"/>
      <c r="BQ47" s="103"/>
      <c r="BR47" s="21"/>
      <c r="BS47" s="21"/>
      <c r="BT47" s="114"/>
      <c r="BU47" s="97"/>
      <c r="BV47" s="165"/>
      <c r="BW47" s="165"/>
      <c r="BX47" s="97"/>
      <c r="BY47" s="166"/>
      <c r="BZ47" s="107"/>
      <c r="CA47" s="108"/>
      <c r="CB47" s="109"/>
      <c r="CC47" s="110"/>
      <c r="CD47" s="109"/>
      <c r="CE47" s="114"/>
      <c r="CF47" s="10"/>
      <c r="CG47" s="44"/>
      <c r="CH47" s="91"/>
      <c r="CI47" s="37"/>
      <c r="CJ47" s="92"/>
      <c r="CK47" s="37"/>
      <c r="CL47" s="92"/>
      <c r="CM47" s="50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</row>
    <row r="48" spans="1:145" s="28" customFormat="1" ht="15.45" customHeight="1" x14ac:dyDescent="0.25">
      <c r="A48" s="32"/>
      <c r="B48" s="115"/>
      <c r="C48" s="94"/>
      <c r="D48" s="95"/>
      <c r="E48" s="117"/>
      <c r="F48" s="65"/>
      <c r="G48" s="65"/>
      <c r="H48" s="65"/>
      <c r="I48" s="66"/>
      <c r="J48" s="66"/>
      <c r="K48" s="65"/>
      <c r="L48" s="65"/>
      <c r="M48" s="65"/>
      <c r="N48" s="65"/>
      <c r="O48" s="65"/>
      <c r="P48" s="66"/>
      <c r="Q48" s="66"/>
      <c r="R48" s="65"/>
      <c r="S48" s="65"/>
      <c r="T48" s="65"/>
      <c r="U48" s="65"/>
      <c r="V48" s="65"/>
      <c r="W48" s="66"/>
      <c r="X48" s="66"/>
      <c r="Y48" s="65"/>
      <c r="Z48" s="65"/>
      <c r="AA48" s="65"/>
      <c r="AB48" s="65"/>
      <c r="AC48" s="65"/>
      <c r="AD48" s="66"/>
      <c r="AE48" s="66"/>
      <c r="AF48" s="65"/>
      <c r="AG48" s="65"/>
      <c r="AH48" s="65"/>
      <c r="AI48" s="65"/>
      <c r="AJ48" s="65"/>
      <c r="AK48" s="66"/>
      <c r="AL48" s="66"/>
      <c r="AM48" s="65"/>
      <c r="AN48" s="65"/>
      <c r="AO48" s="65"/>
      <c r="AP48" s="65"/>
      <c r="AQ48" s="65"/>
      <c r="AR48" s="66"/>
      <c r="AS48" s="66"/>
      <c r="AT48" s="65"/>
      <c r="AU48" s="65"/>
      <c r="AV48" s="65"/>
      <c r="AW48" s="65"/>
      <c r="AX48" s="65"/>
      <c r="AY48" s="66"/>
      <c r="AZ48" s="66"/>
      <c r="BA48" s="65"/>
      <c r="BB48" s="65"/>
      <c r="BC48" s="65"/>
      <c r="BD48" s="66"/>
      <c r="BE48" s="65"/>
      <c r="BF48" s="214"/>
      <c r="BG48" s="214"/>
      <c r="BH48" s="65"/>
      <c r="BI48" s="65"/>
      <c r="BJ48" s="66"/>
      <c r="BK48" s="66"/>
      <c r="BL48" s="65"/>
      <c r="BM48" s="214"/>
      <c r="BN48" s="214"/>
      <c r="BO48" s="167"/>
      <c r="BP48" s="18"/>
      <c r="BQ48" s="119"/>
      <c r="BR48" s="18"/>
      <c r="BS48" s="18"/>
      <c r="BT48" s="21"/>
      <c r="BU48" s="97"/>
      <c r="BV48" s="155"/>
      <c r="BW48" s="155"/>
      <c r="BX48" s="97"/>
      <c r="BY48" s="15"/>
      <c r="BZ48" s="122"/>
      <c r="CA48" s="123"/>
      <c r="CB48" s="90"/>
      <c r="CC48" s="89"/>
      <c r="CD48" s="90"/>
      <c r="CE48" s="18"/>
      <c r="CF48" s="10"/>
      <c r="CG48" s="44"/>
      <c r="CH48" s="91"/>
      <c r="CI48" s="37"/>
      <c r="CJ48" s="92"/>
      <c r="CK48" s="37"/>
      <c r="CL48" s="92"/>
      <c r="CM48" s="50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5"/>
      <c r="DX48" s="45"/>
      <c r="DY48" s="45"/>
      <c r="DZ48" s="45"/>
      <c r="EA48" s="45"/>
      <c r="EB48" s="45"/>
      <c r="EC48" s="45"/>
      <c r="ED48" s="45"/>
      <c r="EE48" s="45"/>
      <c r="EF48" s="45"/>
      <c r="EG48" s="45"/>
      <c r="EH48" s="45"/>
      <c r="EI48" s="45"/>
      <c r="EJ48" s="45"/>
      <c r="EK48" s="45"/>
      <c r="EL48" s="45"/>
      <c r="EM48" s="45"/>
      <c r="EN48" s="45"/>
      <c r="EO48" s="45"/>
    </row>
    <row r="49" spans="1:145" s="28" customFormat="1" ht="15.45" customHeight="1" x14ac:dyDescent="0.25">
      <c r="A49" s="32"/>
      <c r="B49" s="111"/>
      <c r="C49" s="81" t="s">
        <v>56</v>
      </c>
      <c r="D49" s="95" t="s">
        <v>51</v>
      </c>
      <c r="E49" s="39" t="s">
        <v>40</v>
      </c>
      <c r="F49" s="65"/>
      <c r="G49" s="65"/>
      <c r="H49" s="65"/>
      <c r="I49" s="66"/>
      <c r="J49" s="66"/>
      <c r="K49" s="65"/>
      <c r="L49" s="65"/>
      <c r="M49" s="65"/>
      <c r="N49" s="65"/>
      <c r="O49" s="65"/>
      <c r="P49" s="66"/>
      <c r="Q49" s="66"/>
      <c r="R49" s="65"/>
      <c r="S49" s="65"/>
      <c r="T49" s="65"/>
      <c r="U49" s="65"/>
      <c r="V49" s="65"/>
      <c r="W49" s="66"/>
      <c r="X49" s="66"/>
      <c r="Y49" s="65"/>
      <c r="Z49" s="65"/>
      <c r="AA49" s="65"/>
      <c r="AB49" s="65"/>
      <c r="AC49" s="65"/>
      <c r="AD49" s="66"/>
      <c r="AE49" s="66"/>
      <c r="AF49" s="65"/>
      <c r="AG49" s="65"/>
      <c r="AH49" s="65"/>
      <c r="AI49" s="65"/>
      <c r="AJ49" s="65"/>
      <c r="AK49" s="66"/>
      <c r="AL49" s="66"/>
      <c r="AM49" s="65"/>
      <c r="AN49" s="65"/>
      <c r="AO49" s="65"/>
      <c r="AP49" s="65"/>
      <c r="AQ49" s="65"/>
      <c r="AR49" s="66"/>
      <c r="AS49" s="66"/>
      <c r="AT49" s="65"/>
      <c r="AU49" s="65"/>
      <c r="AV49" s="65"/>
      <c r="AW49" s="65"/>
      <c r="AX49" s="65"/>
      <c r="AY49" s="66"/>
      <c r="AZ49" s="66"/>
      <c r="BA49" s="65"/>
      <c r="BB49" s="65"/>
      <c r="BC49" s="65"/>
      <c r="BD49" s="66"/>
      <c r="BE49" s="65">
        <v>3</v>
      </c>
      <c r="BF49" s="65">
        <v>3</v>
      </c>
      <c r="BG49" s="65">
        <v>3</v>
      </c>
      <c r="BH49" s="65">
        <v>3</v>
      </c>
      <c r="BI49" s="65">
        <v>3</v>
      </c>
      <c r="BJ49" s="66"/>
      <c r="BK49" s="66"/>
      <c r="BL49" s="65">
        <v>3</v>
      </c>
      <c r="BM49" s="214"/>
      <c r="BN49" s="214"/>
      <c r="BO49" s="82">
        <f>SUM(F49:BN49)</f>
        <v>18</v>
      </c>
      <c r="BP49" s="21">
        <f>3700</f>
        <v>3700</v>
      </c>
      <c r="BQ49" s="169">
        <v>0.61</v>
      </c>
      <c r="BR49" s="21">
        <f>BP49*(1-BQ49)</f>
        <v>1443</v>
      </c>
      <c r="BS49" s="21">
        <f>BR49*BO49</f>
        <v>25974</v>
      </c>
      <c r="BT49" s="21">
        <f>BS49*0.8</f>
        <v>20779.2</v>
      </c>
      <c r="BU49" s="97"/>
      <c r="BV49" s="161">
        <f>BT49/$BT$81</f>
        <v>5.0702685262934831E-2</v>
      </c>
      <c r="BW49" s="161">
        <v>5.1110058463118502E-2</v>
      </c>
      <c r="BX49" s="97"/>
      <c r="BY49" s="99">
        <f>BZ49/CC49*100</f>
        <v>0.2816579421437122</v>
      </c>
      <c r="BZ49" s="86">
        <v>45783.89</v>
      </c>
      <c r="CA49" s="87">
        <f>BY49*BO49</f>
        <v>5.0698429585868201</v>
      </c>
      <c r="CB49" s="88">
        <v>11451245</v>
      </c>
      <c r="CC49" s="100">
        <v>16255139</v>
      </c>
      <c r="CD49" s="90">
        <f>CC49*(CA49+CA51)/100</f>
        <v>824110.02</v>
      </c>
      <c r="CE49" s="21">
        <f>BT49/CD49*1000</f>
        <v>25.214109154988797</v>
      </c>
      <c r="CF49" s="10"/>
      <c r="CG49" s="44" t="s">
        <v>56</v>
      </c>
      <c r="CH49" s="91">
        <f>BR49*0.8</f>
        <v>1154.4000000000001</v>
      </c>
      <c r="CI49" s="37">
        <f>SUM(AK49:BG49)</f>
        <v>9</v>
      </c>
      <c r="CJ49" s="92">
        <f>CH49*CI49</f>
        <v>10389.6</v>
      </c>
      <c r="CK49" s="37">
        <f>SUM(BH49:BN49)</f>
        <v>9</v>
      </c>
      <c r="CL49" s="92">
        <f>CK49*CH49</f>
        <v>10389.6</v>
      </c>
      <c r="CM49" s="101" t="b">
        <f>(CJ49+CL49)=BT49</f>
        <v>1</v>
      </c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  <c r="EA49" s="45"/>
      <c r="EB49" s="45"/>
      <c r="EC49" s="45"/>
      <c r="ED49" s="45"/>
      <c r="EE49" s="45"/>
      <c r="EF49" s="45"/>
      <c r="EG49" s="45"/>
      <c r="EH49" s="45"/>
      <c r="EI49" s="45"/>
      <c r="EJ49" s="45"/>
      <c r="EK49" s="45"/>
      <c r="EL49" s="45"/>
      <c r="EM49" s="45"/>
      <c r="EN49" s="45"/>
      <c r="EO49" s="45"/>
    </row>
    <row r="50" spans="1:145" s="28" customFormat="1" ht="15.45" customHeight="1" x14ac:dyDescent="0.25">
      <c r="A50" s="32"/>
      <c r="B50" s="111"/>
      <c r="C50" s="81"/>
      <c r="D50" s="95"/>
      <c r="E50" s="39"/>
      <c r="F50" s="65"/>
      <c r="G50" s="65"/>
      <c r="H50" s="65"/>
      <c r="I50" s="66"/>
      <c r="J50" s="66"/>
      <c r="K50" s="65"/>
      <c r="L50" s="65"/>
      <c r="M50" s="65"/>
      <c r="N50" s="65"/>
      <c r="O50" s="65"/>
      <c r="P50" s="66"/>
      <c r="Q50" s="66"/>
      <c r="R50" s="65"/>
      <c r="S50" s="65"/>
      <c r="T50" s="65"/>
      <c r="U50" s="65"/>
      <c r="V50" s="65"/>
      <c r="W50" s="66"/>
      <c r="X50" s="66"/>
      <c r="Y50" s="65"/>
      <c r="Z50" s="65"/>
      <c r="AA50" s="65"/>
      <c r="AB50" s="65"/>
      <c r="AC50" s="65"/>
      <c r="AD50" s="66"/>
      <c r="AE50" s="66"/>
      <c r="AF50" s="65"/>
      <c r="AG50" s="65"/>
      <c r="AH50" s="65"/>
      <c r="AI50" s="65"/>
      <c r="AJ50" s="65"/>
      <c r="AK50" s="66"/>
      <c r="AL50" s="66"/>
      <c r="AM50" s="65"/>
      <c r="AN50" s="65"/>
      <c r="AO50" s="65"/>
      <c r="AP50" s="65"/>
      <c r="AQ50" s="65"/>
      <c r="AR50" s="66"/>
      <c r="AS50" s="66"/>
      <c r="AT50" s="65"/>
      <c r="AU50" s="65"/>
      <c r="AV50" s="65"/>
      <c r="AW50" s="65"/>
      <c r="AX50" s="65"/>
      <c r="AY50" s="66"/>
      <c r="AZ50" s="66"/>
      <c r="BA50" s="65"/>
      <c r="BB50" s="65"/>
      <c r="BC50" s="65"/>
      <c r="BD50" s="66"/>
      <c r="BE50" s="65"/>
      <c r="BF50" s="214"/>
      <c r="BG50" s="214"/>
      <c r="BH50" s="65"/>
      <c r="BI50" s="65"/>
      <c r="BJ50" s="66"/>
      <c r="BK50" s="66"/>
      <c r="BL50" s="65"/>
      <c r="BM50" s="214"/>
      <c r="BN50" s="214"/>
      <c r="BO50" s="82"/>
      <c r="BP50" s="21"/>
      <c r="BQ50" s="169"/>
      <c r="BR50" s="21"/>
      <c r="BS50" s="21"/>
      <c r="BT50" s="114"/>
      <c r="BU50" s="97"/>
      <c r="BV50" s="165"/>
      <c r="BW50" s="165"/>
      <c r="BX50" s="97"/>
      <c r="BY50" s="166"/>
      <c r="BZ50" s="107"/>
      <c r="CA50" s="108"/>
      <c r="CB50" s="109"/>
      <c r="CC50" s="110"/>
      <c r="CD50" s="109"/>
      <c r="CE50" s="114"/>
      <c r="CF50" s="10"/>
      <c r="CG50" s="44"/>
      <c r="CH50" s="91"/>
      <c r="CI50" s="37"/>
      <c r="CJ50" s="92"/>
      <c r="CK50" s="37"/>
      <c r="CL50" s="92"/>
      <c r="CM50" s="50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  <c r="EA50" s="45"/>
      <c r="EB50" s="45"/>
      <c r="EC50" s="45"/>
      <c r="ED50" s="45"/>
      <c r="EE50" s="45"/>
      <c r="EF50" s="45"/>
      <c r="EG50" s="45"/>
      <c r="EH50" s="45"/>
      <c r="EI50" s="45"/>
      <c r="EJ50" s="45"/>
      <c r="EK50" s="45"/>
      <c r="EL50" s="45"/>
      <c r="EM50" s="45"/>
      <c r="EN50" s="45"/>
      <c r="EO50" s="45"/>
    </row>
    <row r="51" spans="1:145" s="28" customFormat="1" ht="15.45" customHeight="1" x14ac:dyDescent="0.25">
      <c r="A51" s="32"/>
      <c r="B51" s="115"/>
      <c r="C51" s="94"/>
      <c r="D51" s="95"/>
      <c r="E51" s="117"/>
      <c r="F51" s="65"/>
      <c r="G51" s="65"/>
      <c r="H51" s="65"/>
      <c r="I51" s="66"/>
      <c r="J51" s="66"/>
      <c r="K51" s="65"/>
      <c r="L51" s="65"/>
      <c r="M51" s="65"/>
      <c r="N51" s="65"/>
      <c r="O51" s="65"/>
      <c r="P51" s="66"/>
      <c r="Q51" s="66"/>
      <c r="R51" s="65"/>
      <c r="S51" s="65"/>
      <c r="T51" s="65"/>
      <c r="U51" s="65"/>
      <c r="V51" s="65"/>
      <c r="W51" s="66"/>
      <c r="X51" s="66"/>
      <c r="Y51" s="65"/>
      <c r="Z51" s="65"/>
      <c r="AA51" s="65"/>
      <c r="AB51" s="65"/>
      <c r="AC51" s="65"/>
      <c r="AD51" s="66"/>
      <c r="AE51" s="66"/>
      <c r="AF51" s="65"/>
      <c r="AG51" s="65"/>
      <c r="AH51" s="65"/>
      <c r="AI51" s="65"/>
      <c r="AJ51" s="65"/>
      <c r="AK51" s="66"/>
      <c r="AL51" s="66"/>
      <c r="AM51" s="65"/>
      <c r="AN51" s="65"/>
      <c r="AO51" s="65"/>
      <c r="AP51" s="65"/>
      <c r="AQ51" s="65"/>
      <c r="AR51" s="66"/>
      <c r="AS51" s="66"/>
      <c r="AT51" s="65"/>
      <c r="AU51" s="65"/>
      <c r="AV51" s="65"/>
      <c r="AW51" s="65"/>
      <c r="AX51" s="65"/>
      <c r="AY51" s="66"/>
      <c r="AZ51" s="66"/>
      <c r="BA51" s="65"/>
      <c r="BB51" s="65"/>
      <c r="BC51" s="65"/>
      <c r="BD51" s="66"/>
      <c r="BE51" s="65"/>
      <c r="BF51" s="214"/>
      <c r="BG51" s="214"/>
      <c r="BH51" s="65"/>
      <c r="BI51" s="65"/>
      <c r="BJ51" s="66"/>
      <c r="BK51" s="66"/>
      <c r="BL51" s="65"/>
      <c r="BM51" s="214"/>
      <c r="BN51" s="214"/>
      <c r="BO51" s="167"/>
      <c r="BP51" s="18"/>
      <c r="BQ51" s="119"/>
      <c r="BR51" s="18"/>
      <c r="BS51" s="18"/>
      <c r="BT51" s="21"/>
      <c r="BU51" s="97"/>
      <c r="BV51" s="155"/>
      <c r="BW51" s="155"/>
      <c r="BX51" s="97"/>
      <c r="BY51" s="15"/>
      <c r="BZ51" s="122"/>
      <c r="CA51" s="123"/>
      <c r="CB51" s="90"/>
      <c r="CC51" s="89"/>
      <c r="CD51" s="90"/>
      <c r="CE51" s="18"/>
      <c r="CF51" s="10"/>
      <c r="CG51" s="44"/>
      <c r="CH51" s="91"/>
      <c r="CI51" s="37"/>
      <c r="CJ51" s="92"/>
      <c r="CK51" s="37"/>
      <c r="CL51" s="92"/>
      <c r="CM51" s="50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  <c r="EN51" s="45"/>
      <c r="EO51" s="45"/>
    </row>
    <row r="52" spans="1:145" s="28" customFormat="1" ht="15.45" customHeight="1" x14ac:dyDescent="0.25">
      <c r="A52" s="32"/>
      <c r="B52" s="111"/>
      <c r="C52" s="81" t="s">
        <v>57</v>
      </c>
      <c r="D52" s="95" t="s">
        <v>51</v>
      </c>
      <c r="E52" s="39" t="s">
        <v>40</v>
      </c>
      <c r="F52" s="65"/>
      <c r="G52" s="65"/>
      <c r="H52" s="65"/>
      <c r="I52" s="66"/>
      <c r="J52" s="66"/>
      <c r="K52" s="65"/>
      <c r="L52" s="65"/>
      <c r="M52" s="65"/>
      <c r="N52" s="65"/>
      <c r="O52" s="65"/>
      <c r="P52" s="66"/>
      <c r="Q52" s="66"/>
      <c r="R52" s="65"/>
      <c r="S52" s="65"/>
      <c r="T52" s="65"/>
      <c r="U52" s="65"/>
      <c r="V52" s="65"/>
      <c r="W52" s="66"/>
      <c r="X52" s="66"/>
      <c r="Y52" s="65"/>
      <c r="Z52" s="65"/>
      <c r="AA52" s="65"/>
      <c r="AB52" s="65"/>
      <c r="AC52" s="65"/>
      <c r="AD52" s="66"/>
      <c r="AE52" s="66"/>
      <c r="AF52" s="65"/>
      <c r="AG52" s="65"/>
      <c r="AH52" s="65"/>
      <c r="AI52" s="65"/>
      <c r="AJ52" s="65"/>
      <c r="AK52" s="66"/>
      <c r="AL52" s="66"/>
      <c r="AM52" s="65"/>
      <c r="AN52" s="65"/>
      <c r="AO52" s="65"/>
      <c r="AP52" s="65"/>
      <c r="AQ52" s="65"/>
      <c r="AR52" s="66"/>
      <c r="AS52" s="66"/>
      <c r="AT52" s="65"/>
      <c r="AU52" s="65"/>
      <c r="AV52" s="65"/>
      <c r="AW52" s="65"/>
      <c r="AX52" s="65"/>
      <c r="AY52" s="66"/>
      <c r="AZ52" s="66"/>
      <c r="BA52" s="65"/>
      <c r="BB52" s="65"/>
      <c r="BC52" s="65"/>
      <c r="BD52" s="66"/>
      <c r="BE52" s="65">
        <v>4</v>
      </c>
      <c r="BF52" s="65">
        <v>4</v>
      </c>
      <c r="BG52" s="65">
        <v>4</v>
      </c>
      <c r="BH52" s="65">
        <v>4</v>
      </c>
      <c r="BI52" s="65">
        <v>4</v>
      </c>
      <c r="BJ52" s="65">
        <v>4</v>
      </c>
      <c r="BK52" s="65">
        <v>4</v>
      </c>
      <c r="BL52" s="65">
        <v>4</v>
      </c>
      <c r="BM52" s="214"/>
      <c r="BN52" s="214"/>
      <c r="BO52" s="82">
        <f>SUM(F52:BN52)</f>
        <v>32</v>
      </c>
      <c r="BP52" s="170">
        <v>990.99</v>
      </c>
      <c r="BQ52" s="103">
        <v>0.5</v>
      </c>
      <c r="BR52" s="21">
        <f>BP52*(1-BQ52)</f>
        <v>495.495</v>
      </c>
      <c r="BS52" s="21">
        <f>BR52*BO52</f>
        <v>15855.84</v>
      </c>
      <c r="BT52" s="21">
        <f>BS52*0.8</f>
        <v>12684.672</v>
      </c>
      <c r="BU52" s="97"/>
      <c r="BV52" s="155">
        <f>BT52/$BT$81</f>
        <v>3.0951477057805984E-2</v>
      </c>
      <c r="BW52" s="155">
        <v>3.1110058463118512E-2</v>
      </c>
      <c r="BX52" s="97"/>
      <c r="BY52" s="99">
        <f>BZ52/CC52*100</f>
        <v>0.29396026696541938</v>
      </c>
      <c r="BZ52" s="86">
        <v>47783.65</v>
      </c>
      <c r="CA52" s="87">
        <f>BY52*BO52</f>
        <v>9.4067285428934202</v>
      </c>
      <c r="CB52" s="88">
        <v>11451245</v>
      </c>
      <c r="CC52" s="100">
        <v>16255139</v>
      </c>
      <c r="CD52" s="90">
        <f>CC52*CA52/100</f>
        <v>1529076.8</v>
      </c>
      <c r="CE52" s="21">
        <f>BT52/CD52*1000</f>
        <v>8.2956408729764259</v>
      </c>
      <c r="CF52" s="10"/>
      <c r="CG52" s="44" t="s">
        <v>57</v>
      </c>
      <c r="CH52" s="91">
        <f>BR52*0.8</f>
        <v>396.39600000000002</v>
      </c>
      <c r="CI52" s="37">
        <f>SUM(AK52:BG52)</f>
        <v>12</v>
      </c>
      <c r="CJ52" s="92">
        <f>CH52*CI52</f>
        <v>4756.7520000000004</v>
      </c>
      <c r="CK52" s="37">
        <f>SUM(BH52:BN52)</f>
        <v>20</v>
      </c>
      <c r="CL52" s="92">
        <f>CK52*CH52</f>
        <v>7927.92</v>
      </c>
      <c r="CM52" s="101" t="b">
        <f>(CJ52+CL52)=BT52</f>
        <v>1</v>
      </c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D52" s="45"/>
      <c r="EE52" s="45"/>
      <c r="EF52" s="45"/>
      <c r="EG52" s="45"/>
      <c r="EH52" s="45"/>
      <c r="EI52" s="45"/>
      <c r="EJ52" s="45"/>
      <c r="EK52" s="45"/>
      <c r="EL52" s="45"/>
      <c r="EM52" s="45"/>
      <c r="EN52" s="45"/>
      <c r="EO52" s="45"/>
    </row>
    <row r="53" spans="1:145" s="28" customFormat="1" ht="15.45" customHeight="1" x14ac:dyDescent="0.25">
      <c r="A53" s="32"/>
      <c r="B53" s="111"/>
      <c r="C53" s="81"/>
      <c r="D53" s="95"/>
      <c r="E53" s="39"/>
      <c r="F53" s="65"/>
      <c r="G53" s="65"/>
      <c r="H53" s="65"/>
      <c r="I53" s="66"/>
      <c r="J53" s="66"/>
      <c r="K53" s="65"/>
      <c r="L53" s="65"/>
      <c r="M53" s="65"/>
      <c r="N53" s="65"/>
      <c r="O53" s="65"/>
      <c r="P53" s="66"/>
      <c r="Q53" s="66"/>
      <c r="R53" s="65"/>
      <c r="S53" s="65"/>
      <c r="T53" s="65"/>
      <c r="U53" s="65"/>
      <c r="V53" s="65"/>
      <c r="W53" s="66"/>
      <c r="X53" s="66"/>
      <c r="Y53" s="65"/>
      <c r="Z53" s="65"/>
      <c r="AA53" s="65"/>
      <c r="AB53" s="65"/>
      <c r="AC53" s="65"/>
      <c r="AD53" s="66"/>
      <c r="AE53" s="66"/>
      <c r="AF53" s="65"/>
      <c r="AG53" s="65"/>
      <c r="AH53" s="65"/>
      <c r="AI53" s="65"/>
      <c r="AJ53" s="65"/>
      <c r="AK53" s="66"/>
      <c r="AL53" s="66"/>
      <c r="AM53" s="65"/>
      <c r="AN53" s="65"/>
      <c r="AO53" s="65"/>
      <c r="AP53" s="65"/>
      <c r="AQ53" s="65"/>
      <c r="AR53" s="66"/>
      <c r="AS53" s="66"/>
      <c r="AT53" s="65"/>
      <c r="AU53" s="65"/>
      <c r="AV53" s="65"/>
      <c r="AW53" s="65"/>
      <c r="AX53" s="65"/>
      <c r="AY53" s="66"/>
      <c r="AZ53" s="66"/>
      <c r="BA53" s="65"/>
      <c r="BB53" s="65"/>
      <c r="BC53" s="65"/>
      <c r="BD53" s="66"/>
      <c r="BE53" s="65"/>
      <c r="BF53" s="214"/>
      <c r="BG53" s="214"/>
      <c r="BH53" s="65"/>
      <c r="BI53" s="65"/>
      <c r="BJ53" s="66"/>
      <c r="BK53" s="66"/>
      <c r="BL53" s="65"/>
      <c r="BM53" s="214"/>
      <c r="BN53" s="214"/>
      <c r="BO53" s="163"/>
      <c r="BP53" s="21"/>
      <c r="BQ53" s="103"/>
      <c r="BR53" s="21"/>
      <c r="BS53" s="21"/>
      <c r="BT53" s="114"/>
      <c r="BU53" s="97"/>
      <c r="BV53" s="165"/>
      <c r="BW53" s="165"/>
      <c r="BX53" s="97"/>
      <c r="BY53" s="166"/>
      <c r="BZ53" s="107"/>
      <c r="CA53" s="108"/>
      <c r="CB53" s="109"/>
      <c r="CC53" s="110"/>
      <c r="CD53" s="109"/>
      <c r="CE53" s="114"/>
      <c r="CF53" s="10"/>
      <c r="CG53" s="44"/>
      <c r="CH53" s="91"/>
      <c r="CI53" s="37"/>
      <c r="CJ53" s="92"/>
      <c r="CK53" s="37"/>
      <c r="CL53" s="92"/>
      <c r="CM53" s="50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</row>
    <row r="54" spans="1:145" s="28" customFormat="1" ht="15.45" customHeight="1" x14ac:dyDescent="0.25">
      <c r="A54" s="32"/>
      <c r="B54" s="115"/>
      <c r="C54" s="94"/>
      <c r="D54" s="95"/>
      <c r="E54" s="117"/>
      <c r="F54" s="65"/>
      <c r="G54" s="65"/>
      <c r="H54" s="65"/>
      <c r="I54" s="66"/>
      <c r="J54" s="66"/>
      <c r="K54" s="65"/>
      <c r="L54" s="65"/>
      <c r="M54" s="65"/>
      <c r="N54" s="65"/>
      <c r="O54" s="65"/>
      <c r="P54" s="66"/>
      <c r="Q54" s="66"/>
      <c r="R54" s="65"/>
      <c r="S54" s="65"/>
      <c r="T54" s="65"/>
      <c r="U54" s="65"/>
      <c r="V54" s="65"/>
      <c r="W54" s="66"/>
      <c r="X54" s="66"/>
      <c r="Y54" s="65"/>
      <c r="Z54" s="65"/>
      <c r="AA54" s="65"/>
      <c r="AB54" s="65"/>
      <c r="AC54" s="65"/>
      <c r="AD54" s="66"/>
      <c r="AE54" s="66"/>
      <c r="AF54" s="65"/>
      <c r="AG54" s="65"/>
      <c r="AH54" s="65"/>
      <c r="AI54" s="65"/>
      <c r="AJ54" s="65"/>
      <c r="AK54" s="66"/>
      <c r="AL54" s="66"/>
      <c r="AM54" s="65"/>
      <c r="AN54" s="65"/>
      <c r="AO54" s="65"/>
      <c r="AP54" s="65"/>
      <c r="AQ54" s="65"/>
      <c r="AR54" s="66"/>
      <c r="AS54" s="66"/>
      <c r="AT54" s="65"/>
      <c r="AU54" s="65"/>
      <c r="AV54" s="65"/>
      <c r="AW54" s="65"/>
      <c r="AX54" s="65"/>
      <c r="AY54" s="66"/>
      <c r="AZ54" s="66"/>
      <c r="BA54" s="65"/>
      <c r="BB54" s="65"/>
      <c r="BC54" s="65"/>
      <c r="BD54" s="66"/>
      <c r="BE54" s="65"/>
      <c r="BF54" s="214"/>
      <c r="BG54" s="214"/>
      <c r="BH54" s="65"/>
      <c r="BI54" s="65"/>
      <c r="BJ54" s="66"/>
      <c r="BK54" s="66"/>
      <c r="BL54" s="65"/>
      <c r="BM54" s="214"/>
      <c r="BN54" s="214"/>
      <c r="BO54" s="167"/>
      <c r="BP54" s="18"/>
      <c r="BQ54" s="119"/>
      <c r="BR54" s="18"/>
      <c r="BS54" s="18"/>
      <c r="BT54" s="18"/>
      <c r="BU54" s="97"/>
      <c r="BV54" s="171"/>
      <c r="BW54" s="171"/>
      <c r="BX54" s="97"/>
      <c r="BY54" s="15"/>
      <c r="BZ54" s="122"/>
      <c r="CA54" s="123"/>
      <c r="CB54" s="90"/>
      <c r="CC54" s="89"/>
      <c r="CD54" s="90"/>
      <c r="CE54" s="18"/>
      <c r="CF54" s="10"/>
      <c r="CG54" s="44"/>
      <c r="CH54" s="91"/>
      <c r="CI54" s="37"/>
      <c r="CJ54" s="92"/>
      <c r="CK54" s="37"/>
      <c r="CL54" s="92"/>
      <c r="CM54" s="101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</row>
    <row r="55" spans="1:145" s="28" customFormat="1" ht="15.45" customHeight="1" x14ac:dyDescent="0.25">
      <c r="A55" s="32"/>
      <c r="B55" s="111"/>
      <c r="C55" s="81" t="s">
        <v>58</v>
      </c>
      <c r="D55" s="95" t="s">
        <v>51</v>
      </c>
      <c r="E55" s="39" t="s">
        <v>40</v>
      </c>
      <c r="F55" s="65"/>
      <c r="G55" s="65"/>
      <c r="H55" s="65"/>
      <c r="I55" s="66"/>
      <c r="J55" s="66"/>
      <c r="K55" s="65"/>
      <c r="L55" s="65"/>
      <c r="M55" s="65"/>
      <c r="N55" s="65"/>
      <c r="O55" s="65"/>
      <c r="P55" s="66"/>
      <c r="Q55" s="66"/>
      <c r="R55" s="65"/>
      <c r="S55" s="65"/>
      <c r="T55" s="65"/>
      <c r="U55" s="65"/>
      <c r="V55" s="65"/>
      <c r="W55" s="66"/>
      <c r="X55" s="66"/>
      <c r="Y55" s="65"/>
      <c r="Z55" s="65"/>
      <c r="AA55" s="65"/>
      <c r="AB55" s="65"/>
      <c r="AC55" s="65"/>
      <c r="AD55" s="66"/>
      <c r="AE55" s="66"/>
      <c r="AF55" s="65"/>
      <c r="AG55" s="65"/>
      <c r="AH55" s="65"/>
      <c r="AI55" s="65"/>
      <c r="AJ55" s="65"/>
      <c r="AK55" s="66"/>
      <c r="AL55" s="66"/>
      <c r="AM55" s="65"/>
      <c r="AN55" s="65"/>
      <c r="AO55" s="65"/>
      <c r="AP55" s="65"/>
      <c r="AQ55" s="65"/>
      <c r="AR55" s="66"/>
      <c r="AS55" s="66"/>
      <c r="AT55" s="65"/>
      <c r="AU55" s="65"/>
      <c r="AV55" s="65"/>
      <c r="AW55" s="65"/>
      <c r="AX55" s="65"/>
      <c r="AY55" s="66"/>
      <c r="AZ55" s="66"/>
      <c r="BA55" s="65"/>
      <c r="BB55" s="65"/>
      <c r="BC55" s="65"/>
      <c r="BD55" s="66"/>
      <c r="BE55" s="65">
        <v>3</v>
      </c>
      <c r="BF55" s="65">
        <v>3</v>
      </c>
      <c r="BG55" s="65">
        <v>3</v>
      </c>
      <c r="BH55" s="65">
        <v>3</v>
      </c>
      <c r="BI55" s="65">
        <v>3</v>
      </c>
      <c r="BJ55" s="65">
        <v>3</v>
      </c>
      <c r="BK55" s="65">
        <v>3</v>
      </c>
      <c r="BL55" s="65">
        <v>3</v>
      </c>
      <c r="BM55" s="214"/>
      <c r="BN55" s="214"/>
      <c r="BO55" s="82">
        <f>SUM(F55:BN55)</f>
        <v>24</v>
      </c>
      <c r="BP55" s="21">
        <f>3900</f>
        <v>3900</v>
      </c>
      <c r="BQ55" s="103">
        <v>0.70109999999999995</v>
      </c>
      <c r="BR55" s="21">
        <f>BP55*(1-BQ55)</f>
        <v>1165.7100000000003</v>
      </c>
      <c r="BS55" s="21">
        <f>BP55*BO55*(1-BQ55)</f>
        <v>27977.040000000005</v>
      </c>
      <c r="BT55" s="21">
        <f>BS55*0.8</f>
        <v>22381.632000000005</v>
      </c>
      <c r="BU55" s="97"/>
      <c r="BV55" s="161">
        <f>BT55/$BT$81</f>
        <v>5.4612730180508912E-2</v>
      </c>
      <c r="BW55" s="161">
        <v>4.7536390902329966E-2</v>
      </c>
      <c r="BX55" s="97"/>
      <c r="BY55" s="99">
        <f>BZ55/CC55*100</f>
        <v>0.43037534160735258</v>
      </c>
      <c r="BZ55" s="86">
        <v>69958.11</v>
      </c>
      <c r="CA55" s="87">
        <f>BY55*BO55</f>
        <v>10.329008198576462</v>
      </c>
      <c r="CB55" s="88">
        <v>11451245</v>
      </c>
      <c r="CC55" s="100">
        <v>16255139</v>
      </c>
      <c r="CD55" s="90">
        <f>CC55*(CA55+CA57)/100</f>
        <v>1678994.64</v>
      </c>
      <c r="CE55" s="21">
        <f>BT55/CD55*1000</f>
        <v>13.33037727863146</v>
      </c>
      <c r="CF55" s="10"/>
      <c r="CG55" s="44" t="s">
        <v>58</v>
      </c>
      <c r="CH55" s="91">
        <f>BR55*0.8</f>
        <v>932.56800000000021</v>
      </c>
      <c r="CI55" s="37">
        <f>SUM(AK55:BG55)</f>
        <v>9</v>
      </c>
      <c r="CJ55" s="92">
        <f>CH55*CI55</f>
        <v>8393.112000000001</v>
      </c>
      <c r="CK55" s="37">
        <f>SUM(BH55:BN55)</f>
        <v>15</v>
      </c>
      <c r="CL55" s="92">
        <f>CK55*CH55</f>
        <v>13988.520000000004</v>
      </c>
      <c r="CM55" s="101" t="b">
        <f>(CJ55+CL55)=BT55</f>
        <v>1</v>
      </c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</row>
    <row r="56" spans="1:145" s="28" customFormat="1" ht="15.45" customHeight="1" x14ac:dyDescent="0.25">
      <c r="A56" s="32"/>
      <c r="B56" s="111"/>
      <c r="C56" s="81"/>
      <c r="D56" s="95"/>
      <c r="E56" s="39"/>
      <c r="F56" s="65"/>
      <c r="G56" s="65"/>
      <c r="H56" s="65"/>
      <c r="I56" s="66"/>
      <c r="J56" s="66"/>
      <c r="K56" s="65"/>
      <c r="L56" s="65"/>
      <c r="M56" s="65"/>
      <c r="N56" s="65"/>
      <c r="O56" s="65"/>
      <c r="P56" s="66"/>
      <c r="Q56" s="66"/>
      <c r="R56" s="65"/>
      <c r="S56" s="65"/>
      <c r="T56" s="65"/>
      <c r="U56" s="65"/>
      <c r="V56" s="65"/>
      <c r="W56" s="66"/>
      <c r="X56" s="66"/>
      <c r="Y56" s="65"/>
      <c r="Z56" s="65"/>
      <c r="AA56" s="65"/>
      <c r="AB56" s="65"/>
      <c r="AC56" s="65"/>
      <c r="AD56" s="66"/>
      <c r="AE56" s="66"/>
      <c r="AF56" s="65"/>
      <c r="AG56" s="65"/>
      <c r="AH56" s="65"/>
      <c r="AI56" s="65"/>
      <c r="AJ56" s="65"/>
      <c r="AK56" s="66"/>
      <c r="AL56" s="66"/>
      <c r="AM56" s="65"/>
      <c r="AN56" s="65"/>
      <c r="AO56" s="65"/>
      <c r="AP56" s="65"/>
      <c r="AQ56" s="65"/>
      <c r="AR56" s="66"/>
      <c r="AS56" s="66"/>
      <c r="AT56" s="65"/>
      <c r="AU56" s="65"/>
      <c r="AV56" s="65"/>
      <c r="AW56" s="65"/>
      <c r="AX56" s="65"/>
      <c r="AY56" s="66"/>
      <c r="AZ56" s="66"/>
      <c r="BA56" s="65"/>
      <c r="BB56" s="65"/>
      <c r="BC56" s="65"/>
      <c r="BD56" s="66"/>
      <c r="BE56" s="65"/>
      <c r="BF56" s="214"/>
      <c r="BG56" s="214"/>
      <c r="BH56" s="65"/>
      <c r="BI56" s="65"/>
      <c r="BJ56" s="66"/>
      <c r="BK56" s="66"/>
      <c r="BL56" s="65"/>
      <c r="BM56" s="214"/>
      <c r="BN56" s="214"/>
      <c r="BO56" s="82"/>
      <c r="BP56" s="21"/>
      <c r="BQ56" s="103"/>
      <c r="BR56" s="21"/>
      <c r="BS56" s="21"/>
      <c r="BT56" s="114"/>
      <c r="BU56" s="97"/>
      <c r="BV56" s="165"/>
      <c r="BW56" s="165"/>
      <c r="BX56" s="97"/>
      <c r="BY56" s="166"/>
      <c r="BZ56" s="107"/>
      <c r="CA56" s="108"/>
      <c r="CB56" s="109"/>
      <c r="CC56" s="110"/>
      <c r="CD56" s="109"/>
      <c r="CE56" s="114"/>
      <c r="CF56" s="10"/>
      <c r="CG56" s="44"/>
      <c r="CH56" s="91"/>
      <c r="CI56" s="37"/>
      <c r="CJ56" s="92"/>
      <c r="CK56" s="37"/>
      <c r="CL56" s="92"/>
      <c r="CM56" s="50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</row>
    <row r="57" spans="1:145" s="28" customFormat="1" ht="15.45" customHeight="1" x14ac:dyDescent="0.25">
      <c r="A57" s="32"/>
      <c r="B57" s="115"/>
      <c r="C57" s="94"/>
      <c r="D57" s="95"/>
      <c r="E57" s="117"/>
      <c r="F57" s="65"/>
      <c r="G57" s="65"/>
      <c r="H57" s="65"/>
      <c r="I57" s="66"/>
      <c r="J57" s="66"/>
      <c r="K57" s="65"/>
      <c r="L57" s="65"/>
      <c r="M57" s="65"/>
      <c r="N57" s="65"/>
      <c r="O57" s="65"/>
      <c r="P57" s="66"/>
      <c r="Q57" s="66"/>
      <c r="R57" s="65"/>
      <c r="S57" s="65"/>
      <c r="T57" s="65"/>
      <c r="U57" s="65"/>
      <c r="V57" s="65"/>
      <c r="W57" s="66"/>
      <c r="X57" s="66"/>
      <c r="Y57" s="65"/>
      <c r="Z57" s="65"/>
      <c r="AA57" s="65"/>
      <c r="AB57" s="65"/>
      <c r="AC57" s="65"/>
      <c r="AD57" s="66"/>
      <c r="AE57" s="66"/>
      <c r="AF57" s="65"/>
      <c r="AG57" s="65"/>
      <c r="AH57" s="65"/>
      <c r="AI57" s="65"/>
      <c r="AJ57" s="65"/>
      <c r="AK57" s="66"/>
      <c r="AL57" s="66"/>
      <c r="AM57" s="65"/>
      <c r="AN57" s="65"/>
      <c r="AO57" s="65"/>
      <c r="AP57" s="65"/>
      <c r="AQ57" s="65"/>
      <c r="AR57" s="66"/>
      <c r="AS57" s="66"/>
      <c r="AT57" s="65"/>
      <c r="AU57" s="65"/>
      <c r="AV57" s="65"/>
      <c r="AW57" s="65"/>
      <c r="AX57" s="65"/>
      <c r="AY57" s="66"/>
      <c r="AZ57" s="66"/>
      <c r="BA57" s="65"/>
      <c r="BB57" s="65"/>
      <c r="BC57" s="65"/>
      <c r="BD57" s="66"/>
      <c r="BE57" s="65"/>
      <c r="BF57" s="214"/>
      <c r="BG57" s="214"/>
      <c r="BH57" s="65"/>
      <c r="BI57" s="65"/>
      <c r="BJ57" s="66"/>
      <c r="BK57" s="66"/>
      <c r="BL57" s="65"/>
      <c r="BM57" s="214"/>
      <c r="BN57" s="214"/>
      <c r="BO57" s="167"/>
      <c r="BP57" s="18"/>
      <c r="BQ57" s="119"/>
      <c r="BR57" s="18"/>
      <c r="BS57" s="18"/>
      <c r="BT57" s="21"/>
      <c r="BU57" s="97"/>
      <c r="BV57" s="155"/>
      <c r="BW57" s="155"/>
      <c r="BX57" s="97"/>
      <c r="BY57" s="15"/>
      <c r="BZ57" s="122"/>
      <c r="CA57" s="123"/>
      <c r="CB57" s="90"/>
      <c r="CC57" s="89"/>
      <c r="CD57" s="90"/>
      <c r="CE57" s="18"/>
      <c r="CF57" s="10"/>
      <c r="CG57" s="44"/>
      <c r="CH57" s="91"/>
      <c r="CI57" s="37"/>
      <c r="CJ57" s="92"/>
      <c r="CK57" s="37"/>
      <c r="CL57" s="92"/>
      <c r="CM57" s="50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</row>
    <row r="58" spans="1:145" s="28" customFormat="1" ht="15.45" customHeight="1" x14ac:dyDescent="0.25">
      <c r="A58" s="32"/>
      <c r="B58" s="111"/>
      <c r="C58" s="81" t="s">
        <v>59</v>
      </c>
      <c r="D58" s="95" t="s">
        <v>51</v>
      </c>
      <c r="E58" s="39" t="s">
        <v>40</v>
      </c>
      <c r="F58" s="65"/>
      <c r="G58" s="65"/>
      <c r="H58" s="65"/>
      <c r="I58" s="66"/>
      <c r="J58" s="66"/>
      <c r="K58" s="65"/>
      <c r="L58" s="65"/>
      <c r="M58" s="65"/>
      <c r="N58" s="65"/>
      <c r="O58" s="65"/>
      <c r="P58" s="66"/>
      <c r="Q58" s="66"/>
      <c r="R58" s="65"/>
      <c r="S58" s="65"/>
      <c r="T58" s="65"/>
      <c r="U58" s="65"/>
      <c r="V58" s="65"/>
      <c r="W58" s="66"/>
      <c r="X58" s="66"/>
      <c r="Y58" s="65"/>
      <c r="Z58" s="65"/>
      <c r="AA58" s="65"/>
      <c r="AB58" s="65"/>
      <c r="AC58" s="65"/>
      <c r="AD58" s="66"/>
      <c r="AE58" s="66"/>
      <c r="AF58" s="65"/>
      <c r="AG58" s="65"/>
      <c r="AH58" s="65"/>
      <c r="AI58" s="65"/>
      <c r="AJ58" s="65"/>
      <c r="AK58" s="66"/>
      <c r="AL58" s="66"/>
      <c r="AM58" s="65"/>
      <c r="AN58" s="65"/>
      <c r="AO58" s="65"/>
      <c r="AP58" s="65"/>
      <c r="AQ58" s="65"/>
      <c r="AR58" s="66"/>
      <c r="AS58" s="66"/>
      <c r="AT58" s="65"/>
      <c r="AU58" s="65"/>
      <c r="AV58" s="65"/>
      <c r="AW58" s="65"/>
      <c r="AX58" s="65"/>
      <c r="AY58" s="66"/>
      <c r="AZ58" s="66"/>
      <c r="BA58" s="65"/>
      <c r="BB58" s="65"/>
      <c r="BC58" s="65"/>
      <c r="BD58" s="66"/>
      <c r="BE58" s="65">
        <v>4</v>
      </c>
      <c r="BF58" s="65">
        <v>4</v>
      </c>
      <c r="BG58" s="65">
        <v>4</v>
      </c>
      <c r="BH58" s="65">
        <v>4</v>
      </c>
      <c r="BI58" s="65">
        <v>4</v>
      </c>
      <c r="BJ58" s="65">
        <v>4</v>
      </c>
      <c r="BK58" s="65">
        <v>4</v>
      </c>
      <c r="BL58" s="65">
        <v>4</v>
      </c>
      <c r="BM58" s="214"/>
      <c r="BN58" s="214"/>
      <c r="BO58" s="82">
        <f>SUM(F58:BN58)</f>
        <v>32</v>
      </c>
      <c r="BP58" s="21">
        <f>2968</f>
        <v>2968</v>
      </c>
      <c r="BQ58" s="103">
        <v>0.62</v>
      </c>
      <c r="BR58" s="21">
        <f>BP58*(1-BQ58)</f>
        <v>1127.8399999999999</v>
      </c>
      <c r="BS58" s="21">
        <f>BR58*BO58</f>
        <v>36090.879999999997</v>
      </c>
      <c r="BT58" s="21">
        <f>BS58*0.8</f>
        <v>28872.703999999998</v>
      </c>
      <c r="BU58" s="97"/>
      <c r="BV58" s="155">
        <f>BT58/$BT$81</f>
        <v>7.0451394837235282E-2</v>
      </c>
      <c r="BW58" s="155">
        <v>6.8857470777019397E-2</v>
      </c>
      <c r="BX58" s="97"/>
      <c r="BY58" s="99">
        <f>BZ58/CC58*100</f>
        <v>0.44233586682956078</v>
      </c>
      <c r="BZ58" s="86">
        <v>71902.31</v>
      </c>
      <c r="CA58" s="87">
        <f>BY58*BO58</f>
        <v>14.154747738545945</v>
      </c>
      <c r="CB58" s="88">
        <v>11451245</v>
      </c>
      <c r="CC58" s="100">
        <v>16255139</v>
      </c>
      <c r="CD58" s="90">
        <f>CC58*CA58/100</f>
        <v>2300873.92</v>
      </c>
      <c r="CE58" s="21">
        <f>BT58/CD58*1000</f>
        <v>12.548581540704324</v>
      </c>
      <c r="CF58" s="10"/>
      <c r="CG58" s="44" t="s">
        <v>59</v>
      </c>
      <c r="CH58" s="91">
        <f>BR58*0.8</f>
        <v>902.27199999999993</v>
      </c>
      <c r="CI58" s="37">
        <f>SUM(AK58:BG58)</f>
        <v>12</v>
      </c>
      <c r="CJ58" s="92">
        <f>CH58*CI58</f>
        <v>10827.263999999999</v>
      </c>
      <c r="CK58" s="37">
        <f>SUM(BH58:BN58)</f>
        <v>20</v>
      </c>
      <c r="CL58" s="92">
        <f>CK58*CH58</f>
        <v>18045.439999999999</v>
      </c>
      <c r="CM58" s="101" t="b">
        <f>(CJ58+CL58)=BT58</f>
        <v>1</v>
      </c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</row>
    <row r="59" spans="1:145" s="28" customFormat="1" ht="15.45" customHeight="1" x14ac:dyDescent="0.25">
      <c r="A59" s="32"/>
      <c r="B59" s="111"/>
      <c r="C59" s="81"/>
      <c r="D59" s="95"/>
      <c r="E59" s="39"/>
      <c r="F59" s="65"/>
      <c r="G59" s="65"/>
      <c r="H59" s="65"/>
      <c r="I59" s="66"/>
      <c r="J59" s="66"/>
      <c r="K59" s="65"/>
      <c r="L59" s="65"/>
      <c r="M59" s="65"/>
      <c r="N59" s="65"/>
      <c r="O59" s="65"/>
      <c r="P59" s="66"/>
      <c r="Q59" s="66"/>
      <c r="R59" s="65"/>
      <c r="S59" s="65"/>
      <c r="T59" s="65"/>
      <c r="U59" s="65"/>
      <c r="V59" s="65"/>
      <c r="W59" s="66"/>
      <c r="X59" s="66"/>
      <c r="Y59" s="65"/>
      <c r="Z59" s="65"/>
      <c r="AA59" s="65"/>
      <c r="AB59" s="65"/>
      <c r="AC59" s="65"/>
      <c r="AD59" s="66"/>
      <c r="AE59" s="66"/>
      <c r="AF59" s="65"/>
      <c r="AG59" s="65"/>
      <c r="AH59" s="65"/>
      <c r="AI59" s="65"/>
      <c r="AJ59" s="65"/>
      <c r="AK59" s="66"/>
      <c r="AL59" s="66"/>
      <c r="AM59" s="65"/>
      <c r="AN59" s="65"/>
      <c r="AO59" s="65"/>
      <c r="AP59" s="65"/>
      <c r="AQ59" s="65"/>
      <c r="AR59" s="66"/>
      <c r="AS59" s="66"/>
      <c r="AT59" s="65"/>
      <c r="AU59" s="65"/>
      <c r="AV59" s="65"/>
      <c r="AW59" s="65"/>
      <c r="AX59" s="65"/>
      <c r="AY59" s="66"/>
      <c r="AZ59" s="66"/>
      <c r="BA59" s="65"/>
      <c r="BB59" s="65"/>
      <c r="BC59" s="65"/>
      <c r="BD59" s="66"/>
      <c r="BE59" s="65"/>
      <c r="BF59" s="214"/>
      <c r="BG59" s="214"/>
      <c r="BH59" s="65"/>
      <c r="BI59" s="65"/>
      <c r="BJ59" s="66"/>
      <c r="BK59" s="66"/>
      <c r="BL59" s="65"/>
      <c r="BM59" s="214"/>
      <c r="BN59" s="214"/>
      <c r="BO59" s="163"/>
      <c r="BP59" s="21"/>
      <c r="BQ59" s="103"/>
      <c r="BR59" s="21"/>
      <c r="BS59" s="21"/>
      <c r="BT59" s="114"/>
      <c r="BU59" s="97"/>
      <c r="BV59" s="165"/>
      <c r="BW59" s="165"/>
      <c r="BX59" s="97"/>
      <c r="BY59" s="166"/>
      <c r="BZ59" s="107"/>
      <c r="CA59" s="108"/>
      <c r="CB59" s="109"/>
      <c r="CC59" s="110"/>
      <c r="CD59" s="109"/>
      <c r="CE59" s="114"/>
      <c r="CF59" s="10"/>
      <c r="CG59" s="44"/>
      <c r="CH59" s="91"/>
      <c r="CI59" s="37"/>
      <c r="CJ59" s="92"/>
      <c r="CK59" s="37"/>
      <c r="CL59" s="92"/>
      <c r="CM59" s="50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</row>
    <row r="60" spans="1:145" ht="15" customHeight="1" x14ac:dyDescent="0.25">
      <c r="A60" s="32"/>
      <c r="B60" s="115"/>
      <c r="C60" s="94"/>
      <c r="D60" s="95"/>
      <c r="E60" s="117"/>
      <c r="F60" s="65"/>
      <c r="G60" s="65"/>
      <c r="H60" s="65"/>
      <c r="I60" s="66"/>
      <c r="J60" s="66"/>
      <c r="K60" s="65"/>
      <c r="L60" s="65"/>
      <c r="M60" s="65"/>
      <c r="N60" s="65"/>
      <c r="O60" s="65"/>
      <c r="P60" s="66"/>
      <c r="Q60" s="66"/>
      <c r="R60" s="65"/>
      <c r="S60" s="65"/>
      <c r="T60" s="65"/>
      <c r="U60" s="65"/>
      <c r="V60" s="65"/>
      <c r="W60" s="66"/>
      <c r="X60" s="66"/>
      <c r="Y60" s="65"/>
      <c r="Z60" s="65"/>
      <c r="AA60" s="65"/>
      <c r="AB60" s="65"/>
      <c r="AC60" s="65"/>
      <c r="AD60" s="66"/>
      <c r="AE60" s="66"/>
      <c r="AF60" s="65"/>
      <c r="AG60" s="65"/>
      <c r="AH60" s="65"/>
      <c r="AI60" s="65"/>
      <c r="AJ60" s="65"/>
      <c r="AK60" s="66"/>
      <c r="AL60" s="66"/>
      <c r="AM60" s="65"/>
      <c r="AN60" s="65"/>
      <c r="AO60" s="65"/>
      <c r="AP60" s="65"/>
      <c r="AQ60" s="65"/>
      <c r="AR60" s="66"/>
      <c r="AS60" s="66"/>
      <c r="AT60" s="65"/>
      <c r="AU60" s="65"/>
      <c r="AV60" s="65"/>
      <c r="AW60" s="65"/>
      <c r="AX60" s="65"/>
      <c r="AY60" s="66"/>
      <c r="AZ60" s="66"/>
      <c r="BA60" s="65"/>
      <c r="BB60" s="65"/>
      <c r="BC60" s="65"/>
      <c r="BD60" s="66"/>
      <c r="BE60" s="65"/>
      <c r="BF60" s="214"/>
      <c r="BG60" s="214"/>
      <c r="BH60" s="65"/>
      <c r="BI60" s="65"/>
      <c r="BJ60" s="66"/>
      <c r="BK60" s="66"/>
      <c r="BL60" s="65"/>
      <c r="BM60" s="214"/>
      <c r="BN60" s="214"/>
      <c r="BO60" s="167"/>
      <c r="BP60" s="18"/>
      <c r="BQ60" s="119"/>
      <c r="BR60" s="18"/>
      <c r="BS60" s="18"/>
      <c r="BT60" s="21"/>
      <c r="BU60" s="97"/>
      <c r="BV60" s="155"/>
      <c r="BW60" s="155"/>
      <c r="BX60" s="97"/>
      <c r="BY60" s="15"/>
      <c r="BZ60" s="122"/>
      <c r="CA60" s="123"/>
      <c r="CB60" s="90"/>
      <c r="CC60" s="89"/>
      <c r="CD60" s="90"/>
      <c r="CE60" s="18"/>
      <c r="CF60" s="10"/>
      <c r="CG60" s="44"/>
      <c r="CH60" s="91"/>
      <c r="CI60" s="37"/>
      <c r="CJ60" s="92"/>
      <c r="CK60" s="37"/>
      <c r="CL60" s="92"/>
    </row>
    <row r="61" spans="1:145" ht="15.45" customHeight="1" x14ac:dyDescent="0.25">
      <c r="A61" s="32"/>
      <c r="B61" s="111"/>
      <c r="C61" s="81" t="s">
        <v>60</v>
      </c>
      <c r="D61" s="95" t="s">
        <v>61</v>
      </c>
      <c r="E61" s="39" t="s">
        <v>40</v>
      </c>
      <c r="F61" s="65"/>
      <c r="G61" s="65"/>
      <c r="H61" s="65"/>
      <c r="I61" s="66"/>
      <c r="J61" s="66"/>
      <c r="K61" s="65"/>
      <c r="L61" s="65"/>
      <c r="M61" s="65"/>
      <c r="N61" s="65"/>
      <c r="O61" s="65"/>
      <c r="P61" s="66"/>
      <c r="Q61" s="66"/>
      <c r="R61" s="65"/>
      <c r="S61" s="65"/>
      <c r="T61" s="65"/>
      <c r="U61" s="65"/>
      <c r="V61" s="65"/>
      <c r="W61" s="66"/>
      <c r="X61" s="66"/>
      <c r="Y61" s="65"/>
      <c r="Z61" s="65"/>
      <c r="AA61" s="65"/>
      <c r="AB61" s="65"/>
      <c r="AC61" s="65"/>
      <c r="AD61" s="66"/>
      <c r="AE61" s="66"/>
      <c r="AF61" s="65"/>
      <c r="AG61" s="65"/>
      <c r="AH61" s="65"/>
      <c r="AI61" s="65"/>
      <c r="AJ61" s="65"/>
      <c r="AK61" s="66"/>
      <c r="AL61" s="66"/>
      <c r="AM61" s="65"/>
      <c r="AN61" s="65"/>
      <c r="AO61" s="65"/>
      <c r="AP61" s="65"/>
      <c r="AQ61" s="65"/>
      <c r="AR61" s="66"/>
      <c r="AS61" s="66"/>
      <c r="AT61" s="65"/>
      <c r="AU61" s="65"/>
      <c r="AV61" s="65"/>
      <c r="AW61" s="65"/>
      <c r="AX61" s="65"/>
      <c r="AY61" s="66"/>
      <c r="AZ61" s="66"/>
      <c r="BA61" s="65"/>
      <c r="BB61" s="65"/>
      <c r="BC61" s="65"/>
      <c r="BD61" s="66"/>
      <c r="BE61" s="65">
        <v>4</v>
      </c>
      <c r="BF61" s="65">
        <v>4</v>
      </c>
      <c r="BG61" s="65">
        <v>4</v>
      </c>
      <c r="BH61" s="65">
        <v>4</v>
      </c>
      <c r="BI61" s="65">
        <v>4</v>
      </c>
      <c r="BJ61" s="65">
        <v>4</v>
      </c>
      <c r="BK61" s="65">
        <v>4</v>
      </c>
      <c r="BL61" s="65">
        <v>4</v>
      </c>
      <c r="BM61" s="214"/>
      <c r="BN61" s="214"/>
      <c r="BO61" s="82">
        <f>SUM(F61:BN61)</f>
        <v>32</v>
      </c>
      <c r="BP61" s="21">
        <f>1610</f>
        <v>1610</v>
      </c>
      <c r="BQ61" s="103">
        <v>0.55000000000000004</v>
      </c>
      <c r="BR61" s="21">
        <f>BP61*(1-BQ61)</f>
        <v>724.49999999999989</v>
      </c>
      <c r="BS61" s="21">
        <f>BR61*BO61</f>
        <v>23183.999999999996</v>
      </c>
      <c r="BT61" s="21">
        <f>BS61*0.8</f>
        <v>18547.199999999997</v>
      </c>
      <c r="BU61" s="97"/>
      <c r="BV61" s="155">
        <f>BT61/$BT$81</f>
        <v>4.5256450879182293E-2</v>
      </c>
      <c r="BW61" s="155">
        <v>4.8388488101002575E-2</v>
      </c>
      <c r="BX61" s="97"/>
      <c r="BY61" s="99">
        <f>BZ61/CC61*100</f>
        <v>0.43808988652757747</v>
      </c>
      <c r="BZ61" s="86">
        <v>71212.12</v>
      </c>
      <c r="CA61" s="87">
        <f>BY61*BO61</f>
        <v>14.018876368882479</v>
      </c>
      <c r="CB61" s="88">
        <v>11451245</v>
      </c>
      <c r="CC61" s="100">
        <v>16255139</v>
      </c>
      <c r="CD61" s="90">
        <f>CC61*CA61/100</f>
        <v>2278787.84</v>
      </c>
      <c r="CE61" s="21">
        <f>BT61/CD61*1000</f>
        <v>8.1390639683244927</v>
      </c>
      <c r="CF61" s="10"/>
      <c r="CG61" s="44" t="s">
        <v>60</v>
      </c>
      <c r="CH61" s="91">
        <f>BR61*0.8</f>
        <v>579.59999999999991</v>
      </c>
      <c r="CI61" s="37">
        <f>SUM(AK61:BG61)</f>
        <v>12</v>
      </c>
      <c r="CJ61" s="92">
        <f>CH61*CI61</f>
        <v>6955.1999999999989</v>
      </c>
      <c r="CK61" s="37">
        <f>SUM(BH61:BN61)</f>
        <v>20</v>
      </c>
      <c r="CL61" s="92">
        <f>CK61*CH61</f>
        <v>11591.999999999998</v>
      </c>
      <c r="CM61" s="101" t="b">
        <f>(CJ61+CL61)=BT61</f>
        <v>1</v>
      </c>
      <c r="EO61" s="45">
        <f>SUM(F61:EN61)</f>
        <v>30119695.699675165</v>
      </c>
    </row>
    <row r="62" spans="1:145" ht="15.45" customHeight="1" x14ac:dyDescent="0.25">
      <c r="A62" s="32"/>
      <c r="B62" s="111"/>
      <c r="C62" s="81"/>
      <c r="D62" s="95"/>
      <c r="E62" s="39"/>
      <c r="F62" s="65"/>
      <c r="G62" s="65"/>
      <c r="H62" s="65"/>
      <c r="I62" s="66"/>
      <c r="J62" s="66"/>
      <c r="K62" s="65"/>
      <c r="L62" s="65"/>
      <c r="M62" s="65"/>
      <c r="N62" s="65"/>
      <c r="O62" s="65"/>
      <c r="P62" s="66"/>
      <c r="Q62" s="66"/>
      <c r="R62" s="65"/>
      <c r="S62" s="65"/>
      <c r="T62" s="65"/>
      <c r="U62" s="65"/>
      <c r="V62" s="65"/>
      <c r="W62" s="66"/>
      <c r="X62" s="66"/>
      <c r="Y62" s="65"/>
      <c r="Z62" s="65"/>
      <c r="AA62" s="65"/>
      <c r="AB62" s="65"/>
      <c r="AC62" s="65"/>
      <c r="AD62" s="66"/>
      <c r="AE62" s="66"/>
      <c r="AF62" s="65"/>
      <c r="AG62" s="65"/>
      <c r="AH62" s="65"/>
      <c r="AI62" s="65"/>
      <c r="AJ62" s="65"/>
      <c r="AK62" s="66"/>
      <c r="AL62" s="66"/>
      <c r="AM62" s="65"/>
      <c r="AN62" s="65"/>
      <c r="AO62" s="65"/>
      <c r="AP62" s="65"/>
      <c r="AQ62" s="65"/>
      <c r="AR62" s="66"/>
      <c r="AS62" s="66"/>
      <c r="AT62" s="65"/>
      <c r="AU62" s="65"/>
      <c r="AV62" s="65"/>
      <c r="AW62" s="65"/>
      <c r="AX62" s="65"/>
      <c r="AY62" s="66"/>
      <c r="AZ62" s="66"/>
      <c r="BA62" s="65"/>
      <c r="BB62" s="65"/>
      <c r="BC62" s="65"/>
      <c r="BD62" s="66"/>
      <c r="BE62" s="65"/>
      <c r="BF62" s="214"/>
      <c r="BG62" s="214"/>
      <c r="BH62" s="65"/>
      <c r="BI62" s="65"/>
      <c r="BJ62" s="66"/>
      <c r="BK62" s="66"/>
      <c r="BL62" s="65"/>
      <c r="BM62" s="214"/>
      <c r="BN62" s="214"/>
      <c r="BO62" s="172"/>
      <c r="BP62" s="21"/>
      <c r="BQ62" s="103"/>
      <c r="BR62" s="21"/>
      <c r="BS62" s="21"/>
      <c r="BT62" s="114"/>
      <c r="BU62" s="97"/>
      <c r="BV62" s="165"/>
      <c r="BW62" s="165"/>
      <c r="BX62" s="97"/>
      <c r="BY62" s="166"/>
      <c r="BZ62" s="107"/>
      <c r="CA62" s="108"/>
      <c r="CB62" s="109"/>
      <c r="CC62" s="110"/>
      <c r="CD62" s="109"/>
      <c r="CE62" s="114"/>
      <c r="CF62" s="10"/>
      <c r="CG62" s="44"/>
      <c r="CH62" s="91"/>
      <c r="CI62" s="37"/>
      <c r="CJ62" s="92"/>
      <c r="CK62" s="37"/>
      <c r="CL62" s="92"/>
    </row>
    <row r="63" spans="1:145" ht="15.45" customHeight="1" x14ac:dyDescent="0.25">
      <c r="A63" s="32"/>
      <c r="B63" s="115"/>
      <c r="C63" s="94"/>
      <c r="D63" s="95"/>
      <c r="E63" s="117"/>
      <c r="F63" s="65"/>
      <c r="G63" s="65"/>
      <c r="H63" s="65"/>
      <c r="I63" s="66"/>
      <c r="J63" s="66"/>
      <c r="K63" s="65"/>
      <c r="L63" s="65"/>
      <c r="M63" s="65"/>
      <c r="N63" s="65"/>
      <c r="O63" s="65"/>
      <c r="P63" s="66"/>
      <c r="Q63" s="66"/>
      <c r="R63" s="65"/>
      <c r="S63" s="65"/>
      <c r="T63" s="65"/>
      <c r="U63" s="65"/>
      <c r="V63" s="65"/>
      <c r="W63" s="66"/>
      <c r="X63" s="66"/>
      <c r="Y63" s="65"/>
      <c r="Z63" s="65"/>
      <c r="AA63" s="65"/>
      <c r="AB63" s="65"/>
      <c r="AC63" s="65"/>
      <c r="AD63" s="66"/>
      <c r="AE63" s="66"/>
      <c r="AF63" s="65"/>
      <c r="AG63" s="65"/>
      <c r="AH63" s="65"/>
      <c r="AI63" s="65"/>
      <c r="AJ63" s="65"/>
      <c r="AK63" s="66"/>
      <c r="AL63" s="66"/>
      <c r="AM63" s="65"/>
      <c r="AN63" s="65"/>
      <c r="AO63" s="65"/>
      <c r="AP63" s="65"/>
      <c r="AQ63" s="65"/>
      <c r="AR63" s="66"/>
      <c r="AS63" s="66"/>
      <c r="AT63" s="65"/>
      <c r="AU63" s="65"/>
      <c r="AV63" s="65"/>
      <c r="AW63" s="65"/>
      <c r="AX63" s="65"/>
      <c r="AY63" s="66"/>
      <c r="AZ63" s="66"/>
      <c r="BA63" s="65"/>
      <c r="BB63" s="65"/>
      <c r="BC63" s="65"/>
      <c r="BD63" s="66"/>
      <c r="BE63" s="65"/>
      <c r="BF63" s="214"/>
      <c r="BG63" s="214"/>
      <c r="BH63" s="65"/>
      <c r="BI63" s="65"/>
      <c r="BJ63" s="66"/>
      <c r="BK63" s="66"/>
      <c r="BL63" s="65"/>
      <c r="BM63" s="214"/>
      <c r="BN63" s="214"/>
      <c r="BO63" s="163"/>
      <c r="BP63" s="18"/>
      <c r="BQ63" s="119"/>
      <c r="BR63" s="18"/>
      <c r="BS63" s="18"/>
      <c r="BT63" s="21"/>
      <c r="BU63" s="97"/>
      <c r="BV63" s="155"/>
      <c r="BW63" s="155"/>
      <c r="BX63" s="97"/>
      <c r="BY63" s="15"/>
      <c r="BZ63" s="122"/>
      <c r="CA63" s="123"/>
      <c r="CB63" s="90"/>
      <c r="CC63" s="89"/>
      <c r="CD63" s="90"/>
      <c r="CE63" s="18"/>
      <c r="CF63" s="10"/>
      <c r="CG63" s="44"/>
      <c r="CH63" s="91"/>
      <c r="CI63" s="37"/>
      <c r="CJ63" s="92"/>
      <c r="CK63" s="37"/>
      <c r="CL63" s="92"/>
    </row>
    <row r="64" spans="1:145" ht="15.45" customHeight="1" x14ac:dyDescent="0.25">
      <c r="A64" s="32"/>
      <c r="B64" s="111"/>
      <c r="C64" s="81" t="s">
        <v>62</v>
      </c>
      <c r="D64" s="95" t="s">
        <v>51</v>
      </c>
      <c r="E64" s="39" t="s">
        <v>40</v>
      </c>
      <c r="F64" s="65"/>
      <c r="G64" s="65"/>
      <c r="H64" s="65"/>
      <c r="I64" s="66"/>
      <c r="J64" s="66"/>
      <c r="K64" s="65"/>
      <c r="L64" s="65"/>
      <c r="M64" s="65"/>
      <c r="N64" s="65"/>
      <c r="O64" s="65"/>
      <c r="P64" s="66"/>
      <c r="Q64" s="66"/>
      <c r="R64" s="65"/>
      <c r="S64" s="65"/>
      <c r="T64" s="65"/>
      <c r="U64" s="65"/>
      <c r="V64" s="65"/>
      <c r="W64" s="66"/>
      <c r="X64" s="66"/>
      <c r="Y64" s="65"/>
      <c r="Z64" s="65"/>
      <c r="AA64" s="65"/>
      <c r="AB64" s="65"/>
      <c r="AC64" s="65"/>
      <c r="AD64" s="66"/>
      <c r="AE64" s="66"/>
      <c r="AF64" s="65"/>
      <c r="AG64" s="65"/>
      <c r="AH64" s="65"/>
      <c r="AI64" s="65"/>
      <c r="AJ64" s="65"/>
      <c r="AK64" s="66"/>
      <c r="AL64" s="66"/>
      <c r="AM64" s="65"/>
      <c r="AN64" s="65"/>
      <c r="AO64" s="65"/>
      <c r="AP64" s="65"/>
      <c r="AQ64" s="65"/>
      <c r="AR64" s="66"/>
      <c r="AS64" s="66"/>
      <c r="AT64" s="65"/>
      <c r="AU64" s="65"/>
      <c r="AV64" s="65"/>
      <c r="AW64" s="65"/>
      <c r="AX64" s="65"/>
      <c r="AY64" s="66"/>
      <c r="AZ64" s="66"/>
      <c r="BA64" s="65"/>
      <c r="BB64" s="65"/>
      <c r="BC64" s="65"/>
      <c r="BD64" s="66"/>
      <c r="BE64" s="65">
        <v>3</v>
      </c>
      <c r="BF64" s="65">
        <v>3</v>
      </c>
      <c r="BG64" s="65">
        <v>3</v>
      </c>
      <c r="BH64" s="65">
        <v>3</v>
      </c>
      <c r="BI64" s="65">
        <v>3</v>
      </c>
      <c r="BJ64" s="65">
        <v>3</v>
      </c>
      <c r="BK64" s="65">
        <v>3</v>
      </c>
      <c r="BL64" s="65">
        <v>3</v>
      </c>
      <c r="BM64" s="214"/>
      <c r="BN64" s="214"/>
      <c r="BO64" s="82">
        <f>SUM(F64:BN64)</f>
        <v>24</v>
      </c>
      <c r="BP64" s="21">
        <f>5205</f>
        <v>5205</v>
      </c>
      <c r="BQ64" s="103">
        <v>0.75</v>
      </c>
      <c r="BR64" s="21">
        <f>BP64*(1-BQ64)</f>
        <v>1301.25</v>
      </c>
      <c r="BS64" s="21">
        <f>BR64*BO64</f>
        <v>31230</v>
      </c>
      <c r="BT64" s="21">
        <f>BS64*0.8</f>
        <v>24984</v>
      </c>
      <c r="BU64" s="97"/>
      <c r="BV64" s="161">
        <f>BT64/$BT$81</f>
        <v>6.0962688102004108E-2</v>
      </c>
      <c r="BW64" s="161">
        <v>5.7246938374287501E-2</v>
      </c>
      <c r="BX64" s="97"/>
      <c r="BY64" s="99">
        <f>BZ64/CC64*100</f>
        <v>0.42775475497318111</v>
      </c>
      <c r="BZ64" s="86">
        <v>69532.13</v>
      </c>
      <c r="CA64" s="87">
        <f>BY64*BO64</f>
        <v>10.266114119356347</v>
      </c>
      <c r="CB64" s="88">
        <v>11451245</v>
      </c>
      <c r="CC64" s="100">
        <v>16255139</v>
      </c>
      <c r="CD64" s="90">
        <f>CC64*CA64/100</f>
        <v>1668771.12</v>
      </c>
      <c r="CE64" s="21">
        <f>BT64/CD64*1000</f>
        <v>14.971495911314667</v>
      </c>
      <c r="CF64" s="10"/>
      <c r="CG64" s="44" t="s">
        <v>62</v>
      </c>
      <c r="CH64" s="91">
        <f>BR64*0.8</f>
        <v>1041</v>
      </c>
      <c r="CI64" s="37">
        <f>SUM(AK64:BG64)</f>
        <v>9</v>
      </c>
      <c r="CJ64" s="92">
        <f>CH64*CI64</f>
        <v>9369</v>
      </c>
      <c r="CK64" s="37">
        <f>SUM(BH64:BN64)</f>
        <v>15</v>
      </c>
      <c r="CL64" s="92">
        <f>CK64*CH64</f>
        <v>15615</v>
      </c>
      <c r="CM64" s="101" t="b">
        <f>(CJ64+CL64)=BT64</f>
        <v>1</v>
      </c>
    </row>
    <row r="65" spans="1:91" ht="15.45" customHeight="1" x14ac:dyDescent="0.25">
      <c r="A65" s="32"/>
      <c r="B65" s="111"/>
      <c r="C65" s="81"/>
      <c r="D65" s="95"/>
      <c r="E65" s="39"/>
      <c r="F65" s="65"/>
      <c r="G65" s="65"/>
      <c r="H65" s="65"/>
      <c r="I65" s="66"/>
      <c r="J65" s="66"/>
      <c r="K65" s="65"/>
      <c r="L65" s="65"/>
      <c r="M65" s="65"/>
      <c r="N65" s="65"/>
      <c r="O65" s="65"/>
      <c r="P65" s="66"/>
      <c r="Q65" s="66"/>
      <c r="R65" s="65"/>
      <c r="S65" s="65"/>
      <c r="T65" s="65"/>
      <c r="U65" s="65"/>
      <c r="V65" s="65"/>
      <c r="W65" s="66"/>
      <c r="X65" s="66"/>
      <c r="Y65" s="65"/>
      <c r="Z65" s="65"/>
      <c r="AA65" s="65"/>
      <c r="AB65" s="65"/>
      <c r="AC65" s="65"/>
      <c r="AD65" s="66"/>
      <c r="AE65" s="66"/>
      <c r="AF65" s="65"/>
      <c r="AG65" s="65"/>
      <c r="AH65" s="65"/>
      <c r="AI65" s="65"/>
      <c r="AJ65" s="65"/>
      <c r="AK65" s="66"/>
      <c r="AL65" s="66"/>
      <c r="AM65" s="65"/>
      <c r="AN65" s="65"/>
      <c r="AO65" s="65"/>
      <c r="AP65" s="65"/>
      <c r="AQ65" s="65"/>
      <c r="AR65" s="66"/>
      <c r="AS65" s="66"/>
      <c r="AT65" s="65"/>
      <c r="AU65" s="65"/>
      <c r="AV65" s="65"/>
      <c r="AW65" s="65"/>
      <c r="AX65" s="65"/>
      <c r="AY65" s="66"/>
      <c r="AZ65" s="66"/>
      <c r="BA65" s="65"/>
      <c r="BB65" s="65"/>
      <c r="BC65" s="65"/>
      <c r="BD65" s="66"/>
      <c r="BE65" s="65"/>
      <c r="BF65" s="214"/>
      <c r="BG65" s="214"/>
      <c r="BH65" s="65"/>
      <c r="BI65" s="65"/>
      <c r="BJ65" s="66"/>
      <c r="BK65" s="66"/>
      <c r="BL65" s="65"/>
      <c r="BM65" s="214"/>
      <c r="BN65" s="214"/>
      <c r="BO65" s="163"/>
      <c r="BP65" s="21"/>
      <c r="BQ65" s="103"/>
      <c r="BR65" s="21"/>
      <c r="BS65" s="21"/>
      <c r="BT65" s="114"/>
      <c r="BU65" s="97"/>
      <c r="BV65" s="165"/>
      <c r="BW65" s="165"/>
      <c r="BX65" s="97"/>
      <c r="BY65" s="166"/>
      <c r="BZ65" s="107"/>
      <c r="CA65" s="108"/>
      <c r="CB65" s="109"/>
      <c r="CC65" s="110"/>
      <c r="CD65" s="109"/>
      <c r="CE65" s="114"/>
      <c r="CF65" s="10"/>
      <c r="CG65" s="44"/>
      <c r="CH65" s="91"/>
      <c r="CI65" s="37"/>
      <c r="CJ65" s="92"/>
      <c r="CK65" s="37"/>
      <c r="CL65" s="92"/>
    </row>
    <row r="66" spans="1:91" ht="15.45" customHeight="1" x14ac:dyDescent="0.25">
      <c r="A66" s="32"/>
      <c r="B66" s="115"/>
      <c r="C66" s="94"/>
      <c r="D66" s="95"/>
      <c r="E66" s="117"/>
      <c r="F66" s="65"/>
      <c r="G66" s="65"/>
      <c r="H66" s="65"/>
      <c r="I66" s="66"/>
      <c r="J66" s="66"/>
      <c r="K66" s="65"/>
      <c r="L66" s="65"/>
      <c r="M66" s="65"/>
      <c r="N66" s="65"/>
      <c r="O66" s="65"/>
      <c r="P66" s="66"/>
      <c r="Q66" s="66"/>
      <c r="R66" s="65"/>
      <c r="S66" s="65"/>
      <c r="T66" s="65"/>
      <c r="U66" s="65"/>
      <c r="V66" s="65"/>
      <c r="W66" s="66"/>
      <c r="X66" s="66"/>
      <c r="Y66" s="65"/>
      <c r="Z66" s="65"/>
      <c r="AA66" s="65"/>
      <c r="AB66" s="65"/>
      <c r="AC66" s="65"/>
      <c r="AD66" s="66"/>
      <c r="AE66" s="66"/>
      <c r="AF66" s="65"/>
      <c r="AG66" s="65"/>
      <c r="AH66" s="65"/>
      <c r="AI66" s="65"/>
      <c r="AJ66" s="65"/>
      <c r="AK66" s="66"/>
      <c r="AL66" s="66"/>
      <c r="AM66" s="65"/>
      <c r="AN66" s="65"/>
      <c r="AO66" s="65"/>
      <c r="AP66" s="65"/>
      <c r="AQ66" s="65"/>
      <c r="AR66" s="66"/>
      <c r="AS66" s="66"/>
      <c r="AT66" s="65"/>
      <c r="AU66" s="65"/>
      <c r="AV66" s="65"/>
      <c r="AW66" s="65"/>
      <c r="AX66" s="65"/>
      <c r="AY66" s="66"/>
      <c r="AZ66" s="66"/>
      <c r="BA66" s="65"/>
      <c r="BB66" s="65"/>
      <c r="BC66" s="65"/>
      <c r="BD66" s="66"/>
      <c r="BE66" s="65"/>
      <c r="BF66" s="214"/>
      <c r="BG66" s="214"/>
      <c r="BH66" s="65"/>
      <c r="BI66" s="65"/>
      <c r="BJ66" s="66"/>
      <c r="BK66" s="66"/>
      <c r="BL66" s="65"/>
      <c r="BM66" s="214"/>
      <c r="BN66" s="214"/>
      <c r="BO66" s="167"/>
      <c r="BP66" s="18"/>
      <c r="BQ66" s="119"/>
      <c r="BR66" s="18"/>
      <c r="BS66" s="18"/>
      <c r="BT66" s="21"/>
      <c r="BU66" s="97"/>
      <c r="BV66" s="155"/>
      <c r="BW66" s="155"/>
      <c r="BX66" s="97"/>
      <c r="BY66" s="15"/>
      <c r="BZ66" s="122"/>
      <c r="CA66" s="123"/>
      <c r="CB66" s="90"/>
      <c r="CC66" s="89"/>
      <c r="CD66" s="90"/>
      <c r="CE66" s="18"/>
      <c r="CF66" s="10"/>
      <c r="CG66" s="44"/>
      <c r="CH66" s="91"/>
      <c r="CI66" s="37"/>
      <c r="CJ66" s="92"/>
      <c r="CK66" s="37"/>
      <c r="CL66" s="92"/>
    </row>
    <row r="67" spans="1:91" ht="15.45" customHeight="1" x14ac:dyDescent="0.25">
      <c r="A67" s="32"/>
      <c r="B67" s="111"/>
      <c r="C67" s="81" t="s">
        <v>63</v>
      </c>
      <c r="D67" s="95" t="s">
        <v>39</v>
      </c>
      <c r="E67" s="39" t="s">
        <v>40</v>
      </c>
      <c r="F67" s="65"/>
      <c r="G67" s="65"/>
      <c r="H67" s="65"/>
      <c r="I67" s="66"/>
      <c r="J67" s="66"/>
      <c r="K67" s="65"/>
      <c r="L67" s="65"/>
      <c r="M67" s="65"/>
      <c r="N67" s="65"/>
      <c r="O67" s="65"/>
      <c r="P67" s="66"/>
      <c r="Q67" s="66"/>
      <c r="R67" s="65"/>
      <c r="S67" s="65"/>
      <c r="T67" s="65"/>
      <c r="U67" s="65"/>
      <c r="V67" s="65"/>
      <c r="W67" s="66"/>
      <c r="X67" s="66"/>
      <c r="Y67" s="65"/>
      <c r="Z67" s="65"/>
      <c r="AA67" s="65"/>
      <c r="AB67" s="65"/>
      <c r="AC67" s="65"/>
      <c r="AD67" s="66"/>
      <c r="AE67" s="66"/>
      <c r="AF67" s="65"/>
      <c r="AG67" s="65"/>
      <c r="AH67" s="65"/>
      <c r="AI67" s="65"/>
      <c r="AJ67" s="65"/>
      <c r="AK67" s="66"/>
      <c r="AL67" s="66"/>
      <c r="AM67" s="65"/>
      <c r="AN67" s="65"/>
      <c r="AO67" s="65"/>
      <c r="AP67" s="65"/>
      <c r="AQ67" s="65"/>
      <c r="AR67" s="66"/>
      <c r="AS67" s="66"/>
      <c r="AT67" s="65"/>
      <c r="AU67" s="65"/>
      <c r="AV67" s="65"/>
      <c r="AW67" s="65"/>
      <c r="AX67" s="65"/>
      <c r="AY67" s="66"/>
      <c r="AZ67" s="66"/>
      <c r="BA67" s="65"/>
      <c r="BB67" s="65"/>
      <c r="BC67" s="65"/>
      <c r="BD67" s="66"/>
      <c r="BE67" s="65">
        <v>4</v>
      </c>
      <c r="BF67" s="65">
        <v>4</v>
      </c>
      <c r="BG67" s="65">
        <v>4</v>
      </c>
      <c r="BH67" s="65">
        <v>4</v>
      </c>
      <c r="BI67" s="65">
        <v>4</v>
      </c>
      <c r="BJ67" s="65">
        <v>4</v>
      </c>
      <c r="BK67" s="65">
        <v>4</v>
      </c>
      <c r="BL67" s="65">
        <v>4</v>
      </c>
      <c r="BM67" s="214"/>
      <c r="BN67" s="214"/>
      <c r="BO67" s="82">
        <f>SUM(F67:BN67)</f>
        <v>32</v>
      </c>
      <c r="BP67" s="21">
        <f>3877</f>
        <v>3877</v>
      </c>
      <c r="BQ67" s="103">
        <v>0.8</v>
      </c>
      <c r="BR67" s="21">
        <f>BP67*(1-BQ67)</f>
        <v>775.39999999999986</v>
      </c>
      <c r="BS67" s="21">
        <f>BR67*BO67</f>
        <v>24812.799999999996</v>
      </c>
      <c r="BT67" s="21">
        <f>BS67*0.8</f>
        <v>19850.239999999998</v>
      </c>
      <c r="BU67" s="97"/>
      <c r="BV67" s="161">
        <f>BT67/$BT$81</f>
        <v>4.8435958608306351E-2</v>
      </c>
      <c r="BW67" s="161">
        <v>4.5629448884438699E-2</v>
      </c>
      <c r="BX67" s="97"/>
      <c r="BY67" s="99">
        <f>BZ67/CC67*100</f>
        <v>0.22298511258501083</v>
      </c>
      <c r="BZ67" s="86">
        <v>36246.54</v>
      </c>
      <c r="CA67" s="87">
        <f>BY67*BO67</f>
        <v>7.1355236027203466</v>
      </c>
      <c r="CB67" s="88">
        <v>11451245</v>
      </c>
      <c r="CC67" s="100">
        <v>16255139</v>
      </c>
      <c r="CD67" s="90">
        <f>CC67*(CA67+CA69)/100</f>
        <v>1159889.2800000003</v>
      </c>
      <c r="CE67" s="21">
        <f>BT67/CD67*1000</f>
        <v>17.113909355210176</v>
      </c>
      <c r="CF67" s="10"/>
      <c r="CG67" s="44" t="s">
        <v>63</v>
      </c>
      <c r="CH67" s="91">
        <f>BR67*0.8</f>
        <v>620.31999999999994</v>
      </c>
      <c r="CI67" s="37">
        <f>SUM(AK67:BG67)</f>
        <v>12</v>
      </c>
      <c r="CJ67" s="92">
        <f>CH67*CI67</f>
        <v>7443.8399999999992</v>
      </c>
      <c r="CK67" s="37">
        <f>SUM(BH67:BN67)</f>
        <v>20</v>
      </c>
      <c r="CL67" s="92">
        <f>CK67*CH67</f>
        <v>12406.399999999998</v>
      </c>
      <c r="CM67" s="101" t="b">
        <f>(CJ67+CL67)=BT67</f>
        <v>1</v>
      </c>
    </row>
    <row r="68" spans="1:91" ht="15.45" customHeight="1" x14ac:dyDescent="0.25">
      <c r="A68" s="32"/>
      <c r="B68" s="111"/>
      <c r="C68" s="81"/>
      <c r="D68" s="95"/>
      <c r="E68" s="39"/>
      <c r="F68" s="65"/>
      <c r="G68" s="65"/>
      <c r="H68" s="65"/>
      <c r="I68" s="66"/>
      <c r="J68" s="66"/>
      <c r="K68" s="65"/>
      <c r="L68" s="65"/>
      <c r="M68" s="65"/>
      <c r="N68" s="65"/>
      <c r="O68" s="65"/>
      <c r="P68" s="66"/>
      <c r="Q68" s="66"/>
      <c r="R68" s="65"/>
      <c r="S68" s="65"/>
      <c r="T68" s="65"/>
      <c r="U68" s="65"/>
      <c r="V68" s="65"/>
      <c r="W68" s="66"/>
      <c r="X68" s="66"/>
      <c r="Y68" s="65"/>
      <c r="Z68" s="65"/>
      <c r="AA68" s="65"/>
      <c r="AB68" s="65"/>
      <c r="AC68" s="65"/>
      <c r="AD68" s="66"/>
      <c r="AE68" s="66"/>
      <c r="AF68" s="65"/>
      <c r="AG68" s="65"/>
      <c r="AH68" s="65"/>
      <c r="AI68" s="65"/>
      <c r="AJ68" s="65"/>
      <c r="AK68" s="66"/>
      <c r="AL68" s="66"/>
      <c r="AM68" s="65"/>
      <c r="AN68" s="65"/>
      <c r="AO68" s="65"/>
      <c r="AP68" s="65"/>
      <c r="AQ68" s="65"/>
      <c r="AR68" s="66"/>
      <c r="AS68" s="66"/>
      <c r="AT68" s="65"/>
      <c r="AU68" s="65"/>
      <c r="AV68" s="65"/>
      <c r="AW68" s="65"/>
      <c r="AX68" s="65"/>
      <c r="AY68" s="66"/>
      <c r="AZ68" s="66"/>
      <c r="BA68" s="65"/>
      <c r="BB68" s="65"/>
      <c r="BC68" s="65"/>
      <c r="BD68" s="66"/>
      <c r="BE68" s="65"/>
      <c r="BF68" s="65"/>
      <c r="BG68" s="65"/>
      <c r="BH68" s="65"/>
      <c r="BI68" s="65"/>
      <c r="BJ68" s="66"/>
      <c r="BK68" s="66"/>
      <c r="BL68" s="65"/>
      <c r="BM68" s="214"/>
      <c r="BN68" s="214"/>
      <c r="BO68" s="173"/>
      <c r="BP68" s="104"/>
      <c r="BQ68" s="174"/>
      <c r="BR68" s="104"/>
      <c r="BS68" s="104"/>
      <c r="BT68" s="124"/>
      <c r="BU68" s="97"/>
      <c r="BV68" s="125"/>
      <c r="BW68" s="125"/>
      <c r="BX68" s="97"/>
      <c r="BY68" s="166"/>
      <c r="BZ68" s="107"/>
      <c r="CA68" s="108"/>
      <c r="CB68" s="109"/>
      <c r="CC68" s="110"/>
      <c r="CD68" s="109"/>
      <c r="CE68" s="114"/>
      <c r="CF68" s="10"/>
      <c r="CG68" s="44"/>
      <c r="CH68" s="91"/>
      <c r="CI68" s="37"/>
      <c r="CJ68" s="92"/>
      <c r="CK68" s="37"/>
      <c r="CL68" s="92"/>
    </row>
    <row r="69" spans="1:91" ht="15.45" customHeight="1" x14ac:dyDescent="0.25">
      <c r="A69" s="32"/>
      <c r="B69" s="111"/>
      <c r="C69" s="94"/>
      <c r="D69" s="81"/>
      <c r="E69" s="39"/>
      <c r="F69" s="65"/>
      <c r="G69" s="65"/>
      <c r="H69" s="65"/>
      <c r="I69" s="66"/>
      <c r="J69" s="66"/>
      <c r="K69" s="65"/>
      <c r="L69" s="65"/>
      <c r="M69" s="65"/>
      <c r="N69" s="65"/>
      <c r="O69" s="65"/>
      <c r="P69" s="66"/>
      <c r="Q69" s="66"/>
      <c r="R69" s="65"/>
      <c r="S69" s="65"/>
      <c r="T69" s="65"/>
      <c r="U69" s="65"/>
      <c r="V69" s="65"/>
      <c r="W69" s="66"/>
      <c r="X69" s="66"/>
      <c r="Y69" s="65"/>
      <c r="Z69" s="65"/>
      <c r="AA69" s="65"/>
      <c r="AB69" s="65"/>
      <c r="AC69" s="65"/>
      <c r="AD69" s="66"/>
      <c r="AE69" s="66"/>
      <c r="AF69" s="65"/>
      <c r="AG69" s="65"/>
      <c r="AH69" s="65"/>
      <c r="AI69" s="65"/>
      <c r="AJ69" s="65"/>
      <c r="AK69" s="66"/>
      <c r="AL69" s="66"/>
      <c r="AM69" s="65"/>
      <c r="AN69" s="65"/>
      <c r="AO69" s="65"/>
      <c r="AP69" s="65"/>
      <c r="AQ69" s="65"/>
      <c r="AR69" s="66"/>
      <c r="AS69" s="66"/>
      <c r="AT69" s="65"/>
      <c r="AU69" s="65"/>
      <c r="AV69" s="65"/>
      <c r="AW69" s="65"/>
      <c r="AX69" s="65"/>
      <c r="AY69" s="66"/>
      <c r="AZ69" s="66"/>
      <c r="BA69" s="65"/>
      <c r="BB69" s="65"/>
      <c r="BC69" s="65"/>
      <c r="BD69" s="66"/>
      <c r="BE69" s="65"/>
      <c r="BF69" s="65"/>
      <c r="BG69" s="65"/>
      <c r="BH69" s="65"/>
      <c r="BI69" s="65"/>
      <c r="BJ69" s="66"/>
      <c r="BK69" s="66"/>
      <c r="BL69" s="65"/>
      <c r="BM69" s="214"/>
      <c r="BN69" s="214"/>
      <c r="BO69" s="175"/>
      <c r="BP69" s="22"/>
      <c r="BQ69" s="103"/>
      <c r="BR69" s="22"/>
      <c r="BS69" s="22"/>
      <c r="BT69" s="22"/>
      <c r="BU69" s="97"/>
      <c r="BV69" s="126"/>
      <c r="BW69" s="126"/>
      <c r="BX69" s="97"/>
      <c r="BY69" s="15"/>
      <c r="BZ69" s="122"/>
      <c r="CA69" s="123"/>
      <c r="CB69" s="90"/>
      <c r="CC69" s="89"/>
      <c r="CD69" s="90"/>
      <c r="CE69" s="18"/>
      <c r="CF69" s="10"/>
      <c r="CG69" s="44"/>
      <c r="CH69" s="91"/>
      <c r="CI69" s="37"/>
      <c r="CJ69" s="92"/>
      <c r="CK69" s="37"/>
      <c r="CL69" s="92"/>
    </row>
    <row r="70" spans="1:91" ht="15.45" customHeight="1" x14ac:dyDescent="0.25">
      <c r="A70" s="32"/>
      <c r="B70" s="111"/>
      <c r="C70" s="81" t="s">
        <v>64</v>
      </c>
      <c r="D70" s="95" t="s">
        <v>51</v>
      </c>
      <c r="E70" s="39" t="s">
        <v>40</v>
      </c>
      <c r="F70" s="65"/>
      <c r="G70" s="65"/>
      <c r="H70" s="65"/>
      <c r="I70" s="66"/>
      <c r="J70" s="66"/>
      <c r="K70" s="65"/>
      <c r="L70" s="65"/>
      <c r="M70" s="65"/>
      <c r="N70" s="65"/>
      <c r="O70" s="65"/>
      <c r="P70" s="66"/>
      <c r="Q70" s="66"/>
      <c r="R70" s="65"/>
      <c r="S70" s="65"/>
      <c r="T70" s="65"/>
      <c r="U70" s="65"/>
      <c r="V70" s="65"/>
      <c r="W70" s="66"/>
      <c r="X70" s="66"/>
      <c r="Y70" s="65"/>
      <c r="Z70" s="65"/>
      <c r="AA70" s="65"/>
      <c r="AB70" s="65"/>
      <c r="AC70" s="65"/>
      <c r="AD70" s="66"/>
      <c r="AE70" s="66"/>
      <c r="AF70" s="65"/>
      <c r="AG70" s="65"/>
      <c r="AH70" s="65"/>
      <c r="AI70" s="65"/>
      <c r="AJ70" s="65"/>
      <c r="AK70" s="66"/>
      <c r="AL70" s="66"/>
      <c r="AM70" s="65"/>
      <c r="AN70" s="65"/>
      <c r="AO70" s="65"/>
      <c r="AP70" s="65"/>
      <c r="AQ70" s="65"/>
      <c r="AR70" s="66"/>
      <c r="AS70" s="66"/>
      <c r="AT70" s="65"/>
      <c r="AU70" s="65"/>
      <c r="AV70" s="65"/>
      <c r="AW70" s="65"/>
      <c r="AX70" s="65"/>
      <c r="AY70" s="66"/>
      <c r="AZ70" s="66"/>
      <c r="BA70" s="65"/>
      <c r="BB70" s="65"/>
      <c r="BC70" s="65"/>
      <c r="BD70" s="66"/>
      <c r="BE70" s="65">
        <v>4</v>
      </c>
      <c r="BF70" s="65">
        <v>4</v>
      </c>
      <c r="BG70" s="65">
        <v>4</v>
      </c>
      <c r="BH70" s="65">
        <v>4</v>
      </c>
      <c r="BI70" s="65">
        <v>4</v>
      </c>
      <c r="BJ70" s="65">
        <v>4</v>
      </c>
      <c r="BK70" s="65">
        <v>4</v>
      </c>
      <c r="BL70" s="65">
        <v>4</v>
      </c>
      <c r="BM70" s="214"/>
      <c r="BN70" s="214"/>
      <c r="BO70" s="82">
        <f>SUM(F70:BN70)</f>
        <v>32</v>
      </c>
      <c r="BP70" s="22">
        <f>2166</f>
        <v>2166</v>
      </c>
      <c r="BQ70" s="103">
        <v>0.73</v>
      </c>
      <c r="BR70" s="22">
        <f>BP70*(1-BQ70)</f>
        <v>584.82000000000005</v>
      </c>
      <c r="BS70" s="176">
        <f>BR70*BO70</f>
        <v>18714.240000000002</v>
      </c>
      <c r="BT70" s="21">
        <f>BS70*0.8</f>
        <v>14971.392000000002</v>
      </c>
      <c r="BU70" s="97"/>
      <c r="BV70" s="155">
        <f>BT70/$BT$81</f>
        <v>3.6531232026450512E-2</v>
      </c>
      <c r="BW70" s="155">
        <v>3.6231216687996198E-2</v>
      </c>
      <c r="BX70" s="97"/>
      <c r="BY70" s="99">
        <f>BZ70/CC70*100</f>
        <v>0.30991565190552972</v>
      </c>
      <c r="BZ70" s="86">
        <v>50377.22</v>
      </c>
      <c r="CA70" s="87">
        <f>BY70*BO70</f>
        <v>9.9173008609769511</v>
      </c>
      <c r="CB70" s="88">
        <v>11451245</v>
      </c>
      <c r="CC70" s="100">
        <v>16255139</v>
      </c>
      <c r="CD70" s="90">
        <f>CC70*CA70/100</f>
        <v>1612071.0400000003</v>
      </c>
      <c r="CE70" s="21">
        <f>BT70/CD70*1000</f>
        <v>9.2870547441879481</v>
      </c>
      <c r="CF70" s="10"/>
      <c r="CG70" s="44" t="s">
        <v>64</v>
      </c>
      <c r="CH70" s="91">
        <f>BR70*0.8</f>
        <v>467.85600000000005</v>
      </c>
      <c r="CI70" s="37">
        <f>SUM(AK70:BG70)</f>
        <v>12</v>
      </c>
      <c r="CJ70" s="92">
        <f>CH70*CI70</f>
        <v>5614.2720000000008</v>
      </c>
      <c r="CK70" s="37">
        <f>SUM(BH70:BN70)</f>
        <v>20</v>
      </c>
      <c r="CL70" s="92">
        <f>CK70*CH70</f>
        <v>9357.1200000000008</v>
      </c>
      <c r="CM70" s="101" t="b">
        <f>(CJ70+CL70)=BT70</f>
        <v>1</v>
      </c>
    </row>
    <row r="71" spans="1:91" ht="15.45" customHeight="1" x14ac:dyDescent="0.25">
      <c r="A71" s="32"/>
      <c r="B71" s="111"/>
      <c r="C71" s="81"/>
      <c r="D71" s="95"/>
      <c r="E71" s="39"/>
      <c r="F71" s="65"/>
      <c r="G71" s="65"/>
      <c r="H71" s="65"/>
      <c r="I71" s="66"/>
      <c r="J71" s="66"/>
      <c r="K71" s="65"/>
      <c r="L71" s="65"/>
      <c r="M71" s="65"/>
      <c r="N71" s="65"/>
      <c r="O71" s="65"/>
      <c r="P71" s="66"/>
      <c r="Q71" s="66"/>
      <c r="R71" s="65"/>
      <c r="S71" s="65"/>
      <c r="T71" s="65"/>
      <c r="U71" s="65"/>
      <c r="V71" s="65"/>
      <c r="W71" s="66"/>
      <c r="X71" s="66"/>
      <c r="Y71" s="65"/>
      <c r="Z71" s="65"/>
      <c r="AA71" s="65"/>
      <c r="AB71" s="65"/>
      <c r="AC71" s="65"/>
      <c r="AD71" s="66"/>
      <c r="AE71" s="66"/>
      <c r="AF71" s="65"/>
      <c r="AG71" s="65"/>
      <c r="AH71" s="65"/>
      <c r="AI71" s="65"/>
      <c r="AJ71" s="65"/>
      <c r="AK71" s="66"/>
      <c r="AL71" s="66"/>
      <c r="AM71" s="65"/>
      <c r="AN71" s="65"/>
      <c r="AO71" s="65"/>
      <c r="AP71" s="65"/>
      <c r="AQ71" s="65"/>
      <c r="AR71" s="66"/>
      <c r="AS71" s="66"/>
      <c r="AT71" s="65"/>
      <c r="AU71" s="65"/>
      <c r="AV71" s="65"/>
      <c r="AW71" s="65"/>
      <c r="AX71" s="65"/>
      <c r="AY71" s="66"/>
      <c r="AZ71" s="66"/>
      <c r="BA71" s="65"/>
      <c r="BB71" s="65"/>
      <c r="BC71" s="65"/>
      <c r="BD71" s="66"/>
      <c r="BE71" s="65"/>
      <c r="BF71" s="65"/>
      <c r="BG71" s="65"/>
      <c r="BH71" s="65"/>
      <c r="BI71" s="65"/>
      <c r="BJ71" s="66"/>
      <c r="BK71" s="66"/>
      <c r="BL71" s="65"/>
      <c r="BM71" s="214"/>
      <c r="BN71" s="214"/>
      <c r="BO71" s="173"/>
      <c r="BP71" s="104"/>
      <c r="BQ71" s="174"/>
      <c r="BR71" s="104"/>
      <c r="BS71" s="104"/>
      <c r="BT71" s="124"/>
      <c r="BU71" s="97"/>
      <c r="BV71" s="125"/>
      <c r="BW71" s="125"/>
      <c r="BX71" s="97"/>
      <c r="BY71" s="166"/>
      <c r="BZ71" s="107"/>
      <c r="CA71" s="108"/>
      <c r="CB71" s="109"/>
      <c r="CC71" s="110"/>
      <c r="CD71" s="109"/>
      <c r="CE71" s="114"/>
      <c r="CF71" s="10"/>
      <c r="CG71" s="44"/>
      <c r="CH71" s="91"/>
      <c r="CI71" s="37"/>
      <c r="CJ71" s="92"/>
      <c r="CK71" s="37"/>
      <c r="CL71" s="92"/>
    </row>
    <row r="72" spans="1:91" ht="15.45" customHeight="1" x14ac:dyDescent="0.25">
      <c r="A72" s="32"/>
      <c r="B72" s="111"/>
      <c r="C72" s="94"/>
      <c r="D72" s="81"/>
      <c r="E72" s="39"/>
      <c r="F72" s="65"/>
      <c r="G72" s="65"/>
      <c r="H72" s="65"/>
      <c r="I72" s="66"/>
      <c r="J72" s="66"/>
      <c r="K72" s="65"/>
      <c r="L72" s="65"/>
      <c r="M72" s="65"/>
      <c r="N72" s="65"/>
      <c r="O72" s="65"/>
      <c r="P72" s="66"/>
      <c r="Q72" s="66"/>
      <c r="R72" s="65"/>
      <c r="S72" s="65"/>
      <c r="T72" s="65"/>
      <c r="U72" s="65"/>
      <c r="V72" s="65"/>
      <c r="W72" s="66"/>
      <c r="X72" s="66"/>
      <c r="Y72" s="65"/>
      <c r="Z72" s="65"/>
      <c r="AA72" s="65"/>
      <c r="AB72" s="65"/>
      <c r="AC72" s="65"/>
      <c r="AD72" s="66"/>
      <c r="AE72" s="66"/>
      <c r="AF72" s="65"/>
      <c r="AG72" s="65"/>
      <c r="AH72" s="65"/>
      <c r="AI72" s="65"/>
      <c r="AJ72" s="65"/>
      <c r="AK72" s="66"/>
      <c r="AL72" s="66"/>
      <c r="AM72" s="65"/>
      <c r="AN72" s="65"/>
      <c r="AO72" s="65"/>
      <c r="AP72" s="65"/>
      <c r="AQ72" s="65"/>
      <c r="AR72" s="66"/>
      <c r="AS72" s="66"/>
      <c r="AT72" s="65"/>
      <c r="AU72" s="65"/>
      <c r="AV72" s="65"/>
      <c r="AW72" s="65"/>
      <c r="AX72" s="65"/>
      <c r="AY72" s="66"/>
      <c r="AZ72" s="66"/>
      <c r="BA72" s="65"/>
      <c r="BB72" s="65"/>
      <c r="BC72" s="65"/>
      <c r="BD72" s="66"/>
      <c r="BE72" s="65"/>
      <c r="BF72" s="65"/>
      <c r="BG72" s="65"/>
      <c r="BH72" s="65"/>
      <c r="BI72" s="65"/>
      <c r="BJ72" s="66"/>
      <c r="BK72" s="66"/>
      <c r="BL72" s="65"/>
      <c r="BM72" s="214"/>
      <c r="BN72" s="214"/>
      <c r="BO72" s="82"/>
      <c r="BP72" s="22"/>
      <c r="BQ72" s="103"/>
      <c r="BR72" s="22"/>
      <c r="BS72" s="22"/>
      <c r="BT72" s="84"/>
      <c r="BU72" s="97"/>
      <c r="BV72" s="98"/>
      <c r="BW72" s="98"/>
      <c r="BX72" s="97"/>
      <c r="BY72" s="15"/>
      <c r="BZ72" s="122"/>
      <c r="CA72" s="123"/>
      <c r="CB72" s="90"/>
      <c r="CC72" s="89"/>
      <c r="CD72" s="90"/>
      <c r="CE72" s="18"/>
      <c r="CF72" s="10"/>
      <c r="CG72" s="44"/>
      <c r="CH72" s="91"/>
      <c r="CI72" s="37"/>
      <c r="CJ72" s="92"/>
      <c r="CK72" s="37"/>
      <c r="CL72" s="92"/>
    </row>
    <row r="73" spans="1:91" ht="15.45" customHeight="1" x14ac:dyDescent="0.25">
      <c r="A73" s="32"/>
      <c r="B73" s="111"/>
      <c r="C73" s="81" t="s">
        <v>65</v>
      </c>
      <c r="D73" s="95" t="s">
        <v>39</v>
      </c>
      <c r="E73" s="39" t="s">
        <v>40</v>
      </c>
      <c r="F73" s="65"/>
      <c r="G73" s="65"/>
      <c r="H73" s="65"/>
      <c r="I73" s="66"/>
      <c r="J73" s="66"/>
      <c r="K73" s="65"/>
      <c r="L73" s="65"/>
      <c r="M73" s="65"/>
      <c r="N73" s="65"/>
      <c r="O73" s="65"/>
      <c r="P73" s="66"/>
      <c r="Q73" s="66"/>
      <c r="R73" s="65"/>
      <c r="S73" s="65"/>
      <c r="T73" s="65"/>
      <c r="U73" s="65"/>
      <c r="V73" s="65"/>
      <c r="W73" s="66"/>
      <c r="X73" s="66"/>
      <c r="Y73" s="65"/>
      <c r="Z73" s="65"/>
      <c r="AA73" s="65"/>
      <c r="AB73" s="65"/>
      <c r="AC73" s="65"/>
      <c r="AD73" s="66"/>
      <c r="AE73" s="66"/>
      <c r="AF73" s="65"/>
      <c r="AG73" s="65"/>
      <c r="AH73" s="65"/>
      <c r="AI73" s="65"/>
      <c r="AJ73" s="65"/>
      <c r="AK73" s="66"/>
      <c r="AL73" s="66"/>
      <c r="AM73" s="65"/>
      <c r="AN73" s="65"/>
      <c r="AO73" s="65"/>
      <c r="AP73" s="65"/>
      <c r="AQ73" s="65"/>
      <c r="AR73" s="66"/>
      <c r="AS73" s="66"/>
      <c r="AT73" s="65"/>
      <c r="AU73" s="65"/>
      <c r="AV73" s="65"/>
      <c r="AW73" s="65"/>
      <c r="AX73" s="65"/>
      <c r="AY73" s="66"/>
      <c r="AZ73" s="66"/>
      <c r="BA73" s="65"/>
      <c r="BB73" s="65"/>
      <c r="BC73" s="65"/>
      <c r="BD73" s="66"/>
      <c r="BE73" s="65">
        <v>4</v>
      </c>
      <c r="BF73" s="65">
        <v>4</v>
      </c>
      <c r="BG73" s="65">
        <v>4</v>
      </c>
      <c r="BH73" s="65">
        <v>4</v>
      </c>
      <c r="BI73" s="65">
        <v>4</v>
      </c>
      <c r="BJ73" s="65">
        <v>4</v>
      </c>
      <c r="BK73" s="65">
        <v>4</v>
      </c>
      <c r="BL73" s="65">
        <v>4</v>
      </c>
      <c r="BM73" s="214"/>
      <c r="BN73" s="214"/>
      <c r="BO73" s="82">
        <f>SUM(F73:BN73)</f>
        <v>32</v>
      </c>
      <c r="BP73" s="22">
        <f>6617</f>
        <v>6617</v>
      </c>
      <c r="BQ73" s="103">
        <v>0.75</v>
      </c>
      <c r="BR73" s="22">
        <f>BP73*(1-BQ73)</f>
        <v>1654.25</v>
      </c>
      <c r="BS73" s="22">
        <f>BR73*BO73</f>
        <v>52936</v>
      </c>
      <c r="BT73" s="21">
        <f>BS73*0.8</f>
        <v>42348.800000000003</v>
      </c>
      <c r="BU73" s="97"/>
      <c r="BV73" s="161">
        <f>BT73/$BT$81</f>
        <v>0.10333400119653186</v>
      </c>
      <c r="BW73" s="161">
        <v>9.9775299275859694E-2</v>
      </c>
      <c r="BX73" s="97"/>
      <c r="BY73" s="99">
        <f>BZ73/CC73*100</f>
        <v>0.72225343628251959</v>
      </c>
      <c r="BZ73" s="86">
        <v>117403.3</v>
      </c>
      <c r="CA73" s="87">
        <f>BY73*BO73</f>
        <v>23.112109961040627</v>
      </c>
      <c r="CB73" s="88">
        <v>11451245</v>
      </c>
      <c r="CC73" s="100">
        <v>16255139</v>
      </c>
      <c r="CD73" s="90">
        <f>CC73*CA73/100</f>
        <v>3756905.6</v>
      </c>
      <c r="CE73" s="21">
        <f>BT73/CD73*1000</f>
        <v>11.272255549886587</v>
      </c>
      <c r="CF73" s="10"/>
      <c r="CG73" s="44" t="s">
        <v>65</v>
      </c>
      <c r="CH73" s="91">
        <f>BR73*0.8</f>
        <v>1323.4</v>
      </c>
      <c r="CI73" s="37">
        <f>SUM(AK73:BG73)</f>
        <v>12</v>
      </c>
      <c r="CJ73" s="92">
        <f>CH73*CI73</f>
        <v>15880.800000000001</v>
      </c>
      <c r="CK73" s="37">
        <f>SUM(BH73:BN73)</f>
        <v>20</v>
      </c>
      <c r="CL73" s="92">
        <f>CK73*CH73</f>
        <v>26468</v>
      </c>
      <c r="CM73" s="101" t="b">
        <f>(CJ73+CL73)=BT73</f>
        <v>1</v>
      </c>
    </row>
    <row r="74" spans="1:91" ht="15.45" customHeight="1" x14ac:dyDescent="0.25">
      <c r="A74" s="32"/>
      <c r="B74" s="111"/>
      <c r="C74" s="81"/>
      <c r="D74" s="95"/>
      <c r="E74" s="39"/>
      <c r="F74" s="65"/>
      <c r="G74" s="65"/>
      <c r="H74" s="65"/>
      <c r="I74" s="66"/>
      <c r="J74" s="66"/>
      <c r="K74" s="65"/>
      <c r="L74" s="65"/>
      <c r="M74" s="65"/>
      <c r="N74" s="65"/>
      <c r="O74" s="65"/>
      <c r="P74" s="66"/>
      <c r="Q74" s="66"/>
      <c r="R74" s="65"/>
      <c r="S74" s="65"/>
      <c r="T74" s="65"/>
      <c r="U74" s="65"/>
      <c r="V74" s="65"/>
      <c r="W74" s="66"/>
      <c r="X74" s="66"/>
      <c r="Y74" s="65"/>
      <c r="Z74" s="65"/>
      <c r="AA74" s="65"/>
      <c r="AB74" s="65"/>
      <c r="AC74" s="65"/>
      <c r="AD74" s="66"/>
      <c r="AE74" s="66"/>
      <c r="AF74" s="65"/>
      <c r="AG74" s="65"/>
      <c r="AH74" s="65"/>
      <c r="AI74" s="65"/>
      <c r="AJ74" s="65"/>
      <c r="AK74" s="66"/>
      <c r="AL74" s="66"/>
      <c r="AM74" s="65"/>
      <c r="AN74" s="65"/>
      <c r="AO74" s="65"/>
      <c r="AP74" s="65"/>
      <c r="AQ74" s="65"/>
      <c r="AR74" s="66"/>
      <c r="AS74" s="66"/>
      <c r="AT74" s="65"/>
      <c r="AU74" s="65"/>
      <c r="AV74" s="65"/>
      <c r="AW74" s="65"/>
      <c r="AX74" s="65"/>
      <c r="AY74" s="66"/>
      <c r="AZ74" s="66"/>
      <c r="BA74" s="65"/>
      <c r="BB74" s="65"/>
      <c r="BC74" s="65"/>
      <c r="BD74" s="66"/>
      <c r="BE74" s="65"/>
      <c r="BF74" s="65"/>
      <c r="BG74" s="65"/>
      <c r="BH74" s="65"/>
      <c r="BI74" s="65"/>
      <c r="BJ74" s="66"/>
      <c r="BK74" s="66"/>
      <c r="BL74" s="65"/>
      <c r="BM74" s="214"/>
      <c r="BN74" s="214"/>
      <c r="BO74" s="82"/>
      <c r="BP74" s="22"/>
      <c r="BQ74" s="103"/>
      <c r="BR74" s="22"/>
      <c r="BS74" s="22"/>
      <c r="BT74" s="104"/>
      <c r="BU74" s="97"/>
      <c r="BV74" s="105"/>
      <c r="BW74" s="105"/>
      <c r="BX74" s="97"/>
      <c r="BY74" s="166"/>
      <c r="BZ74" s="107"/>
      <c r="CA74" s="108"/>
      <c r="CB74" s="109"/>
      <c r="CC74" s="110"/>
      <c r="CD74" s="109"/>
      <c r="CE74" s="114"/>
      <c r="CF74" s="10"/>
      <c r="CG74" s="44"/>
      <c r="CH74" s="91"/>
      <c r="CI74" s="37"/>
      <c r="CJ74" s="92"/>
      <c r="CK74" s="37"/>
      <c r="CL74" s="92"/>
    </row>
    <row r="75" spans="1:91" ht="15.45" customHeight="1" x14ac:dyDescent="0.25">
      <c r="A75" s="32"/>
      <c r="B75" s="115"/>
      <c r="C75" s="94"/>
      <c r="D75" s="95"/>
      <c r="E75" s="117"/>
      <c r="F75" s="65"/>
      <c r="G75" s="65"/>
      <c r="H75" s="65"/>
      <c r="I75" s="66"/>
      <c r="J75" s="66"/>
      <c r="K75" s="65"/>
      <c r="L75" s="65"/>
      <c r="M75" s="65"/>
      <c r="N75" s="65"/>
      <c r="O75" s="65"/>
      <c r="P75" s="66"/>
      <c r="Q75" s="66"/>
      <c r="R75" s="65"/>
      <c r="S75" s="65"/>
      <c r="T75" s="65"/>
      <c r="U75" s="65"/>
      <c r="V75" s="65"/>
      <c r="W75" s="66"/>
      <c r="X75" s="66"/>
      <c r="Y75" s="65"/>
      <c r="Z75" s="65"/>
      <c r="AA75" s="65"/>
      <c r="AB75" s="65"/>
      <c r="AC75" s="65"/>
      <c r="AD75" s="66"/>
      <c r="AE75" s="66"/>
      <c r="AF75" s="65"/>
      <c r="AG75" s="65"/>
      <c r="AH75" s="65"/>
      <c r="AI75" s="65"/>
      <c r="AJ75" s="65"/>
      <c r="AK75" s="66"/>
      <c r="AL75" s="66"/>
      <c r="AM75" s="65"/>
      <c r="AN75" s="65"/>
      <c r="AO75" s="65"/>
      <c r="AP75" s="65"/>
      <c r="AQ75" s="65"/>
      <c r="AR75" s="66"/>
      <c r="AS75" s="66"/>
      <c r="AT75" s="65"/>
      <c r="AU75" s="65"/>
      <c r="AV75" s="65"/>
      <c r="AW75" s="65"/>
      <c r="AX75" s="65"/>
      <c r="AY75" s="66"/>
      <c r="AZ75" s="66"/>
      <c r="BA75" s="65"/>
      <c r="BB75" s="65"/>
      <c r="BC75" s="65"/>
      <c r="BD75" s="66"/>
      <c r="BE75" s="65"/>
      <c r="BF75" s="65"/>
      <c r="BG75" s="65"/>
      <c r="BH75" s="65"/>
      <c r="BI75" s="65"/>
      <c r="BJ75" s="66"/>
      <c r="BK75" s="66"/>
      <c r="BL75" s="65"/>
      <c r="BM75" s="214"/>
      <c r="BN75" s="214"/>
      <c r="BO75" s="118"/>
      <c r="BP75" s="68"/>
      <c r="BQ75" s="119"/>
      <c r="BR75" s="68"/>
      <c r="BS75" s="68"/>
      <c r="BT75" s="22"/>
      <c r="BU75" s="97"/>
      <c r="BV75" s="126"/>
      <c r="BW75" s="126"/>
      <c r="BX75" s="97"/>
      <c r="BY75" s="15"/>
      <c r="BZ75" s="122"/>
      <c r="CA75" s="123"/>
      <c r="CB75" s="90"/>
      <c r="CC75" s="89"/>
      <c r="CD75" s="90"/>
      <c r="CE75" s="18"/>
      <c r="CF75" s="10"/>
      <c r="CG75" s="44"/>
      <c r="CH75" s="91"/>
      <c r="CI75" s="37"/>
      <c r="CJ75" s="92"/>
      <c r="CK75" s="37"/>
      <c r="CL75" s="92"/>
    </row>
    <row r="76" spans="1:91" ht="15.45" customHeight="1" x14ac:dyDescent="0.25">
      <c r="A76" s="32"/>
      <c r="B76" s="111"/>
      <c r="C76" s="81" t="s">
        <v>66</v>
      </c>
      <c r="D76" s="95" t="s">
        <v>67</v>
      </c>
      <c r="E76" s="39" t="s">
        <v>40</v>
      </c>
      <c r="F76" s="65"/>
      <c r="G76" s="65"/>
      <c r="H76" s="65"/>
      <c r="I76" s="66"/>
      <c r="J76" s="66"/>
      <c r="K76" s="65"/>
      <c r="L76" s="65"/>
      <c r="M76" s="65"/>
      <c r="N76" s="65"/>
      <c r="O76" s="65"/>
      <c r="P76" s="66"/>
      <c r="Q76" s="66"/>
      <c r="R76" s="65"/>
      <c r="S76" s="65"/>
      <c r="T76" s="65"/>
      <c r="U76" s="65"/>
      <c r="V76" s="65"/>
      <c r="W76" s="66"/>
      <c r="X76" s="66"/>
      <c r="Y76" s="65"/>
      <c r="Z76" s="65"/>
      <c r="AA76" s="65"/>
      <c r="AB76" s="65"/>
      <c r="AC76" s="65"/>
      <c r="AD76" s="66"/>
      <c r="AE76" s="66"/>
      <c r="AF76" s="65"/>
      <c r="AG76" s="65"/>
      <c r="AH76" s="65"/>
      <c r="AI76" s="65"/>
      <c r="AJ76" s="65"/>
      <c r="AK76" s="66"/>
      <c r="AL76" s="66"/>
      <c r="AM76" s="65"/>
      <c r="AN76" s="65"/>
      <c r="AO76" s="65"/>
      <c r="AP76" s="65"/>
      <c r="AQ76" s="65"/>
      <c r="AR76" s="66"/>
      <c r="AS76" s="66"/>
      <c r="AT76" s="65"/>
      <c r="AU76" s="65"/>
      <c r="AV76" s="65"/>
      <c r="AW76" s="65"/>
      <c r="AX76" s="65"/>
      <c r="AY76" s="66"/>
      <c r="AZ76" s="66"/>
      <c r="BA76" s="65"/>
      <c r="BB76" s="65"/>
      <c r="BC76" s="65"/>
      <c r="BD76" s="66"/>
      <c r="BE76" s="65">
        <v>4</v>
      </c>
      <c r="BF76" s="65">
        <v>4</v>
      </c>
      <c r="BG76" s="65">
        <v>4</v>
      </c>
      <c r="BH76" s="65">
        <v>4</v>
      </c>
      <c r="BI76" s="65">
        <v>4</v>
      </c>
      <c r="BJ76" s="65">
        <v>4</v>
      </c>
      <c r="BK76" s="65">
        <v>4</v>
      </c>
      <c r="BL76" s="65">
        <v>4</v>
      </c>
      <c r="BM76" s="214"/>
      <c r="BN76" s="214"/>
      <c r="BO76" s="82">
        <f>SUM(F76:BN76)</f>
        <v>32</v>
      </c>
      <c r="BP76" s="21">
        <f>5275.6</f>
        <v>5275.6</v>
      </c>
      <c r="BQ76" s="103">
        <v>0.8</v>
      </c>
      <c r="BR76" s="21">
        <f>BP76*(1-BQ76)</f>
        <v>1055.1199999999999</v>
      </c>
      <c r="BS76" s="21">
        <f>BR76*BO76</f>
        <v>33763.839999999997</v>
      </c>
      <c r="BT76" s="21">
        <f>BS76*0.8</f>
        <v>27011.072</v>
      </c>
      <c r="BU76" s="97"/>
      <c r="BV76" s="161">
        <f>BT76/$BT$81</f>
        <v>6.5908883991225437E-2</v>
      </c>
      <c r="BW76" s="161">
        <v>6.5906448063666301E-2</v>
      </c>
      <c r="BX76" s="97"/>
      <c r="BY76" s="99">
        <f>BZ76/CC76*100</f>
        <v>0.37035050884523352</v>
      </c>
      <c r="BZ76" s="86">
        <v>60200.99</v>
      </c>
      <c r="CA76" s="87">
        <f>BY76*BO76</f>
        <v>11.851216283047473</v>
      </c>
      <c r="CB76" s="88">
        <v>11451245</v>
      </c>
      <c r="CC76" s="100">
        <v>16255139</v>
      </c>
      <c r="CD76" s="90">
        <f>CC76*(CA76+CA78)/100</f>
        <v>1926431.68</v>
      </c>
      <c r="CE76" s="21">
        <f>BT76/CD76*1000</f>
        <v>14.021297656400668</v>
      </c>
      <c r="CF76" s="10"/>
      <c r="CG76" s="44" t="s">
        <v>66</v>
      </c>
      <c r="CH76" s="91">
        <f>BR76*0.8</f>
        <v>844.096</v>
      </c>
      <c r="CI76" s="37">
        <f>SUM(AK76:BG76)</f>
        <v>12</v>
      </c>
      <c r="CJ76" s="92">
        <f>CH76*CI76</f>
        <v>10129.152</v>
      </c>
      <c r="CK76" s="37">
        <f>SUM(BH76:BN76)</f>
        <v>20</v>
      </c>
      <c r="CL76" s="92">
        <f>CK76*CH76</f>
        <v>16881.919999999998</v>
      </c>
      <c r="CM76" s="101" t="b">
        <f>(CJ76+CL76)=BT76</f>
        <v>1</v>
      </c>
    </row>
    <row r="77" spans="1:91" ht="15.45" customHeight="1" x14ac:dyDescent="0.25">
      <c r="A77" s="32"/>
      <c r="B77" s="111"/>
      <c r="C77" s="81"/>
      <c r="D77" s="95"/>
      <c r="E77" s="39"/>
      <c r="F77" s="65"/>
      <c r="G77" s="65"/>
      <c r="H77" s="65"/>
      <c r="I77" s="66"/>
      <c r="J77" s="66"/>
      <c r="K77" s="65"/>
      <c r="L77" s="65"/>
      <c r="M77" s="65"/>
      <c r="N77" s="65"/>
      <c r="O77" s="65"/>
      <c r="P77" s="66"/>
      <c r="Q77" s="66"/>
      <c r="R77" s="65"/>
      <c r="S77" s="65"/>
      <c r="T77" s="65"/>
      <c r="U77" s="65"/>
      <c r="V77" s="65"/>
      <c r="W77" s="66"/>
      <c r="X77" s="66"/>
      <c r="Y77" s="65"/>
      <c r="Z77" s="65"/>
      <c r="AA77" s="65"/>
      <c r="AB77" s="65"/>
      <c r="AC77" s="65"/>
      <c r="AD77" s="66"/>
      <c r="AE77" s="66"/>
      <c r="AF77" s="65"/>
      <c r="AG77" s="65"/>
      <c r="AH77" s="65"/>
      <c r="AI77" s="65"/>
      <c r="AJ77" s="65"/>
      <c r="AK77" s="66"/>
      <c r="AL77" s="66"/>
      <c r="AM77" s="65"/>
      <c r="AN77" s="65"/>
      <c r="AO77" s="65"/>
      <c r="AP77" s="65"/>
      <c r="AQ77" s="65"/>
      <c r="AR77" s="66"/>
      <c r="AS77" s="66"/>
      <c r="AT77" s="65"/>
      <c r="AU77" s="65"/>
      <c r="AV77" s="65"/>
      <c r="AW77" s="65"/>
      <c r="AX77" s="65"/>
      <c r="AY77" s="66"/>
      <c r="AZ77" s="66"/>
      <c r="BA77" s="65"/>
      <c r="BB77" s="65"/>
      <c r="BC77" s="65"/>
      <c r="BD77" s="66"/>
      <c r="BE77" s="65"/>
      <c r="BF77" s="65"/>
      <c r="BG77" s="65"/>
      <c r="BH77" s="65"/>
      <c r="BI77" s="65"/>
      <c r="BJ77" s="66"/>
      <c r="BK77" s="66"/>
      <c r="BL77" s="65"/>
      <c r="BM77" s="214"/>
      <c r="BN77" s="214"/>
      <c r="BO77" s="173"/>
      <c r="BP77" s="177"/>
      <c r="BQ77" s="178"/>
      <c r="BR77" s="177"/>
      <c r="BS77" s="177"/>
      <c r="BT77" s="179"/>
      <c r="BU77" s="97"/>
      <c r="BV77" s="180"/>
      <c r="BW77" s="180"/>
      <c r="BX77" s="97"/>
      <c r="BY77" s="166"/>
      <c r="BZ77" s="107"/>
      <c r="CA77" s="108"/>
      <c r="CB77" s="109"/>
      <c r="CC77" s="110"/>
      <c r="CD77" s="109"/>
      <c r="CE77" s="114"/>
      <c r="CF77" s="10"/>
      <c r="CG77" s="44"/>
      <c r="CH77" s="91"/>
      <c r="CI77" s="37"/>
      <c r="CJ77" s="92"/>
      <c r="CK77" s="37"/>
      <c r="CL77" s="92"/>
    </row>
    <row r="78" spans="1:91" ht="15.45" customHeight="1" x14ac:dyDescent="0.25">
      <c r="A78" s="32"/>
      <c r="B78" s="111"/>
      <c r="C78" s="94"/>
      <c r="D78" s="81"/>
      <c r="E78" s="39"/>
      <c r="F78" s="65"/>
      <c r="G78" s="65"/>
      <c r="H78" s="65"/>
      <c r="I78" s="66"/>
      <c r="J78" s="66"/>
      <c r="K78" s="65"/>
      <c r="L78" s="65"/>
      <c r="M78" s="65"/>
      <c r="N78" s="65"/>
      <c r="O78" s="65"/>
      <c r="P78" s="66"/>
      <c r="Q78" s="66"/>
      <c r="R78" s="65"/>
      <c r="S78" s="65"/>
      <c r="T78" s="65"/>
      <c r="U78" s="65"/>
      <c r="V78" s="65"/>
      <c r="W78" s="66"/>
      <c r="X78" s="66"/>
      <c r="Y78" s="65"/>
      <c r="Z78" s="65"/>
      <c r="AA78" s="65"/>
      <c r="AB78" s="65"/>
      <c r="AC78" s="65"/>
      <c r="AD78" s="66"/>
      <c r="AE78" s="66"/>
      <c r="AF78" s="65"/>
      <c r="AG78" s="65"/>
      <c r="AH78" s="65"/>
      <c r="AI78" s="65"/>
      <c r="AJ78" s="65"/>
      <c r="AK78" s="66"/>
      <c r="AL78" s="66"/>
      <c r="AM78" s="65"/>
      <c r="AN78" s="65"/>
      <c r="AO78" s="65"/>
      <c r="AP78" s="65"/>
      <c r="AQ78" s="65"/>
      <c r="AR78" s="66"/>
      <c r="AS78" s="66"/>
      <c r="AT78" s="65"/>
      <c r="AU78" s="65"/>
      <c r="AV78" s="65"/>
      <c r="AW78" s="65"/>
      <c r="AX78" s="65"/>
      <c r="AY78" s="66"/>
      <c r="AZ78" s="66"/>
      <c r="BA78" s="65"/>
      <c r="BB78" s="65"/>
      <c r="BC78" s="65"/>
      <c r="BD78" s="66"/>
      <c r="BE78" s="65"/>
      <c r="BF78" s="65"/>
      <c r="BG78" s="65"/>
      <c r="BH78" s="65"/>
      <c r="BI78" s="65"/>
      <c r="BJ78" s="66"/>
      <c r="BK78" s="66"/>
      <c r="BL78" s="65"/>
      <c r="BM78" s="214"/>
      <c r="BN78" s="214"/>
      <c r="BO78" s="82"/>
      <c r="BP78" s="22"/>
      <c r="BQ78" s="103"/>
      <c r="BR78" s="22"/>
      <c r="BS78" s="22"/>
      <c r="BT78" s="84"/>
      <c r="BU78" s="97"/>
      <c r="BV78" s="98"/>
      <c r="BW78" s="98"/>
      <c r="BX78" s="97"/>
      <c r="BY78" s="15"/>
      <c r="BZ78" s="122"/>
      <c r="CA78" s="123"/>
      <c r="CB78" s="90"/>
      <c r="CC78" s="89"/>
      <c r="CD78" s="90"/>
      <c r="CE78" s="18"/>
      <c r="CF78" s="10"/>
      <c r="CG78" s="44"/>
      <c r="CH78" s="91"/>
      <c r="CI78" s="37"/>
      <c r="CJ78" s="92"/>
      <c r="CK78" s="37"/>
      <c r="CL78" s="92"/>
    </row>
    <row r="79" spans="1:91" ht="15.45" customHeight="1" x14ac:dyDescent="0.25">
      <c r="A79" s="32"/>
      <c r="B79" s="111"/>
      <c r="C79" s="81" t="s">
        <v>68</v>
      </c>
      <c r="D79" s="95" t="s">
        <v>51</v>
      </c>
      <c r="E79" s="39" t="s">
        <v>40</v>
      </c>
      <c r="F79" s="65"/>
      <c r="G79" s="65"/>
      <c r="H79" s="65"/>
      <c r="I79" s="66"/>
      <c r="J79" s="66"/>
      <c r="K79" s="65"/>
      <c r="L79" s="65"/>
      <c r="M79" s="65"/>
      <c r="N79" s="65"/>
      <c r="O79" s="65"/>
      <c r="P79" s="66"/>
      <c r="Q79" s="66"/>
      <c r="R79" s="65"/>
      <c r="S79" s="65"/>
      <c r="T79" s="65"/>
      <c r="U79" s="65"/>
      <c r="V79" s="65"/>
      <c r="W79" s="66"/>
      <c r="X79" s="66"/>
      <c r="Y79" s="65"/>
      <c r="Z79" s="65"/>
      <c r="AA79" s="65"/>
      <c r="AB79" s="65"/>
      <c r="AC79" s="65"/>
      <c r="AD79" s="66"/>
      <c r="AE79" s="66"/>
      <c r="AF79" s="65"/>
      <c r="AG79" s="65"/>
      <c r="AH79" s="65"/>
      <c r="AI79" s="65"/>
      <c r="AJ79" s="65"/>
      <c r="AK79" s="66"/>
      <c r="AL79" s="66"/>
      <c r="AM79" s="65"/>
      <c r="AN79" s="65"/>
      <c r="AO79" s="65"/>
      <c r="AP79" s="65"/>
      <c r="AQ79" s="65"/>
      <c r="AR79" s="66"/>
      <c r="AS79" s="66"/>
      <c r="AT79" s="65"/>
      <c r="AU79" s="65"/>
      <c r="AV79" s="65"/>
      <c r="AW79" s="65"/>
      <c r="AX79" s="65"/>
      <c r="AY79" s="66"/>
      <c r="AZ79" s="66"/>
      <c r="BA79" s="65"/>
      <c r="BB79" s="65"/>
      <c r="BC79" s="65"/>
      <c r="BD79" s="66"/>
      <c r="BE79" s="65">
        <v>3</v>
      </c>
      <c r="BF79" s="65">
        <v>3</v>
      </c>
      <c r="BG79" s="65">
        <v>3</v>
      </c>
      <c r="BH79" s="65">
        <v>3</v>
      </c>
      <c r="BI79" s="65">
        <v>3</v>
      </c>
      <c r="BJ79" s="65">
        <v>3</v>
      </c>
      <c r="BK79" s="65">
        <v>3</v>
      </c>
      <c r="BL79" s="65">
        <v>3</v>
      </c>
      <c r="BM79" s="214"/>
      <c r="BN79" s="214"/>
      <c r="BO79" s="82">
        <f>SUM(F79:BN79)</f>
        <v>24</v>
      </c>
      <c r="BP79" s="22">
        <f>3717</f>
        <v>3717</v>
      </c>
      <c r="BQ79" s="103">
        <v>0.5</v>
      </c>
      <c r="BR79" s="22">
        <f>BP79*(1-BQ79)</f>
        <v>1858.5</v>
      </c>
      <c r="BS79" s="22">
        <f>BR79*BO79</f>
        <v>44604</v>
      </c>
      <c r="BT79" s="21">
        <f>BS79*0.8</f>
        <v>35683.200000000004</v>
      </c>
      <c r="BU79" s="97"/>
      <c r="BV79" s="161">
        <f>BT79/$BT$81</f>
        <v>8.7069476147992042E-2</v>
      </c>
      <c r="BW79" s="161">
        <v>8.6909352523206501E-2</v>
      </c>
      <c r="BX79" s="97"/>
      <c r="BY79" s="99">
        <f>BZ79/CC79*100</f>
        <v>0.60577033515370127</v>
      </c>
      <c r="BZ79" s="86">
        <v>98468.81</v>
      </c>
      <c r="CA79" s="87">
        <f>BY79*BO79</f>
        <v>14.53848804368883</v>
      </c>
      <c r="CB79" s="88">
        <v>11451245</v>
      </c>
      <c r="CC79" s="100">
        <v>16255139</v>
      </c>
      <c r="CD79" s="90">
        <f>CC79*(CA79+CA81)/100</f>
        <v>2363251.44</v>
      </c>
      <c r="CE79" s="21">
        <f>BT79/CD79*1000</f>
        <v>15.099197400679465</v>
      </c>
      <c r="CF79" s="10"/>
      <c r="CG79" s="44" t="s">
        <v>68</v>
      </c>
      <c r="CH79" s="91">
        <f>BR79*0.8</f>
        <v>1486.8000000000002</v>
      </c>
      <c r="CI79" s="37">
        <f>SUM(AK79:BG79)</f>
        <v>9</v>
      </c>
      <c r="CJ79" s="92">
        <f>CH79*CI79</f>
        <v>13381.2</v>
      </c>
      <c r="CK79" s="37">
        <f>SUM(BH79:BN79)</f>
        <v>15</v>
      </c>
      <c r="CL79" s="92">
        <f>CK79*CH79</f>
        <v>22302.000000000004</v>
      </c>
      <c r="CM79" s="101" t="b">
        <f>(CJ79+CL79)=BT79</f>
        <v>1</v>
      </c>
    </row>
    <row r="80" spans="1:91" ht="15.45" customHeight="1" x14ac:dyDescent="0.25">
      <c r="A80" s="32"/>
      <c r="B80" s="111"/>
      <c r="C80" s="94"/>
      <c r="D80" s="95"/>
      <c r="E80" s="39"/>
      <c r="F80" s="65"/>
      <c r="G80" s="65"/>
      <c r="H80" s="65"/>
      <c r="I80" s="66"/>
      <c r="J80" s="66"/>
      <c r="K80" s="65"/>
      <c r="L80" s="65"/>
      <c r="M80" s="65"/>
      <c r="N80" s="65"/>
      <c r="O80" s="65"/>
      <c r="P80" s="66"/>
      <c r="Q80" s="66"/>
      <c r="R80" s="65"/>
      <c r="S80" s="65"/>
      <c r="T80" s="65"/>
      <c r="U80" s="65"/>
      <c r="V80" s="65"/>
      <c r="W80" s="66"/>
      <c r="X80" s="66"/>
      <c r="Y80" s="65"/>
      <c r="Z80" s="65"/>
      <c r="AA80" s="65"/>
      <c r="AB80" s="65"/>
      <c r="AC80" s="65"/>
      <c r="AD80" s="66"/>
      <c r="AE80" s="66"/>
      <c r="AF80" s="65"/>
      <c r="AG80" s="65"/>
      <c r="AH80" s="65"/>
      <c r="AI80" s="65"/>
      <c r="AJ80" s="65"/>
      <c r="AK80" s="66"/>
      <c r="AL80" s="66"/>
      <c r="AM80" s="65"/>
      <c r="AN80" s="65"/>
      <c r="AO80" s="65"/>
      <c r="AP80" s="65"/>
      <c r="AQ80" s="65"/>
      <c r="AR80" s="66"/>
      <c r="AS80" s="66"/>
      <c r="AT80" s="65"/>
      <c r="AU80" s="65"/>
      <c r="AV80" s="65"/>
      <c r="AW80" s="65"/>
      <c r="AX80" s="65"/>
      <c r="AY80" s="66"/>
      <c r="AZ80" s="66"/>
      <c r="BA80" s="65"/>
      <c r="BB80" s="65"/>
      <c r="BC80" s="65"/>
      <c r="BD80" s="66"/>
      <c r="BE80" s="65"/>
      <c r="BF80" s="214"/>
      <c r="BG80" s="214"/>
      <c r="BH80" s="65"/>
      <c r="BI80" s="65"/>
      <c r="BJ80" s="66"/>
      <c r="BK80" s="66"/>
      <c r="BL80" s="65"/>
      <c r="BM80" s="214"/>
      <c r="BN80" s="214"/>
      <c r="BO80" s="82"/>
      <c r="BP80" s="22"/>
      <c r="BQ80" s="103"/>
      <c r="BR80" s="22"/>
      <c r="BS80" s="22"/>
      <c r="BT80" s="84"/>
      <c r="BU80" s="97"/>
      <c r="BV80" s="84"/>
      <c r="BW80" s="84"/>
      <c r="BX80" s="97"/>
      <c r="BY80" s="166"/>
      <c r="BZ80" s="107"/>
      <c r="CA80" s="108"/>
      <c r="CB80" s="109"/>
      <c r="CC80" s="110"/>
      <c r="CD80" s="109"/>
      <c r="CE80" s="114"/>
      <c r="CF80" s="10"/>
      <c r="CG80" s="137"/>
      <c r="CH80" s="136"/>
      <c r="CI80" s="137"/>
      <c r="CJ80" s="138"/>
      <c r="CK80" s="137"/>
      <c r="CL80" s="138"/>
    </row>
    <row r="81" spans="1:91" x14ac:dyDescent="0.25">
      <c r="A81" s="32"/>
      <c r="B81" s="25" t="s">
        <v>69</v>
      </c>
      <c r="C81" s="139"/>
      <c r="D81" s="139"/>
      <c r="E81" s="139"/>
      <c r="F81" s="40">
        <f t="shared" ref="F81:BO81" si="8">SUM(F34:F80)</f>
        <v>0</v>
      </c>
      <c r="G81" s="40">
        <f t="shared" si="8"/>
        <v>0</v>
      </c>
      <c r="H81" s="40">
        <f t="shared" si="8"/>
        <v>0</v>
      </c>
      <c r="I81" s="40">
        <f t="shared" si="8"/>
        <v>0</v>
      </c>
      <c r="J81" s="40">
        <f t="shared" si="8"/>
        <v>0</v>
      </c>
      <c r="K81" s="40">
        <f t="shared" si="8"/>
        <v>0</v>
      </c>
      <c r="L81" s="40">
        <f t="shared" si="8"/>
        <v>0</v>
      </c>
      <c r="M81" s="40">
        <f t="shared" si="8"/>
        <v>0</v>
      </c>
      <c r="N81" s="40">
        <f t="shared" si="8"/>
        <v>0</v>
      </c>
      <c r="O81" s="40">
        <f t="shared" si="8"/>
        <v>0</v>
      </c>
      <c r="P81" s="40">
        <f t="shared" si="8"/>
        <v>0</v>
      </c>
      <c r="Q81" s="40">
        <f t="shared" si="8"/>
        <v>0</v>
      </c>
      <c r="R81" s="40">
        <f t="shared" si="8"/>
        <v>0</v>
      </c>
      <c r="S81" s="40">
        <f t="shared" si="8"/>
        <v>0</v>
      </c>
      <c r="T81" s="40">
        <f t="shared" si="8"/>
        <v>0</v>
      </c>
      <c r="U81" s="40">
        <f t="shared" si="8"/>
        <v>0</v>
      </c>
      <c r="V81" s="40">
        <f t="shared" si="8"/>
        <v>0</v>
      </c>
      <c r="W81" s="40">
        <f t="shared" si="8"/>
        <v>0</v>
      </c>
      <c r="X81" s="40">
        <f t="shared" si="8"/>
        <v>0</v>
      </c>
      <c r="Y81" s="40">
        <f t="shared" si="8"/>
        <v>0</v>
      </c>
      <c r="Z81" s="40">
        <f t="shared" si="8"/>
        <v>0</v>
      </c>
      <c r="AA81" s="40">
        <f t="shared" si="8"/>
        <v>0</v>
      </c>
      <c r="AB81" s="40">
        <f t="shared" si="8"/>
        <v>0</v>
      </c>
      <c r="AC81" s="40">
        <f t="shared" si="8"/>
        <v>0</v>
      </c>
      <c r="AD81" s="40">
        <f t="shared" si="8"/>
        <v>0</v>
      </c>
      <c r="AE81" s="40">
        <f t="shared" si="8"/>
        <v>0</v>
      </c>
      <c r="AF81" s="40">
        <f t="shared" si="8"/>
        <v>0</v>
      </c>
      <c r="AG81" s="40">
        <f t="shared" si="8"/>
        <v>0</v>
      </c>
      <c r="AH81" s="40">
        <f t="shared" si="8"/>
        <v>0</v>
      </c>
      <c r="AI81" s="40">
        <f t="shared" si="8"/>
        <v>0</v>
      </c>
      <c r="AJ81" s="40">
        <f t="shared" si="8"/>
        <v>0</v>
      </c>
      <c r="AK81" s="40">
        <f t="shared" si="8"/>
        <v>0</v>
      </c>
      <c r="AL81" s="40">
        <f t="shared" si="8"/>
        <v>0</v>
      </c>
      <c r="AM81" s="40">
        <f t="shared" si="8"/>
        <v>0</v>
      </c>
      <c r="AN81" s="40">
        <f t="shared" si="8"/>
        <v>0</v>
      </c>
      <c r="AO81" s="40">
        <f t="shared" si="8"/>
        <v>0</v>
      </c>
      <c r="AP81" s="40">
        <f t="shared" si="8"/>
        <v>0</v>
      </c>
      <c r="AQ81" s="40">
        <f t="shared" si="8"/>
        <v>0</v>
      </c>
      <c r="AR81" s="40">
        <f t="shared" si="8"/>
        <v>0</v>
      </c>
      <c r="AS81" s="40">
        <f t="shared" si="8"/>
        <v>0</v>
      </c>
      <c r="AT81" s="40">
        <f t="shared" si="8"/>
        <v>0</v>
      </c>
      <c r="AU81" s="40">
        <f t="shared" si="8"/>
        <v>0</v>
      </c>
      <c r="AV81" s="40">
        <f t="shared" si="8"/>
        <v>0</v>
      </c>
      <c r="AW81" s="40">
        <f t="shared" si="8"/>
        <v>0</v>
      </c>
      <c r="AX81" s="40">
        <f t="shared" si="8"/>
        <v>0</v>
      </c>
      <c r="AY81" s="40">
        <f t="shared" si="8"/>
        <v>0</v>
      </c>
      <c r="AZ81" s="40">
        <f t="shared" si="8"/>
        <v>0</v>
      </c>
      <c r="BA81" s="40">
        <f t="shared" si="8"/>
        <v>0</v>
      </c>
      <c r="BB81" s="40">
        <f t="shared" si="8"/>
        <v>0</v>
      </c>
      <c r="BC81" s="40">
        <f t="shared" si="8"/>
        <v>0</v>
      </c>
      <c r="BD81" s="40">
        <f>SUM(BD34:BD80)</f>
        <v>0</v>
      </c>
      <c r="BE81" s="40">
        <f t="shared" si="8"/>
        <v>55</v>
      </c>
      <c r="BF81" s="40">
        <f t="shared" si="8"/>
        <v>55</v>
      </c>
      <c r="BG81" s="40">
        <f t="shared" si="8"/>
        <v>55</v>
      </c>
      <c r="BH81" s="40">
        <f t="shared" si="8"/>
        <v>54</v>
      </c>
      <c r="BI81" s="40">
        <f t="shared" si="8"/>
        <v>54</v>
      </c>
      <c r="BJ81" s="40">
        <f t="shared" si="8"/>
        <v>51</v>
      </c>
      <c r="BK81" s="40">
        <f t="shared" si="8"/>
        <v>51</v>
      </c>
      <c r="BL81" s="40">
        <f t="shared" si="8"/>
        <v>54</v>
      </c>
      <c r="BM81" s="40">
        <f t="shared" si="8"/>
        <v>0</v>
      </c>
      <c r="BN81" s="40">
        <f t="shared" si="8"/>
        <v>0</v>
      </c>
      <c r="BO81" s="181">
        <f t="shared" si="8"/>
        <v>429</v>
      </c>
      <c r="BP81" s="141"/>
      <c r="BQ81" s="141"/>
      <c r="BR81" s="141"/>
      <c r="BS81" s="141">
        <f>SUM(BS34:BS80)</f>
        <v>512280.55999999994</v>
      </c>
      <c r="BT81" s="141">
        <f>SUM(BT34:BT80)</f>
        <v>409824.44799999997</v>
      </c>
      <c r="BU81" s="43"/>
      <c r="BV81" s="142"/>
      <c r="BW81" s="142"/>
      <c r="BX81" s="43"/>
      <c r="BY81" s="143"/>
      <c r="BZ81" s="144"/>
      <c r="CA81" s="145"/>
      <c r="CB81" s="146">
        <f>CB79</f>
        <v>11451245</v>
      </c>
      <c r="CC81" s="147"/>
      <c r="CD81" s="148">
        <f>SUM(CD34:CD80)</f>
        <v>33817471.730000004</v>
      </c>
      <c r="CE81" s="149">
        <f>BT81/CD81*1000</f>
        <v>12.118719319766248</v>
      </c>
      <c r="CF81" s="10"/>
      <c r="CG81" s="148"/>
      <c r="CH81" s="150"/>
      <c r="CI81" s="182">
        <f t="shared" ref="CI81:CJ81" si="9">SUM(CI34:CI80)</f>
        <v>165</v>
      </c>
      <c r="CJ81" s="150">
        <f t="shared" si="9"/>
        <v>159305.568</v>
      </c>
      <c r="CK81" s="182">
        <f t="shared" ref="CK81:CL81" si="10">SUM(CK34:CK80)</f>
        <v>8158</v>
      </c>
      <c r="CL81" s="150">
        <f t="shared" si="10"/>
        <v>250518.88</v>
      </c>
      <c r="CM81" s="101" t="b">
        <f>(CJ81+CL81)=BT81</f>
        <v>1</v>
      </c>
    </row>
    <row r="82" spans="1:91" s="152" customFormat="1" ht="16.05" hidden="1" customHeight="1" x14ac:dyDescent="0.3">
      <c r="A82" s="43"/>
      <c r="B82" s="183"/>
      <c r="C82" s="184"/>
      <c r="D82" s="185"/>
      <c r="E82" s="186"/>
      <c r="F82" s="65"/>
      <c r="G82" s="65"/>
      <c r="H82" s="65"/>
      <c r="I82" s="65"/>
      <c r="J82" s="65"/>
      <c r="K82" s="66"/>
      <c r="L82" s="66"/>
      <c r="M82" s="65"/>
      <c r="N82" s="65"/>
      <c r="O82" s="65"/>
      <c r="P82" s="65"/>
      <c r="Q82" s="65"/>
      <c r="R82" s="66"/>
      <c r="S82" s="66"/>
      <c r="T82" s="65"/>
      <c r="U82" s="65"/>
      <c r="V82" s="65"/>
      <c r="W82" s="65"/>
      <c r="X82" s="65"/>
      <c r="Y82" s="66"/>
      <c r="Z82" s="66"/>
      <c r="AA82" s="65"/>
      <c r="AB82" s="65"/>
      <c r="AC82" s="65"/>
      <c r="AD82" s="65"/>
      <c r="AE82" s="65"/>
      <c r="AF82" s="66"/>
      <c r="AG82" s="66"/>
      <c r="AH82" s="65"/>
      <c r="AI82" s="65"/>
      <c r="AJ82" s="65"/>
      <c r="AK82" s="65"/>
      <c r="AL82" s="65"/>
      <c r="AM82" s="65"/>
      <c r="AN82" s="65"/>
      <c r="AO82" s="65"/>
      <c r="AP82" s="66"/>
      <c r="AQ82" s="66"/>
      <c r="AR82" s="65"/>
      <c r="AS82" s="65"/>
      <c r="AT82" s="65"/>
      <c r="AU82" s="65"/>
      <c r="AV82" s="65"/>
      <c r="AW82" s="66"/>
      <c r="AX82" s="66"/>
      <c r="AY82" s="65"/>
      <c r="AZ82" s="65"/>
      <c r="BA82" s="65"/>
      <c r="BB82" s="65"/>
      <c r="BC82" s="65"/>
      <c r="BD82" s="66"/>
      <c r="BE82" s="66"/>
      <c r="BF82" s="65"/>
      <c r="BG82" s="65"/>
      <c r="BH82" s="65"/>
      <c r="BI82" s="65"/>
      <c r="BJ82" s="65"/>
      <c r="BK82" s="66"/>
      <c r="BL82" s="66"/>
      <c r="BM82" s="65"/>
      <c r="BN82" s="65"/>
      <c r="BO82" s="187"/>
      <c r="BP82" s="68"/>
      <c r="BQ82" s="68"/>
      <c r="BR82" s="68"/>
      <c r="BS82" s="68"/>
      <c r="BT82" s="68"/>
      <c r="BU82" s="32"/>
      <c r="BV82" s="68"/>
      <c r="BW82" s="68"/>
      <c r="BX82" s="32"/>
      <c r="BY82" s="188"/>
      <c r="BZ82" s="189"/>
      <c r="CA82" s="190"/>
      <c r="CB82" s="191"/>
      <c r="CC82" s="192"/>
      <c r="CD82" s="191"/>
      <c r="CE82" s="193"/>
      <c r="CF82" s="160"/>
      <c r="CG82" s="30"/>
      <c r="CH82" s="194"/>
      <c r="CI82" s="30"/>
      <c r="CJ82" s="194"/>
      <c r="CK82" s="30"/>
      <c r="CL82" s="194"/>
      <c r="CM82" s="151"/>
    </row>
    <row r="83" spans="1:91" ht="16.05" hidden="1" customHeight="1" x14ac:dyDescent="0.25">
      <c r="A83" s="32"/>
      <c r="B83" s="617" t="s">
        <v>70</v>
      </c>
      <c r="C83" s="81" t="s">
        <v>71</v>
      </c>
      <c r="D83" s="95" t="s">
        <v>72</v>
      </c>
      <c r="E83" s="39" t="s">
        <v>18</v>
      </c>
      <c r="F83" s="65"/>
      <c r="G83" s="65"/>
      <c r="H83" s="65"/>
      <c r="I83" s="65"/>
      <c r="J83" s="65"/>
      <c r="K83" s="66"/>
      <c r="L83" s="66"/>
      <c r="M83" s="65"/>
      <c r="N83" s="65"/>
      <c r="O83" s="65"/>
      <c r="P83" s="65"/>
      <c r="Q83" s="65"/>
      <c r="R83" s="66"/>
      <c r="S83" s="66"/>
      <c r="T83" s="65"/>
      <c r="U83" s="65"/>
      <c r="V83" s="65"/>
      <c r="W83" s="65"/>
      <c r="X83" s="65"/>
      <c r="Y83" s="66"/>
      <c r="Z83" s="66"/>
      <c r="AA83" s="65"/>
      <c r="AB83" s="65"/>
      <c r="AC83" s="65"/>
      <c r="AD83" s="65"/>
      <c r="AE83" s="65"/>
      <c r="AF83" s="66"/>
      <c r="AG83" s="66"/>
      <c r="AH83" s="65"/>
      <c r="AI83" s="65"/>
      <c r="AJ83" s="65"/>
      <c r="AK83" s="65"/>
      <c r="AL83" s="65"/>
      <c r="AM83" s="65"/>
      <c r="AN83" s="65"/>
      <c r="AO83" s="65"/>
      <c r="AP83" s="66"/>
      <c r="AQ83" s="66"/>
      <c r="AR83" s="65"/>
      <c r="AS83" s="65"/>
      <c r="AT83" s="65"/>
      <c r="AU83" s="65"/>
      <c r="AV83" s="65"/>
      <c r="AW83" s="66"/>
      <c r="AX83" s="66"/>
      <c r="AY83" s="65"/>
      <c r="AZ83" s="65"/>
      <c r="BA83" s="65"/>
      <c r="BB83" s="65"/>
      <c r="BC83" s="65"/>
      <c r="BD83" s="66"/>
      <c r="BE83" s="66"/>
      <c r="BF83" s="65"/>
      <c r="BG83" s="65"/>
      <c r="BH83" s="65"/>
      <c r="BI83" s="65"/>
      <c r="BJ83" s="65"/>
      <c r="BK83" s="66"/>
      <c r="BL83" s="66"/>
      <c r="BM83" s="65"/>
      <c r="BN83" s="65"/>
      <c r="BO83" s="175">
        <f>SUM(F83:AI83)</f>
        <v>0</v>
      </c>
      <c r="BP83" s="22">
        <v>165</v>
      </c>
      <c r="BQ83" s="83">
        <v>0.57999999999999996</v>
      </c>
      <c r="BR83" s="22">
        <f>BP83*(1-BQ83)</f>
        <v>69.300000000000011</v>
      </c>
      <c r="BS83" s="22">
        <f>BR83*BO83</f>
        <v>0</v>
      </c>
      <c r="BT83" s="84">
        <f>BR83*0.8</f>
        <v>55.440000000000012</v>
      </c>
      <c r="BU83" s="32"/>
      <c r="BV83" s="84">
        <f>BS83*0.8</f>
        <v>0</v>
      </c>
      <c r="BW83" s="84"/>
      <c r="BX83" s="32"/>
      <c r="BY83" s="99">
        <f>BZ83/CC83*100</f>
        <v>3.8168404911999341</v>
      </c>
      <c r="BZ83" s="86">
        <v>2351</v>
      </c>
      <c r="CA83" s="87">
        <f>BY83*BO83</f>
        <v>0</v>
      </c>
      <c r="CB83" s="88">
        <v>125194</v>
      </c>
      <c r="CC83" s="89">
        <v>61595.448000000004</v>
      </c>
      <c r="CD83" s="90">
        <v>188080</v>
      </c>
      <c r="CE83" s="21">
        <f>BV83/CD83*1000</f>
        <v>0</v>
      </c>
      <c r="CF83" s="55"/>
      <c r="CG83" s="30" t="s">
        <v>71</v>
      </c>
      <c r="CH83" s="194"/>
      <c r="CI83" s="30" t="e">
        <f>SUM(#REF!)</f>
        <v>#REF!</v>
      </c>
      <c r="CJ83" s="194" t="e">
        <f>#REF!*CI83</f>
        <v>#REF!</v>
      </c>
      <c r="CK83" s="30" t="e">
        <f>SUM(#REF!)</f>
        <v>#REF!</v>
      </c>
      <c r="CL83" s="194" t="e">
        <f>#REF!*CK83</f>
        <v>#REF!</v>
      </c>
    </row>
    <row r="84" spans="1:91" ht="16.05" hidden="1" customHeight="1" x14ac:dyDescent="0.25">
      <c r="A84" s="32"/>
      <c r="B84" s="617"/>
      <c r="C84" s="116" t="s">
        <v>73</v>
      </c>
      <c r="D84" s="95"/>
      <c r="E84" s="39"/>
      <c r="F84" s="65"/>
      <c r="G84" s="65"/>
      <c r="H84" s="65"/>
      <c r="I84" s="65"/>
      <c r="J84" s="65"/>
      <c r="K84" s="66"/>
      <c r="L84" s="66"/>
      <c r="M84" s="65"/>
      <c r="N84" s="65"/>
      <c r="O84" s="65"/>
      <c r="P84" s="65"/>
      <c r="Q84" s="65"/>
      <c r="R84" s="66"/>
      <c r="S84" s="66"/>
      <c r="T84" s="65"/>
      <c r="U84" s="65"/>
      <c r="V84" s="65"/>
      <c r="W84" s="65"/>
      <c r="X84" s="65"/>
      <c r="Y84" s="66"/>
      <c r="Z84" s="66"/>
      <c r="AA84" s="65"/>
      <c r="AB84" s="65"/>
      <c r="AC84" s="65"/>
      <c r="AD84" s="65"/>
      <c r="AE84" s="65"/>
      <c r="AF84" s="66"/>
      <c r="AG84" s="66"/>
      <c r="AH84" s="65"/>
      <c r="AI84" s="65"/>
      <c r="AJ84" s="65"/>
      <c r="AK84" s="65"/>
      <c r="AL84" s="65"/>
      <c r="AM84" s="65"/>
      <c r="AN84" s="65"/>
      <c r="AO84" s="65"/>
      <c r="AP84" s="66"/>
      <c r="AQ84" s="66"/>
      <c r="AR84" s="65"/>
      <c r="AS84" s="65"/>
      <c r="AT84" s="65"/>
      <c r="AU84" s="65"/>
      <c r="AV84" s="65"/>
      <c r="AW84" s="66"/>
      <c r="AX84" s="66"/>
      <c r="AY84" s="65"/>
      <c r="AZ84" s="65"/>
      <c r="BA84" s="65"/>
      <c r="BB84" s="65"/>
      <c r="BC84" s="65"/>
      <c r="BD84" s="66"/>
      <c r="BE84" s="66"/>
      <c r="BF84" s="65"/>
      <c r="BG84" s="65"/>
      <c r="BH84" s="65"/>
      <c r="BI84" s="65"/>
      <c r="BJ84" s="65"/>
      <c r="BK84" s="66"/>
      <c r="BL84" s="66"/>
      <c r="BM84" s="65"/>
      <c r="BN84" s="65"/>
      <c r="BO84" s="173"/>
      <c r="BP84" s="104"/>
      <c r="BQ84" s="195"/>
      <c r="BR84" s="104"/>
      <c r="BS84" s="104"/>
      <c r="BT84" s="104"/>
      <c r="BU84" s="32"/>
      <c r="BV84" s="104"/>
      <c r="BW84" s="104"/>
      <c r="BX84" s="32"/>
      <c r="BY84" s="106"/>
      <c r="BZ84" s="107"/>
      <c r="CA84" s="108"/>
      <c r="CB84" s="109"/>
      <c r="CC84" s="110"/>
      <c r="CD84" s="109"/>
      <c r="CE84" s="114"/>
      <c r="CF84" s="10"/>
      <c r="CH84" s="194"/>
      <c r="CJ84" s="194"/>
      <c r="CL84" s="194"/>
    </row>
    <row r="85" spans="1:91" ht="16.05" hidden="1" customHeight="1" x14ac:dyDescent="0.25">
      <c r="A85" s="32"/>
      <c r="B85" s="102"/>
      <c r="C85" s="95"/>
      <c r="D85" s="95"/>
      <c r="E85" s="39"/>
      <c r="F85" s="65"/>
      <c r="G85" s="65"/>
      <c r="H85" s="65"/>
      <c r="I85" s="65"/>
      <c r="J85" s="65"/>
      <c r="K85" s="66"/>
      <c r="L85" s="66"/>
      <c r="M85" s="65"/>
      <c r="N85" s="65"/>
      <c r="O85" s="65"/>
      <c r="P85" s="65"/>
      <c r="Q85" s="65"/>
      <c r="R85" s="66"/>
      <c r="S85" s="66"/>
      <c r="T85" s="65"/>
      <c r="U85" s="65"/>
      <c r="V85" s="65"/>
      <c r="W85" s="65"/>
      <c r="X85" s="65"/>
      <c r="Y85" s="66"/>
      <c r="Z85" s="66"/>
      <c r="AA85" s="65"/>
      <c r="AB85" s="65"/>
      <c r="AC85" s="65"/>
      <c r="AD85" s="65"/>
      <c r="AE85" s="65"/>
      <c r="AF85" s="66"/>
      <c r="AG85" s="66"/>
      <c r="AH85" s="65"/>
      <c r="AI85" s="65"/>
      <c r="AJ85" s="65"/>
      <c r="AK85" s="65"/>
      <c r="AL85" s="65"/>
      <c r="AM85" s="65"/>
      <c r="AN85" s="65"/>
      <c r="AO85" s="65"/>
      <c r="AP85" s="66"/>
      <c r="AQ85" s="66"/>
      <c r="AR85" s="65"/>
      <c r="AS85" s="65"/>
      <c r="AT85" s="65"/>
      <c r="AU85" s="65"/>
      <c r="AV85" s="65"/>
      <c r="AW85" s="66"/>
      <c r="AX85" s="66"/>
      <c r="AY85" s="65"/>
      <c r="AZ85" s="65"/>
      <c r="BA85" s="65"/>
      <c r="BB85" s="65"/>
      <c r="BC85" s="65"/>
      <c r="BD85" s="66"/>
      <c r="BE85" s="66"/>
      <c r="BF85" s="65"/>
      <c r="BG85" s="65"/>
      <c r="BH85" s="65"/>
      <c r="BI85" s="65"/>
      <c r="BJ85" s="65"/>
      <c r="BK85" s="66"/>
      <c r="BL85" s="66"/>
      <c r="BM85" s="65"/>
      <c r="BN85" s="65"/>
      <c r="BO85" s="67"/>
      <c r="BP85" s="68"/>
      <c r="BQ85" s="69"/>
      <c r="BR85" s="68"/>
      <c r="BS85" s="68"/>
      <c r="BT85" s="68"/>
      <c r="BU85" s="32"/>
      <c r="BV85" s="68"/>
      <c r="BW85" s="68"/>
      <c r="BX85" s="32"/>
      <c r="BY85" s="127"/>
      <c r="BZ85" s="128"/>
      <c r="CA85" s="129"/>
      <c r="CB85" s="76"/>
      <c r="CC85" s="75"/>
      <c r="CD85" s="76"/>
      <c r="CE85" s="18"/>
      <c r="CF85" s="10"/>
      <c r="CH85" s="194"/>
      <c r="CJ85" s="194"/>
      <c r="CL85" s="194"/>
    </row>
    <row r="86" spans="1:91" s="152" customFormat="1" ht="16.05" hidden="1" customHeight="1" x14ac:dyDescent="0.3">
      <c r="A86" s="43"/>
      <c r="B86" s="102"/>
      <c r="C86" s="81" t="s">
        <v>74</v>
      </c>
      <c r="D86" s="95" t="s">
        <v>72</v>
      </c>
      <c r="E86" s="39" t="s">
        <v>18</v>
      </c>
      <c r="F86" s="65"/>
      <c r="G86" s="65"/>
      <c r="H86" s="65"/>
      <c r="I86" s="65"/>
      <c r="J86" s="65"/>
      <c r="K86" s="66"/>
      <c r="L86" s="66"/>
      <c r="M86" s="65"/>
      <c r="N86" s="65"/>
      <c r="O86" s="65"/>
      <c r="P86" s="65"/>
      <c r="Q86" s="65"/>
      <c r="R86" s="66"/>
      <c r="S86" s="66"/>
      <c r="T86" s="65"/>
      <c r="U86" s="65"/>
      <c r="V86" s="65"/>
      <c r="W86" s="65"/>
      <c r="X86" s="65"/>
      <c r="Y86" s="66"/>
      <c r="Z86" s="66"/>
      <c r="AA86" s="65"/>
      <c r="AB86" s="65"/>
      <c r="AC86" s="65"/>
      <c r="AD86" s="65"/>
      <c r="AE86" s="65"/>
      <c r="AF86" s="66"/>
      <c r="AG86" s="66"/>
      <c r="AH86" s="65"/>
      <c r="AI86" s="65"/>
      <c r="AJ86" s="65"/>
      <c r="AK86" s="65"/>
      <c r="AL86" s="65"/>
      <c r="AM86" s="65"/>
      <c r="AN86" s="65"/>
      <c r="AO86" s="65"/>
      <c r="AP86" s="66"/>
      <c r="AQ86" s="66"/>
      <c r="AR86" s="65"/>
      <c r="AS86" s="65"/>
      <c r="AT86" s="65"/>
      <c r="AU86" s="65"/>
      <c r="AV86" s="65"/>
      <c r="AW86" s="66"/>
      <c r="AX86" s="66"/>
      <c r="AY86" s="65"/>
      <c r="AZ86" s="65"/>
      <c r="BA86" s="65"/>
      <c r="BB86" s="65"/>
      <c r="BC86" s="65"/>
      <c r="BD86" s="66"/>
      <c r="BE86" s="66"/>
      <c r="BF86" s="65"/>
      <c r="BG86" s="65"/>
      <c r="BH86" s="65"/>
      <c r="BI86" s="65"/>
      <c r="BJ86" s="65"/>
      <c r="BK86" s="66"/>
      <c r="BL86" s="66"/>
      <c r="BM86" s="65"/>
      <c r="BN86" s="65"/>
      <c r="BO86" s="175">
        <f>SUM(F86:AI86)</f>
        <v>0</v>
      </c>
      <c r="BP86" s="22">
        <v>310</v>
      </c>
      <c r="BQ86" s="83">
        <v>0.3</v>
      </c>
      <c r="BR86" s="22">
        <f>BP86*(1-BQ86)</f>
        <v>217</v>
      </c>
      <c r="BS86" s="22">
        <f>BR86*BO86</f>
        <v>0</v>
      </c>
      <c r="BT86" s="84">
        <f>BR86*0.8</f>
        <v>173.60000000000002</v>
      </c>
      <c r="BU86" s="32"/>
      <c r="BV86" s="84">
        <f>BS86*0.8</f>
        <v>0</v>
      </c>
      <c r="BW86" s="84"/>
      <c r="BX86" s="32"/>
      <c r="BY86" s="99">
        <f>BZ86/CC86*100</f>
        <v>3.0700540793748683</v>
      </c>
      <c r="BZ86" s="86">
        <v>1402</v>
      </c>
      <c r="CA86" s="87">
        <f>BY86*BO86</f>
        <v>0</v>
      </c>
      <c r="CB86" s="88">
        <v>92819</v>
      </c>
      <c r="CC86" s="89">
        <v>45666.948000000004</v>
      </c>
      <c r="CD86" s="90">
        <v>112160</v>
      </c>
      <c r="CE86" s="21">
        <f>BV86/CD86*1000</f>
        <v>0</v>
      </c>
      <c r="CF86" s="160"/>
      <c r="CG86" s="30" t="str">
        <f>C86</f>
        <v>BEIRA MAR FM</v>
      </c>
      <c r="CH86" s="194"/>
      <c r="CI86" s="30" t="e">
        <f>SUM(#REF!)</f>
        <v>#REF!</v>
      </c>
      <c r="CJ86" s="194" t="e">
        <f>#REF!*CI86</f>
        <v>#REF!</v>
      </c>
      <c r="CK86" s="30" t="e">
        <f>SUM(#REF!)</f>
        <v>#REF!</v>
      </c>
      <c r="CL86" s="194" t="e">
        <f>#REF!*CK86</f>
        <v>#REF!</v>
      </c>
      <c r="CM86" s="151"/>
    </row>
    <row r="87" spans="1:91" ht="16.05" hidden="1" customHeight="1" x14ac:dyDescent="0.25">
      <c r="A87" s="32"/>
      <c r="B87" s="102"/>
      <c r="C87" s="116" t="s">
        <v>75</v>
      </c>
      <c r="D87" s="95"/>
      <c r="E87" s="39"/>
      <c r="F87" s="65"/>
      <c r="G87" s="65"/>
      <c r="H87" s="65"/>
      <c r="I87" s="65"/>
      <c r="J87" s="65"/>
      <c r="K87" s="66"/>
      <c r="L87" s="66"/>
      <c r="M87" s="65"/>
      <c r="N87" s="65"/>
      <c r="O87" s="65"/>
      <c r="P87" s="65"/>
      <c r="Q87" s="65"/>
      <c r="R87" s="66"/>
      <c r="S87" s="66"/>
      <c r="T87" s="65"/>
      <c r="U87" s="65"/>
      <c r="V87" s="65"/>
      <c r="W87" s="65"/>
      <c r="X87" s="65"/>
      <c r="Y87" s="66"/>
      <c r="Z87" s="66"/>
      <c r="AA87" s="65"/>
      <c r="AB87" s="65"/>
      <c r="AC87" s="65"/>
      <c r="AD87" s="65"/>
      <c r="AE87" s="65"/>
      <c r="AF87" s="66"/>
      <c r="AG87" s="66"/>
      <c r="AH87" s="65"/>
      <c r="AI87" s="65"/>
      <c r="AJ87" s="65"/>
      <c r="AK87" s="65"/>
      <c r="AL87" s="65"/>
      <c r="AM87" s="65"/>
      <c r="AN87" s="65"/>
      <c r="AO87" s="65"/>
      <c r="AP87" s="66"/>
      <c r="AQ87" s="66"/>
      <c r="AR87" s="65"/>
      <c r="AS87" s="65"/>
      <c r="AT87" s="65"/>
      <c r="AU87" s="65"/>
      <c r="AV87" s="65"/>
      <c r="AW87" s="66"/>
      <c r="AX87" s="66"/>
      <c r="AY87" s="65"/>
      <c r="AZ87" s="65"/>
      <c r="BA87" s="65"/>
      <c r="BB87" s="65"/>
      <c r="BC87" s="65"/>
      <c r="BD87" s="66"/>
      <c r="BE87" s="66"/>
      <c r="BF87" s="65"/>
      <c r="BG87" s="65"/>
      <c r="BH87" s="65"/>
      <c r="BI87" s="65"/>
      <c r="BJ87" s="65"/>
      <c r="BK87" s="66"/>
      <c r="BL87" s="66"/>
      <c r="BM87" s="65"/>
      <c r="BN87" s="65"/>
      <c r="BO87" s="173"/>
      <c r="BP87" s="104"/>
      <c r="BQ87" s="195"/>
      <c r="BR87" s="104"/>
      <c r="BS87" s="104"/>
      <c r="BT87" s="104"/>
      <c r="BU87" s="32"/>
      <c r="BV87" s="104"/>
      <c r="BW87" s="104"/>
      <c r="BX87" s="32"/>
      <c r="BY87" s="106"/>
      <c r="BZ87" s="107"/>
      <c r="CA87" s="108"/>
      <c r="CB87" s="109"/>
      <c r="CC87" s="110"/>
      <c r="CD87" s="109"/>
      <c r="CE87" s="114"/>
      <c r="CF87" s="10"/>
      <c r="CH87" s="194"/>
      <c r="CJ87" s="194"/>
      <c r="CL87" s="194"/>
    </row>
    <row r="88" spans="1:91" ht="16.05" hidden="1" customHeight="1" x14ac:dyDescent="0.25">
      <c r="A88" s="32"/>
      <c r="B88" s="102"/>
      <c r="C88" s="95"/>
      <c r="D88" s="95"/>
      <c r="E88" s="39"/>
      <c r="F88" s="65"/>
      <c r="G88" s="65"/>
      <c r="H88" s="65"/>
      <c r="I88" s="65"/>
      <c r="J88" s="65"/>
      <c r="K88" s="66"/>
      <c r="L88" s="66"/>
      <c r="M88" s="65"/>
      <c r="N88" s="65"/>
      <c r="O88" s="65"/>
      <c r="P88" s="65"/>
      <c r="Q88" s="65"/>
      <c r="R88" s="66"/>
      <c r="S88" s="66"/>
      <c r="T88" s="65"/>
      <c r="U88" s="65"/>
      <c r="V88" s="65"/>
      <c r="W88" s="65"/>
      <c r="X88" s="65"/>
      <c r="Y88" s="66"/>
      <c r="Z88" s="66"/>
      <c r="AA88" s="65"/>
      <c r="AB88" s="65"/>
      <c r="AC88" s="65"/>
      <c r="AD88" s="65"/>
      <c r="AE88" s="65"/>
      <c r="AF88" s="66"/>
      <c r="AG88" s="66"/>
      <c r="AH88" s="65"/>
      <c r="AI88" s="65"/>
      <c r="AJ88" s="65"/>
      <c r="AK88" s="65"/>
      <c r="AL88" s="65"/>
      <c r="AM88" s="65"/>
      <c r="AN88" s="65"/>
      <c r="AO88" s="65"/>
      <c r="AP88" s="66"/>
      <c r="AQ88" s="66"/>
      <c r="AR88" s="65"/>
      <c r="AS88" s="65"/>
      <c r="AT88" s="65"/>
      <c r="AU88" s="65"/>
      <c r="AV88" s="65"/>
      <c r="AW88" s="66"/>
      <c r="AX88" s="66"/>
      <c r="AY88" s="65"/>
      <c r="AZ88" s="65"/>
      <c r="BA88" s="65"/>
      <c r="BB88" s="65"/>
      <c r="BC88" s="65"/>
      <c r="BD88" s="66"/>
      <c r="BE88" s="66"/>
      <c r="BF88" s="65"/>
      <c r="BG88" s="65"/>
      <c r="BH88" s="65"/>
      <c r="BI88" s="65"/>
      <c r="BJ88" s="65"/>
      <c r="BK88" s="66"/>
      <c r="BL88" s="66"/>
      <c r="BM88" s="65"/>
      <c r="BN88" s="65"/>
      <c r="BO88" s="67"/>
      <c r="BP88" s="68"/>
      <c r="BQ88" s="69"/>
      <c r="BR88" s="68"/>
      <c r="BS88" s="68"/>
      <c r="BT88" s="68"/>
      <c r="BU88" s="32"/>
      <c r="BV88" s="68"/>
      <c r="BW88" s="68"/>
      <c r="BX88" s="32"/>
      <c r="BY88" s="127"/>
      <c r="BZ88" s="128"/>
      <c r="CA88" s="129"/>
      <c r="CB88" s="76"/>
      <c r="CC88" s="75"/>
      <c r="CD88" s="76"/>
      <c r="CE88" s="18"/>
      <c r="CF88" s="10"/>
      <c r="CH88" s="194"/>
      <c r="CJ88" s="194"/>
      <c r="CL88" s="194"/>
    </row>
    <row r="89" spans="1:91" ht="16.05" hidden="1" customHeight="1" x14ac:dyDescent="0.25">
      <c r="A89" s="32"/>
      <c r="B89" s="102"/>
      <c r="C89" s="81" t="s">
        <v>76</v>
      </c>
      <c r="D89" s="95" t="s">
        <v>72</v>
      </c>
      <c r="E89" s="39" t="s">
        <v>18</v>
      </c>
      <c r="F89" s="65"/>
      <c r="G89" s="65"/>
      <c r="H89" s="65"/>
      <c r="I89" s="65"/>
      <c r="J89" s="65"/>
      <c r="K89" s="66"/>
      <c r="L89" s="66"/>
      <c r="M89" s="65"/>
      <c r="N89" s="65"/>
      <c r="O89" s="65"/>
      <c r="P89" s="65"/>
      <c r="Q89" s="65"/>
      <c r="R89" s="66"/>
      <c r="S89" s="66"/>
      <c r="T89" s="65"/>
      <c r="U89" s="65"/>
      <c r="V89" s="65"/>
      <c r="W89" s="65"/>
      <c r="X89" s="65"/>
      <c r="Y89" s="66"/>
      <c r="Z89" s="66"/>
      <c r="AA89" s="65"/>
      <c r="AB89" s="65"/>
      <c r="AC89" s="65"/>
      <c r="AD89" s="65"/>
      <c r="AE89" s="65"/>
      <c r="AF89" s="66"/>
      <c r="AG89" s="66"/>
      <c r="AH89" s="65"/>
      <c r="AI89" s="65"/>
      <c r="AJ89" s="65"/>
      <c r="AK89" s="65"/>
      <c r="AL89" s="65"/>
      <c r="AM89" s="65"/>
      <c r="AN89" s="65"/>
      <c r="AO89" s="65"/>
      <c r="AP89" s="66"/>
      <c r="AQ89" s="66"/>
      <c r="AR89" s="65"/>
      <c r="AS89" s="65"/>
      <c r="AT89" s="65"/>
      <c r="AU89" s="65"/>
      <c r="AV89" s="65"/>
      <c r="AW89" s="66"/>
      <c r="AX89" s="66"/>
      <c r="AY89" s="65"/>
      <c r="AZ89" s="65"/>
      <c r="BA89" s="65"/>
      <c r="BB89" s="65"/>
      <c r="BC89" s="65"/>
      <c r="BD89" s="66"/>
      <c r="BE89" s="66"/>
      <c r="BF89" s="65"/>
      <c r="BG89" s="65"/>
      <c r="BH89" s="65"/>
      <c r="BI89" s="65"/>
      <c r="BJ89" s="65"/>
      <c r="BK89" s="66"/>
      <c r="BL89" s="66"/>
      <c r="BM89" s="65"/>
      <c r="BN89" s="65"/>
      <c r="BO89" s="175">
        <f>SUM(F89:AI89)</f>
        <v>0</v>
      </c>
      <c r="BP89" s="22">
        <v>800</v>
      </c>
      <c r="BQ89" s="83">
        <v>0.8</v>
      </c>
      <c r="BR89" s="22">
        <f>BP89*(1-BQ89)</f>
        <v>159.99999999999997</v>
      </c>
      <c r="BS89" s="22">
        <f>BR89*BO89</f>
        <v>0</v>
      </c>
      <c r="BT89" s="84">
        <f>BR89*0.8</f>
        <v>127.99999999999999</v>
      </c>
      <c r="BU89" s="32"/>
      <c r="BV89" s="84">
        <f>BS89*0.8</f>
        <v>0</v>
      </c>
      <c r="BW89" s="84"/>
      <c r="BX89" s="32"/>
      <c r="BY89" s="99" t="e">
        <f>BZ89/CC89*100</f>
        <v>#DIV/0!</v>
      </c>
      <c r="BZ89" s="86"/>
      <c r="CA89" s="87" t="e">
        <f>BY89*BO89</f>
        <v>#DIV/0!</v>
      </c>
      <c r="CB89" s="88"/>
      <c r="CC89" s="89"/>
      <c r="CD89" s="90"/>
      <c r="CE89" s="21" t="e">
        <f>BV89/CD89*1000</f>
        <v>#DIV/0!</v>
      </c>
      <c r="CF89" s="10"/>
      <c r="CG89" s="30" t="str">
        <f>C89</f>
        <v>MORADA FM</v>
      </c>
      <c r="CH89" s="194"/>
      <c r="CI89" s="30" t="e">
        <f>SUM(#REF!)</f>
        <v>#REF!</v>
      </c>
      <c r="CJ89" s="194" t="e">
        <f>#REF!*CI89</f>
        <v>#REF!</v>
      </c>
      <c r="CK89" s="30" t="e">
        <f>SUM(#REF!)</f>
        <v>#REF!</v>
      </c>
      <c r="CL89" s="194" t="e">
        <f>#REF!*CK89</f>
        <v>#REF!</v>
      </c>
    </row>
    <row r="90" spans="1:91" ht="16.05" hidden="1" customHeight="1" x14ac:dyDescent="0.25">
      <c r="A90" s="32"/>
      <c r="B90" s="102"/>
      <c r="C90" s="116" t="s">
        <v>77</v>
      </c>
      <c r="D90" s="95"/>
      <c r="E90" s="39"/>
      <c r="F90" s="65"/>
      <c r="G90" s="65"/>
      <c r="H90" s="65"/>
      <c r="I90" s="65"/>
      <c r="J90" s="65"/>
      <c r="K90" s="66"/>
      <c r="L90" s="66"/>
      <c r="M90" s="65"/>
      <c r="N90" s="65"/>
      <c r="O90" s="65"/>
      <c r="P90" s="65"/>
      <c r="Q90" s="65"/>
      <c r="R90" s="66"/>
      <c r="S90" s="66"/>
      <c r="T90" s="65"/>
      <c r="U90" s="65"/>
      <c r="V90" s="65"/>
      <c r="W90" s="65"/>
      <c r="X90" s="65"/>
      <c r="Y90" s="66"/>
      <c r="Z90" s="66"/>
      <c r="AA90" s="65"/>
      <c r="AB90" s="65"/>
      <c r="AC90" s="65"/>
      <c r="AD90" s="65"/>
      <c r="AE90" s="65"/>
      <c r="AF90" s="66"/>
      <c r="AG90" s="66"/>
      <c r="AH90" s="65"/>
      <c r="AI90" s="65"/>
      <c r="AJ90" s="65"/>
      <c r="AK90" s="65"/>
      <c r="AL90" s="65"/>
      <c r="AM90" s="65"/>
      <c r="AN90" s="65"/>
      <c r="AO90" s="65"/>
      <c r="AP90" s="66"/>
      <c r="AQ90" s="66"/>
      <c r="AR90" s="65"/>
      <c r="AS90" s="65"/>
      <c r="AT90" s="65"/>
      <c r="AU90" s="65"/>
      <c r="AV90" s="65"/>
      <c r="AW90" s="66"/>
      <c r="AX90" s="66"/>
      <c r="AY90" s="65"/>
      <c r="AZ90" s="65"/>
      <c r="BA90" s="65"/>
      <c r="BB90" s="65"/>
      <c r="BC90" s="65"/>
      <c r="BD90" s="66"/>
      <c r="BE90" s="66"/>
      <c r="BF90" s="65"/>
      <c r="BG90" s="65"/>
      <c r="BH90" s="65"/>
      <c r="BI90" s="65"/>
      <c r="BJ90" s="65"/>
      <c r="BK90" s="66"/>
      <c r="BL90" s="66"/>
      <c r="BM90" s="65"/>
      <c r="BN90" s="65"/>
      <c r="BO90" s="173"/>
      <c r="BP90" s="104"/>
      <c r="BQ90" s="195"/>
      <c r="BR90" s="104"/>
      <c r="BS90" s="104"/>
      <c r="BT90" s="104"/>
      <c r="BU90" s="32"/>
      <c r="BV90" s="104"/>
      <c r="BW90" s="104"/>
      <c r="BX90" s="32"/>
      <c r="BY90" s="106"/>
      <c r="BZ90" s="107"/>
      <c r="CA90" s="108"/>
      <c r="CB90" s="109"/>
      <c r="CC90" s="110"/>
      <c r="CD90" s="109"/>
      <c r="CE90" s="114"/>
      <c r="CF90" s="10"/>
      <c r="CH90" s="194"/>
      <c r="CJ90" s="194"/>
      <c r="CL90" s="194"/>
    </row>
    <row r="91" spans="1:91" ht="16.05" hidden="1" customHeight="1" x14ac:dyDescent="0.25">
      <c r="A91" s="32"/>
      <c r="B91" s="102"/>
      <c r="C91" s="95"/>
      <c r="D91" s="95"/>
      <c r="E91" s="39"/>
      <c r="F91" s="65"/>
      <c r="G91" s="65"/>
      <c r="H91" s="65"/>
      <c r="I91" s="65"/>
      <c r="J91" s="65"/>
      <c r="K91" s="66"/>
      <c r="L91" s="66"/>
      <c r="M91" s="65"/>
      <c r="N91" s="65"/>
      <c r="O91" s="65"/>
      <c r="P91" s="65"/>
      <c r="Q91" s="65"/>
      <c r="R91" s="66"/>
      <c r="S91" s="66"/>
      <c r="T91" s="65"/>
      <c r="U91" s="65"/>
      <c r="V91" s="65"/>
      <c r="W91" s="65"/>
      <c r="X91" s="65"/>
      <c r="Y91" s="66"/>
      <c r="Z91" s="66"/>
      <c r="AA91" s="65"/>
      <c r="AB91" s="65"/>
      <c r="AC91" s="65"/>
      <c r="AD91" s="65"/>
      <c r="AE91" s="65"/>
      <c r="AF91" s="66"/>
      <c r="AG91" s="66"/>
      <c r="AH91" s="65"/>
      <c r="AI91" s="65"/>
      <c r="AJ91" s="65"/>
      <c r="AK91" s="65"/>
      <c r="AL91" s="65"/>
      <c r="AM91" s="65"/>
      <c r="AN91" s="65"/>
      <c r="AO91" s="65"/>
      <c r="AP91" s="66"/>
      <c r="AQ91" s="66"/>
      <c r="AR91" s="65"/>
      <c r="AS91" s="65"/>
      <c r="AT91" s="65"/>
      <c r="AU91" s="65"/>
      <c r="AV91" s="65"/>
      <c r="AW91" s="66"/>
      <c r="AX91" s="66"/>
      <c r="AY91" s="65"/>
      <c r="AZ91" s="65"/>
      <c r="BA91" s="65"/>
      <c r="BB91" s="65"/>
      <c r="BC91" s="65"/>
      <c r="BD91" s="66"/>
      <c r="BE91" s="66"/>
      <c r="BF91" s="65"/>
      <c r="BG91" s="65"/>
      <c r="BH91" s="65"/>
      <c r="BI91" s="65"/>
      <c r="BJ91" s="65"/>
      <c r="BK91" s="66"/>
      <c r="BL91" s="66"/>
      <c r="BM91" s="65"/>
      <c r="BN91" s="65"/>
      <c r="BO91" s="67"/>
      <c r="BP91" s="68"/>
      <c r="BQ91" s="69"/>
      <c r="BR91" s="68"/>
      <c r="BS91" s="68"/>
      <c r="BT91" s="68"/>
      <c r="BU91" s="32"/>
      <c r="BV91" s="68"/>
      <c r="BW91" s="68"/>
      <c r="BX91" s="32"/>
      <c r="BY91" s="127"/>
      <c r="BZ91" s="128"/>
      <c r="CA91" s="129"/>
      <c r="CB91" s="76"/>
      <c r="CC91" s="75"/>
      <c r="CD91" s="76"/>
      <c r="CE91" s="18"/>
      <c r="CF91" s="10"/>
      <c r="CH91" s="194"/>
      <c r="CJ91" s="194"/>
      <c r="CL91" s="194"/>
    </row>
    <row r="92" spans="1:91" ht="16.05" hidden="1" customHeight="1" x14ac:dyDescent="0.25">
      <c r="A92" s="32"/>
      <c r="B92" s="102"/>
      <c r="C92" s="81" t="s">
        <v>65</v>
      </c>
      <c r="D92" s="95" t="s">
        <v>72</v>
      </c>
      <c r="E92" s="39" t="s">
        <v>18</v>
      </c>
      <c r="F92" s="65"/>
      <c r="G92" s="65"/>
      <c r="H92" s="65"/>
      <c r="I92" s="65"/>
      <c r="J92" s="65"/>
      <c r="K92" s="66"/>
      <c r="L92" s="66"/>
      <c r="M92" s="65"/>
      <c r="N92" s="65"/>
      <c r="O92" s="65"/>
      <c r="P92" s="65"/>
      <c r="Q92" s="65"/>
      <c r="R92" s="66"/>
      <c r="S92" s="66"/>
      <c r="T92" s="65"/>
      <c r="U92" s="65"/>
      <c r="V92" s="65"/>
      <c r="W92" s="65"/>
      <c r="X92" s="65"/>
      <c r="Y92" s="66"/>
      <c r="Z92" s="66"/>
      <c r="AA92" s="65"/>
      <c r="AB92" s="65"/>
      <c r="AC92" s="65"/>
      <c r="AD92" s="65"/>
      <c r="AE92" s="65"/>
      <c r="AF92" s="66"/>
      <c r="AG92" s="66"/>
      <c r="AH92" s="65"/>
      <c r="AI92" s="65"/>
      <c r="AJ92" s="65"/>
      <c r="AK92" s="65"/>
      <c r="AL92" s="65"/>
      <c r="AM92" s="65"/>
      <c r="AN92" s="65"/>
      <c r="AO92" s="65"/>
      <c r="AP92" s="66"/>
      <c r="AQ92" s="66"/>
      <c r="AR92" s="65"/>
      <c r="AS92" s="65"/>
      <c r="AT92" s="65"/>
      <c r="AU92" s="65"/>
      <c r="AV92" s="65"/>
      <c r="AW92" s="66"/>
      <c r="AX92" s="66"/>
      <c r="AY92" s="65"/>
      <c r="AZ92" s="65"/>
      <c r="BA92" s="65"/>
      <c r="BB92" s="65"/>
      <c r="BC92" s="65"/>
      <c r="BD92" s="66"/>
      <c r="BE92" s="66"/>
      <c r="BF92" s="65"/>
      <c r="BG92" s="65"/>
      <c r="BH92" s="65"/>
      <c r="BI92" s="65"/>
      <c r="BJ92" s="65"/>
      <c r="BK92" s="66"/>
      <c r="BL92" s="66"/>
      <c r="BM92" s="65"/>
      <c r="BN92" s="65"/>
      <c r="BO92" s="175">
        <f>SUM(F92:AI92)</f>
        <v>0</v>
      </c>
      <c r="BP92" s="22">
        <v>178</v>
      </c>
      <c r="BQ92" s="83">
        <v>0.78</v>
      </c>
      <c r="BR92" s="22">
        <f>BP92*(1-BQ92)</f>
        <v>39.159999999999997</v>
      </c>
      <c r="BS92" s="22">
        <f>BR92*BO92</f>
        <v>0</v>
      </c>
      <c r="BT92" s="84">
        <f>BR92*0.8</f>
        <v>31.327999999999999</v>
      </c>
      <c r="BU92" s="32"/>
      <c r="BV92" s="84">
        <f>BS92*0.8</f>
        <v>0</v>
      </c>
      <c r="BW92" s="84"/>
      <c r="BX92" s="32"/>
      <c r="BY92" s="99" t="e">
        <f>BZ92/CC92*100</f>
        <v>#DIV/0!</v>
      </c>
      <c r="BZ92" s="86"/>
      <c r="CA92" s="87" t="e">
        <f>BY92*BO92</f>
        <v>#DIV/0!</v>
      </c>
      <c r="CB92" s="88"/>
      <c r="CC92" s="89"/>
      <c r="CD92" s="90"/>
      <c r="CE92" s="21" t="e">
        <f>BV92/CD92*1000</f>
        <v>#DIV/0!</v>
      </c>
      <c r="CF92" s="10"/>
      <c r="CG92" s="30" t="str">
        <f>C92</f>
        <v>ANTENA 1</v>
      </c>
      <c r="CH92" s="194"/>
      <c r="CI92" s="30" t="e">
        <f>SUM(#REF!)</f>
        <v>#REF!</v>
      </c>
      <c r="CJ92" s="194" t="e">
        <f>#REF!*CI92</f>
        <v>#REF!</v>
      </c>
      <c r="CK92" s="30" t="e">
        <f>SUM(#REF!)</f>
        <v>#REF!</v>
      </c>
      <c r="CL92" s="194" t="e">
        <f>#REF!*CK92</f>
        <v>#REF!</v>
      </c>
    </row>
    <row r="93" spans="1:91" ht="16.05" hidden="1" customHeight="1" x14ac:dyDescent="0.25">
      <c r="A93" s="32"/>
      <c r="B93" s="102"/>
      <c r="C93" s="116" t="s">
        <v>78</v>
      </c>
      <c r="D93" s="95"/>
      <c r="E93" s="39"/>
      <c r="F93" s="65"/>
      <c r="G93" s="65"/>
      <c r="H93" s="65"/>
      <c r="I93" s="65"/>
      <c r="J93" s="65"/>
      <c r="K93" s="66"/>
      <c r="L93" s="66"/>
      <c r="M93" s="65"/>
      <c r="N93" s="65"/>
      <c r="O93" s="65"/>
      <c r="P93" s="65"/>
      <c r="Q93" s="65"/>
      <c r="R93" s="66"/>
      <c r="S93" s="66"/>
      <c r="T93" s="65"/>
      <c r="U93" s="65"/>
      <c r="V93" s="65"/>
      <c r="W93" s="65"/>
      <c r="X93" s="65"/>
      <c r="Y93" s="66"/>
      <c r="Z93" s="66"/>
      <c r="AA93" s="65"/>
      <c r="AB93" s="65"/>
      <c r="AC93" s="65"/>
      <c r="AD93" s="65"/>
      <c r="AE93" s="65"/>
      <c r="AF93" s="66"/>
      <c r="AG93" s="66"/>
      <c r="AH93" s="65"/>
      <c r="AI93" s="65"/>
      <c r="AJ93" s="65"/>
      <c r="AK93" s="65"/>
      <c r="AL93" s="65"/>
      <c r="AM93" s="65"/>
      <c r="AN93" s="65"/>
      <c r="AO93" s="65"/>
      <c r="AP93" s="66"/>
      <c r="AQ93" s="66"/>
      <c r="AR93" s="65"/>
      <c r="AS93" s="65"/>
      <c r="AT93" s="65"/>
      <c r="AU93" s="65"/>
      <c r="AV93" s="65"/>
      <c r="AW93" s="66"/>
      <c r="AX93" s="66"/>
      <c r="AY93" s="65"/>
      <c r="AZ93" s="65"/>
      <c r="BA93" s="65"/>
      <c r="BB93" s="65"/>
      <c r="BC93" s="65"/>
      <c r="BD93" s="66"/>
      <c r="BE93" s="66"/>
      <c r="BF93" s="65"/>
      <c r="BG93" s="65"/>
      <c r="BH93" s="65"/>
      <c r="BI93" s="65"/>
      <c r="BJ93" s="65"/>
      <c r="BK93" s="66"/>
      <c r="BL93" s="66"/>
      <c r="BM93" s="65"/>
      <c r="BN93" s="65"/>
      <c r="BO93" s="173"/>
      <c r="BP93" s="104"/>
      <c r="BQ93" s="195"/>
      <c r="BR93" s="104"/>
      <c r="BS93" s="104"/>
      <c r="BT93" s="104"/>
      <c r="BU93" s="32"/>
      <c r="BV93" s="104"/>
      <c r="BW93" s="104"/>
      <c r="BX93" s="32"/>
      <c r="BY93" s="106"/>
      <c r="BZ93" s="107"/>
      <c r="CA93" s="108"/>
      <c r="CB93" s="109"/>
      <c r="CC93" s="110"/>
      <c r="CD93" s="109"/>
      <c r="CE93" s="114"/>
      <c r="CF93" s="10"/>
      <c r="CH93" s="194"/>
      <c r="CJ93" s="194"/>
      <c r="CL93" s="194"/>
    </row>
    <row r="94" spans="1:91" ht="16.05" hidden="1" customHeight="1" x14ac:dyDescent="0.25">
      <c r="A94" s="32"/>
      <c r="B94" s="102"/>
      <c r="C94" s="95"/>
      <c r="D94" s="95"/>
      <c r="E94" s="39"/>
      <c r="F94" s="65"/>
      <c r="G94" s="65"/>
      <c r="H94" s="65"/>
      <c r="I94" s="65"/>
      <c r="J94" s="65"/>
      <c r="K94" s="66"/>
      <c r="L94" s="66"/>
      <c r="M94" s="65"/>
      <c r="N94" s="65"/>
      <c r="O94" s="65"/>
      <c r="P94" s="65"/>
      <c r="Q94" s="65"/>
      <c r="R94" s="66"/>
      <c r="S94" s="66"/>
      <c r="T94" s="65"/>
      <c r="U94" s="65"/>
      <c r="V94" s="65"/>
      <c r="W94" s="65"/>
      <c r="X94" s="65"/>
      <c r="Y94" s="66"/>
      <c r="Z94" s="66"/>
      <c r="AA94" s="65"/>
      <c r="AB94" s="65"/>
      <c r="AC94" s="65"/>
      <c r="AD94" s="65"/>
      <c r="AE94" s="65"/>
      <c r="AF94" s="66"/>
      <c r="AG94" s="66"/>
      <c r="AH94" s="65"/>
      <c r="AI94" s="65"/>
      <c r="AJ94" s="65"/>
      <c r="AK94" s="65"/>
      <c r="AL94" s="65"/>
      <c r="AM94" s="65"/>
      <c r="AN94" s="65"/>
      <c r="AO94" s="65"/>
      <c r="AP94" s="66"/>
      <c r="AQ94" s="66"/>
      <c r="AR94" s="65"/>
      <c r="AS94" s="65"/>
      <c r="AT94" s="65"/>
      <c r="AU94" s="65"/>
      <c r="AV94" s="65"/>
      <c r="AW94" s="66"/>
      <c r="AX94" s="66"/>
      <c r="AY94" s="65"/>
      <c r="AZ94" s="65"/>
      <c r="BA94" s="65"/>
      <c r="BB94" s="65"/>
      <c r="BC94" s="65"/>
      <c r="BD94" s="66"/>
      <c r="BE94" s="66"/>
      <c r="BF94" s="65"/>
      <c r="BG94" s="65"/>
      <c r="BH94" s="65"/>
      <c r="BI94" s="65"/>
      <c r="BJ94" s="65"/>
      <c r="BK94" s="66"/>
      <c r="BL94" s="66"/>
      <c r="BM94" s="65"/>
      <c r="BN94" s="65"/>
      <c r="BO94" s="67"/>
      <c r="BP94" s="68"/>
      <c r="BQ94" s="69"/>
      <c r="BR94" s="68"/>
      <c r="BS94" s="68"/>
      <c r="BT94" s="68"/>
      <c r="BU94" s="32"/>
      <c r="BV94" s="68"/>
      <c r="BW94" s="68"/>
      <c r="BX94" s="32"/>
      <c r="BY94" s="127"/>
      <c r="BZ94" s="128"/>
      <c r="CA94" s="129"/>
      <c r="CB94" s="76"/>
      <c r="CC94" s="75"/>
      <c r="CD94" s="76"/>
      <c r="CE94" s="18"/>
      <c r="CF94" s="10"/>
      <c r="CH94" s="194"/>
      <c r="CJ94" s="194"/>
      <c r="CL94" s="194"/>
    </row>
    <row r="95" spans="1:91" ht="16.05" hidden="1" customHeight="1" x14ac:dyDescent="0.25">
      <c r="A95" s="32"/>
      <c r="B95" s="102"/>
      <c r="C95" s="81" t="s">
        <v>79</v>
      </c>
      <c r="D95" s="95" t="s">
        <v>72</v>
      </c>
      <c r="E95" s="39" t="s">
        <v>18</v>
      </c>
      <c r="F95" s="65"/>
      <c r="G95" s="65"/>
      <c r="H95" s="65"/>
      <c r="I95" s="65"/>
      <c r="J95" s="65"/>
      <c r="K95" s="66"/>
      <c r="L95" s="66"/>
      <c r="M95" s="65"/>
      <c r="N95" s="65"/>
      <c r="O95" s="65"/>
      <c r="P95" s="65"/>
      <c r="Q95" s="65"/>
      <c r="R95" s="66"/>
      <c r="S95" s="66"/>
      <c r="T95" s="65"/>
      <c r="U95" s="65"/>
      <c r="V95" s="65"/>
      <c r="W95" s="65"/>
      <c r="X95" s="65"/>
      <c r="Y95" s="66"/>
      <c r="Z95" s="66"/>
      <c r="AA95" s="65"/>
      <c r="AB95" s="65"/>
      <c r="AC95" s="65"/>
      <c r="AD95" s="65"/>
      <c r="AE95" s="65"/>
      <c r="AF95" s="66"/>
      <c r="AG95" s="66"/>
      <c r="AH95" s="65"/>
      <c r="AI95" s="65"/>
      <c r="AJ95" s="65"/>
      <c r="AK95" s="65"/>
      <c r="AL95" s="65"/>
      <c r="AM95" s="65"/>
      <c r="AN95" s="65"/>
      <c r="AO95" s="65"/>
      <c r="AP95" s="66"/>
      <c r="AQ95" s="66"/>
      <c r="AR95" s="65"/>
      <c r="AS95" s="65"/>
      <c r="AT95" s="65"/>
      <c r="AU95" s="65"/>
      <c r="AV95" s="65"/>
      <c r="AW95" s="66"/>
      <c r="AX95" s="66"/>
      <c r="AY95" s="65"/>
      <c r="AZ95" s="65"/>
      <c r="BA95" s="65"/>
      <c r="BB95" s="65"/>
      <c r="BC95" s="65"/>
      <c r="BD95" s="66"/>
      <c r="BE95" s="66"/>
      <c r="BF95" s="65"/>
      <c r="BG95" s="65"/>
      <c r="BH95" s="65"/>
      <c r="BI95" s="65"/>
      <c r="BJ95" s="65"/>
      <c r="BK95" s="66"/>
      <c r="BL95" s="66"/>
      <c r="BM95" s="65"/>
      <c r="BN95" s="65"/>
      <c r="BO95" s="175" t="e">
        <f>SUM(#REF!)</f>
        <v>#REF!</v>
      </c>
      <c r="BP95" s="22"/>
      <c r="BQ95" s="83">
        <v>0.4</v>
      </c>
      <c r="BR95" s="22">
        <f>BP95*(1-BQ95)</f>
        <v>0</v>
      </c>
      <c r="BS95" s="22" t="e">
        <f>BR95*BO95</f>
        <v>#REF!</v>
      </c>
      <c r="BT95" s="84">
        <f>BR95*0.8</f>
        <v>0</v>
      </c>
      <c r="BU95" s="32"/>
      <c r="BV95" s="84" t="e">
        <f>BS95*0.8</f>
        <v>#REF!</v>
      </c>
      <c r="BW95" s="84"/>
      <c r="BX95" s="32"/>
      <c r="BY95" s="99"/>
      <c r="BZ95" s="86"/>
      <c r="CA95" s="87" t="e">
        <f>BY95*BO95</f>
        <v>#REF!</v>
      </c>
      <c r="CB95" s="88"/>
      <c r="CC95" s="89"/>
      <c r="CD95" s="90"/>
      <c r="CE95" s="21" t="e">
        <f>BV95/CD95*1000</f>
        <v>#REF!</v>
      </c>
      <c r="CF95" s="10"/>
      <c r="CG95" s="30" t="str">
        <f>C95</f>
        <v>RÁDIO PRAIA FM</v>
      </c>
      <c r="CH95" s="194"/>
      <c r="CI95" s="30" t="e">
        <f>SUM(#REF!)</f>
        <v>#REF!</v>
      </c>
      <c r="CJ95" s="194" t="e">
        <f>#REF!*CI95</f>
        <v>#REF!</v>
      </c>
      <c r="CK95" s="30" t="e">
        <f>SUM(#REF!)</f>
        <v>#REF!</v>
      </c>
      <c r="CL95" s="194" t="e">
        <f>#REF!*CK95</f>
        <v>#REF!</v>
      </c>
    </row>
    <row r="96" spans="1:91" ht="16.05" hidden="1" customHeight="1" x14ac:dyDescent="0.25">
      <c r="A96" s="32"/>
      <c r="B96" s="102"/>
      <c r="C96" s="116"/>
      <c r="D96" s="95"/>
      <c r="E96" s="39"/>
      <c r="F96" s="65"/>
      <c r="G96" s="65"/>
      <c r="H96" s="65"/>
      <c r="I96" s="65"/>
      <c r="J96" s="65"/>
      <c r="K96" s="66"/>
      <c r="L96" s="66"/>
      <c r="M96" s="65"/>
      <c r="N96" s="65"/>
      <c r="O96" s="65"/>
      <c r="P96" s="65"/>
      <c r="Q96" s="65"/>
      <c r="R96" s="66"/>
      <c r="S96" s="66"/>
      <c r="T96" s="65"/>
      <c r="U96" s="65"/>
      <c r="V96" s="65"/>
      <c r="W96" s="65"/>
      <c r="X96" s="65"/>
      <c r="Y96" s="66"/>
      <c r="Z96" s="66"/>
      <c r="AA96" s="65"/>
      <c r="AB96" s="65"/>
      <c r="AC96" s="65"/>
      <c r="AD96" s="65"/>
      <c r="AE96" s="65"/>
      <c r="AF96" s="66"/>
      <c r="AG96" s="66"/>
      <c r="AH96" s="65"/>
      <c r="AI96" s="65"/>
      <c r="AJ96" s="65"/>
      <c r="AK96" s="65"/>
      <c r="AL96" s="65"/>
      <c r="AM96" s="65"/>
      <c r="AN96" s="65"/>
      <c r="AO96" s="65"/>
      <c r="AP96" s="66"/>
      <c r="AQ96" s="66"/>
      <c r="AR96" s="65"/>
      <c r="AS96" s="65"/>
      <c r="AT96" s="65"/>
      <c r="AU96" s="65"/>
      <c r="AV96" s="65"/>
      <c r="AW96" s="66"/>
      <c r="AX96" s="66"/>
      <c r="AY96" s="65"/>
      <c r="AZ96" s="65"/>
      <c r="BA96" s="65"/>
      <c r="BB96" s="65"/>
      <c r="BC96" s="65"/>
      <c r="BD96" s="66"/>
      <c r="BE96" s="66"/>
      <c r="BF96" s="65"/>
      <c r="BG96" s="65"/>
      <c r="BH96" s="65"/>
      <c r="BI96" s="65"/>
      <c r="BJ96" s="65"/>
      <c r="BK96" s="66"/>
      <c r="BL96" s="66"/>
      <c r="BM96" s="65"/>
      <c r="BN96" s="65"/>
      <c r="BO96" s="173"/>
      <c r="BP96" s="104"/>
      <c r="BQ96" s="195"/>
      <c r="BR96" s="104"/>
      <c r="BS96" s="104"/>
      <c r="BT96" s="104"/>
      <c r="BU96" s="32"/>
      <c r="BV96" s="104"/>
      <c r="BW96" s="104"/>
      <c r="BX96" s="32"/>
      <c r="BY96" s="106"/>
      <c r="BZ96" s="107"/>
      <c r="CA96" s="108"/>
      <c r="CB96" s="109"/>
      <c r="CC96" s="110"/>
      <c r="CD96" s="109"/>
      <c r="CE96" s="114"/>
      <c r="CF96" s="10"/>
      <c r="CH96" s="194"/>
      <c r="CJ96" s="194"/>
      <c r="CL96" s="194"/>
    </row>
    <row r="97" spans="1:145" ht="16.05" hidden="1" customHeight="1" x14ac:dyDescent="0.25">
      <c r="A97" s="32"/>
      <c r="B97" s="102"/>
      <c r="C97" s="95"/>
      <c r="D97" s="95"/>
      <c r="E97" s="39"/>
      <c r="F97" s="65"/>
      <c r="G97" s="65"/>
      <c r="H97" s="65"/>
      <c r="I97" s="65"/>
      <c r="J97" s="65"/>
      <c r="K97" s="66"/>
      <c r="L97" s="66"/>
      <c r="M97" s="65"/>
      <c r="N97" s="65"/>
      <c r="O97" s="65"/>
      <c r="P97" s="65"/>
      <c r="Q97" s="65"/>
      <c r="R97" s="66"/>
      <c r="S97" s="66"/>
      <c r="T97" s="65"/>
      <c r="U97" s="65"/>
      <c r="V97" s="65"/>
      <c r="W97" s="65"/>
      <c r="X97" s="65"/>
      <c r="Y97" s="66"/>
      <c r="Z97" s="66"/>
      <c r="AA97" s="65"/>
      <c r="AB97" s="65"/>
      <c r="AC97" s="65"/>
      <c r="AD97" s="65"/>
      <c r="AE97" s="65"/>
      <c r="AF97" s="66"/>
      <c r="AG97" s="66"/>
      <c r="AH97" s="65"/>
      <c r="AI97" s="65"/>
      <c r="AJ97" s="65"/>
      <c r="AK97" s="65"/>
      <c r="AL97" s="65"/>
      <c r="AM97" s="65"/>
      <c r="AN97" s="65"/>
      <c r="AO97" s="65"/>
      <c r="AP97" s="66"/>
      <c r="AQ97" s="66"/>
      <c r="AR97" s="65"/>
      <c r="AS97" s="65"/>
      <c r="AT97" s="65"/>
      <c r="AU97" s="65"/>
      <c r="AV97" s="65"/>
      <c r="AW97" s="66"/>
      <c r="AX97" s="66"/>
      <c r="AY97" s="65"/>
      <c r="AZ97" s="65"/>
      <c r="BA97" s="65"/>
      <c r="BB97" s="65"/>
      <c r="BC97" s="65"/>
      <c r="BD97" s="66"/>
      <c r="BE97" s="66"/>
      <c r="BF97" s="65"/>
      <c r="BG97" s="65"/>
      <c r="BH97" s="65"/>
      <c r="BI97" s="65"/>
      <c r="BJ97" s="65"/>
      <c r="BK97" s="66"/>
      <c r="BL97" s="66"/>
      <c r="BM97" s="65"/>
      <c r="BN97" s="65"/>
      <c r="BO97" s="67"/>
      <c r="BP97" s="68"/>
      <c r="BQ97" s="69"/>
      <c r="BR97" s="68"/>
      <c r="BS97" s="68"/>
      <c r="BT97" s="68"/>
      <c r="BU97" s="32"/>
      <c r="BV97" s="68"/>
      <c r="BW97" s="68"/>
      <c r="BX97" s="32"/>
      <c r="BY97" s="127"/>
      <c r="BZ97" s="128"/>
      <c r="CA97" s="129"/>
      <c r="CB97" s="76"/>
      <c r="CC97" s="75"/>
      <c r="CD97" s="76"/>
      <c r="CE97" s="18"/>
      <c r="CF97" s="10"/>
      <c r="CH97" s="194"/>
      <c r="CJ97" s="194"/>
      <c r="CL97" s="194"/>
    </row>
    <row r="98" spans="1:145" ht="16.05" hidden="1" customHeight="1" x14ac:dyDescent="0.25">
      <c r="A98" s="32"/>
      <c r="B98" s="102"/>
      <c r="C98" s="81" t="s">
        <v>80</v>
      </c>
      <c r="D98" s="95" t="s">
        <v>72</v>
      </c>
      <c r="E98" s="39" t="s">
        <v>18</v>
      </c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6"/>
      <c r="S98" s="66"/>
      <c r="T98" s="65"/>
      <c r="U98" s="65"/>
      <c r="V98" s="65"/>
      <c r="W98" s="65"/>
      <c r="X98" s="65"/>
      <c r="Y98" s="66"/>
      <c r="Z98" s="66"/>
      <c r="AA98" s="65"/>
      <c r="AB98" s="65"/>
      <c r="AC98" s="65"/>
      <c r="AD98" s="65"/>
      <c r="AE98" s="65"/>
      <c r="AF98" s="66"/>
      <c r="AG98" s="66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6"/>
      <c r="AX98" s="66"/>
      <c r="AY98" s="65"/>
      <c r="AZ98" s="65"/>
      <c r="BA98" s="65"/>
      <c r="BB98" s="65"/>
      <c r="BC98" s="65"/>
      <c r="BD98" s="66"/>
      <c r="BE98" s="66"/>
      <c r="BF98" s="65"/>
      <c r="BG98" s="65"/>
      <c r="BH98" s="65"/>
      <c r="BI98" s="65"/>
      <c r="BJ98" s="65"/>
      <c r="BK98" s="66"/>
      <c r="BL98" s="66"/>
      <c r="BM98" s="65"/>
      <c r="BN98" s="65"/>
      <c r="BO98" s="175">
        <f>SUM(F98:AI98)</f>
        <v>0</v>
      </c>
      <c r="BP98" s="22">
        <v>120</v>
      </c>
      <c r="BQ98" s="83">
        <v>0.3</v>
      </c>
      <c r="BR98" s="22">
        <f>BP98*(1-BQ98)</f>
        <v>84</v>
      </c>
      <c r="BS98" s="22">
        <f>BR98*BO98</f>
        <v>0</v>
      </c>
      <c r="BT98" s="84">
        <f>BR98*0.8</f>
        <v>67.2</v>
      </c>
      <c r="BU98" s="32"/>
      <c r="BV98" s="84">
        <f>BS98*0.8</f>
        <v>0</v>
      </c>
      <c r="BW98" s="84"/>
      <c r="BX98" s="32"/>
      <c r="BY98" s="99"/>
      <c r="BZ98" s="86"/>
      <c r="CA98" s="87">
        <f>BY98*BO98</f>
        <v>0</v>
      </c>
      <c r="CB98" s="88"/>
      <c r="CC98" s="89"/>
      <c r="CD98" s="90"/>
      <c r="CE98" s="21" t="e">
        <f>BV98/CD98*1000</f>
        <v>#DIV/0!</v>
      </c>
      <c r="CF98" s="10"/>
      <c r="CG98" s="30" t="str">
        <f>C98</f>
        <v>RÁDIO ANTENA 8</v>
      </c>
      <c r="CH98" s="194"/>
      <c r="CI98" s="30" t="e">
        <f>SUM(#REF!)</f>
        <v>#REF!</v>
      </c>
      <c r="CJ98" s="194" t="e">
        <f>#REF!*CI98</f>
        <v>#REF!</v>
      </c>
      <c r="CK98" s="30" t="e">
        <f>SUM(#REF!)</f>
        <v>#REF!</v>
      </c>
      <c r="CL98" s="194" t="e">
        <f>#REF!*CK98</f>
        <v>#REF!</v>
      </c>
    </row>
    <row r="99" spans="1:145" ht="16.05" hidden="1" customHeight="1" x14ac:dyDescent="0.25">
      <c r="A99" s="32"/>
      <c r="B99" s="102"/>
      <c r="C99" s="116" t="s">
        <v>73</v>
      </c>
      <c r="D99" s="95"/>
      <c r="E99" s="39"/>
      <c r="F99" s="65"/>
      <c r="G99" s="65"/>
      <c r="H99" s="65"/>
      <c r="I99" s="65"/>
      <c r="J99" s="65"/>
      <c r="K99" s="66"/>
      <c r="L99" s="66"/>
      <c r="M99" s="65"/>
      <c r="N99" s="65"/>
      <c r="O99" s="65"/>
      <c r="P99" s="65"/>
      <c r="Q99" s="65"/>
      <c r="R99" s="66"/>
      <c r="S99" s="66"/>
      <c r="T99" s="65"/>
      <c r="U99" s="65"/>
      <c r="V99" s="65"/>
      <c r="W99" s="65"/>
      <c r="X99" s="65"/>
      <c r="Y99" s="66"/>
      <c r="Z99" s="66"/>
      <c r="AA99" s="65"/>
      <c r="AB99" s="65"/>
      <c r="AC99" s="65"/>
      <c r="AD99" s="65"/>
      <c r="AE99" s="65"/>
      <c r="AF99" s="66"/>
      <c r="AG99" s="66"/>
      <c r="AH99" s="65"/>
      <c r="AI99" s="65"/>
      <c r="AJ99" s="65"/>
      <c r="AK99" s="65"/>
      <c r="AL99" s="65"/>
      <c r="AM99" s="65"/>
      <c r="AN99" s="65"/>
      <c r="AO99" s="65"/>
      <c r="AP99" s="66"/>
      <c r="AQ99" s="66"/>
      <c r="AR99" s="65"/>
      <c r="AS99" s="65"/>
      <c r="AT99" s="65"/>
      <c r="AU99" s="65"/>
      <c r="AV99" s="65"/>
      <c r="AW99" s="66"/>
      <c r="AX99" s="66"/>
      <c r="AY99" s="65"/>
      <c r="AZ99" s="65"/>
      <c r="BA99" s="65"/>
      <c r="BB99" s="65"/>
      <c r="BC99" s="65"/>
      <c r="BD99" s="66"/>
      <c r="BE99" s="66"/>
      <c r="BF99" s="65"/>
      <c r="BG99" s="65"/>
      <c r="BH99" s="65"/>
      <c r="BI99" s="65"/>
      <c r="BJ99" s="65"/>
      <c r="BK99" s="66"/>
      <c r="BL99" s="66"/>
      <c r="BM99" s="65"/>
      <c r="BN99" s="65"/>
      <c r="BO99" s="173"/>
      <c r="BP99" s="104"/>
      <c r="BQ99" s="195"/>
      <c r="BR99" s="104"/>
      <c r="BS99" s="104"/>
      <c r="BT99" s="104"/>
      <c r="BU99" s="32"/>
      <c r="BV99" s="104"/>
      <c r="BW99" s="104"/>
      <c r="BX99" s="32"/>
      <c r="BY99" s="106"/>
      <c r="BZ99" s="107"/>
      <c r="CA99" s="108"/>
      <c r="CB99" s="109"/>
      <c r="CC99" s="110"/>
      <c r="CD99" s="109"/>
      <c r="CE99" s="114"/>
      <c r="CF99" s="10"/>
      <c r="CH99" s="194"/>
      <c r="CJ99" s="194"/>
      <c r="CL99" s="194"/>
    </row>
    <row r="100" spans="1:145" ht="16.05" hidden="1" customHeight="1" x14ac:dyDescent="0.25">
      <c r="A100" s="32"/>
      <c r="B100" s="102"/>
      <c r="C100" s="95"/>
      <c r="D100" s="95"/>
      <c r="E100" s="39"/>
      <c r="F100" s="65"/>
      <c r="G100" s="66"/>
      <c r="H100" s="66"/>
      <c r="I100" s="65"/>
      <c r="J100" s="65"/>
      <c r="K100" s="65"/>
      <c r="L100" s="65"/>
      <c r="M100" s="65"/>
      <c r="N100" s="66"/>
      <c r="O100" s="66"/>
      <c r="P100" s="65"/>
      <c r="Q100" s="65"/>
      <c r="R100" s="65"/>
      <c r="S100" s="65"/>
      <c r="T100" s="65"/>
      <c r="U100" s="66"/>
      <c r="V100" s="66"/>
      <c r="W100" s="65"/>
      <c r="X100" s="65"/>
      <c r="Y100" s="65"/>
      <c r="Z100" s="65"/>
      <c r="AA100" s="65"/>
      <c r="AB100" s="66"/>
      <c r="AC100" s="66"/>
      <c r="AD100" s="65"/>
      <c r="AE100" s="65"/>
      <c r="AF100" s="65"/>
      <c r="AG100" s="65"/>
      <c r="AH100" s="65"/>
      <c r="AI100" s="66"/>
      <c r="AJ100" s="66"/>
      <c r="AK100" s="65"/>
      <c r="AL100" s="66"/>
      <c r="AM100" s="66"/>
      <c r="AN100" s="65"/>
      <c r="AO100" s="65"/>
      <c r="AP100" s="65"/>
      <c r="AQ100" s="65"/>
      <c r="AR100" s="65"/>
      <c r="AS100" s="66"/>
      <c r="AT100" s="66"/>
      <c r="AU100" s="65"/>
      <c r="AV100" s="65"/>
      <c r="AW100" s="65"/>
      <c r="AX100" s="65"/>
      <c r="AY100" s="65"/>
      <c r="AZ100" s="66"/>
      <c r="BA100" s="66"/>
      <c r="BB100" s="65"/>
      <c r="BC100" s="65"/>
      <c r="BD100" s="65"/>
      <c r="BE100" s="65"/>
      <c r="BF100" s="65"/>
      <c r="BG100" s="66"/>
      <c r="BH100" s="66"/>
      <c r="BI100" s="65"/>
      <c r="BJ100" s="65"/>
      <c r="BK100" s="65"/>
      <c r="BL100" s="65"/>
      <c r="BM100" s="65"/>
      <c r="BN100" s="66"/>
      <c r="BO100" s="67"/>
      <c r="BP100" s="68"/>
      <c r="BQ100" s="69"/>
      <c r="BR100" s="68"/>
      <c r="BS100" s="68"/>
      <c r="BT100" s="68"/>
      <c r="BU100" s="32"/>
      <c r="BV100" s="68"/>
      <c r="BW100" s="68"/>
      <c r="BX100" s="32"/>
      <c r="BY100" s="127"/>
      <c r="BZ100" s="128"/>
      <c r="CA100" s="129"/>
      <c r="CB100" s="76"/>
      <c r="CC100" s="75"/>
      <c r="CD100" s="76"/>
      <c r="CE100" s="18"/>
      <c r="CF100" s="10"/>
      <c r="CH100" s="194"/>
      <c r="CJ100" s="194"/>
      <c r="CL100" s="194"/>
    </row>
    <row r="101" spans="1:145" ht="16.05" hidden="1" customHeight="1" x14ac:dyDescent="0.25">
      <c r="A101" s="32"/>
      <c r="B101" s="102"/>
      <c r="C101" s="81" t="s">
        <v>81</v>
      </c>
      <c r="D101" s="95" t="s">
        <v>72</v>
      </c>
      <c r="E101" s="39" t="s">
        <v>18</v>
      </c>
      <c r="F101" s="65"/>
      <c r="G101" s="66"/>
      <c r="H101" s="66"/>
      <c r="I101" s="65"/>
      <c r="J101" s="65"/>
      <c r="K101" s="65"/>
      <c r="L101" s="65"/>
      <c r="M101" s="65"/>
      <c r="N101" s="66"/>
      <c r="O101" s="66"/>
      <c r="P101" s="65"/>
      <c r="Q101" s="65"/>
      <c r="R101" s="65"/>
      <c r="S101" s="65"/>
      <c r="T101" s="65"/>
      <c r="U101" s="66"/>
      <c r="V101" s="66"/>
      <c r="W101" s="65"/>
      <c r="X101" s="65"/>
      <c r="Y101" s="65"/>
      <c r="Z101" s="65"/>
      <c r="AA101" s="65"/>
      <c r="AB101" s="66"/>
      <c r="AC101" s="66"/>
      <c r="AD101" s="65"/>
      <c r="AE101" s="65"/>
      <c r="AF101" s="65"/>
      <c r="AG101" s="65"/>
      <c r="AH101" s="65"/>
      <c r="AI101" s="66"/>
      <c r="AJ101" s="66"/>
      <c r="AK101" s="65"/>
      <c r="AL101" s="66"/>
      <c r="AM101" s="66"/>
      <c r="AN101" s="65"/>
      <c r="AO101" s="65"/>
      <c r="AP101" s="65"/>
      <c r="AQ101" s="65"/>
      <c r="AR101" s="65"/>
      <c r="AS101" s="66"/>
      <c r="AT101" s="66"/>
      <c r="AU101" s="65"/>
      <c r="AV101" s="65"/>
      <c r="AW101" s="65"/>
      <c r="AX101" s="65"/>
      <c r="AY101" s="65"/>
      <c r="AZ101" s="66"/>
      <c r="BA101" s="66"/>
      <c r="BB101" s="65"/>
      <c r="BC101" s="65"/>
      <c r="BD101" s="65"/>
      <c r="BE101" s="65"/>
      <c r="BF101" s="65"/>
      <c r="BG101" s="66"/>
      <c r="BH101" s="66"/>
      <c r="BI101" s="65"/>
      <c r="BJ101" s="65"/>
      <c r="BK101" s="65"/>
      <c r="BL101" s="65"/>
      <c r="BM101" s="65"/>
      <c r="BN101" s="66"/>
      <c r="BO101" s="175" t="e">
        <f>SUM(#REF!)</f>
        <v>#REF!</v>
      </c>
      <c r="BP101" s="22"/>
      <c r="BQ101" s="83">
        <v>0.4</v>
      </c>
      <c r="BR101" s="22">
        <f>BP101*(1-BQ101)</f>
        <v>0</v>
      </c>
      <c r="BS101" s="22" t="e">
        <f>BR101*BO101</f>
        <v>#REF!</v>
      </c>
      <c r="BT101" s="84">
        <f>BR101*0.8</f>
        <v>0</v>
      </c>
      <c r="BU101" s="32"/>
      <c r="BV101" s="84" t="e">
        <f>BS101*0.8</f>
        <v>#REF!</v>
      </c>
      <c r="BW101" s="84"/>
      <c r="BX101" s="32"/>
      <c r="BY101" s="99"/>
      <c r="BZ101" s="86"/>
      <c r="CA101" s="87" t="e">
        <f>BY101*BO101</f>
        <v>#REF!</v>
      </c>
      <c r="CB101" s="88"/>
      <c r="CC101" s="89"/>
      <c r="CD101" s="90"/>
      <c r="CE101" s="21" t="e">
        <f>BV101/CD101*1000</f>
        <v>#REF!</v>
      </c>
      <c r="CF101" s="10"/>
      <c r="CG101" s="30" t="str">
        <f>C101</f>
        <v>ROCK NEWS LITORAL</v>
      </c>
      <c r="CH101" s="194"/>
      <c r="CI101" s="30" t="e">
        <f>SUM(#REF!)</f>
        <v>#REF!</v>
      </c>
      <c r="CJ101" s="194" t="e">
        <f>#REF!*CI101</f>
        <v>#REF!</v>
      </c>
      <c r="CK101" s="30" t="e">
        <f>SUM(#REF!)</f>
        <v>#REF!</v>
      </c>
      <c r="CL101" s="194" t="e">
        <f>#REF!*CK101</f>
        <v>#REF!</v>
      </c>
    </row>
    <row r="102" spans="1:145" ht="16.05" hidden="1" customHeight="1" x14ac:dyDescent="0.25">
      <c r="A102" s="32"/>
      <c r="B102" s="102"/>
      <c r="C102" s="116" t="s">
        <v>77</v>
      </c>
      <c r="D102" s="95"/>
      <c r="E102" s="39"/>
      <c r="F102" s="65"/>
      <c r="G102" s="66"/>
      <c r="H102" s="66"/>
      <c r="I102" s="65"/>
      <c r="J102" s="65"/>
      <c r="K102" s="65"/>
      <c r="L102" s="65"/>
      <c r="M102" s="65"/>
      <c r="N102" s="66"/>
      <c r="O102" s="66"/>
      <c r="P102" s="65"/>
      <c r="Q102" s="65"/>
      <c r="R102" s="65"/>
      <c r="S102" s="65"/>
      <c r="T102" s="65"/>
      <c r="U102" s="66"/>
      <c r="V102" s="66"/>
      <c r="W102" s="65"/>
      <c r="X102" s="65"/>
      <c r="Y102" s="65"/>
      <c r="Z102" s="65"/>
      <c r="AA102" s="65"/>
      <c r="AB102" s="66"/>
      <c r="AC102" s="66"/>
      <c r="AD102" s="65"/>
      <c r="AE102" s="65"/>
      <c r="AF102" s="65"/>
      <c r="AG102" s="65"/>
      <c r="AH102" s="65"/>
      <c r="AI102" s="66"/>
      <c r="AJ102" s="66"/>
      <c r="AK102" s="65"/>
      <c r="AL102" s="66"/>
      <c r="AM102" s="66"/>
      <c r="AN102" s="65"/>
      <c r="AO102" s="65"/>
      <c r="AP102" s="65"/>
      <c r="AQ102" s="65"/>
      <c r="AR102" s="65"/>
      <c r="AS102" s="66"/>
      <c r="AT102" s="66"/>
      <c r="AU102" s="65"/>
      <c r="AV102" s="65"/>
      <c r="AW102" s="65"/>
      <c r="AX102" s="65"/>
      <c r="AY102" s="65"/>
      <c r="AZ102" s="66"/>
      <c r="BA102" s="66"/>
      <c r="BB102" s="65"/>
      <c r="BC102" s="65"/>
      <c r="BD102" s="65"/>
      <c r="BE102" s="65"/>
      <c r="BF102" s="65"/>
      <c r="BG102" s="66"/>
      <c r="BH102" s="66"/>
      <c r="BI102" s="65"/>
      <c r="BJ102" s="65"/>
      <c r="BK102" s="65"/>
      <c r="BL102" s="65"/>
      <c r="BM102" s="65"/>
      <c r="BN102" s="66"/>
      <c r="BO102" s="173"/>
      <c r="BP102" s="104"/>
      <c r="BQ102" s="195"/>
      <c r="BR102" s="104"/>
      <c r="BS102" s="104"/>
      <c r="BT102" s="104"/>
      <c r="BU102" s="32"/>
      <c r="BV102" s="104"/>
      <c r="BW102" s="104"/>
      <c r="BX102" s="32"/>
      <c r="BY102" s="106"/>
      <c r="BZ102" s="107"/>
      <c r="CA102" s="108"/>
      <c r="CB102" s="109"/>
      <c r="CC102" s="110"/>
      <c r="CD102" s="109"/>
      <c r="CE102" s="114"/>
      <c r="CF102" s="10"/>
      <c r="CH102" s="194"/>
      <c r="CJ102" s="194"/>
      <c r="CL102" s="194"/>
    </row>
    <row r="103" spans="1:145" ht="16.05" hidden="1" customHeight="1" x14ac:dyDescent="0.25">
      <c r="A103" s="32"/>
      <c r="B103" s="102"/>
      <c r="C103" s="95"/>
      <c r="D103" s="95"/>
      <c r="E103" s="39"/>
      <c r="F103" s="65"/>
      <c r="G103" s="66"/>
      <c r="H103" s="66"/>
      <c r="I103" s="65"/>
      <c r="J103" s="65"/>
      <c r="K103" s="65"/>
      <c r="L103" s="65"/>
      <c r="M103" s="65"/>
      <c r="N103" s="66"/>
      <c r="O103" s="66"/>
      <c r="P103" s="65"/>
      <c r="Q103" s="65"/>
      <c r="R103" s="65"/>
      <c r="S103" s="65"/>
      <c r="T103" s="65"/>
      <c r="U103" s="66"/>
      <c r="V103" s="66"/>
      <c r="W103" s="65"/>
      <c r="X103" s="65"/>
      <c r="Y103" s="65"/>
      <c r="Z103" s="65"/>
      <c r="AA103" s="65"/>
      <c r="AB103" s="66"/>
      <c r="AC103" s="66"/>
      <c r="AD103" s="65"/>
      <c r="AE103" s="65"/>
      <c r="AF103" s="65"/>
      <c r="AG103" s="65"/>
      <c r="AH103" s="65"/>
      <c r="AI103" s="66"/>
      <c r="AJ103" s="66"/>
      <c r="AK103" s="65"/>
      <c r="AL103" s="66"/>
      <c r="AM103" s="66"/>
      <c r="AN103" s="65"/>
      <c r="AO103" s="65"/>
      <c r="AP103" s="65"/>
      <c r="AQ103" s="65"/>
      <c r="AR103" s="65"/>
      <c r="AS103" s="66"/>
      <c r="AT103" s="66"/>
      <c r="AU103" s="65"/>
      <c r="AV103" s="65"/>
      <c r="AW103" s="65"/>
      <c r="AX103" s="65"/>
      <c r="AY103" s="65"/>
      <c r="AZ103" s="66"/>
      <c r="BA103" s="66"/>
      <c r="BB103" s="65"/>
      <c r="BC103" s="65"/>
      <c r="BD103" s="65"/>
      <c r="BE103" s="65"/>
      <c r="BF103" s="65"/>
      <c r="BG103" s="66"/>
      <c r="BH103" s="66"/>
      <c r="BI103" s="65"/>
      <c r="BJ103" s="65"/>
      <c r="BK103" s="65"/>
      <c r="BL103" s="65"/>
      <c r="BM103" s="65"/>
      <c r="BN103" s="66"/>
      <c r="BO103" s="67"/>
      <c r="BP103" s="68"/>
      <c r="BQ103" s="69"/>
      <c r="BR103" s="68"/>
      <c r="BS103" s="68"/>
      <c r="BT103" s="68"/>
      <c r="BU103" s="32"/>
      <c r="BV103" s="68"/>
      <c r="BW103" s="68"/>
      <c r="BX103" s="32"/>
      <c r="BY103" s="127"/>
      <c r="BZ103" s="128"/>
      <c r="CA103" s="129"/>
      <c r="CB103" s="76"/>
      <c r="CC103" s="75"/>
      <c r="CD103" s="76"/>
      <c r="CE103" s="18"/>
      <c r="CF103" s="10"/>
      <c r="CH103" s="194"/>
      <c r="CJ103" s="194"/>
      <c r="CL103" s="194"/>
    </row>
    <row r="104" spans="1:145" ht="16.05" hidden="1" customHeight="1" x14ac:dyDescent="0.25">
      <c r="A104" s="32"/>
      <c r="B104" s="102"/>
      <c r="C104" s="81" t="s">
        <v>82</v>
      </c>
      <c r="D104" s="95" t="s">
        <v>72</v>
      </c>
      <c r="E104" s="39" t="s">
        <v>18</v>
      </c>
      <c r="F104" s="65"/>
      <c r="G104" s="66"/>
      <c r="H104" s="66"/>
      <c r="I104" s="65"/>
      <c r="J104" s="65"/>
      <c r="K104" s="65"/>
      <c r="L104" s="65"/>
      <c r="M104" s="65"/>
      <c r="N104" s="66"/>
      <c r="O104" s="66"/>
      <c r="P104" s="65"/>
      <c r="Q104" s="65"/>
      <c r="R104" s="65"/>
      <c r="S104" s="65"/>
      <c r="T104" s="65"/>
      <c r="U104" s="66"/>
      <c r="V104" s="66"/>
      <c r="W104" s="65"/>
      <c r="X104" s="65"/>
      <c r="Y104" s="65"/>
      <c r="Z104" s="65"/>
      <c r="AA104" s="65"/>
      <c r="AB104" s="66"/>
      <c r="AC104" s="66"/>
      <c r="AD104" s="65"/>
      <c r="AE104" s="65"/>
      <c r="AF104" s="65"/>
      <c r="AG104" s="65"/>
      <c r="AH104" s="65"/>
      <c r="AI104" s="66"/>
      <c r="AJ104" s="66"/>
      <c r="AK104" s="65"/>
      <c r="AL104" s="66"/>
      <c r="AM104" s="66"/>
      <c r="AN104" s="65"/>
      <c r="AO104" s="65"/>
      <c r="AP104" s="65"/>
      <c r="AQ104" s="65"/>
      <c r="AR104" s="65"/>
      <c r="AS104" s="66"/>
      <c r="AT104" s="66"/>
      <c r="AU104" s="65"/>
      <c r="AV104" s="65"/>
      <c r="AW104" s="65"/>
      <c r="AX104" s="65"/>
      <c r="AY104" s="65"/>
      <c r="AZ104" s="66"/>
      <c r="BA104" s="66"/>
      <c r="BB104" s="65"/>
      <c r="BC104" s="65"/>
      <c r="BD104" s="65"/>
      <c r="BE104" s="65"/>
      <c r="BF104" s="65"/>
      <c r="BG104" s="66"/>
      <c r="BH104" s="66"/>
      <c r="BI104" s="65"/>
      <c r="BJ104" s="65"/>
      <c r="BK104" s="65"/>
      <c r="BL104" s="65"/>
      <c r="BM104" s="65"/>
      <c r="BN104" s="66"/>
      <c r="BO104" s="175" t="e">
        <f>SUM(#REF!)</f>
        <v>#REF!</v>
      </c>
      <c r="BP104" s="22"/>
      <c r="BQ104" s="83">
        <v>0.4</v>
      </c>
      <c r="BR104" s="22">
        <f>BP104*(1-BQ104)</f>
        <v>0</v>
      </c>
      <c r="BS104" s="22" t="e">
        <f>BR104*BO104</f>
        <v>#REF!</v>
      </c>
      <c r="BT104" s="84">
        <f>BR104*0.8</f>
        <v>0</v>
      </c>
      <c r="BU104" s="32"/>
      <c r="BV104" s="84" t="e">
        <f>BS104*0.8</f>
        <v>#REF!</v>
      </c>
      <c r="BW104" s="84"/>
      <c r="BX104" s="32"/>
      <c r="BY104" s="99"/>
      <c r="BZ104" s="86"/>
      <c r="CA104" s="87" t="e">
        <f>BY104*BO104</f>
        <v>#REF!</v>
      </c>
      <c r="CB104" s="88"/>
      <c r="CC104" s="89"/>
      <c r="CD104" s="90"/>
      <c r="CE104" s="21" t="e">
        <f>BV104/CD104*1000</f>
        <v>#REF!</v>
      </c>
      <c r="CF104" s="10"/>
      <c r="CG104" s="30" t="str">
        <f>C104</f>
        <v>ONDA 101.1</v>
      </c>
      <c r="CH104" s="194"/>
      <c r="CI104" s="30" t="e">
        <f>SUM(#REF!)</f>
        <v>#REF!</v>
      </c>
      <c r="CJ104" s="194" t="e">
        <f>#REF!*CI104</f>
        <v>#REF!</v>
      </c>
      <c r="CK104" s="30" t="e">
        <f>SUM(#REF!)</f>
        <v>#REF!</v>
      </c>
      <c r="CL104" s="194" t="e">
        <f>#REF!*CK104</f>
        <v>#REF!</v>
      </c>
    </row>
    <row r="105" spans="1:145" ht="16.05" hidden="1" customHeight="1" x14ac:dyDescent="0.25">
      <c r="A105" s="32"/>
      <c r="B105" s="102"/>
      <c r="C105" s="116" t="s">
        <v>77</v>
      </c>
      <c r="D105" s="95"/>
      <c r="E105" s="39"/>
      <c r="F105" s="65"/>
      <c r="G105" s="66"/>
      <c r="H105" s="66"/>
      <c r="I105" s="65"/>
      <c r="J105" s="65"/>
      <c r="K105" s="65"/>
      <c r="L105" s="65"/>
      <c r="M105" s="65"/>
      <c r="N105" s="66"/>
      <c r="O105" s="66"/>
      <c r="P105" s="65"/>
      <c r="Q105" s="65"/>
      <c r="R105" s="65"/>
      <c r="S105" s="65"/>
      <c r="T105" s="65"/>
      <c r="U105" s="66"/>
      <c r="V105" s="66"/>
      <c r="W105" s="65"/>
      <c r="X105" s="65"/>
      <c r="Y105" s="65"/>
      <c r="Z105" s="65"/>
      <c r="AA105" s="65"/>
      <c r="AB105" s="66"/>
      <c r="AC105" s="66"/>
      <c r="AD105" s="65"/>
      <c r="AE105" s="65"/>
      <c r="AF105" s="65"/>
      <c r="AG105" s="65"/>
      <c r="AH105" s="65"/>
      <c r="AI105" s="66"/>
      <c r="AJ105" s="66"/>
      <c r="AK105" s="65"/>
      <c r="AL105" s="66"/>
      <c r="AM105" s="66"/>
      <c r="AN105" s="65"/>
      <c r="AO105" s="65"/>
      <c r="AP105" s="65"/>
      <c r="AQ105" s="65"/>
      <c r="AR105" s="65"/>
      <c r="AS105" s="66"/>
      <c r="AT105" s="66"/>
      <c r="AU105" s="65"/>
      <c r="AV105" s="65"/>
      <c r="AW105" s="65"/>
      <c r="AX105" s="65"/>
      <c r="AY105" s="65"/>
      <c r="AZ105" s="66"/>
      <c r="BA105" s="66"/>
      <c r="BB105" s="65"/>
      <c r="BC105" s="65"/>
      <c r="BD105" s="65"/>
      <c r="BE105" s="65"/>
      <c r="BF105" s="65"/>
      <c r="BG105" s="66"/>
      <c r="BH105" s="66"/>
      <c r="BI105" s="65"/>
      <c r="BJ105" s="65"/>
      <c r="BK105" s="65"/>
      <c r="BL105" s="65"/>
      <c r="BM105" s="65"/>
      <c r="BN105" s="66"/>
      <c r="BO105" s="173"/>
      <c r="BP105" s="104"/>
      <c r="BQ105" s="195"/>
      <c r="BR105" s="104"/>
      <c r="BS105" s="104"/>
      <c r="BT105" s="104"/>
      <c r="BU105" s="32"/>
      <c r="BV105" s="104"/>
      <c r="BW105" s="104"/>
      <c r="BX105" s="32"/>
      <c r="BY105" s="106"/>
      <c r="BZ105" s="107"/>
      <c r="CA105" s="108"/>
      <c r="CB105" s="109"/>
      <c r="CC105" s="110"/>
      <c r="CD105" s="109"/>
      <c r="CE105" s="114"/>
      <c r="CF105" s="10"/>
      <c r="CH105" s="194"/>
      <c r="CJ105" s="194"/>
      <c r="CL105" s="194"/>
    </row>
    <row r="106" spans="1:145" ht="16.05" hidden="1" customHeight="1" x14ac:dyDescent="0.25">
      <c r="A106" s="32"/>
      <c r="B106" s="102"/>
      <c r="C106" s="95"/>
      <c r="D106" s="95"/>
      <c r="E106" s="39"/>
      <c r="F106" s="65"/>
      <c r="G106" s="66"/>
      <c r="H106" s="66"/>
      <c r="I106" s="65"/>
      <c r="J106" s="65"/>
      <c r="K106" s="65"/>
      <c r="L106" s="65"/>
      <c r="M106" s="65"/>
      <c r="N106" s="66"/>
      <c r="O106" s="66"/>
      <c r="P106" s="65"/>
      <c r="Q106" s="65"/>
      <c r="R106" s="65"/>
      <c r="S106" s="65"/>
      <c r="T106" s="65"/>
      <c r="U106" s="66"/>
      <c r="V106" s="66"/>
      <c r="W106" s="65"/>
      <c r="X106" s="65"/>
      <c r="Y106" s="65"/>
      <c r="Z106" s="65"/>
      <c r="AA106" s="65"/>
      <c r="AB106" s="66"/>
      <c r="AC106" s="66"/>
      <c r="AD106" s="65"/>
      <c r="AE106" s="65"/>
      <c r="AF106" s="65"/>
      <c r="AG106" s="65"/>
      <c r="AH106" s="65"/>
      <c r="AI106" s="66"/>
      <c r="AJ106" s="66"/>
      <c r="AK106" s="65"/>
      <c r="AL106" s="66"/>
      <c r="AM106" s="66"/>
      <c r="AN106" s="65"/>
      <c r="AO106" s="65"/>
      <c r="AP106" s="65"/>
      <c r="AQ106" s="65"/>
      <c r="AR106" s="65"/>
      <c r="AS106" s="66"/>
      <c r="AT106" s="66"/>
      <c r="AU106" s="65"/>
      <c r="AV106" s="65"/>
      <c r="AW106" s="65"/>
      <c r="AX106" s="65"/>
      <c r="AY106" s="65"/>
      <c r="AZ106" s="66"/>
      <c r="BA106" s="66"/>
      <c r="BB106" s="65"/>
      <c r="BC106" s="65"/>
      <c r="BD106" s="65"/>
      <c r="BE106" s="65"/>
      <c r="BF106" s="65"/>
      <c r="BG106" s="66"/>
      <c r="BH106" s="66"/>
      <c r="BI106" s="65"/>
      <c r="BJ106" s="65"/>
      <c r="BK106" s="65"/>
      <c r="BL106" s="65"/>
      <c r="BM106" s="65"/>
      <c r="BN106" s="66"/>
      <c r="BO106" s="67"/>
      <c r="BP106" s="68"/>
      <c r="BQ106" s="69"/>
      <c r="BR106" s="68"/>
      <c r="BS106" s="68"/>
      <c r="BT106" s="68"/>
      <c r="BU106" s="32"/>
      <c r="BV106" s="68"/>
      <c r="BW106" s="68"/>
      <c r="BX106" s="32"/>
      <c r="BY106" s="127"/>
      <c r="BZ106" s="128"/>
      <c r="CA106" s="129"/>
      <c r="CB106" s="76"/>
      <c r="CC106" s="75"/>
      <c r="CD106" s="76"/>
      <c r="CE106" s="18"/>
      <c r="CF106" s="10"/>
      <c r="CH106" s="194"/>
      <c r="CJ106" s="194"/>
      <c r="CL106" s="194"/>
    </row>
    <row r="107" spans="1:145" ht="16.05" hidden="1" customHeight="1" x14ac:dyDescent="0.25">
      <c r="A107" s="32"/>
      <c r="B107" s="102"/>
      <c r="C107" s="81" t="s">
        <v>83</v>
      </c>
      <c r="D107" s="95" t="s">
        <v>72</v>
      </c>
      <c r="E107" s="39" t="s">
        <v>18</v>
      </c>
      <c r="F107" s="65"/>
      <c r="G107" s="66"/>
      <c r="H107" s="66"/>
      <c r="I107" s="65"/>
      <c r="J107" s="65"/>
      <c r="K107" s="65"/>
      <c r="L107" s="65"/>
      <c r="M107" s="65"/>
      <c r="N107" s="66"/>
      <c r="O107" s="66"/>
      <c r="P107" s="65"/>
      <c r="Q107" s="65"/>
      <c r="R107" s="65"/>
      <c r="S107" s="65"/>
      <c r="T107" s="65"/>
      <c r="U107" s="66"/>
      <c r="V107" s="66"/>
      <c r="W107" s="65"/>
      <c r="X107" s="65"/>
      <c r="Y107" s="65"/>
      <c r="Z107" s="65"/>
      <c r="AA107" s="65"/>
      <c r="AB107" s="66"/>
      <c r="AC107" s="66"/>
      <c r="AD107" s="65"/>
      <c r="AE107" s="65"/>
      <c r="AF107" s="65"/>
      <c r="AG107" s="65"/>
      <c r="AH107" s="65"/>
      <c r="AI107" s="66"/>
      <c r="AJ107" s="66"/>
      <c r="AK107" s="65"/>
      <c r="AL107" s="66"/>
      <c r="AM107" s="66"/>
      <c r="AN107" s="65"/>
      <c r="AO107" s="65"/>
      <c r="AP107" s="65"/>
      <c r="AQ107" s="65"/>
      <c r="AR107" s="65"/>
      <c r="AS107" s="66"/>
      <c r="AT107" s="66"/>
      <c r="AU107" s="65"/>
      <c r="AV107" s="65"/>
      <c r="AW107" s="65"/>
      <c r="AX107" s="65"/>
      <c r="AY107" s="65"/>
      <c r="AZ107" s="66"/>
      <c r="BA107" s="66"/>
      <c r="BB107" s="65"/>
      <c r="BC107" s="65"/>
      <c r="BD107" s="65"/>
      <c r="BE107" s="65"/>
      <c r="BF107" s="65"/>
      <c r="BG107" s="66"/>
      <c r="BH107" s="66"/>
      <c r="BI107" s="65"/>
      <c r="BJ107" s="65"/>
      <c r="BK107" s="65"/>
      <c r="BL107" s="65"/>
      <c r="BM107" s="65"/>
      <c r="BN107" s="66"/>
      <c r="BO107" s="175" t="e">
        <f>SUM(#REF!)</f>
        <v>#REF!</v>
      </c>
      <c r="BP107" s="22"/>
      <c r="BQ107" s="83">
        <v>0.4</v>
      </c>
      <c r="BR107" s="22">
        <f>BP107*(1-BQ107)</f>
        <v>0</v>
      </c>
      <c r="BS107" s="22" t="e">
        <f>BR107*BO107</f>
        <v>#REF!</v>
      </c>
      <c r="BT107" s="84">
        <f>BR107*0.8</f>
        <v>0</v>
      </c>
      <c r="BU107" s="32"/>
      <c r="BV107" s="84" t="e">
        <f>BS107*0.8</f>
        <v>#REF!</v>
      </c>
      <c r="BW107" s="84"/>
      <c r="BX107" s="32"/>
      <c r="BY107" s="99"/>
      <c r="BZ107" s="86"/>
      <c r="CA107" s="87" t="e">
        <f>BY107*BO107</f>
        <v>#REF!</v>
      </c>
      <c r="CB107" s="88"/>
      <c r="CC107" s="89"/>
      <c r="CD107" s="90"/>
      <c r="CE107" s="21" t="e">
        <f>BV107/CD107*1000</f>
        <v>#REF!</v>
      </c>
      <c r="CF107" s="10"/>
      <c r="CG107" s="30" t="str">
        <f>C107</f>
        <v>COSTA AZUL</v>
      </c>
      <c r="CH107" s="194"/>
      <c r="CI107" s="30" t="e">
        <f>SUM(#REF!)</f>
        <v>#REF!</v>
      </c>
      <c r="CJ107" s="194" t="e">
        <f>#REF!*CI107</f>
        <v>#REF!</v>
      </c>
      <c r="CK107" s="30" t="e">
        <f>SUM(#REF!)</f>
        <v>#REF!</v>
      </c>
      <c r="CL107" s="194" t="e">
        <f>#REF!*CK107</f>
        <v>#REF!</v>
      </c>
    </row>
    <row r="108" spans="1:145" ht="16.05" hidden="1" customHeight="1" x14ac:dyDescent="0.25">
      <c r="A108" s="32"/>
      <c r="B108" s="102"/>
      <c r="C108" s="116"/>
      <c r="D108" s="95"/>
      <c r="E108" s="39"/>
      <c r="F108" s="65"/>
      <c r="G108" s="66"/>
      <c r="H108" s="66"/>
      <c r="I108" s="65"/>
      <c r="J108" s="65"/>
      <c r="K108" s="65"/>
      <c r="L108" s="65"/>
      <c r="M108" s="65"/>
      <c r="N108" s="66"/>
      <c r="O108" s="66"/>
      <c r="P108" s="65"/>
      <c r="Q108" s="65"/>
      <c r="R108" s="65"/>
      <c r="S108" s="65"/>
      <c r="T108" s="65"/>
      <c r="U108" s="66"/>
      <c r="V108" s="66"/>
      <c r="W108" s="65"/>
      <c r="X108" s="65"/>
      <c r="Y108" s="65"/>
      <c r="Z108" s="65"/>
      <c r="AA108" s="65"/>
      <c r="AB108" s="66"/>
      <c r="AC108" s="66"/>
      <c r="AD108" s="65"/>
      <c r="AE108" s="65"/>
      <c r="AF108" s="65"/>
      <c r="AG108" s="65"/>
      <c r="AH108" s="65"/>
      <c r="AI108" s="66"/>
      <c r="AJ108" s="66"/>
      <c r="AK108" s="65"/>
      <c r="AL108" s="66"/>
      <c r="AM108" s="66"/>
      <c r="AN108" s="65"/>
      <c r="AO108" s="65"/>
      <c r="AP108" s="65"/>
      <c r="AQ108" s="65"/>
      <c r="AR108" s="65"/>
      <c r="AS108" s="66"/>
      <c r="AT108" s="66"/>
      <c r="AU108" s="65"/>
      <c r="AV108" s="65"/>
      <c r="AW108" s="65"/>
      <c r="AX108" s="65"/>
      <c r="AY108" s="65"/>
      <c r="AZ108" s="66"/>
      <c r="BA108" s="66"/>
      <c r="BB108" s="65"/>
      <c r="BC108" s="65"/>
      <c r="BD108" s="65"/>
      <c r="BE108" s="65"/>
      <c r="BF108" s="65"/>
      <c r="BG108" s="66"/>
      <c r="BH108" s="66"/>
      <c r="BI108" s="65"/>
      <c r="BJ108" s="65"/>
      <c r="BK108" s="65"/>
      <c r="BL108" s="65"/>
      <c r="BM108" s="65"/>
      <c r="BN108" s="66"/>
      <c r="BO108" s="175"/>
      <c r="BP108" s="22"/>
      <c r="BQ108" s="83"/>
      <c r="BR108" s="22"/>
      <c r="BS108" s="22"/>
      <c r="BT108" s="22"/>
      <c r="BU108" s="32"/>
      <c r="BV108" s="22"/>
      <c r="BW108" s="22"/>
      <c r="BX108" s="32"/>
      <c r="BY108" s="121"/>
      <c r="BZ108" s="122"/>
      <c r="CA108" s="123"/>
      <c r="CB108" s="90"/>
      <c r="CC108" s="89"/>
      <c r="CD108" s="90"/>
      <c r="CE108" s="21"/>
      <c r="CF108" s="10"/>
      <c r="CH108" s="194"/>
      <c r="CJ108" s="194"/>
      <c r="CL108" s="194"/>
    </row>
    <row r="109" spans="1:145" ht="16.05" hidden="1" customHeight="1" x14ac:dyDescent="0.25">
      <c r="A109" s="32"/>
      <c r="B109" s="102"/>
      <c r="C109" s="95"/>
      <c r="D109" s="95"/>
      <c r="E109" s="39"/>
      <c r="F109" s="65"/>
      <c r="G109" s="66"/>
      <c r="H109" s="66"/>
      <c r="I109" s="65"/>
      <c r="J109" s="65"/>
      <c r="K109" s="65"/>
      <c r="L109" s="65"/>
      <c r="M109" s="65"/>
      <c r="N109" s="66"/>
      <c r="O109" s="66"/>
      <c r="P109" s="65"/>
      <c r="Q109" s="65"/>
      <c r="R109" s="65"/>
      <c r="S109" s="65"/>
      <c r="T109" s="65"/>
      <c r="U109" s="66"/>
      <c r="V109" s="66"/>
      <c r="W109" s="65"/>
      <c r="X109" s="65"/>
      <c r="Y109" s="65"/>
      <c r="Z109" s="65"/>
      <c r="AA109" s="65"/>
      <c r="AB109" s="66"/>
      <c r="AC109" s="66"/>
      <c r="AD109" s="65"/>
      <c r="AE109" s="65"/>
      <c r="AF109" s="65"/>
      <c r="AG109" s="65"/>
      <c r="AH109" s="65"/>
      <c r="AI109" s="66"/>
      <c r="AJ109" s="66"/>
      <c r="AK109" s="65"/>
      <c r="AL109" s="66"/>
      <c r="AM109" s="66"/>
      <c r="AN109" s="65"/>
      <c r="AO109" s="65"/>
      <c r="AP109" s="65"/>
      <c r="AQ109" s="65"/>
      <c r="AR109" s="65"/>
      <c r="AS109" s="66"/>
      <c r="AT109" s="66"/>
      <c r="AU109" s="65"/>
      <c r="AV109" s="65"/>
      <c r="AW109" s="65"/>
      <c r="AX109" s="65"/>
      <c r="AY109" s="65"/>
      <c r="AZ109" s="66"/>
      <c r="BA109" s="66"/>
      <c r="BB109" s="65"/>
      <c r="BC109" s="65"/>
      <c r="BD109" s="65"/>
      <c r="BE109" s="65"/>
      <c r="BF109" s="65"/>
      <c r="BG109" s="66"/>
      <c r="BH109" s="66"/>
      <c r="BI109" s="65"/>
      <c r="BJ109" s="65"/>
      <c r="BK109" s="65"/>
      <c r="BL109" s="65"/>
      <c r="BM109" s="65"/>
      <c r="BN109" s="66"/>
      <c r="BO109" s="82"/>
      <c r="BP109" s="22"/>
      <c r="BQ109" s="83"/>
      <c r="BR109" s="22"/>
      <c r="BS109" s="22"/>
      <c r="BT109" s="104"/>
      <c r="BU109" s="32"/>
      <c r="BV109" s="104"/>
      <c r="BW109" s="104"/>
      <c r="BX109" s="32"/>
      <c r="BY109" s="106"/>
      <c r="BZ109" s="107"/>
      <c r="CA109" s="108"/>
      <c r="CB109" s="109"/>
      <c r="CC109" s="110"/>
      <c r="CD109" s="109"/>
      <c r="CE109" s="114"/>
      <c r="CF109" s="10"/>
      <c r="CH109" s="194"/>
      <c r="CJ109" s="194"/>
      <c r="CL109" s="194"/>
    </row>
    <row r="110" spans="1:145" ht="16.05" hidden="1" customHeight="1" x14ac:dyDescent="0.25">
      <c r="A110" s="32"/>
      <c r="B110" s="25" t="s">
        <v>84</v>
      </c>
      <c r="C110" s="139"/>
      <c r="D110" s="139"/>
      <c r="E110" s="139"/>
      <c r="F110" s="40">
        <f t="shared" ref="F110:M110" si="11">SUM(F82:F109)</f>
        <v>0</v>
      </c>
      <c r="G110" s="40">
        <f t="shared" si="11"/>
        <v>0</v>
      </c>
      <c r="H110" s="40">
        <f t="shared" si="11"/>
        <v>0</v>
      </c>
      <c r="I110" s="40">
        <f t="shared" si="11"/>
        <v>0</v>
      </c>
      <c r="J110" s="40">
        <f t="shared" si="11"/>
        <v>0</v>
      </c>
      <c r="K110" s="40">
        <f t="shared" si="11"/>
        <v>0</v>
      </c>
      <c r="L110" s="40">
        <f t="shared" si="11"/>
        <v>0</v>
      </c>
      <c r="M110" s="40">
        <f t="shared" si="11"/>
        <v>0</v>
      </c>
      <c r="N110" s="40">
        <f t="shared" ref="N110:AJ110" si="12">SUM(N82:N84)</f>
        <v>0</v>
      </c>
      <c r="O110" s="40">
        <f t="shared" si="12"/>
        <v>0</v>
      </c>
      <c r="P110" s="40">
        <f t="shared" si="12"/>
        <v>0</v>
      </c>
      <c r="Q110" s="40">
        <f t="shared" si="12"/>
        <v>0</v>
      </c>
      <c r="R110" s="40">
        <f t="shared" si="12"/>
        <v>0</v>
      </c>
      <c r="S110" s="40">
        <f t="shared" si="12"/>
        <v>0</v>
      </c>
      <c r="T110" s="40">
        <f t="shared" si="12"/>
        <v>0</v>
      </c>
      <c r="U110" s="40">
        <f t="shared" si="12"/>
        <v>0</v>
      </c>
      <c r="V110" s="40">
        <f t="shared" si="12"/>
        <v>0</v>
      </c>
      <c r="W110" s="40">
        <f t="shared" si="12"/>
        <v>0</v>
      </c>
      <c r="X110" s="40">
        <f t="shared" si="12"/>
        <v>0</v>
      </c>
      <c r="Y110" s="40">
        <f t="shared" si="12"/>
        <v>0</v>
      </c>
      <c r="Z110" s="40">
        <f t="shared" si="12"/>
        <v>0</v>
      </c>
      <c r="AA110" s="40">
        <f t="shared" si="12"/>
        <v>0</v>
      </c>
      <c r="AB110" s="40">
        <f t="shared" si="12"/>
        <v>0</v>
      </c>
      <c r="AC110" s="40">
        <f t="shared" si="12"/>
        <v>0</v>
      </c>
      <c r="AD110" s="40">
        <f t="shared" si="12"/>
        <v>0</v>
      </c>
      <c r="AE110" s="40">
        <f t="shared" si="12"/>
        <v>0</v>
      </c>
      <c r="AF110" s="40">
        <f t="shared" si="12"/>
        <v>0</v>
      </c>
      <c r="AG110" s="40">
        <f t="shared" si="12"/>
        <v>0</v>
      </c>
      <c r="AH110" s="40">
        <f t="shared" si="12"/>
        <v>0</v>
      </c>
      <c r="AI110" s="40">
        <f t="shared" si="12"/>
        <v>0</v>
      </c>
      <c r="AJ110" s="40">
        <f t="shared" si="12"/>
        <v>0</v>
      </c>
      <c r="AK110" s="40">
        <f t="shared" ref="AK110:AR110" si="13">SUM(AK82:AK109)</f>
        <v>0</v>
      </c>
      <c r="AL110" s="40">
        <f t="shared" si="13"/>
        <v>0</v>
      </c>
      <c r="AM110" s="40">
        <f t="shared" si="13"/>
        <v>0</v>
      </c>
      <c r="AN110" s="40">
        <f t="shared" si="13"/>
        <v>0</v>
      </c>
      <c r="AO110" s="40">
        <f t="shared" si="13"/>
        <v>0</v>
      </c>
      <c r="AP110" s="40">
        <f t="shared" si="13"/>
        <v>0</v>
      </c>
      <c r="AQ110" s="40">
        <f t="shared" si="13"/>
        <v>0</v>
      </c>
      <c r="AR110" s="40">
        <f t="shared" si="13"/>
        <v>0</v>
      </c>
      <c r="AS110" s="40">
        <f t="shared" ref="AS110:BN110" si="14">SUM(AS82:AS84)</f>
        <v>0</v>
      </c>
      <c r="AT110" s="40">
        <f t="shared" si="14"/>
        <v>0</v>
      </c>
      <c r="AU110" s="40">
        <f t="shared" si="14"/>
        <v>0</v>
      </c>
      <c r="AV110" s="40">
        <f t="shared" si="14"/>
        <v>0</v>
      </c>
      <c r="AW110" s="40">
        <f t="shared" si="14"/>
        <v>0</v>
      </c>
      <c r="AX110" s="40">
        <f t="shared" si="14"/>
        <v>0</v>
      </c>
      <c r="AY110" s="40">
        <f t="shared" si="14"/>
        <v>0</v>
      </c>
      <c r="AZ110" s="40">
        <f t="shared" si="14"/>
        <v>0</v>
      </c>
      <c r="BA110" s="40">
        <f t="shared" si="14"/>
        <v>0</v>
      </c>
      <c r="BB110" s="40">
        <f t="shared" si="14"/>
        <v>0</v>
      </c>
      <c r="BC110" s="40">
        <f t="shared" si="14"/>
        <v>0</v>
      </c>
      <c r="BD110" s="40">
        <f t="shared" si="14"/>
        <v>0</v>
      </c>
      <c r="BE110" s="40">
        <f t="shared" si="14"/>
        <v>0</v>
      </c>
      <c r="BF110" s="40">
        <f t="shared" si="14"/>
        <v>0</v>
      </c>
      <c r="BG110" s="40">
        <f t="shared" si="14"/>
        <v>0</v>
      </c>
      <c r="BH110" s="40">
        <f t="shared" si="14"/>
        <v>0</v>
      </c>
      <c r="BI110" s="40">
        <f t="shared" si="14"/>
        <v>0</v>
      </c>
      <c r="BJ110" s="40">
        <f t="shared" si="14"/>
        <v>0</v>
      </c>
      <c r="BK110" s="40">
        <f t="shared" si="14"/>
        <v>0</v>
      </c>
      <c r="BL110" s="40">
        <f t="shared" si="14"/>
        <v>0</v>
      </c>
      <c r="BM110" s="40">
        <f t="shared" si="14"/>
        <v>0</v>
      </c>
      <c r="BN110" s="40">
        <f t="shared" si="14"/>
        <v>0</v>
      </c>
      <c r="BO110" s="40" t="e">
        <f>SUM(BO82:BO109)</f>
        <v>#REF!</v>
      </c>
      <c r="BP110" s="141"/>
      <c r="BQ110" s="141"/>
      <c r="BR110" s="141"/>
      <c r="BS110" s="141" t="e">
        <f>SUM(BS82:BS109)</f>
        <v>#REF!</v>
      </c>
      <c r="BT110" s="141">
        <f>SUM(BT82:BT109)</f>
        <v>455.56799999999998</v>
      </c>
      <c r="BU110" s="43"/>
      <c r="BV110" s="141" t="e">
        <f>SUM(BV82:BV109)</f>
        <v>#REF!</v>
      </c>
      <c r="BW110" s="141"/>
      <c r="BX110" s="43"/>
      <c r="BY110" s="196"/>
      <c r="BZ110" s="197"/>
      <c r="CA110" s="198"/>
      <c r="CB110" s="147"/>
      <c r="CC110" s="147"/>
      <c r="CD110" s="199">
        <f>SUM(CD82:CD109)</f>
        <v>300240</v>
      </c>
      <c r="CE110" s="149" t="e">
        <f>BV110/CD110*1000</f>
        <v>#REF!</v>
      </c>
      <c r="CF110" s="10"/>
      <c r="CH110" s="194"/>
      <c r="CJ110" s="194"/>
      <c r="CL110" s="194"/>
    </row>
    <row r="111" spans="1:145" s="152" customFormat="1" ht="16.05" hidden="1" customHeight="1" x14ac:dyDescent="0.3">
      <c r="A111" s="43"/>
      <c r="B111" s="183"/>
      <c r="C111" s="184"/>
      <c r="D111" s="185"/>
      <c r="E111" s="186"/>
      <c r="F111" s="65"/>
      <c r="G111" s="65"/>
      <c r="H111" s="65"/>
      <c r="I111" s="65"/>
      <c r="J111" s="65"/>
      <c r="K111" s="66"/>
      <c r="L111" s="66"/>
      <c r="M111" s="65"/>
      <c r="N111" s="65"/>
      <c r="O111" s="65"/>
      <c r="P111" s="65"/>
      <c r="Q111" s="65"/>
      <c r="R111" s="66"/>
      <c r="S111" s="66"/>
      <c r="T111" s="65"/>
      <c r="U111" s="65"/>
      <c r="V111" s="65"/>
      <c r="W111" s="65"/>
      <c r="X111" s="65"/>
      <c r="Y111" s="66"/>
      <c r="Z111" s="66"/>
      <c r="AA111" s="65"/>
      <c r="AB111" s="65"/>
      <c r="AC111" s="65"/>
      <c r="AD111" s="65"/>
      <c r="AE111" s="65"/>
      <c r="AF111" s="66"/>
      <c r="AG111" s="66"/>
      <c r="AH111" s="65"/>
      <c r="AI111" s="65"/>
      <c r="AJ111" s="65"/>
      <c r="AK111" s="65"/>
      <c r="AL111" s="65"/>
      <c r="AM111" s="65"/>
      <c r="AN111" s="65"/>
      <c r="AO111" s="65"/>
      <c r="AP111" s="66"/>
      <c r="AQ111" s="66"/>
      <c r="AR111" s="65"/>
      <c r="AS111" s="65"/>
      <c r="AT111" s="65"/>
      <c r="AU111" s="65"/>
      <c r="AV111" s="65"/>
      <c r="AW111" s="66"/>
      <c r="AX111" s="66"/>
      <c r="AY111" s="65"/>
      <c r="AZ111" s="65"/>
      <c r="BA111" s="65"/>
      <c r="BB111" s="65"/>
      <c r="BC111" s="65"/>
      <c r="BD111" s="66"/>
      <c r="BE111" s="66"/>
      <c r="BF111" s="65"/>
      <c r="BG111" s="65"/>
      <c r="BH111" s="65"/>
      <c r="BI111" s="65"/>
      <c r="BJ111" s="65"/>
      <c r="BK111" s="66"/>
      <c r="BL111" s="66"/>
      <c r="BM111" s="65"/>
      <c r="BN111" s="65"/>
      <c r="BO111" s="118"/>
      <c r="BP111" s="68"/>
      <c r="BQ111" s="68"/>
      <c r="BR111" s="68"/>
      <c r="BS111" s="68"/>
      <c r="BT111" s="200"/>
      <c r="BU111" s="32"/>
      <c r="BV111" s="200"/>
      <c r="BW111" s="200"/>
      <c r="BX111" s="32"/>
      <c r="BY111" s="188"/>
      <c r="BZ111" s="189"/>
      <c r="CA111" s="190"/>
      <c r="CB111" s="191"/>
      <c r="CC111" s="192"/>
      <c r="CD111" s="191"/>
      <c r="CE111" s="193"/>
      <c r="CF111" s="160"/>
      <c r="CG111" s="30"/>
      <c r="CH111" s="194"/>
      <c r="CI111" s="30"/>
      <c r="CJ111" s="194"/>
      <c r="CK111" s="30"/>
      <c r="CL111" s="194"/>
      <c r="CM111" s="151"/>
    </row>
    <row r="112" spans="1:145" s="50" customFormat="1" ht="16.05" hidden="1" customHeight="1" x14ac:dyDescent="0.25">
      <c r="A112" s="32"/>
      <c r="B112" s="93" t="s">
        <v>85</v>
      </c>
      <c r="C112" s="81" t="s">
        <v>86</v>
      </c>
      <c r="D112" s="95" t="s">
        <v>87</v>
      </c>
      <c r="E112" s="39" t="s">
        <v>18</v>
      </c>
      <c r="F112" s="65"/>
      <c r="G112" s="65"/>
      <c r="H112" s="65"/>
      <c r="I112" s="65"/>
      <c r="J112" s="65"/>
      <c r="K112" s="66"/>
      <c r="L112" s="66"/>
      <c r="M112" s="65"/>
      <c r="N112" s="65"/>
      <c r="O112" s="65"/>
      <c r="P112" s="65"/>
      <c r="Q112" s="65"/>
      <c r="R112" s="66"/>
      <c r="S112" s="66"/>
      <c r="T112" s="65"/>
      <c r="U112" s="65"/>
      <c r="V112" s="65"/>
      <c r="W112" s="65"/>
      <c r="X112" s="65"/>
      <c r="Y112" s="66"/>
      <c r="Z112" s="66"/>
      <c r="AA112" s="65"/>
      <c r="AB112" s="65"/>
      <c r="AC112" s="65"/>
      <c r="AD112" s="65"/>
      <c r="AE112" s="65"/>
      <c r="AF112" s="66"/>
      <c r="AG112" s="66"/>
      <c r="AH112" s="65"/>
      <c r="AI112" s="65"/>
      <c r="AJ112" s="65"/>
      <c r="AK112" s="65"/>
      <c r="AL112" s="65"/>
      <c r="AM112" s="65"/>
      <c r="AN112" s="65"/>
      <c r="AO112" s="65"/>
      <c r="AP112" s="66"/>
      <c r="AQ112" s="66"/>
      <c r="AR112" s="65"/>
      <c r="AS112" s="65"/>
      <c r="AT112" s="65"/>
      <c r="AU112" s="65"/>
      <c r="AV112" s="65"/>
      <c r="AW112" s="66"/>
      <c r="AX112" s="66"/>
      <c r="AY112" s="65"/>
      <c r="AZ112" s="65"/>
      <c r="BA112" s="65"/>
      <c r="BB112" s="65"/>
      <c r="BC112" s="65"/>
      <c r="BD112" s="66"/>
      <c r="BE112" s="66"/>
      <c r="BF112" s="65"/>
      <c r="BG112" s="65"/>
      <c r="BH112" s="65"/>
      <c r="BI112" s="65"/>
      <c r="BJ112" s="65"/>
      <c r="BK112" s="66"/>
      <c r="BL112" s="66"/>
      <c r="BM112" s="65"/>
      <c r="BN112" s="65"/>
      <c r="BO112" s="82">
        <f>SUM(F112:S112)</f>
        <v>0</v>
      </c>
      <c r="BP112" s="22">
        <v>0</v>
      </c>
      <c r="BQ112" s="83">
        <v>0</v>
      </c>
      <c r="BR112" s="22">
        <v>0</v>
      </c>
      <c r="BS112" s="22">
        <f>BR112*BO112</f>
        <v>0</v>
      </c>
      <c r="BT112" s="84">
        <f>BR112*0.8</f>
        <v>0</v>
      </c>
      <c r="BU112" s="32"/>
      <c r="BV112" s="84">
        <f>BS112*0.8</f>
        <v>0</v>
      </c>
      <c r="BW112" s="84"/>
      <c r="BX112" s="32"/>
      <c r="BY112" s="99">
        <f>BZ112/CC112*100</f>
        <v>12.336811225694557</v>
      </c>
      <c r="BZ112" s="86">
        <v>26342</v>
      </c>
      <c r="CA112" s="87">
        <f>BY112*BO112</f>
        <v>0</v>
      </c>
      <c r="CB112" s="88">
        <v>433991</v>
      </c>
      <c r="CC112" s="89">
        <v>213523.57200000001</v>
      </c>
      <c r="CD112" s="90">
        <f>CC112*CA112%</f>
        <v>0</v>
      </c>
      <c r="CE112" s="21" t="e">
        <f>BV112/CD112*1000</f>
        <v>#DIV/0!</v>
      </c>
      <c r="CF112" s="55"/>
      <c r="CG112" s="30" t="s">
        <v>86</v>
      </c>
      <c r="CH112" s="194"/>
      <c r="CI112" s="30" t="e">
        <f>SUM(#REF!)</f>
        <v>#REF!</v>
      </c>
      <c r="CJ112" s="194" t="e">
        <f>#REF!*CI112</f>
        <v>#REF!</v>
      </c>
      <c r="CK112" s="30" t="e">
        <f>SUM(#REF!)</f>
        <v>#REF!</v>
      </c>
      <c r="CL112" s="194" t="e">
        <f>#REF!*CK112</f>
        <v>#REF!</v>
      </c>
      <c r="CN112" s="45"/>
      <c r="CO112" s="45"/>
      <c r="CP112" s="45"/>
      <c r="CQ112" s="45"/>
      <c r="CR112" s="45"/>
      <c r="CS112" s="45"/>
      <c r="CT112" s="45"/>
      <c r="CU112" s="45"/>
      <c r="CV112" s="45"/>
      <c r="CW112" s="45"/>
      <c r="CX112" s="45"/>
      <c r="CY112" s="45"/>
      <c r="CZ112" s="45"/>
      <c r="DA112" s="45"/>
      <c r="DB112" s="45"/>
      <c r="DC112" s="45"/>
      <c r="DD112" s="45"/>
      <c r="DE112" s="45"/>
      <c r="DF112" s="45"/>
      <c r="DG112" s="45"/>
      <c r="DH112" s="45"/>
      <c r="DI112" s="45"/>
      <c r="DJ112" s="45"/>
      <c r="DK112" s="45"/>
      <c r="DL112" s="45"/>
      <c r="DM112" s="45"/>
      <c r="DN112" s="45"/>
      <c r="DO112" s="45"/>
      <c r="DP112" s="45"/>
      <c r="DQ112" s="45"/>
      <c r="DR112" s="45"/>
      <c r="DS112" s="45"/>
      <c r="DT112" s="45"/>
      <c r="DU112" s="45"/>
      <c r="DV112" s="45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G112" s="45"/>
      <c r="EH112" s="45"/>
      <c r="EI112" s="45"/>
      <c r="EJ112" s="45"/>
      <c r="EK112" s="45"/>
      <c r="EL112" s="45"/>
      <c r="EM112" s="45"/>
      <c r="EN112" s="45"/>
      <c r="EO112" s="45"/>
    </row>
    <row r="113" spans="1:145" s="50" customFormat="1" ht="16.05" hidden="1" customHeight="1" x14ac:dyDescent="0.25">
      <c r="A113" s="32"/>
      <c r="B113" s="102"/>
      <c r="C113" s="95"/>
      <c r="D113" s="95"/>
      <c r="E113" s="39"/>
      <c r="F113" s="65"/>
      <c r="G113" s="65"/>
      <c r="H113" s="65"/>
      <c r="I113" s="65"/>
      <c r="J113" s="65"/>
      <c r="K113" s="66"/>
      <c r="L113" s="66"/>
      <c r="M113" s="65"/>
      <c r="N113" s="65"/>
      <c r="O113" s="65"/>
      <c r="P113" s="65"/>
      <c r="Q113" s="65"/>
      <c r="R113" s="66"/>
      <c r="S113" s="66"/>
      <c r="T113" s="65"/>
      <c r="U113" s="65"/>
      <c r="V113" s="65"/>
      <c r="W113" s="65"/>
      <c r="X113" s="65"/>
      <c r="Y113" s="66"/>
      <c r="Z113" s="66"/>
      <c r="AA113" s="65"/>
      <c r="AB113" s="65"/>
      <c r="AC113" s="65"/>
      <c r="AD113" s="65"/>
      <c r="AE113" s="65"/>
      <c r="AF113" s="66"/>
      <c r="AG113" s="66"/>
      <c r="AH113" s="65"/>
      <c r="AI113" s="65"/>
      <c r="AJ113" s="65"/>
      <c r="AK113" s="65"/>
      <c r="AL113" s="65"/>
      <c r="AM113" s="65"/>
      <c r="AN113" s="65"/>
      <c r="AO113" s="65"/>
      <c r="AP113" s="66"/>
      <c r="AQ113" s="66"/>
      <c r="AR113" s="65"/>
      <c r="AS113" s="65"/>
      <c r="AT113" s="65"/>
      <c r="AU113" s="65"/>
      <c r="AV113" s="65"/>
      <c r="AW113" s="66"/>
      <c r="AX113" s="66"/>
      <c r="AY113" s="65"/>
      <c r="AZ113" s="65"/>
      <c r="BA113" s="65"/>
      <c r="BB113" s="65"/>
      <c r="BC113" s="65"/>
      <c r="BD113" s="66"/>
      <c r="BE113" s="66"/>
      <c r="BF113" s="65"/>
      <c r="BG113" s="65"/>
      <c r="BH113" s="65"/>
      <c r="BI113" s="65"/>
      <c r="BJ113" s="65"/>
      <c r="BK113" s="66"/>
      <c r="BL113" s="66"/>
      <c r="BM113" s="65"/>
      <c r="BN113" s="65"/>
      <c r="BO113" s="82"/>
      <c r="BP113" s="22"/>
      <c r="BQ113" s="83"/>
      <c r="BR113" s="22"/>
      <c r="BS113" s="22"/>
      <c r="BT113" s="104"/>
      <c r="BU113" s="32"/>
      <c r="BV113" s="104"/>
      <c r="BW113" s="104"/>
      <c r="BX113" s="32"/>
      <c r="BY113" s="106"/>
      <c r="BZ113" s="107"/>
      <c r="CA113" s="108"/>
      <c r="CB113" s="109"/>
      <c r="CC113" s="110"/>
      <c r="CD113" s="109"/>
      <c r="CE113" s="114"/>
      <c r="CF113" s="10"/>
      <c r="CG113" s="30"/>
      <c r="CH113" s="194"/>
      <c r="CI113" s="30"/>
      <c r="CJ113" s="194"/>
      <c r="CK113" s="30"/>
      <c r="CL113" s="194"/>
      <c r="CN113" s="45"/>
      <c r="CO113" s="45"/>
      <c r="CP113" s="45"/>
      <c r="CQ113" s="45"/>
      <c r="CR113" s="45"/>
      <c r="CS113" s="45"/>
      <c r="CT113" s="45"/>
      <c r="CU113" s="45"/>
      <c r="CV113" s="45"/>
      <c r="CW113" s="45"/>
      <c r="CX113" s="45"/>
      <c r="CY113" s="45"/>
      <c r="CZ113" s="45"/>
      <c r="DA113" s="45"/>
      <c r="DB113" s="45"/>
      <c r="DC113" s="45"/>
      <c r="DD113" s="45"/>
      <c r="DE113" s="45"/>
      <c r="DF113" s="45"/>
      <c r="DG113" s="45"/>
      <c r="DH113" s="45"/>
      <c r="DI113" s="45"/>
      <c r="DJ113" s="45"/>
      <c r="DK113" s="45"/>
      <c r="DL113" s="45"/>
      <c r="DM113" s="45"/>
      <c r="DN113" s="45"/>
      <c r="DO113" s="45"/>
      <c r="DP113" s="45"/>
      <c r="DQ113" s="45"/>
      <c r="DR113" s="45"/>
      <c r="DS113" s="45"/>
      <c r="DT113" s="45"/>
      <c r="DU113" s="45"/>
      <c r="DV113" s="45"/>
      <c r="DW113" s="45"/>
      <c r="DX113" s="45"/>
      <c r="DY113" s="45"/>
      <c r="DZ113" s="45"/>
      <c r="EA113" s="45"/>
      <c r="EB113" s="45"/>
      <c r="EC113" s="45"/>
      <c r="ED113" s="45"/>
      <c r="EE113" s="45"/>
      <c r="EF113" s="45"/>
      <c r="EG113" s="45"/>
      <c r="EH113" s="45"/>
      <c r="EI113" s="45"/>
      <c r="EJ113" s="45"/>
      <c r="EK113" s="45"/>
      <c r="EL113" s="45"/>
      <c r="EM113" s="45"/>
      <c r="EN113" s="45"/>
      <c r="EO113" s="45"/>
    </row>
    <row r="114" spans="1:145" s="50" customFormat="1" ht="16.05" hidden="1" customHeight="1" x14ac:dyDescent="0.25">
      <c r="A114" s="32"/>
      <c r="B114" s="111"/>
      <c r="C114" s="94"/>
      <c r="D114" s="42"/>
      <c r="E114" s="117"/>
      <c r="F114" s="65"/>
      <c r="G114" s="65"/>
      <c r="H114" s="65"/>
      <c r="I114" s="65"/>
      <c r="J114" s="65"/>
      <c r="K114" s="66"/>
      <c r="L114" s="66"/>
      <c r="M114" s="65"/>
      <c r="N114" s="65"/>
      <c r="O114" s="65"/>
      <c r="P114" s="65"/>
      <c r="Q114" s="65"/>
      <c r="R114" s="66"/>
      <c r="S114" s="66"/>
      <c r="T114" s="65"/>
      <c r="U114" s="65"/>
      <c r="V114" s="65"/>
      <c r="W114" s="65"/>
      <c r="X114" s="65"/>
      <c r="Y114" s="66"/>
      <c r="Z114" s="66"/>
      <c r="AA114" s="65"/>
      <c r="AB114" s="65"/>
      <c r="AC114" s="65"/>
      <c r="AD114" s="65"/>
      <c r="AE114" s="65"/>
      <c r="AF114" s="66"/>
      <c r="AG114" s="66"/>
      <c r="AH114" s="65"/>
      <c r="AI114" s="65"/>
      <c r="AJ114" s="65"/>
      <c r="AK114" s="65"/>
      <c r="AL114" s="65"/>
      <c r="AM114" s="65"/>
      <c r="AN114" s="65"/>
      <c r="AO114" s="65"/>
      <c r="AP114" s="66"/>
      <c r="AQ114" s="66"/>
      <c r="AR114" s="65"/>
      <c r="AS114" s="65"/>
      <c r="AT114" s="65"/>
      <c r="AU114" s="65"/>
      <c r="AV114" s="65"/>
      <c r="AW114" s="66"/>
      <c r="AX114" s="66"/>
      <c r="AY114" s="65"/>
      <c r="AZ114" s="65"/>
      <c r="BA114" s="65"/>
      <c r="BB114" s="65"/>
      <c r="BC114" s="65"/>
      <c r="BD114" s="66"/>
      <c r="BE114" s="66"/>
      <c r="BF114" s="65"/>
      <c r="BG114" s="65"/>
      <c r="BH114" s="65"/>
      <c r="BI114" s="65"/>
      <c r="BJ114" s="65"/>
      <c r="BK114" s="66"/>
      <c r="BL114" s="66"/>
      <c r="BM114" s="65"/>
      <c r="BN114" s="65"/>
      <c r="BO114" s="118"/>
      <c r="BP114" s="68"/>
      <c r="BQ114" s="68"/>
      <c r="BR114" s="68"/>
      <c r="BS114" s="68"/>
      <c r="BT114" s="22"/>
      <c r="BU114" s="32"/>
      <c r="BV114" s="22"/>
      <c r="BW114" s="22"/>
      <c r="BX114" s="32"/>
      <c r="BY114" s="121"/>
      <c r="BZ114" s="122"/>
      <c r="CA114" s="123"/>
      <c r="CB114" s="90"/>
      <c r="CC114" s="89"/>
      <c r="CD114" s="90"/>
      <c r="CE114" s="18"/>
      <c r="CF114" s="10"/>
      <c r="CG114" s="30"/>
      <c r="CH114" s="194"/>
      <c r="CI114" s="30"/>
      <c r="CJ114" s="194"/>
      <c r="CK114" s="30"/>
      <c r="CL114" s="194"/>
      <c r="CN114" s="45"/>
      <c r="CO114" s="45"/>
      <c r="CP114" s="45"/>
      <c r="CQ114" s="45"/>
      <c r="CR114" s="45"/>
      <c r="CS114" s="45"/>
      <c r="CT114" s="45"/>
      <c r="CU114" s="45"/>
      <c r="CV114" s="45"/>
      <c r="CW114" s="45"/>
      <c r="CX114" s="45"/>
      <c r="CY114" s="45"/>
      <c r="CZ114" s="45"/>
      <c r="DA114" s="45"/>
      <c r="DB114" s="45"/>
      <c r="DC114" s="45"/>
      <c r="DD114" s="45"/>
      <c r="DE114" s="45"/>
      <c r="DF114" s="45"/>
      <c r="DG114" s="45"/>
      <c r="DH114" s="45"/>
      <c r="DI114" s="45"/>
      <c r="DJ114" s="45"/>
      <c r="DK114" s="45"/>
      <c r="DL114" s="45"/>
      <c r="DM114" s="45"/>
      <c r="DN114" s="45"/>
      <c r="DO114" s="45"/>
      <c r="DP114" s="45"/>
      <c r="DQ114" s="45"/>
      <c r="DR114" s="45"/>
      <c r="DS114" s="45"/>
      <c r="DT114" s="45"/>
      <c r="DU114" s="45"/>
      <c r="DV114" s="45"/>
      <c r="DW114" s="45"/>
      <c r="DX114" s="45"/>
      <c r="DY114" s="45"/>
      <c r="DZ114" s="45"/>
      <c r="EA114" s="45"/>
      <c r="EB114" s="45"/>
      <c r="EC114" s="45"/>
      <c r="ED114" s="45"/>
      <c r="EE114" s="45"/>
      <c r="EF114" s="45"/>
      <c r="EG114" s="45"/>
      <c r="EH114" s="45"/>
      <c r="EI114" s="45"/>
      <c r="EJ114" s="45"/>
      <c r="EK114" s="45"/>
      <c r="EL114" s="45"/>
      <c r="EM114" s="45"/>
      <c r="EN114" s="45"/>
      <c r="EO114" s="45"/>
    </row>
    <row r="115" spans="1:145" s="50" customFormat="1" ht="16.05" hidden="1" customHeight="1" x14ac:dyDescent="0.25">
      <c r="A115" s="32"/>
      <c r="B115" s="111"/>
      <c r="C115" s="81" t="s">
        <v>88</v>
      </c>
      <c r="D115" s="95" t="s">
        <v>72</v>
      </c>
      <c r="E115" s="39" t="s">
        <v>18</v>
      </c>
      <c r="F115" s="65"/>
      <c r="G115" s="65"/>
      <c r="H115" s="65"/>
      <c r="I115" s="65"/>
      <c r="J115" s="65"/>
      <c r="K115" s="66"/>
      <c r="L115" s="66"/>
      <c r="M115" s="65"/>
      <c r="N115" s="65"/>
      <c r="O115" s="65"/>
      <c r="P115" s="65"/>
      <c r="Q115" s="65"/>
      <c r="R115" s="66"/>
      <c r="S115" s="66"/>
      <c r="T115" s="65"/>
      <c r="U115" s="65"/>
      <c r="V115" s="65"/>
      <c r="W115" s="65"/>
      <c r="X115" s="65"/>
      <c r="Y115" s="66"/>
      <c r="Z115" s="66"/>
      <c r="AA115" s="65"/>
      <c r="AB115" s="65"/>
      <c r="AC115" s="65"/>
      <c r="AD115" s="65"/>
      <c r="AE115" s="65"/>
      <c r="AF115" s="66"/>
      <c r="AG115" s="66"/>
      <c r="AH115" s="65"/>
      <c r="AI115" s="65"/>
      <c r="AJ115" s="65"/>
      <c r="AK115" s="65"/>
      <c r="AL115" s="65"/>
      <c r="AM115" s="65"/>
      <c r="AN115" s="65"/>
      <c r="AO115" s="65"/>
      <c r="AP115" s="66"/>
      <c r="AQ115" s="66"/>
      <c r="AR115" s="65"/>
      <c r="AS115" s="65"/>
      <c r="AT115" s="65"/>
      <c r="AU115" s="65"/>
      <c r="AV115" s="65"/>
      <c r="AW115" s="66"/>
      <c r="AX115" s="66"/>
      <c r="AY115" s="65"/>
      <c r="AZ115" s="65"/>
      <c r="BA115" s="65"/>
      <c r="BB115" s="65"/>
      <c r="BC115" s="65"/>
      <c r="BD115" s="66"/>
      <c r="BE115" s="66"/>
      <c r="BF115" s="65"/>
      <c r="BG115" s="65"/>
      <c r="BH115" s="65"/>
      <c r="BI115" s="65"/>
      <c r="BJ115" s="65"/>
      <c r="BK115" s="66"/>
      <c r="BL115" s="66"/>
      <c r="BM115" s="65"/>
      <c r="BN115" s="65"/>
      <c r="BO115" s="82">
        <f>SUM(F115:S115)</f>
        <v>0</v>
      </c>
      <c r="BP115" s="22">
        <v>500</v>
      </c>
      <c r="BQ115" s="83">
        <v>0.5</v>
      </c>
      <c r="BR115" s="22">
        <f>BP115*(1-BQ115)</f>
        <v>250</v>
      </c>
      <c r="BS115" s="22">
        <f>BR115*BO115</f>
        <v>0</v>
      </c>
      <c r="BT115" s="84">
        <f>BR115*0.8</f>
        <v>200</v>
      </c>
      <c r="BU115" s="32"/>
      <c r="BV115" s="84">
        <f>BS115*0.8</f>
        <v>0</v>
      </c>
      <c r="BW115" s="84"/>
      <c r="BX115" s="32"/>
      <c r="BY115" s="99">
        <f>BZ115/CC115*100</f>
        <v>9.7492748950453105</v>
      </c>
      <c r="BZ115" s="86">
        <v>20817</v>
      </c>
      <c r="CA115" s="87">
        <f>BY115*BO115</f>
        <v>0</v>
      </c>
      <c r="CB115" s="88">
        <v>433991</v>
      </c>
      <c r="CC115" s="89">
        <v>213523.57200000001</v>
      </c>
      <c r="CD115" s="90">
        <f>CC115*CA115%</f>
        <v>0</v>
      </c>
      <c r="CE115" s="21" t="e">
        <f>BV115/CD115*1000</f>
        <v>#DIV/0!</v>
      </c>
      <c r="CF115" s="10"/>
      <c r="CG115" s="30" t="s">
        <v>88</v>
      </c>
      <c r="CH115" s="194"/>
      <c r="CI115" s="30" t="e">
        <f>SUM(#REF!)</f>
        <v>#REF!</v>
      </c>
      <c r="CJ115" s="194" t="e">
        <f>#REF!*CI115</f>
        <v>#REF!</v>
      </c>
      <c r="CK115" s="30" t="e">
        <f>SUM(#REF!)</f>
        <v>#REF!</v>
      </c>
      <c r="CL115" s="194" t="e">
        <f>#REF!*CK115</f>
        <v>#REF!</v>
      </c>
      <c r="CN115" s="45"/>
      <c r="CO115" s="45"/>
      <c r="CP115" s="45"/>
      <c r="CQ115" s="45"/>
      <c r="CR115" s="45"/>
      <c r="CS115" s="45"/>
      <c r="CT115" s="45"/>
      <c r="CU115" s="45"/>
      <c r="CV115" s="45"/>
      <c r="CW115" s="45"/>
      <c r="CX115" s="45"/>
      <c r="CY115" s="45"/>
      <c r="CZ115" s="45"/>
      <c r="DA115" s="45"/>
      <c r="DB115" s="45"/>
      <c r="DC115" s="45"/>
      <c r="DD115" s="45"/>
      <c r="DE115" s="45"/>
      <c r="DF115" s="45"/>
      <c r="DG115" s="45"/>
      <c r="DH115" s="45"/>
      <c r="DI115" s="45"/>
      <c r="DJ115" s="45"/>
      <c r="DK115" s="45"/>
      <c r="DL115" s="45"/>
      <c r="DM115" s="45"/>
      <c r="DN115" s="45"/>
      <c r="DO115" s="45"/>
      <c r="DP115" s="45"/>
      <c r="DQ115" s="45"/>
      <c r="DR115" s="45"/>
      <c r="DS115" s="45"/>
      <c r="DT115" s="45"/>
      <c r="DU115" s="45"/>
      <c r="DV115" s="45"/>
      <c r="DW115" s="45"/>
      <c r="DX115" s="45"/>
      <c r="DY115" s="45"/>
      <c r="DZ115" s="45"/>
      <c r="EA115" s="45"/>
      <c r="EB115" s="45"/>
      <c r="EC115" s="45"/>
      <c r="ED115" s="45"/>
      <c r="EE115" s="45"/>
      <c r="EF115" s="45"/>
      <c r="EG115" s="45"/>
      <c r="EH115" s="45"/>
      <c r="EI115" s="45"/>
      <c r="EJ115" s="45"/>
      <c r="EK115" s="45"/>
      <c r="EL115" s="45"/>
      <c r="EM115" s="45"/>
      <c r="EN115" s="45"/>
      <c r="EO115" s="45"/>
    </row>
    <row r="116" spans="1:145" s="50" customFormat="1" ht="16.05" hidden="1" customHeight="1" x14ac:dyDescent="0.25">
      <c r="A116" s="32"/>
      <c r="B116" s="111"/>
      <c r="C116" s="95"/>
      <c r="D116" s="95"/>
      <c r="E116" s="39"/>
      <c r="F116" s="65"/>
      <c r="G116" s="65"/>
      <c r="H116" s="65"/>
      <c r="I116" s="65"/>
      <c r="J116" s="65"/>
      <c r="K116" s="66"/>
      <c r="L116" s="66"/>
      <c r="M116" s="65"/>
      <c r="N116" s="65"/>
      <c r="O116" s="65"/>
      <c r="P116" s="65"/>
      <c r="Q116" s="65"/>
      <c r="R116" s="66"/>
      <c r="S116" s="66"/>
      <c r="T116" s="65"/>
      <c r="U116" s="65"/>
      <c r="V116" s="65"/>
      <c r="W116" s="65"/>
      <c r="X116" s="65"/>
      <c r="Y116" s="66"/>
      <c r="Z116" s="66"/>
      <c r="AA116" s="65"/>
      <c r="AB116" s="65"/>
      <c r="AC116" s="65"/>
      <c r="AD116" s="65"/>
      <c r="AE116" s="65"/>
      <c r="AF116" s="66"/>
      <c r="AG116" s="66"/>
      <c r="AH116" s="65"/>
      <c r="AI116" s="65"/>
      <c r="AJ116" s="65"/>
      <c r="AK116" s="65"/>
      <c r="AL116" s="65"/>
      <c r="AM116" s="65"/>
      <c r="AN116" s="65"/>
      <c r="AO116" s="65"/>
      <c r="AP116" s="66"/>
      <c r="AQ116" s="66"/>
      <c r="AR116" s="65"/>
      <c r="AS116" s="65"/>
      <c r="AT116" s="65"/>
      <c r="AU116" s="65"/>
      <c r="AV116" s="65"/>
      <c r="AW116" s="66"/>
      <c r="AX116" s="66"/>
      <c r="AY116" s="65"/>
      <c r="AZ116" s="65"/>
      <c r="BA116" s="65"/>
      <c r="BB116" s="65"/>
      <c r="BC116" s="65"/>
      <c r="BD116" s="66"/>
      <c r="BE116" s="66"/>
      <c r="BF116" s="65"/>
      <c r="BG116" s="65"/>
      <c r="BH116" s="65"/>
      <c r="BI116" s="65"/>
      <c r="BJ116" s="65"/>
      <c r="BK116" s="66"/>
      <c r="BL116" s="66"/>
      <c r="BM116" s="65"/>
      <c r="BN116" s="65"/>
      <c r="BO116" s="82"/>
      <c r="BP116" s="22"/>
      <c r="BQ116" s="83"/>
      <c r="BR116" s="22"/>
      <c r="BS116" s="22"/>
      <c r="BT116" s="104"/>
      <c r="BU116" s="32"/>
      <c r="BV116" s="104"/>
      <c r="BW116" s="104"/>
      <c r="BX116" s="32"/>
      <c r="BY116" s="106"/>
      <c r="BZ116" s="107"/>
      <c r="CA116" s="108"/>
      <c r="CB116" s="109"/>
      <c r="CC116" s="110"/>
      <c r="CD116" s="109"/>
      <c r="CE116" s="114"/>
      <c r="CF116" s="10"/>
      <c r="CG116" s="30"/>
      <c r="CH116" s="194"/>
      <c r="CI116" s="30"/>
      <c r="CJ116" s="194"/>
      <c r="CK116" s="30"/>
      <c r="CL116" s="194"/>
      <c r="CN116" s="45"/>
      <c r="CO116" s="45"/>
      <c r="CP116" s="45"/>
      <c r="CQ116" s="45"/>
      <c r="CR116" s="45"/>
      <c r="CS116" s="45"/>
      <c r="CT116" s="45"/>
      <c r="CU116" s="45"/>
      <c r="CV116" s="45"/>
      <c r="CW116" s="45"/>
      <c r="CX116" s="45"/>
      <c r="CY116" s="45"/>
      <c r="CZ116" s="45"/>
      <c r="DA116" s="45"/>
      <c r="DB116" s="45"/>
      <c r="DC116" s="45"/>
      <c r="DD116" s="45"/>
      <c r="DE116" s="45"/>
      <c r="DF116" s="45"/>
      <c r="DG116" s="45"/>
      <c r="DH116" s="45"/>
      <c r="DI116" s="45"/>
      <c r="DJ116" s="45"/>
      <c r="DK116" s="45"/>
      <c r="DL116" s="45"/>
      <c r="DM116" s="45"/>
      <c r="DN116" s="45"/>
      <c r="DO116" s="45"/>
      <c r="DP116" s="45"/>
      <c r="DQ116" s="45"/>
      <c r="DR116" s="45"/>
      <c r="DS116" s="45"/>
      <c r="DT116" s="45"/>
      <c r="DU116" s="45"/>
      <c r="DV116" s="45"/>
      <c r="DW116" s="45"/>
      <c r="DX116" s="45"/>
      <c r="DY116" s="45"/>
      <c r="DZ116" s="45"/>
      <c r="EA116" s="45"/>
      <c r="EB116" s="45"/>
      <c r="EC116" s="45"/>
      <c r="ED116" s="45"/>
      <c r="EE116" s="45"/>
      <c r="EF116" s="45"/>
      <c r="EG116" s="45"/>
      <c r="EH116" s="45"/>
      <c r="EI116" s="45"/>
      <c r="EJ116" s="45"/>
      <c r="EK116" s="45"/>
      <c r="EL116" s="45"/>
      <c r="EM116" s="45"/>
      <c r="EN116" s="45"/>
      <c r="EO116" s="45"/>
    </row>
    <row r="117" spans="1:145" s="50" customFormat="1" ht="16.05" hidden="1" customHeight="1" x14ac:dyDescent="0.25">
      <c r="A117" s="32"/>
      <c r="B117" s="111"/>
      <c r="C117" s="94"/>
      <c r="D117" s="42"/>
      <c r="E117" s="117"/>
      <c r="F117" s="65"/>
      <c r="G117" s="65"/>
      <c r="H117" s="65"/>
      <c r="I117" s="65"/>
      <c r="J117" s="65"/>
      <c r="K117" s="66"/>
      <c r="L117" s="66"/>
      <c r="M117" s="65"/>
      <c r="N117" s="65"/>
      <c r="O117" s="65"/>
      <c r="P117" s="65"/>
      <c r="Q117" s="65"/>
      <c r="R117" s="66"/>
      <c r="S117" s="66"/>
      <c r="T117" s="65"/>
      <c r="U117" s="65"/>
      <c r="V117" s="65"/>
      <c r="W117" s="65"/>
      <c r="X117" s="65"/>
      <c r="Y117" s="66"/>
      <c r="Z117" s="66"/>
      <c r="AA117" s="65"/>
      <c r="AB117" s="65"/>
      <c r="AC117" s="65"/>
      <c r="AD117" s="65"/>
      <c r="AE117" s="65"/>
      <c r="AF117" s="66"/>
      <c r="AG117" s="66"/>
      <c r="AH117" s="65"/>
      <c r="AI117" s="65"/>
      <c r="AJ117" s="65"/>
      <c r="AK117" s="65"/>
      <c r="AL117" s="65"/>
      <c r="AM117" s="65"/>
      <c r="AN117" s="65"/>
      <c r="AO117" s="65"/>
      <c r="AP117" s="66"/>
      <c r="AQ117" s="66"/>
      <c r="AR117" s="65"/>
      <c r="AS117" s="65"/>
      <c r="AT117" s="65"/>
      <c r="AU117" s="65"/>
      <c r="AV117" s="65"/>
      <c r="AW117" s="66"/>
      <c r="AX117" s="66"/>
      <c r="AY117" s="65"/>
      <c r="AZ117" s="65"/>
      <c r="BA117" s="65"/>
      <c r="BB117" s="65"/>
      <c r="BC117" s="65"/>
      <c r="BD117" s="66"/>
      <c r="BE117" s="66"/>
      <c r="BF117" s="65"/>
      <c r="BG117" s="65"/>
      <c r="BH117" s="65"/>
      <c r="BI117" s="65"/>
      <c r="BJ117" s="65"/>
      <c r="BK117" s="66"/>
      <c r="BL117" s="66"/>
      <c r="BM117" s="65"/>
      <c r="BN117" s="65"/>
      <c r="BO117" s="187"/>
      <c r="BP117" s="68"/>
      <c r="BQ117" s="68"/>
      <c r="BR117" s="68"/>
      <c r="BS117" s="68"/>
      <c r="BT117" s="68"/>
      <c r="BU117" s="32"/>
      <c r="BV117" s="68"/>
      <c r="BW117" s="68"/>
      <c r="BX117" s="32"/>
      <c r="BY117" s="121"/>
      <c r="BZ117" s="122"/>
      <c r="CA117" s="123"/>
      <c r="CB117" s="90"/>
      <c r="CC117" s="89"/>
      <c r="CD117" s="90"/>
      <c r="CE117" s="18"/>
      <c r="CF117" s="10"/>
      <c r="CG117" s="30"/>
      <c r="CH117" s="194"/>
      <c r="CI117" s="30"/>
      <c r="CJ117" s="194"/>
      <c r="CK117" s="30"/>
      <c r="CL117" s="194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5"/>
      <c r="DJ117" s="45"/>
      <c r="DK117" s="45"/>
      <c r="DL117" s="45"/>
      <c r="DM117" s="45"/>
      <c r="DN117" s="45"/>
      <c r="DO117" s="45"/>
      <c r="DP117" s="45"/>
      <c r="DQ117" s="45"/>
      <c r="DR117" s="45"/>
      <c r="DS117" s="45"/>
      <c r="DT117" s="45"/>
      <c r="DU117" s="45"/>
      <c r="DV117" s="45"/>
      <c r="DW117" s="45"/>
      <c r="DX117" s="45"/>
      <c r="DY117" s="45"/>
      <c r="DZ117" s="45"/>
      <c r="EA117" s="45"/>
      <c r="EB117" s="45"/>
      <c r="EC117" s="45"/>
      <c r="ED117" s="45"/>
      <c r="EE117" s="45"/>
      <c r="EF117" s="45"/>
      <c r="EG117" s="45"/>
      <c r="EH117" s="45"/>
      <c r="EI117" s="45"/>
      <c r="EJ117" s="45"/>
      <c r="EK117" s="45"/>
      <c r="EL117" s="45"/>
      <c r="EM117" s="45"/>
      <c r="EN117" s="45"/>
      <c r="EO117" s="45"/>
    </row>
    <row r="118" spans="1:145" s="50" customFormat="1" ht="16.05" hidden="1" customHeight="1" x14ac:dyDescent="0.25">
      <c r="A118" s="32"/>
      <c r="B118" s="111"/>
      <c r="C118" s="81" t="s">
        <v>89</v>
      </c>
      <c r="D118" s="95" t="s">
        <v>72</v>
      </c>
      <c r="E118" s="39" t="s">
        <v>18</v>
      </c>
      <c r="F118" s="65"/>
      <c r="G118" s="65"/>
      <c r="H118" s="65"/>
      <c r="I118" s="65"/>
      <c r="J118" s="65"/>
      <c r="K118" s="66"/>
      <c r="L118" s="66"/>
      <c r="M118" s="65"/>
      <c r="N118" s="65"/>
      <c r="O118" s="65"/>
      <c r="P118" s="65"/>
      <c r="Q118" s="65"/>
      <c r="R118" s="66"/>
      <c r="S118" s="66"/>
      <c r="T118" s="65"/>
      <c r="U118" s="65"/>
      <c r="V118" s="65"/>
      <c r="W118" s="65"/>
      <c r="X118" s="65"/>
      <c r="Y118" s="66"/>
      <c r="Z118" s="66"/>
      <c r="AA118" s="65"/>
      <c r="AB118" s="65"/>
      <c r="AC118" s="65"/>
      <c r="AD118" s="65"/>
      <c r="AE118" s="65"/>
      <c r="AF118" s="66"/>
      <c r="AG118" s="66"/>
      <c r="AH118" s="65"/>
      <c r="AI118" s="65"/>
      <c r="AJ118" s="65"/>
      <c r="AK118" s="65"/>
      <c r="AL118" s="65"/>
      <c r="AM118" s="65"/>
      <c r="AN118" s="65"/>
      <c r="AO118" s="65"/>
      <c r="AP118" s="66"/>
      <c r="AQ118" s="66"/>
      <c r="AR118" s="65"/>
      <c r="AS118" s="65"/>
      <c r="AT118" s="65"/>
      <c r="AU118" s="65"/>
      <c r="AV118" s="65"/>
      <c r="AW118" s="66"/>
      <c r="AX118" s="66"/>
      <c r="AY118" s="65"/>
      <c r="AZ118" s="65"/>
      <c r="BA118" s="65"/>
      <c r="BB118" s="65"/>
      <c r="BC118" s="65"/>
      <c r="BD118" s="66"/>
      <c r="BE118" s="66"/>
      <c r="BF118" s="65"/>
      <c r="BG118" s="65"/>
      <c r="BH118" s="65"/>
      <c r="BI118" s="65"/>
      <c r="BJ118" s="65"/>
      <c r="BK118" s="66"/>
      <c r="BL118" s="66"/>
      <c r="BM118" s="65"/>
      <c r="BN118" s="65"/>
      <c r="BO118" s="82">
        <f>SUM(F118:S118)</f>
        <v>0</v>
      </c>
      <c r="BP118" s="22">
        <v>580</v>
      </c>
      <c r="BQ118" s="83">
        <v>0.5</v>
      </c>
      <c r="BR118" s="22">
        <f>BP118*(1-BQ118)</f>
        <v>290</v>
      </c>
      <c r="BS118" s="22">
        <f>BR118*BO118</f>
        <v>0</v>
      </c>
      <c r="BT118" s="84">
        <f>BR118*0.8</f>
        <v>232</v>
      </c>
      <c r="BU118" s="32"/>
      <c r="BV118" s="84">
        <f>BS118*0.8</f>
        <v>0</v>
      </c>
      <c r="BW118" s="84"/>
      <c r="BX118" s="32"/>
      <c r="BY118" s="99">
        <f>BZ118/CC118*100</f>
        <v>12.888506754654703</v>
      </c>
      <c r="BZ118" s="86">
        <v>27520</v>
      </c>
      <c r="CA118" s="87">
        <f>BY118*BO118</f>
        <v>0</v>
      </c>
      <c r="CB118" s="88">
        <v>433991</v>
      </c>
      <c r="CC118" s="89">
        <v>213523.57200000001</v>
      </c>
      <c r="CD118" s="90">
        <f>CC118*CA118%</f>
        <v>0</v>
      </c>
      <c r="CE118" s="21" t="e">
        <f>BV118/CD118*1000</f>
        <v>#DIV/0!</v>
      </c>
      <c r="CF118" s="10"/>
      <c r="CG118" s="30" t="s">
        <v>89</v>
      </c>
      <c r="CH118" s="194"/>
      <c r="CI118" s="30" t="e">
        <f>SUM(#REF!)</f>
        <v>#REF!</v>
      </c>
      <c r="CJ118" s="194" t="e">
        <f>#REF!*CI118</f>
        <v>#REF!</v>
      </c>
      <c r="CK118" s="30" t="e">
        <f>SUM(#REF!)</f>
        <v>#REF!</v>
      </c>
      <c r="CL118" s="194" t="e">
        <f>#REF!*CK118</f>
        <v>#REF!</v>
      </c>
      <c r="CN118" s="45"/>
      <c r="CO118" s="45"/>
      <c r="CP118" s="45"/>
      <c r="CQ118" s="45"/>
      <c r="CR118" s="45"/>
      <c r="CS118" s="45"/>
      <c r="CT118" s="45"/>
      <c r="CU118" s="45"/>
      <c r="CV118" s="45"/>
      <c r="CW118" s="45"/>
      <c r="CX118" s="45"/>
      <c r="CY118" s="45"/>
      <c r="CZ118" s="45"/>
      <c r="DA118" s="45"/>
      <c r="DB118" s="45"/>
      <c r="DC118" s="45"/>
      <c r="DD118" s="45"/>
      <c r="DE118" s="45"/>
      <c r="DF118" s="45"/>
      <c r="DG118" s="45"/>
      <c r="DH118" s="45"/>
      <c r="DI118" s="45"/>
      <c r="DJ118" s="45"/>
      <c r="DK118" s="45"/>
      <c r="DL118" s="45"/>
      <c r="DM118" s="45"/>
      <c r="DN118" s="45"/>
      <c r="DO118" s="45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5"/>
      <c r="EB118" s="45"/>
      <c r="EC118" s="45"/>
      <c r="ED118" s="45"/>
      <c r="EE118" s="45"/>
      <c r="EF118" s="45"/>
      <c r="EG118" s="45"/>
      <c r="EH118" s="45"/>
      <c r="EI118" s="45"/>
      <c r="EJ118" s="45"/>
      <c r="EK118" s="45"/>
      <c r="EL118" s="45"/>
      <c r="EM118" s="45"/>
      <c r="EN118" s="45"/>
      <c r="EO118" s="45"/>
    </row>
    <row r="119" spans="1:145" s="50" customFormat="1" ht="16.05" hidden="1" customHeight="1" x14ac:dyDescent="0.25">
      <c r="A119" s="32"/>
      <c r="B119" s="111"/>
      <c r="C119" s="95"/>
      <c r="D119" s="95"/>
      <c r="E119" s="39"/>
      <c r="F119" s="65"/>
      <c r="G119" s="65"/>
      <c r="H119" s="65"/>
      <c r="I119" s="65"/>
      <c r="J119" s="65"/>
      <c r="K119" s="66"/>
      <c r="L119" s="66"/>
      <c r="M119" s="65"/>
      <c r="N119" s="65"/>
      <c r="O119" s="65"/>
      <c r="P119" s="65"/>
      <c r="Q119" s="65"/>
      <c r="R119" s="66"/>
      <c r="S119" s="66"/>
      <c r="T119" s="65"/>
      <c r="U119" s="65"/>
      <c r="V119" s="65"/>
      <c r="W119" s="65"/>
      <c r="X119" s="65"/>
      <c r="Y119" s="66"/>
      <c r="Z119" s="66"/>
      <c r="AA119" s="65"/>
      <c r="AB119" s="65"/>
      <c r="AC119" s="65"/>
      <c r="AD119" s="65"/>
      <c r="AE119" s="65"/>
      <c r="AF119" s="66"/>
      <c r="AG119" s="66"/>
      <c r="AH119" s="65"/>
      <c r="AI119" s="65"/>
      <c r="AJ119" s="65"/>
      <c r="AK119" s="65"/>
      <c r="AL119" s="65"/>
      <c r="AM119" s="65"/>
      <c r="AN119" s="65"/>
      <c r="AO119" s="65"/>
      <c r="AP119" s="66"/>
      <c r="AQ119" s="66"/>
      <c r="AR119" s="65"/>
      <c r="AS119" s="65"/>
      <c r="AT119" s="65"/>
      <c r="AU119" s="65"/>
      <c r="AV119" s="65"/>
      <c r="AW119" s="66"/>
      <c r="AX119" s="66"/>
      <c r="AY119" s="65"/>
      <c r="AZ119" s="65"/>
      <c r="BA119" s="65"/>
      <c r="BB119" s="65"/>
      <c r="BC119" s="65"/>
      <c r="BD119" s="66"/>
      <c r="BE119" s="66"/>
      <c r="BF119" s="65"/>
      <c r="BG119" s="65"/>
      <c r="BH119" s="65"/>
      <c r="BI119" s="65"/>
      <c r="BJ119" s="65"/>
      <c r="BK119" s="66"/>
      <c r="BL119" s="66"/>
      <c r="BM119" s="65"/>
      <c r="BN119" s="65"/>
      <c r="BO119" s="173"/>
      <c r="BP119" s="104"/>
      <c r="BQ119" s="195"/>
      <c r="BR119" s="104"/>
      <c r="BS119" s="104"/>
      <c r="BT119" s="104"/>
      <c r="BU119" s="32"/>
      <c r="BV119" s="104"/>
      <c r="BW119" s="104"/>
      <c r="BX119" s="32"/>
      <c r="BY119" s="106"/>
      <c r="BZ119" s="107"/>
      <c r="CA119" s="108"/>
      <c r="CB119" s="109"/>
      <c r="CC119" s="110"/>
      <c r="CD119" s="109"/>
      <c r="CE119" s="114"/>
      <c r="CF119" s="10"/>
      <c r="CG119" s="30"/>
      <c r="CH119" s="194"/>
      <c r="CI119" s="30"/>
      <c r="CJ119" s="194"/>
      <c r="CK119" s="30"/>
      <c r="CL119" s="194"/>
      <c r="CN119" s="45"/>
      <c r="CO119" s="45"/>
      <c r="CP119" s="45"/>
      <c r="CQ119" s="45"/>
      <c r="CR119" s="45"/>
      <c r="CS119" s="45"/>
      <c r="CT119" s="45"/>
      <c r="CU119" s="45"/>
      <c r="CV119" s="45"/>
      <c r="CW119" s="45"/>
      <c r="CX119" s="45"/>
      <c r="CY119" s="45"/>
      <c r="CZ119" s="45"/>
      <c r="DA119" s="45"/>
      <c r="DB119" s="45"/>
      <c r="DC119" s="45"/>
      <c r="DD119" s="45"/>
      <c r="DE119" s="45"/>
      <c r="DF119" s="45"/>
      <c r="DG119" s="45"/>
      <c r="DH119" s="45"/>
      <c r="DI119" s="45"/>
      <c r="DJ119" s="45"/>
      <c r="DK119" s="45"/>
      <c r="DL119" s="45"/>
      <c r="DM119" s="45"/>
      <c r="DN119" s="45"/>
      <c r="DO119" s="45"/>
      <c r="DP119" s="45"/>
      <c r="DQ119" s="45"/>
      <c r="DR119" s="45"/>
      <c r="DS119" s="45"/>
      <c r="DT119" s="45"/>
      <c r="DU119" s="45"/>
      <c r="DV119" s="45"/>
      <c r="DW119" s="45"/>
      <c r="DX119" s="45"/>
      <c r="DY119" s="45"/>
      <c r="DZ119" s="45"/>
      <c r="EA119" s="45"/>
      <c r="EB119" s="45"/>
      <c r="EC119" s="45"/>
      <c r="ED119" s="45"/>
      <c r="EE119" s="45"/>
      <c r="EF119" s="45"/>
      <c r="EG119" s="45"/>
      <c r="EH119" s="45"/>
      <c r="EI119" s="45"/>
      <c r="EJ119" s="45"/>
      <c r="EK119" s="45"/>
      <c r="EL119" s="45"/>
      <c r="EM119" s="45"/>
      <c r="EN119" s="45"/>
      <c r="EO119" s="45"/>
    </row>
    <row r="120" spans="1:145" s="50" customFormat="1" ht="16.05" hidden="1" customHeight="1" x14ac:dyDescent="0.25">
      <c r="A120" s="32"/>
      <c r="B120" s="111"/>
      <c r="C120" s="95"/>
      <c r="D120" s="95"/>
      <c r="E120" s="39"/>
      <c r="F120" s="65"/>
      <c r="G120" s="65"/>
      <c r="H120" s="65"/>
      <c r="I120" s="65"/>
      <c r="J120" s="65"/>
      <c r="K120" s="66"/>
      <c r="L120" s="66"/>
      <c r="M120" s="65"/>
      <c r="N120" s="65"/>
      <c r="O120" s="65"/>
      <c r="P120" s="65"/>
      <c r="Q120" s="65"/>
      <c r="R120" s="66"/>
      <c r="S120" s="66"/>
      <c r="T120" s="65"/>
      <c r="U120" s="65"/>
      <c r="V120" s="65"/>
      <c r="W120" s="65"/>
      <c r="X120" s="65"/>
      <c r="Y120" s="66"/>
      <c r="Z120" s="66"/>
      <c r="AA120" s="65"/>
      <c r="AB120" s="65"/>
      <c r="AC120" s="65"/>
      <c r="AD120" s="65"/>
      <c r="AE120" s="65"/>
      <c r="AF120" s="66"/>
      <c r="AG120" s="66"/>
      <c r="AH120" s="65"/>
      <c r="AI120" s="65"/>
      <c r="AJ120" s="65"/>
      <c r="AK120" s="65"/>
      <c r="AL120" s="65"/>
      <c r="AM120" s="65"/>
      <c r="AN120" s="65"/>
      <c r="AO120" s="65"/>
      <c r="AP120" s="66"/>
      <c r="AQ120" s="66"/>
      <c r="AR120" s="65"/>
      <c r="AS120" s="65"/>
      <c r="AT120" s="65"/>
      <c r="AU120" s="65"/>
      <c r="AV120" s="65"/>
      <c r="AW120" s="66"/>
      <c r="AX120" s="66"/>
      <c r="AY120" s="65"/>
      <c r="AZ120" s="65"/>
      <c r="BA120" s="65"/>
      <c r="BB120" s="65"/>
      <c r="BC120" s="65"/>
      <c r="BD120" s="66"/>
      <c r="BE120" s="66"/>
      <c r="BF120" s="65"/>
      <c r="BG120" s="65"/>
      <c r="BH120" s="65"/>
      <c r="BI120" s="65"/>
      <c r="BJ120" s="65"/>
      <c r="BK120" s="66"/>
      <c r="BL120" s="66"/>
      <c r="BM120" s="65"/>
      <c r="BN120" s="65"/>
      <c r="BO120" s="187"/>
      <c r="BP120" s="68"/>
      <c r="BQ120" s="68"/>
      <c r="BR120" s="68"/>
      <c r="BS120" s="68"/>
      <c r="BT120" s="68"/>
      <c r="BU120" s="32"/>
      <c r="BV120" s="68"/>
      <c r="BW120" s="68"/>
      <c r="BX120" s="32"/>
      <c r="BY120" s="121"/>
      <c r="BZ120" s="122"/>
      <c r="CA120" s="123"/>
      <c r="CB120" s="90"/>
      <c r="CC120" s="89"/>
      <c r="CD120" s="90"/>
      <c r="CE120" s="18"/>
      <c r="CF120" s="10"/>
      <c r="CG120" s="30"/>
      <c r="CH120" s="194"/>
      <c r="CI120" s="30"/>
      <c r="CJ120" s="194"/>
      <c r="CK120" s="30"/>
      <c r="CL120" s="194"/>
      <c r="CN120" s="45"/>
      <c r="CO120" s="45"/>
      <c r="CP120" s="45"/>
      <c r="CQ120" s="45"/>
      <c r="CR120" s="45"/>
      <c r="CS120" s="45"/>
      <c r="CT120" s="45"/>
      <c r="CU120" s="45"/>
      <c r="CV120" s="45"/>
      <c r="CW120" s="45"/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5"/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5"/>
      <c r="ED120" s="45"/>
      <c r="EE120" s="45"/>
      <c r="EF120" s="45"/>
      <c r="EG120" s="45"/>
      <c r="EH120" s="45"/>
      <c r="EI120" s="45"/>
      <c r="EJ120" s="45"/>
      <c r="EK120" s="45"/>
      <c r="EL120" s="45"/>
      <c r="EM120" s="45"/>
      <c r="EN120" s="45"/>
      <c r="EO120" s="45"/>
    </row>
    <row r="121" spans="1:145" s="50" customFormat="1" ht="16.05" hidden="1" customHeight="1" x14ac:dyDescent="0.25">
      <c r="A121" s="32"/>
      <c r="B121" s="111"/>
      <c r="C121" s="95" t="s">
        <v>90</v>
      </c>
      <c r="D121" s="95" t="s">
        <v>72</v>
      </c>
      <c r="E121" s="39" t="s">
        <v>18</v>
      </c>
      <c r="F121" s="65"/>
      <c r="G121" s="65"/>
      <c r="H121" s="65"/>
      <c r="I121" s="65"/>
      <c r="J121" s="65"/>
      <c r="K121" s="66"/>
      <c r="L121" s="66"/>
      <c r="M121" s="65"/>
      <c r="N121" s="65"/>
      <c r="O121" s="65"/>
      <c r="P121" s="65"/>
      <c r="Q121" s="65"/>
      <c r="R121" s="66"/>
      <c r="S121" s="66"/>
      <c r="T121" s="65"/>
      <c r="U121" s="65"/>
      <c r="V121" s="65"/>
      <c r="W121" s="65"/>
      <c r="X121" s="65"/>
      <c r="Y121" s="66"/>
      <c r="Z121" s="66"/>
      <c r="AA121" s="65"/>
      <c r="AB121" s="65"/>
      <c r="AC121" s="65"/>
      <c r="AD121" s="65"/>
      <c r="AE121" s="65"/>
      <c r="AF121" s="66"/>
      <c r="AG121" s="66"/>
      <c r="AH121" s="65"/>
      <c r="AI121" s="65"/>
      <c r="AJ121" s="65"/>
      <c r="AK121" s="65"/>
      <c r="AL121" s="65"/>
      <c r="AM121" s="65"/>
      <c r="AN121" s="65"/>
      <c r="AO121" s="65"/>
      <c r="AP121" s="66"/>
      <c r="AQ121" s="66"/>
      <c r="AR121" s="65"/>
      <c r="AS121" s="65"/>
      <c r="AT121" s="65"/>
      <c r="AU121" s="65"/>
      <c r="AV121" s="65"/>
      <c r="AW121" s="66"/>
      <c r="AX121" s="66"/>
      <c r="AY121" s="65"/>
      <c r="AZ121" s="65"/>
      <c r="BA121" s="65"/>
      <c r="BB121" s="65"/>
      <c r="BC121" s="65"/>
      <c r="BD121" s="66"/>
      <c r="BE121" s="66"/>
      <c r="BF121" s="65"/>
      <c r="BG121" s="65"/>
      <c r="BH121" s="65"/>
      <c r="BI121" s="65"/>
      <c r="BJ121" s="65"/>
      <c r="BK121" s="66"/>
      <c r="BL121" s="66"/>
      <c r="BM121" s="65"/>
      <c r="BN121" s="65"/>
      <c r="BO121" s="82">
        <f>SUM(F121:S121)</f>
        <v>0</v>
      </c>
      <c r="BP121" s="22">
        <v>568.83000000000004</v>
      </c>
      <c r="BQ121" s="83">
        <v>0.75</v>
      </c>
      <c r="BR121" s="22">
        <f>BP121*(1-BQ121)</f>
        <v>142.20750000000001</v>
      </c>
      <c r="BS121" s="22">
        <f>BR121*BO121</f>
        <v>0</v>
      </c>
      <c r="BT121" s="84">
        <f>BR121*0.8</f>
        <v>113.76600000000002</v>
      </c>
      <c r="BU121" s="32"/>
      <c r="BV121" s="84">
        <f>BS121*0.8</f>
        <v>0</v>
      </c>
      <c r="BW121" s="84"/>
      <c r="BX121" s="32"/>
      <c r="BY121" s="99">
        <f>BZ121/CC121*100</f>
        <v>4.8612899750478133</v>
      </c>
      <c r="BZ121" s="86">
        <v>10380</v>
      </c>
      <c r="CA121" s="87">
        <f>BY121*BO121</f>
        <v>0</v>
      </c>
      <c r="CB121" s="88">
        <v>433991</v>
      </c>
      <c r="CC121" s="89">
        <v>213523.57200000001</v>
      </c>
      <c r="CD121" s="90">
        <f>CC121*CA121%</f>
        <v>0</v>
      </c>
      <c r="CE121" s="21" t="e">
        <f>BV121/CD121*1000</f>
        <v>#DIV/0!</v>
      </c>
      <c r="CF121" s="10"/>
      <c r="CG121" s="30" t="str">
        <f>C121</f>
        <v>SANTA CECILIA FM</v>
      </c>
      <c r="CH121" s="194"/>
      <c r="CI121" s="30" t="e">
        <f>SUM(#REF!)</f>
        <v>#REF!</v>
      </c>
      <c r="CJ121" s="194" t="e">
        <f>#REF!*CI121</f>
        <v>#REF!</v>
      </c>
      <c r="CK121" s="30" t="e">
        <f>SUM(#REF!)</f>
        <v>#REF!</v>
      </c>
      <c r="CL121" s="194" t="e">
        <f>#REF!*CK121</f>
        <v>#REF!</v>
      </c>
      <c r="CN121" s="45"/>
      <c r="CO121" s="45"/>
      <c r="CP121" s="45"/>
      <c r="CQ121" s="45"/>
      <c r="CR121" s="45"/>
      <c r="CS121" s="45"/>
      <c r="CT121" s="45"/>
      <c r="CU121" s="45"/>
      <c r="CV121" s="45"/>
      <c r="CW121" s="45"/>
      <c r="CX121" s="45"/>
      <c r="CY121" s="45"/>
      <c r="CZ121" s="45"/>
      <c r="DA121" s="45"/>
      <c r="DB121" s="45"/>
      <c r="DC121" s="45"/>
      <c r="DD121" s="45"/>
      <c r="DE121" s="45"/>
      <c r="DF121" s="45"/>
      <c r="DG121" s="45"/>
      <c r="DH121" s="45"/>
      <c r="DI121" s="45"/>
      <c r="DJ121" s="45"/>
      <c r="DK121" s="45"/>
      <c r="DL121" s="45"/>
      <c r="DM121" s="45"/>
      <c r="DN121" s="45"/>
      <c r="DO121" s="45"/>
      <c r="DP121" s="45"/>
      <c r="DQ121" s="45"/>
      <c r="DR121" s="45"/>
      <c r="DS121" s="45"/>
      <c r="DT121" s="45"/>
      <c r="DU121" s="45"/>
      <c r="DV121" s="45"/>
      <c r="DW121" s="45"/>
      <c r="DX121" s="45"/>
      <c r="DY121" s="45"/>
      <c r="DZ121" s="45"/>
      <c r="EA121" s="45"/>
      <c r="EB121" s="45"/>
      <c r="EC121" s="45"/>
      <c r="ED121" s="45"/>
      <c r="EE121" s="45"/>
      <c r="EF121" s="45"/>
      <c r="EG121" s="45"/>
      <c r="EH121" s="45"/>
      <c r="EI121" s="45"/>
      <c r="EJ121" s="45"/>
      <c r="EK121" s="45"/>
      <c r="EL121" s="45"/>
      <c r="EM121" s="45"/>
      <c r="EN121" s="45"/>
      <c r="EO121" s="45"/>
    </row>
    <row r="122" spans="1:145" s="50" customFormat="1" ht="16.05" hidden="1" customHeight="1" x14ac:dyDescent="0.25">
      <c r="A122" s="32"/>
      <c r="B122" s="111"/>
      <c r="C122" s="95"/>
      <c r="D122" s="95"/>
      <c r="E122" s="39"/>
      <c r="F122" s="65"/>
      <c r="G122" s="65"/>
      <c r="H122" s="65"/>
      <c r="I122" s="65"/>
      <c r="J122" s="65"/>
      <c r="K122" s="66"/>
      <c r="L122" s="66"/>
      <c r="M122" s="65"/>
      <c r="N122" s="65"/>
      <c r="O122" s="65"/>
      <c r="P122" s="65"/>
      <c r="Q122" s="65"/>
      <c r="R122" s="66"/>
      <c r="S122" s="66"/>
      <c r="T122" s="65"/>
      <c r="U122" s="65"/>
      <c r="V122" s="65"/>
      <c r="W122" s="65"/>
      <c r="X122" s="65"/>
      <c r="Y122" s="66"/>
      <c r="Z122" s="66"/>
      <c r="AA122" s="65"/>
      <c r="AB122" s="65"/>
      <c r="AC122" s="65"/>
      <c r="AD122" s="65"/>
      <c r="AE122" s="65"/>
      <c r="AF122" s="66"/>
      <c r="AG122" s="66"/>
      <c r="AH122" s="65"/>
      <c r="AI122" s="65"/>
      <c r="AJ122" s="65"/>
      <c r="AK122" s="65"/>
      <c r="AL122" s="65"/>
      <c r="AM122" s="65"/>
      <c r="AN122" s="65"/>
      <c r="AO122" s="65"/>
      <c r="AP122" s="66"/>
      <c r="AQ122" s="66"/>
      <c r="AR122" s="65"/>
      <c r="AS122" s="65"/>
      <c r="AT122" s="65"/>
      <c r="AU122" s="65"/>
      <c r="AV122" s="65"/>
      <c r="AW122" s="66"/>
      <c r="AX122" s="66"/>
      <c r="AY122" s="65"/>
      <c r="AZ122" s="65"/>
      <c r="BA122" s="65"/>
      <c r="BB122" s="65"/>
      <c r="BC122" s="65"/>
      <c r="BD122" s="66"/>
      <c r="BE122" s="66"/>
      <c r="BF122" s="65"/>
      <c r="BG122" s="65"/>
      <c r="BH122" s="65"/>
      <c r="BI122" s="65"/>
      <c r="BJ122" s="65"/>
      <c r="BK122" s="66"/>
      <c r="BL122" s="66"/>
      <c r="BM122" s="65"/>
      <c r="BN122" s="65"/>
      <c r="BO122" s="173"/>
      <c r="BP122" s="104"/>
      <c r="BQ122" s="195"/>
      <c r="BR122" s="104"/>
      <c r="BS122" s="104"/>
      <c r="BT122" s="104"/>
      <c r="BU122" s="32"/>
      <c r="BV122" s="104"/>
      <c r="BW122" s="104"/>
      <c r="BX122" s="32"/>
      <c r="BY122" s="106"/>
      <c r="BZ122" s="107"/>
      <c r="CA122" s="108"/>
      <c r="CB122" s="109"/>
      <c r="CC122" s="110"/>
      <c r="CD122" s="109"/>
      <c r="CE122" s="114"/>
      <c r="CF122" s="10"/>
      <c r="CG122" s="30"/>
      <c r="CH122" s="194"/>
      <c r="CI122" s="30"/>
      <c r="CJ122" s="194"/>
      <c r="CK122" s="30"/>
      <c r="CL122" s="194"/>
      <c r="CN122" s="45"/>
      <c r="CO122" s="45"/>
      <c r="CP122" s="45"/>
      <c r="CQ122" s="45"/>
      <c r="CR122" s="45"/>
      <c r="CS122" s="45"/>
      <c r="CT122" s="45"/>
      <c r="CU122" s="45"/>
      <c r="CV122" s="45"/>
      <c r="CW122" s="45"/>
      <c r="CX122" s="45"/>
      <c r="CY122" s="45"/>
      <c r="CZ122" s="45"/>
      <c r="DA122" s="45"/>
      <c r="DB122" s="45"/>
      <c r="DC122" s="45"/>
      <c r="DD122" s="45"/>
      <c r="DE122" s="45"/>
      <c r="DF122" s="45"/>
      <c r="DG122" s="45"/>
      <c r="DH122" s="45"/>
      <c r="DI122" s="45"/>
      <c r="DJ122" s="45"/>
      <c r="DK122" s="45"/>
      <c r="DL122" s="45"/>
      <c r="DM122" s="45"/>
      <c r="DN122" s="45"/>
      <c r="DO122" s="45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5"/>
      <c r="EF122" s="45"/>
      <c r="EG122" s="45"/>
      <c r="EH122" s="45"/>
      <c r="EI122" s="45"/>
      <c r="EJ122" s="45"/>
      <c r="EK122" s="45"/>
      <c r="EL122" s="45"/>
      <c r="EM122" s="45"/>
      <c r="EN122" s="45"/>
      <c r="EO122" s="45"/>
    </row>
    <row r="123" spans="1:145" s="50" customFormat="1" ht="16.05" hidden="1" customHeight="1" x14ac:dyDescent="0.25">
      <c r="A123" s="32"/>
      <c r="B123" s="111"/>
      <c r="C123" s="95"/>
      <c r="D123" s="95"/>
      <c r="E123" s="39"/>
      <c r="F123" s="65"/>
      <c r="G123" s="65"/>
      <c r="H123" s="65"/>
      <c r="I123" s="65"/>
      <c r="J123" s="65"/>
      <c r="K123" s="66"/>
      <c r="L123" s="66"/>
      <c r="M123" s="65"/>
      <c r="N123" s="65"/>
      <c r="O123" s="65"/>
      <c r="P123" s="65"/>
      <c r="Q123" s="65"/>
      <c r="R123" s="66"/>
      <c r="S123" s="66"/>
      <c r="T123" s="65"/>
      <c r="U123" s="65"/>
      <c r="V123" s="65"/>
      <c r="W123" s="65"/>
      <c r="X123" s="65"/>
      <c r="Y123" s="66"/>
      <c r="Z123" s="66"/>
      <c r="AA123" s="65"/>
      <c r="AB123" s="65"/>
      <c r="AC123" s="65"/>
      <c r="AD123" s="65"/>
      <c r="AE123" s="65"/>
      <c r="AF123" s="66"/>
      <c r="AG123" s="66"/>
      <c r="AH123" s="65"/>
      <c r="AI123" s="65"/>
      <c r="AJ123" s="65"/>
      <c r="AK123" s="65"/>
      <c r="AL123" s="65"/>
      <c r="AM123" s="65"/>
      <c r="AN123" s="65"/>
      <c r="AO123" s="65"/>
      <c r="AP123" s="66"/>
      <c r="AQ123" s="66"/>
      <c r="AR123" s="65"/>
      <c r="AS123" s="65"/>
      <c r="AT123" s="65"/>
      <c r="AU123" s="65"/>
      <c r="AV123" s="65"/>
      <c r="AW123" s="66"/>
      <c r="AX123" s="66"/>
      <c r="AY123" s="65"/>
      <c r="AZ123" s="65"/>
      <c r="BA123" s="65"/>
      <c r="BB123" s="65"/>
      <c r="BC123" s="65"/>
      <c r="BD123" s="66"/>
      <c r="BE123" s="66"/>
      <c r="BF123" s="65"/>
      <c r="BG123" s="65"/>
      <c r="BH123" s="65"/>
      <c r="BI123" s="65"/>
      <c r="BJ123" s="65"/>
      <c r="BK123" s="66"/>
      <c r="BL123" s="66"/>
      <c r="BM123" s="65"/>
      <c r="BN123" s="65"/>
      <c r="BO123" s="187"/>
      <c r="BP123" s="68"/>
      <c r="BQ123" s="68"/>
      <c r="BR123" s="68"/>
      <c r="BS123" s="68"/>
      <c r="BT123" s="68"/>
      <c r="BU123" s="32"/>
      <c r="BV123" s="68"/>
      <c r="BW123" s="68"/>
      <c r="BX123" s="32"/>
      <c r="BY123" s="121"/>
      <c r="BZ123" s="122"/>
      <c r="CA123" s="123"/>
      <c r="CB123" s="90"/>
      <c r="CC123" s="89"/>
      <c r="CD123" s="90"/>
      <c r="CE123" s="18"/>
      <c r="CF123" s="10"/>
      <c r="CG123" s="30"/>
      <c r="CH123" s="194"/>
      <c r="CI123" s="30"/>
      <c r="CJ123" s="194"/>
      <c r="CK123" s="30"/>
      <c r="CL123" s="194"/>
      <c r="CN123" s="45"/>
      <c r="CO123" s="45"/>
      <c r="CP123" s="45"/>
      <c r="CQ123" s="45"/>
      <c r="CR123" s="45"/>
      <c r="CS123" s="45"/>
      <c r="CT123" s="45"/>
      <c r="CU123" s="45"/>
      <c r="CV123" s="45"/>
      <c r="CW123" s="45"/>
      <c r="CX123" s="45"/>
      <c r="CY123" s="45"/>
      <c r="CZ123" s="45"/>
      <c r="DA123" s="45"/>
      <c r="DB123" s="45"/>
      <c r="DC123" s="45"/>
      <c r="DD123" s="45"/>
      <c r="DE123" s="45"/>
      <c r="DF123" s="45"/>
      <c r="DG123" s="45"/>
      <c r="DH123" s="45"/>
      <c r="DI123" s="45"/>
      <c r="DJ123" s="45"/>
      <c r="DK123" s="45"/>
      <c r="DL123" s="45"/>
      <c r="DM123" s="45"/>
      <c r="DN123" s="45"/>
      <c r="DO123" s="45"/>
      <c r="DP123" s="45"/>
      <c r="DQ123" s="45"/>
      <c r="DR123" s="45"/>
      <c r="DS123" s="45"/>
      <c r="DT123" s="45"/>
      <c r="DU123" s="45"/>
      <c r="DV123" s="45"/>
      <c r="DW123" s="45"/>
      <c r="DX123" s="45"/>
      <c r="DY123" s="45"/>
      <c r="DZ123" s="45"/>
      <c r="EA123" s="45"/>
      <c r="EB123" s="45"/>
      <c r="EC123" s="45"/>
      <c r="ED123" s="45"/>
      <c r="EE123" s="45"/>
      <c r="EF123" s="45"/>
      <c r="EG123" s="45"/>
      <c r="EH123" s="45"/>
      <c r="EI123" s="45"/>
      <c r="EJ123" s="45"/>
      <c r="EK123" s="45"/>
      <c r="EL123" s="45"/>
      <c r="EM123" s="45"/>
      <c r="EN123" s="45"/>
      <c r="EO123" s="45"/>
    </row>
    <row r="124" spans="1:145" s="50" customFormat="1" ht="16.05" hidden="1" customHeight="1" x14ac:dyDescent="0.25">
      <c r="A124" s="32"/>
      <c r="B124" s="111"/>
      <c r="C124" s="95" t="s">
        <v>91</v>
      </c>
      <c r="D124" s="95" t="s">
        <v>72</v>
      </c>
      <c r="E124" s="39" t="s">
        <v>18</v>
      </c>
      <c r="F124" s="65"/>
      <c r="G124" s="65"/>
      <c r="H124" s="65"/>
      <c r="I124" s="65"/>
      <c r="J124" s="65"/>
      <c r="K124" s="66"/>
      <c r="L124" s="66"/>
      <c r="M124" s="65"/>
      <c r="N124" s="65"/>
      <c r="O124" s="65"/>
      <c r="P124" s="65"/>
      <c r="Q124" s="65"/>
      <c r="R124" s="66"/>
      <c r="S124" s="66"/>
      <c r="T124" s="65"/>
      <c r="U124" s="65"/>
      <c r="V124" s="65"/>
      <c r="W124" s="65"/>
      <c r="X124" s="65"/>
      <c r="Y124" s="66"/>
      <c r="Z124" s="66"/>
      <c r="AA124" s="65"/>
      <c r="AB124" s="65"/>
      <c r="AC124" s="65"/>
      <c r="AD124" s="65"/>
      <c r="AE124" s="65"/>
      <c r="AF124" s="66"/>
      <c r="AG124" s="66"/>
      <c r="AH124" s="65"/>
      <c r="AI124" s="65"/>
      <c r="AJ124" s="65"/>
      <c r="AK124" s="65"/>
      <c r="AL124" s="65"/>
      <c r="AM124" s="65"/>
      <c r="AN124" s="65"/>
      <c r="AO124" s="65"/>
      <c r="AP124" s="66"/>
      <c r="AQ124" s="66"/>
      <c r="AR124" s="65"/>
      <c r="AS124" s="65"/>
      <c r="AT124" s="65"/>
      <c r="AU124" s="65"/>
      <c r="AV124" s="65"/>
      <c r="AW124" s="66"/>
      <c r="AX124" s="66"/>
      <c r="AY124" s="65"/>
      <c r="AZ124" s="65"/>
      <c r="BA124" s="65"/>
      <c r="BB124" s="65"/>
      <c r="BC124" s="65"/>
      <c r="BD124" s="66"/>
      <c r="BE124" s="66"/>
      <c r="BF124" s="65"/>
      <c r="BG124" s="65"/>
      <c r="BH124" s="65"/>
      <c r="BI124" s="65"/>
      <c r="BJ124" s="65"/>
      <c r="BK124" s="66"/>
      <c r="BL124" s="66"/>
      <c r="BM124" s="65"/>
      <c r="BN124" s="65"/>
      <c r="BO124" s="82">
        <f>SUM(F124:S124)</f>
        <v>0</v>
      </c>
      <c r="BP124" s="22">
        <v>330</v>
      </c>
      <c r="BQ124" s="83">
        <v>0.5</v>
      </c>
      <c r="BR124" s="22">
        <f>BP124*(1-BQ124)</f>
        <v>165</v>
      </c>
      <c r="BS124" s="22">
        <f>BR124*BO124</f>
        <v>0</v>
      </c>
      <c r="BT124" s="84">
        <f>BR124*0.8</f>
        <v>132</v>
      </c>
      <c r="BU124" s="32"/>
      <c r="BV124" s="84">
        <f>BS124*0.8</f>
        <v>0</v>
      </c>
      <c r="BW124" s="84"/>
      <c r="BX124" s="32"/>
      <c r="BY124" s="99">
        <f>BZ124/CC124*100</f>
        <v>3.4399012395689965</v>
      </c>
      <c r="BZ124" s="86">
        <v>7345</v>
      </c>
      <c r="CA124" s="87">
        <f>BY124*BO124</f>
        <v>0</v>
      </c>
      <c r="CB124" s="88">
        <v>433991</v>
      </c>
      <c r="CC124" s="89">
        <v>213523.57200000001</v>
      </c>
      <c r="CD124" s="90">
        <f>CC124*CA124%</f>
        <v>0</v>
      </c>
      <c r="CE124" s="21" t="e">
        <f>BV124/CD124*1000</f>
        <v>#DIV/0!</v>
      </c>
      <c r="CF124" s="10"/>
      <c r="CG124" s="30" t="str">
        <f>C124</f>
        <v>JOVEM PAN FM</v>
      </c>
      <c r="CH124" s="194"/>
      <c r="CI124" s="30" t="e">
        <f>SUM(#REF!)</f>
        <v>#REF!</v>
      </c>
      <c r="CJ124" s="194" t="e">
        <f>#REF!*CI124</f>
        <v>#REF!</v>
      </c>
      <c r="CK124" s="30" t="e">
        <f>SUM(#REF!)</f>
        <v>#REF!</v>
      </c>
      <c r="CL124" s="194" t="e">
        <f>#REF!*CK124</f>
        <v>#REF!</v>
      </c>
      <c r="CN124" s="45"/>
      <c r="CO124" s="45"/>
      <c r="CP124" s="45"/>
      <c r="CQ124" s="45"/>
      <c r="CR124" s="45"/>
      <c r="CS124" s="45"/>
      <c r="CT124" s="45"/>
      <c r="CU124" s="45"/>
      <c r="CV124" s="45"/>
      <c r="CW124" s="45"/>
      <c r="CX124" s="45"/>
      <c r="CY124" s="45"/>
      <c r="CZ124" s="45"/>
      <c r="DA124" s="45"/>
      <c r="DB124" s="45"/>
      <c r="DC124" s="45"/>
      <c r="DD124" s="45"/>
      <c r="DE124" s="45"/>
      <c r="DF124" s="45"/>
      <c r="DG124" s="45"/>
      <c r="DH124" s="45"/>
      <c r="DI124" s="45"/>
      <c r="DJ124" s="45"/>
      <c r="DK124" s="45"/>
      <c r="DL124" s="45"/>
      <c r="DM124" s="45"/>
      <c r="DN124" s="45"/>
      <c r="DO124" s="45"/>
      <c r="DP124" s="45"/>
      <c r="DQ124" s="45"/>
      <c r="DR124" s="45"/>
      <c r="DS124" s="45"/>
      <c r="DT124" s="45"/>
      <c r="DU124" s="45"/>
      <c r="DV124" s="45"/>
      <c r="DW124" s="45"/>
      <c r="DX124" s="45"/>
      <c r="DY124" s="45"/>
      <c r="DZ124" s="45"/>
      <c r="EA124" s="45"/>
      <c r="EB124" s="45"/>
      <c r="EC124" s="45"/>
      <c r="ED124" s="45"/>
      <c r="EE124" s="45"/>
      <c r="EF124" s="45"/>
      <c r="EG124" s="45"/>
      <c r="EH124" s="45"/>
      <c r="EI124" s="45"/>
      <c r="EJ124" s="45"/>
      <c r="EK124" s="45"/>
      <c r="EL124" s="45"/>
      <c r="EM124" s="45"/>
      <c r="EN124" s="45"/>
      <c r="EO124" s="45"/>
    </row>
    <row r="125" spans="1:145" s="50" customFormat="1" ht="16.05" hidden="1" customHeight="1" x14ac:dyDescent="0.25">
      <c r="A125" s="32"/>
      <c r="B125" s="111"/>
      <c r="C125" s="95"/>
      <c r="D125" s="95"/>
      <c r="E125" s="39"/>
      <c r="F125" s="65"/>
      <c r="G125" s="65"/>
      <c r="H125" s="65"/>
      <c r="I125" s="65"/>
      <c r="J125" s="65"/>
      <c r="K125" s="66"/>
      <c r="L125" s="66"/>
      <c r="M125" s="65"/>
      <c r="N125" s="65"/>
      <c r="O125" s="65"/>
      <c r="P125" s="65"/>
      <c r="Q125" s="65"/>
      <c r="R125" s="66"/>
      <c r="S125" s="66"/>
      <c r="T125" s="65"/>
      <c r="U125" s="65"/>
      <c r="V125" s="65"/>
      <c r="W125" s="65"/>
      <c r="X125" s="65"/>
      <c r="Y125" s="66"/>
      <c r="Z125" s="66"/>
      <c r="AA125" s="65"/>
      <c r="AB125" s="65"/>
      <c r="AC125" s="65"/>
      <c r="AD125" s="65"/>
      <c r="AE125" s="65"/>
      <c r="AF125" s="66"/>
      <c r="AG125" s="66"/>
      <c r="AH125" s="65"/>
      <c r="AI125" s="65"/>
      <c r="AJ125" s="65"/>
      <c r="AK125" s="65"/>
      <c r="AL125" s="65"/>
      <c r="AM125" s="65"/>
      <c r="AN125" s="65"/>
      <c r="AO125" s="65"/>
      <c r="AP125" s="66"/>
      <c r="AQ125" s="66"/>
      <c r="AR125" s="65"/>
      <c r="AS125" s="65"/>
      <c r="AT125" s="65"/>
      <c r="AU125" s="65"/>
      <c r="AV125" s="65"/>
      <c r="AW125" s="66"/>
      <c r="AX125" s="66"/>
      <c r="AY125" s="65"/>
      <c r="AZ125" s="65"/>
      <c r="BA125" s="65"/>
      <c r="BB125" s="65"/>
      <c r="BC125" s="65"/>
      <c r="BD125" s="66"/>
      <c r="BE125" s="66"/>
      <c r="BF125" s="65"/>
      <c r="BG125" s="65"/>
      <c r="BH125" s="65"/>
      <c r="BI125" s="65"/>
      <c r="BJ125" s="65"/>
      <c r="BK125" s="66"/>
      <c r="BL125" s="66"/>
      <c r="BM125" s="65"/>
      <c r="BN125" s="65"/>
      <c r="BO125" s="173"/>
      <c r="BP125" s="104"/>
      <c r="BQ125" s="195"/>
      <c r="BR125" s="104"/>
      <c r="BS125" s="104"/>
      <c r="BT125" s="104"/>
      <c r="BU125" s="32"/>
      <c r="BV125" s="104"/>
      <c r="BW125" s="104"/>
      <c r="BX125" s="32"/>
      <c r="BY125" s="106"/>
      <c r="BZ125" s="107"/>
      <c r="CA125" s="108"/>
      <c r="CB125" s="109"/>
      <c r="CC125" s="110"/>
      <c r="CD125" s="109"/>
      <c r="CE125" s="114"/>
      <c r="CF125" s="10"/>
      <c r="CG125" s="30"/>
      <c r="CH125" s="194"/>
      <c r="CI125" s="30"/>
      <c r="CJ125" s="194"/>
      <c r="CK125" s="30"/>
      <c r="CL125" s="194"/>
      <c r="CN125" s="45"/>
      <c r="CO125" s="45"/>
      <c r="CP125" s="45"/>
      <c r="CQ125" s="45"/>
      <c r="CR125" s="45"/>
      <c r="CS125" s="45"/>
      <c r="CT125" s="45"/>
      <c r="CU125" s="45"/>
      <c r="CV125" s="45"/>
      <c r="CW125" s="45"/>
      <c r="CX125" s="45"/>
      <c r="CY125" s="45"/>
      <c r="CZ125" s="45"/>
      <c r="DA125" s="45"/>
      <c r="DB125" s="45"/>
      <c r="DC125" s="45"/>
      <c r="DD125" s="45"/>
      <c r="DE125" s="45"/>
      <c r="DF125" s="45"/>
      <c r="DG125" s="45"/>
      <c r="DH125" s="45"/>
      <c r="DI125" s="45"/>
      <c r="DJ125" s="45"/>
      <c r="DK125" s="45"/>
      <c r="DL125" s="45"/>
      <c r="DM125" s="45"/>
      <c r="DN125" s="45"/>
      <c r="DO125" s="45"/>
      <c r="DP125" s="45"/>
      <c r="DQ125" s="45"/>
      <c r="DR125" s="45"/>
      <c r="DS125" s="45"/>
      <c r="DT125" s="45"/>
      <c r="DU125" s="45"/>
      <c r="DV125" s="45"/>
      <c r="DW125" s="45"/>
      <c r="DX125" s="45"/>
      <c r="DY125" s="45"/>
      <c r="DZ125" s="45"/>
      <c r="EA125" s="45"/>
      <c r="EB125" s="45"/>
      <c r="EC125" s="45"/>
      <c r="ED125" s="45"/>
      <c r="EE125" s="45"/>
      <c r="EF125" s="45"/>
      <c r="EG125" s="45"/>
      <c r="EH125" s="45"/>
      <c r="EI125" s="45"/>
      <c r="EJ125" s="45"/>
      <c r="EK125" s="45"/>
      <c r="EL125" s="45"/>
      <c r="EM125" s="45"/>
      <c r="EN125" s="45"/>
      <c r="EO125" s="45"/>
    </row>
    <row r="126" spans="1:145" s="50" customFormat="1" ht="16.05" hidden="1" customHeight="1" x14ac:dyDescent="0.25">
      <c r="A126" s="32"/>
      <c r="B126" s="111"/>
      <c r="C126" s="95"/>
      <c r="D126" s="95"/>
      <c r="E126" s="39"/>
      <c r="F126" s="65"/>
      <c r="G126" s="65"/>
      <c r="H126" s="65"/>
      <c r="I126" s="65"/>
      <c r="J126" s="65"/>
      <c r="K126" s="66"/>
      <c r="L126" s="66"/>
      <c r="M126" s="65"/>
      <c r="N126" s="65"/>
      <c r="O126" s="65"/>
      <c r="P126" s="65"/>
      <c r="Q126" s="65"/>
      <c r="R126" s="66"/>
      <c r="S126" s="66"/>
      <c r="T126" s="65"/>
      <c r="U126" s="65"/>
      <c r="V126" s="65"/>
      <c r="W126" s="65"/>
      <c r="X126" s="65"/>
      <c r="Y126" s="66"/>
      <c r="Z126" s="66"/>
      <c r="AA126" s="65"/>
      <c r="AB126" s="65"/>
      <c r="AC126" s="65"/>
      <c r="AD126" s="65"/>
      <c r="AE126" s="65"/>
      <c r="AF126" s="66"/>
      <c r="AG126" s="66"/>
      <c r="AH126" s="65"/>
      <c r="AI126" s="65"/>
      <c r="AJ126" s="65"/>
      <c r="AK126" s="65"/>
      <c r="AL126" s="65"/>
      <c r="AM126" s="65"/>
      <c r="AN126" s="65"/>
      <c r="AO126" s="65"/>
      <c r="AP126" s="66"/>
      <c r="AQ126" s="66"/>
      <c r="AR126" s="65"/>
      <c r="AS126" s="65"/>
      <c r="AT126" s="65"/>
      <c r="AU126" s="65"/>
      <c r="AV126" s="65"/>
      <c r="AW126" s="66"/>
      <c r="AX126" s="66"/>
      <c r="AY126" s="65"/>
      <c r="AZ126" s="65"/>
      <c r="BA126" s="65"/>
      <c r="BB126" s="65"/>
      <c r="BC126" s="65"/>
      <c r="BD126" s="66"/>
      <c r="BE126" s="66"/>
      <c r="BF126" s="65"/>
      <c r="BG126" s="65"/>
      <c r="BH126" s="65"/>
      <c r="BI126" s="65"/>
      <c r="BJ126" s="65"/>
      <c r="BK126" s="66"/>
      <c r="BL126" s="66"/>
      <c r="BM126" s="65"/>
      <c r="BN126" s="65"/>
      <c r="BO126" s="187"/>
      <c r="BP126" s="68"/>
      <c r="BQ126" s="68"/>
      <c r="BR126" s="68"/>
      <c r="BS126" s="68"/>
      <c r="BT126" s="68"/>
      <c r="BU126" s="32"/>
      <c r="BV126" s="68"/>
      <c r="BW126" s="68"/>
      <c r="BX126" s="32"/>
      <c r="BY126" s="121"/>
      <c r="BZ126" s="122"/>
      <c r="CA126" s="123"/>
      <c r="CB126" s="90"/>
      <c r="CC126" s="89"/>
      <c r="CD126" s="90"/>
      <c r="CE126" s="18"/>
      <c r="CF126" s="10"/>
      <c r="CG126" s="30"/>
      <c r="CH126" s="194"/>
      <c r="CI126" s="30"/>
      <c r="CJ126" s="194"/>
      <c r="CK126" s="30"/>
      <c r="CL126" s="194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</row>
    <row r="127" spans="1:145" s="50" customFormat="1" ht="16.05" hidden="1" customHeight="1" x14ac:dyDescent="0.25">
      <c r="A127" s="32"/>
      <c r="B127" s="111"/>
      <c r="C127" s="95" t="s">
        <v>92</v>
      </c>
      <c r="D127" s="95" t="s">
        <v>72</v>
      </c>
      <c r="E127" s="39" t="s">
        <v>18</v>
      </c>
      <c r="F127" s="65"/>
      <c r="G127" s="65"/>
      <c r="H127" s="65"/>
      <c r="I127" s="65"/>
      <c r="J127" s="65"/>
      <c r="K127" s="66"/>
      <c r="L127" s="66"/>
      <c r="M127" s="65"/>
      <c r="N127" s="65"/>
      <c r="O127" s="65"/>
      <c r="P127" s="65"/>
      <c r="Q127" s="65"/>
      <c r="R127" s="66"/>
      <c r="S127" s="66"/>
      <c r="T127" s="65"/>
      <c r="U127" s="65"/>
      <c r="V127" s="65"/>
      <c r="W127" s="65"/>
      <c r="X127" s="65"/>
      <c r="Y127" s="66"/>
      <c r="Z127" s="66"/>
      <c r="AA127" s="65"/>
      <c r="AB127" s="65"/>
      <c r="AC127" s="65"/>
      <c r="AD127" s="65"/>
      <c r="AE127" s="65"/>
      <c r="AF127" s="66"/>
      <c r="AG127" s="66"/>
      <c r="AH127" s="65"/>
      <c r="AI127" s="65"/>
      <c r="AJ127" s="65"/>
      <c r="AK127" s="65"/>
      <c r="AL127" s="65"/>
      <c r="AM127" s="65"/>
      <c r="AN127" s="65"/>
      <c r="AO127" s="65"/>
      <c r="AP127" s="66"/>
      <c r="AQ127" s="66"/>
      <c r="AR127" s="65"/>
      <c r="AS127" s="65"/>
      <c r="AT127" s="65"/>
      <c r="AU127" s="65"/>
      <c r="AV127" s="65"/>
      <c r="AW127" s="66"/>
      <c r="AX127" s="66"/>
      <c r="AY127" s="65"/>
      <c r="AZ127" s="65"/>
      <c r="BA127" s="65"/>
      <c r="BB127" s="65"/>
      <c r="BC127" s="65"/>
      <c r="BD127" s="66"/>
      <c r="BE127" s="66"/>
      <c r="BF127" s="65"/>
      <c r="BG127" s="65"/>
      <c r="BH127" s="65"/>
      <c r="BI127" s="65"/>
      <c r="BJ127" s="65"/>
      <c r="BK127" s="66"/>
      <c r="BL127" s="66"/>
      <c r="BM127" s="65"/>
      <c r="BN127" s="65"/>
      <c r="BO127" s="82">
        <f>SUM(F127:S127)</f>
        <v>0</v>
      </c>
      <c r="BP127" s="22">
        <v>505</v>
      </c>
      <c r="BQ127" s="83">
        <v>0.6</v>
      </c>
      <c r="BR127" s="22">
        <f>BP127*(1-BQ127)</f>
        <v>202</v>
      </c>
      <c r="BS127" s="22">
        <f>BR127*BO127</f>
        <v>0</v>
      </c>
      <c r="BT127" s="84">
        <f>BR127*0.8</f>
        <v>161.60000000000002</v>
      </c>
      <c r="BU127" s="32"/>
      <c r="BV127" s="84">
        <f>BS127*0.8</f>
        <v>0</v>
      </c>
      <c r="BW127" s="84"/>
      <c r="BX127" s="32"/>
      <c r="BY127" s="99">
        <f>BZ127/CC127*100</f>
        <v>2.1426205814878365</v>
      </c>
      <c r="BZ127" s="86">
        <v>4575</v>
      </c>
      <c r="CA127" s="87">
        <f>BY127*BO127</f>
        <v>0</v>
      </c>
      <c r="CB127" s="88">
        <v>433991</v>
      </c>
      <c r="CC127" s="89">
        <v>213523.57200000001</v>
      </c>
      <c r="CD127" s="90">
        <f>CC127*CA127%</f>
        <v>0</v>
      </c>
      <c r="CE127" s="21" t="e">
        <f>BV127/CD127*1000</f>
        <v>#DIV/0!</v>
      </c>
      <c r="CF127" s="10"/>
      <c r="CG127" s="30" t="str">
        <f>C127</f>
        <v>MIX FM</v>
      </c>
      <c r="CH127" s="194"/>
      <c r="CI127" s="30" t="e">
        <f>SUM(#REF!)</f>
        <v>#REF!</v>
      </c>
      <c r="CJ127" s="194" t="e">
        <f>#REF!*CI127</f>
        <v>#REF!</v>
      </c>
      <c r="CK127" s="30" t="e">
        <f>SUM(#REF!)</f>
        <v>#REF!</v>
      </c>
      <c r="CL127" s="194" t="e">
        <f>#REF!*CK127</f>
        <v>#REF!</v>
      </c>
      <c r="CN127" s="45"/>
      <c r="CO127" s="45"/>
      <c r="CP127" s="45"/>
      <c r="CQ127" s="45"/>
      <c r="CR127" s="45"/>
      <c r="CS127" s="45"/>
      <c r="CT127" s="45"/>
      <c r="CU127" s="45"/>
      <c r="CV127" s="45"/>
      <c r="CW127" s="45"/>
      <c r="CX127" s="45"/>
      <c r="CY127" s="45"/>
      <c r="CZ127" s="45"/>
      <c r="DA127" s="45"/>
      <c r="DB127" s="45"/>
      <c r="DC127" s="45"/>
      <c r="DD127" s="45"/>
      <c r="DE127" s="45"/>
      <c r="DF127" s="45"/>
      <c r="DG127" s="45"/>
      <c r="DH127" s="45"/>
      <c r="DI127" s="45"/>
      <c r="DJ127" s="45"/>
      <c r="DK127" s="45"/>
      <c r="DL127" s="45"/>
      <c r="DM127" s="45"/>
      <c r="DN127" s="45"/>
      <c r="DO127" s="45"/>
      <c r="DP127" s="45"/>
      <c r="DQ127" s="45"/>
      <c r="DR127" s="45"/>
      <c r="DS127" s="45"/>
      <c r="DT127" s="45"/>
      <c r="DU127" s="45"/>
      <c r="DV127" s="45"/>
      <c r="DW127" s="45"/>
      <c r="DX127" s="45"/>
      <c r="DY127" s="45"/>
      <c r="DZ127" s="45"/>
      <c r="EA127" s="45"/>
      <c r="EB127" s="45"/>
      <c r="EC127" s="45"/>
      <c r="ED127" s="45"/>
      <c r="EE127" s="45"/>
      <c r="EF127" s="45"/>
      <c r="EG127" s="45"/>
      <c r="EH127" s="45"/>
      <c r="EI127" s="45"/>
      <c r="EJ127" s="45"/>
      <c r="EK127" s="45"/>
      <c r="EL127" s="45"/>
      <c r="EM127" s="45"/>
      <c r="EN127" s="45"/>
      <c r="EO127" s="45"/>
    </row>
    <row r="128" spans="1:145" ht="16.05" hidden="1" customHeight="1" x14ac:dyDescent="0.25">
      <c r="A128" s="32"/>
      <c r="B128" s="111"/>
      <c r="C128" s="95"/>
      <c r="D128" s="95"/>
      <c r="E128" s="39"/>
      <c r="F128" s="65"/>
      <c r="G128" s="65"/>
      <c r="H128" s="65"/>
      <c r="I128" s="65"/>
      <c r="J128" s="65"/>
      <c r="K128" s="66"/>
      <c r="L128" s="66"/>
      <c r="M128" s="65"/>
      <c r="N128" s="65"/>
      <c r="O128" s="65"/>
      <c r="P128" s="65"/>
      <c r="Q128" s="65"/>
      <c r="R128" s="66"/>
      <c r="S128" s="66"/>
      <c r="T128" s="65"/>
      <c r="U128" s="65"/>
      <c r="V128" s="65"/>
      <c r="W128" s="65"/>
      <c r="X128" s="65"/>
      <c r="Y128" s="66"/>
      <c r="Z128" s="66"/>
      <c r="AA128" s="65"/>
      <c r="AB128" s="65"/>
      <c r="AC128" s="65"/>
      <c r="AD128" s="65"/>
      <c r="AE128" s="65"/>
      <c r="AF128" s="66"/>
      <c r="AG128" s="66"/>
      <c r="AH128" s="65"/>
      <c r="AI128" s="65"/>
      <c r="AJ128" s="65"/>
      <c r="AK128" s="65"/>
      <c r="AL128" s="65"/>
      <c r="AM128" s="65"/>
      <c r="AN128" s="65"/>
      <c r="AO128" s="65"/>
      <c r="AP128" s="66"/>
      <c r="AQ128" s="66"/>
      <c r="AR128" s="65"/>
      <c r="AS128" s="65"/>
      <c r="AT128" s="65"/>
      <c r="AU128" s="65"/>
      <c r="AV128" s="65"/>
      <c r="AW128" s="66"/>
      <c r="AX128" s="66"/>
      <c r="AY128" s="65"/>
      <c r="AZ128" s="65"/>
      <c r="BA128" s="65"/>
      <c r="BB128" s="65"/>
      <c r="BC128" s="65"/>
      <c r="BD128" s="66"/>
      <c r="BE128" s="66"/>
      <c r="BF128" s="65"/>
      <c r="BG128" s="65"/>
      <c r="BH128" s="65"/>
      <c r="BI128" s="65"/>
      <c r="BJ128" s="65"/>
      <c r="BK128" s="66"/>
      <c r="BL128" s="66"/>
      <c r="BM128" s="65"/>
      <c r="BN128" s="65"/>
      <c r="BO128" s="173"/>
      <c r="BP128" s="104"/>
      <c r="BQ128" s="195"/>
      <c r="BR128" s="104"/>
      <c r="BS128" s="104"/>
      <c r="BT128" s="104"/>
      <c r="BU128" s="32"/>
      <c r="BV128" s="104"/>
      <c r="BW128" s="104"/>
      <c r="BX128" s="32"/>
      <c r="BY128" s="106"/>
      <c r="BZ128" s="107"/>
      <c r="CA128" s="108"/>
      <c r="CB128" s="109"/>
      <c r="CC128" s="110"/>
      <c r="CD128" s="109"/>
      <c r="CE128" s="114"/>
      <c r="CF128" s="10"/>
      <c r="CH128" s="194"/>
      <c r="CJ128" s="194"/>
      <c r="CL128" s="194"/>
    </row>
    <row r="129" spans="1:145" ht="16.05" hidden="1" customHeight="1" x14ac:dyDescent="0.25">
      <c r="A129" s="32"/>
      <c r="B129" s="111"/>
      <c r="C129" s="95"/>
      <c r="D129" s="95"/>
      <c r="E129" s="39"/>
      <c r="F129" s="65"/>
      <c r="G129" s="65"/>
      <c r="H129" s="65"/>
      <c r="I129" s="65"/>
      <c r="J129" s="65"/>
      <c r="K129" s="66"/>
      <c r="L129" s="66"/>
      <c r="M129" s="65"/>
      <c r="N129" s="65"/>
      <c r="O129" s="65"/>
      <c r="P129" s="65"/>
      <c r="Q129" s="65"/>
      <c r="R129" s="66"/>
      <c r="S129" s="66"/>
      <c r="T129" s="65"/>
      <c r="U129" s="65"/>
      <c r="V129" s="65"/>
      <c r="W129" s="65"/>
      <c r="X129" s="65"/>
      <c r="Y129" s="66"/>
      <c r="Z129" s="66"/>
      <c r="AA129" s="65"/>
      <c r="AB129" s="65"/>
      <c r="AC129" s="65"/>
      <c r="AD129" s="65"/>
      <c r="AE129" s="65"/>
      <c r="AF129" s="66"/>
      <c r="AG129" s="66"/>
      <c r="AH129" s="65"/>
      <c r="AI129" s="65"/>
      <c r="AJ129" s="65"/>
      <c r="AK129" s="65"/>
      <c r="AL129" s="65"/>
      <c r="AM129" s="65"/>
      <c r="AN129" s="65"/>
      <c r="AO129" s="65"/>
      <c r="AP129" s="66"/>
      <c r="AQ129" s="66"/>
      <c r="AR129" s="65"/>
      <c r="AS129" s="65"/>
      <c r="AT129" s="65"/>
      <c r="AU129" s="65"/>
      <c r="AV129" s="65"/>
      <c r="AW129" s="66"/>
      <c r="AX129" s="66"/>
      <c r="AY129" s="65"/>
      <c r="AZ129" s="65"/>
      <c r="BA129" s="65"/>
      <c r="BB129" s="65"/>
      <c r="BC129" s="65"/>
      <c r="BD129" s="66"/>
      <c r="BE129" s="66"/>
      <c r="BF129" s="65"/>
      <c r="BG129" s="65"/>
      <c r="BH129" s="65"/>
      <c r="BI129" s="65"/>
      <c r="BJ129" s="65"/>
      <c r="BK129" s="66"/>
      <c r="BL129" s="66"/>
      <c r="BM129" s="65"/>
      <c r="BN129" s="65"/>
      <c r="BO129" s="187"/>
      <c r="BP129" s="68"/>
      <c r="BQ129" s="68"/>
      <c r="BR129" s="68"/>
      <c r="BS129" s="68"/>
      <c r="BT129" s="68"/>
      <c r="BU129" s="32"/>
      <c r="BV129" s="68"/>
      <c r="BW129" s="68"/>
      <c r="BX129" s="32"/>
      <c r="BY129" s="121"/>
      <c r="BZ129" s="122"/>
      <c r="CA129" s="123"/>
      <c r="CB129" s="90"/>
      <c r="CC129" s="89"/>
      <c r="CD129" s="90"/>
      <c r="CE129" s="18"/>
      <c r="CF129" s="10"/>
      <c r="CH129" s="194"/>
      <c r="CJ129" s="194"/>
      <c r="CL129" s="194"/>
    </row>
    <row r="130" spans="1:145" ht="16.05" hidden="1" customHeight="1" x14ac:dyDescent="0.25">
      <c r="A130" s="32"/>
      <c r="B130" s="111"/>
      <c r="C130" s="95" t="s">
        <v>93</v>
      </c>
      <c r="D130" s="95" t="s">
        <v>72</v>
      </c>
      <c r="E130" s="39" t="s">
        <v>18</v>
      </c>
      <c r="F130" s="65"/>
      <c r="G130" s="65"/>
      <c r="H130" s="65"/>
      <c r="I130" s="65"/>
      <c r="J130" s="65"/>
      <c r="K130" s="66"/>
      <c r="L130" s="66"/>
      <c r="M130" s="65"/>
      <c r="N130" s="65"/>
      <c r="O130" s="65"/>
      <c r="P130" s="65"/>
      <c r="Q130" s="65"/>
      <c r="R130" s="66"/>
      <c r="S130" s="66"/>
      <c r="T130" s="65"/>
      <c r="U130" s="65"/>
      <c r="V130" s="65"/>
      <c r="W130" s="65"/>
      <c r="X130" s="65"/>
      <c r="Y130" s="66"/>
      <c r="Z130" s="66"/>
      <c r="AA130" s="65"/>
      <c r="AB130" s="65"/>
      <c r="AC130" s="65"/>
      <c r="AD130" s="65"/>
      <c r="AE130" s="65"/>
      <c r="AF130" s="66"/>
      <c r="AG130" s="66"/>
      <c r="AH130" s="65"/>
      <c r="AI130" s="65"/>
      <c r="AJ130" s="65"/>
      <c r="AK130" s="65"/>
      <c r="AL130" s="65"/>
      <c r="AM130" s="65"/>
      <c r="AN130" s="65"/>
      <c r="AO130" s="65"/>
      <c r="AP130" s="66"/>
      <c r="AQ130" s="66"/>
      <c r="AR130" s="65"/>
      <c r="AS130" s="65"/>
      <c r="AT130" s="65"/>
      <c r="AU130" s="65"/>
      <c r="AV130" s="65"/>
      <c r="AW130" s="66"/>
      <c r="AX130" s="66"/>
      <c r="AY130" s="65"/>
      <c r="AZ130" s="65"/>
      <c r="BA130" s="65"/>
      <c r="BB130" s="65"/>
      <c r="BC130" s="65"/>
      <c r="BD130" s="66"/>
      <c r="BE130" s="66"/>
      <c r="BF130" s="65"/>
      <c r="BG130" s="65"/>
      <c r="BH130" s="65"/>
      <c r="BI130" s="65"/>
      <c r="BJ130" s="65"/>
      <c r="BK130" s="66"/>
      <c r="BL130" s="66"/>
      <c r="BM130" s="65"/>
      <c r="BN130" s="65"/>
      <c r="BO130" s="82">
        <f>SUM(F130:S130)</f>
        <v>0</v>
      </c>
      <c r="BP130" s="22">
        <f>87.5*1.3</f>
        <v>113.75</v>
      </c>
      <c r="BQ130" s="83">
        <v>0.5</v>
      </c>
      <c r="BR130" s="22">
        <f>BP130*(1-BQ130)</f>
        <v>56.875</v>
      </c>
      <c r="BS130" s="22">
        <f>BR130*BO130</f>
        <v>0</v>
      </c>
      <c r="BT130" s="84">
        <f>BR130*0.8</f>
        <v>45.5</v>
      </c>
      <c r="BU130" s="32"/>
      <c r="BV130" s="84">
        <f>BS130*0.8</f>
        <v>0</v>
      </c>
      <c r="BW130" s="84"/>
      <c r="BX130" s="32"/>
      <c r="BY130" s="99">
        <f>BZ130/CC130*100</f>
        <v>0.11146310347412135</v>
      </c>
      <c r="BZ130" s="86">
        <v>238</v>
      </c>
      <c r="CA130" s="87">
        <f>BY130*BO130</f>
        <v>0</v>
      </c>
      <c r="CB130" s="88">
        <v>433991</v>
      </c>
      <c r="CC130" s="89">
        <v>213523.57200000001</v>
      </c>
      <c r="CD130" s="90">
        <f>CC130*CA130%</f>
        <v>0</v>
      </c>
      <c r="CE130" s="21" t="e">
        <f>BV130/CD130*1000</f>
        <v>#DIV/0!</v>
      </c>
      <c r="CF130" s="10"/>
      <c r="CG130" s="30" t="str">
        <f>C130</f>
        <v>BOA NOVA FM</v>
      </c>
      <c r="CH130" s="194"/>
      <c r="CI130" s="30" t="e">
        <f>SUM(#REF!)</f>
        <v>#REF!</v>
      </c>
      <c r="CJ130" s="194" t="e">
        <f>#REF!*CI130</f>
        <v>#REF!</v>
      </c>
      <c r="CK130" s="30" t="e">
        <f>SUM(#REF!)</f>
        <v>#REF!</v>
      </c>
      <c r="CL130" s="194" t="e">
        <f>#REF!*CK130</f>
        <v>#REF!</v>
      </c>
    </row>
    <row r="131" spans="1:145" ht="16.05" hidden="1" customHeight="1" x14ac:dyDescent="0.25">
      <c r="A131" s="32"/>
      <c r="B131" s="111"/>
      <c r="C131" s="95"/>
      <c r="D131" s="95"/>
      <c r="E131" s="39"/>
      <c r="F131" s="65"/>
      <c r="G131" s="65"/>
      <c r="H131" s="65"/>
      <c r="I131" s="65"/>
      <c r="J131" s="65"/>
      <c r="K131" s="66"/>
      <c r="L131" s="66"/>
      <c r="M131" s="65"/>
      <c r="N131" s="65"/>
      <c r="O131" s="65"/>
      <c r="P131" s="65"/>
      <c r="Q131" s="65"/>
      <c r="R131" s="66"/>
      <c r="S131" s="66"/>
      <c r="T131" s="65"/>
      <c r="U131" s="65"/>
      <c r="V131" s="65"/>
      <c r="W131" s="65"/>
      <c r="X131" s="65"/>
      <c r="Y131" s="66"/>
      <c r="Z131" s="66"/>
      <c r="AA131" s="65"/>
      <c r="AB131" s="65"/>
      <c r="AC131" s="65"/>
      <c r="AD131" s="65"/>
      <c r="AE131" s="65"/>
      <c r="AF131" s="66"/>
      <c r="AG131" s="66"/>
      <c r="AH131" s="65"/>
      <c r="AI131" s="65"/>
      <c r="AJ131" s="65"/>
      <c r="AK131" s="65"/>
      <c r="AL131" s="65"/>
      <c r="AM131" s="65"/>
      <c r="AN131" s="65"/>
      <c r="AO131" s="65"/>
      <c r="AP131" s="66"/>
      <c r="AQ131" s="66"/>
      <c r="AR131" s="65"/>
      <c r="AS131" s="65"/>
      <c r="AT131" s="65"/>
      <c r="AU131" s="65"/>
      <c r="AV131" s="65"/>
      <c r="AW131" s="66"/>
      <c r="AX131" s="66"/>
      <c r="AY131" s="65"/>
      <c r="AZ131" s="65"/>
      <c r="BA131" s="65"/>
      <c r="BB131" s="65"/>
      <c r="BC131" s="65"/>
      <c r="BD131" s="66"/>
      <c r="BE131" s="66"/>
      <c r="BF131" s="65"/>
      <c r="BG131" s="65"/>
      <c r="BH131" s="65"/>
      <c r="BI131" s="65"/>
      <c r="BJ131" s="65"/>
      <c r="BK131" s="66"/>
      <c r="BL131" s="66"/>
      <c r="BM131" s="65"/>
      <c r="BN131" s="65"/>
      <c r="BO131" s="173"/>
      <c r="BP131" s="104"/>
      <c r="BQ131" s="195"/>
      <c r="BR131" s="104"/>
      <c r="BS131" s="104"/>
      <c r="BT131" s="104"/>
      <c r="BU131" s="32"/>
      <c r="BV131" s="104"/>
      <c r="BW131" s="104"/>
      <c r="BX131" s="32"/>
      <c r="BY131" s="106"/>
      <c r="BZ131" s="107"/>
      <c r="CA131" s="108"/>
      <c r="CB131" s="109"/>
      <c r="CC131" s="110"/>
      <c r="CD131" s="109"/>
      <c r="CE131" s="114"/>
      <c r="CF131" s="10"/>
      <c r="CH131" s="194"/>
      <c r="CJ131" s="194"/>
      <c r="CL131" s="194"/>
    </row>
    <row r="132" spans="1:145" ht="16.05" hidden="1" customHeight="1" x14ac:dyDescent="0.25">
      <c r="A132" s="32"/>
      <c r="B132" s="111"/>
      <c r="C132" s="95"/>
      <c r="D132" s="95"/>
      <c r="E132" s="39"/>
      <c r="F132" s="65"/>
      <c r="G132" s="65"/>
      <c r="H132" s="65"/>
      <c r="I132" s="65"/>
      <c r="J132" s="65"/>
      <c r="K132" s="66"/>
      <c r="L132" s="66"/>
      <c r="M132" s="65"/>
      <c r="N132" s="65"/>
      <c r="O132" s="65"/>
      <c r="P132" s="65"/>
      <c r="Q132" s="65"/>
      <c r="R132" s="66"/>
      <c r="S132" s="66"/>
      <c r="T132" s="65"/>
      <c r="U132" s="65"/>
      <c r="V132" s="65"/>
      <c r="W132" s="65"/>
      <c r="X132" s="65"/>
      <c r="Y132" s="66"/>
      <c r="Z132" s="66"/>
      <c r="AA132" s="65"/>
      <c r="AB132" s="65"/>
      <c r="AC132" s="65"/>
      <c r="AD132" s="65"/>
      <c r="AE132" s="65"/>
      <c r="AF132" s="66"/>
      <c r="AG132" s="66"/>
      <c r="AH132" s="65"/>
      <c r="AI132" s="65"/>
      <c r="AJ132" s="65"/>
      <c r="AK132" s="65"/>
      <c r="AL132" s="65"/>
      <c r="AM132" s="65"/>
      <c r="AN132" s="65"/>
      <c r="AO132" s="65"/>
      <c r="AP132" s="66"/>
      <c r="AQ132" s="66"/>
      <c r="AR132" s="65"/>
      <c r="AS132" s="65"/>
      <c r="AT132" s="65"/>
      <c r="AU132" s="65"/>
      <c r="AV132" s="65"/>
      <c r="AW132" s="66"/>
      <c r="AX132" s="66"/>
      <c r="AY132" s="65"/>
      <c r="AZ132" s="65"/>
      <c r="BA132" s="65"/>
      <c r="BB132" s="65"/>
      <c r="BC132" s="65"/>
      <c r="BD132" s="66"/>
      <c r="BE132" s="66"/>
      <c r="BF132" s="65"/>
      <c r="BG132" s="65"/>
      <c r="BH132" s="65"/>
      <c r="BI132" s="65"/>
      <c r="BJ132" s="65"/>
      <c r="BK132" s="66"/>
      <c r="BL132" s="66"/>
      <c r="BM132" s="65"/>
      <c r="BN132" s="65"/>
      <c r="BO132" s="187"/>
      <c r="BP132" s="68"/>
      <c r="BQ132" s="68"/>
      <c r="BR132" s="68"/>
      <c r="BS132" s="68"/>
      <c r="BT132" s="68"/>
      <c r="BU132" s="32"/>
      <c r="BV132" s="68"/>
      <c r="BW132" s="68"/>
      <c r="BX132" s="32"/>
      <c r="BY132" s="121"/>
      <c r="BZ132" s="122"/>
      <c r="CA132" s="123"/>
      <c r="CB132" s="90"/>
      <c r="CC132" s="89"/>
      <c r="CD132" s="90"/>
      <c r="CE132" s="18"/>
      <c r="CF132" s="10"/>
      <c r="CH132" s="194"/>
      <c r="CJ132" s="194"/>
      <c r="CL132" s="194"/>
    </row>
    <row r="133" spans="1:145" ht="16.05" hidden="1" customHeight="1" x14ac:dyDescent="0.25">
      <c r="A133" s="32"/>
      <c r="B133" s="111"/>
      <c r="C133" s="95" t="s">
        <v>58</v>
      </c>
      <c r="D133" s="95" t="s">
        <v>72</v>
      </c>
      <c r="E133" s="39" t="s">
        <v>18</v>
      </c>
      <c r="F133" s="65"/>
      <c r="G133" s="65"/>
      <c r="H133" s="65"/>
      <c r="I133" s="65"/>
      <c r="J133" s="65"/>
      <c r="K133" s="66"/>
      <c r="L133" s="66"/>
      <c r="M133" s="65"/>
      <c r="N133" s="65"/>
      <c r="O133" s="65"/>
      <c r="P133" s="65"/>
      <c r="Q133" s="65"/>
      <c r="R133" s="66"/>
      <c r="S133" s="66"/>
      <c r="T133" s="65"/>
      <c r="U133" s="65"/>
      <c r="V133" s="65"/>
      <c r="W133" s="65"/>
      <c r="X133" s="65"/>
      <c r="Y133" s="66"/>
      <c r="Z133" s="66"/>
      <c r="AA133" s="65"/>
      <c r="AB133" s="65"/>
      <c r="AC133" s="65"/>
      <c r="AD133" s="65"/>
      <c r="AE133" s="65"/>
      <c r="AF133" s="66"/>
      <c r="AG133" s="66"/>
      <c r="AH133" s="65"/>
      <c r="AI133" s="65"/>
      <c r="AJ133" s="65"/>
      <c r="AK133" s="65"/>
      <c r="AL133" s="65"/>
      <c r="AM133" s="65"/>
      <c r="AN133" s="65"/>
      <c r="AO133" s="65"/>
      <c r="AP133" s="66"/>
      <c r="AQ133" s="66"/>
      <c r="AR133" s="65"/>
      <c r="AS133" s="65"/>
      <c r="AT133" s="65"/>
      <c r="AU133" s="65"/>
      <c r="AV133" s="65"/>
      <c r="AW133" s="66"/>
      <c r="AX133" s="66"/>
      <c r="AY133" s="65"/>
      <c r="AZ133" s="65"/>
      <c r="BA133" s="65"/>
      <c r="BB133" s="65"/>
      <c r="BC133" s="65"/>
      <c r="BD133" s="66"/>
      <c r="BE133" s="66"/>
      <c r="BF133" s="65"/>
      <c r="BG133" s="65"/>
      <c r="BH133" s="65"/>
      <c r="BI133" s="65"/>
      <c r="BJ133" s="65"/>
      <c r="BK133" s="66"/>
      <c r="BL133" s="66"/>
      <c r="BM133" s="65"/>
      <c r="BN133" s="65"/>
      <c r="BO133" s="82">
        <f>SUM(F133:S133)</f>
        <v>0</v>
      </c>
      <c r="BP133" s="22">
        <v>1058</v>
      </c>
      <c r="BQ133" s="83">
        <v>0.7</v>
      </c>
      <c r="BR133" s="22">
        <f>BP133*(1-BQ133)</f>
        <v>317.40000000000003</v>
      </c>
      <c r="BS133" s="22">
        <f>BR133*BO133</f>
        <v>0</v>
      </c>
      <c r="BT133" s="84">
        <f>BR133*0.8</f>
        <v>253.92000000000004</v>
      </c>
      <c r="BU133" s="32"/>
      <c r="BV133" s="84">
        <f>BS133*0.8</f>
        <v>0</v>
      </c>
      <c r="BW133" s="84"/>
      <c r="BX133" s="32"/>
      <c r="BY133" s="99">
        <f>BZ133/CC133*100</f>
        <v>0.58635212415798277</v>
      </c>
      <c r="BZ133" s="86">
        <v>1252</v>
      </c>
      <c r="CA133" s="87">
        <f>BY133*BO133</f>
        <v>0</v>
      </c>
      <c r="CB133" s="88">
        <v>433991</v>
      </c>
      <c r="CC133" s="89">
        <v>213523.57200000001</v>
      </c>
      <c r="CD133" s="90">
        <f>CC133*(CA133+CA134)%</f>
        <v>0</v>
      </c>
      <c r="CE133" s="21" t="e">
        <f>BV133/CD133*1000</f>
        <v>#DIV/0!</v>
      </c>
      <c r="CF133" s="10"/>
      <c r="CG133" s="30" t="str">
        <f>C133</f>
        <v>KISS FM</v>
      </c>
      <c r="CH133" s="194"/>
      <c r="CI133" s="30" t="e">
        <f>SUM(#REF!)</f>
        <v>#REF!</v>
      </c>
      <c r="CJ133" s="194" t="e">
        <f>#REF!*CI133</f>
        <v>#REF!</v>
      </c>
      <c r="CK133" s="30" t="e">
        <f>SUM(#REF!)</f>
        <v>#REF!</v>
      </c>
      <c r="CL133" s="194" t="e">
        <f>#REF!*CK133</f>
        <v>#REF!</v>
      </c>
    </row>
    <row r="134" spans="1:145" ht="16.05" hidden="1" customHeight="1" x14ac:dyDescent="0.25">
      <c r="A134" s="32"/>
      <c r="B134" s="111"/>
      <c r="C134" s="95"/>
      <c r="D134" s="95"/>
      <c r="E134" s="39"/>
      <c r="F134" s="65"/>
      <c r="G134" s="65"/>
      <c r="H134" s="65"/>
      <c r="I134" s="65"/>
      <c r="J134" s="65"/>
      <c r="K134" s="66"/>
      <c r="L134" s="66"/>
      <c r="M134" s="65"/>
      <c r="N134" s="65"/>
      <c r="O134" s="65"/>
      <c r="P134" s="65"/>
      <c r="Q134" s="65"/>
      <c r="R134" s="66"/>
      <c r="S134" s="66"/>
      <c r="T134" s="65"/>
      <c r="U134" s="65"/>
      <c r="V134" s="65"/>
      <c r="W134" s="65"/>
      <c r="X134" s="65"/>
      <c r="Y134" s="66"/>
      <c r="Z134" s="66"/>
      <c r="AA134" s="65"/>
      <c r="AB134" s="65"/>
      <c r="AC134" s="65"/>
      <c r="AD134" s="65"/>
      <c r="AE134" s="65"/>
      <c r="AF134" s="66"/>
      <c r="AG134" s="66"/>
      <c r="AH134" s="65"/>
      <c r="AI134" s="65"/>
      <c r="AJ134" s="65"/>
      <c r="AK134" s="65"/>
      <c r="AL134" s="65"/>
      <c r="AM134" s="65"/>
      <c r="AN134" s="65"/>
      <c r="AO134" s="65"/>
      <c r="AP134" s="66"/>
      <c r="AQ134" s="66"/>
      <c r="AR134" s="65"/>
      <c r="AS134" s="65"/>
      <c r="AT134" s="65"/>
      <c r="AU134" s="65"/>
      <c r="AV134" s="65"/>
      <c r="AW134" s="66"/>
      <c r="AX134" s="66"/>
      <c r="AY134" s="65"/>
      <c r="AZ134" s="65"/>
      <c r="BA134" s="65"/>
      <c r="BB134" s="65"/>
      <c r="BC134" s="65"/>
      <c r="BD134" s="66"/>
      <c r="BE134" s="66"/>
      <c r="BF134" s="65"/>
      <c r="BG134" s="65"/>
      <c r="BH134" s="65"/>
      <c r="BI134" s="65"/>
      <c r="BJ134" s="65"/>
      <c r="BK134" s="66"/>
      <c r="BL134" s="66"/>
      <c r="BM134" s="65"/>
      <c r="BN134" s="65"/>
      <c r="BO134" s="82">
        <f>SUM(F134:S134)</f>
        <v>0</v>
      </c>
      <c r="BP134" s="22">
        <v>847.8</v>
      </c>
      <c r="BQ134" s="83">
        <v>1</v>
      </c>
      <c r="BR134" s="22">
        <f>BP134*(1-BQ134)</f>
        <v>0</v>
      </c>
      <c r="BS134" s="22">
        <f>BR134*BO134</f>
        <v>0</v>
      </c>
      <c r="BT134" s="84">
        <f>BR134*0.8</f>
        <v>0</v>
      </c>
      <c r="BU134" s="32"/>
      <c r="BV134" s="84">
        <f>BS134*0.8</f>
        <v>0</v>
      </c>
      <c r="BW134" s="84"/>
      <c r="BX134" s="32"/>
      <c r="BY134" s="201"/>
      <c r="BZ134" s="157"/>
      <c r="CA134" s="87">
        <f>BY133*BO134</f>
        <v>0</v>
      </c>
      <c r="CB134" s="89"/>
      <c r="CC134" s="89"/>
      <c r="CD134" s="90"/>
      <c r="CE134" s="21"/>
      <c r="CF134" s="10"/>
      <c r="CH134" s="194"/>
      <c r="CJ134" s="194"/>
      <c r="CL134" s="194"/>
    </row>
    <row r="135" spans="1:145" ht="16.05" hidden="1" customHeight="1" x14ac:dyDescent="0.25">
      <c r="A135" s="32"/>
      <c r="B135" s="111"/>
      <c r="C135" s="95"/>
      <c r="D135" s="95"/>
      <c r="E135" s="39"/>
      <c r="F135" s="65"/>
      <c r="G135" s="65"/>
      <c r="H135" s="65"/>
      <c r="I135" s="65"/>
      <c r="J135" s="65"/>
      <c r="K135" s="66"/>
      <c r="L135" s="66"/>
      <c r="M135" s="65"/>
      <c r="N135" s="65"/>
      <c r="O135" s="65"/>
      <c r="P135" s="65"/>
      <c r="Q135" s="65"/>
      <c r="R135" s="66"/>
      <c r="S135" s="66"/>
      <c r="T135" s="65"/>
      <c r="U135" s="65"/>
      <c r="V135" s="65"/>
      <c r="W135" s="65"/>
      <c r="X135" s="65"/>
      <c r="Y135" s="66"/>
      <c r="Z135" s="66"/>
      <c r="AA135" s="65"/>
      <c r="AB135" s="65"/>
      <c r="AC135" s="65"/>
      <c r="AD135" s="65"/>
      <c r="AE135" s="65"/>
      <c r="AF135" s="66"/>
      <c r="AG135" s="66"/>
      <c r="AH135" s="65"/>
      <c r="AI135" s="65"/>
      <c r="AJ135" s="65"/>
      <c r="AK135" s="65"/>
      <c r="AL135" s="65"/>
      <c r="AM135" s="65"/>
      <c r="AN135" s="65"/>
      <c r="AO135" s="65"/>
      <c r="AP135" s="66"/>
      <c r="AQ135" s="66"/>
      <c r="AR135" s="65"/>
      <c r="AS135" s="65"/>
      <c r="AT135" s="65"/>
      <c r="AU135" s="65"/>
      <c r="AV135" s="65"/>
      <c r="AW135" s="66"/>
      <c r="AX135" s="66"/>
      <c r="AY135" s="65"/>
      <c r="AZ135" s="65"/>
      <c r="BA135" s="65"/>
      <c r="BB135" s="65"/>
      <c r="BC135" s="65"/>
      <c r="BD135" s="66"/>
      <c r="BE135" s="66"/>
      <c r="BF135" s="65"/>
      <c r="BG135" s="65"/>
      <c r="BH135" s="65"/>
      <c r="BI135" s="65"/>
      <c r="BJ135" s="65"/>
      <c r="BK135" s="66"/>
      <c r="BL135" s="66"/>
      <c r="BM135" s="65"/>
      <c r="BN135" s="65"/>
      <c r="BO135" s="173"/>
      <c r="BP135" s="104"/>
      <c r="BQ135" s="195"/>
      <c r="BR135" s="104"/>
      <c r="BS135" s="104"/>
      <c r="BT135" s="104"/>
      <c r="BU135" s="32"/>
      <c r="BV135" s="104"/>
      <c r="BW135" s="104"/>
      <c r="BX135" s="32"/>
      <c r="BY135" s="106"/>
      <c r="BZ135" s="107"/>
      <c r="CA135" s="108"/>
      <c r="CB135" s="109"/>
      <c r="CC135" s="110"/>
      <c r="CD135" s="109"/>
      <c r="CE135" s="114"/>
      <c r="CF135" s="10"/>
      <c r="CH135" s="194"/>
      <c r="CJ135" s="194"/>
      <c r="CL135" s="194"/>
    </row>
    <row r="136" spans="1:145" ht="16.05" hidden="1" customHeight="1" x14ac:dyDescent="0.25">
      <c r="A136" s="32"/>
      <c r="B136" s="25" t="s">
        <v>94</v>
      </c>
      <c r="C136" s="139"/>
      <c r="D136" s="139"/>
      <c r="E136" s="139"/>
      <c r="F136" s="40">
        <f t="shared" ref="F136:V136" si="15">SUM(F111:F135)</f>
        <v>0</v>
      </c>
      <c r="G136" s="40">
        <f t="shared" si="15"/>
        <v>0</v>
      </c>
      <c r="H136" s="40">
        <f t="shared" si="15"/>
        <v>0</v>
      </c>
      <c r="I136" s="40">
        <f t="shared" si="15"/>
        <v>0</v>
      </c>
      <c r="J136" s="40">
        <f t="shared" si="15"/>
        <v>0</v>
      </c>
      <c r="K136" s="40">
        <f t="shared" si="15"/>
        <v>0</v>
      </c>
      <c r="L136" s="40">
        <f t="shared" si="15"/>
        <v>0</v>
      </c>
      <c r="M136" s="40">
        <f t="shared" si="15"/>
        <v>0</v>
      </c>
      <c r="N136" s="40">
        <f t="shared" si="15"/>
        <v>0</v>
      </c>
      <c r="O136" s="40">
        <f t="shared" si="15"/>
        <v>0</v>
      </c>
      <c r="P136" s="40">
        <f t="shared" si="15"/>
        <v>0</v>
      </c>
      <c r="Q136" s="40">
        <f t="shared" si="15"/>
        <v>0</v>
      </c>
      <c r="R136" s="40">
        <f t="shared" si="15"/>
        <v>0</v>
      </c>
      <c r="S136" s="40">
        <f t="shared" si="15"/>
        <v>0</v>
      </c>
      <c r="T136" s="40">
        <f t="shared" si="15"/>
        <v>0</v>
      </c>
      <c r="U136" s="40">
        <f t="shared" si="15"/>
        <v>0</v>
      </c>
      <c r="V136" s="40">
        <f t="shared" si="15"/>
        <v>0</v>
      </c>
      <c r="W136" s="40">
        <f t="shared" ref="W136:BO136" si="16">SUM(W111:W135)</f>
        <v>0</v>
      </c>
      <c r="X136" s="40">
        <f t="shared" si="16"/>
        <v>0</v>
      </c>
      <c r="Y136" s="40">
        <f t="shared" si="16"/>
        <v>0</v>
      </c>
      <c r="Z136" s="40">
        <f t="shared" si="16"/>
        <v>0</v>
      </c>
      <c r="AA136" s="40">
        <f t="shared" si="16"/>
        <v>0</v>
      </c>
      <c r="AB136" s="40">
        <f t="shared" si="16"/>
        <v>0</v>
      </c>
      <c r="AC136" s="40">
        <f t="shared" si="16"/>
        <v>0</v>
      </c>
      <c r="AD136" s="40">
        <f t="shared" si="16"/>
        <v>0</v>
      </c>
      <c r="AE136" s="40">
        <f t="shared" si="16"/>
        <v>0</v>
      </c>
      <c r="AF136" s="40">
        <f t="shared" si="16"/>
        <v>0</v>
      </c>
      <c r="AG136" s="40">
        <f t="shared" si="16"/>
        <v>0</v>
      </c>
      <c r="AH136" s="40">
        <f t="shared" si="16"/>
        <v>0</v>
      </c>
      <c r="AI136" s="40">
        <f t="shared" si="16"/>
        <v>0</v>
      </c>
      <c r="AJ136" s="40">
        <f t="shared" si="16"/>
        <v>0</v>
      </c>
      <c r="AK136" s="40">
        <f t="shared" si="16"/>
        <v>0</v>
      </c>
      <c r="AL136" s="40">
        <f t="shared" si="16"/>
        <v>0</v>
      </c>
      <c r="AM136" s="40">
        <f t="shared" si="16"/>
        <v>0</v>
      </c>
      <c r="AN136" s="40">
        <f t="shared" si="16"/>
        <v>0</v>
      </c>
      <c r="AO136" s="40">
        <f t="shared" si="16"/>
        <v>0</v>
      </c>
      <c r="AP136" s="40">
        <f t="shared" si="16"/>
        <v>0</v>
      </c>
      <c r="AQ136" s="40">
        <f t="shared" si="16"/>
        <v>0</v>
      </c>
      <c r="AR136" s="40">
        <f t="shared" si="16"/>
        <v>0</v>
      </c>
      <c r="AS136" s="40">
        <f t="shared" si="16"/>
        <v>0</v>
      </c>
      <c r="AT136" s="40">
        <f t="shared" si="16"/>
        <v>0</v>
      </c>
      <c r="AU136" s="40">
        <f t="shared" si="16"/>
        <v>0</v>
      </c>
      <c r="AV136" s="40">
        <f t="shared" si="16"/>
        <v>0</v>
      </c>
      <c r="AW136" s="40">
        <f t="shared" si="16"/>
        <v>0</v>
      </c>
      <c r="AX136" s="40">
        <f t="shared" si="16"/>
        <v>0</v>
      </c>
      <c r="AY136" s="40">
        <f t="shared" si="16"/>
        <v>0</v>
      </c>
      <c r="AZ136" s="40">
        <f t="shared" si="16"/>
        <v>0</v>
      </c>
      <c r="BA136" s="40">
        <f t="shared" si="16"/>
        <v>0</v>
      </c>
      <c r="BB136" s="40">
        <f t="shared" si="16"/>
        <v>0</v>
      </c>
      <c r="BC136" s="40">
        <f t="shared" si="16"/>
        <v>0</v>
      </c>
      <c r="BD136" s="40">
        <f t="shared" si="16"/>
        <v>0</v>
      </c>
      <c r="BE136" s="40">
        <f t="shared" si="16"/>
        <v>0</v>
      </c>
      <c r="BF136" s="40">
        <f t="shared" si="16"/>
        <v>0</v>
      </c>
      <c r="BG136" s="40">
        <f t="shared" si="16"/>
        <v>0</v>
      </c>
      <c r="BH136" s="40">
        <f t="shared" si="16"/>
        <v>0</v>
      </c>
      <c r="BI136" s="40">
        <f t="shared" si="16"/>
        <v>0</v>
      </c>
      <c r="BJ136" s="40">
        <f t="shared" si="16"/>
        <v>0</v>
      </c>
      <c r="BK136" s="40">
        <f t="shared" si="16"/>
        <v>0</v>
      </c>
      <c r="BL136" s="40">
        <f t="shared" si="16"/>
        <v>0</v>
      </c>
      <c r="BM136" s="40">
        <f t="shared" si="16"/>
        <v>0</v>
      </c>
      <c r="BN136" s="40">
        <f t="shared" si="16"/>
        <v>0</v>
      </c>
      <c r="BO136" s="40">
        <f t="shared" si="16"/>
        <v>0</v>
      </c>
      <c r="BP136" s="141"/>
      <c r="BQ136" s="141"/>
      <c r="BR136" s="141"/>
      <c r="BS136" s="141">
        <f>SUM(BS111:BS135)</f>
        <v>0</v>
      </c>
      <c r="BT136" s="141">
        <f>SUM(BT111:BT135)</f>
        <v>1138.7860000000001</v>
      </c>
      <c r="BU136" s="43"/>
      <c r="BV136" s="141">
        <f>SUM(BV111:BV135)</f>
        <v>0</v>
      </c>
      <c r="BW136" s="141"/>
      <c r="BX136" s="43"/>
      <c r="BY136" s="196"/>
      <c r="BZ136" s="197"/>
      <c r="CA136" s="198"/>
      <c r="CB136" s="147"/>
      <c r="CC136" s="147"/>
      <c r="CD136" s="199">
        <f>SUM(CD111:CD135)</f>
        <v>0</v>
      </c>
      <c r="CE136" s="149" t="e">
        <f>BV136/CD136*1000</f>
        <v>#DIV/0!</v>
      </c>
      <c r="CF136" s="10"/>
      <c r="CH136" s="194"/>
      <c r="CJ136" s="194"/>
      <c r="CL136" s="194"/>
    </row>
    <row r="137" spans="1:145" ht="16.05" hidden="1" customHeight="1" x14ac:dyDescent="0.25">
      <c r="A137" s="32"/>
      <c r="B137" s="183"/>
      <c r="C137" s="184"/>
      <c r="D137" s="185"/>
      <c r="E137" s="186"/>
      <c r="F137" s="65"/>
      <c r="G137" s="66"/>
      <c r="H137" s="66"/>
      <c r="I137" s="65"/>
      <c r="J137" s="65"/>
      <c r="K137" s="65"/>
      <c r="L137" s="65"/>
      <c r="M137" s="65"/>
      <c r="N137" s="66"/>
      <c r="O137" s="66"/>
      <c r="P137" s="65"/>
      <c r="Q137" s="65"/>
      <c r="R137" s="65"/>
      <c r="S137" s="65"/>
      <c r="T137" s="65"/>
      <c r="U137" s="66"/>
      <c r="V137" s="66"/>
      <c r="W137" s="65"/>
      <c r="X137" s="65"/>
      <c r="Y137" s="65"/>
      <c r="Z137" s="65"/>
      <c r="AA137" s="65"/>
      <c r="AB137" s="66"/>
      <c r="AC137" s="66"/>
      <c r="AD137" s="65"/>
      <c r="AE137" s="65"/>
      <c r="AF137" s="65"/>
      <c r="AG137" s="65"/>
      <c r="AH137" s="65"/>
      <c r="AI137" s="66"/>
      <c r="AJ137" s="66"/>
      <c r="AK137" s="65"/>
      <c r="AL137" s="66"/>
      <c r="AM137" s="66"/>
      <c r="AN137" s="65"/>
      <c r="AO137" s="65"/>
      <c r="AP137" s="65"/>
      <c r="AQ137" s="65"/>
      <c r="AR137" s="65"/>
      <c r="AS137" s="66"/>
      <c r="AT137" s="66"/>
      <c r="AU137" s="65"/>
      <c r="AV137" s="65"/>
      <c r="AW137" s="65"/>
      <c r="AX137" s="65"/>
      <c r="AY137" s="65"/>
      <c r="AZ137" s="66"/>
      <c r="BA137" s="66"/>
      <c r="BB137" s="65"/>
      <c r="BC137" s="65"/>
      <c r="BD137" s="65"/>
      <c r="BE137" s="65"/>
      <c r="BF137" s="65"/>
      <c r="BG137" s="66"/>
      <c r="BH137" s="66"/>
      <c r="BI137" s="65"/>
      <c r="BJ137" s="65"/>
      <c r="BK137" s="65"/>
      <c r="BL137" s="65"/>
      <c r="BM137" s="65"/>
      <c r="BN137" s="66"/>
      <c r="BO137" s="118"/>
      <c r="BP137" s="68"/>
      <c r="BQ137" s="68"/>
      <c r="BR137" s="68"/>
      <c r="BS137" s="68"/>
      <c r="BT137" s="200"/>
      <c r="BU137" s="32"/>
      <c r="BV137" s="200"/>
      <c r="BW137" s="200"/>
      <c r="BX137" s="32"/>
      <c r="BY137" s="188"/>
      <c r="BZ137" s="189"/>
      <c r="CA137" s="190"/>
      <c r="CB137" s="191"/>
      <c r="CC137" s="192"/>
      <c r="CD137" s="191"/>
      <c r="CE137" s="18"/>
      <c r="CF137" s="10"/>
      <c r="CH137" s="194"/>
      <c r="CJ137" s="194"/>
      <c r="CL137" s="194"/>
    </row>
    <row r="138" spans="1:145" s="152" customFormat="1" ht="16.05" hidden="1" customHeight="1" x14ac:dyDescent="0.3">
      <c r="A138" s="43"/>
      <c r="C138" s="81" t="s">
        <v>95</v>
      </c>
      <c r="D138" s="95" t="s">
        <v>72</v>
      </c>
      <c r="E138" s="39" t="s">
        <v>18</v>
      </c>
      <c r="F138" s="65"/>
      <c r="G138" s="66"/>
      <c r="H138" s="66"/>
      <c r="I138" s="65"/>
      <c r="J138" s="65"/>
      <c r="K138" s="65"/>
      <c r="L138" s="65"/>
      <c r="M138" s="65"/>
      <c r="N138" s="66"/>
      <c r="O138" s="66"/>
      <c r="P138" s="65"/>
      <c r="Q138" s="65"/>
      <c r="R138" s="65"/>
      <c r="S138" s="65"/>
      <c r="T138" s="65"/>
      <c r="U138" s="66"/>
      <c r="V138" s="66"/>
      <c r="W138" s="65"/>
      <c r="X138" s="65"/>
      <c r="Y138" s="65"/>
      <c r="Z138" s="65"/>
      <c r="AA138" s="65"/>
      <c r="AB138" s="66"/>
      <c r="AC138" s="66"/>
      <c r="AD138" s="65"/>
      <c r="AE138" s="65"/>
      <c r="AF138" s="65"/>
      <c r="AG138" s="65"/>
      <c r="AH138" s="65"/>
      <c r="AI138" s="66"/>
      <c r="AJ138" s="66"/>
      <c r="AK138" s="65"/>
      <c r="AL138" s="66"/>
      <c r="AM138" s="66"/>
      <c r="AN138" s="65"/>
      <c r="AO138" s="65"/>
      <c r="AP138" s="65"/>
      <c r="AQ138" s="65"/>
      <c r="AR138" s="65"/>
      <c r="AS138" s="66"/>
      <c r="AT138" s="66"/>
      <c r="AU138" s="65"/>
      <c r="AV138" s="65"/>
      <c r="AW138" s="65"/>
      <c r="AX138" s="65"/>
      <c r="AY138" s="65"/>
      <c r="AZ138" s="66"/>
      <c r="BA138" s="66"/>
      <c r="BB138" s="65"/>
      <c r="BC138" s="65"/>
      <c r="BD138" s="65"/>
      <c r="BE138" s="65"/>
      <c r="BF138" s="65"/>
      <c r="BG138" s="66"/>
      <c r="BH138" s="66"/>
      <c r="BI138" s="65"/>
      <c r="BJ138" s="65"/>
      <c r="BK138" s="65"/>
      <c r="BL138" s="65"/>
      <c r="BM138" s="65"/>
      <c r="BN138" s="66"/>
      <c r="BO138" s="82" t="e">
        <f>SUM(#REF!)</f>
        <v>#REF!</v>
      </c>
      <c r="BP138" s="22"/>
      <c r="BQ138" s="83">
        <v>0.4</v>
      </c>
      <c r="BR138" s="22">
        <f>BP138*(1-BQ138)</f>
        <v>0</v>
      </c>
      <c r="BS138" s="22" t="e">
        <f>BR138*BO138</f>
        <v>#REF!</v>
      </c>
      <c r="BT138" s="84">
        <f>BR138*0.8</f>
        <v>0</v>
      </c>
      <c r="BU138" s="32"/>
      <c r="BV138" s="84" t="e">
        <f>BS138*0.8</f>
        <v>#REF!</v>
      </c>
      <c r="BW138" s="84"/>
      <c r="BX138" s="32"/>
      <c r="BY138" s="99">
        <f>BZ138/CC138*100</f>
        <v>2.4049146420022272</v>
      </c>
      <c r="BZ138" s="86">
        <v>3796</v>
      </c>
      <c r="CA138" s="87">
        <v>192.39317136017817</v>
      </c>
      <c r="CB138" s="88">
        <v>320820</v>
      </c>
      <c r="CC138" s="89">
        <v>157843.44</v>
      </c>
      <c r="CD138" s="90"/>
      <c r="CE138" s="114" t="e">
        <f>BV138/CD138*1000</f>
        <v>#REF!</v>
      </c>
      <c r="CF138" s="160"/>
      <c r="CG138" s="30" t="s">
        <v>95</v>
      </c>
      <c r="CH138" s="194"/>
      <c r="CI138" s="30" t="e">
        <f>SUM(#REF!)</f>
        <v>#REF!</v>
      </c>
      <c r="CJ138" s="194" t="e">
        <f>#REF!*CI138</f>
        <v>#REF!</v>
      </c>
      <c r="CK138" s="30" t="e">
        <f>SUM(#REF!)</f>
        <v>#REF!</v>
      </c>
      <c r="CL138" s="194" t="e">
        <f>#REF!*CK138</f>
        <v>#REF!</v>
      </c>
      <c r="CM138" s="151"/>
    </row>
    <row r="139" spans="1:145" ht="16.05" hidden="1" customHeight="1" x14ac:dyDescent="0.25">
      <c r="A139" s="32"/>
      <c r="B139" s="202"/>
      <c r="C139" s="116"/>
      <c r="D139" s="95"/>
      <c r="E139" s="39"/>
      <c r="F139" s="65"/>
      <c r="G139" s="65"/>
      <c r="H139" s="65"/>
      <c r="I139" s="65"/>
      <c r="J139" s="65"/>
      <c r="K139" s="66"/>
      <c r="L139" s="66"/>
      <c r="M139" s="65"/>
      <c r="N139" s="65"/>
      <c r="O139" s="65"/>
      <c r="P139" s="65"/>
      <c r="Q139" s="65"/>
      <c r="R139" s="66"/>
      <c r="S139" s="66"/>
      <c r="T139" s="65"/>
      <c r="U139" s="65"/>
      <c r="V139" s="65"/>
      <c r="W139" s="65"/>
      <c r="X139" s="65"/>
      <c r="Y139" s="66"/>
      <c r="Z139" s="66"/>
      <c r="AA139" s="65"/>
      <c r="AB139" s="65"/>
      <c r="AC139" s="65"/>
      <c r="AD139" s="65"/>
      <c r="AE139" s="65"/>
      <c r="AF139" s="66"/>
      <c r="AG139" s="66"/>
      <c r="AH139" s="65"/>
      <c r="AI139" s="65"/>
      <c r="AJ139" s="65"/>
      <c r="AK139" s="65"/>
      <c r="AL139" s="65"/>
      <c r="AM139" s="65"/>
      <c r="AN139" s="65"/>
      <c r="AO139" s="65"/>
      <c r="AP139" s="66"/>
      <c r="AQ139" s="66"/>
      <c r="AR139" s="65"/>
      <c r="AS139" s="65"/>
      <c r="AT139" s="65"/>
      <c r="AU139" s="65"/>
      <c r="AV139" s="65"/>
      <c r="AW139" s="66"/>
      <c r="AX139" s="66"/>
      <c r="AY139" s="65"/>
      <c r="AZ139" s="65"/>
      <c r="BA139" s="65"/>
      <c r="BB139" s="65"/>
      <c r="BC139" s="65"/>
      <c r="BD139" s="66"/>
      <c r="BE139" s="66"/>
      <c r="BF139" s="65"/>
      <c r="BG139" s="65"/>
      <c r="BH139" s="65"/>
      <c r="BI139" s="65"/>
      <c r="BJ139" s="65"/>
      <c r="BK139" s="66"/>
      <c r="BL139" s="66"/>
      <c r="BM139" s="65"/>
      <c r="BN139" s="65"/>
      <c r="BO139" s="118"/>
      <c r="BP139" s="68"/>
      <c r="BQ139" s="68"/>
      <c r="BR139" s="68"/>
      <c r="BS139" s="68"/>
      <c r="BT139" s="200"/>
      <c r="BU139" s="32"/>
      <c r="BV139" s="200"/>
      <c r="BW139" s="200"/>
      <c r="BX139" s="32"/>
      <c r="BY139" s="188"/>
      <c r="BZ139" s="189"/>
      <c r="CA139" s="190"/>
      <c r="CB139" s="191"/>
      <c r="CC139" s="192"/>
      <c r="CD139" s="191"/>
      <c r="CE139" s="18"/>
      <c r="CF139" s="10"/>
      <c r="CH139" s="194"/>
      <c r="CJ139" s="194"/>
      <c r="CL139" s="194"/>
    </row>
    <row r="140" spans="1:145" ht="16.05" hidden="1" customHeight="1" x14ac:dyDescent="0.25">
      <c r="A140" s="32"/>
      <c r="B140" s="93" t="s">
        <v>96</v>
      </c>
      <c r="C140" s="81" t="s">
        <v>97</v>
      </c>
      <c r="D140" s="95" t="s">
        <v>72</v>
      </c>
      <c r="E140" s="36" t="s">
        <v>18</v>
      </c>
      <c r="F140" s="65"/>
      <c r="G140" s="65"/>
      <c r="H140" s="65"/>
      <c r="I140" s="65"/>
      <c r="J140" s="65"/>
      <c r="K140" s="66"/>
      <c r="L140" s="66"/>
      <c r="M140" s="65"/>
      <c r="N140" s="65"/>
      <c r="O140" s="65"/>
      <c r="P140" s="65"/>
      <c r="Q140" s="65"/>
      <c r="R140" s="66"/>
      <c r="S140" s="66"/>
      <c r="T140" s="65"/>
      <c r="U140" s="65"/>
      <c r="V140" s="65"/>
      <c r="W140" s="65"/>
      <c r="X140" s="65"/>
      <c r="Y140" s="66"/>
      <c r="Z140" s="66"/>
      <c r="AA140" s="65"/>
      <c r="AB140" s="65"/>
      <c r="AC140" s="65"/>
      <c r="AD140" s="65"/>
      <c r="AE140" s="65"/>
      <c r="AF140" s="66"/>
      <c r="AG140" s="66"/>
      <c r="AH140" s="65"/>
      <c r="AI140" s="65"/>
      <c r="AJ140" s="65"/>
      <c r="AK140" s="65"/>
      <c r="AL140" s="65"/>
      <c r="AM140" s="65"/>
      <c r="AN140" s="65"/>
      <c r="AO140" s="65"/>
      <c r="AP140" s="66"/>
      <c r="AQ140" s="66"/>
      <c r="AR140" s="65"/>
      <c r="AS140" s="65"/>
      <c r="AT140" s="65"/>
      <c r="AU140" s="65"/>
      <c r="AV140" s="65"/>
      <c r="AW140" s="66"/>
      <c r="AX140" s="66"/>
      <c r="AY140" s="65"/>
      <c r="AZ140" s="65"/>
      <c r="BA140" s="65"/>
      <c r="BB140" s="65"/>
      <c r="BC140" s="65"/>
      <c r="BD140" s="66"/>
      <c r="BE140" s="66"/>
      <c r="BF140" s="65"/>
      <c r="BG140" s="65"/>
      <c r="BH140" s="65"/>
      <c r="BI140" s="65"/>
      <c r="BJ140" s="65"/>
      <c r="BK140" s="66"/>
      <c r="BL140" s="66"/>
      <c r="BM140" s="65"/>
      <c r="BN140" s="65"/>
      <c r="BO140" s="175">
        <f>SUM(F140:AI140)</f>
        <v>0</v>
      </c>
      <c r="BP140" s="22">
        <v>197.36842105263159</v>
      </c>
      <c r="BQ140" s="83">
        <v>0</v>
      </c>
      <c r="BR140" s="22">
        <f>BP140*(1-BQ140)</f>
        <v>197.36842105263159</v>
      </c>
      <c r="BS140" s="22">
        <v>15000</v>
      </c>
      <c r="BT140" s="84">
        <f>BR140*0.8</f>
        <v>157.89473684210529</v>
      </c>
      <c r="BU140" s="32"/>
      <c r="BV140" s="84">
        <f>BS140*0.8</f>
        <v>12000</v>
      </c>
      <c r="BW140" s="84"/>
      <c r="BX140" s="32"/>
      <c r="BY140" s="99">
        <f>BZ140/CC140*100</f>
        <v>3.4401176254141443</v>
      </c>
      <c r="BZ140" s="122">
        <v>5430</v>
      </c>
      <c r="CA140" s="123">
        <f>BY140*BO140</f>
        <v>0</v>
      </c>
      <c r="CB140" s="90">
        <v>320820</v>
      </c>
      <c r="CC140" s="89">
        <v>157843.44</v>
      </c>
      <c r="CD140" s="90">
        <f>CC140*CA140%</f>
        <v>0</v>
      </c>
      <c r="CE140" s="21" t="e">
        <f>BV140/CD140*1000</f>
        <v>#DIV/0!</v>
      </c>
      <c r="CF140" s="10"/>
      <c r="CG140" s="30" t="s">
        <v>97</v>
      </c>
      <c r="CH140" s="194"/>
      <c r="CI140" s="30" t="e">
        <f>SUM(#REF!)</f>
        <v>#REF!</v>
      </c>
      <c r="CJ140" s="194">
        <f>BX140/2</f>
        <v>0</v>
      </c>
      <c r="CK140" s="30" t="e">
        <f>SUM(#REF!)</f>
        <v>#REF!</v>
      </c>
      <c r="CL140" s="194">
        <f>BZ140/2</f>
        <v>2715</v>
      </c>
    </row>
    <row r="141" spans="1:145" ht="16.05" hidden="1" customHeight="1" x14ac:dyDescent="0.25">
      <c r="A141" s="32"/>
      <c r="B141" s="202"/>
      <c r="C141" s="116" t="s">
        <v>98</v>
      </c>
      <c r="D141" s="42"/>
      <c r="E141" s="117"/>
      <c r="F141" s="65"/>
      <c r="G141" s="65"/>
      <c r="H141" s="65"/>
      <c r="I141" s="65"/>
      <c r="J141" s="65"/>
      <c r="K141" s="66"/>
      <c r="L141" s="66"/>
      <c r="M141" s="65"/>
      <c r="N141" s="65"/>
      <c r="O141" s="65"/>
      <c r="P141" s="65"/>
      <c r="Q141" s="65"/>
      <c r="R141" s="66"/>
      <c r="S141" s="66"/>
      <c r="T141" s="65"/>
      <c r="U141" s="65"/>
      <c r="V141" s="65"/>
      <c r="W141" s="65"/>
      <c r="X141" s="65"/>
      <c r="Y141" s="66"/>
      <c r="Z141" s="66"/>
      <c r="AA141" s="65"/>
      <c r="AB141" s="65"/>
      <c r="AC141" s="65"/>
      <c r="AD141" s="65"/>
      <c r="AE141" s="65"/>
      <c r="AF141" s="66"/>
      <c r="AG141" s="66"/>
      <c r="AH141" s="65"/>
      <c r="AI141" s="65"/>
      <c r="AJ141" s="65"/>
      <c r="AK141" s="65"/>
      <c r="AL141" s="65"/>
      <c r="AM141" s="65"/>
      <c r="AN141" s="65"/>
      <c r="AO141" s="65"/>
      <c r="AP141" s="66"/>
      <c r="AQ141" s="66"/>
      <c r="AR141" s="65"/>
      <c r="AS141" s="65"/>
      <c r="AT141" s="65"/>
      <c r="AU141" s="65"/>
      <c r="AV141" s="65"/>
      <c r="AW141" s="66"/>
      <c r="AX141" s="66"/>
      <c r="AY141" s="65"/>
      <c r="AZ141" s="65"/>
      <c r="BA141" s="65"/>
      <c r="BB141" s="65"/>
      <c r="BC141" s="65"/>
      <c r="BD141" s="66"/>
      <c r="BE141" s="66"/>
      <c r="BF141" s="65"/>
      <c r="BG141" s="65"/>
      <c r="BH141" s="65"/>
      <c r="BI141" s="65"/>
      <c r="BJ141" s="65"/>
      <c r="BK141" s="66"/>
      <c r="BL141" s="66"/>
      <c r="BM141" s="65"/>
      <c r="BN141" s="65"/>
      <c r="BO141" s="203"/>
      <c r="BP141" s="22"/>
      <c r="BQ141" s="22"/>
      <c r="BR141" s="22"/>
      <c r="BS141" s="22"/>
      <c r="BT141" s="22"/>
      <c r="BU141" s="32"/>
      <c r="BV141" s="22"/>
      <c r="BW141" s="22"/>
      <c r="BX141" s="32"/>
      <c r="BY141" s="121"/>
      <c r="BZ141" s="122"/>
      <c r="CA141" s="123"/>
      <c r="CB141" s="90"/>
      <c r="CC141" s="89"/>
      <c r="CD141" s="90"/>
      <c r="CE141" s="114"/>
      <c r="CF141" s="10"/>
      <c r="CH141" s="194"/>
      <c r="CJ141" s="194"/>
      <c r="CL141" s="194"/>
    </row>
    <row r="142" spans="1:145" ht="16.05" hidden="1" customHeight="1" x14ac:dyDescent="0.25">
      <c r="A142" s="32"/>
      <c r="B142" s="202"/>
      <c r="C142" s="81"/>
      <c r="D142" s="95"/>
      <c r="E142" s="39"/>
      <c r="F142" s="65"/>
      <c r="G142" s="65"/>
      <c r="H142" s="65"/>
      <c r="I142" s="65"/>
      <c r="J142" s="65"/>
      <c r="K142" s="66"/>
      <c r="L142" s="66"/>
      <c r="M142" s="65"/>
      <c r="N142" s="65"/>
      <c r="O142" s="65"/>
      <c r="P142" s="65"/>
      <c r="Q142" s="65"/>
      <c r="R142" s="66"/>
      <c r="S142" s="66"/>
      <c r="T142" s="65"/>
      <c r="U142" s="65"/>
      <c r="V142" s="65"/>
      <c r="W142" s="65"/>
      <c r="X142" s="65"/>
      <c r="Y142" s="66"/>
      <c r="Z142" s="66"/>
      <c r="AA142" s="65"/>
      <c r="AB142" s="65"/>
      <c r="AC142" s="65"/>
      <c r="AD142" s="65"/>
      <c r="AE142" s="65"/>
      <c r="AF142" s="66"/>
      <c r="AG142" s="66"/>
      <c r="AH142" s="65"/>
      <c r="AI142" s="65"/>
      <c r="AJ142" s="65"/>
      <c r="AK142" s="65"/>
      <c r="AL142" s="65"/>
      <c r="AM142" s="65"/>
      <c r="AN142" s="65"/>
      <c r="AO142" s="65"/>
      <c r="AP142" s="66"/>
      <c r="AQ142" s="66"/>
      <c r="AR142" s="65"/>
      <c r="AS142" s="65"/>
      <c r="AT142" s="65"/>
      <c r="AU142" s="65"/>
      <c r="AV142" s="65"/>
      <c r="AW142" s="66"/>
      <c r="AX142" s="66"/>
      <c r="AY142" s="65"/>
      <c r="AZ142" s="65"/>
      <c r="BA142" s="65"/>
      <c r="BB142" s="65"/>
      <c r="BC142" s="65"/>
      <c r="BD142" s="66"/>
      <c r="BE142" s="66"/>
      <c r="BF142" s="65"/>
      <c r="BG142" s="65"/>
      <c r="BH142" s="65"/>
      <c r="BI142" s="65"/>
      <c r="BJ142" s="65"/>
      <c r="BK142" s="66"/>
      <c r="BL142" s="66"/>
      <c r="BM142" s="65"/>
      <c r="BN142" s="65"/>
      <c r="BO142" s="118"/>
      <c r="BP142" s="68"/>
      <c r="BQ142" s="68"/>
      <c r="BR142" s="68"/>
      <c r="BS142" s="68"/>
      <c r="BT142" s="200"/>
      <c r="BU142" s="32"/>
      <c r="BV142" s="200"/>
      <c r="BW142" s="200"/>
      <c r="BX142" s="32"/>
      <c r="BY142" s="188"/>
      <c r="BZ142" s="189"/>
      <c r="CA142" s="190"/>
      <c r="CB142" s="191"/>
      <c r="CC142" s="192"/>
      <c r="CD142" s="191"/>
      <c r="CE142" s="18"/>
      <c r="CF142" s="10"/>
      <c r="CH142" s="194"/>
      <c r="CJ142" s="194"/>
      <c r="CL142" s="194"/>
    </row>
    <row r="143" spans="1:145" ht="16.05" hidden="1" customHeight="1" x14ac:dyDescent="0.25">
      <c r="A143" s="32"/>
      <c r="B143" s="202"/>
      <c r="C143" s="81" t="s">
        <v>99</v>
      </c>
      <c r="D143" s="95" t="s">
        <v>72</v>
      </c>
      <c r="E143" s="36" t="s">
        <v>18</v>
      </c>
      <c r="F143" s="65"/>
      <c r="G143" s="65"/>
      <c r="H143" s="65"/>
      <c r="I143" s="65"/>
      <c r="J143" s="65"/>
      <c r="K143" s="66"/>
      <c r="L143" s="66"/>
      <c r="M143" s="65"/>
      <c r="N143" s="65"/>
      <c r="O143" s="65"/>
      <c r="P143" s="65"/>
      <c r="Q143" s="65"/>
      <c r="R143" s="66"/>
      <c r="S143" s="66"/>
      <c r="T143" s="65"/>
      <c r="U143" s="65"/>
      <c r="V143" s="65"/>
      <c r="W143" s="65"/>
      <c r="X143" s="65"/>
      <c r="Y143" s="66"/>
      <c r="Z143" s="66"/>
      <c r="AA143" s="65"/>
      <c r="AB143" s="65"/>
      <c r="AC143" s="65"/>
      <c r="AD143" s="65"/>
      <c r="AE143" s="65"/>
      <c r="AF143" s="66"/>
      <c r="AG143" s="66"/>
      <c r="AH143" s="65"/>
      <c r="AI143" s="65"/>
      <c r="AJ143" s="65"/>
      <c r="AK143" s="65"/>
      <c r="AL143" s="65"/>
      <c r="AM143" s="65"/>
      <c r="AN143" s="65"/>
      <c r="AO143" s="65"/>
      <c r="AP143" s="66"/>
      <c r="AQ143" s="66"/>
      <c r="AR143" s="65"/>
      <c r="AS143" s="65"/>
      <c r="AT143" s="65"/>
      <c r="AU143" s="65"/>
      <c r="AV143" s="65"/>
      <c r="AW143" s="66"/>
      <c r="AX143" s="66"/>
      <c r="AY143" s="65"/>
      <c r="AZ143" s="65"/>
      <c r="BA143" s="65"/>
      <c r="BB143" s="65"/>
      <c r="BC143" s="65"/>
      <c r="BD143" s="66"/>
      <c r="BE143" s="66"/>
      <c r="BF143" s="65"/>
      <c r="BG143" s="65"/>
      <c r="BH143" s="65"/>
      <c r="BI143" s="65"/>
      <c r="BJ143" s="65"/>
      <c r="BK143" s="66"/>
      <c r="BL143" s="66"/>
      <c r="BM143" s="65"/>
      <c r="BN143" s="65"/>
      <c r="BO143" s="175">
        <f>SUM(F143:AI143)</f>
        <v>0</v>
      </c>
      <c r="BP143" s="22">
        <v>131.57894736842104</v>
      </c>
      <c r="BQ143" s="83">
        <v>0</v>
      </c>
      <c r="BR143" s="22">
        <f>BP143*(1-BQ143)</f>
        <v>131.57894736842104</v>
      </c>
      <c r="BS143" s="22">
        <v>10000</v>
      </c>
      <c r="BT143" s="84">
        <f>BR143*0.8</f>
        <v>105.26315789473684</v>
      </c>
      <c r="BU143" s="32"/>
      <c r="BV143" s="84">
        <f>BS143*0.8</f>
        <v>8000</v>
      </c>
      <c r="BW143" s="84"/>
      <c r="BX143" s="32"/>
      <c r="BY143" s="99">
        <f>BZ143/CC143*100</f>
        <v>2.5183181512009623</v>
      </c>
      <c r="BZ143" s="122">
        <v>3975</v>
      </c>
      <c r="CA143" s="123">
        <f>BY143*BO143</f>
        <v>0</v>
      </c>
      <c r="CB143" s="90">
        <v>320820</v>
      </c>
      <c r="CC143" s="89">
        <v>157843.44</v>
      </c>
      <c r="CD143" s="90">
        <f>CC143*CA143%</f>
        <v>0</v>
      </c>
      <c r="CE143" s="21" t="e">
        <f>BV143/CD143*1000</f>
        <v>#DIV/0!</v>
      </c>
      <c r="CF143" s="10"/>
      <c r="CG143" s="30" t="str">
        <f>C143</f>
        <v>STEREO VALE</v>
      </c>
      <c r="CH143" s="194"/>
      <c r="CI143" s="30" t="e">
        <f>SUM(#REF!)</f>
        <v>#REF!</v>
      </c>
      <c r="CJ143" s="194">
        <f>BX143/2</f>
        <v>0</v>
      </c>
      <c r="CK143" s="30" t="e">
        <f>SUM(#REF!)</f>
        <v>#REF!</v>
      </c>
      <c r="CL143" s="194">
        <f>BZ143/2</f>
        <v>1987.5</v>
      </c>
    </row>
    <row r="144" spans="1:145" s="50" customFormat="1" ht="16.05" hidden="1" customHeight="1" x14ac:dyDescent="0.25">
      <c r="A144" s="32"/>
      <c r="B144" s="202"/>
      <c r="C144" s="116" t="s">
        <v>98</v>
      </c>
      <c r="D144" s="42"/>
      <c r="E144" s="117"/>
      <c r="F144" s="65"/>
      <c r="G144" s="65"/>
      <c r="H144" s="65"/>
      <c r="I144" s="65"/>
      <c r="J144" s="65"/>
      <c r="K144" s="66"/>
      <c r="L144" s="66"/>
      <c r="M144" s="65"/>
      <c r="N144" s="65"/>
      <c r="O144" s="65"/>
      <c r="P144" s="65"/>
      <c r="Q144" s="65"/>
      <c r="R144" s="66"/>
      <c r="S144" s="66"/>
      <c r="T144" s="65"/>
      <c r="U144" s="65"/>
      <c r="V144" s="65"/>
      <c r="W144" s="65"/>
      <c r="X144" s="65"/>
      <c r="Y144" s="66"/>
      <c r="Z144" s="66"/>
      <c r="AA144" s="65"/>
      <c r="AB144" s="65"/>
      <c r="AC144" s="65"/>
      <c r="AD144" s="65"/>
      <c r="AE144" s="65"/>
      <c r="AF144" s="66"/>
      <c r="AG144" s="66"/>
      <c r="AH144" s="65"/>
      <c r="AI144" s="65"/>
      <c r="AJ144" s="65"/>
      <c r="AK144" s="65"/>
      <c r="AL144" s="65"/>
      <c r="AM144" s="65"/>
      <c r="AN144" s="65"/>
      <c r="AO144" s="65"/>
      <c r="AP144" s="66"/>
      <c r="AQ144" s="66"/>
      <c r="AR144" s="65"/>
      <c r="AS144" s="65"/>
      <c r="AT144" s="65"/>
      <c r="AU144" s="65"/>
      <c r="AV144" s="65"/>
      <c r="AW144" s="66"/>
      <c r="AX144" s="66"/>
      <c r="AY144" s="65"/>
      <c r="AZ144" s="65"/>
      <c r="BA144" s="65"/>
      <c r="BB144" s="65"/>
      <c r="BC144" s="65"/>
      <c r="BD144" s="66"/>
      <c r="BE144" s="66"/>
      <c r="BF144" s="65"/>
      <c r="BG144" s="65"/>
      <c r="BH144" s="65"/>
      <c r="BI144" s="65"/>
      <c r="BJ144" s="65"/>
      <c r="BK144" s="66"/>
      <c r="BL144" s="66"/>
      <c r="BM144" s="65"/>
      <c r="BN144" s="65"/>
      <c r="BO144" s="203"/>
      <c r="BP144" s="22"/>
      <c r="BQ144" s="22"/>
      <c r="BR144" s="22"/>
      <c r="BS144" s="22"/>
      <c r="BT144" s="22"/>
      <c r="BU144" s="32"/>
      <c r="BV144" s="22"/>
      <c r="BW144" s="22"/>
      <c r="BX144" s="32"/>
      <c r="BY144" s="121"/>
      <c r="BZ144" s="122"/>
      <c r="CA144" s="123"/>
      <c r="CB144" s="90"/>
      <c r="CC144" s="89"/>
      <c r="CD144" s="90"/>
      <c r="CE144" s="114"/>
      <c r="CF144" s="10"/>
      <c r="CG144" s="30"/>
      <c r="CH144" s="194"/>
      <c r="CI144" s="30"/>
      <c r="CJ144" s="194"/>
      <c r="CK144" s="30"/>
      <c r="CL144" s="194"/>
      <c r="CN144" s="45"/>
      <c r="CO144" s="45"/>
      <c r="CP144" s="45"/>
      <c r="CQ144" s="45"/>
      <c r="CR144" s="45"/>
      <c r="CS144" s="45"/>
      <c r="CT144" s="45"/>
      <c r="CU144" s="45"/>
      <c r="CV144" s="45"/>
      <c r="CW144" s="45"/>
      <c r="CX144" s="45"/>
      <c r="CY144" s="45"/>
      <c r="CZ144" s="45"/>
      <c r="DA144" s="45"/>
      <c r="DB144" s="45"/>
      <c r="DC144" s="45"/>
      <c r="DD144" s="45"/>
      <c r="DE144" s="45"/>
      <c r="DF144" s="45"/>
      <c r="DG144" s="45"/>
      <c r="DH144" s="45"/>
      <c r="DI144" s="45"/>
      <c r="DJ144" s="45"/>
      <c r="DK144" s="45"/>
      <c r="DL144" s="45"/>
      <c r="DM144" s="45"/>
      <c r="DN144" s="45"/>
      <c r="DO144" s="45"/>
      <c r="DP144" s="45"/>
      <c r="DQ144" s="45"/>
      <c r="DR144" s="45"/>
      <c r="DS144" s="45"/>
      <c r="DT144" s="45"/>
      <c r="DU144" s="45"/>
      <c r="DV144" s="45"/>
      <c r="DW144" s="45"/>
      <c r="DX144" s="45"/>
      <c r="DY144" s="45"/>
      <c r="DZ144" s="45"/>
      <c r="EA144" s="45"/>
      <c r="EB144" s="45"/>
      <c r="EC144" s="45"/>
      <c r="ED144" s="45"/>
      <c r="EE144" s="45"/>
      <c r="EF144" s="45"/>
      <c r="EG144" s="45"/>
      <c r="EH144" s="45"/>
      <c r="EI144" s="45"/>
      <c r="EJ144" s="45"/>
      <c r="EK144" s="45"/>
      <c r="EL144" s="45"/>
      <c r="EM144" s="45"/>
      <c r="EN144" s="45"/>
      <c r="EO144" s="45"/>
    </row>
    <row r="145" spans="1:145" s="50" customFormat="1" ht="16.05" hidden="1" customHeight="1" x14ac:dyDescent="0.25">
      <c r="A145" s="32"/>
      <c r="B145" s="202"/>
      <c r="C145" s="81"/>
      <c r="D145" s="95"/>
      <c r="E145" s="39"/>
      <c r="F145" s="65"/>
      <c r="G145" s="65"/>
      <c r="H145" s="65"/>
      <c r="I145" s="65"/>
      <c r="J145" s="65"/>
      <c r="K145" s="66"/>
      <c r="L145" s="66"/>
      <c r="M145" s="65"/>
      <c r="N145" s="65"/>
      <c r="O145" s="65"/>
      <c r="P145" s="65"/>
      <c r="Q145" s="65"/>
      <c r="R145" s="66"/>
      <c r="S145" s="66"/>
      <c r="T145" s="65"/>
      <c r="U145" s="65"/>
      <c r="V145" s="65"/>
      <c r="W145" s="65"/>
      <c r="X145" s="65"/>
      <c r="Y145" s="66"/>
      <c r="Z145" s="66"/>
      <c r="AA145" s="65"/>
      <c r="AB145" s="65"/>
      <c r="AC145" s="65"/>
      <c r="AD145" s="65"/>
      <c r="AE145" s="65"/>
      <c r="AF145" s="66"/>
      <c r="AG145" s="66"/>
      <c r="AH145" s="65"/>
      <c r="AI145" s="65"/>
      <c r="AJ145" s="65"/>
      <c r="AK145" s="65"/>
      <c r="AL145" s="65"/>
      <c r="AM145" s="65"/>
      <c r="AN145" s="65"/>
      <c r="AO145" s="65"/>
      <c r="AP145" s="66"/>
      <c r="AQ145" s="66"/>
      <c r="AR145" s="65"/>
      <c r="AS145" s="65"/>
      <c r="AT145" s="65"/>
      <c r="AU145" s="65"/>
      <c r="AV145" s="65"/>
      <c r="AW145" s="66"/>
      <c r="AX145" s="66"/>
      <c r="AY145" s="65"/>
      <c r="AZ145" s="65"/>
      <c r="BA145" s="65"/>
      <c r="BB145" s="65"/>
      <c r="BC145" s="65"/>
      <c r="BD145" s="66"/>
      <c r="BE145" s="66"/>
      <c r="BF145" s="65"/>
      <c r="BG145" s="65"/>
      <c r="BH145" s="65"/>
      <c r="BI145" s="65"/>
      <c r="BJ145" s="65"/>
      <c r="BK145" s="66"/>
      <c r="BL145" s="66"/>
      <c r="BM145" s="65"/>
      <c r="BN145" s="65"/>
      <c r="BO145" s="118"/>
      <c r="BP145" s="68"/>
      <c r="BQ145" s="68"/>
      <c r="BR145" s="68"/>
      <c r="BS145" s="68"/>
      <c r="BT145" s="200"/>
      <c r="BU145" s="32"/>
      <c r="BV145" s="200"/>
      <c r="BW145" s="200"/>
      <c r="BX145" s="32"/>
      <c r="BY145" s="188"/>
      <c r="BZ145" s="189"/>
      <c r="CA145" s="190"/>
      <c r="CB145" s="191"/>
      <c r="CC145" s="192"/>
      <c r="CD145" s="191"/>
      <c r="CE145" s="18"/>
      <c r="CF145" s="10"/>
      <c r="CG145" s="30"/>
      <c r="CH145" s="194"/>
      <c r="CI145" s="30"/>
      <c r="CJ145" s="194"/>
      <c r="CK145" s="30"/>
      <c r="CL145" s="194"/>
      <c r="CN145" s="45"/>
      <c r="CO145" s="45"/>
      <c r="CP145" s="45"/>
      <c r="CQ145" s="45"/>
      <c r="CR145" s="45"/>
      <c r="CS145" s="45"/>
      <c r="CT145" s="45"/>
      <c r="CU145" s="45"/>
      <c r="CV145" s="45"/>
      <c r="CW145" s="45"/>
      <c r="CX145" s="45"/>
      <c r="CY145" s="45"/>
      <c r="CZ145" s="45"/>
      <c r="DA145" s="45"/>
      <c r="DB145" s="45"/>
      <c r="DC145" s="45"/>
      <c r="DD145" s="45"/>
      <c r="DE145" s="45"/>
      <c r="DF145" s="45"/>
      <c r="DG145" s="45"/>
      <c r="DH145" s="45"/>
      <c r="DI145" s="45"/>
      <c r="DJ145" s="45"/>
      <c r="DK145" s="45"/>
      <c r="DL145" s="45"/>
      <c r="DM145" s="45"/>
      <c r="DN145" s="45"/>
      <c r="DO145" s="45"/>
      <c r="DP145" s="45"/>
      <c r="DQ145" s="45"/>
      <c r="DR145" s="45"/>
      <c r="DS145" s="45"/>
      <c r="DT145" s="45"/>
      <c r="DU145" s="45"/>
      <c r="DV145" s="45"/>
      <c r="DW145" s="45"/>
      <c r="DX145" s="45"/>
      <c r="DY145" s="45"/>
      <c r="DZ145" s="45"/>
      <c r="EA145" s="45"/>
      <c r="EB145" s="45"/>
      <c r="EC145" s="45"/>
      <c r="ED145" s="45"/>
      <c r="EE145" s="45"/>
      <c r="EF145" s="45"/>
      <c r="EG145" s="45"/>
      <c r="EH145" s="45"/>
      <c r="EI145" s="45"/>
      <c r="EJ145" s="45"/>
      <c r="EK145" s="45"/>
      <c r="EL145" s="45"/>
      <c r="EM145" s="45"/>
      <c r="EN145" s="45"/>
      <c r="EO145" s="45"/>
    </row>
    <row r="146" spans="1:145" s="50" customFormat="1" ht="16.05" hidden="1" customHeight="1" x14ac:dyDescent="0.25">
      <c r="A146" s="32"/>
      <c r="B146" s="202"/>
      <c r="C146" s="81" t="s">
        <v>50</v>
      </c>
      <c r="D146" s="95" t="s">
        <v>72</v>
      </c>
      <c r="E146" s="36" t="s">
        <v>18</v>
      </c>
      <c r="F146" s="65"/>
      <c r="G146" s="65"/>
      <c r="H146" s="65"/>
      <c r="I146" s="65"/>
      <c r="J146" s="65"/>
      <c r="K146" s="66"/>
      <c r="L146" s="66"/>
      <c r="M146" s="65"/>
      <c r="N146" s="65"/>
      <c r="O146" s="65"/>
      <c r="P146" s="65"/>
      <c r="Q146" s="65"/>
      <c r="R146" s="66"/>
      <c r="S146" s="66"/>
      <c r="T146" s="65"/>
      <c r="U146" s="65"/>
      <c r="V146" s="65"/>
      <c r="W146" s="65"/>
      <c r="X146" s="65"/>
      <c r="Y146" s="66"/>
      <c r="Z146" s="66"/>
      <c r="AA146" s="65"/>
      <c r="AB146" s="65"/>
      <c r="AC146" s="65"/>
      <c r="AD146" s="65"/>
      <c r="AE146" s="65"/>
      <c r="AF146" s="66"/>
      <c r="AG146" s="66"/>
      <c r="AH146" s="65"/>
      <c r="AI146" s="65"/>
      <c r="AJ146" s="65"/>
      <c r="AK146" s="65"/>
      <c r="AL146" s="65"/>
      <c r="AM146" s="65"/>
      <c r="AN146" s="65"/>
      <c r="AO146" s="65"/>
      <c r="AP146" s="66"/>
      <c r="AQ146" s="66"/>
      <c r="AR146" s="65"/>
      <c r="AS146" s="65"/>
      <c r="AT146" s="65"/>
      <c r="AU146" s="65"/>
      <c r="AV146" s="65"/>
      <c r="AW146" s="66"/>
      <c r="AX146" s="66"/>
      <c r="AY146" s="65"/>
      <c r="AZ146" s="65"/>
      <c r="BA146" s="65"/>
      <c r="BB146" s="65"/>
      <c r="BC146" s="65"/>
      <c r="BD146" s="66"/>
      <c r="BE146" s="66"/>
      <c r="BF146" s="65"/>
      <c r="BG146" s="65"/>
      <c r="BH146" s="65"/>
      <c r="BI146" s="65"/>
      <c r="BJ146" s="65"/>
      <c r="BK146" s="66"/>
      <c r="BL146" s="66"/>
      <c r="BM146" s="65"/>
      <c r="BN146" s="65"/>
      <c r="BO146" s="175">
        <f>SUM(F146:AI146)</f>
        <v>0</v>
      </c>
      <c r="BP146" s="22">
        <v>157.89473684210526</v>
      </c>
      <c r="BQ146" s="83">
        <v>0</v>
      </c>
      <c r="BR146" s="22">
        <f>BP146*(1-BQ146)</f>
        <v>157.89473684210526</v>
      </c>
      <c r="BS146" s="22">
        <v>12000</v>
      </c>
      <c r="BT146" s="84">
        <f>BR146*0.8</f>
        <v>126.31578947368422</v>
      </c>
      <c r="BU146" s="32"/>
      <c r="BV146" s="84">
        <f>BS146*0.8</f>
        <v>9600</v>
      </c>
      <c r="BW146" s="84"/>
      <c r="BX146" s="32"/>
      <c r="BY146" s="99">
        <f>BZ146/CC146*100</f>
        <v>5.2780147214226956</v>
      </c>
      <c r="BZ146" s="122">
        <v>8331</v>
      </c>
      <c r="CA146" s="123">
        <f>BY146*BO146</f>
        <v>0</v>
      </c>
      <c r="CB146" s="90">
        <v>320820</v>
      </c>
      <c r="CC146" s="89">
        <v>157843.44</v>
      </c>
      <c r="CD146" s="90">
        <f>CC146*CA146%</f>
        <v>0</v>
      </c>
      <c r="CE146" s="21" t="e">
        <f>BV146/CD146*1000</f>
        <v>#DIV/0!</v>
      </c>
      <c r="CF146" s="10"/>
      <c r="CG146" s="30" t="str">
        <f>C146</f>
        <v>NATIVA FM</v>
      </c>
      <c r="CH146" s="194"/>
      <c r="CI146" s="30" t="e">
        <f>SUM(#REF!)</f>
        <v>#REF!</v>
      </c>
      <c r="CJ146" s="194">
        <f>BX146/2</f>
        <v>0</v>
      </c>
      <c r="CK146" s="30" t="e">
        <f>SUM(#REF!)</f>
        <v>#REF!</v>
      </c>
      <c r="CL146" s="194">
        <f>BZ146/2</f>
        <v>4165.5</v>
      </c>
      <c r="CN146" s="45"/>
      <c r="CO146" s="45"/>
      <c r="CP146" s="45"/>
      <c r="CQ146" s="45"/>
      <c r="CR146" s="45"/>
      <c r="CS146" s="45"/>
      <c r="CT146" s="45"/>
      <c r="CU146" s="45"/>
      <c r="CV146" s="45"/>
      <c r="CW146" s="45"/>
      <c r="CX146" s="45"/>
      <c r="CY146" s="45"/>
      <c r="CZ146" s="45"/>
      <c r="DA146" s="45"/>
      <c r="DB146" s="45"/>
      <c r="DC146" s="45"/>
      <c r="DD146" s="45"/>
      <c r="DE146" s="45"/>
      <c r="DF146" s="45"/>
      <c r="DG146" s="45"/>
      <c r="DH146" s="45"/>
      <c r="DI146" s="45"/>
      <c r="DJ146" s="45"/>
      <c r="DK146" s="45"/>
      <c r="DL146" s="45"/>
      <c r="DM146" s="45"/>
      <c r="DN146" s="45"/>
      <c r="DO146" s="45"/>
      <c r="DP146" s="45"/>
      <c r="DQ146" s="45"/>
      <c r="DR146" s="45"/>
      <c r="DS146" s="45"/>
      <c r="DT146" s="45"/>
      <c r="DU146" s="45"/>
      <c r="DV146" s="45"/>
      <c r="DW146" s="45"/>
      <c r="DX146" s="45"/>
      <c r="DY146" s="45"/>
      <c r="DZ146" s="45"/>
      <c r="EA146" s="45"/>
      <c r="EB146" s="45"/>
      <c r="EC146" s="45"/>
      <c r="ED146" s="45"/>
      <c r="EE146" s="45"/>
      <c r="EF146" s="45"/>
      <c r="EG146" s="45"/>
      <c r="EH146" s="45"/>
      <c r="EI146" s="45"/>
      <c r="EJ146" s="45"/>
      <c r="EK146" s="45"/>
      <c r="EL146" s="45"/>
      <c r="EM146" s="45"/>
      <c r="EN146" s="45"/>
      <c r="EO146" s="45"/>
    </row>
    <row r="147" spans="1:145" s="50" customFormat="1" ht="16.05" hidden="1" customHeight="1" x14ac:dyDescent="0.25">
      <c r="A147" s="32"/>
      <c r="B147" s="202"/>
      <c r="C147" s="116" t="s">
        <v>98</v>
      </c>
      <c r="D147" s="42"/>
      <c r="E147" s="117"/>
      <c r="F147" s="65"/>
      <c r="G147" s="65"/>
      <c r="H147" s="65"/>
      <c r="I147" s="65"/>
      <c r="J147" s="65"/>
      <c r="K147" s="66"/>
      <c r="L147" s="66"/>
      <c r="M147" s="65"/>
      <c r="N147" s="65"/>
      <c r="O147" s="65"/>
      <c r="P147" s="65"/>
      <c r="Q147" s="65"/>
      <c r="R147" s="66"/>
      <c r="S147" s="66"/>
      <c r="T147" s="65"/>
      <c r="U147" s="65"/>
      <c r="V147" s="65"/>
      <c r="W147" s="65"/>
      <c r="X147" s="65"/>
      <c r="Y147" s="66"/>
      <c r="Z147" s="66"/>
      <c r="AA147" s="65"/>
      <c r="AB147" s="65"/>
      <c r="AC147" s="65"/>
      <c r="AD147" s="65"/>
      <c r="AE147" s="65"/>
      <c r="AF147" s="66"/>
      <c r="AG147" s="66"/>
      <c r="AH147" s="65"/>
      <c r="AI147" s="65"/>
      <c r="AJ147" s="65"/>
      <c r="AK147" s="65"/>
      <c r="AL147" s="65"/>
      <c r="AM147" s="65"/>
      <c r="AN147" s="65"/>
      <c r="AO147" s="65"/>
      <c r="AP147" s="66"/>
      <c r="AQ147" s="66"/>
      <c r="AR147" s="65"/>
      <c r="AS147" s="65"/>
      <c r="AT147" s="65"/>
      <c r="AU147" s="65"/>
      <c r="AV147" s="65"/>
      <c r="AW147" s="66"/>
      <c r="AX147" s="66"/>
      <c r="AY147" s="65"/>
      <c r="AZ147" s="65"/>
      <c r="BA147" s="65"/>
      <c r="BB147" s="65"/>
      <c r="BC147" s="65"/>
      <c r="BD147" s="66"/>
      <c r="BE147" s="66"/>
      <c r="BF147" s="65"/>
      <c r="BG147" s="65"/>
      <c r="BH147" s="65"/>
      <c r="BI147" s="65"/>
      <c r="BJ147" s="65"/>
      <c r="BK147" s="66"/>
      <c r="BL147" s="66"/>
      <c r="BM147" s="65"/>
      <c r="BN147" s="65"/>
      <c r="BO147" s="203"/>
      <c r="BP147" s="22"/>
      <c r="BQ147" s="22"/>
      <c r="BR147" s="22"/>
      <c r="BS147" s="22"/>
      <c r="BT147" s="22"/>
      <c r="BU147" s="32"/>
      <c r="BV147" s="22"/>
      <c r="BW147" s="22"/>
      <c r="BX147" s="32"/>
      <c r="BY147" s="121"/>
      <c r="BZ147" s="122"/>
      <c r="CA147" s="123"/>
      <c r="CB147" s="90"/>
      <c r="CC147" s="89"/>
      <c r="CD147" s="90"/>
      <c r="CE147" s="114"/>
      <c r="CF147" s="10"/>
      <c r="CG147" s="30"/>
      <c r="CH147" s="194"/>
      <c r="CI147" s="30"/>
      <c r="CJ147" s="194"/>
      <c r="CK147" s="30"/>
      <c r="CL147" s="194"/>
      <c r="CN147" s="45"/>
      <c r="CO147" s="45"/>
      <c r="CP147" s="45"/>
      <c r="CQ147" s="45"/>
      <c r="CR147" s="45"/>
      <c r="CS147" s="45"/>
      <c r="CT147" s="45"/>
      <c r="CU147" s="45"/>
      <c r="CV147" s="45"/>
      <c r="CW147" s="45"/>
      <c r="CX147" s="45"/>
      <c r="CY147" s="45"/>
      <c r="CZ147" s="45"/>
      <c r="DA147" s="45"/>
      <c r="DB147" s="45"/>
      <c r="DC147" s="45"/>
      <c r="DD147" s="45"/>
      <c r="DE147" s="45"/>
      <c r="DF147" s="45"/>
      <c r="DG147" s="45"/>
      <c r="DH147" s="45"/>
      <c r="DI147" s="45"/>
      <c r="DJ147" s="45"/>
      <c r="DK147" s="45"/>
      <c r="DL147" s="45"/>
      <c r="DM147" s="45"/>
      <c r="DN147" s="45"/>
      <c r="DO147" s="45"/>
      <c r="DP147" s="45"/>
      <c r="DQ147" s="45"/>
      <c r="DR147" s="45"/>
      <c r="DS147" s="45"/>
      <c r="DT147" s="45"/>
      <c r="DU147" s="45"/>
      <c r="DV147" s="45"/>
      <c r="DW147" s="45"/>
      <c r="DX147" s="45"/>
      <c r="DY147" s="45"/>
      <c r="DZ147" s="45"/>
      <c r="EA147" s="45"/>
      <c r="EB147" s="45"/>
      <c r="EC147" s="45"/>
      <c r="ED147" s="45"/>
      <c r="EE147" s="45"/>
      <c r="EF147" s="45"/>
      <c r="EG147" s="45"/>
      <c r="EH147" s="45"/>
      <c r="EI147" s="45"/>
      <c r="EJ147" s="45"/>
      <c r="EK147" s="45"/>
      <c r="EL147" s="45"/>
      <c r="EM147" s="45"/>
      <c r="EN147" s="45"/>
      <c r="EO147" s="45"/>
    </row>
    <row r="148" spans="1:145" s="50" customFormat="1" ht="16.05" hidden="1" customHeight="1" x14ac:dyDescent="0.25">
      <c r="A148" s="32"/>
      <c r="B148" s="202"/>
      <c r="C148" s="81"/>
      <c r="D148" s="95"/>
      <c r="E148" s="39"/>
      <c r="F148" s="65"/>
      <c r="G148" s="65"/>
      <c r="H148" s="65"/>
      <c r="I148" s="65"/>
      <c r="J148" s="65"/>
      <c r="K148" s="66"/>
      <c r="L148" s="66"/>
      <c r="M148" s="65"/>
      <c r="N148" s="65"/>
      <c r="O148" s="65"/>
      <c r="P148" s="65"/>
      <c r="Q148" s="65"/>
      <c r="R148" s="66"/>
      <c r="S148" s="66"/>
      <c r="T148" s="65"/>
      <c r="U148" s="65"/>
      <c r="V148" s="65"/>
      <c r="W148" s="65"/>
      <c r="X148" s="65"/>
      <c r="Y148" s="66"/>
      <c r="Z148" s="66"/>
      <c r="AA148" s="65"/>
      <c r="AB148" s="65"/>
      <c r="AC148" s="65"/>
      <c r="AD148" s="65"/>
      <c r="AE148" s="65"/>
      <c r="AF148" s="66"/>
      <c r="AG148" s="66"/>
      <c r="AH148" s="65"/>
      <c r="AI148" s="65"/>
      <c r="AJ148" s="65"/>
      <c r="AK148" s="65"/>
      <c r="AL148" s="65"/>
      <c r="AM148" s="65"/>
      <c r="AN148" s="65"/>
      <c r="AO148" s="65"/>
      <c r="AP148" s="66"/>
      <c r="AQ148" s="66"/>
      <c r="AR148" s="65"/>
      <c r="AS148" s="65"/>
      <c r="AT148" s="65"/>
      <c r="AU148" s="65"/>
      <c r="AV148" s="65"/>
      <c r="AW148" s="66"/>
      <c r="AX148" s="66"/>
      <c r="AY148" s="65"/>
      <c r="AZ148" s="65"/>
      <c r="BA148" s="65"/>
      <c r="BB148" s="65"/>
      <c r="BC148" s="65"/>
      <c r="BD148" s="66"/>
      <c r="BE148" s="66"/>
      <c r="BF148" s="65"/>
      <c r="BG148" s="65"/>
      <c r="BH148" s="65"/>
      <c r="BI148" s="65"/>
      <c r="BJ148" s="65"/>
      <c r="BK148" s="66"/>
      <c r="BL148" s="66"/>
      <c r="BM148" s="65"/>
      <c r="BN148" s="65"/>
      <c r="BO148" s="118"/>
      <c r="BP148" s="68"/>
      <c r="BQ148" s="68"/>
      <c r="BR148" s="68"/>
      <c r="BS148" s="68"/>
      <c r="BT148" s="200"/>
      <c r="BU148" s="32"/>
      <c r="BV148" s="200"/>
      <c r="BW148" s="200"/>
      <c r="BX148" s="32"/>
      <c r="BY148" s="188"/>
      <c r="BZ148" s="189"/>
      <c r="CA148" s="190"/>
      <c r="CB148" s="191"/>
      <c r="CC148" s="192"/>
      <c r="CD148" s="191"/>
      <c r="CE148" s="18"/>
      <c r="CF148" s="10"/>
      <c r="CG148" s="30"/>
      <c r="CH148" s="194"/>
      <c r="CI148" s="30"/>
      <c r="CJ148" s="194"/>
      <c r="CK148" s="30"/>
      <c r="CL148" s="194"/>
      <c r="CN148" s="45"/>
      <c r="CO148" s="45"/>
      <c r="CP148" s="45"/>
      <c r="CQ148" s="45"/>
      <c r="CR148" s="45"/>
      <c r="CS148" s="45"/>
      <c r="CT148" s="45"/>
      <c r="CU148" s="45"/>
      <c r="CV148" s="45"/>
      <c r="CW148" s="45"/>
      <c r="CX148" s="45"/>
      <c r="CY148" s="45"/>
      <c r="CZ148" s="45"/>
      <c r="DA148" s="45"/>
      <c r="DB148" s="45"/>
      <c r="DC148" s="45"/>
      <c r="DD148" s="45"/>
      <c r="DE148" s="45"/>
      <c r="DF148" s="45"/>
      <c r="DG148" s="45"/>
      <c r="DH148" s="45"/>
      <c r="DI148" s="45"/>
      <c r="DJ148" s="45"/>
      <c r="DK148" s="45"/>
      <c r="DL148" s="45"/>
      <c r="DM148" s="45"/>
      <c r="DN148" s="45"/>
      <c r="DO148" s="45"/>
      <c r="DP148" s="45"/>
      <c r="DQ148" s="45"/>
      <c r="DR148" s="45"/>
      <c r="DS148" s="45"/>
      <c r="DT148" s="45"/>
      <c r="DU148" s="45"/>
      <c r="DV148" s="45"/>
      <c r="DW148" s="45"/>
      <c r="DX148" s="45"/>
      <c r="DY148" s="45"/>
      <c r="DZ148" s="45"/>
      <c r="EA148" s="45"/>
      <c r="EB148" s="45"/>
      <c r="EC148" s="45"/>
      <c r="ED148" s="45"/>
      <c r="EE148" s="45"/>
      <c r="EF148" s="45"/>
      <c r="EG148" s="45"/>
      <c r="EH148" s="45"/>
      <c r="EI148" s="45"/>
      <c r="EJ148" s="45"/>
      <c r="EK148" s="45"/>
      <c r="EL148" s="45"/>
      <c r="EM148" s="45"/>
      <c r="EN148" s="45"/>
      <c r="EO148" s="45"/>
    </row>
    <row r="149" spans="1:145" s="50" customFormat="1" ht="16.05" hidden="1" customHeight="1" x14ac:dyDescent="0.25">
      <c r="A149" s="32"/>
      <c r="B149" s="202"/>
      <c r="C149" s="81" t="s">
        <v>100</v>
      </c>
      <c r="D149" s="95" t="s">
        <v>72</v>
      </c>
      <c r="E149" s="36" t="s">
        <v>18</v>
      </c>
      <c r="F149" s="65"/>
      <c r="G149" s="65"/>
      <c r="H149" s="65"/>
      <c r="I149" s="65"/>
      <c r="J149" s="65"/>
      <c r="K149" s="66"/>
      <c r="L149" s="66"/>
      <c r="M149" s="65"/>
      <c r="N149" s="65"/>
      <c r="O149" s="65"/>
      <c r="P149" s="65"/>
      <c r="Q149" s="65"/>
      <c r="R149" s="66"/>
      <c r="S149" s="66"/>
      <c r="T149" s="65"/>
      <c r="U149" s="65"/>
      <c r="V149" s="65"/>
      <c r="W149" s="65"/>
      <c r="X149" s="65"/>
      <c r="Y149" s="66"/>
      <c r="Z149" s="66"/>
      <c r="AA149" s="65"/>
      <c r="AB149" s="65"/>
      <c r="AC149" s="65"/>
      <c r="AD149" s="65"/>
      <c r="AE149" s="65"/>
      <c r="AF149" s="66"/>
      <c r="AG149" s="66"/>
      <c r="AH149" s="65"/>
      <c r="AI149" s="65"/>
      <c r="AJ149" s="65"/>
      <c r="AK149" s="65"/>
      <c r="AL149" s="65"/>
      <c r="AM149" s="65"/>
      <c r="AN149" s="65"/>
      <c r="AO149" s="65"/>
      <c r="AP149" s="66"/>
      <c r="AQ149" s="66"/>
      <c r="AR149" s="65"/>
      <c r="AS149" s="65"/>
      <c r="AT149" s="65"/>
      <c r="AU149" s="65"/>
      <c r="AV149" s="65"/>
      <c r="AW149" s="66"/>
      <c r="AX149" s="66"/>
      <c r="AY149" s="65"/>
      <c r="AZ149" s="65"/>
      <c r="BA149" s="65"/>
      <c r="BB149" s="65"/>
      <c r="BC149" s="65"/>
      <c r="BD149" s="66"/>
      <c r="BE149" s="66"/>
      <c r="BF149" s="65"/>
      <c r="BG149" s="65"/>
      <c r="BH149" s="65"/>
      <c r="BI149" s="65"/>
      <c r="BJ149" s="65"/>
      <c r="BK149" s="66"/>
      <c r="BL149" s="66"/>
      <c r="BM149" s="65"/>
      <c r="BN149" s="65"/>
      <c r="BO149" s="175">
        <f>SUM(F149:AI149)</f>
        <v>0</v>
      </c>
      <c r="BP149" s="22">
        <v>255</v>
      </c>
      <c r="BQ149" s="83">
        <f>(BP149-BR149)/BP149</f>
        <v>0.4</v>
      </c>
      <c r="BR149" s="22">
        <v>153</v>
      </c>
      <c r="BS149" s="22">
        <f>BR149*BO149</f>
        <v>0</v>
      </c>
      <c r="BT149" s="84">
        <f>BR149*0.8</f>
        <v>122.4</v>
      </c>
      <c r="BU149" s="32"/>
      <c r="BV149" s="84">
        <f>BS149*0.8</f>
        <v>0</v>
      </c>
      <c r="BW149" s="84"/>
      <c r="BX149" s="32"/>
      <c r="BY149" s="99">
        <f>BZ149/CC149*100</f>
        <v>7.6189419085139045</v>
      </c>
      <c r="BZ149" s="122">
        <v>12026</v>
      </c>
      <c r="CA149" s="123">
        <f>BY149*BO149</f>
        <v>0</v>
      </c>
      <c r="CB149" s="90">
        <v>320820</v>
      </c>
      <c r="CC149" s="89">
        <v>157843.44</v>
      </c>
      <c r="CD149" s="90">
        <f>CC149*CA149%</f>
        <v>0</v>
      </c>
      <c r="CE149" s="21" t="e">
        <f>BV149/CD149*1000</f>
        <v>#DIV/0!</v>
      </c>
      <c r="CF149" s="10"/>
      <c r="CG149" s="30" t="str">
        <f>C149</f>
        <v>ÓTIMA FM</v>
      </c>
      <c r="CH149" s="194"/>
      <c r="CI149" s="30" t="e">
        <f>SUM(#REF!)</f>
        <v>#REF!</v>
      </c>
      <c r="CJ149" s="194" t="e">
        <f>#REF!*CI149</f>
        <v>#REF!</v>
      </c>
      <c r="CK149" s="30" t="e">
        <f>SUM(#REF!)</f>
        <v>#REF!</v>
      </c>
      <c r="CL149" s="194" t="e">
        <f>#REF!*CK149</f>
        <v>#REF!</v>
      </c>
      <c r="CN149" s="45"/>
      <c r="CO149" s="45"/>
      <c r="CP149" s="45"/>
      <c r="CQ149" s="45"/>
      <c r="CR149" s="45"/>
      <c r="CS149" s="45"/>
      <c r="CT149" s="45"/>
      <c r="CU149" s="45"/>
      <c r="CV149" s="45"/>
      <c r="CW149" s="45"/>
      <c r="CX149" s="45"/>
      <c r="CY149" s="45"/>
      <c r="CZ149" s="45"/>
      <c r="DA149" s="45"/>
      <c r="DB149" s="45"/>
      <c r="DC149" s="45"/>
      <c r="DD149" s="45"/>
      <c r="DE149" s="45"/>
      <c r="DF149" s="45"/>
      <c r="DG149" s="45"/>
      <c r="DH149" s="45"/>
      <c r="DI149" s="45"/>
      <c r="DJ149" s="45"/>
      <c r="DK149" s="45"/>
      <c r="DL149" s="45"/>
      <c r="DM149" s="45"/>
      <c r="DN149" s="45"/>
      <c r="DO149" s="45"/>
      <c r="DP149" s="45"/>
      <c r="DQ149" s="45"/>
      <c r="DR149" s="45"/>
      <c r="DS149" s="45"/>
      <c r="DT149" s="45"/>
      <c r="DU149" s="45"/>
      <c r="DV149" s="45"/>
      <c r="DW149" s="45"/>
      <c r="DX149" s="45"/>
      <c r="DY149" s="45"/>
      <c r="DZ149" s="45"/>
      <c r="EA149" s="45"/>
      <c r="EB149" s="45"/>
      <c r="EC149" s="45"/>
      <c r="ED149" s="45"/>
      <c r="EE149" s="45"/>
      <c r="EF149" s="45"/>
      <c r="EG149" s="45"/>
      <c r="EH149" s="45"/>
      <c r="EI149" s="45"/>
      <c r="EJ149" s="45"/>
      <c r="EK149" s="45"/>
      <c r="EL149" s="45"/>
      <c r="EM149" s="45"/>
      <c r="EN149" s="45"/>
      <c r="EO149" s="45"/>
    </row>
    <row r="150" spans="1:145" s="50" customFormat="1" ht="16.05" hidden="1" customHeight="1" x14ac:dyDescent="0.25">
      <c r="A150" s="32"/>
      <c r="B150" s="202"/>
      <c r="C150" s="116" t="s">
        <v>98</v>
      </c>
      <c r="D150" s="42"/>
      <c r="E150" s="117"/>
      <c r="F150" s="65"/>
      <c r="G150" s="65"/>
      <c r="H150" s="65"/>
      <c r="I150" s="65"/>
      <c r="J150" s="65"/>
      <c r="K150" s="66"/>
      <c r="L150" s="66"/>
      <c r="M150" s="65"/>
      <c r="N150" s="65"/>
      <c r="O150" s="65"/>
      <c r="P150" s="65"/>
      <c r="Q150" s="65"/>
      <c r="R150" s="66"/>
      <c r="S150" s="66"/>
      <c r="T150" s="65"/>
      <c r="U150" s="65"/>
      <c r="V150" s="65"/>
      <c r="W150" s="65"/>
      <c r="X150" s="65"/>
      <c r="Y150" s="66"/>
      <c r="Z150" s="66"/>
      <c r="AA150" s="65"/>
      <c r="AB150" s="65"/>
      <c r="AC150" s="65"/>
      <c r="AD150" s="65"/>
      <c r="AE150" s="65"/>
      <c r="AF150" s="66"/>
      <c r="AG150" s="66"/>
      <c r="AH150" s="65"/>
      <c r="AI150" s="65"/>
      <c r="AJ150" s="65"/>
      <c r="AK150" s="65"/>
      <c r="AL150" s="65"/>
      <c r="AM150" s="65"/>
      <c r="AN150" s="65"/>
      <c r="AO150" s="65"/>
      <c r="AP150" s="66"/>
      <c r="AQ150" s="66"/>
      <c r="AR150" s="65"/>
      <c r="AS150" s="65"/>
      <c r="AT150" s="65"/>
      <c r="AU150" s="65"/>
      <c r="AV150" s="65"/>
      <c r="AW150" s="66"/>
      <c r="AX150" s="66"/>
      <c r="AY150" s="65"/>
      <c r="AZ150" s="65"/>
      <c r="BA150" s="65"/>
      <c r="BB150" s="65"/>
      <c r="BC150" s="65"/>
      <c r="BD150" s="66"/>
      <c r="BE150" s="66"/>
      <c r="BF150" s="65"/>
      <c r="BG150" s="65"/>
      <c r="BH150" s="65"/>
      <c r="BI150" s="65"/>
      <c r="BJ150" s="65"/>
      <c r="BK150" s="66"/>
      <c r="BL150" s="66"/>
      <c r="BM150" s="65"/>
      <c r="BN150" s="65"/>
      <c r="BO150" s="203"/>
      <c r="BP150" s="22"/>
      <c r="BQ150" s="22"/>
      <c r="BR150" s="22"/>
      <c r="BS150" s="22"/>
      <c r="BT150" s="22"/>
      <c r="BU150" s="32"/>
      <c r="BV150" s="22"/>
      <c r="BW150" s="22"/>
      <c r="BX150" s="32"/>
      <c r="BY150" s="121"/>
      <c r="BZ150" s="122"/>
      <c r="CA150" s="123"/>
      <c r="CB150" s="90"/>
      <c r="CC150" s="89"/>
      <c r="CD150" s="90"/>
      <c r="CE150" s="114"/>
      <c r="CF150" s="10"/>
      <c r="CG150" s="30"/>
      <c r="CH150" s="194"/>
      <c r="CI150" s="30"/>
      <c r="CJ150" s="194"/>
      <c r="CK150" s="30"/>
      <c r="CL150" s="194"/>
      <c r="CN150" s="45"/>
      <c r="CO150" s="45"/>
      <c r="CP150" s="45"/>
      <c r="CQ150" s="45"/>
      <c r="CR150" s="45"/>
      <c r="CS150" s="45"/>
      <c r="CT150" s="45"/>
      <c r="CU150" s="45"/>
      <c r="CV150" s="45"/>
      <c r="CW150" s="45"/>
      <c r="CX150" s="45"/>
      <c r="CY150" s="45"/>
      <c r="CZ150" s="45"/>
      <c r="DA150" s="45"/>
      <c r="DB150" s="45"/>
      <c r="DC150" s="45"/>
      <c r="DD150" s="45"/>
      <c r="DE150" s="45"/>
      <c r="DF150" s="45"/>
      <c r="DG150" s="45"/>
      <c r="DH150" s="45"/>
      <c r="DI150" s="45"/>
      <c r="DJ150" s="45"/>
      <c r="DK150" s="45"/>
      <c r="DL150" s="45"/>
      <c r="DM150" s="45"/>
      <c r="DN150" s="45"/>
      <c r="DO150" s="45"/>
      <c r="DP150" s="45"/>
      <c r="DQ150" s="45"/>
      <c r="DR150" s="45"/>
      <c r="DS150" s="45"/>
      <c r="DT150" s="45"/>
      <c r="DU150" s="45"/>
      <c r="DV150" s="45"/>
      <c r="DW150" s="45"/>
      <c r="DX150" s="45"/>
      <c r="DY150" s="45"/>
      <c r="DZ150" s="45"/>
      <c r="EA150" s="45"/>
      <c r="EB150" s="45"/>
      <c r="EC150" s="45"/>
      <c r="ED150" s="45"/>
      <c r="EE150" s="45"/>
      <c r="EF150" s="45"/>
      <c r="EG150" s="45"/>
      <c r="EH150" s="45"/>
      <c r="EI150" s="45"/>
      <c r="EJ150" s="45"/>
      <c r="EK150" s="45"/>
      <c r="EL150" s="45"/>
      <c r="EM150" s="45"/>
      <c r="EN150" s="45"/>
      <c r="EO150" s="45"/>
    </row>
    <row r="151" spans="1:145" s="50" customFormat="1" ht="16.05" hidden="1" customHeight="1" x14ac:dyDescent="0.25">
      <c r="A151" s="32"/>
      <c r="B151" s="202"/>
      <c r="C151" s="81"/>
      <c r="D151" s="95"/>
      <c r="E151" s="39"/>
      <c r="F151" s="65"/>
      <c r="G151" s="65"/>
      <c r="H151" s="65"/>
      <c r="I151" s="65"/>
      <c r="J151" s="65"/>
      <c r="K151" s="66"/>
      <c r="L151" s="66"/>
      <c r="M151" s="65"/>
      <c r="N151" s="65"/>
      <c r="O151" s="65"/>
      <c r="P151" s="65"/>
      <c r="Q151" s="65"/>
      <c r="R151" s="66"/>
      <c r="S151" s="66"/>
      <c r="T151" s="65"/>
      <c r="U151" s="65"/>
      <c r="V151" s="65"/>
      <c r="W151" s="65"/>
      <c r="X151" s="65"/>
      <c r="Y151" s="66"/>
      <c r="Z151" s="66"/>
      <c r="AA151" s="65"/>
      <c r="AB151" s="65"/>
      <c r="AC151" s="65"/>
      <c r="AD151" s="65"/>
      <c r="AE151" s="65"/>
      <c r="AF151" s="66"/>
      <c r="AG151" s="66"/>
      <c r="AH151" s="65"/>
      <c r="AI151" s="65"/>
      <c r="AJ151" s="65"/>
      <c r="AK151" s="65"/>
      <c r="AL151" s="65"/>
      <c r="AM151" s="65"/>
      <c r="AN151" s="65"/>
      <c r="AO151" s="65"/>
      <c r="AP151" s="66"/>
      <c r="AQ151" s="66"/>
      <c r="AR151" s="65"/>
      <c r="AS151" s="65"/>
      <c r="AT151" s="65"/>
      <c r="AU151" s="65"/>
      <c r="AV151" s="65"/>
      <c r="AW151" s="66"/>
      <c r="AX151" s="66"/>
      <c r="AY151" s="65"/>
      <c r="AZ151" s="65"/>
      <c r="BA151" s="65"/>
      <c r="BB151" s="65"/>
      <c r="BC151" s="65"/>
      <c r="BD151" s="66"/>
      <c r="BE151" s="66"/>
      <c r="BF151" s="65"/>
      <c r="BG151" s="65"/>
      <c r="BH151" s="65"/>
      <c r="BI151" s="65"/>
      <c r="BJ151" s="65"/>
      <c r="BK151" s="66"/>
      <c r="BL151" s="66"/>
      <c r="BM151" s="65"/>
      <c r="BN151" s="65"/>
      <c r="BO151" s="118"/>
      <c r="BP151" s="68"/>
      <c r="BQ151" s="68"/>
      <c r="BR151" s="68"/>
      <c r="BS151" s="68"/>
      <c r="BT151" s="200"/>
      <c r="BU151" s="32"/>
      <c r="BV151" s="200"/>
      <c r="BW151" s="200"/>
      <c r="BX151" s="32"/>
      <c r="BY151" s="188"/>
      <c r="BZ151" s="189"/>
      <c r="CA151" s="190"/>
      <c r="CB151" s="191"/>
      <c r="CC151" s="192"/>
      <c r="CD151" s="191"/>
      <c r="CE151" s="18"/>
      <c r="CF151" s="10"/>
      <c r="CG151" s="30"/>
      <c r="CH151" s="194"/>
      <c r="CI151" s="30"/>
      <c r="CJ151" s="194"/>
      <c r="CK151" s="30"/>
      <c r="CL151" s="194"/>
      <c r="CN151" s="45"/>
      <c r="CO151" s="45"/>
      <c r="CP151" s="45"/>
      <c r="CQ151" s="45"/>
      <c r="CR151" s="45"/>
      <c r="CS151" s="45"/>
      <c r="CT151" s="45"/>
      <c r="CU151" s="45"/>
      <c r="CV151" s="45"/>
      <c r="CW151" s="45"/>
      <c r="CX151" s="45"/>
      <c r="CY151" s="45"/>
      <c r="CZ151" s="45"/>
      <c r="DA151" s="45"/>
      <c r="DB151" s="45"/>
      <c r="DC151" s="45"/>
      <c r="DD151" s="45"/>
      <c r="DE151" s="45"/>
      <c r="DF151" s="45"/>
      <c r="DG151" s="45"/>
      <c r="DH151" s="45"/>
      <c r="DI151" s="45"/>
      <c r="DJ151" s="45"/>
      <c r="DK151" s="45"/>
      <c r="DL151" s="45"/>
      <c r="DM151" s="45"/>
      <c r="DN151" s="45"/>
      <c r="DO151" s="45"/>
      <c r="DP151" s="45"/>
      <c r="DQ151" s="45"/>
      <c r="DR151" s="45"/>
      <c r="DS151" s="45"/>
      <c r="DT151" s="45"/>
      <c r="DU151" s="45"/>
      <c r="DV151" s="45"/>
      <c r="DW151" s="45"/>
      <c r="DX151" s="45"/>
      <c r="DY151" s="45"/>
      <c r="DZ151" s="45"/>
      <c r="EA151" s="45"/>
      <c r="EB151" s="45"/>
      <c r="EC151" s="45"/>
      <c r="ED151" s="45"/>
      <c r="EE151" s="45"/>
      <c r="EF151" s="45"/>
      <c r="EG151" s="45"/>
      <c r="EH151" s="45"/>
      <c r="EI151" s="45"/>
      <c r="EJ151" s="45"/>
      <c r="EK151" s="45"/>
      <c r="EL151" s="45"/>
      <c r="EM151" s="45"/>
      <c r="EN151" s="45"/>
      <c r="EO151" s="45"/>
    </row>
    <row r="152" spans="1:145" s="50" customFormat="1" ht="16.05" hidden="1" customHeight="1" x14ac:dyDescent="0.25">
      <c r="A152" s="32"/>
      <c r="B152" s="202"/>
      <c r="C152" s="81" t="s">
        <v>101</v>
      </c>
      <c r="D152" s="95" t="s">
        <v>72</v>
      </c>
      <c r="E152" s="36" t="s">
        <v>18</v>
      </c>
      <c r="F152" s="65"/>
      <c r="G152" s="65"/>
      <c r="H152" s="65"/>
      <c r="I152" s="65"/>
      <c r="J152" s="65"/>
      <c r="K152" s="66"/>
      <c r="L152" s="66"/>
      <c r="M152" s="65"/>
      <c r="N152" s="65"/>
      <c r="O152" s="65"/>
      <c r="P152" s="65"/>
      <c r="Q152" s="65"/>
      <c r="R152" s="66"/>
      <c r="S152" s="66"/>
      <c r="T152" s="65"/>
      <c r="U152" s="65"/>
      <c r="V152" s="65"/>
      <c r="W152" s="65"/>
      <c r="X152" s="65"/>
      <c r="Y152" s="66"/>
      <c r="Z152" s="66"/>
      <c r="AA152" s="65"/>
      <c r="AB152" s="65"/>
      <c r="AC152" s="65"/>
      <c r="AD152" s="65"/>
      <c r="AE152" s="65"/>
      <c r="AF152" s="66"/>
      <c r="AG152" s="66"/>
      <c r="AH152" s="65"/>
      <c r="AI152" s="65"/>
      <c r="AJ152" s="65"/>
      <c r="AK152" s="65"/>
      <c r="AL152" s="65"/>
      <c r="AM152" s="65"/>
      <c r="AN152" s="65"/>
      <c r="AO152" s="65"/>
      <c r="AP152" s="66"/>
      <c r="AQ152" s="66"/>
      <c r="AR152" s="65"/>
      <c r="AS152" s="65"/>
      <c r="AT152" s="65"/>
      <c r="AU152" s="65"/>
      <c r="AV152" s="65"/>
      <c r="AW152" s="66"/>
      <c r="AX152" s="66"/>
      <c r="AY152" s="65"/>
      <c r="AZ152" s="65"/>
      <c r="BA152" s="65"/>
      <c r="BB152" s="65"/>
      <c r="BC152" s="65"/>
      <c r="BD152" s="66"/>
      <c r="BE152" s="66"/>
      <c r="BF152" s="65"/>
      <c r="BG152" s="65"/>
      <c r="BH152" s="65"/>
      <c r="BI152" s="65"/>
      <c r="BJ152" s="65"/>
      <c r="BK152" s="66"/>
      <c r="BL152" s="66"/>
      <c r="BM152" s="65"/>
      <c r="BN152" s="65"/>
      <c r="BO152" s="175">
        <f>SUM(F152:AI152)</f>
        <v>0</v>
      </c>
      <c r="BP152" s="22">
        <v>331</v>
      </c>
      <c r="BQ152" s="83">
        <v>0.78</v>
      </c>
      <c r="BR152" s="22">
        <f>BP152*(1-BQ152)</f>
        <v>72.819999999999993</v>
      </c>
      <c r="BS152" s="22">
        <f>BR152*BO152</f>
        <v>0</v>
      </c>
      <c r="BT152" s="84">
        <f>BR152*0.8</f>
        <v>58.256</v>
      </c>
      <c r="BU152" s="32"/>
      <c r="BV152" s="84">
        <f>BS152*0.8</f>
        <v>0</v>
      </c>
      <c r="BW152" s="84"/>
      <c r="BX152" s="32"/>
      <c r="BY152" s="99">
        <f>BZ152/CC152*100</f>
        <v>3.5161423243183241</v>
      </c>
      <c r="BZ152" s="122">
        <v>5550</v>
      </c>
      <c r="CA152" s="123">
        <f>BY152*BO152</f>
        <v>0</v>
      </c>
      <c r="CB152" s="90">
        <v>320820</v>
      </c>
      <c r="CC152" s="89">
        <v>157843.44</v>
      </c>
      <c r="CD152" s="90">
        <f>CC152*CA152%</f>
        <v>0</v>
      </c>
      <c r="CE152" s="21" t="e">
        <f>BV152/CD152*1000</f>
        <v>#DIV/0!</v>
      </c>
      <c r="CF152" s="10"/>
      <c r="CG152" s="30" t="str">
        <f>C152</f>
        <v>ANTENA 1 FM</v>
      </c>
      <c r="CH152" s="194"/>
      <c r="CI152" s="30" t="e">
        <f>SUM(#REF!)</f>
        <v>#REF!</v>
      </c>
      <c r="CJ152" s="194" t="e">
        <f>#REF!*CI152</f>
        <v>#REF!</v>
      </c>
      <c r="CK152" s="30" t="e">
        <f>SUM(#REF!)</f>
        <v>#REF!</v>
      </c>
      <c r="CL152" s="194" t="e">
        <f>#REF!*CK152</f>
        <v>#REF!</v>
      </c>
      <c r="CN152" s="45"/>
      <c r="CO152" s="45"/>
      <c r="CP152" s="45"/>
      <c r="CQ152" s="45"/>
      <c r="CR152" s="45"/>
      <c r="CS152" s="45"/>
      <c r="CT152" s="45"/>
      <c r="CU152" s="45"/>
      <c r="CV152" s="45"/>
      <c r="CW152" s="45"/>
      <c r="CX152" s="45"/>
      <c r="CY152" s="45"/>
      <c r="CZ152" s="45"/>
      <c r="DA152" s="45"/>
      <c r="DB152" s="45"/>
      <c r="DC152" s="45"/>
      <c r="DD152" s="45"/>
      <c r="DE152" s="45"/>
      <c r="DF152" s="45"/>
      <c r="DG152" s="45"/>
      <c r="DH152" s="45"/>
      <c r="DI152" s="45"/>
      <c r="DJ152" s="45"/>
      <c r="DK152" s="45"/>
      <c r="DL152" s="45"/>
      <c r="DM152" s="45"/>
      <c r="DN152" s="45"/>
      <c r="DO152" s="45"/>
      <c r="DP152" s="45"/>
      <c r="DQ152" s="45"/>
      <c r="DR152" s="45"/>
      <c r="DS152" s="45"/>
      <c r="DT152" s="45"/>
      <c r="DU152" s="45"/>
      <c r="DV152" s="45"/>
      <c r="DW152" s="45"/>
      <c r="DX152" s="45"/>
      <c r="DY152" s="45"/>
      <c r="DZ152" s="45"/>
      <c r="EA152" s="45"/>
      <c r="EB152" s="45"/>
      <c r="EC152" s="45"/>
      <c r="ED152" s="45"/>
      <c r="EE152" s="45"/>
      <c r="EF152" s="45"/>
      <c r="EG152" s="45"/>
      <c r="EH152" s="45"/>
      <c r="EI152" s="45"/>
      <c r="EJ152" s="45"/>
      <c r="EK152" s="45"/>
      <c r="EL152" s="45"/>
      <c r="EM152" s="45"/>
      <c r="EN152" s="45"/>
      <c r="EO152" s="45"/>
    </row>
    <row r="153" spans="1:145" s="50" customFormat="1" ht="16.05" hidden="1" customHeight="1" x14ac:dyDescent="0.25">
      <c r="A153" s="32"/>
      <c r="B153" s="202"/>
      <c r="C153" s="116" t="s">
        <v>98</v>
      </c>
      <c r="D153" s="42"/>
      <c r="E153" s="117"/>
      <c r="F153" s="65"/>
      <c r="G153" s="65"/>
      <c r="H153" s="65"/>
      <c r="I153" s="65"/>
      <c r="J153" s="65"/>
      <c r="K153" s="66"/>
      <c r="L153" s="66"/>
      <c r="M153" s="65"/>
      <c r="N153" s="65"/>
      <c r="O153" s="65"/>
      <c r="P153" s="65"/>
      <c r="Q153" s="65"/>
      <c r="R153" s="66"/>
      <c r="S153" s="66"/>
      <c r="T153" s="65"/>
      <c r="U153" s="65"/>
      <c r="V153" s="65"/>
      <c r="W153" s="65"/>
      <c r="X153" s="65"/>
      <c r="Y153" s="66"/>
      <c r="Z153" s="66"/>
      <c r="AA153" s="65"/>
      <c r="AB153" s="65"/>
      <c r="AC153" s="65"/>
      <c r="AD153" s="65"/>
      <c r="AE153" s="65"/>
      <c r="AF153" s="66"/>
      <c r="AG153" s="66"/>
      <c r="AH153" s="65"/>
      <c r="AI153" s="65"/>
      <c r="AJ153" s="65"/>
      <c r="AK153" s="65"/>
      <c r="AL153" s="65"/>
      <c r="AM153" s="65"/>
      <c r="AN153" s="65"/>
      <c r="AO153" s="65"/>
      <c r="AP153" s="66"/>
      <c r="AQ153" s="66"/>
      <c r="AR153" s="65"/>
      <c r="AS153" s="65"/>
      <c r="AT153" s="65"/>
      <c r="AU153" s="65"/>
      <c r="AV153" s="65"/>
      <c r="AW153" s="66"/>
      <c r="AX153" s="66"/>
      <c r="AY153" s="65"/>
      <c r="AZ153" s="65"/>
      <c r="BA153" s="65"/>
      <c r="BB153" s="65"/>
      <c r="BC153" s="65"/>
      <c r="BD153" s="66"/>
      <c r="BE153" s="66"/>
      <c r="BF153" s="65"/>
      <c r="BG153" s="65"/>
      <c r="BH153" s="65"/>
      <c r="BI153" s="65"/>
      <c r="BJ153" s="65"/>
      <c r="BK153" s="66"/>
      <c r="BL153" s="66"/>
      <c r="BM153" s="65"/>
      <c r="BN153" s="65"/>
      <c r="BO153" s="203"/>
      <c r="BP153" s="22"/>
      <c r="BQ153" s="22"/>
      <c r="BR153" s="22"/>
      <c r="BS153" s="22"/>
      <c r="BT153" s="22"/>
      <c r="BU153" s="32"/>
      <c r="BV153" s="22"/>
      <c r="BW153" s="22"/>
      <c r="BX153" s="32"/>
      <c r="BY153" s="121"/>
      <c r="BZ153" s="122"/>
      <c r="CA153" s="123"/>
      <c r="CB153" s="90"/>
      <c r="CC153" s="89"/>
      <c r="CD153" s="90"/>
      <c r="CE153" s="114"/>
      <c r="CF153" s="10"/>
      <c r="CG153" s="30"/>
      <c r="CH153" s="194"/>
      <c r="CI153" s="30"/>
      <c r="CJ153" s="194"/>
      <c r="CK153" s="30"/>
      <c r="CL153" s="194"/>
      <c r="CN153" s="45"/>
      <c r="CO153" s="45"/>
      <c r="CP153" s="45"/>
      <c r="CQ153" s="45"/>
      <c r="CR153" s="45"/>
      <c r="CS153" s="45"/>
      <c r="CT153" s="45"/>
      <c r="CU153" s="45"/>
      <c r="CV153" s="45"/>
      <c r="CW153" s="45"/>
      <c r="CX153" s="45"/>
      <c r="CY153" s="45"/>
      <c r="CZ153" s="45"/>
      <c r="DA153" s="45"/>
      <c r="DB153" s="45"/>
      <c r="DC153" s="45"/>
      <c r="DD153" s="45"/>
      <c r="DE153" s="45"/>
      <c r="DF153" s="45"/>
      <c r="DG153" s="45"/>
      <c r="DH153" s="45"/>
      <c r="DI153" s="45"/>
      <c r="DJ153" s="45"/>
      <c r="DK153" s="45"/>
      <c r="DL153" s="45"/>
      <c r="DM153" s="45"/>
      <c r="DN153" s="45"/>
      <c r="DO153" s="45"/>
      <c r="DP153" s="45"/>
      <c r="DQ153" s="45"/>
      <c r="DR153" s="45"/>
      <c r="DS153" s="45"/>
      <c r="DT153" s="45"/>
      <c r="DU153" s="45"/>
      <c r="DV153" s="45"/>
      <c r="DW153" s="45"/>
      <c r="DX153" s="45"/>
      <c r="DY153" s="45"/>
      <c r="DZ153" s="45"/>
      <c r="EA153" s="45"/>
      <c r="EB153" s="45"/>
      <c r="EC153" s="45"/>
      <c r="ED153" s="45"/>
      <c r="EE153" s="45"/>
      <c r="EF153" s="45"/>
      <c r="EG153" s="45"/>
      <c r="EH153" s="45"/>
      <c r="EI153" s="45"/>
      <c r="EJ153" s="45"/>
      <c r="EK153" s="45"/>
      <c r="EL153" s="45"/>
      <c r="EM153" s="45"/>
      <c r="EN153" s="45"/>
      <c r="EO153" s="45"/>
    </row>
    <row r="154" spans="1:145" s="50" customFormat="1" ht="16.05" hidden="1" customHeight="1" x14ac:dyDescent="0.25">
      <c r="A154" s="32"/>
      <c r="B154" s="202"/>
      <c r="C154" s="81"/>
      <c r="D154" s="95"/>
      <c r="E154" s="39"/>
      <c r="F154" s="65"/>
      <c r="G154" s="65"/>
      <c r="H154" s="65"/>
      <c r="I154" s="65"/>
      <c r="J154" s="65"/>
      <c r="K154" s="66"/>
      <c r="L154" s="66"/>
      <c r="M154" s="65"/>
      <c r="N154" s="65"/>
      <c r="O154" s="65"/>
      <c r="P154" s="65"/>
      <c r="Q154" s="65"/>
      <c r="R154" s="66"/>
      <c r="S154" s="66"/>
      <c r="T154" s="65"/>
      <c r="U154" s="65"/>
      <c r="V154" s="65"/>
      <c r="W154" s="65"/>
      <c r="X154" s="65"/>
      <c r="Y154" s="66"/>
      <c r="Z154" s="66"/>
      <c r="AA154" s="65"/>
      <c r="AB154" s="65"/>
      <c r="AC154" s="65"/>
      <c r="AD154" s="65"/>
      <c r="AE154" s="65"/>
      <c r="AF154" s="66"/>
      <c r="AG154" s="66"/>
      <c r="AH154" s="65"/>
      <c r="AI154" s="65"/>
      <c r="AJ154" s="65"/>
      <c r="AK154" s="65"/>
      <c r="AL154" s="65"/>
      <c r="AM154" s="65"/>
      <c r="AN154" s="65"/>
      <c r="AO154" s="65"/>
      <c r="AP154" s="66"/>
      <c r="AQ154" s="66"/>
      <c r="AR154" s="65"/>
      <c r="AS154" s="65"/>
      <c r="AT154" s="65"/>
      <c r="AU154" s="65"/>
      <c r="AV154" s="65"/>
      <c r="AW154" s="66"/>
      <c r="AX154" s="66"/>
      <c r="AY154" s="65"/>
      <c r="AZ154" s="65"/>
      <c r="BA154" s="65"/>
      <c r="BB154" s="65"/>
      <c r="BC154" s="65"/>
      <c r="BD154" s="66"/>
      <c r="BE154" s="66"/>
      <c r="BF154" s="65"/>
      <c r="BG154" s="65"/>
      <c r="BH154" s="65"/>
      <c r="BI154" s="65"/>
      <c r="BJ154" s="65"/>
      <c r="BK154" s="66"/>
      <c r="BL154" s="66"/>
      <c r="BM154" s="65"/>
      <c r="BN154" s="65"/>
      <c r="BO154" s="118"/>
      <c r="BP154" s="68"/>
      <c r="BQ154" s="68"/>
      <c r="BR154" s="68"/>
      <c r="BS154" s="68"/>
      <c r="BT154" s="200"/>
      <c r="BU154" s="32"/>
      <c r="BV154" s="200"/>
      <c r="BW154" s="200"/>
      <c r="BX154" s="32"/>
      <c r="BY154" s="188"/>
      <c r="BZ154" s="189"/>
      <c r="CA154" s="190"/>
      <c r="CB154" s="191"/>
      <c r="CC154" s="192"/>
      <c r="CD154" s="191"/>
      <c r="CE154" s="18"/>
      <c r="CF154" s="10"/>
      <c r="CG154" s="30"/>
      <c r="CH154" s="194"/>
      <c r="CI154" s="30"/>
      <c r="CJ154" s="194"/>
      <c r="CK154" s="30"/>
      <c r="CL154" s="194"/>
      <c r="CN154" s="45"/>
      <c r="CO154" s="45"/>
      <c r="CP154" s="45"/>
      <c r="CQ154" s="45"/>
      <c r="CR154" s="45"/>
      <c r="CS154" s="45"/>
      <c r="CT154" s="45"/>
      <c r="CU154" s="45"/>
      <c r="CV154" s="45"/>
      <c r="CW154" s="45"/>
      <c r="CX154" s="45"/>
      <c r="CY154" s="45"/>
      <c r="CZ154" s="45"/>
      <c r="DA154" s="45"/>
      <c r="DB154" s="45"/>
      <c r="DC154" s="45"/>
      <c r="DD154" s="45"/>
      <c r="DE154" s="45"/>
      <c r="DF154" s="45"/>
      <c r="DG154" s="45"/>
      <c r="DH154" s="45"/>
      <c r="DI154" s="45"/>
      <c r="DJ154" s="45"/>
      <c r="DK154" s="45"/>
      <c r="DL154" s="45"/>
      <c r="DM154" s="45"/>
      <c r="DN154" s="45"/>
      <c r="DO154" s="45"/>
      <c r="DP154" s="45"/>
      <c r="DQ154" s="45"/>
      <c r="DR154" s="45"/>
      <c r="DS154" s="45"/>
      <c r="DT154" s="45"/>
      <c r="DU154" s="45"/>
      <c r="DV154" s="45"/>
      <c r="DW154" s="45"/>
      <c r="DX154" s="45"/>
      <c r="DY154" s="45"/>
      <c r="DZ154" s="45"/>
      <c r="EA154" s="45"/>
      <c r="EB154" s="45"/>
      <c r="EC154" s="45"/>
      <c r="ED154" s="45"/>
      <c r="EE154" s="45"/>
      <c r="EF154" s="45"/>
      <c r="EG154" s="45"/>
      <c r="EH154" s="45"/>
      <c r="EI154" s="45"/>
      <c r="EJ154" s="45"/>
      <c r="EK154" s="45"/>
      <c r="EL154" s="45"/>
      <c r="EM154" s="45"/>
      <c r="EN154" s="45"/>
      <c r="EO154" s="45"/>
    </row>
    <row r="155" spans="1:145" s="50" customFormat="1" ht="16.05" hidden="1" customHeight="1" x14ac:dyDescent="0.25">
      <c r="A155" s="32"/>
      <c r="B155" s="202"/>
      <c r="C155" s="81" t="s">
        <v>91</v>
      </c>
      <c r="D155" s="95" t="s">
        <v>72</v>
      </c>
      <c r="E155" s="36" t="s">
        <v>18</v>
      </c>
      <c r="F155" s="65"/>
      <c r="G155" s="65"/>
      <c r="H155" s="65"/>
      <c r="I155" s="65"/>
      <c r="J155" s="65"/>
      <c r="K155" s="66"/>
      <c r="L155" s="66"/>
      <c r="M155" s="65"/>
      <c r="N155" s="65"/>
      <c r="O155" s="65"/>
      <c r="P155" s="65"/>
      <c r="Q155" s="65"/>
      <c r="R155" s="66"/>
      <c r="S155" s="66"/>
      <c r="T155" s="65"/>
      <c r="U155" s="65"/>
      <c r="V155" s="65"/>
      <c r="W155" s="65"/>
      <c r="X155" s="65"/>
      <c r="Y155" s="66"/>
      <c r="Z155" s="66"/>
      <c r="AA155" s="65"/>
      <c r="AB155" s="65"/>
      <c r="AC155" s="65"/>
      <c r="AD155" s="65"/>
      <c r="AE155" s="65"/>
      <c r="AF155" s="66"/>
      <c r="AG155" s="66"/>
      <c r="AH155" s="65"/>
      <c r="AI155" s="65"/>
      <c r="AJ155" s="65"/>
      <c r="AK155" s="65"/>
      <c r="AL155" s="65"/>
      <c r="AM155" s="65"/>
      <c r="AN155" s="65"/>
      <c r="AO155" s="65"/>
      <c r="AP155" s="66"/>
      <c r="AQ155" s="66"/>
      <c r="AR155" s="65"/>
      <c r="AS155" s="65"/>
      <c r="AT155" s="65"/>
      <c r="AU155" s="65"/>
      <c r="AV155" s="65"/>
      <c r="AW155" s="66"/>
      <c r="AX155" s="66"/>
      <c r="AY155" s="65"/>
      <c r="AZ155" s="65"/>
      <c r="BA155" s="65"/>
      <c r="BB155" s="65"/>
      <c r="BC155" s="65"/>
      <c r="BD155" s="66"/>
      <c r="BE155" s="66"/>
      <c r="BF155" s="65"/>
      <c r="BG155" s="65"/>
      <c r="BH155" s="65"/>
      <c r="BI155" s="65"/>
      <c r="BJ155" s="65"/>
      <c r="BK155" s="66"/>
      <c r="BL155" s="66"/>
      <c r="BM155" s="65"/>
      <c r="BN155" s="65"/>
      <c r="BO155" s="175">
        <f>SUM(F155:AI155)</f>
        <v>0</v>
      </c>
      <c r="BP155" s="22">
        <v>325</v>
      </c>
      <c r="BQ155" s="83">
        <v>0.5</v>
      </c>
      <c r="BR155" s="22">
        <f>BP155*(1-BQ155)</f>
        <v>162.5</v>
      </c>
      <c r="BS155" s="22">
        <f>BR155*BO155</f>
        <v>0</v>
      </c>
      <c r="BT155" s="84">
        <f>BR155*0.8</f>
        <v>130</v>
      </c>
      <c r="BU155" s="32"/>
      <c r="BV155" s="84">
        <f>BS155*0.8</f>
        <v>0</v>
      </c>
      <c r="BW155" s="84"/>
      <c r="BX155" s="32"/>
      <c r="BY155" s="99">
        <f>BZ155/CC155*100</f>
        <v>2.4087158769474359</v>
      </c>
      <c r="BZ155" s="122">
        <v>3802</v>
      </c>
      <c r="CA155" s="123">
        <f>BY155*BO155</f>
        <v>0</v>
      </c>
      <c r="CB155" s="90">
        <v>320820</v>
      </c>
      <c r="CC155" s="89">
        <v>157843.44</v>
      </c>
      <c r="CD155" s="90">
        <f>CC155*CA155%</f>
        <v>0</v>
      </c>
      <c r="CE155" s="21" t="e">
        <f>BV155/CD155*1000</f>
        <v>#DIV/0!</v>
      </c>
      <c r="CF155" s="10"/>
      <c r="CG155" s="30" t="str">
        <f>C155</f>
        <v>JOVEM PAN FM</v>
      </c>
      <c r="CH155" s="194"/>
      <c r="CI155" s="30" t="e">
        <f>SUM(#REF!)</f>
        <v>#REF!</v>
      </c>
      <c r="CJ155" s="194" t="e">
        <f>#REF!*CI155</f>
        <v>#REF!</v>
      </c>
      <c r="CK155" s="30" t="e">
        <f>SUM(#REF!)</f>
        <v>#REF!</v>
      </c>
      <c r="CL155" s="194" t="e">
        <f>#REF!*CK155</f>
        <v>#REF!</v>
      </c>
      <c r="CN155" s="45"/>
      <c r="CO155" s="45"/>
      <c r="CP155" s="45"/>
      <c r="CQ155" s="45"/>
      <c r="CR155" s="45"/>
      <c r="CS155" s="45"/>
      <c r="CT155" s="45"/>
      <c r="CU155" s="45"/>
      <c r="CV155" s="45"/>
      <c r="CW155" s="45"/>
      <c r="CX155" s="45"/>
      <c r="CY155" s="45"/>
      <c r="CZ155" s="45"/>
      <c r="DA155" s="45"/>
      <c r="DB155" s="45"/>
      <c r="DC155" s="45"/>
      <c r="DD155" s="45"/>
      <c r="DE155" s="45"/>
      <c r="DF155" s="45"/>
      <c r="DG155" s="45"/>
      <c r="DH155" s="45"/>
      <c r="DI155" s="45"/>
      <c r="DJ155" s="45"/>
      <c r="DK155" s="45"/>
      <c r="DL155" s="45"/>
      <c r="DM155" s="45"/>
      <c r="DN155" s="45"/>
      <c r="DO155" s="45"/>
      <c r="DP155" s="45"/>
      <c r="DQ155" s="45"/>
      <c r="DR155" s="45"/>
      <c r="DS155" s="45"/>
      <c r="DT155" s="45"/>
      <c r="DU155" s="45"/>
      <c r="DV155" s="45"/>
      <c r="DW155" s="45"/>
      <c r="DX155" s="45"/>
      <c r="DY155" s="45"/>
      <c r="DZ155" s="45"/>
      <c r="EA155" s="45"/>
      <c r="EB155" s="45"/>
      <c r="EC155" s="45"/>
      <c r="ED155" s="45"/>
      <c r="EE155" s="45"/>
      <c r="EF155" s="45"/>
      <c r="EG155" s="45"/>
      <c r="EH155" s="45"/>
      <c r="EI155" s="45"/>
      <c r="EJ155" s="45"/>
      <c r="EK155" s="45"/>
      <c r="EL155" s="45"/>
      <c r="EM155" s="45"/>
      <c r="EN155" s="45"/>
      <c r="EO155" s="45"/>
    </row>
    <row r="156" spans="1:145" s="50" customFormat="1" ht="16.05" hidden="1" customHeight="1" x14ac:dyDescent="0.25">
      <c r="A156" s="32"/>
      <c r="B156" s="202"/>
      <c r="C156" s="116" t="s">
        <v>102</v>
      </c>
      <c r="D156" s="42"/>
      <c r="E156" s="117"/>
      <c r="F156" s="65"/>
      <c r="G156" s="65"/>
      <c r="H156" s="65"/>
      <c r="I156" s="65"/>
      <c r="J156" s="65"/>
      <c r="K156" s="66"/>
      <c r="L156" s="66"/>
      <c r="M156" s="65"/>
      <c r="N156" s="65"/>
      <c r="O156" s="65"/>
      <c r="P156" s="65"/>
      <c r="Q156" s="65"/>
      <c r="R156" s="66"/>
      <c r="S156" s="66"/>
      <c r="T156" s="65"/>
      <c r="U156" s="65"/>
      <c r="V156" s="65"/>
      <c r="W156" s="65"/>
      <c r="X156" s="65"/>
      <c r="Y156" s="66"/>
      <c r="Z156" s="66"/>
      <c r="AA156" s="65"/>
      <c r="AB156" s="65"/>
      <c r="AC156" s="65"/>
      <c r="AD156" s="65"/>
      <c r="AE156" s="65"/>
      <c r="AF156" s="66"/>
      <c r="AG156" s="66"/>
      <c r="AH156" s="65"/>
      <c r="AI156" s="65"/>
      <c r="AJ156" s="65"/>
      <c r="AK156" s="65"/>
      <c r="AL156" s="65"/>
      <c r="AM156" s="65"/>
      <c r="AN156" s="65"/>
      <c r="AO156" s="65"/>
      <c r="AP156" s="66"/>
      <c r="AQ156" s="66"/>
      <c r="AR156" s="65"/>
      <c r="AS156" s="65"/>
      <c r="AT156" s="65"/>
      <c r="AU156" s="65"/>
      <c r="AV156" s="65"/>
      <c r="AW156" s="66"/>
      <c r="AX156" s="66"/>
      <c r="AY156" s="65"/>
      <c r="AZ156" s="65"/>
      <c r="BA156" s="65"/>
      <c r="BB156" s="65"/>
      <c r="BC156" s="65"/>
      <c r="BD156" s="66"/>
      <c r="BE156" s="66"/>
      <c r="BF156" s="65"/>
      <c r="BG156" s="65"/>
      <c r="BH156" s="65"/>
      <c r="BI156" s="65"/>
      <c r="BJ156" s="65"/>
      <c r="BK156" s="66"/>
      <c r="BL156" s="66"/>
      <c r="BM156" s="65"/>
      <c r="BN156" s="65"/>
      <c r="BO156" s="203"/>
      <c r="BP156" s="22"/>
      <c r="BQ156" s="22"/>
      <c r="BR156" s="22"/>
      <c r="BS156" s="22"/>
      <c r="BT156" s="22"/>
      <c r="BU156" s="32"/>
      <c r="BV156" s="22"/>
      <c r="BW156" s="22"/>
      <c r="BX156" s="32"/>
      <c r="BY156" s="121"/>
      <c r="BZ156" s="122"/>
      <c r="CA156" s="123"/>
      <c r="CB156" s="90"/>
      <c r="CC156" s="89"/>
      <c r="CD156" s="90"/>
      <c r="CE156" s="114"/>
      <c r="CF156" s="10"/>
      <c r="CG156" s="30"/>
      <c r="CH156" s="194"/>
      <c r="CI156" s="30"/>
      <c r="CJ156" s="194"/>
      <c r="CK156" s="30"/>
      <c r="CL156" s="194"/>
      <c r="CN156" s="45"/>
      <c r="CO156" s="45"/>
      <c r="CP156" s="45"/>
      <c r="CQ156" s="45"/>
      <c r="CR156" s="45"/>
      <c r="CS156" s="45"/>
      <c r="CT156" s="45"/>
      <c r="CU156" s="45"/>
      <c r="CV156" s="45"/>
      <c r="CW156" s="45"/>
      <c r="CX156" s="45"/>
      <c r="CY156" s="45"/>
      <c r="CZ156" s="45"/>
      <c r="DA156" s="45"/>
      <c r="DB156" s="45"/>
      <c r="DC156" s="45"/>
      <c r="DD156" s="45"/>
      <c r="DE156" s="45"/>
      <c r="DF156" s="45"/>
      <c r="DG156" s="45"/>
      <c r="DH156" s="45"/>
      <c r="DI156" s="45"/>
      <c r="DJ156" s="45"/>
      <c r="DK156" s="45"/>
      <c r="DL156" s="45"/>
      <c r="DM156" s="45"/>
      <c r="DN156" s="45"/>
      <c r="DO156" s="45"/>
      <c r="DP156" s="45"/>
      <c r="DQ156" s="45"/>
      <c r="DR156" s="45"/>
      <c r="DS156" s="45"/>
      <c r="DT156" s="45"/>
      <c r="DU156" s="45"/>
      <c r="DV156" s="45"/>
      <c r="DW156" s="45"/>
      <c r="DX156" s="45"/>
      <c r="DY156" s="45"/>
      <c r="DZ156" s="45"/>
      <c r="EA156" s="45"/>
      <c r="EB156" s="45"/>
      <c r="EC156" s="45"/>
      <c r="ED156" s="45"/>
      <c r="EE156" s="45"/>
      <c r="EF156" s="45"/>
      <c r="EG156" s="45"/>
      <c r="EH156" s="45"/>
      <c r="EI156" s="45"/>
      <c r="EJ156" s="45"/>
      <c r="EK156" s="45"/>
      <c r="EL156" s="45"/>
      <c r="EM156" s="45"/>
      <c r="EN156" s="45"/>
      <c r="EO156" s="45"/>
    </row>
    <row r="157" spans="1:145" s="50" customFormat="1" ht="16.05" hidden="1" customHeight="1" x14ac:dyDescent="0.25">
      <c r="A157" s="32"/>
      <c r="B157" s="202"/>
      <c r="C157" s="81"/>
      <c r="D157" s="95"/>
      <c r="E157" s="39"/>
      <c r="F157" s="65"/>
      <c r="G157" s="65"/>
      <c r="H157" s="65"/>
      <c r="I157" s="65"/>
      <c r="J157" s="65"/>
      <c r="K157" s="66"/>
      <c r="L157" s="66"/>
      <c r="M157" s="65"/>
      <c r="N157" s="65"/>
      <c r="O157" s="65"/>
      <c r="P157" s="65"/>
      <c r="Q157" s="65"/>
      <c r="R157" s="66"/>
      <c r="S157" s="66"/>
      <c r="T157" s="65"/>
      <c r="U157" s="65"/>
      <c r="V157" s="65"/>
      <c r="W157" s="65"/>
      <c r="X157" s="65"/>
      <c r="Y157" s="66"/>
      <c r="Z157" s="66"/>
      <c r="AA157" s="65"/>
      <c r="AB157" s="65"/>
      <c r="AC157" s="65"/>
      <c r="AD157" s="65"/>
      <c r="AE157" s="65"/>
      <c r="AF157" s="66"/>
      <c r="AG157" s="66"/>
      <c r="AH157" s="65"/>
      <c r="AI157" s="65"/>
      <c r="AJ157" s="65"/>
      <c r="AK157" s="65"/>
      <c r="AL157" s="65"/>
      <c r="AM157" s="65"/>
      <c r="AN157" s="65"/>
      <c r="AO157" s="65"/>
      <c r="AP157" s="66"/>
      <c r="AQ157" s="66"/>
      <c r="AR157" s="65"/>
      <c r="AS157" s="65"/>
      <c r="AT157" s="65"/>
      <c r="AU157" s="65"/>
      <c r="AV157" s="65"/>
      <c r="AW157" s="66"/>
      <c r="AX157" s="66"/>
      <c r="AY157" s="65"/>
      <c r="AZ157" s="65"/>
      <c r="BA157" s="65"/>
      <c r="BB157" s="65"/>
      <c r="BC157" s="65"/>
      <c r="BD157" s="66"/>
      <c r="BE157" s="66"/>
      <c r="BF157" s="65"/>
      <c r="BG157" s="65"/>
      <c r="BH157" s="65"/>
      <c r="BI157" s="65"/>
      <c r="BJ157" s="65"/>
      <c r="BK157" s="66"/>
      <c r="BL157" s="66"/>
      <c r="BM157" s="65"/>
      <c r="BN157" s="65"/>
      <c r="BO157" s="118"/>
      <c r="BP157" s="68"/>
      <c r="BQ157" s="68"/>
      <c r="BR157" s="68"/>
      <c r="BS157" s="68"/>
      <c r="BT157" s="200"/>
      <c r="BU157" s="32"/>
      <c r="BV157" s="200"/>
      <c r="BW157" s="200"/>
      <c r="BX157" s="32"/>
      <c r="BY157" s="188"/>
      <c r="BZ157" s="189"/>
      <c r="CA157" s="190"/>
      <c r="CB157" s="191"/>
      <c r="CC157" s="192"/>
      <c r="CD157" s="191"/>
      <c r="CE157" s="18"/>
      <c r="CF157" s="10"/>
      <c r="CG157" s="30"/>
      <c r="CH157" s="194"/>
      <c r="CI157" s="30"/>
      <c r="CJ157" s="194"/>
      <c r="CK157" s="30"/>
      <c r="CL157" s="194"/>
      <c r="CN157" s="45"/>
      <c r="CO157" s="45"/>
      <c r="CP157" s="45"/>
      <c r="CQ157" s="45"/>
      <c r="CR157" s="45"/>
      <c r="CS157" s="45"/>
      <c r="CT157" s="45"/>
      <c r="CU157" s="45"/>
      <c r="CV157" s="45"/>
      <c r="CW157" s="45"/>
      <c r="CX157" s="45"/>
      <c r="CY157" s="45"/>
      <c r="CZ157" s="45"/>
      <c r="DA157" s="45"/>
      <c r="DB157" s="45"/>
      <c r="DC157" s="45"/>
      <c r="DD157" s="45"/>
      <c r="DE157" s="45"/>
      <c r="DF157" s="45"/>
      <c r="DG157" s="45"/>
      <c r="DH157" s="45"/>
      <c r="DI157" s="45"/>
      <c r="DJ157" s="45"/>
      <c r="DK157" s="45"/>
      <c r="DL157" s="45"/>
      <c r="DM157" s="45"/>
      <c r="DN157" s="45"/>
      <c r="DO157" s="45"/>
      <c r="DP157" s="45"/>
      <c r="DQ157" s="45"/>
      <c r="DR157" s="45"/>
      <c r="DS157" s="45"/>
      <c r="DT157" s="45"/>
      <c r="DU157" s="45"/>
      <c r="DV157" s="45"/>
      <c r="DW157" s="45"/>
      <c r="DX157" s="45"/>
      <c r="DY157" s="45"/>
      <c r="DZ157" s="45"/>
      <c r="EA157" s="45"/>
      <c r="EB157" s="45"/>
      <c r="EC157" s="45"/>
      <c r="ED157" s="45"/>
      <c r="EE157" s="45"/>
      <c r="EF157" s="45"/>
      <c r="EG157" s="45"/>
      <c r="EH157" s="45"/>
      <c r="EI157" s="45"/>
      <c r="EJ157" s="45"/>
      <c r="EK157" s="45"/>
      <c r="EL157" s="45"/>
      <c r="EM157" s="45"/>
      <c r="EN157" s="45"/>
      <c r="EO157" s="45"/>
    </row>
    <row r="158" spans="1:145" s="50" customFormat="1" ht="16.05" hidden="1" customHeight="1" x14ac:dyDescent="0.25">
      <c r="A158" s="32"/>
      <c r="B158" s="202"/>
      <c r="C158" s="81" t="s">
        <v>103</v>
      </c>
      <c r="D158" s="95" t="s">
        <v>72</v>
      </c>
      <c r="E158" s="36" t="s">
        <v>18</v>
      </c>
      <c r="F158" s="65"/>
      <c r="G158" s="65"/>
      <c r="H158" s="65"/>
      <c r="I158" s="65"/>
      <c r="J158" s="65"/>
      <c r="K158" s="66"/>
      <c r="L158" s="66"/>
      <c r="M158" s="65"/>
      <c r="N158" s="65"/>
      <c r="O158" s="65"/>
      <c r="P158" s="65"/>
      <c r="Q158" s="65"/>
      <c r="R158" s="66"/>
      <c r="S158" s="66"/>
      <c r="T158" s="65"/>
      <c r="U158" s="65"/>
      <c r="V158" s="65"/>
      <c r="W158" s="65"/>
      <c r="X158" s="65"/>
      <c r="Y158" s="66"/>
      <c r="Z158" s="66"/>
      <c r="AA158" s="65"/>
      <c r="AB158" s="65"/>
      <c r="AC158" s="65"/>
      <c r="AD158" s="65"/>
      <c r="AE158" s="65"/>
      <c r="AF158" s="66"/>
      <c r="AG158" s="66"/>
      <c r="AH158" s="65"/>
      <c r="AI158" s="65"/>
      <c r="AJ158" s="65"/>
      <c r="AK158" s="65"/>
      <c r="AL158" s="65"/>
      <c r="AM158" s="65"/>
      <c r="AN158" s="65"/>
      <c r="AO158" s="65"/>
      <c r="AP158" s="66"/>
      <c r="AQ158" s="66"/>
      <c r="AR158" s="65"/>
      <c r="AS158" s="65"/>
      <c r="AT158" s="65"/>
      <c r="AU158" s="65"/>
      <c r="AV158" s="65"/>
      <c r="AW158" s="66"/>
      <c r="AX158" s="66"/>
      <c r="AY158" s="65"/>
      <c r="AZ158" s="65"/>
      <c r="BA158" s="65"/>
      <c r="BB158" s="65"/>
      <c r="BC158" s="65"/>
      <c r="BD158" s="66"/>
      <c r="BE158" s="66"/>
      <c r="BF158" s="65"/>
      <c r="BG158" s="65"/>
      <c r="BH158" s="65"/>
      <c r="BI158" s="65"/>
      <c r="BJ158" s="65"/>
      <c r="BK158" s="66"/>
      <c r="BL158" s="66"/>
      <c r="BM158" s="65"/>
      <c r="BN158" s="65"/>
      <c r="BO158" s="175">
        <f>SUM(F158:AI158)</f>
        <v>0</v>
      </c>
      <c r="BP158" s="22">
        <v>184</v>
      </c>
      <c r="BQ158" s="83">
        <v>0.4</v>
      </c>
      <c r="BR158" s="22">
        <f>BP158*(1-BQ158)</f>
        <v>110.39999999999999</v>
      </c>
      <c r="BS158" s="22">
        <f>BR158*BO158</f>
        <v>0</v>
      </c>
      <c r="BT158" s="84">
        <f>BR158*0.8</f>
        <v>88.32</v>
      </c>
      <c r="BU158" s="32"/>
      <c r="BV158" s="84">
        <f>BS158*0.8</f>
        <v>0</v>
      </c>
      <c r="BW158" s="84"/>
      <c r="BX158" s="32"/>
      <c r="BY158" s="99">
        <f>BZ158/CC158*100</f>
        <v>1.7206923518646069</v>
      </c>
      <c r="BZ158" s="122">
        <v>2716</v>
      </c>
      <c r="CA158" s="123">
        <f>BY158*BO158</f>
        <v>0</v>
      </c>
      <c r="CB158" s="90">
        <v>320820</v>
      </c>
      <c r="CC158" s="89">
        <v>157843.44</v>
      </c>
      <c r="CD158" s="90">
        <f>CC158*CA158%</f>
        <v>0</v>
      </c>
      <c r="CE158" s="21" t="e">
        <f>BV158/CD158*1000</f>
        <v>#DIV/0!</v>
      </c>
      <c r="CF158" s="10"/>
      <c r="CG158" s="30" t="str">
        <f>C158</f>
        <v>CANÇÃO NOVA FM</v>
      </c>
      <c r="CH158" s="194"/>
      <c r="CI158" s="30" t="e">
        <f>SUM(#REF!)</f>
        <v>#REF!</v>
      </c>
      <c r="CJ158" s="194" t="e">
        <f>#REF!*CI158</f>
        <v>#REF!</v>
      </c>
      <c r="CK158" s="30" t="e">
        <f>SUM(#REF!)</f>
        <v>#REF!</v>
      </c>
      <c r="CL158" s="194" t="e">
        <f>#REF!*CK158</f>
        <v>#REF!</v>
      </c>
      <c r="CN158" s="45"/>
      <c r="CO158" s="45"/>
      <c r="CP158" s="45"/>
      <c r="CQ158" s="45"/>
      <c r="CR158" s="45"/>
      <c r="CS158" s="45"/>
      <c r="CT158" s="45"/>
      <c r="CU158" s="45"/>
      <c r="CV158" s="45"/>
      <c r="CW158" s="45"/>
      <c r="CX158" s="45"/>
      <c r="CY158" s="45"/>
      <c r="CZ158" s="45"/>
      <c r="DA158" s="45"/>
      <c r="DB158" s="45"/>
      <c r="DC158" s="45"/>
      <c r="DD158" s="45"/>
      <c r="DE158" s="45"/>
      <c r="DF158" s="45"/>
      <c r="DG158" s="45"/>
      <c r="DH158" s="45"/>
      <c r="DI158" s="45"/>
      <c r="DJ158" s="45"/>
      <c r="DK158" s="45"/>
      <c r="DL158" s="45"/>
      <c r="DM158" s="45"/>
      <c r="DN158" s="45"/>
      <c r="DO158" s="45"/>
      <c r="DP158" s="45"/>
      <c r="DQ158" s="45"/>
      <c r="DR158" s="45"/>
      <c r="DS158" s="45"/>
      <c r="DT158" s="45"/>
      <c r="DU158" s="45"/>
      <c r="DV158" s="45"/>
      <c r="DW158" s="45"/>
      <c r="DX158" s="45"/>
      <c r="DY158" s="45"/>
      <c r="DZ158" s="45"/>
      <c r="EA158" s="45"/>
      <c r="EB158" s="45"/>
      <c r="EC158" s="45"/>
      <c r="ED158" s="45"/>
      <c r="EE158" s="45"/>
      <c r="EF158" s="45"/>
      <c r="EG158" s="45"/>
      <c r="EH158" s="45"/>
      <c r="EI158" s="45"/>
      <c r="EJ158" s="45"/>
      <c r="EK158" s="45"/>
      <c r="EL158" s="45"/>
      <c r="EM158" s="45"/>
      <c r="EN158" s="45"/>
      <c r="EO158" s="45"/>
    </row>
    <row r="159" spans="1:145" s="50" customFormat="1" ht="16.05" hidden="1" customHeight="1" x14ac:dyDescent="0.25">
      <c r="A159" s="32"/>
      <c r="B159" s="202"/>
      <c r="C159" s="116" t="s">
        <v>98</v>
      </c>
      <c r="D159" s="42"/>
      <c r="E159" s="117"/>
      <c r="F159" s="65"/>
      <c r="G159" s="65"/>
      <c r="H159" s="65"/>
      <c r="I159" s="65"/>
      <c r="J159" s="65"/>
      <c r="K159" s="66"/>
      <c r="L159" s="66"/>
      <c r="M159" s="65"/>
      <c r="N159" s="65"/>
      <c r="O159" s="65"/>
      <c r="P159" s="65"/>
      <c r="Q159" s="65"/>
      <c r="R159" s="66"/>
      <c r="S159" s="66"/>
      <c r="T159" s="65"/>
      <c r="U159" s="65"/>
      <c r="V159" s="65"/>
      <c r="W159" s="65"/>
      <c r="X159" s="65"/>
      <c r="Y159" s="66"/>
      <c r="Z159" s="66"/>
      <c r="AA159" s="65"/>
      <c r="AB159" s="65"/>
      <c r="AC159" s="65"/>
      <c r="AD159" s="65"/>
      <c r="AE159" s="65"/>
      <c r="AF159" s="66"/>
      <c r="AG159" s="66"/>
      <c r="AH159" s="65"/>
      <c r="AI159" s="65"/>
      <c r="AJ159" s="65"/>
      <c r="AK159" s="65"/>
      <c r="AL159" s="65"/>
      <c r="AM159" s="65"/>
      <c r="AN159" s="65"/>
      <c r="AO159" s="65"/>
      <c r="AP159" s="66"/>
      <c r="AQ159" s="66"/>
      <c r="AR159" s="65"/>
      <c r="AS159" s="65"/>
      <c r="AT159" s="65"/>
      <c r="AU159" s="65"/>
      <c r="AV159" s="65"/>
      <c r="AW159" s="66"/>
      <c r="AX159" s="66"/>
      <c r="AY159" s="65"/>
      <c r="AZ159" s="65"/>
      <c r="BA159" s="65"/>
      <c r="BB159" s="65"/>
      <c r="BC159" s="65"/>
      <c r="BD159" s="66"/>
      <c r="BE159" s="66"/>
      <c r="BF159" s="65"/>
      <c r="BG159" s="65"/>
      <c r="BH159" s="65"/>
      <c r="BI159" s="65"/>
      <c r="BJ159" s="65"/>
      <c r="BK159" s="66"/>
      <c r="BL159" s="66"/>
      <c r="BM159" s="65"/>
      <c r="BN159" s="65"/>
      <c r="BO159" s="203"/>
      <c r="BP159" s="22"/>
      <c r="BQ159" s="22"/>
      <c r="BR159" s="22"/>
      <c r="BS159" s="22"/>
      <c r="BT159" s="22"/>
      <c r="BU159" s="32"/>
      <c r="BV159" s="22"/>
      <c r="BW159" s="22"/>
      <c r="BX159" s="32"/>
      <c r="BY159" s="121"/>
      <c r="BZ159" s="122"/>
      <c r="CA159" s="123"/>
      <c r="CB159" s="90"/>
      <c r="CC159" s="89"/>
      <c r="CD159" s="90"/>
      <c r="CE159" s="114"/>
      <c r="CF159" s="10"/>
      <c r="CG159" s="30"/>
      <c r="CH159" s="194"/>
      <c r="CI159" s="30"/>
      <c r="CJ159" s="194"/>
      <c r="CK159" s="30"/>
      <c r="CL159" s="194"/>
      <c r="CN159" s="45"/>
      <c r="CO159" s="45"/>
      <c r="CP159" s="45"/>
      <c r="CQ159" s="45"/>
      <c r="CR159" s="45"/>
      <c r="CS159" s="45"/>
      <c r="CT159" s="45"/>
      <c r="CU159" s="45"/>
      <c r="CV159" s="45"/>
      <c r="CW159" s="45"/>
      <c r="CX159" s="45"/>
      <c r="CY159" s="45"/>
      <c r="CZ159" s="45"/>
      <c r="DA159" s="45"/>
      <c r="DB159" s="45"/>
      <c r="DC159" s="45"/>
      <c r="DD159" s="45"/>
      <c r="DE159" s="45"/>
      <c r="DF159" s="45"/>
      <c r="DG159" s="45"/>
      <c r="DH159" s="45"/>
      <c r="DI159" s="45"/>
      <c r="DJ159" s="45"/>
      <c r="DK159" s="45"/>
      <c r="DL159" s="45"/>
      <c r="DM159" s="45"/>
      <c r="DN159" s="45"/>
      <c r="DO159" s="45"/>
      <c r="DP159" s="45"/>
      <c r="DQ159" s="45"/>
      <c r="DR159" s="45"/>
      <c r="DS159" s="45"/>
      <c r="DT159" s="45"/>
      <c r="DU159" s="45"/>
      <c r="DV159" s="45"/>
      <c r="DW159" s="45"/>
      <c r="DX159" s="45"/>
      <c r="DY159" s="45"/>
      <c r="DZ159" s="45"/>
      <c r="EA159" s="45"/>
      <c r="EB159" s="45"/>
      <c r="EC159" s="45"/>
      <c r="ED159" s="45"/>
      <c r="EE159" s="45"/>
      <c r="EF159" s="45"/>
      <c r="EG159" s="45"/>
      <c r="EH159" s="45"/>
      <c r="EI159" s="45"/>
      <c r="EJ159" s="45"/>
      <c r="EK159" s="45"/>
      <c r="EL159" s="45"/>
      <c r="EM159" s="45"/>
      <c r="EN159" s="45"/>
      <c r="EO159" s="45"/>
    </row>
    <row r="160" spans="1:145" ht="16.05" hidden="1" customHeight="1" x14ac:dyDescent="0.25">
      <c r="A160" s="32"/>
      <c r="B160" s="202"/>
      <c r="C160" s="81"/>
      <c r="D160" s="95"/>
      <c r="E160" s="39"/>
      <c r="F160" s="65"/>
      <c r="G160" s="65"/>
      <c r="H160" s="65"/>
      <c r="I160" s="65"/>
      <c r="J160" s="65"/>
      <c r="K160" s="66"/>
      <c r="L160" s="66"/>
      <c r="M160" s="65"/>
      <c r="N160" s="65"/>
      <c r="O160" s="65"/>
      <c r="P160" s="65"/>
      <c r="Q160" s="65"/>
      <c r="R160" s="66"/>
      <c r="S160" s="66"/>
      <c r="T160" s="65"/>
      <c r="U160" s="65"/>
      <c r="V160" s="65"/>
      <c r="W160" s="65"/>
      <c r="X160" s="65"/>
      <c r="Y160" s="66"/>
      <c r="Z160" s="66"/>
      <c r="AA160" s="65"/>
      <c r="AB160" s="65"/>
      <c r="AC160" s="65"/>
      <c r="AD160" s="65"/>
      <c r="AE160" s="65"/>
      <c r="AF160" s="66"/>
      <c r="AG160" s="66"/>
      <c r="AH160" s="65"/>
      <c r="AI160" s="65"/>
      <c r="AJ160" s="65"/>
      <c r="AK160" s="65"/>
      <c r="AL160" s="65"/>
      <c r="AM160" s="65"/>
      <c r="AN160" s="65"/>
      <c r="AO160" s="65"/>
      <c r="AP160" s="66"/>
      <c r="AQ160" s="66"/>
      <c r="AR160" s="65"/>
      <c r="AS160" s="65"/>
      <c r="AT160" s="65"/>
      <c r="AU160" s="65"/>
      <c r="AV160" s="65"/>
      <c r="AW160" s="66"/>
      <c r="AX160" s="66"/>
      <c r="AY160" s="65"/>
      <c r="AZ160" s="65"/>
      <c r="BA160" s="65"/>
      <c r="BB160" s="65"/>
      <c r="BC160" s="65"/>
      <c r="BD160" s="66"/>
      <c r="BE160" s="66"/>
      <c r="BF160" s="65"/>
      <c r="BG160" s="65"/>
      <c r="BH160" s="65"/>
      <c r="BI160" s="65"/>
      <c r="BJ160" s="65"/>
      <c r="BK160" s="66"/>
      <c r="BL160" s="66"/>
      <c r="BM160" s="65"/>
      <c r="BN160" s="65"/>
      <c r="BO160" s="118"/>
      <c r="BP160" s="68"/>
      <c r="BQ160" s="68"/>
      <c r="BR160" s="68"/>
      <c r="BS160" s="68"/>
      <c r="BT160" s="200"/>
      <c r="BU160" s="32"/>
      <c r="BV160" s="200"/>
      <c r="BW160" s="200"/>
      <c r="BX160" s="32"/>
      <c r="BY160" s="188"/>
      <c r="BZ160" s="189"/>
      <c r="CA160" s="190"/>
      <c r="CB160" s="191"/>
      <c r="CC160" s="192"/>
      <c r="CD160" s="191"/>
      <c r="CE160" s="18"/>
      <c r="CF160" s="10"/>
      <c r="CH160" s="194"/>
      <c r="CJ160" s="194"/>
      <c r="CL160" s="194"/>
    </row>
    <row r="161" spans="1:91" ht="16.05" hidden="1" customHeight="1" x14ac:dyDescent="0.25">
      <c r="A161" s="32"/>
      <c r="B161" s="202"/>
      <c r="C161" s="81" t="s">
        <v>92</v>
      </c>
      <c r="D161" s="95" t="s">
        <v>72</v>
      </c>
      <c r="E161" s="36" t="s">
        <v>18</v>
      </c>
      <c r="F161" s="65"/>
      <c r="G161" s="65"/>
      <c r="H161" s="65"/>
      <c r="I161" s="65"/>
      <c r="J161" s="65"/>
      <c r="K161" s="66"/>
      <c r="L161" s="66"/>
      <c r="M161" s="65"/>
      <c r="N161" s="65"/>
      <c r="O161" s="65"/>
      <c r="P161" s="65"/>
      <c r="Q161" s="65"/>
      <c r="R161" s="66"/>
      <c r="S161" s="66"/>
      <c r="T161" s="65"/>
      <c r="U161" s="65"/>
      <c r="V161" s="65"/>
      <c r="W161" s="65"/>
      <c r="X161" s="65"/>
      <c r="Y161" s="66"/>
      <c r="Z161" s="66"/>
      <c r="AA161" s="65"/>
      <c r="AB161" s="65"/>
      <c r="AC161" s="65"/>
      <c r="AD161" s="65"/>
      <c r="AE161" s="65"/>
      <c r="AF161" s="66"/>
      <c r="AG161" s="66"/>
      <c r="AH161" s="65"/>
      <c r="AI161" s="65"/>
      <c r="AJ161" s="65"/>
      <c r="AK161" s="65"/>
      <c r="AL161" s="65"/>
      <c r="AM161" s="65"/>
      <c r="AN161" s="65"/>
      <c r="AO161" s="65"/>
      <c r="AP161" s="66"/>
      <c r="AQ161" s="66"/>
      <c r="AR161" s="65"/>
      <c r="AS161" s="65"/>
      <c r="AT161" s="65"/>
      <c r="AU161" s="65"/>
      <c r="AV161" s="65"/>
      <c r="AW161" s="66"/>
      <c r="AX161" s="66"/>
      <c r="AY161" s="65"/>
      <c r="AZ161" s="65"/>
      <c r="BA161" s="65"/>
      <c r="BB161" s="65"/>
      <c r="BC161" s="65"/>
      <c r="BD161" s="66"/>
      <c r="BE161" s="66"/>
      <c r="BF161" s="65"/>
      <c r="BG161" s="65"/>
      <c r="BH161" s="65"/>
      <c r="BI161" s="65"/>
      <c r="BJ161" s="65"/>
      <c r="BK161" s="66"/>
      <c r="BL161" s="66"/>
      <c r="BM161" s="65"/>
      <c r="BN161" s="65"/>
      <c r="BO161" s="175">
        <f>SUM(F161:AI161)</f>
        <v>0</v>
      </c>
      <c r="BP161" s="22">
        <v>160</v>
      </c>
      <c r="BQ161" s="83">
        <v>0.4</v>
      </c>
      <c r="BR161" s="22">
        <f>BP161*(1-BQ161)</f>
        <v>96</v>
      </c>
      <c r="BS161" s="22">
        <f>BR161*BO161</f>
        <v>0</v>
      </c>
      <c r="BT161" s="84">
        <f>BR161*0.8</f>
        <v>76.800000000000011</v>
      </c>
      <c r="BU161" s="32"/>
      <c r="BV161" s="84">
        <f>BS161*0.8</f>
        <v>0</v>
      </c>
      <c r="BW161" s="84"/>
      <c r="BX161" s="32"/>
      <c r="BY161" s="99">
        <f>BZ161/CC161*100</f>
        <v>1.6966178638782834</v>
      </c>
      <c r="BZ161" s="122">
        <v>2678</v>
      </c>
      <c r="CA161" s="123">
        <f>BY161*BO161</f>
        <v>0</v>
      </c>
      <c r="CB161" s="90">
        <v>320820</v>
      </c>
      <c r="CC161" s="89">
        <v>157843.44</v>
      </c>
      <c r="CD161" s="90">
        <v>324862</v>
      </c>
      <c r="CE161" s="21">
        <f>BV161/CD161*1000</f>
        <v>0</v>
      </c>
      <c r="CF161" s="10"/>
      <c r="CG161" s="30" t="str">
        <f>C161</f>
        <v>MIX FM</v>
      </c>
      <c r="CH161" s="194"/>
      <c r="CI161" s="30" t="e">
        <f>SUM(#REF!)</f>
        <v>#REF!</v>
      </c>
      <c r="CJ161" s="194" t="e">
        <f>#REF!*CI161</f>
        <v>#REF!</v>
      </c>
      <c r="CK161" s="30" t="e">
        <f>SUM(#REF!)</f>
        <v>#REF!</v>
      </c>
      <c r="CL161" s="194" t="e">
        <f>#REF!*CK161</f>
        <v>#REF!</v>
      </c>
    </row>
    <row r="162" spans="1:91" ht="16.05" hidden="1" customHeight="1" x14ac:dyDescent="0.25">
      <c r="A162" s="32"/>
      <c r="B162" s="202"/>
      <c r="C162" s="116" t="s">
        <v>98</v>
      </c>
      <c r="D162" s="42"/>
      <c r="E162" s="117"/>
      <c r="F162" s="65"/>
      <c r="G162" s="65"/>
      <c r="H162" s="65"/>
      <c r="I162" s="65"/>
      <c r="J162" s="65"/>
      <c r="K162" s="66"/>
      <c r="L162" s="66"/>
      <c r="M162" s="65"/>
      <c r="N162" s="65"/>
      <c r="O162" s="65"/>
      <c r="P162" s="65"/>
      <c r="Q162" s="65"/>
      <c r="R162" s="66"/>
      <c r="S162" s="66"/>
      <c r="T162" s="65"/>
      <c r="U162" s="65"/>
      <c r="V162" s="65"/>
      <c r="W162" s="65"/>
      <c r="X162" s="65"/>
      <c r="Y162" s="66"/>
      <c r="Z162" s="66"/>
      <c r="AA162" s="65"/>
      <c r="AB162" s="65"/>
      <c r="AC162" s="65"/>
      <c r="AD162" s="65"/>
      <c r="AE162" s="65"/>
      <c r="AF162" s="66"/>
      <c r="AG162" s="66"/>
      <c r="AH162" s="65"/>
      <c r="AI162" s="65"/>
      <c r="AJ162" s="65"/>
      <c r="AK162" s="65"/>
      <c r="AL162" s="65"/>
      <c r="AM162" s="65"/>
      <c r="AN162" s="65"/>
      <c r="AO162" s="65"/>
      <c r="AP162" s="66"/>
      <c r="AQ162" s="66"/>
      <c r="AR162" s="65"/>
      <c r="AS162" s="65"/>
      <c r="AT162" s="65"/>
      <c r="AU162" s="65"/>
      <c r="AV162" s="65"/>
      <c r="AW162" s="66"/>
      <c r="AX162" s="66"/>
      <c r="AY162" s="65"/>
      <c r="AZ162" s="65"/>
      <c r="BA162" s="65"/>
      <c r="BB162" s="65"/>
      <c r="BC162" s="65"/>
      <c r="BD162" s="66"/>
      <c r="BE162" s="66"/>
      <c r="BF162" s="65"/>
      <c r="BG162" s="65"/>
      <c r="BH162" s="65"/>
      <c r="BI162" s="65"/>
      <c r="BJ162" s="65"/>
      <c r="BK162" s="66"/>
      <c r="BL162" s="66"/>
      <c r="BM162" s="65"/>
      <c r="BN162" s="65"/>
      <c r="BO162" s="203"/>
      <c r="BP162" s="22"/>
      <c r="BQ162" s="22"/>
      <c r="BR162" s="22"/>
      <c r="BS162" s="22"/>
      <c r="BT162" s="22"/>
      <c r="BU162" s="32"/>
      <c r="BV162" s="22"/>
      <c r="BW162" s="22"/>
      <c r="BX162" s="32"/>
      <c r="BY162" s="121"/>
      <c r="BZ162" s="122"/>
      <c r="CA162" s="123"/>
      <c r="CB162" s="90"/>
      <c r="CC162" s="89"/>
      <c r="CD162" s="90"/>
      <c r="CE162" s="21"/>
      <c r="CF162" s="10"/>
      <c r="CH162" s="194"/>
      <c r="CJ162" s="194"/>
      <c r="CL162" s="194"/>
    </row>
    <row r="163" spans="1:91" ht="16.05" hidden="1" customHeight="1" x14ac:dyDescent="0.25">
      <c r="A163" s="32"/>
      <c r="B163" s="202"/>
      <c r="C163" s="81"/>
      <c r="D163" s="95"/>
      <c r="E163" s="39"/>
      <c r="F163" s="65"/>
      <c r="G163" s="65"/>
      <c r="H163" s="65"/>
      <c r="I163" s="65"/>
      <c r="J163" s="65"/>
      <c r="K163" s="66"/>
      <c r="L163" s="66"/>
      <c r="M163" s="65"/>
      <c r="N163" s="65"/>
      <c r="O163" s="65"/>
      <c r="P163" s="65"/>
      <c r="Q163" s="65"/>
      <c r="R163" s="66"/>
      <c r="S163" s="66"/>
      <c r="T163" s="65"/>
      <c r="U163" s="65"/>
      <c r="V163" s="65"/>
      <c r="W163" s="65"/>
      <c r="X163" s="65"/>
      <c r="Y163" s="66"/>
      <c r="Z163" s="66"/>
      <c r="AA163" s="65"/>
      <c r="AB163" s="65"/>
      <c r="AC163" s="65"/>
      <c r="AD163" s="65"/>
      <c r="AE163" s="65"/>
      <c r="AF163" s="66"/>
      <c r="AG163" s="66"/>
      <c r="AH163" s="65"/>
      <c r="AI163" s="65"/>
      <c r="AJ163" s="65"/>
      <c r="AK163" s="65"/>
      <c r="AL163" s="65"/>
      <c r="AM163" s="65"/>
      <c r="AN163" s="65"/>
      <c r="AO163" s="65"/>
      <c r="AP163" s="66"/>
      <c r="AQ163" s="66"/>
      <c r="AR163" s="65"/>
      <c r="AS163" s="65"/>
      <c r="AT163" s="65"/>
      <c r="AU163" s="65"/>
      <c r="AV163" s="65"/>
      <c r="AW163" s="66"/>
      <c r="AX163" s="66"/>
      <c r="AY163" s="65"/>
      <c r="AZ163" s="65"/>
      <c r="BA163" s="65"/>
      <c r="BB163" s="65"/>
      <c r="BC163" s="65"/>
      <c r="BD163" s="66"/>
      <c r="BE163" s="66"/>
      <c r="BF163" s="65"/>
      <c r="BG163" s="65"/>
      <c r="BH163" s="65"/>
      <c r="BI163" s="65"/>
      <c r="BJ163" s="65"/>
      <c r="BK163" s="66"/>
      <c r="BL163" s="66"/>
      <c r="BM163" s="65"/>
      <c r="BN163" s="65"/>
      <c r="BO163" s="187"/>
      <c r="BP163" s="68"/>
      <c r="BQ163" s="68"/>
      <c r="BR163" s="68"/>
      <c r="BS163" s="68"/>
      <c r="BT163" s="200"/>
      <c r="BU163" s="32"/>
      <c r="BV163" s="200"/>
      <c r="BW163" s="200"/>
      <c r="BX163" s="32"/>
      <c r="BY163" s="106"/>
      <c r="BZ163" s="107"/>
      <c r="CA163" s="108"/>
      <c r="CB163" s="109"/>
      <c r="CC163" s="110"/>
      <c r="CD163" s="109"/>
      <c r="CE163" s="114"/>
      <c r="CF163" s="10"/>
      <c r="CH163" s="194"/>
      <c r="CJ163" s="194"/>
      <c r="CL163" s="194"/>
    </row>
    <row r="164" spans="1:91" ht="16.05" hidden="1" customHeight="1" x14ac:dyDescent="0.25">
      <c r="A164" s="32"/>
      <c r="B164" s="25" t="s">
        <v>104</v>
      </c>
      <c r="C164" s="139"/>
      <c r="D164" s="139"/>
      <c r="E164" s="139"/>
      <c r="F164" s="40">
        <f t="shared" ref="F164:BO164" si="17">SUM(F137:F163)</f>
        <v>0</v>
      </c>
      <c r="G164" s="40">
        <f t="shared" si="17"/>
        <v>0</v>
      </c>
      <c r="H164" s="40">
        <f t="shared" si="17"/>
        <v>0</v>
      </c>
      <c r="I164" s="40">
        <f t="shared" si="17"/>
        <v>0</v>
      </c>
      <c r="J164" s="40">
        <f t="shared" si="17"/>
        <v>0</v>
      </c>
      <c r="K164" s="40">
        <f t="shared" si="17"/>
        <v>0</v>
      </c>
      <c r="L164" s="40">
        <f t="shared" si="17"/>
        <v>0</v>
      </c>
      <c r="M164" s="40">
        <f t="shared" si="17"/>
        <v>0</v>
      </c>
      <c r="N164" s="40">
        <f t="shared" si="17"/>
        <v>0</v>
      </c>
      <c r="O164" s="40">
        <f t="shared" si="17"/>
        <v>0</v>
      </c>
      <c r="P164" s="40">
        <f t="shared" si="17"/>
        <v>0</v>
      </c>
      <c r="Q164" s="40">
        <f t="shared" si="17"/>
        <v>0</v>
      </c>
      <c r="R164" s="40">
        <f t="shared" si="17"/>
        <v>0</v>
      </c>
      <c r="S164" s="40">
        <f t="shared" si="17"/>
        <v>0</v>
      </c>
      <c r="T164" s="40">
        <f t="shared" si="17"/>
        <v>0</v>
      </c>
      <c r="U164" s="40">
        <f t="shared" si="17"/>
        <v>0</v>
      </c>
      <c r="V164" s="40">
        <f t="shared" si="17"/>
        <v>0</v>
      </c>
      <c r="W164" s="40">
        <f t="shared" si="17"/>
        <v>0</v>
      </c>
      <c r="X164" s="40">
        <f t="shared" si="17"/>
        <v>0</v>
      </c>
      <c r="Y164" s="40">
        <f t="shared" si="17"/>
        <v>0</v>
      </c>
      <c r="Z164" s="40">
        <f t="shared" si="17"/>
        <v>0</v>
      </c>
      <c r="AA164" s="40">
        <f t="shared" si="17"/>
        <v>0</v>
      </c>
      <c r="AB164" s="40">
        <f t="shared" si="17"/>
        <v>0</v>
      </c>
      <c r="AC164" s="40">
        <f t="shared" si="17"/>
        <v>0</v>
      </c>
      <c r="AD164" s="40">
        <f t="shared" si="17"/>
        <v>0</v>
      </c>
      <c r="AE164" s="40">
        <f t="shared" si="17"/>
        <v>0</v>
      </c>
      <c r="AF164" s="40">
        <f t="shared" si="17"/>
        <v>0</v>
      </c>
      <c r="AG164" s="40">
        <f t="shared" si="17"/>
        <v>0</v>
      </c>
      <c r="AH164" s="40">
        <f t="shared" si="17"/>
        <v>0</v>
      </c>
      <c r="AI164" s="40">
        <f t="shared" si="17"/>
        <v>0</v>
      </c>
      <c r="AJ164" s="40">
        <f t="shared" ref="AJ164:BN164" si="18">SUM(AJ137:AJ163)</f>
        <v>0</v>
      </c>
      <c r="AK164" s="40">
        <f t="shared" si="18"/>
        <v>0</v>
      </c>
      <c r="AL164" s="40">
        <f t="shared" si="18"/>
        <v>0</v>
      </c>
      <c r="AM164" s="40">
        <f t="shared" si="18"/>
        <v>0</v>
      </c>
      <c r="AN164" s="40">
        <f t="shared" si="18"/>
        <v>0</v>
      </c>
      <c r="AO164" s="40">
        <f t="shared" si="18"/>
        <v>0</v>
      </c>
      <c r="AP164" s="40">
        <f t="shared" si="18"/>
        <v>0</v>
      </c>
      <c r="AQ164" s="40">
        <f t="shared" si="18"/>
        <v>0</v>
      </c>
      <c r="AR164" s="40">
        <f t="shared" si="18"/>
        <v>0</v>
      </c>
      <c r="AS164" s="40">
        <f t="shared" si="18"/>
        <v>0</v>
      </c>
      <c r="AT164" s="40">
        <f t="shared" si="18"/>
        <v>0</v>
      </c>
      <c r="AU164" s="40">
        <f t="shared" si="18"/>
        <v>0</v>
      </c>
      <c r="AV164" s="40">
        <f t="shared" si="18"/>
        <v>0</v>
      </c>
      <c r="AW164" s="40">
        <f t="shared" si="18"/>
        <v>0</v>
      </c>
      <c r="AX164" s="40">
        <f t="shared" si="18"/>
        <v>0</v>
      </c>
      <c r="AY164" s="40">
        <f t="shared" si="18"/>
        <v>0</v>
      </c>
      <c r="AZ164" s="40">
        <f t="shared" si="18"/>
        <v>0</v>
      </c>
      <c r="BA164" s="40">
        <f t="shared" si="18"/>
        <v>0</v>
      </c>
      <c r="BB164" s="40">
        <f t="shared" si="18"/>
        <v>0</v>
      </c>
      <c r="BC164" s="40">
        <f t="shared" si="18"/>
        <v>0</v>
      </c>
      <c r="BD164" s="40">
        <f t="shared" si="18"/>
        <v>0</v>
      </c>
      <c r="BE164" s="40">
        <f t="shared" si="18"/>
        <v>0</v>
      </c>
      <c r="BF164" s="40">
        <f t="shared" si="18"/>
        <v>0</v>
      </c>
      <c r="BG164" s="40">
        <f t="shared" si="18"/>
        <v>0</v>
      </c>
      <c r="BH164" s="40">
        <f t="shared" si="18"/>
        <v>0</v>
      </c>
      <c r="BI164" s="40">
        <f t="shared" si="18"/>
        <v>0</v>
      </c>
      <c r="BJ164" s="40">
        <f t="shared" si="18"/>
        <v>0</v>
      </c>
      <c r="BK164" s="40">
        <f t="shared" si="18"/>
        <v>0</v>
      </c>
      <c r="BL164" s="40">
        <f t="shared" si="18"/>
        <v>0</v>
      </c>
      <c r="BM164" s="40">
        <f t="shared" si="18"/>
        <v>0</v>
      </c>
      <c r="BN164" s="40">
        <f t="shared" si="18"/>
        <v>0</v>
      </c>
      <c r="BO164" s="204" t="e">
        <f t="shared" si="17"/>
        <v>#REF!</v>
      </c>
      <c r="BP164" s="205"/>
      <c r="BQ164" s="205"/>
      <c r="BR164" s="205"/>
      <c r="BS164" s="205" t="e">
        <f>SUM(BS137:BS163)</f>
        <v>#REF!</v>
      </c>
      <c r="BT164" s="205">
        <f>SUM(BT137:BT163)</f>
        <v>865.24968421052631</v>
      </c>
      <c r="BU164" s="43"/>
      <c r="BV164" s="205" t="e">
        <f>SUM(BV137:BV163)</f>
        <v>#REF!</v>
      </c>
      <c r="BW164" s="205"/>
      <c r="BX164" s="43"/>
      <c r="BY164" s="196"/>
      <c r="BZ164" s="197"/>
      <c r="CA164" s="198"/>
      <c r="CB164" s="147"/>
      <c r="CC164" s="147"/>
      <c r="CD164" s="199">
        <f>SUM(CD137:CD163)</f>
        <v>324862</v>
      </c>
      <c r="CE164" s="149" t="e">
        <f>BV164/CD164*1000</f>
        <v>#REF!</v>
      </c>
      <c r="CF164" s="10"/>
      <c r="CH164" s="194"/>
      <c r="CJ164" s="194"/>
      <c r="CL164" s="194"/>
    </row>
    <row r="165" spans="1:91" s="152" customFormat="1" ht="16.05" hidden="1" customHeight="1" x14ac:dyDescent="0.3">
      <c r="A165" s="43"/>
      <c r="B165" s="183"/>
      <c r="C165" s="184"/>
      <c r="D165" s="185"/>
      <c r="E165" s="186"/>
      <c r="F165" s="65"/>
      <c r="G165" s="65"/>
      <c r="H165" s="65"/>
      <c r="I165" s="65"/>
      <c r="J165" s="65"/>
      <c r="K165" s="66"/>
      <c r="L165" s="66"/>
      <c r="M165" s="65"/>
      <c r="N165" s="65"/>
      <c r="O165" s="65"/>
      <c r="P165" s="65"/>
      <c r="Q165" s="65"/>
      <c r="R165" s="66"/>
      <c r="S165" s="66"/>
      <c r="T165" s="65"/>
      <c r="U165" s="65"/>
      <c r="V165" s="65"/>
      <c r="W165" s="65"/>
      <c r="X165" s="65"/>
      <c r="Y165" s="66"/>
      <c r="Z165" s="66"/>
      <c r="AA165" s="65"/>
      <c r="AB165" s="65"/>
      <c r="AC165" s="65"/>
      <c r="AD165" s="65"/>
      <c r="AE165" s="65"/>
      <c r="AF165" s="66"/>
      <c r="AG165" s="66"/>
      <c r="AH165" s="65"/>
      <c r="AI165" s="65"/>
      <c r="AJ165" s="65"/>
      <c r="AK165" s="65"/>
      <c r="AL165" s="65"/>
      <c r="AM165" s="65"/>
      <c r="AN165" s="65"/>
      <c r="AO165" s="65"/>
      <c r="AP165" s="66"/>
      <c r="AQ165" s="66"/>
      <c r="AR165" s="65"/>
      <c r="AS165" s="65"/>
      <c r="AT165" s="65"/>
      <c r="AU165" s="65"/>
      <c r="AV165" s="65"/>
      <c r="AW165" s="66"/>
      <c r="AX165" s="66"/>
      <c r="AY165" s="65"/>
      <c r="AZ165" s="65"/>
      <c r="BA165" s="65"/>
      <c r="BB165" s="65"/>
      <c r="BC165" s="65"/>
      <c r="BD165" s="66"/>
      <c r="BE165" s="66"/>
      <c r="BF165" s="65"/>
      <c r="BG165" s="65"/>
      <c r="BH165" s="65"/>
      <c r="BI165" s="65"/>
      <c r="BJ165" s="65"/>
      <c r="BK165" s="66"/>
      <c r="BL165" s="66"/>
      <c r="BM165" s="65"/>
      <c r="BN165" s="65"/>
      <c r="BO165" s="118"/>
      <c r="BP165" s="68"/>
      <c r="BQ165" s="68"/>
      <c r="BR165" s="68"/>
      <c r="BS165" s="68"/>
      <c r="BT165" s="200"/>
      <c r="BU165" s="32"/>
      <c r="BV165" s="200"/>
      <c r="BW165" s="200"/>
      <c r="BX165" s="32"/>
      <c r="BY165" s="188"/>
      <c r="BZ165" s="189"/>
      <c r="CA165" s="190"/>
      <c r="CB165" s="191"/>
      <c r="CC165" s="192"/>
      <c r="CD165" s="191"/>
      <c r="CE165" s="193"/>
      <c r="CF165" s="160"/>
      <c r="CG165" s="30"/>
      <c r="CH165" s="194"/>
      <c r="CI165" s="30"/>
      <c r="CJ165" s="194"/>
      <c r="CK165" s="30"/>
      <c r="CL165" s="194"/>
      <c r="CM165" s="151"/>
    </row>
    <row r="166" spans="1:91" ht="16.05" hidden="1" customHeight="1" x14ac:dyDescent="0.25">
      <c r="A166" s="32"/>
      <c r="B166" s="93" t="s">
        <v>105</v>
      </c>
      <c r="C166" s="81" t="s">
        <v>106</v>
      </c>
      <c r="D166" s="95" t="s">
        <v>87</v>
      </c>
      <c r="E166" s="39" t="s">
        <v>18</v>
      </c>
      <c r="F166" s="65"/>
      <c r="G166" s="65"/>
      <c r="H166" s="65"/>
      <c r="I166" s="65"/>
      <c r="J166" s="65"/>
      <c r="K166" s="66"/>
      <c r="L166" s="66"/>
      <c r="M166" s="65"/>
      <c r="N166" s="65"/>
      <c r="O166" s="65"/>
      <c r="P166" s="65"/>
      <c r="Q166" s="65"/>
      <c r="R166" s="66"/>
      <c r="S166" s="66"/>
      <c r="T166" s="65"/>
      <c r="U166" s="65"/>
      <c r="V166" s="65"/>
      <c r="W166" s="65"/>
      <c r="X166" s="65"/>
      <c r="Y166" s="66"/>
      <c r="Z166" s="66"/>
      <c r="AA166" s="65"/>
      <c r="AB166" s="65"/>
      <c r="AC166" s="65"/>
      <c r="AD166" s="65"/>
      <c r="AE166" s="65"/>
      <c r="AF166" s="66"/>
      <c r="AG166" s="66"/>
      <c r="AH166" s="65"/>
      <c r="AI166" s="65"/>
      <c r="AJ166" s="65"/>
      <c r="AK166" s="65"/>
      <c r="AL166" s="65"/>
      <c r="AM166" s="65"/>
      <c r="AN166" s="65"/>
      <c r="AO166" s="65"/>
      <c r="AP166" s="66"/>
      <c r="AQ166" s="66"/>
      <c r="AR166" s="65"/>
      <c r="AS166" s="65"/>
      <c r="AT166" s="65"/>
      <c r="AU166" s="65"/>
      <c r="AV166" s="65"/>
      <c r="AW166" s="66"/>
      <c r="AX166" s="66"/>
      <c r="AY166" s="65"/>
      <c r="AZ166" s="65"/>
      <c r="BA166" s="65"/>
      <c r="BB166" s="65"/>
      <c r="BC166" s="65"/>
      <c r="BD166" s="66"/>
      <c r="BE166" s="66"/>
      <c r="BF166" s="65"/>
      <c r="BG166" s="65"/>
      <c r="BH166" s="65"/>
      <c r="BI166" s="65"/>
      <c r="BJ166" s="65"/>
      <c r="BK166" s="66"/>
      <c r="BL166" s="66"/>
      <c r="BM166" s="65"/>
      <c r="BN166" s="65"/>
      <c r="BO166" s="82">
        <f>SUM(F166:AI166)</f>
        <v>0</v>
      </c>
      <c r="BP166" s="22">
        <v>200</v>
      </c>
      <c r="BQ166" s="83">
        <v>0.6</v>
      </c>
      <c r="BR166" s="22">
        <f>BP166*(1-BQ166)</f>
        <v>80</v>
      </c>
      <c r="BS166" s="22">
        <f>BR166*BO166</f>
        <v>0</v>
      </c>
      <c r="BT166" s="84">
        <f>BR166*0.8</f>
        <v>64</v>
      </c>
      <c r="BU166" s="32"/>
      <c r="BV166" s="84">
        <f>BS166*0.8</f>
        <v>0</v>
      </c>
      <c r="BW166" s="84"/>
      <c r="BX166" s="32"/>
      <c r="BY166" s="99"/>
      <c r="BZ166" s="86"/>
      <c r="CA166" s="87"/>
      <c r="CB166" s="88">
        <v>145155</v>
      </c>
      <c r="CC166" s="89"/>
      <c r="CD166" s="90"/>
      <c r="CE166" s="21" t="e">
        <f>BV166/CD166*1000</f>
        <v>#DIV/0!</v>
      </c>
      <c r="CF166" s="55"/>
      <c r="CG166" s="30" t="str">
        <f>C166</f>
        <v>CLUBE FM</v>
      </c>
      <c r="CH166" s="194"/>
      <c r="CI166" s="30" t="e">
        <f>SUM(#REF!)</f>
        <v>#REF!</v>
      </c>
      <c r="CJ166" s="194" t="e">
        <f>#REF!*CI166</f>
        <v>#REF!</v>
      </c>
      <c r="CK166" s="30" t="e">
        <f>SUM(#REF!)</f>
        <v>#REF!</v>
      </c>
      <c r="CL166" s="194" t="e">
        <f>#REF!*CK166</f>
        <v>#REF!</v>
      </c>
    </row>
    <row r="167" spans="1:91" ht="16.05" hidden="1" customHeight="1" x14ac:dyDescent="0.25">
      <c r="A167" s="32"/>
      <c r="B167" s="111"/>
      <c r="C167" s="95"/>
      <c r="D167" s="95"/>
      <c r="E167" s="39"/>
      <c r="F167" s="65"/>
      <c r="G167" s="65"/>
      <c r="H167" s="65"/>
      <c r="I167" s="65"/>
      <c r="J167" s="65"/>
      <c r="K167" s="66"/>
      <c r="L167" s="66"/>
      <c r="M167" s="65"/>
      <c r="N167" s="65"/>
      <c r="O167" s="65"/>
      <c r="P167" s="65"/>
      <c r="Q167" s="65"/>
      <c r="R167" s="66"/>
      <c r="S167" s="66"/>
      <c r="T167" s="65"/>
      <c r="U167" s="65"/>
      <c r="V167" s="65"/>
      <c r="W167" s="65"/>
      <c r="X167" s="65"/>
      <c r="Y167" s="66"/>
      <c r="Z167" s="66"/>
      <c r="AA167" s="65"/>
      <c r="AB167" s="65"/>
      <c r="AC167" s="65"/>
      <c r="AD167" s="65"/>
      <c r="AE167" s="65"/>
      <c r="AF167" s="66"/>
      <c r="AG167" s="66"/>
      <c r="AH167" s="65"/>
      <c r="AI167" s="65"/>
      <c r="AJ167" s="65"/>
      <c r="AK167" s="65"/>
      <c r="AL167" s="65"/>
      <c r="AM167" s="65"/>
      <c r="AN167" s="65"/>
      <c r="AO167" s="65"/>
      <c r="AP167" s="66"/>
      <c r="AQ167" s="66"/>
      <c r="AR167" s="65"/>
      <c r="AS167" s="65"/>
      <c r="AT167" s="65"/>
      <c r="AU167" s="65"/>
      <c r="AV167" s="65"/>
      <c r="AW167" s="66"/>
      <c r="AX167" s="66"/>
      <c r="AY167" s="65"/>
      <c r="AZ167" s="65"/>
      <c r="BA167" s="65"/>
      <c r="BB167" s="65"/>
      <c r="BC167" s="65"/>
      <c r="BD167" s="66"/>
      <c r="BE167" s="66"/>
      <c r="BF167" s="65"/>
      <c r="BG167" s="65"/>
      <c r="BH167" s="65"/>
      <c r="BI167" s="65"/>
      <c r="BJ167" s="65"/>
      <c r="BK167" s="66"/>
      <c r="BL167" s="66"/>
      <c r="BM167" s="65"/>
      <c r="BN167" s="65"/>
      <c r="BO167" s="173"/>
      <c r="BP167" s="104"/>
      <c r="BQ167" s="195"/>
      <c r="BR167" s="104"/>
      <c r="BS167" s="104"/>
      <c r="BT167" s="104"/>
      <c r="BU167" s="32"/>
      <c r="BV167" s="104"/>
      <c r="BW167" s="104"/>
      <c r="BX167" s="32"/>
      <c r="BY167" s="106"/>
      <c r="BZ167" s="107"/>
      <c r="CA167" s="108"/>
      <c r="CB167" s="109"/>
      <c r="CC167" s="110"/>
      <c r="CD167" s="109"/>
      <c r="CE167" s="114"/>
      <c r="CF167" s="10"/>
      <c r="CH167" s="194"/>
      <c r="CJ167" s="194"/>
      <c r="CL167" s="194"/>
    </row>
    <row r="168" spans="1:91" ht="16.05" hidden="1" customHeight="1" x14ac:dyDescent="0.25">
      <c r="A168" s="32"/>
      <c r="B168" s="25" t="s">
        <v>107</v>
      </c>
      <c r="C168" s="139"/>
      <c r="D168" s="139"/>
      <c r="E168" s="139"/>
      <c r="F168" s="40">
        <f t="shared" ref="F168:BO168" si="19">SUM(F165:F167)</f>
        <v>0</v>
      </c>
      <c r="G168" s="40">
        <f t="shared" si="19"/>
        <v>0</v>
      </c>
      <c r="H168" s="40">
        <f t="shared" si="19"/>
        <v>0</v>
      </c>
      <c r="I168" s="40">
        <f t="shared" si="19"/>
        <v>0</v>
      </c>
      <c r="J168" s="40">
        <f t="shared" si="19"/>
        <v>0</v>
      </c>
      <c r="K168" s="40">
        <f t="shared" si="19"/>
        <v>0</v>
      </c>
      <c r="L168" s="40">
        <f t="shared" si="19"/>
        <v>0</v>
      </c>
      <c r="M168" s="40">
        <f t="shared" si="19"/>
        <v>0</v>
      </c>
      <c r="N168" s="40">
        <f t="shared" si="19"/>
        <v>0</v>
      </c>
      <c r="O168" s="40">
        <f t="shared" si="19"/>
        <v>0</v>
      </c>
      <c r="P168" s="40">
        <f t="shared" si="19"/>
        <v>0</v>
      </c>
      <c r="Q168" s="40">
        <f t="shared" si="19"/>
        <v>0</v>
      </c>
      <c r="R168" s="40">
        <f t="shared" si="19"/>
        <v>0</v>
      </c>
      <c r="S168" s="40">
        <f t="shared" si="19"/>
        <v>0</v>
      </c>
      <c r="T168" s="40">
        <f t="shared" si="19"/>
        <v>0</v>
      </c>
      <c r="U168" s="40">
        <f t="shared" si="19"/>
        <v>0</v>
      </c>
      <c r="V168" s="40">
        <f t="shared" si="19"/>
        <v>0</v>
      </c>
      <c r="W168" s="40">
        <f t="shared" si="19"/>
        <v>0</v>
      </c>
      <c r="X168" s="40">
        <f t="shared" si="19"/>
        <v>0</v>
      </c>
      <c r="Y168" s="40">
        <f t="shared" si="19"/>
        <v>0</v>
      </c>
      <c r="Z168" s="40">
        <f t="shared" si="19"/>
        <v>0</v>
      </c>
      <c r="AA168" s="40">
        <f t="shared" si="19"/>
        <v>0</v>
      </c>
      <c r="AB168" s="40">
        <f t="shared" si="19"/>
        <v>0</v>
      </c>
      <c r="AC168" s="40">
        <f t="shared" si="19"/>
        <v>0</v>
      </c>
      <c r="AD168" s="40">
        <f t="shared" si="19"/>
        <v>0</v>
      </c>
      <c r="AE168" s="40">
        <f t="shared" si="19"/>
        <v>0</v>
      </c>
      <c r="AF168" s="40">
        <f t="shared" si="19"/>
        <v>0</v>
      </c>
      <c r="AG168" s="40">
        <f t="shared" si="19"/>
        <v>0</v>
      </c>
      <c r="AH168" s="40">
        <f t="shared" si="19"/>
        <v>0</v>
      </c>
      <c r="AI168" s="40">
        <f t="shared" si="19"/>
        <v>0</v>
      </c>
      <c r="AJ168" s="40">
        <f t="shared" ref="AJ168:BN168" si="20">SUM(AJ165:AJ167)</f>
        <v>0</v>
      </c>
      <c r="AK168" s="40">
        <f t="shared" si="20"/>
        <v>0</v>
      </c>
      <c r="AL168" s="40">
        <f t="shared" si="20"/>
        <v>0</v>
      </c>
      <c r="AM168" s="40">
        <f t="shared" si="20"/>
        <v>0</v>
      </c>
      <c r="AN168" s="40">
        <f t="shared" si="20"/>
        <v>0</v>
      </c>
      <c r="AO168" s="40">
        <f t="shared" si="20"/>
        <v>0</v>
      </c>
      <c r="AP168" s="40">
        <f t="shared" si="20"/>
        <v>0</v>
      </c>
      <c r="AQ168" s="40">
        <f t="shared" si="20"/>
        <v>0</v>
      </c>
      <c r="AR168" s="40">
        <f t="shared" si="20"/>
        <v>0</v>
      </c>
      <c r="AS168" s="40">
        <f t="shared" si="20"/>
        <v>0</v>
      </c>
      <c r="AT168" s="40">
        <f t="shared" si="20"/>
        <v>0</v>
      </c>
      <c r="AU168" s="40">
        <f t="shared" si="20"/>
        <v>0</v>
      </c>
      <c r="AV168" s="40">
        <f t="shared" si="20"/>
        <v>0</v>
      </c>
      <c r="AW168" s="40">
        <f t="shared" si="20"/>
        <v>0</v>
      </c>
      <c r="AX168" s="40">
        <f t="shared" si="20"/>
        <v>0</v>
      </c>
      <c r="AY168" s="40">
        <f t="shared" si="20"/>
        <v>0</v>
      </c>
      <c r="AZ168" s="40">
        <f t="shared" si="20"/>
        <v>0</v>
      </c>
      <c r="BA168" s="40">
        <f t="shared" si="20"/>
        <v>0</v>
      </c>
      <c r="BB168" s="40">
        <f t="shared" si="20"/>
        <v>0</v>
      </c>
      <c r="BC168" s="40">
        <f t="shared" si="20"/>
        <v>0</v>
      </c>
      <c r="BD168" s="40">
        <f t="shared" si="20"/>
        <v>0</v>
      </c>
      <c r="BE168" s="40">
        <f t="shared" si="20"/>
        <v>0</v>
      </c>
      <c r="BF168" s="40">
        <f t="shared" si="20"/>
        <v>0</v>
      </c>
      <c r="BG168" s="40">
        <f t="shared" si="20"/>
        <v>0</v>
      </c>
      <c r="BH168" s="40">
        <f t="shared" si="20"/>
        <v>0</v>
      </c>
      <c r="BI168" s="40">
        <f t="shared" si="20"/>
        <v>0</v>
      </c>
      <c r="BJ168" s="40">
        <f t="shared" si="20"/>
        <v>0</v>
      </c>
      <c r="BK168" s="40">
        <f t="shared" si="20"/>
        <v>0</v>
      </c>
      <c r="BL168" s="40">
        <f t="shared" si="20"/>
        <v>0</v>
      </c>
      <c r="BM168" s="40">
        <f t="shared" si="20"/>
        <v>0</v>
      </c>
      <c r="BN168" s="40">
        <f t="shared" si="20"/>
        <v>0</v>
      </c>
      <c r="BO168" s="40">
        <f t="shared" si="19"/>
        <v>0</v>
      </c>
      <c r="BP168" s="141"/>
      <c r="BQ168" s="141"/>
      <c r="BR168" s="141"/>
      <c r="BS168" s="141">
        <f>SUM(BS165:BS167)</f>
        <v>0</v>
      </c>
      <c r="BT168" s="141">
        <f>SUM(BT165:BT167)</f>
        <v>64</v>
      </c>
      <c r="BU168" s="43"/>
      <c r="BV168" s="141">
        <f>SUM(BV165:BV167)</f>
        <v>0</v>
      </c>
      <c r="BW168" s="141"/>
      <c r="BX168" s="43"/>
      <c r="BY168" s="196"/>
      <c r="BZ168" s="197"/>
      <c r="CA168" s="198"/>
      <c r="CB168" s="147"/>
      <c r="CC168" s="147"/>
      <c r="CD168" s="199">
        <f>SUM(CD165:CD167)</f>
        <v>0</v>
      </c>
      <c r="CE168" s="149" t="e">
        <f>BV168/CD168*1000</f>
        <v>#DIV/0!</v>
      </c>
      <c r="CF168" s="10"/>
      <c r="CH168" s="194"/>
      <c r="CJ168" s="194"/>
      <c r="CL168" s="194"/>
    </row>
    <row r="169" spans="1:91" s="152" customFormat="1" ht="16.05" hidden="1" customHeight="1" x14ac:dyDescent="0.3">
      <c r="A169" s="43"/>
      <c r="B169" s="183"/>
      <c r="C169" s="184"/>
      <c r="D169" s="185"/>
      <c r="E169" s="186"/>
      <c r="F169" s="65"/>
      <c r="G169" s="65"/>
      <c r="H169" s="65"/>
      <c r="I169" s="65"/>
      <c r="J169" s="65"/>
      <c r="K169" s="66"/>
      <c r="L169" s="66"/>
      <c r="M169" s="65"/>
      <c r="N169" s="65"/>
      <c r="O169" s="65"/>
      <c r="P169" s="65"/>
      <c r="Q169" s="65"/>
      <c r="R169" s="66"/>
      <c r="S169" s="66"/>
      <c r="T169" s="65"/>
      <c r="U169" s="65"/>
      <c r="V169" s="65"/>
      <c r="W169" s="65"/>
      <c r="X169" s="65"/>
      <c r="Y169" s="66"/>
      <c r="Z169" s="66"/>
      <c r="AA169" s="65"/>
      <c r="AB169" s="65"/>
      <c r="AC169" s="65"/>
      <c r="AD169" s="65"/>
      <c r="AE169" s="65"/>
      <c r="AF169" s="66"/>
      <c r="AG169" s="66"/>
      <c r="AH169" s="65"/>
      <c r="AI169" s="65"/>
      <c r="AJ169" s="65"/>
      <c r="AK169" s="65"/>
      <c r="AL169" s="65"/>
      <c r="AM169" s="65"/>
      <c r="AN169" s="65"/>
      <c r="AO169" s="65"/>
      <c r="AP169" s="66"/>
      <c r="AQ169" s="66"/>
      <c r="AR169" s="65"/>
      <c r="AS169" s="65"/>
      <c r="AT169" s="65"/>
      <c r="AU169" s="65"/>
      <c r="AV169" s="65"/>
      <c r="AW169" s="66"/>
      <c r="AX169" s="66"/>
      <c r="AY169" s="65"/>
      <c r="AZ169" s="65"/>
      <c r="BA169" s="65"/>
      <c r="BB169" s="65"/>
      <c r="BC169" s="65"/>
      <c r="BD169" s="66"/>
      <c r="BE169" s="66"/>
      <c r="BF169" s="65"/>
      <c r="BG169" s="65"/>
      <c r="BH169" s="65"/>
      <c r="BI169" s="65"/>
      <c r="BJ169" s="65"/>
      <c r="BK169" s="66"/>
      <c r="BL169" s="66"/>
      <c r="BM169" s="65"/>
      <c r="BN169" s="65"/>
      <c r="BO169" s="118"/>
      <c r="BP169" s="68"/>
      <c r="BQ169" s="68"/>
      <c r="BR169" s="68"/>
      <c r="BS169" s="68"/>
      <c r="BT169" s="68"/>
      <c r="BU169" s="32"/>
      <c r="BV169" s="68"/>
      <c r="BW169" s="68"/>
      <c r="BX169" s="32"/>
      <c r="BY169" s="188"/>
      <c r="BZ169" s="189"/>
      <c r="CA169" s="190"/>
      <c r="CB169" s="191"/>
      <c r="CC169" s="192"/>
      <c r="CD169" s="191"/>
      <c r="CE169" s="193"/>
      <c r="CF169" s="160"/>
      <c r="CG169" s="30"/>
      <c r="CH169" s="194"/>
      <c r="CI169" s="30"/>
      <c r="CJ169" s="194"/>
      <c r="CK169" s="30"/>
      <c r="CL169" s="194"/>
      <c r="CM169" s="151"/>
    </row>
    <row r="170" spans="1:91" ht="16.05" hidden="1" customHeight="1" x14ac:dyDescent="0.25">
      <c r="A170" s="32"/>
      <c r="B170" s="93" t="s">
        <v>108</v>
      </c>
      <c r="C170" s="81" t="s">
        <v>106</v>
      </c>
      <c r="D170" s="95" t="s">
        <v>87</v>
      </c>
      <c r="E170" s="39" t="s">
        <v>18</v>
      </c>
      <c r="F170" s="65"/>
      <c r="G170" s="65"/>
      <c r="H170" s="65"/>
      <c r="I170" s="65"/>
      <c r="J170" s="65"/>
      <c r="K170" s="66"/>
      <c r="L170" s="66"/>
      <c r="M170" s="65"/>
      <c r="N170" s="65"/>
      <c r="O170" s="65"/>
      <c r="P170" s="65"/>
      <c r="Q170" s="65"/>
      <c r="R170" s="66"/>
      <c r="S170" s="66"/>
      <c r="T170" s="65"/>
      <c r="U170" s="65"/>
      <c r="V170" s="65"/>
      <c r="W170" s="65"/>
      <c r="X170" s="65"/>
      <c r="Y170" s="66"/>
      <c r="Z170" s="66"/>
      <c r="AA170" s="65"/>
      <c r="AB170" s="65"/>
      <c r="AC170" s="65"/>
      <c r="AD170" s="65"/>
      <c r="AE170" s="65"/>
      <c r="AF170" s="66"/>
      <c r="AG170" s="66"/>
      <c r="AH170" s="65"/>
      <c r="AI170" s="65"/>
      <c r="AJ170" s="65"/>
      <c r="AK170" s="65"/>
      <c r="AL170" s="65"/>
      <c r="AM170" s="65"/>
      <c r="AN170" s="65"/>
      <c r="AO170" s="65"/>
      <c r="AP170" s="66"/>
      <c r="AQ170" s="66"/>
      <c r="AR170" s="65"/>
      <c r="AS170" s="65"/>
      <c r="AT170" s="65"/>
      <c r="AU170" s="65"/>
      <c r="AV170" s="65"/>
      <c r="AW170" s="66"/>
      <c r="AX170" s="66"/>
      <c r="AY170" s="65"/>
      <c r="AZ170" s="65"/>
      <c r="BA170" s="65"/>
      <c r="BB170" s="65"/>
      <c r="BC170" s="65"/>
      <c r="BD170" s="66"/>
      <c r="BE170" s="66"/>
      <c r="BF170" s="65"/>
      <c r="BG170" s="65"/>
      <c r="BH170" s="65"/>
      <c r="BI170" s="65"/>
      <c r="BJ170" s="65"/>
      <c r="BK170" s="66"/>
      <c r="BL170" s="66"/>
      <c r="BM170" s="65"/>
      <c r="BN170" s="65"/>
      <c r="BO170" s="82">
        <f>SUM(F170:AI170)</f>
        <v>0</v>
      </c>
      <c r="BP170" s="22">
        <f>21*1.25</f>
        <v>26.25</v>
      </c>
      <c r="BQ170" s="83">
        <v>0.3</v>
      </c>
      <c r="BR170" s="22">
        <f>BP170*(1-BQ170)</f>
        <v>18.375</v>
      </c>
      <c r="BS170" s="22">
        <f>BR170*BO170</f>
        <v>0</v>
      </c>
      <c r="BT170" s="22">
        <f>BR170*0.8</f>
        <v>14.700000000000001</v>
      </c>
      <c r="BU170" s="32"/>
      <c r="BV170" s="22">
        <f>BS170*0.8</f>
        <v>0</v>
      </c>
      <c r="BW170" s="22"/>
      <c r="BX170" s="32"/>
      <c r="BY170" s="99"/>
      <c r="BZ170" s="86"/>
      <c r="CA170" s="87">
        <f>BY170*BO170</f>
        <v>0</v>
      </c>
      <c r="CB170" s="88">
        <v>74779</v>
      </c>
      <c r="CC170" s="89"/>
      <c r="CD170" s="90">
        <f>CC170*CA170%</f>
        <v>0</v>
      </c>
      <c r="CE170" s="21" t="e">
        <f>BV170/CD170*1000</f>
        <v>#DIV/0!</v>
      </c>
      <c r="CF170" s="55"/>
      <c r="CG170" s="30" t="str">
        <f>C170</f>
        <v>CLUBE FM</v>
      </c>
      <c r="CH170" s="194"/>
      <c r="CI170" s="30" t="e">
        <f>SUM(#REF!)</f>
        <v>#REF!</v>
      </c>
      <c r="CJ170" s="194" t="e">
        <f>#REF!*CI170</f>
        <v>#REF!</v>
      </c>
      <c r="CK170" s="30" t="e">
        <f>SUM(#REF!)</f>
        <v>#REF!</v>
      </c>
      <c r="CL170" s="194" t="e">
        <f>#REF!*CK170</f>
        <v>#REF!</v>
      </c>
    </row>
    <row r="171" spans="1:91" ht="16.05" hidden="1" customHeight="1" x14ac:dyDescent="0.25">
      <c r="A171" s="32"/>
      <c r="B171" s="111"/>
      <c r="C171" s="81"/>
      <c r="D171" s="95"/>
      <c r="E171" s="39"/>
      <c r="F171" s="65"/>
      <c r="G171" s="65"/>
      <c r="H171" s="65"/>
      <c r="I171" s="65"/>
      <c r="J171" s="65"/>
      <c r="K171" s="66"/>
      <c r="L171" s="66"/>
      <c r="M171" s="65"/>
      <c r="N171" s="65"/>
      <c r="O171" s="65"/>
      <c r="P171" s="65"/>
      <c r="Q171" s="65"/>
      <c r="R171" s="66"/>
      <c r="S171" s="66"/>
      <c r="T171" s="65"/>
      <c r="U171" s="65"/>
      <c r="V171" s="65"/>
      <c r="W171" s="65"/>
      <c r="X171" s="65"/>
      <c r="Y171" s="66"/>
      <c r="Z171" s="66"/>
      <c r="AA171" s="65"/>
      <c r="AB171" s="65"/>
      <c r="AC171" s="65"/>
      <c r="AD171" s="65"/>
      <c r="AE171" s="65"/>
      <c r="AF171" s="66"/>
      <c r="AG171" s="66"/>
      <c r="AH171" s="65"/>
      <c r="AI171" s="65"/>
      <c r="AJ171" s="65"/>
      <c r="AK171" s="65"/>
      <c r="AL171" s="65"/>
      <c r="AM171" s="65"/>
      <c r="AN171" s="65"/>
      <c r="AO171" s="65"/>
      <c r="AP171" s="66"/>
      <c r="AQ171" s="66"/>
      <c r="AR171" s="65"/>
      <c r="AS171" s="65"/>
      <c r="AT171" s="65"/>
      <c r="AU171" s="65"/>
      <c r="AV171" s="65"/>
      <c r="AW171" s="66"/>
      <c r="AX171" s="66"/>
      <c r="AY171" s="65"/>
      <c r="AZ171" s="65"/>
      <c r="BA171" s="65"/>
      <c r="BB171" s="65"/>
      <c r="BC171" s="65"/>
      <c r="BD171" s="66"/>
      <c r="BE171" s="66"/>
      <c r="BF171" s="65"/>
      <c r="BG171" s="65"/>
      <c r="BH171" s="65"/>
      <c r="BI171" s="65"/>
      <c r="BJ171" s="65"/>
      <c r="BK171" s="66"/>
      <c r="BL171" s="66"/>
      <c r="BM171" s="65"/>
      <c r="BN171" s="65"/>
      <c r="BO171" s="82"/>
      <c r="BP171" s="22"/>
      <c r="BQ171" s="83"/>
      <c r="BR171" s="22"/>
      <c r="BS171" s="22"/>
      <c r="BT171" s="22"/>
      <c r="BU171" s="32"/>
      <c r="BV171" s="22"/>
      <c r="BW171" s="22"/>
      <c r="BX171" s="32"/>
      <c r="BY171" s="201"/>
      <c r="BZ171" s="157"/>
      <c r="CA171" s="158"/>
      <c r="CB171" s="89"/>
      <c r="CC171" s="89"/>
      <c r="CD171" s="90"/>
      <c r="CE171" s="21"/>
      <c r="CF171" s="55"/>
      <c r="CH171" s="194"/>
      <c r="CI171" s="30" t="e">
        <f>SUM(#REF!)</f>
        <v>#REF!</v>
      </c>
      <c r="CJ171" s="194"/>
      <c r="CK171" s="30" t="e">
        <f>SUM(#REF!)</f>
        <v>#REF!</v>
      </c>
      <c r="CL171" s="194"/>
    </row>
    <row r="172" spans="1:91" ht="16.05" hidden="1" customHeight="1" x14ac:dyDescent="0.25">
      <c r="A172" s="32"/>
      <c r="B172" s="111"/>
      <c r="C172" s="81" t="s">
        <v>109</v>
      </c>
      <c r="D172" s="95" t="s">
        <v>87</v>
      </c>
      <c r="E172" s="39" t="s">
        <v>18</v>
      </c>
      <c r="F172" s="65"/>
      <c r="G172" s="65"/>
      <c r="H172" s="65"/>
      <c r="I172" s="65"/>
      <c r="J172" s="65"/>
      <c r="K172" s="66"/>
      <c r="L172" s="66"/>
      <c r="M172" s="65"/>
      <c r="N172" s="65"/>
      <c r="O172" s="65"/>
      <c r="P172" s="65"/>
      <c r="Q172" s="65"/>
      <c r="R172" s="66"/>
      <c r="S172" s="66"/>
      <c r="T172" s="65"/>
      <c r="U172" s="65"/>
      <c r="V172" s="65"/>
      <c r="W172" s="65"/>
      <c r="X172" s="65"/>
      <c r="Y172" s="66"/>
      <c r="Z172" s="66"/>
      <c r="AA172" s="65"/>
      <c r="AB172" s="65"/>
      <c r="AC172" s="65"/>
      <c r="AD172" s="65"/>
      <c r="AE172" s="65"/>
      <c r="AF172" s="66"/>
      <c r="AG172" s="66"/>
      <c r="AH172" s="65"/>
      <c r="AI172" s="65"/>
      <c r="AJ172" s="65"/>
      <c r="AK172" s="65"/>
      <c r="AL172" s="65"/>
      <c r="AM172" s="65"/>
      <c r="AN172" s="65"/>
      <c r="AO172" s="65"/>
      <c r="AP172" s="66"/>
      <c r="AQ172" s="66"/>
      <c r="AR172" s="65"/>
      <c r="AS172" s="65"/>
      <c r="AT172" s="65"/>
      <c r="AU172" s="65"/>
      <c r="AV172" s="65"/>
      <c r="AW172" s="66"/>
      <c r="AX172" s="66"/>
      <c r="AY172" s="65"/>
      <c r="AZ172" s="65"/>
      <c r="BA172" s="65"/>
      <c r="BB172" s="65"/>
      <c r="BC172" s="65"/>
      <c r="BD172" s="66"/>
      <c r="BE172" s="66"/>
      <c r="BF172" s="65"/>
      <c r="BG172" s="65"/>
      <c r="BH172" s="65"/>
      <c r="BI172" s="65"/>
      <c r="BJ172" s="65"/>
      <c r="BK172" s="66"/>
      <c r="BL172" s="66"/>
      <c r="BM172" s="65"/>
      <c r="BN172" s="65"/>
      <c r="BO172" s="82">
        <f>SUM(F172:AI172)</f>
        <v>0</v>
      </c>
      <c r="BP172" s="22">
        <f>BR172/0.64</f>
        <v>121.5625</v>
      </c>
      <c r="BQ172" s="83">
        <v>0.36</v>
      </c>
      <c r="BR172" s="22">
        <v>77.8</v>
      </c>
      <c r="BS172" s="22">
        <f>BR172*BO172</f>
        <v>0</v>
      </c>
      <c r="BT172" s="22">
        <f>BR172*0.8</f>
        <v>62.24</v>
      </c>
      <c r="BU172" s="32"/>
      <c r="BV172" s="22">
        <f>BS172*0.8</f>
        <v>0</v>
      </c>
      <c r="BW172" s="22"/>
      <c r="BX172" s="32"/>
      <c r="BY172" s="201"/>
      <c r="BZ172" s="157"/>
      <c r="CA172" s="87">
        <f>BY172*BO172</f>
        <v>0</v>
      </c>
      <c r="CB172" s="89">
        <v>74779</v>
      </c>
      <c r="CC172" s="89"/>
      <c r="CD172" s="90">
        <f>CC172*CA172%</f>
        <v>0</v>
      </c>
      <c r="CE172" s="21" t="e">
        <f>BV172/CD172*1000</f>
        <v>#DIV/0!</v>
      </c>
      <c r="CF172" s="55"/>
      <c r="CG172" s="30" t="str">
        <f>C172</f>
        <v>RÁDIO AMIGA FM</v>
      </c>
      <c r="CJ172" s="194" t="e">
        <f>#REF!*CI171</f>
        <v>#REF!</v>
      </c>
      <c r="CL172" s="194" t="e">
        <f>#REF!*CK171</f>
        <v>#REF!</v>
      </c>
    </row>
    <row r="173" spans="1:91" ht="16.05" hidden="1" customHeight="1" x14ac:dyDescent="0.25">
      <c r="A173" s="32"/>
      <c r="B173" s="111"/>
      <c r="C173" s="95"/>
      <c r="D173" s="95"/>
      <c r="E173" s="39"/>
      <c r="F173" s="65"/>
      <c r="G173" s="65"/>
      <c r="H173" s="65"/>
      <c r="I173" s="65"/>
      <c r="J173" s="65"/>
      <c r="K173" s="66"/>
      <c r="L173" s="66"/>
      <c r="M173" s="65"/>
      <c r="N173" s="65"/>
      <c r="O173" s="65"/>
      <c r="P173" s="65"/>
      <c r="Q173" s="65"/>
      <c r="R173" s="66"/>
      <c r="S173" s="66"/>
      <c r="T173" s="65"/>
      <c r="U173" s="65"/>
      <c r="V173" s="65"/>
      <c r="W173" s="65"/>
      <c r="X173" s="65"/>
      <c r="Y173" s="66"/>
      <c r="Z173" s="66"/>
      <c r="AA173" s="65"/>
      <c r="AB173" s="65"/>
      <c r="AC173" s="65"/>
      <c r="AD173" s="65"/>
      <c r="AE173" s="65"/>
      <c r="AF173" s="66"/>
      <c r="AG173" s="66"/>
      <c r="AH173" s="65"/>
      <c r="AI173" s="65"/>
      <c r="AJ173" s="65"/>
      <c r="AK173" s="65"/>
      <c r="AL173" s="65"/>
      <c r="AM173" s="65"/>
      <c r="AN173" s="65"/>
      <c r="AO173" s="65"/>
      <c r="AP173" s="66"/>
      <c r="AQ173" s="66"/>
      <c r="AR173" s="65"/>
      <c r="AS173" s="65"/>
      <c r="AT173" s="65"/>
      <c r="AU173" s="65"/>
      <c r="AV173" s="65"/>
      <c r="AW173" s="66"/>
      <c r="AX173" s="66"/>
      <c r="AY173" s="65"/>
      <c r="AZ173" s="65"/>
      <c r="BA173" s="65"/>
      <c r="BB173" s="65"/>
      <c r="BC173" s="65"/>
      <c r="BD173" s="66"/>
      <c r="BE173" s="66"/>
      <c r="BF173" s="65"/>
      <c r="BG173" s="65"/>
      <c r="BH173" s="65"/>
      <c r="BI173" s="65"/>
      <c r="BJ173" s="65"/>
      <c r="BK173" s="66"/>
      <c r="BL173" s="66"/>
      <c r="BM173" s="65"/>
      <c r="BN173" s="65"/>
      <c r="BO173" s="173"/>
      <c r="BP173" s="104"/>
      <c r="BQ173" s="195"/>
      <c r="BR173" s="104"/>
      <c r="BS173" s="104"/>
      <c r="BT173" s="104"/>
      <c r="BU173" s="32"/>
      <c r="BV173" s="104"/>
      <c r="BW173" s="104"/>
      <c r="BX173" s="32"/>
      <c r="BY173" s="106"/>
      <c r="BZ173" s="107"/>
      <c r="CA173" s="108"/>
      <c r="CB173" s="109"/>
      <c r="CC173" s="110"/>
      <c r="CD173" s="109"/>
      <c r="CE173" s="114"/>
      <c r="CF173" s="10"/>
      <c r="CH173" s="194"/>
      <c r="CJ173" s="194"/>
      <c r="CL173" s="194"/>
    </row>
    <row r="174" spans="1:91" ht="16.05" hidden="1" customHeight="1" x14ac:dyDescent="0.25">
      <c r="A174" s="32"/>
      <c r="B174" s="25" t="s">
        <v>110</v>
      </c>
      <c r="C174" s="139"/>
      <c r="D174" s="139"/>
      <c r="E174" s="139"/>
      <c r="F174" s="40">
        <f t="shared" ref="F174:BO174" si="21">SUM(F169:F173)</f>
        <v>0</v>
      </c>
      <c r="G174" s="40">
        <f t="shared" si="21"/>
        <v>0</v>
      </c>
      <c r="H174" s="40">
        <f t="shared" si="21"/>
        <v>0</v>
      </c>
      <c r="I174" s="40">
        <f t="shared" si="21"/>
        <v>0</v>
      </c>
      <c r="J174" s="40">
        <f t="shared" si="21"/>
        <v>0</v>
      </c>
      <c r="K174" s="40">
        <f t="shared" si="21"/>
        <v>0</v>
      </c>
      <c r="L174" s="40">
        <f t="shared" si="21"/>
        <v>0</v>
      </c>
      <c r="M174" s="40">
        <f t="shared" si="21"/>
        <v>0</v>
      </c>
      <c r="N174" s="40">
        <f t="shared" si="21"/>
        <v>0</v>
      </c>
      <c r="O174" s="40">
        <f t="shared" si="21"/>
        <v>0</v>
      </c>
      <c r="P174" s="40">
        <f t="shared" si="21"/>
        <v>0</v>
      </c>
      <c r="Q174" s="40">
        <f t="shared" si="21"/>
        <v>0</v>
      </c>
      <c r="R174" s="40">
        <f t="shared" si="21"/>
        <v>0</v>
      </c>
      <c r="S174" s="40">
        <f t="shared" si="21"/>
        <v>0</v>
      </c>
      <c r="T174" s="40">
        <f t="shared" si="21"/>
        <v>0</v>
      </c>
      <c r="U174" s="40">
        <f t="shared" si="21"/>
        <v>0</v>
      </c>
      <c r="V174" s="40">
        <f t="shared" si="21"/>
        <v>0</v>
      </c>
      <c r="W174" s="40">
        <f t="shared" si="21"/>
        <v>0</v>
      </c>
      <c r="X174" s="40">
        <f t="shared" si="21"/>
        <v>0</v>
      </c>
      <c r="Y174" s="40">
        <f t="shared" si="21"/>
        <v>0</v>
      </c>
      <c r="Z174" s="40">
        <f t="shared" si="21"/>
        <v>0</v>
      </c>
      <c r="AA174" s="40">
        <f t="shared" si="21"/>
        <v>0</v>
      </c>
      <c r="AB174" s="40">
        <f t="shared" si="21"/>
        <v>0</v>
      </c>
      <c r="AC174" s="40">
        <f t="shared" si="21"/>
        <v>0</v>
      </c>
      <c r="AD174" s="40">
        <f t="shared" si="21"/>
        <v>0</v>
      </c>
      <c r="AE174" s="40">
        <f t="shared" si="21"/>
        <v>0</v>
      </c>
      <c r="AF174" s="40">
        <f t="shared" si="21"/>
        <v>0</v>
      </c>
      <c r="AG174" s="40">
        <f t="shared" si="21"/>
        <v>0</v>
      </c>
      <c r="AH174" s="40">
        <f t="shared" si="21"/>
        <v>0</v>
      </c>
      <c r="AI174" s="40">
        <f t="shared" si="21"/>
        <v>0</v>
      </c>
      <c r="AJ174" s="40">
        <f t="shared" ref="AJ174:BN174" si="22">SUM(AJ169:AJ173)</f>
        <v>0</v>
      </c>
      <c r="AK174" s="40">
        <f t="shared" si="22"/>
        <v>0</v>
      </c>
      <c r="AL174" s="40">
        <f t="shared" si="22"/>
        <v>0</v>
      </c>
      <c r="AM174" s="40">
        <f t="shared" si="22"/>
        <v>0</v>
      </c>
      <c r="AN174" s="40">
        <f t="shared" si="22"/>
        <v>0</v>
      </c>
      <c r="AO174" s="40">
        <f t="shared" si="22"/>
        <v>0</v>
      </c>
      <c r="AP174" s="40">
        <f t="shared" si="22"/>
        <v>0</v>
      </c>
      <c r="AQ174" s="40">
        <f t="shared" si="22"/>
        <v>0</v>
      </c>
      <c r="AR174" s="40">
        <f t="shared" si="22"/>
        <v>0</v>
      </c>
      <c r="AS174" s="40">
        <f t="shared" si="22"/>
        <v>0</v>
      </c>
      <c r="AT174" s="40">
        <f t="shared" si="22"/>
        <v>0</v>
      </c>
      <c r="AU174" s="40">
        <f t="shared" si="22"/>
        <v>0</v>
      </c>
      <c r="AV174" s="40">
        <f t="shared" si="22"/>
        <v>0</v>
      </c>
      <c r="AW174" s="40">
        <f t="shared" si="22"/>
        <v>0</v>
      </c>
      <c r="AX174" s="40">
        <f t="shared" si="22"/>
        <v>0</v>
      </c>
      <c r="AY174" s="40">
        <f t="shared" si="22"/>
        <v>0</v>
      </c>
      <c r="AZ174" s="40">
        <f t="shared" si="22"/>
        <v>0</v>
      </c>
      <c r="BA174" s="40">
        <f t="shared" si="22"/>
        <v>0</v>
      </c>
      <c r="BB174" s="40">
        <f t="shared" si="22"/>
        <v>0</v>
      </c>
      <c r="BC174" s="40">
        <f t="shared" si="22"/>
        <v>0</v>
      </c>
      <c r="BD174" s="40">
        <f t="shared" si="22"/>
        <v>0</v>
      </c>
      <c r="BE174" s="40">
        <f t="shared" si="22"/>
        <v>0</v>
      </c>
      <c r="BF174" s="40">
        <f t="shared" si="22"/>
        <v>0</v>
      </c>
      <c r="BG174" s="40">
        <f t="shared" si="22"/>
        <v>0</v>
      </c>
      <c r="BH174" s="40">
        <f t="shared" si="22"/>
        <v>0</v>
      </c>
      <c r="BI174" s="40">
        <f t="shared" si="22"/>
        <v>0</v>
      </c>
      <c r="BJ174" s="40">
        <f t="shared" si="22"/>
        <v>0</v>
      </c>
      <c r="BK174" s="40">
        <f t="shared" si="22"/>
        <v>0</v>
      </c>
      <c r="BL174" s="40">
        <f t="shared" si="22"/>
        <v>0</v>
      </c>
      <c r="BM174" s="40">
        <f t="shared" si="22"/>
        <v>0</v>
      </c>
      <c r="BN174" s="40">
        <f t="shared" si="22"/>
        <v>0</v>
      </c>
      <c r="BO174" s="40">
        <f t="shared" si="21"/>
        <v>0</v>
      </c>
      <c r="BP174" s="141"/>
      <c r="BQ174" s="141"/>
      <c r="BR174" s="141"/>
      <c r="BS174" s="141">
        <f>SUM(BS169:BS173)</f>
        <v>0</v>
      </c>
      <c r="BT174" s="141">
        <f>SUM(BT169:BT173)</f>
        <v>76.94</v>
      </c>
      <c r="BU174" s="43"/>
      <c r="BV174" s="141">
        <f>SUM(BV169:BV173)</f>
        <v>0</v>
      </c>
      <c r="BW174" s="141"/>
      <c r="BX174" s="43"/>
      <c r="BY174" s="196"/>
      <c r="BZ174" s="197"/>
      <c r="CA174" s="198"/>
      <c r="CB174" s="147"/>
      <c r="CC174" s="147"/>
      <c r="CD174" s="199">
        <f>SUM(CD169:CD173)</f>
        <v>0</v>
      </c>
      <c r="CE174" s="149" t="e">
        <f>BV174/CD174*1000</f>
        <v>#DIV/0!</v>
      </c>
      <c r="CF174" s="10"/>
      <c r="CH174" s="194"/>
      <c r="CJ174" s="194"/>
      <c r="CL174" s="194"/>
    </row>
    <row r="175" spans="1:91" s="152" customFormat="1" ht="16.05" hidden="1" customHeight="1" x14ac:dyDescent="0.3">
      <c r="A175" s="43"/>
      <c r="B175" s="183"/>
      <c r="C175" s="184"/>
      <c r="D175" s="185"/>
      <c r="E175" s="186"/>
      <c r="F175" s="65"/>
      <c r="G175" s="65"/>
      <c r="H175" s="65"/>
      <c r="I175" s="65"/>
      <c r="J175" s="65"/>
      <c r="K175" s="66"/>
      <c r="L175" s="66"/>
      <c r="M175" s="65"/>
      <c r="N175" s="65"/>
      <c r="O175" s="65"/>
      <c r="P175" s="65"/>
      <c r="Q175" s="65"/>
      <c r="R175" s="66"/>
      <c r="S175" s="66"/>
      <c r="T175" s="65"/>
      <c r="U175" s="65"/>
      <c r="V175" s="65"/>
      <c r="W175" s="65"/>
      <c r="X175" s="65"/>
      <c r="Y175" s="66"/>
      <c r="Z175" s="66"/>
      <c r="AA175" s="65"/>
      <c r="AB175" s="65"/>
      <c r="AC175" s="65"/>
      <c r="AD175" s="65"/>
      <c r="AE175" s="65"/>
      <c r="AF175" s="66"/>
      <c r="AG175" s="66"/>
      <c r="AH175" s="65"/>
      <c r="AI175" s="65"/>
      <c r="AJ175" s="65"/>
      <c r="AK175" s="65"/>
      <c r="AL175" s="65"/>
      <c r="AM175" s="65"/>
      <c r="AN175" s="65"/>
      <c r="AO175" s="65"/>
      <c r="AP175" s="66"/>
      <c r="AQ175" s="66"/>
      <c r="AR175" s="65"/>
      <c r="AS175" s="65"/>
      <c r="AT175" s="65"/>
      <c r="AU175" s="65"/>
      <c r="AV175" s="65"/>
      <c r="AW175" s="66"/>
      <c r="AX175" s="66"/>
      <c r="AY175" s="65"/>
      <c r="AZ175" s="65"/>
      <c r="BA175" s="65"/>
      <c r="BB175" s="65"/>
      <c r="BC175" s="65"/>
      <c r="BD175" s="66"/>
      <c r="BE175" s="66"/>
      <c r="BF175" s="65"/>
      <c r="BG175" s="65"/>
      <c r="BH175" s="65"/>
      <c r="BI175" s="65"/>
      <c r="BJ175" s="65"/>
      <c r="BK175" s="66"/>
      <c r="BL175" s="66"/>
      <c r="BM175" s="65"/>
      <c r="BN175" s="65"/>
      <c r="BO175" s="118"/>
      <c r="BP175" s="68"/>
      <c r="BQ175" s="68"/>
      <c r="BR175" s="68"/>
      <c r="BS175" s="68"/>
      <c r="BT175" s="68"/>
      <c r="BU175" s="32"/>
      <c r="BV175" s="68"/>
      <c r="BW175" s="68"/>
      <c r="BX175" s="32"/>
      <c r="BY175" s="188"/>
      <c r="BZ175" s="189"/>
      <c r="CA175" s="190"/>
      <c r="CB175" s="191"/>
      <c r="CC175" s="192"/>
      <c r="CD175" s="191"/>
      <c r="CE175" s="193"/>
      <c r="CF175" s="160"/>
      <c r="CG175" s="30"/>
      <c r="CH175" s="194"/>
      <c r="CI175" s="30"/>
      <c r="CJ175" s="194"/>
      <c r="CK175" s="30"/>
      <c r="CL175" s="194"/>
      <c r="CM175" s="151"/>
    </row>
    <row r="176" spans="1:91" ht="16.05" hidden="1" customHeight="1" x14ac:dyDescent="0.25">
      <c r="A176" s="32"/>
      <c r="B176" s="93" t="s">
        <v>111</v>
      </c>
      <c r="C176" s="81" t="s">
        <v>112</v>
      </c>
      <c r="D176" s="95" t="s">
        <v>87</v>
      </c>
      <c r="E176" s="39" t="s">
        <v>18</v>
      </c>
      <c r="F176" s="65"/>
      <c r="G176" s="65"/>
      <c r="H176" s="65"/>
      <c r="I176" s="65"/>
      <c r="J176" s="65"/>
      <c r="K176" s="66"/>
      <c r="L176" s="66"/>
      <c r="M176" s="65"/>
      <c r="N176" s="65"/>
      <c r="O176" s="65"/>
      <c r="P176" s="65"/>
      <c r="Q176" s="65"/>
      <c r="R176" s="66"/>
      <c r="S176" s="66"/>
      <c r="T176" s="65"/>
      <c r="U176" s="65"/>
      <c r="V176" s="65"/>
      <c r="W176" s="65"/>
      <c r="X176" s="65"/>
      <c r="Y176" s="66"/>
      <c r="Z176" s="66"/>
      <c r="AA176" s="65"/>
      <c r="AB176" s="65"/>
      <c r="AC176" s="65"/>
      <c r="AD176" s="65"/>
      <c r="AE176" s="65"/>
      <c r="AF176" s="66"/>
      <c r="AG176" s="66"/>
      <c r="AH176" s="65"/>
      <c r="AI176" s="65"/>
      <c r="AJ176" s="65"/>
      <c r="AK176" s="65"/>
      <c r="AL176" s="65"/>
      <c r="AM176" s="65"/>
      <c r="AN176" s="65"/>
      <c r="AO176" s="65"/>
      <c r="AP176" s="66"/>
      <c r="AQ176" s="66"/>
      <c r="AR176" s="65"/>
      <c r="AS176" s="65"/>
      <c r="AT176" s="65"/>
      <c r="AU176" s="65"/>
      <c r="AV176" s="65"/>
      <c r="AW176" s="66"/>
      <c r="AX176" s="66"/>
      <c r="AY176" s="65"/>
      <c r="AZ176" s="65"/>
      <c r="BA176" s="65"/>
      <c r="BB176" s="65"/>
      <c r="BC176" s="65"/>
      <c r="BD176" s="66"/>
      <c r="BE176" s="66"/>
      <c r="BF176" s="65"/>
      <c r="BG176" s="65"/>
      <c r="BH176" s="65"/>
      <c r="BI176" s="65"/>
      <c r="BJ176" s="65"/>
      <c r="BK176" s="66"/>
      <c r="BL176" s="66"/>
      <c r="BM176" s="65"/>
      <c r="BN176" s="65"/>
      <c r="BO176" s="82">
        <f>SUM(F176:AI176)</f>
        <v>0</v>
      </c>
      <c r="BP176" s="22">
        <v>121</v>
      </c>
      <c r="BQ176" s="83">
        <v>0.5</v>
      </c>
      <c r="BR176" s="22">
        <f>BP176*(1-BQ176)</f>
        <v>60.5</v>
      </c>
      <c r="BS176" s="22">
        <f>BR176*BO176</f>
        <v>0</v>
      </c>
      <c r="BT176" s="22">
        <f>BR176*0.8</f>
        <v>48.400000000000006</v>
      </c>
      <c r="BU176" s="32"/>
      <c r="BV176" s="22">
        <f>BS176*0.8</f>
        <v>0</v>
      </c>
      <c r="BW176" s="22"/>
      <c r="BX176" s="32"/>
      <c r="BY176" s="99"/>
      <c r="BZ176" s="86"/>
      <c r="CA176" s="87">
        <f>BY176*BO176</f>
        <v>0</v>
      </c>
      <c r="CB176" s="88">
        <v>225668</v>
      </c>
      <c r="CC176" s="89"/>
      <c r="CD176" s="90">
        <f>CC176*CA176%</f>
        <v>0</v>
      </c>
      <c r="CE176" s="21" t="e">
        <f>BV176/CD176*1000</f>
        <v>#DIV/0!</v>
      </c>
      <c r="CF176" s="55"/>
      <c r="CG176" s="30" t="str">
        <f>C176</f>
        <v>FRONTEIRA FM</v>
      </c>
      <c r="CH176" s="194"/>
      <c r="CI176" s="30" t="e">
        <f>SUM(#REF!)</f>
        <v>#REF!</v>
      </c>
      <c r="CJ176" s="194" t="e">
        <f>#REF!*CI176</f>
        <v>#REF!</v>
      </c>
      <c r="CK176" s="30" t="e">
        <f>SUM(#REF!)</f>
        <v>#REF!</v>
      </c>
      <c r="CL176" s="194" t="e">
        <f>#REF!*CK176</f>
        <v>#REF!</v>
      </c>
    </row>
    <row r="177" spans="1:91" ht="16.05" hidden="1" customHeight="1" x14ac:dyDescent="0.25">
      <c r="A177" s="32"/>
      <c r="B177" s="111"/>
      <c r="C177" s="81"/>
      <c r="D177" s="95"/>
      <c r="E177" s="39"/>
      <c r="F177" s="65"/>
      <c r="G177" s="65"/>
      <c r="H177" s="65"/>
      <c r="I177" s="65"/>
      <c r="J177" s="65"/>
      <c r="K177" s="66"/>
      <c r="L177" s="66"/>
      <c r="M177" s="65"/>
      <c r="N177" s="65"/>
      <c r="O177" s="65"/>
      <c r="P177" s="65"/>
      <c r="Q177" s="65"/>
      <c r="R177" s="66"/>
      <c r="S177" s="66"/>
      <c r="T177" s="65"/>
      <c r="U177" s="65"/>
      <c r="V177" s="65"/>
      <c r="W177" s="65"/>
      <c r="X177" s="65"/>
      <c r="Y177" s="66"/>
      <c r="Z177" s="66"/>
      <c r="AA177" s="65"/>
      <c r="AB177" s="65"/>
      <c r="AC177" s="65"/>
      <c r="AD177" s="65"/>
      <c r="AE177" s="65"/>
      <c r="AF177" s="66"/>
      <c r="AG177" s="66"/>
      <c r="AH177" s="65"/>
      <c r="AI177" s="65"/>
      <c r="AJ177" s="65"/>
      <c r="AK177" s="65"/>
      <c r="AL177" s="65"/>
      <c r="AM177" s="65"/>
      <c r="AN177" s="65"/>
      <c r="AO177" s="65"/>
      <c r="AP177" s="66"/>
      <c r="AQ177" s="66"/>
      <c r="AR177" s="65"/>
      <c r="AS177" s="65"/>
      <c r="AT177" s="65"/>
      <c r="AU177" s="65"/>
      <c r="AV177" s="65"/>
      <c r="AW177" s="66"/>
      <c r="AX177" s="66"/>
      <c r="AY177" s="65"/>
      <c r="AZ177" s="65"/>
      <c r="BA177" s="65"/>
      <c r="BB177" s="65"/>
      <c r="BC177" s="65"/>
      <c r="BD177" s="66"/>
      <c r="BE177" s="66"/>
      <c r="BF177" s="65"/>
      <c r="BG177" s="65"/>
      <c r="BH177" s="65"/>
      <c r="BI177" s="65"/>
      <c r="BJ177" s="65"/>
      <c r="BK177" s="66"/>
      <c r="BL177" s="66"/>
      <c r="BM177" s="65"/>
      <c r="BN177" s="65"/>
      <c r="BO177" s="82"/>
      <c r="BP177" s="22"/>
      <c r="BQ177" s="83"/>
      <c r="BR177" s="22"/>
      <c r="BS177" s="22"/>
      <c r="BT177" s="22"/>
      <c r="BU177" s="32"/>
      <c r="BV177" s="22"/>
      <c r="BW177" s="22"/>
      <c r="BX177" s="32"/>
      <c r="BY177" s="201"/>
      <c r="BZ177" s="157"/>
      <c r="CA177" s="158"/>
      <c r="CB177" s="89"/>
      <c r="CC177" s="89"/>
      <c r="CD177" s="90"/>
      <c r="CE177" s="21"/>
      <c r="CF177" s="55"/>
      <c r="CH177" s="194"/>
      <c r="CJ177" s="194"/>
      <c r="CL177" s="194"/>
    </row>
    <row r="178" spans="1:91" ht="16.05" hidden="1" customHeight="1" x14ac:dyDescent="0.25">
      <c r="A178" s="32"/>
      <c r="B178" s="111"/>
      <c r="C178" s="81" t="s">
        <v>113</v>
      </c>
      <c r="D178" s="95" t="s">
        <v>87</v>
      </c>
      <c r="E178" s="39" t="s">
        <v>18</v>
      </c>
      <c r="F178" s="65"/>
      <c r="G178" s="65"/>
      <c r="H178" s="65"/>
      <c r="I178" s="65"/>
      <c r="J178" s="65"/>
      <c r="K178" s="66"/>
      <c r="L178" s="66"/>
      <c r="M178" s="65"/>
      <c r="N178" s="65"/>
      <c r="O178" s="65"/>
      <c r="P178" s="65"/>
      <c r="Q178" s="65"/>
      <c r="R178" s="66"/>
      <c r="S178" s="66"/>
      <c r="T178" s="65"/>
      <c r="U178" s="65"/>
      <c r="V178" s="65"/>
      <c r="W178" s="65"/>
      <c r="X178" s="65"/>
      <c r="Y178" s="66"/>
      <c r="Z178" s="66"/>
      <c r="AA178" s="65"/>
      <c r="AB178" s="65"/>
      <c r="AC178" s="65"/>
      <c r="AD178" s="65"/>
      <c r="AE178" s="65"/>
      <c r="AF178" s="66"/>
      <c r="AG178" s="66"/>
      <c r="AH178" s="65"/>
      <c r="AI178" s="65"/>
      <c r="AJ178" s="65"/>
      <c r="AK178" s="65"/>
      <c r="AL178" s="65"/>
      <c r="AM178" s="65"/>
      <c r="AN178" s="65"/>
      <c r="AO178" s="65"/>
      <c r="AP178" s="66"/>
      <c r="AQ178" s="66"/>
      <c r="AR178" s="65"/>
      <c r="AS178" s="65"/>
      <c r="AT178" s="65"/>
      <c r="AU178" s="65"/>
      <c r="AV178" s="65"/>
      <c r="AW178" s="66"/>
      <c r="AX178" s="66"/>
      <c r="AY178" s="65"/>
      <c r="AZ178" s="65"/>
      <c r="BA178" s="65"/>
      <c r="BB178" s="65"/>
      <c r="BC178" s="65"/>
      <c r="BD178" s="66"/>
      <c r="BE178" s="66"/>
      <c r="BF178" s="65"/>
      <c r="BG178" s="65"/>
      <c r="BH178" s="65"/>
      <c r="BI178" s="65"/>
      <c r="BJ178" s="65"/>
      <c r="BK178" s="66"/>
      <c r="BL178" s="66"/>
      <c r="BM178" s="65"/>
      <c r="BN178" s="65"/>
      <c r="BO178" s="82">
        <f>SUM(F178:AI178)</f>
        <v>0</v>
      </c>
      <c r="BP178" s="22">
        <v>218.5</v>
      </c>
      <c r="BQ178" s="83">
        <v>0.5</v>
      </c>
      <c r="BR178" s="22">
        <f>BP178*(1-BQ178)</f>
        <v>109.25</v>
      </c>
      <c r="BS178" s="22">
        <f>BR178*BO178</f>
        <v>0</v>
      </c>
      <c r="BT178" s="22">
        <f>BR178*0.8</f>
        <v>87.4</v>
      </c>
      <c r="BU178" s="32"/>
      <c r="BV178" s="22">
        <f>BS178*0.8</f>
        <v>0</v>
      </c>
      <c r="BW178" s="22"/>
      <c r="BX178" s="32"/>
      <c r="BY178" s="201"/>
      <c r="BZ178" s="157"/>
      <c r="CA178" s="87">
        <f>BY178*BO178</f>
        <v>0</v>
      </c>
      <c r="CB178" s="88">
        <v>225668</v>
      </c>
      <c r="CC178" s="89"/>
      <c r="CD178" s="90">
        <f>CC178*CA178%</f>
        <v>0</v>
      </c>
      <c r="CE178" s="21" t="e">
        <f>BV178/CD178*1000</f>
        <v>#DIV/0!</v>
      </c>
      <c r="CF178" s="55"/>
      <c r="CG178" s="30" t="str">
        <f>C178</f>
        <v>RÁDIO 98,1</v>
      </c>
      <c r="CH178" s="194"/>
      <c r="CI178" s="30" t="e">
        <f>SUM(#REF!)</f>
        <v>#REF!</v>
      </c>
      <c r="CJ178" s="194" t="e">
        <f>#REF!*CI178</f>
        <v>#REF!</v>
      </c>
      <c r="CK178" s="30" t="e">
        <f>SUM(#REF!)</f>
        <v>#REF!</v>
      </c>
      <c r="CL178" s="194" t="e">
        <f>#REF!*CK178</f>
        <v>#REF!</v>
      </c>
    </row>
    <row r="179" spans="1:91" ht="16.05" hidden="1" customHeight="1" x14ac:dyDescent="0.25">
      <c r="A179" s="32"/>
      <c r="B179" s="111"/>
      <c r="C179" s="81"/>
      <c r="D179" s="95"/>
      <c r="E179" s="39"/>
      <c r="F179" s="65"/>
      <c r="G179" s="65"/>
      <c r="H179" s="65"/>
      <c r="I179" s="65"/>
      <c r="J179" s="65"/>
      <c r="K179" s="66"/>
      <c r="L179" s="66"/>
      <c r="M179" s="65"/>
      <c r="N179" s="65"/>
      <c r="O179" s="65"/>
      <c r="P179" s="65"/>
      <c r="Q179" s="65"/>
      <c r="R179" s="66"/>
      <c r="S179" s="66"/>
      <c r="T179" s="65"/>
      <c r="U179" s="65"/>
      <c r="V179" s="65"/>
      <c r="W179" s="65"/>
      <c r="X179" s="65"/>
      <c r="Y179" s="66"/>
      <c r="Z179" s="66"/>
      <c r="AA179" s="65"/>
      <c r="AB179" s="65"/>
      <c r="AC179" s="65"/>
      <c r="AD179" s="65"/>
      <c r="AE179" s="65"/>
      <c r="AF179" s="66"/>
      <c r="AG179" s="66"/>
      <c r="AH179" s="65"/>
      <c r="AI179" s="65"/>
      <c r="AJ179" s="65"/>
      <c r="AK179" s="65"/>
      <c r="AL179" s="65"/>
      <c r="AM179" s="65"/>
      <c r="AN179" s="65"/>
      <c r="AO179" s="65"/>
      <c r="AP179" s="66"/>
      <c r="AQ179" s="66"/>
      <c r="AR179" s="65"/>
      <c r="AS179" s="65"/>
      <c r="AT179" s="65"/>
      <c r="AU179" s="65"/>
      <c r="AV179" s="65"/>
      <c r="AW179" s="66"/>
      <c r="AX179" s="66"/>
      <c r="AY179" s="65"/>
      <c r="AZ179" s="65"/>
      <c r="BA179" s="65"/>
      <c r="BB179" s="65"/>
      <c r="BC179" s="65"/>
      <c r="BD179" s="66"/>
      <c r="BE179" s="66"/>
      <c r="BF179" s="65"/>
      <c r="BG179" s="65"/>
      <c r="BH179" s="65"/>
      <c r="BI179" s="65"/>
      <c r="BJ179" s="65"/>
      <c r="BK179" s="66"/>
      <c r="BL179" s="66"/>
      <c r="BM179" s="65"/>
      <c r="BN179" s="65"/>
      <c r="BO179" s="82"/>
      <c r="BP179" s="22"/>
      <c r="BQ179" s="83"/>
      <c r="BR179" s="22"/>
      <c r="BS179" s="22"/>
      <c r="BT179" s="22"/>
      <c r="BU179" s="32"/>
      <c r="BV179" s="22"/>
      <c r="BW179" s="22"/>
      <c r="BX179" s="32"/>
      <c r="BY179" s="201"/>
      <c r="BZ179" s="157"/>
      <c r="CA179" s="158"/>
      <c r="CB179" s="89"/>
      <c r="CC179" s="89"/>
      <c r="CD179" s="90"/>
      <c r="CE179" s="21"/>
      <c r="CF179" s="55"/>
      <c r="CH179" s="194"/>
      <c r="CJ179" s="194"/>
      <c r="CL179" s="194"/>
    </row>
    <row r="180" spans="1:91" ht="16.05" hidden="1" customHeight="1" x14ac:dyDescent="0.25">
      <c r="A180" s="32"/>
      <c r="B180" s="111"/>
      <c r="C180" s="81" t="s">
        <v>114</v>
      </c>
      <c r="D180" s="95" t="s">
        <v>87</v>
      </c>
      <c r="E180" s="39" t="s">
        <v>18</v>
      </c>
      <c r="F180" s="65"/>
      <c r="G180" s="65"/>
      <c r="H180" s="65"/>
      <c r="I180" s="65"/>
      <c r="J180" s="65"/>
      <c r="K180" s="66"/>
      <c r="L180" s="66"/>
      <c r="M180" s="65"/>
      <c r="N180" s="65"/>
      <c r="O180" s="65"/>
      <c r="P180" s="65"/>
      <c r="Q180" s="65"/>
      <c r="R180" s="66"/>
      <c r="S180" s="66"/>
      <c r="T180" s="65"/>
      <c r="U180" s="65"/>
      <c r="V180" s="65"/>
      <c r="W180" s="65"/>
      <c r="X180" s="65"/>
      <c r="Y180" s="66"/>
      <c r="Z180" s="66"/>
      <c r="AA180" s="65"/>
      <c r="AB180" s="65"/>
      <c r="AC180" s="65"/>
      <c r="AD180" s="65"/>
      <c r="AE180" s="65"/>
      <c r="AF180" s="66"/>
      <c r="AG180" s="66"/>
      <c r="AH180" s="65"/>
      <c r="AI180" s="65"/>
      <c r="AJ180" s="65"/>
      <c r="AK180" s="65"/>
      <c r="AL180" s="65"/>
      <c r="AM180" s="65"/>
      <c r="AN180" s="65"/>
      <c r="AO180" s="65"/>
      <c r="AP180" s="66"/>
      <c r="AQ180" s="66"/>
      <c r="AR180" s="65"/>
      <c r="AS180" s="65"/>
      <c r="AT180" s="65"/>
      <c r="AU180" s="65"/>
      <c r="AV180" s="65"/>
      <c r="AW180" s="66"/>
      <c r="AX180" s="66"/>
      <c r="AY180" s="65"/>
      <c r="AZ180" s="65"/>
      <c r="BA180" s="65"/>
      <c r="BB180" s="65"/>
      <c r="BC180" s="65"/>
      <c r="BD180" s="66"/>
      <c r="BE180" s="66"/>
      <c r="BF180" s="65"/>
      <c r="BG180" s="65"/>
      <c r="BH180" s="65"/>
      <c r="BI180" s="65"/>
      <c r="BJ180" s="65"/>
      <c r="BK180" s="66"/>
      <c r="BL180" s="66"/>
      <c r="BM180" s="65"/>
      <c r="BN180" s="65"/>
      <c r="BO180" s="82">
        <f>SUM(F180:AI180)</f>
        <v>0</v>
      </c>
      <c r="BP180" s="22">
        <v>427</v>
      </c>
      <c r="BQ180" s="83">
        <v>0.45</v>
      </c>
      <c r="BR180" s="22">
        <f>BP180*(1-BQ180)</f>
        <v>234.85000000000002</v>
      </c>
      <c r="BS180" s="22">
        <f>BR180*BO180</f>
        <v>0</v>
      </c>
      <c r="BT180" s="22">
        <f>BR180*0.8</f>
        <v>187.88000000000002</v>
      </c>
      <c r="BU180" s="32"/>
      <c r="BV180" s="22">
        <f>BS180*0.8</f>
        <v>0</v>
      </c>
      <c r="BW180" s="22"/>
      <c r="BX180" s="32"/>
      <c r="BY180" s="201"/>
      <c r="BZ180" s="157"/>
      <c r="CA180" s="87">
        <f>BY180*BO180</f>
        <v>0</v>
      </c>
      <c r="CB180" s="88">
        <v>225668</v>
      </c>
      <c r="CC180" s="89"/>
      <c r="CD180" s="90">
        <f>CC180*CA180%</f>
        <v>0</v>
      </c>
      <c r="CE180" s="21" t="e">
        <f>BV180/CD180*1000</f>
        <v>#DIV/0!</v>
      </c>
      <c r="CF180" s="55"/>
      <c r="CG180" s="30" t="str">
        <f>C180</f>
        <v>101 FM</v>
      </c>
      <c r="CH180" s="194"/>
      <c r="CI180" s="30" t="e">
        <f>SUM(#REF!)</f>
        <v>#REF!</v>
      </c>
      <c r="CJ180" s="194" t="e">
        <f>#REF!*CI180</f>
        <v>#REF!</v>
      </c>
      <c r="CK180" s="30" t="e">
        <f>SUM(#REF!)</f>
        <v>#REF!</v>
      </c>
      <c r="CL180" s="194" t="e">
        <f>#REF!*CK180</f>
        <v>#REF!</v>
      </c>
    </row>
    <row r="181" spans="1:91" ht="16.05" hidden="1" customHeight="1" x14ac:dyDescent="0.25">
      <c r="A181" s="32"/>
      <c r="B181" s="111"/>
      <c r="C181" s="95"/>
      <c r="D181" s="95"/>
      <c r="E181" s="39"/>
      <c r="F181" s="65"/>
      <c r="G181" s="65"/>
      <c r="H181" s="65"/>
      <c r="I181" s="65"/>
      <c r="J181" s="65"/>
      <c r="K181" s="66"/>
      <c r="L181" s="66"/>
      <c r="M181" s="65"/>
      <c r="N181" s="65"/>
      <c r="O181" s="65"/>
      <c r="P181" s="65"/>
      <c r="Q181" s="65"/>
      <c r="R181" s="66"/>
      <c r="S181" s="66"/>
      <c r="T181" s="65"/>
      <c r="U181" s="65"/>
      <c r="V181" s="65"/>
      <c r="W181" s="65"/>
      <c r="X181" s="65"/>
      <c r="Y181" s="66"/>
      <c r="Z181" s="66"/>
      <c r="AA181" s="65"/>
      <c r="AB181" s="65"/>
      <c r="AC181" s="65"/>
      <c r="AD181" s="65"/>
      <c r="AE181" s="65"/>
      <c r="AF181" s="66"/>
      <c r="AG181" s="66"/>
      <c r="AH181" s="65"/>
      <c r="AI181" s="65"/>
      <c r="AJ181" s="65"/>
      <c r="AK181" s="65"/>
      <c r="AL181" s="65"/>
      <c r="AM181" s="65"/>
      <c r="AN181" s="65"/>
      <c r="AO181" s="65"/>
      <c r="AP181" s="66"/>
      <c r="AQ181" s="66"/>
      <c r="AR181" s="65"/>
      <c r="AS181" s="65"/>
      <c r="AT181" s="65"/>
      <c r="AU181" s="65"/>
      <c r="AV181" s="65"/>
      <c r="AW181" s="66"/>
      <c r="AX181" s="66"/>
      <c r="AY181" s="65"/>
      <c r="AZ181" s="65"/>
      <c r="BA181" s="65"/>
      <c r="BB181" s="65"/>
      <c r="BC181" s="65"/>
      <c r="BD181" s="66"/>
      <c r="BE181" s="66"/>
      <c r="BF181" s="65"/>
      <c r="BG181" s="65"/>
      <c r="BH181" s="65"/>
      <c r="BI181" s="65"/>
      <c r="BJ181" s="65"/>
      <c r="BK181" s="66"/>
      <c r="BL181" s="66"/>
      <c r="BM181" s="65"/>
      <c r="BN181" s="65"/>
      <c r="BO181" s="173"/>
      <c r="BP181" s="104"/>
      <c r="BQ181" s="195"/>
      <c r="BR181" s="104"/>
      <c r="BS181" s="104"/>
      <c r="BT181" s="104"/>
      <c r="BU181" s="32"/>
      <c r="BV181" s="104"/>
      <c r="BW181" s="104"/>
      <c r="BX181" s="32"/>
      <c r="BY181" s="106"/>
      <c r="BZ181" s="107"/>
      <c r="CA181" s="108"/>
      <c r="CB181" s="109"/>
      <c r="CC181" s="110"/>
      <c r="CD181" s="109"/>
      <c r="CE181" s="114"/>
      <c r="CF181" s="10"/>
      <c r="CH181" s="194"/>
      <c r="CJ181" s="194"/>
      <c r="CL181" s="194"/>
    </row>
    <row r="182" spans="1:91" ht="16.05" hidden="1" customHeight="1" x14ac:dyDescent="0.25">
      <c r="A182" s="32"/>
      <c r="B182" s="25" t="s">
        <v>115</v>
      </c>
      <c r="C182" s="139"/>
      <c r="D182" s="139"/>
      <c r="E182" s="139"/>
      <c r="F182" s="40">
        <f t="shared" ref="F182:BO182" si="23">SUM(F175:F181)</f>
        <v>0</v>
      </c>
      <c r="G182" s="40">
        <f t="shared" si="23"/>
        <v>0</v>
      </c>
      <c r="H182" s="40">
        <f t="shared" si="23"/>
        <v>0</v>
      </c>
      <c r="I182" s="40">
        <f t="shared" si="23"/>
        <v>0</v>
      </c>
      <c r="J182" s="40">
        <f t="shared" si="23"/>
        <v>0</v>
      </c>
      <c r="K182" s="40">
        <f t="shared" si="23"/>
        <v>0</v>
      </c>
      <c r="L182" s="40">
        <f t="shared" si="23"/>
        <v>0</v>
      </c>
      <c r="M182" s="40">
        <f t="shared" si="23"/>
        <v>0</v>
      </c>
      <c r="N182" s="40">
        <f t="shared" si="23"/>
        <v>0</v>
      </c>
      <c r="O182" s="40">
        <f t="shared" si="23"/>
        <v>0</v>
      </c>
      <c r="P182" s="40">
        <f t="shared" si="23"/>
        <v>0</v>
      </c>
      <c r="Q182" s="40">
        <f t="shared" si="23"/>
        <v>0</v>
      </c>
      <c r="R182" s="40">
        <f t="shared" si="23"/>
        <v>0</v>
      </c>
      <c r="S182" s="40">
        <f t="shared" si="23"/>
        <v>0</v>
      </c>
      <c r="T182" s="40">
        <f t="shared" si="23"/>
        <v>0</v>
      </c>
      <c r="U182" s="40">
        <f t="shared" si="23"/>
        <v>0</v>
      </c>
      <c r="V182" s="40">
        <f t="shared" si="23"/>
        <v>0</v>
      </c>
      <c r="W182" s="40">
        <f t="shared" si="23"/>
        <v>0</v>
      </c>
      <c r="X182" s="40">
        <f t="shared" si="23"/>
        <v>0</v>
      </c>
      <c r="Y182" s="40">
        <f t="shared" si="23"/>
        <v>0</v>
      </c>
      <c r="Z182" s="40">
        <f t="shared" si="23"/>
        <v>0</v>
      </c>
      <c r="AA182" s="40">
        <f t="shared" si="23"/>
        <v>0</v>
      </c>
      <c r="AB182" s="40">
        <f t="shared" si="23"/>
        <v>0</v>
      </c>
      <c r="AC182" s="40">
        <f t="shared" si="23"/>
        <v>0</v>
      </c>
      <c r="AD182" s="40">
        <f t="shared" si="23"/>
        <v>0</v>
      </c>
      <c r="AE182" s="40">
        <f t="shared" si="23"/>
        <v>0</v>
      </c>
      <c r="AF182" s="40">
        <f t="shared" si="23"/>
        <v>0</v>
      </c>
      <c r="AG182" s="40">
        <f t="shared" si="23"/>
        <v>0</v>
      </c>
      <c r="AH182" s="40">
        <f t="shared" si="23"/>
        <v>0</v>
      </c>
      <c r="AI182" s="40">
        <f t="shared" si="23"/>
        <v>0</v>
      </c>
      <c r="AJ182" s="40">
        <f t="shared" ref="AJ182:BN182" si="24">SUM(AJ175:AJ181)</f>
        <v>0</v>
      </c>
      <c r="AK182" s="40">
        <f t="shared" si="24"/>
        <v>0</v>
      </c>
      <c r="AL182" s="40">
        <f t="shared" si="24"/>
        <v>0</v>
      </c>
      <c r="AM182" s="40">
        <f t="shared" si="24"/>
        <v>0</v>
      </c>
      <c r="AN182" s="40">
        <f t="shared" si="24"/>
        <v>0</v>
      </c>
      <c r="AO182" s="40">
        <f t="shared" si="24"/>
        <v>0</v>
      </c>
      <c r="AP182" s="40">
        <f t="shared" si="24"/>
        <v>0</v>
      </c>
      <c r="AQ182" s="40">
        <f t="shared" si="24"/>
        <v>0</v>
      </c>
      <c r="AR182" s="40">
        <f t="shared" si="24"/>
        <v>0</v>
      </c>
      <c r="AS182" s="40">
        <f t="shared" si="24"/>
        <v>0</v>
      </c>
      <c r="AT182" s="40">
        <f t="shared" si="24"/>
        <v>0</v>
      </c>
      <c r="AU182" s="40">
        <f t="shared" si="24"/>
        <v>0</v>
      </c>
      <c r="AV182" s="40">
        <f t="shared" si="24"/>
        <v>0</v>
      </c>
      <c r="AW182" s="40">
        <f t="shared" si="24"/>
        <v>0</v>
      </c>
      <c r="AX182" s="40">
        <f t="shared" si="24"/>
        <v>0</v>
      </c>
      <c r="AY182" s="40">
        <f t="shared" si="24"/>
        <v>0</v>
      </c>
      <c r="AZ182" s="40">
        <f t="shared" si="24"/>
        <v>0</v>
      </c>
      <c r="BA182" s="40">
        <f t="shared" si="24"/>
        <v>0</v>
      </c>
      <c r="BB182" s="40">
        <f t="shared" si="24"/>
        <v>0</v>
      </c>
      <c r="BC182" s="40">
        <f t="shared" si="24"/>
        <v>0</v>
      </c>
      <c r="BD182" s="40">
        <f t="shared" si="24"/>
        <v>0</v>
      </c>
      <c r="BE182" s="40">
        <f t="shared" si="24"/>
        <v>0</v>
      </c>
      <c r="BF182" s="40">
        <f t="shared" si="24"/>
        <v>0</v>
      </c>
      <c r="BG182" s="40">
        <f t="shared" si="24"/>
        <v>0</v>
      </c>
      <c r="BH182" s="40">
        <f t="shared" si="24"/>
        <v>0</v>
      </c>
      <c r="BI182" s="40">
        <f t="shared" si="24"/>
        <v>0</v>
      </c>
      <c r="BJ182" s="40">
        <f t="shared" si="24"/>
        <v>0</v>
      </c>
      <c r="BK182" s="40">
        <f t="shared" si="24"/>
        <v>0</v>
      </c>
      <c r="BL182" s="40">
        <f t="shared" si="24"/>
        <v>0</v>
      </c>
      <c r="BM182" s="40">
        <f t="shared" si="24"/>
        <v>0</v>
      </c>
      <c r="BN182" s="40">
        <f t="shared" si="24"/>
        <v>0</v>
      </c>
      <c r="BO182" s="40">
        <f t="shared" si="23"/>
        <v>0</v>
      </c>
      <c r="BP182" s="141"/>
      <c r="BQ182" s="141"/>
      <c r="BR182" s="141"/>
      <c r="BS182" s="141">
        <f>SUM(BS175:BS181)</f>
        <v>0</v>
      </c>
      <c r="BT182" s="141">
        <f>SUM(BT175:BT181)</f>
        <v>323.68000000000006</v>
      </c>
      <c r="BU182" s="43"/>
      <c r="BV182" s="141">
        <f>SUM(BV175:BV181)</f>
        <v>0</v>
      </c>
      <c r="BW182" s="141"/>
      <c r="BX182" s="43"/>
      <c r="BY182" s="196"/>
      <c r="BZ182" s="197"/>
      <c r="CA182" s="198"/>
      <c r="CB182" s="147"/>
      <c r="CC182" s="147"/>
      <c r="CD182" s="199">
        <f>SUM(CD175:CD181)</f>
        <v>0</v>
      </c>
      <c r="CE182" s="149" t="e">
        <f>BV182/CD182*1000</f>
        <v>#DIV/0!</v>
      </c>
      <c r="CF182" s="10"/>
      <c r="CH182" s="194"/>
      <c r="CJ182" s="194"/>
      <c r="CL182" s="194"/>
    </row>
    <row r="183" spans="1:91" x14ac:dyDescent="0.25">
      <c r="A183" s="32"/>
      <c r="CE183" s="10"/>
      <c r="CF183" s="10"/>
    </row>
    <row r="184" spans="1:91" x14ac:dyDescent="0.25">
      <c r="A184" s="32"/>
      <c r="B184" s="607" t="s">
        <v>3</v>
      </c>
      <c r="C184" s="607" t="s">
        <v>4</v>
      </c>
      <c r="D184" s="608" t="s">
        <v>19</v>
      </c>
      <c r="E184" s="609" t="s">
        <v>48</v>
      </c>
      <c r="F184" s="604" t="s">
        <v>21</v>
      </c>
      <c r="G184" s="605"/>
      <c r="H184" s="605"/>
      <c r="I184" s="605"/>
      <c r="J184" s="605"/>
      <c r="K184" s="605"/>
      <c r="L184" s="605"/>
      <c r="M184" s="605"/>
      <c r="N184" s="605"/>
      <c r="O184" s="605"/>
      <c r="P184" s="605"/>
      <c r="Q184" s="605"/>
      <c r="R184" s="605"/>
      <c r="S184" s="605"/>
      <c r="T184" s="605"/>
      <c r="U184" s="605"/>
      <c r="V184" s="605"/>
      <c r="W184" s="605"/>
      <c r="X184" s="605"/>
      <c r="Y184" s="605"/>
      <c r="Z184" s="605"/>
      <c r="AA184" s="605"/>
      <c r="AB184" s="605"/>
      <c r="AC184" s="605"/>
      <c r="AD184" s="605"/>
      <c r="AE184" s="605"/>
      <c r="AF184" s="605"/>
      <c r="AG184" s="605"/>
      <c r="AH184" s="605"/>
      <c r="AI184" s="605"/>
      <c r="AJ184" s="606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605" t="s">
        <v>5</v>
      </c>
      <c r="BE184" s="605"/>
      <c r="BF184" s="605"/>
      <c r="BG184" s="606"/>
      <c r="BH184" s="604" t="s">
        <v>6</v>
      </c>
      <c r="BI184" s="605"/>
      <c r="BJ184" s="605"/>
      <c r="BK184" s="605"/>
      <c r="BL184" s="605"/>
      <c r="BM184" s="605"/>
      <c r="BN184" s="606"/>
      <c r="BO184" s="610" t="s">
        <v>7</v>
      </c>
      <c r="BP184" s="592" t="s">
        <v>8</v>
      </c>
      <c r="BQ184" s="609" t="s">
        <v>9</v>
      </c>
      <c r="BR184" s="592" t="s">
        <v>10</v>
      </c>
      <c r="BS184" s="592" t="s">
        <v>11</v>
      </c>
      <c r="BT184" s="593" t="s">
        <v>23</v>
      </c>
      <c r="BU184" s="32"/>
      <c r="BV184" s="593" t="s">
        <v>24</v>
      </c>
      <c r="BW184" s="593" t="s">
        <v>25</v>
      </c>
      <c r="BX184" s="32"/>
      <c r="BY184" s="592" t="s">
        <v>26</v>
      </c>
      <c r="BZ184" s="618" t="s">
        <v>27</v>
      </c>
      <c r="CA184" s="619" t="s">
        <v>12</v>
      </c>
      <c r="CB184" s="618" t="s">
        <v>28</v>
      </c>
      <c r="CC184" s="618" t="s">
        <v>29</v>
      </c>
      <c r="CD184" s="618" t="s">
        <v>30</v>
      </c>
      <c r="CE184" s="618" t="s">
        <v>31</v>
      </c>
      <c r="CF184" s="55"/>
      <c r="CG184" s="610" t="s">
        <v>32</v>
      </c>
      <c r="CH184" s="610" t="s">
        <v>33</v>
      </c>
      <c r="CI184" s="607" t="s">
        <v>5</v>
      </c>
      <c r="CJ184" s="607"/>
      <c r="CK184" s="607" t="s">
        <v>6</v>
      </c>
      <c r="CL184" s="607"/>
    </row>
    <row r="185" spans="1:91" x14ac:dyDescent="0.25">
      <c r="A185" s="32"/>
      <c r="B185" s="607"/>
      <c r="C185" s="607"/>
      <c r="D185" s="608"/>
      <c r="E185" s="609"/>
      <c r="F185" s="7" t="s">
        <v>15</v>
      </c>
      <c r="G185" s="7" t="s">
        <v>14</v>
      </c>
      <c r="H185" s="7" t="s">
        <v>2</v>
      </c>
      <c r="I185" s="8" t="s">
        <v>16</v>
      </c>
      <c r="J185" s="8" t="s">
        <v>16</v>
      </c>
      <c r="K185" s="7" t="s">
        <v>13</v>
      </c>
      <c r="L185" s="7" t="s">
        <v>14</v>
      </c>
      <c r="M185" s="7" t="s">
        <v>15</v>
      </c>
      <c r="N185" s="7" t="s">
        <v>14</v>
      </c>
      <c r="O185" s="7" t="s">
        <v>2</v>
      </c>
      <c r="P185" s="8" t="s">
        <v>16</v>
      </c>
      <c r="Q185" s="8" t="s">
        <v>16</v>
      </c>
      <c r="R185" s="7" t="s">
        <v>13</v>
      </c>
      <c r="S185" s="7" t="s">
        <v>14</v>
      </c>
      <c r="T185" s="7" t="s">
        <v>15</v>
      </c>
      <c r="U185" s="7" t="s">
        <v>14</v>
      </c>
      <c r="V185" s="7" t="s">
        <v>2</v>
      </c>
      <c r="W185" s="8" t="s">
        <v>16</v>
      </c>
      <c r="X185" s="8" t="s">
        <v>16</v>
      </c>
      <c r="Y185" s="7" t="s">
        <v>13</v>
      </c>
      <c r="Z185" s="7" t="s">
        <v>14</v>
      </c>
      <c r="AA185" s="7" t="s">
        <v>15</v>
      </c>
      <c r="AB185" s="7" t="s">
        <v>14</v>
      </c>
      <c r="AC185" s="7" t="s">
        <v>2</v>
      </c>
      <c r="AD185" s="8" t="s">
        <v>16</v>
      </c>
      <c r="AE185" s="8" t="s">
        <v>16</v>
      </c>
      <c r="AF185" s="7" t="s">
        <v>13</v>
      </c>
      <c r="AG185" s="7" t="s">
        <v>14</v>
      </c>
      <c r="AH185" s="7" t="s">
        <v>15</v>
      </c>
      <c r="AI185" s="7" t="s">
        <v>14</v>
      </c>
      <c r="AJ185" s="7" t="s">
        <v>2</v>
      </c>
      <c r="AK185" s="8" t="s">
        <v>16</v>
      </c>
      <c r="AL185" s="8" t="s">
        <v>16</v>
      </c>
      <c r="AM185" s="7" t="s">
        <v>13</v>
      </c>
      <c r="AN185" s="7" t="s">
        <v>14</v>
      </c>
      <c r="AO185" s="7" t="s">
        <v>15</v>
      </c>
      <c r="AP185" s="7" t="s">
        <v>14</v>
      </c>
      <c r="AQ185" s="7" t="s">
        <v>2</v>
      </c>
      <c r="AR185" s="8" t="s">
        <v>16</v>
      </c>
      <c r="AS185" s="8" t="s">
        <v>16</v>
      </c>
      <c r="AT185" s="7" t="s">
        <v>13</v>
      </c>
      <c r="AU185" s="7" t="s">
        <v>14</v>
      </c>
      <c r="AV185" s="7" t="s">
        <v>15</v>
      </c>
      <c r="AW185" s="7" t="s">
        <v>14</v>
      </c>
      <c r="AX185" s="7" t="s">
        <v>2</v>
      </c>
      <c r="AY185" s="8" t="s">
        <v>16</v>
      </c>
      <c r="AZ185" s="8" t="s">
        <v>16</v>
      </c>
      <c r="BA185" s="7" t="s">
        <v>13</v>
      </c>
      <c r="BB185" s="7" t="s">
        <v>14</v>
      </c>
      <c r="BC185" s="7" t="s">
        <v>15</v>
      </c>
      <c r="BD185" s="8" t="s">
        <v>16</v>
      </c>
      <c r="BE185" s="7" t="s">
        <v>13</v>
      </c>
      <c r="BF185" s="7" t="s">
        <v>14</v>
      </c>
      <c r="BG185" s="7" t="s">
        <v>15</v>
      </c>
      <c r="BH185" s="7" t="s">
        <v>14</v>
      </c>
      <c r="BI185" s="7" t="s">
        <v>2</v>
      </c>
      <c r="BJ185" s="8" t="s">
        <v>16</v>
      </c>
      <c r="BK185" s="8" t="s">
        <v>16</v>
      </c>
      <c r="BL185" s="7" t="s">
        <v>2</v>
      </c>
      <c r="BM185" s="7" t="s">
        <v>16</v>
      </c>
      <c r="BN185" s="7" t="s">
        <v>16</v>
      </c>
      <c r="BO185" s="610"/>
      <c r="BP185" s="592"/>
      <c r="BQ185" s="609"/>
      <c r="BR185" s="592"/>
      <c r="BS185" s="592"/>
      <c r="BT185" s="594"/>
      <c r="BU185" s="32"/>
      <c r="BV185" s="594"/>
      <c r="BW185" s="594"/>
      <c r="BX185" s="32"/>
      <c r="BY185" s="592"/>
      <c r="BZ185" s="618"/>
      <c r="CA185" s="619"/>
      <c r="CB185" s="618"/>
      <c r="CC185" s="618"/>
      <c r="CD185" s="618"/>
      <c r="CE185" s="618"/>
      <c r="CF185" s="55"/>
      <c r="CG185" s="610"/>
      <c r="CH185" s="610"/>
      <c r="CI185" s="607"/>
      <c r="CJ185" s="607"/>
      <c r="CK185" s="607"/>
      <c r="CL185" s="607"/>
    </row>
    <row r="186" spans="1:91" x14ac:dyDescent="0.25">
      <c r="A186" s="32"/>
      <c r="B186" s="621"/>
      <c r="C186" s="621"/>
      <c r="D186" s="622"/>
      <c r="E186" s="623"/>
      <c r="F186" s="33">
        <v>1</v>
      </c>
      <c r="G186" s="33">
        <v>2</v>
      </c>
      <c r="H186" s="33">
        <v>3</v>
      </c>
      <c r="I186" s="221">
        <v>4</v>
      </c>
      <c r="J186" s="221">
        <v>5</v>
      </c>
      <c r="K186" s="33">
        <v>6</v>
      </c>
      <c r="L186" s="33">
        <v>7</v>
      </c>
      <c r="M186" s="33">
        <v>8</v>
      </c>
      <c r="N186" s="33">
        <v>9</v>
      </c>
      <c r="O186" s="33">
        <v>10</v>
      </c>
      <c r="P186" s="221">
        <v>11</v>
      </c>
      <c r="Q186" s="221">
        <v>12</v>
      </c>
      <c r="R186" s="33">
        <v>13</v>
      </c>
      <c r="S186" s="33">
        <v>14</v>
      </c>
      <c r="T186" s="33">
        <v>15</v>
      </c>
      <c r="U186" s="33">
        <v>16</v>
      </c>
      <c r="V186" s="33">
        <v>17</v>
      </c>
      <c r="W186" s="221">
        <v>18</v>
      </c>
      <c r="X186" s="221">
        <v>19</v>
      </c>
      <c r="Y186" s="33">
        <v>20</v>
      </c>
      <c r="Z186" s="33">
        <v>21</v>
      </c>
      <c r="AA186" s="33">
        <v>22</v>
      </c>
      <c r="AB186" s="33">
        <v>23</v>
      </c>
      <c r="AC186" s="33">
        <v>24</v>
      </c>
      <c r="AD186" s="221">
        <v>25</v>
      </c>
      <c r="AE186" s="221">
        <v>26</v>
      </c>
      <c r="AF186" s="33">
        <v>27</v>
      </c>
      <c r="AG186" s="33">
        <v>28</v>
      </c>
      <c r="AH186" s="33">
        <v>29</v>
      </c>
      <c r="AI186" s="33">
        <v>30</v>
      </c>
      <c r="AJ186" s="33">
        <v>31</v>
      </c>
      <c r="AK186" s="221">
        <v>1</v>
      </c>
      <c r="AL186" s="221">
        <v>2</v>
      </c>
      <c r="AM186" s="33">
        <v>3</v>
      </c>
      <c r="AN186" s="33">
        <v>4</v>
      </c>
      <c r="AO186" s="33">
        <v>5</v>
      </c>
      <c r="AP186" s="33">
        <v>6</v>
      </c>
      <c r="AQ186" s="33">
        <v>7</v>
      </c>
      <c r="AR186" s="221">
        <v>8</v>
      </c>
      <c r="AS186" s="221">
        <v>9</v>
      </c>
      <c r="AT186" s="33">
        <v>10</v>
      </c>
      <c r="AU186" s="33">
        <v>11</v>
      </c>
      <c r="AV186" s="33">
        <v>12</v>
      </c>
      <c r="AW186" s="33">
        <v>13</v>
      </c>
      <c r="AX186" s="33">
        <v>14</v>
      </c>
      <c r="AY186" s="221">
        <v>15</v>
      </c>
      <c r="AZ186" s="221">
        <v>16</v>
      </c>
      <c r="BA186" s="33">
        <v>17</v>
      </c>
      <c r="BB186" s="33">
        <v>18</v>
      </c>
      <c r="BC186" s="33">
        <v>19</v>
      </c>
      <c r="BD186" s="221">
        <v>28</v>
      </c>
      <c r="BE186" s="33">
        <f>BD186+1</f>
        <v>29</v>
      </c>
      <c r="BF186" s="33">
        <f t="shared" ref="BF186:BG186" si="25">BE186+1</f>
        <v>30</v>
      </c>
      <c r="BG186" s="33">
        <f t="shared" si="25"/>
        <v>31</v>
      </c>
      <c r="BH186" s="33">
        <v>1</v>
      </c>
      <c r="BI186" s="33">
        <f>BH186+1</f>
        <v>2</v>
      </c>
      <c r="BJ186" s="221">
        <f t="shared" ref="BJ186:BN186" si="26">BI186+1</f>
        <v>3</v>
      </c>
      <c r="BK186" s="221">
        <f t="shared" si="26"/>
        <v>4</v>
      </c>
      <c r="BL186" s="33">
        <f t="shared" si="26"/>
        <v>5</v>
      </c>
      <c r="BM186" s="33">
        <f t="shared" si="26"/>
        <v>6</v>
      </c>
      <c r="BN186" s="33">
        <f t="shared" si="26"/>
        <v>7</v>
      </c>
      <c r="BO186" s="620"/>
      <c r="BP186" s="593"/>
      <c r="BQ186" s="623"/>
      <c r="BR186" s="593"/>
      <c r="BS186" s="593"/>
      <c r="BT186" s="594"/>
      <c r="BU186" s="32"/>
      <c r="BV186" s="594"/>
      <c r="BW186" s="594"/>
      <c r="BX186" s="32"/>
      <c r="BY186" s="593"/>
      <c r="BZ186" s="624"/>
      <c r="CA186" s="625"/>
      <c r="CB186" s="624"/>
      <c r="CC186" s="624"/>
      <c r="CD186" s="624"/>
      <c r="CE186" s="624"/>
      <c r="CF186" s="55"/>
      <c r="CG186" s="620"/>
      <c r="CH186" s="620"/>
      <c r="CI186" s="7" t="s">
        <v>7</v>
      </c>
      <c r="CJ186" s="7" t="s">
        <v>34</v>
      </c>
      <c r="CK186" s="7" t="s">
        <v>7</v>
      </c>
      <c r="CL186" s="7" t="s">
        <v>34</v>
      </c>
    </row>
    <row r="187" spans="1:91" x14ac:dyDescent="0.25">
      <c r="A187" s="32"/>
      <c r="B187" s="227"/>
      <c r="C187" s="222"/>
      <c r="D187" s="229"/>
      <c r="E187" s="223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  <c r="AA187" s="224"/>
      <c r="AB187" s="224"/>
      <c r="AC187" s="224"/>
      <c r="AD187" s="224"/>
      <c r="AE187" s="224"/>
      <c r="AF187" s="224"/>
      <c r="AG187" s="224"/>
      <c r="AH187" s="224"/>
      <c r="AI187" s="224"/>
      <c r="AJ187" s="224"/>
      <c r="AK187" s="224"/>
      <c r="AL187" s="224"/>
      <c r="AM187" s="224"/>
      <c r="AN187" s="224"/>
      <c r="AO187" s="224"/>
      <c r="AP187" s="224"/>
      <c r="AQ187" s="224"/>
      <c r="AR187" s="224"/>
      <c r="AS187" s="224"/>
      <c r="AT187" s="224"/>
      <c r="AU187" s="224"/>
      <c r="AV187" s="224"/>
      <c r="AW187" s="224"/>
      <c r="AX187" s="224"/>
      <c r="AY187" s="224"/>
      <c r="AZ187" s="224"/>
      <c r="BA187" s="224"/>
      <c r="BB187" s="224"/>
      <c r="BC187" s="224"/>
      <c r="BD187" s="66"/>
      <c r="BE187" s="65"/>
      <c r="BF187" s="65"/>
      <c r="BG187" s="65"/>
      <c r="BH187" s="65"/>
      <c r="BI187" s="65"/>
      <c r="BJ187" s="66"/>
      <c r="BK187" s="66"/>
      <c r="BL187" s="65"/>
      <c r="BM187" s="214"/>
      <c r="BN187" s="214"/>
      <c r="BO187" s="233"/>
      <c r="BP187" s="233"/>
      <c r="BQ187" s="233"/>
      <c r="BR187" s="233"/>
      <c r="BS187" s="233"/>
      <c r="BT187" s="238"/>
      <c r="BV187" s="295"/>
      <c r="BW187" s="300"/>
      <c r="BY187" s="251"/>
      <c r="BZ187" s="252"/>
      <c r="CA187" s="253"/>
      <c r="CB187" s="254"/>
      <c r="CC187" s="254"/>
      <c r="CD187" s="254"/>
      <c r="CE187" s="18"/>
      <c r="CF187" s="10"/>
      <c r="CG187" s="34"/>
      <c r="CH187" s="271"/>
      <c r="CI187" s="267"/>
      <c r="CJ187" s="271"/>
      <c r="CK187" s="267"/>
      <c r="CL187" s="271"/>
    </row>
    <row r="188" spans="1:91" x14ac:dyDescent="0.25">
      <c r="A188" s="32"/>
      <c r="B188" s="228" t="s">
        <v>105</v>
      </c>
      <c r="C188" s="81" t="s">
        <v>106</v>
      </c>
      <c r="D188" s="230" t="s">
        <v>87</v>
      </c>
      <c r="E188" s="219" t="s">
        <v>18</v>
      </c>
      <c r="BD188" s="66"/>
      <c r="BE188" s="65">
        <v>4</v>
      </c>
      <c r="BF188" s="65">
        <v>4</v>
      </c>
      <c r="BG188" s="65">
        <v>4</v>
      </c>
      <c r="BH188" s="65">
        <v>4</v>
      </c>
      <c r="BI188" s="65">
        <v>4</v>
      </c>
      <c r="BJ188" s="65">
        <v>4</v>
      </c>
      <c r="BK188" s="65">
        <v>4</v>
      </c>
      <c r="BL188" s="65">
        <v>4</v>
      </c>
      <c r="BM188" s="214"/>
      <c r="BN188" s="231"/>
      <c r="BO188" s="234">
        <f>SUM(AK188:BN188)</f>
        <v>32</v>
      </c>
      <c r="BP188" s="176">
        <v>200</v>
      </c>
      <c r="BQ188" s="232">
        <v>0.6</v>
      </c>
      <c r="BR188" s="176">
        <f>BP188*(1-BQ188)</f>
        <v>80</v>
      </c>
      <c r="BS188" s="176">
        <f>BR188*BO188</f>
        <v>2560</v>
      </c>
      <c r="BT188" s="22">
        <f>BS188*0.8</f>
        <v>2048</v>
      </c>
      <c r="BV188" s="296">
        <f>BT188/BT191</f>
        <v>1</v>
      </c>
      <c r="BW188" s="301" t="s">
        <v>119</v>
      </c>
      <c r="BY188" s="255"/>
      <c r="BZ188" s="256"/>
      <c r="CA188" s="257"/>
      <c r="CB188" s="88">
        <v>145155</v>
      </c>
      <c r="CC188" s="258"/>
      <c r="CD188" s="258"/>
      <c r="CE188" s="21"/>
      <c r="CF188" s="10"/>
      <c r="CG188" s="38" t="str">
        <f>C188</f>
        <v>CLUBE FM</v>
      </c>
      <c r="CH188" s="272">
        <f>BR188*0.8</f>
        <v>64</v>
      </c>
      <c r="CI188" s="37">
        <f>SUM(AK188:BG188)</f>
        <v>12</v>
      </c>
      <c r="CJ188" s="92">
        <f>CH188*CI188</f>
        <v>768</v>
      </c>
      <c r="CK188" s="37">
        <f>SUM(BH188:BN188)</f>
        <v>20</v>
      </c>
      <c r="CL188" s="92">
        <f>CK188*CH188</f>
        <v>1280</v>
      </c>
      <c r="CM188" s="101" t="b">
        <f>(CJ188+CL188)=BT188</f>
        <v>1</v>
      </c>
    </row>
    <row r="189" spans="1:91" x14ac:dyDescent="0.25">
      <c r="A189" s="32"/>
      <c r="B189" s="237"/>
      <c r="C189" s="235"/>
      <c r="D189" s="236"/>
      <c r="E189" s="219"/>
      <c r="BD189" s="66"/>
      <c r="BE189" s="65"/>
      <c r="BF189" s="65"/>
      <c r="BG189" s="65"/>
      <c r="BH189" s="65"/>
      <c r="BI189" s="65"/>
      <c r="BJ189" s="66"/>
      <c r="BK189" s="66"/>
      <c r="BL189" s="65"/>
      <c r="BM189" s="214"/>
      <c r="BN189" s="214"/>
      <c r="BO189" s="234"/>
      <c r="BP189" s="176"/>
      <c r="BQ189" s="232"/>
      <c r="BR189" s="176"/>
      <c r="BS189" s="176"/>
      <c r="BT189" s="22"/>
      <c r="BV189" s="296"/>
      <c r="BW189" s="301"/>
      <c r="BY189" s="255"/>
      <c r="BZ189" s="256"/>
      <c r="CA189" s="257"/>
      <c r="CB189" s="258"/>
      <c r="CC189" s="258"/>
      <c r="CD189" s="258"/>
      <c r="CE189" s="21"/>
      <c r="CF189" s="10"/>
      <c r="CG189" s="38"/>
      <c r="CH189" s="272"/>
      <c r="CJ189" s="272"/>
      <c r="CL189" s="272"/>
    </row>
    <row r="190" spans="1:91" x14ac:dyDescent="0.25">
      <c r="A190" s="32"/>
      <c r="B190" s="225"/>
      <c r="C190" s="225"/>
      <c r="D190" s="226"/>
      <c r="E190" s="225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  <c r="AA190" s="226"/>
      <c r="AB190" s="226"/>
      <c r="AC190" s="226"/>
      <c r="AD190" s="226"/>
      <c r="AE190" s="226"/>
      <c r="AF190" s="226"/>
      <c r="AG190" s="226"/>
      <c r="AH190" s="226"/>
      <c r="AI190" s="226"/>
      <c r="AJ190" s="226"/>
      <c r="AK190" s="226"/>
      <c r="AL190" s="226"/>
      <c r="AM190" s="226"/>
      <c r="AN190" s="226"/>
      <c r="AO190" s="226"/>
      <c r="AP190" s="226"/>
      <c r="AQ190" s="226"/>
      <c r="AR190" s="226"/>
      <c r="AS190" s="226"/>
      <c r="AT190" s="226"/>
      <c r="AU190" s="226"/>
      <c r="AV190" s="226"/>
      <c r="AW190" s="226"/>
      <c r="AX190" s="226"/>
      <c r="AY190" s="226"/>
      <c r="AZ190" s="226"/>
      <c r="BA190" s="226"/>
      <c r="BB190" s="226"/>
      <c r="BC190" s="226"/>
      <c r="BD190" s="66"/>
      <c r="BE190" s="65"/>
      <c r="BF190" s="65"/>
      <c r="BG190" s="65"/>
      <c r="BH190" s="65"/>
      <c r="BI190" s="65"/>
      <c r="BJ190" s="66"/>
      <c r="BK190" s="66"/>
      <c r="BL190" s="65"/>
      <c r="BM190" s="214"/>
      <c r="BN190" s="214"/>
      <c r="BO190" s="225"/>
      <c r="BP190" s="225"/>
      <c r="BQ190" s="225"/>
      <c r="BR190" s="225"/>
      <c r="BS190" s="225"/>
      <c r="BT190" s="239"/>
      <c r="BV190" s="297"/>
      <c r="BW190" s="302"/>
      <c r="BY190" s="259"/>
      <c r="BZ190" s="260"/>
      <c r="CA190" s="263"/>
      <c r="CB190" s="261"/>
      <c r="CC190" s="261"/>
      <c r="CD190" s="261"/>
      <c r="CE190" s="114"/>
      <c r="CF190" s="10"/>
      <c r="CG190" s="268"/>
      <c r="CH190" s="273"/>
      <c r="CI190" s="269"/>
      <c r="CJ190" s="273"/>
      <c r="CK190" s="269"/>
      <c r="CL190" s="273"/>
    </row>
    <row r="191" spans="1:91" x14ac:dyDescent="0.25">
      <c r="A191" s="32"/>
      <c r="B191" s="25" t="s">
        <v>117</v>
      </c>
      <c r="C191" s="139"/>
      <c r="D191" s="139"/>
      <c r="E191" s="139"/>
      <c r="F191" s="40">
        <f t="shared" ref="F191:BC191" si="27">SUM(F144:F190)</f>
        <v>1</v>
      </c>
      <c r="G191" s="40">
        <f t="shared" si="27"/>
        <v>2</v>
      </c>
      <c r="H191" s="40">
        <f t="shared" si="27"/>
        <v>3</v>
      </c>
      <c r="I191" s="40">
        <f t="shared" si="27"/>
        <v>4</v>
      </c>
      <c r="J191" s="40">
        <f t="shared" si="27"/>
        <v>5</v>
      </c>
      <c r="K191" s="40">
        <f t="shared" si="27"/>
        <v>6</v>
      </c>
      <c r="L191" s="40">
        <f t="shared" si="27"/>
        <v>7</v>
      </c>
      <c r="M191" s="40">
        <f t="shared" si="27"/>
        <v>8</v>
      </c>
      <c r="N191" s="40">
        <f t="shared" si="27"/>
        <v>9</v>
      </c>
      <c r="O191" s="40">
        <f t="shared" si="27"/>
        <v>10</v>
      </c>
      <c r="P191" s="40">
        <f t="shared" si="27"/>
        <v>11</v>
      </c>
      <c r="Q191" s="40">
        <f t="shared" si="27"/>
        <v>12</v>
      </c>
      <c r="R191" s="40">
        <f t="shared" si="27"/>
        <v>13</v>
      </c>
      <c r="S191" s="40">
        <f t="shared" si="27"/>
        <v>14</v>
      </c>
      <c r="T191" s="40">
        <f t="shared" si="27"/>
        <v>15</v>
      </c>
      <c r="U191" s="40">
        <f t="shared" si="27"/>
        <v>16</v>
      </c>
      <c r="V191" s="40">
        <f t="shared" si="27"/>
        <v>17</v>
      </c>
      <c r="W191" s="40">
        <f t="shared" si="27"/>
        <v>18</v>
      </c>
      <c r="X191" s="40">
        <f t="shared" si="27"/>
        <v>19</v>
      </c>
      <c r="Y191" s="40">
        <f t="shared" si="27"/>
        <v>20</v>
      </c>
      <c r="Z191" s="40">
        <f t="shared" si="27"/>
        <v>21</v>
      </c>
      <c r="AA191" s="40">
        <f t="shared" si="27"/>
        <v>22</v>
      </c>
      <c r="AB191" s="40">
        <f t="shared" si="27"/>
        <v>23</v>
      </c>
      <c r="AC191" s="40">
        <f t="shared" si="27"/>
        <v>24</v>
      </c>
      <c r="AD191" s="40">
        <f t="shared" si="27"/>
        <v>25</v>
      </c>
      <c r="AE191" s="40">
        <f t="shared" si="27"/>
        <v>26</v>
      </c>
      <c r="AF191" s="40">
        <f t="shared" si="27"/>
        <v>27</v>
      </c>
      <c r="AG191" s="40">
        <f t="shared" si="27"/>
        <v>28</v>
      </c>
      <c r="AH191" s="40">
        <f t="shared" si="27"/>
        <v>29</v>
      </c>
      <c r="AI191" s="40">
        <f t="shared" si="27"/>
        <v>30</v>
      </c>
      <c r="AJ191" s="40">
        <f t="shared" si="27"/>
        <v>31</v>
      </c>
      <c r="AK191" s="40">
        <f t="shared" si="27"/>
        <v>1</v>
      </c>
      <c r="AL191" s="40">
        <f t="shared" si="27"/>
        <v>2</v>
      </c>
      <c r="AM191" s="40">
        <f t="shared" si="27"/>
        <v>3</v>
      </c>
      <c r="AN191" s="40">
        <f t="shared" si="27"/>
        <v>4</v>
      </c>
      <c r="AO191" s="40">
        <f t="shared" si="27"/>
        <v>5</v>
      </c>
      <c r="AP191" s="40">
        <f t="shared" si="27"/>
        <v>6</v>
      </c>
      <c r="AQ191" s="40">
        <f t="shared" si="27"/>
        <v>7</v>
      </c>
      <c r="AR191" s="40">
        <f t="shared" si="27"/>
        <v>8</v>
      </c>
      <c r="AS191" s="40">
        <f t="shared" si="27"/>
        <v>9</v>
      </c>
      <c r="AT191" s="40">
        <f t="shared" si="27"/>
        <v>10</v>
      </c>
      <c r="AU191" s="40">
        <f t="shared" si="27"/>
        <v>11</v>
      </c>
      <c r="AV191" s="40">
        <f t="shared" si="27"/>
        <v>12</v>
      </c>
      <c r="AW191" s="40">
        <f t="shared" si="27"/>
        <v>13</v>
      </c>
      <c r="AX191" s="40">
        <f t="shared" si="27"/>
        <v>14</v>
      </c>
      <c r="AY191" s="40">
        <f t="shared" si="27"/>
        <v>15</v>
      </c>
      <c r="AZ191" s="40">
        <f t="shared" si="27"/>
        <v>16</v>
      </c>
      <c r="BA191" s="40">
        <f t="shared" si="27"/>
        <v>17</v>
      </c>
      <c r="BB191" s="40">
        <f t="shared" si="27"/>
        <v>18</v>
      </c>
      <c r="BC191" s="40">
        <f t="shared" si="27"/>
        <v>19</v>
      </c>
      <c r="BD191" s="40">
        <f>SUM(BD187:BD190)</f>
        <v>0</v>
      </c>
      <c r="BE191" s="40">
        <f t="shared" ref="BE191:BT191" si="28">SUM(BE187:BE190)</f>
        <v>4</v>
      </c>
      <c r="BF191" s="40">
        <f t="shared" si="28"/>
        <v>4</v>
      </c>
      <c r="BG191" s="40">
        <f t="shared" si="28"/>
        <v>4</v>
      </c>
      <c r="BH191" s="40">
        <f t="shared" si="28"/>
        <v>4</v>
      </c>
      <c r="BI191" s="40">
        <f t="shared" si="28"/>
        <v>4</v>
      </c>
      <c r="BJ191" s="40">
        <f t="shared" si="28"/>
        <v>4</v>
      </c>
      <c r="BK191" s="40">
        <f t="shared" si="28"/>
        <v>4</v>
      </c>
      <c r="BL191" s="40">
        <f t="shared" si="28"/>
        <v>4</v>
      </c>
      <c r="BM191" s="40">
        <f t="shared" si="28"/>
        <v>0</v>
      </c>
      <c r="BN191" s="40">
        <f t="shared" si="28"/>
        <v>0</v>
      </c>
      <c r="BO191" s="264">
        <f t="shared" si="28"/>
        <v>32</v>
      </c>
      <c r="BP191" s="265">
        <f t="shared" si="28"/>
        <v>200</v>
      </c>
      <c r="BQ191" s="265">
        <f t="shared" si="28"/>
        <v>0.6</v>
      </c>
      <c r="BR191" s="265">
        <f t="shared" si="28"/>
        <v>80</v>
      </c>
      <c r="BS191" s="265">
        <f t="shared" si="28"/>
        <v>2560</v>
      </c>
      <c r="BT191" s="265">
        <f t="shared" si="28"/>
        <v>2048</v>
      </c>
      <c r="BU191" s="43"/>
      <c r="BV191" s="250"/>
      <c r="BW191" s="303"/>
      <c r="BX191" s="43"/>
      <c r="BY191" s="305"/>
      <c r="BZ191" s="244"/>
      <c r="CA191" s="245"/>
      <c r="CB191" s="246">
        <f t="shared" ref="CB191:CE191" si="29">SUM(CB187:CB190)</f>
        <v>145155</v>
      </c>
      <c r="CC191" s="246">
        <f t="shared" si="29"/>
        <v>0</v>
      </c>
      <c r="CD191" s="247">
        <f t="shared" si="29"/>
        <v>0</v>
      </c>
      <c r="CE191" s="249">
        <f t="shared" si="29"/>
        <v>0</v>
      </c>
      <c r="CF191" s="10"/>
      <c r="CG191" s="247">
        <f t="shared" ref="CG191:CL191" si="30">SUM(CG187:CG190)</f>
        <v>0</v>
      </c>
      <c r="CH191" s="274">
        <f t="shared" si="30"/>
        <v>64</v>
      </c>
      <c r="CI191" s="266">
        <f t="shared" si="30"/>
        <v>12</v>
      </c>
      <c r="CJ191" s="274">
        <f t="shared" si="30"/>
        <v>768</v>
      </c>
      <c r="CK191" s="266">
        <f t="shared" si="30"/>
        <v>20</v>
      </c>
      <c r="CL191" s="274">
        <f t="shared" si="30"/>
        <v>1280</v>
      </c>
      <c r="CM191" s="101" t="b">
        <f>(CJ191+CL191)=BT191</f>
        <v>1</v>
      </c>
    </row>
    <row r="192" spans="1:91" x14ac:dyDescent="0.25">
      <c r="A192" s="32"/>
      <c r="B192" s="183"/>
      <c r="C192" s="184"/>
      <c r="D192" s="185"/>
      <c r="E192" s="218"/>
      <c r="BD192" s="66"/>
      <c r="BE192" s="65"/>
      <c r="BF192" s="65"/>
      <c r="BG192" s="65"/>
      <c r="BH192" s="65"/>
      <c r="BI192" s="65"/>
      <c r="BJ192" s="66"/>
      <c r="BK192" s="66"/>
      <c r="BL192" s="65"/>
      <c r="BM192" s="214"/>
      <c r="BN192" s="214"/>
      <c r="BO192" s="238"/>
      <c r="BP192" s="238"/>
      <c r="BQ192" s="238"/>
      <c r="BR192" s="238"/>
      <c r="BS192" s="238"/>
      <c r="BT192" s="238"/>
      <c r="BV192" s="295"/>
      <c r="BW192" s="300"/>
      <c r="BY192" s="251"/>
      <c r="BZ192" s="252"/>
      <c r="CA192" s="253"/>
      <c r="CB192" s="254"/>
      <c r="CC192" s="254"/>
      <c r="CD192" s="254"/>
      <c r="CE192" s="18"/>
      <c r="CF192" s="10"/>
      <c r="CG192" s="34"/>
      <c r="CH192" s="271"/>
      <c r="CI192" s="267"/>
      <c r="CJ192" s="271"/>
      <c r="CK192" s="267"/>
      <c r="CL192" s="271"/>
    </row>
    <row r="193" spans="1:91" x14ac:dyDescent="0.25">
      <c r="A193" s="32"/>
      <c r="B193" s="93" t="s">
        <v>108</v>
      </c>
      <c r="C193" s="81" t="s">
        <v>106</v>
      </c>
      <c r="D193" s="95" t="s">
        <v>87</v>
      </c>
      <c r="E193" s="219" t="s">
        <v>18</v>
      </c>
      <c r="BD193" s="66"/>
      <c r="BE193" s="65">
        <v>4</v>
      </c>
      <c r="BF193" s="65">
        <v>4</v>
      </c>
      <c r="BG193" s="65">
        <v>4</v>
      </c>
      <c r="BH193" s="65">
        <v>4</v>
      </c>
      <c r="BI193" s="65">
        <v>4</v>
      </c>
      <c r="BJ193" s="65">
        <v>4</v>
      </c>
      <c r="BK193" s="65">
        <v>4</v>
      </c>
      <c r="BL193" s="65">
        <v>4</v>
      </c>
      <c r="BM193" s="214"/>
      <c r="BN193" s="231"/>
      <c r="BO193" s="175">
        <f>SUM(AK193:BN193)</f>
        <v>32</v>
      </c>
      <c r="BP193" s="22">
        <f>21*1.25</f>
        <v>26.25</v>
      </c>
      <c r="BQ193" s="217">
        <v>0.3</v>
      </c>
      <c r="BR193" s="22">
        <f>BP193*(1-BQ193)</f>
        <v>18.375</v>
      </c>
      <c r="BS193" s="22">
        <f>BR193*BO193</f>
        <v>588</v>
      </c>
      <c r="BT193" s="22">
        <f>BS193*0.8</f>
        <v>470.40000000000003</v>
      </c>
      <c r="BV193" s="296">
        <f>BT193/BT198</f>
        <v>0.19105796724720564</v>
      </c>
      <c r="BW193" s="301" t="s">
        <v>119</v>
      </c>
      <c r="BY193" s="255"/>
      <c r="BZ193" s="256"/>
      <c r="CA193" s="257"/>
      <c r="CB193" s="88">
        <v>74779</v>
      </c>
      <c r="CC193" s="258"/>
      <c r="CD193" s="258"/>
      <c r="CE193" s="21"/>
      <c r="CF193" s="10"/>
      <c r="CG193" s="38" t="str">
        <f>C193</f>
        <v>CLUBE FM</v>
      </c>
      <c r="CH193" s="272">
        <f>BR193*0.8</f>
        <v>14.700000000000001</v>
      </c>
      <c r="CI193" s="37">
        <f>SUM(AK193:BG193)</f>
        <v>12</v>
      </c>
      <c r="CJ193" s="92">
        <f>CH193*CI193</f>
        <v>176.4</v>
      </c>
      <c r="CK193" s="37">
        <f>SUM(BH193:BN193)</f>
        <v>20</v>
      </c>
      <c r="CL193" s="92">
        <f>CK193*CH193</f>
        <v>294</v>
      </c>
      <c r="CM193" s="101" t="b">
        <f>(CJ193+CL193)=BT193</f>
        <v>1</v>
      </c>
    </row>
    <row r="194" spans="1:91" x14ac:dyDescent="0.25">
      <c r="A194" s="32"/>
      <c r="B194" s="111"/>
      <c r="C194" s="81"/>
      <c r="D194" s="95"/>
      <c r="E194" s="219"/>
      <c r="BD194" s="66"/>
      <c r="BE194" s="65"/>
      <c r="BF194" s="65"/>
      <c r="BG194" s="65"/>
      <c r="BH194" s="65"/>
      <c r="BI194" s="65"/>
      <c r="BJ194" s="66"/>
      <c r="BK194" s="66"/>
      <c r="BL194" s="65"/>
      <c r="BM194" s="214"/>
      <c r="BN194" s="214"/>
      <c r="BO194" s="239"/>
      <c r="BP194" s="239"/>
      <c r="BQ194" s="239"/>
      <c r="BR194" s="239"/>
      <c r="BS194" s="239"/>
      <c r="BT194" s="239"/>
      <c r="BV194" s="297"/>
      <c r="BW194" s="302"/>
      <c r="BY194" s="259"/>
      <c r="BZ194" s="260"/>
      <c r="CA194" s="263"/>
      <c r="CB194" s="261"/>
      <c r="CC194" s="261"/>
      <c r="CD194" s="261"/>
      <c r="CE194" s="114"/>
      <c r="CF194" s="10"/>
      <c r="CG194" s="268"/>
      <c r="CH194" s="273"/>
      <c r="CI194" s="269"/>
      <c r="CJ194" s="273"/>
      <c r="CK194" s="269"/>
      <c r="CL194" s="273"/>
    </row>
    <row r="195" spans="1:91" x14ac:dyDescent="0.25">
      <c r="A195" s="32"/>
      <c r="B195" s="111"/>
      <c r="C195" s="81"/>
      <c r="D195" s="95"/>
      <c r="E195" s="219"/>
      <c r="BD195" s="66"/>
      <c r="BE195" s="65"/>
      <c r="BF195" s="65"/>
      <c r="BG195" s="65"/>
      <c r="BH195" s="65"/>
      <c r="BI195" s="65"/>
      <c r="BJ195" s="66"/>
      <c r="BK195" s="66"/>
      <c r="BL195" s="65"/>
      <c r="BM195" s="214"/>
      <c r="BN195" s="214"/>
      <c r="BO195" s="240"/>
      <c r="BP195" s="240"/>
      <c r="BQ195" s="240"/>
      <c r="BR195" s="240"/>
      <c r="BS195" s="240"/>
      <c r="BT195" s="240"/>
      <c r="BV195" s="296"/>
      <c r="BW195" s="301"/>
      <c r="BY195" s="255"/>
      <c r="BZ195" s="256"/>
      <c r="CA195" s="257"/>
      <c r="CB195" s="258"/>
      <c r="CC195" s="258"/>
      <c r="CD195" s="258"/>
      <c r="CE195" s="21"/>
      <c r="CF195" s="10"/>
      <c r="CG195" s="38"/>
      <c r="CH195" s="272"/>
      <c r="CJ195" s="272"/>
      <c r="CL195" s="272"/>
    </row>
    <row r="196" spans="1:91" x14ac:dyDescent="0.25">
      <c r="A196" s="32"/>
      <c r="B196" s="111"/>
      <c r="C196" s="81" t="s">
        <v>109</v>
      </c>
      <c r="D196" s="95" t="s">
        <v>87</v>
      </c>
      <c r="E196" s="219" t="s">
        <v>18</v>
      </c>
      <c r="BD196" s="66"/>
      <c r="BE196" s="65">
        <v>4</v>
      </c>
      <c r="BF196" s="65">
        <v>4</v>
      </c>
      <c r="BG196" s="65">
        <v>4</v>
      </c>
      <c r="BH196" s="65">
        <v>4</v>
      </c>
      <c r="BI196" s="65">
        <v>4</v>
      </c>
      <c r="BJ196" s="65">
        <v>4</v>
      </c>
      <c r="BK196" s="65">
        <v>4</v>
      </c>
      <c r="BL196" s="65">
        <v>4</v>
      </c>
      <c r="BM196" s="214"/>
      <c r="BN196" s="214"/>
      <c r="BO196" s="175">
        <f>SUM(AK196:BN196)</f>
        <v>32</v>
      </c>
      <c r="BP196" s="22">
        <v>121.5625</v>
      </c>
      <c r="BQ196" s="217">
        <v>0.36</v>
      </c>
      <c r="BR196" s="22">
        <f>BP196*(1-BQ196)</f>
        <v>77.8</v>
      </c>
      <c r="BS196" s="22">
        <f>BR196*BO196</f>
        <v>2489.6</v>
      </c>
      <c r="BT196" s="22">
        <f>BS196*0.8</f>
        <v>1991.68</v>
      </c>
      <c r="BV196" s="296">
        <f>BT196/BT198</f>
        <v>0.80894203275279442</v>
      </c>
      <c r="BW196" s="301" t="s">
        <v>119</v>
      </c>
      <c r="BY196" s="255"/>
      <c r="BZ196" s="256"/>
      <c r="CA196" s="257"/>
      <c r="CB196" s="88">
        <v>74779</v>
      </c>
      <c r="CC196" s="258"/>
      <c r="CD196" s="258"/>
      <c r="CE196" s="21"/>
      <c r="CF196" s="10"/>
      <c r="CG196" s="38" t="str">
        <f>C196</f>
        <v>RÁDIO AMIGA FM</v>
      </c>
      <c r="CH196" s="272">
        <f>BR196*0.8</f>
        <v>62.24</v>
      </c>
      <c r="CI196" s="37">
        <f>SUM(AK196:BG196)</f>
        <v>12</v>
      </c>
      <c r="CJ196" s="92">
        <f>CH196*CI196</f>
        <v>746.88</v>
      </c>
      <c r="CK196" s="37">
        <f>SUM(BH196:BN196)</f>
        <v>20</v>
      </c>
      <c r="CL196" s="92">
        <f>CK196*CH196</f>
        <v>1244.8</v>
      </c>
      <c r="CM196" s="101" t="b">
        <f>(CJ196+CL196)=BT196</f>
        <v>1</v>
      </c>
    </row>
    <row r="197" spans="1:91" x14ac:dyDescent="0.25">
      <c r="A197" s="32"/>
      <c r="B197" s="111"/>
      <c r="C197" s="95"/>
      <c r="D197" s="95"/>
      <c r="E197" s="219"/>
      <c r="BD197" s="66"/>
      <c r="BE197" s="65"/>
      <c r="BF197" s="65"/>
      <c r="BG197" s="65"/>
      <c r="BH197" s="65"/>
      <c r="BI197" s="65"/>
      <c r="BJ197" s="66"/>
      <c r="BK197" s="66"/>
      <c r="BL197" s="65"/>
      <c r="BM197" s="214"/>
      <c r="BN197" s="214"/>
      <c r="BO197" s="239"/>
      <c r="BP197" s="239"/>
      <c r="BQ197" s="239"/>
      <c r="BR197" s="239"/>
      <c r="BS197" s="239"/>
      <c r="BT197" s="239"/>
      <c r="BV197" s="297"/>
      <c r="BW197" s="302"/>
      <c r="BY197" s="259"/>
      <c r="BZ197" s="260"/>
      <c r="CA197" s="263"/>
      <c r="CB197" s="261"/>
      <c r="CC197" s="261"/>
      <c r="CD197" s="261"/>
      <c r="CE197" s="114"/>
      <c r="CF197" s="10"/>
      <c r="CG197" s="268"/>
      <c r="CH197" s="273"/>
      <c r="CI197" s="269"/>
      <c r="CJ197" s="273"/>
      <c r="CK197" s="269"/>
      <c r="CL197" s="273"/>
    </row>
    <row r="198" spans="1:91" x14ac:dyDescent="0.25">
      <c r="A198" s="32"/>
      <c r="B198" s="25" t="s">
        <v>118</v>
      </c>
      <c r="C198" s="139"/>
      <c r="D198" s="139"/>
      <c r="E198" s="139"/>
      <c r="F198" s="40">
        <f t="shared" ref="F198:AK198" si="31">SUM(F153:F197)</f>
        <v>2</v>
      </c>
      <c r="G198" s="40">
        <f t="shared" si="31"/>
        <v>4</v>
      </c>
      <c r="H198" s="40">
        <f t="shared" si="31"/>
        <v>6</v>
      </c>
      <c r="I198" s="40">
        <f t="shared" si="31"/>
        <v>8</v>
      </c>
      <c r="J198" s="40">
        <f t="shared" si="31"/>
        <v>10</v>
      </c>
      <c r="K198" s="40">
        <f t="shared" si="31"/>
        <v>12</v>
      </c>
      <c r="L198" s="40">
        <f t="shared" si="31"/>
        <v>14</v>
      </c>
      <c r="M198" s="40">
        <f t="shared" si="31"/>
        <v>16</v>
      </c>
      <c r="N198" s="40">
        <f t="shared" si="31"/>
        <v>18</v>
      </c>
      <c r="O198" s="40">
        <f t="shared" si="31"/>
        <v>20</v>
      </c>
      <c r="P198" s="40">
        <f t="shared" si="31"/>
        <v>22</v>
      </c>
      <c r="Q198" s="40">
        <f t="shared" si="31"/>
        <v>24</v>
      </c>
      <c r="R198" s="40">
        <f t="shared" si="31"/>
        <v>26</v>
      </c>
      <c r="S198" s="40">
        <f t="shared" si="31"/>
        <v>28</v>
      </c>
      <c r="T198" s="40">
        <f t="shared" si="31"/>
        <v>30</v>
      </c>
      <c r="U198" s="40">
        <f t="shared" si="31"/>
        <v>32</v>
      </c>
      <c r="V198" s="40">
        <f t="shared" si="31"/>
        <v>34</v>
      </c>
      <c r="W198" s="40">
        <f t="shared" si="31"/>
        <v>36</v>
      </c>
      <c r="X198" s="40">
        <f t="shared" si="31"/>
        <v>38</v>
      </c>
      <c r="Y198" s="40">
        <f t="shared" si="31"/>
        <v>40</v>
      </c>
      <c r="Z198" s="40">
        <f t="shared" si="31"/>
        <v>42</v>
      </c>
      <c r="AA198" s="40">
        <f t="shared" si="31"/>
        <v>44</v>
      </c>
      <c r="AB198" s="40">
        <f t="shared" si="31"/>
        <v>46</v>
      </c>
      <c r="AC198" s="40">
        <f t="shared" si="31"/>
        <v>48</v>
      </c>
      <c r="AD198" s="40">
        <f t="shared" si="31"/>
        <v>50</v>
      </c>
      <c r="AE198" s="40">
        <f t="shared" si="31"/>
        <v>52</v>
      </c>
      <c r="AF198" s="40">
        <f t="shared" si="31"/>
        <v>54</v>
      </c>
      <c r="AG198" s="40">
        <f t="shared" si="31"/>
        <v>56</v>
      </c>
      <c r="AH198" s="40">
        <f t="shared" si="31"/>
        <v>58</v>
      </c>
      <c r="AI198" s="40">
        <f t="shared" si="31"/>
        <v>60</v>
      </c>
      <c r="AJ198" s="40">
        <f t="shared" si="31"/>
        <v>62</v>
      </c>
      <c r="AK198" s="40">
        <f t="shared" si="31"/>
        <v>2</v>
      </c>
      <c r="AL198" s="40">
        <f t="shared" ref="AL198:BC198" si="32">SUM(AL153:AL197)</f>
        <v>4</v>
      </c>
      <c r="AM198" s="40">
        <f t="shared" si="32"/>
        <v>6</v>
      </c>
      <c r="AN198" s="40">
        <f t="shared" si="32"/>
        <v>8</v>
      </c>
      <c r="AO198" s="40">
        <f t="shared" si="32"/>
        <v>10</v>
      </c>
      <c r="AP198" s="40">
        <f t="shared" si="32"/>
        <v>12</v>
      </c>
      <c r="AQ198" s="40">
        <f t="shared" si="32"/>
        <v>14</v>
      </c>
      <c r="AR198" s="40">
        <f t="shared" si="32"/>
        <v>16</v>
      </c>
      <c r="AS198" s="40">
        <f t="shared" si="32"/>
        <v>18</v>
      </c>
      <c r="AT198" s="40">
        <f t="shared" si="32"/>
        <v>20</v>
      </c>
      <c r="AU198" s="40">
        <f t="shared" si="32"/>
        <v>22</v>
      </c>
      <c r="AV198" s="40">
        <f t="shared" si="32"/>
        <v>24</v>
      </c>
      <c r="AW198" s="40">
        <f t="shared" si="32"/>
        <v>26</v>
      </c>
      <c r="AX198" s="40">
        <f t="shared" si="32"/>
        <v>28</v>
      </c>
      <c r="AY198" s="40">
        <f t="shared" si="32"/>
        <v>30</v>
      </c>
      <c r="AZ198" s="40">
        <f t="shared" si="32"/>
        <v>32</v>
      </c>
      <c r="BA198" s="40">
        <f t="shared" si="32"/>
        <v>34</v>
      </c>
      <c r="BB198" s="40">
        <f t="shared" si="32"/>
        <v>36</v>
      </c>
      <c r="BC198" s="40">
        <f t="shared" si="32"/>
        <v>38</v>
      </c>
      <c r="BD198" s="40">
        <f>SUM(BD192:BD197)</f>
        <v>0</v>
      </c>
      <c r="BE198" s="40">
        <f t="shared" ref="BE198:BT198" si="33">SUM(BE192:BE197)</f>
        <v>8</v>
      </c>
      <c r="BF198" s="40">
        <f t="shared" si="33"/>
        <v>8</v>
      </c>
      <c r="BG198" s="40">
        <f t="shared" si="33"/>
        <v>8</v>
      </c>
      <c r="BH198" s="40">
        <f t="shared" si="33"/>
        <v>8</v>
      </c>
      <c r="BI198" s="40">
        <f t="shared" si="33"/>
        <v>8</v>
      </c>
      <c r="BJ198" s="40">
        <f t="shared" si="33"/>
        <v>8</v>
      </c>
      <c r="BK198" s="40">
        <f t="shared" si="33"/>
        <v>8</v>
      </c>
      <c r="BL198" s="40">
        <f t="shared" si="33"/>
        <v>8</v>
      </c>
      <c r="BM198" s="40">
        <f t="shared" si="33"/>
        <v>0</v>
      </c>
      <c r="BN198" s="40">
        <f t="shared" si="33"/>
        <v>0</v>
      </c>
      <c r="BO198" s="264">
        <f t="shared" si="33"/>
        <v>64</v>
      </c>
      <c r="BP198" s="265">
        <f t="shared" si="33"/>
        <v>147.8125</v>
      </c>
      <c r="BQ198" s="265">
        <f t="shared" si="33"/>
        <v>0.65999999999999992</v>
      </c>
      <c r="BR198" s="265">
        <f t="shared" si="33"/>
        <v>96.174999999999997</v>
      </c>
      <c r="BS198" s="265">
        <f t="shared" si="33"/>
        <v>3077.6</v>
      </c>
      <c r="BT198" s="265">
        <f t="shared" si="33"/>
        <v>2462.08</v>
      </c>
      <c r="BU198" s="43"/>
      <c r="BV198" s="250">
        <f>SUM(BV192:BV197)</f>
        <v>1</v>
      </c>
      <c r="BW198" s="303"/>
      <c r="BX198" s="43"/>
      <c r="BY198" s="305"/>
      <c r="BZ198" s="244"/>
      <c r="CA198" s="245"/>
      <c r="CB198" s="246">
        <f>CB193</f>
        <v>74779</v>
      </c>
      <c r="CC198" s="246">
        <f t="shared" ref="CC198:CE198" si="34">SUM(CC192:CC197)</f>
        <v>0</v>
      </c>
      <c r="CD198" s="247">
        <f t="shared" si="34"/>
        <v>0</v>
      </c>
      <c r="CE198" s="249">
        <f t="shared" si="34"/>
        <v>0</v>
      </c>
      <c r="CF198" s="10"/>
      <c r="CG198" s="247">
        <f t="shared" ref="CG198:CL198" si="35">SUM(CG192:CG197)</f>
        <v>0</v>
      </c>
      <c r="CH198" s="274">
        <f t="shared" si="35"/>
        <v>76.94</v>
      </c>
      <c r="CI198" s="266">
        <f t="shared" si="35"/>
        <v>24</v>
      </c>
      <c r="CJ198" s="274">
        <f t="shared" si="35"/>
        <v>923.28</v>
      </c>
      <c r="CK198" s="266">
        <f t="shared" si="35"/>
        <v>40</v>
      </c>
      <c r="CL198" s="274">
        <f t="shared" si="35"/>
        <v>1538.8</v>
      </c>
      <c r="CM198" s="101" t="b">
        <f>(CJ198+CL198)=BT198</f>
        <v>1</v>
      </c>
    </row>
    <row r="199" spans="1:91" x14ac:dyDescent="0.25">
      <c r="A199" s="32"/>
      <c r="B199" s="183"/>
      <c r="C199" s="184"/>
      <c r="D199" s="185"/>
      <c r="E199" s="218"/>
      <c r="BD199" s="66"/>
      <c r="BE199" s="65"/>
      <c r="BF199" s="65"/>
      <c r="BG199" s="65"/>
      <c r="BH199" s="65"/>
      <c r="BI199" s="65"/>
      <c r="BJ199" s="66"/>
      <c r="BK199" s="66"/>
      <c r="BL199" s="65"/>
      <c r="BM199" s="214"/>
      <c r="BN199" s="214"/>
      <c r="BO199" s="238"/>
      <c r="BP199" s="238"/>
      <c r="BQ199" s="238"/>
      <c r="BR199" s="238"/>
      <c r="BS199" s="238"/>
      <c r="BT199" s="238"/>
      <c r="BV199" s="295"/>
      <c r="BW199" s="300"/>
      <c r="BY199" s="251"/>
      <c r="BZ199" s="252"/>
      <c r="CA199" s="253"/>
      <c r="CB199" s="254"/>
      <c r="CC199" s="254"/>
      <c r="CD199" s="254"/>
      <c r="CE199" s="18"/>
      <c r="CF199" s="10"/>
      <c r="CG199" s="34"/>
      <c r="CH199" s="271"/>
      <c r="CI199" s="267"/>
      <c r="CJ199" s="271"/>
      <c r="CK199" s="267"/>
      <c r="CL199" s="271"/>
    </row>
    <row r="200" spans="1:91" x14ac:dyDescent="0.25">
      <c r="A200" s="32"/>
      <c r="B200" s="93" t="s">
        <v>111</v>
      </c>
      <c r="C200" s="81" t="s">
        <v>112</v>
      </c>
      <c r="D200" s="95" t="s">
        <v>87</v>
      </c>
      <c r="E200" s="219" t="s">
        <v>18</v>
      </c>
      <c r="BD200" s="66"/>
      <c r="BE200" s="65">
        <v>4</v>
      </c>
      <c r="BF200" s="65">
        <v>4</v>
      </c>
      <c r="BG200" s="65">
        <v>4</v>
      </c>
      <c r="BH200" s="65">
        <v>4</v>
      </c>
      <c r="BI200" s="65">
        <v>4</v>
      </c>
      <c r="BJ200" s="65">
        <v>4</v>
      </c>
      <c r="BK200" s="65">
        <v>4</v>
      </c>
      <c r="BL200" s="65">
        <v>4</v>
      </c>
      <c r="BM200" s="214"/>
      <c r="BN200" s="231"/>
      <c r="BO200" s="175">
        <f>SUM(AK200:BN200)</f>
        <v>32</v>
      </c>
      <c r="BP200" s="22">
        <v>121</v>
      </c>
      <c r="BQ200" s="217">
        <v>0.5</v>
      </c>
      <c r="BR200" s="22">
        <f>BP200*(1-BQ200)</f>
        <v>60.5</v>
      </c>
      <c r="BS200" s="22">
        <f>BR200*BO200</f>
        <v>1936</v>
      </c>
      <c r="BT200" s="22">
        <f>BS200*0.8</f>
        <v>1548.8000000000002</v>
      </c>
      <c r="BV200" s="296">
        <f>BT200/BT208</f>
        <v>0.14953040039545229</v>
      </c>
      <c r="BW200" s="301" t="s">
        <v>120</v>
      </c>
      <c r="BY200" s="255"/>
      <c r="BZ200" s="256"/>
      <c r="CA200" s="257"/>
      <c r="CB200" s="88">
        <v>225668</v>
      </c>
      <c r="CC200" s="258"/>
      <c r="CD200" s="258"/>
      <c r="CE200" s="21"/>
      <c r="CF200" s="10"/>
      <c r="CG200" s="38" t="str">
        <f>C200</f>
        <v>FRONTEIRA FM</v>
      </c>
      <c r="CH200" s="272">
        <f>BR200*0.8</f>
        <v>48.400000000000006</v>
      </c>
      <c r="CI200" s="37">
        <f>SUM(AK200:BG200)</f>
        <v>12</v>
      </c>
      <c r="CJ200" s="92">
        <f>CH200*CI200</f>
        <v>580.80000000000007</v>
      </c>
      <c r="CK200" s="37">
        <f>SUM(BH200:BN200)</f>
        <v>20</v>
      </c>
      <c r="CL200" s="92">
        <f>CK200*CH200</f>
        <v>968.00000000000011</v>
      </c>
      <c r="CM200" s="101" t="b">
        <f>(CJ200+CL200)=BT200</f>
        <v>1</v>
      </c>
    </row>
    <row r="201" spans="1:91" x14ac:dyDescent="0.25">
      <c r="A201" s="32"/>
      <c r="B201" s="111"/>
      <c r="C201" s="81"/>
      <c r="D201" s="95"/>
      <c r="E201" s="219"/>
      <c r="BD201" s="66"/>
      <c r="BE201" s="65"/>
      <c r="BF201" s="65"/>
      <c r="BG201" s="65"/>
      <c r="BH201" s="65"/>
      <c r="BI201" s="65"/>
      <c r="BJ201" s="66"/>
      <c r="BK201" s="66"/>
      <c r="BL201" s="65"/>
      <c r="BM201" s="214"/>
      <c r="BN201" s="214"/>
      <c r="BO201" s="239"/>
      <c r="BP201" s="239"/>
      <c r="BQ201" s="239"/>
      <c r="BR201" s="239"/>
      <c r="BS201" s="239"/>
      <c r="BT201" s="239"/>
      <c r="BV201" s="296"/>
      <c r="BW201" s="301"/>
      <c r="BY201" s="255"/>
      <c r="BZ201" s="256"/>
      <c r="CA201" s="257"/>
      <c r="CB201" s="258"/>
      <c r="CC201" s="258"/>
      <c r="CD201" s="258"/>
      <c r="CE201" s="21"/>
      <c r="CF201" s="10"/>
      <c r="CG201" s="38"/>
      <c r="CH201" s="272"/>
      <c r="CJ201" s="272"/>
      <c r="CL201" s="272"/>
    </row>
    <row r="202" spans="1:91" x14ac:dyDescent="0.25">
      <c r="A202" s="32"/>
      <c r="B202" s="111"/>
      <c r="C202" s="81"/>
      <c r="D202" s="95"/>
      <c r="E202" s="219"/>
      <c r="BD202" s="66"/>
      <c r="BE202" s="65"/>
      <c r="BF202" s="65"/>
      <c r="BG202" s="65"/>
      <c r="BH202" s="65"/>
      <c r="BI202" s="65"/>
      <c r="BJ202" s="66"/>
      <c r="BK202" s="66"/>
      <c r="BL202" s="65"/>
      <c r="BM202" s="214"/>
      <c r="BN202" s="214"/>
      <c r="BO202" s="238"/>
      <c r="BP202" s="238"/>
      <c r="BQ202" s="238"/>
      <c r="BR202" s="238"/>
      <c r="BS202" s="238"/>
      <c r="BT202" s="238"/>
      <c r="BV202" s="295"/>
      <c r="BW202" s="300"/>
      <c r="BY202" s="251"/>
      <c r="BZ202" s="252"/>
      <c r="CA202" s="253"/>
      <c r="CB202" s="254"/>
      <c r="CC202" s="254"/>
      <c r="CD202" s="254"/>
      <c r="CE202" s="18"/>
      <c r="CF202" s="10"/>
      <c r="CG202" s="34"/>
      <c r="CH202" s="271"/>
      <c r="CI202" s="267"/>
      <c r="CJ202" s="271"/>
      <c r="CK202" s="267"/>
      <c r="CL202" s="271"/>
    </row>
    <row r="203" spans="1:91" x14ac:dyDescent="0.25">
      <c r="A203" s="32"/>
      <c r="B203" s="111"/>
      <c r="C203" s="81" t="s">
        <v>113</v>
      </c>
      <c r="D203" s="95" t="s">
        <v>87</v>
      </c>
      <c r="E203" s="219" t="s">
        <v>18</v>
      </c>
      <c r="BD203" s="66"/>
      <c r="BE203" s="65">
        <v>4</v>
      </c>
      <c r="BF203" s="65">
        <v>4</v>
      </c>
      <c r="BG203" s="65">
        <v>4</v>
      </c>
      <c r="BH203" s="65">
        <v>4</v>
      </c>
      <c r="BI203" s="65">
        <v>4</v>
      </c>
      <c r="BJ203" s="65">
        <v>4</v>
      </c>
      <c r="BK203" s="65">
        <v>4</v>
      </c>
      <c r="BL203" s="65">
        <v>4</v>
      </c>
      <c r="BM203" s="214"/>
      <c r="BN203" s="214"/>
      <c r="BO203" s="175">
        <f>SUM(AK203:BN203)</f>
        <v>32</v>
      </c>
      <c r="BP203" s="22">
        <v>218.5</v>
      </c>
      <c r="BQ203" s="217">
        <v>0.5</v>
      </c>
      <c r="BR203" s="22">
        <f>BP203*(1-BQ203)</f>
        <v>109.25</v>
      </c>
      <c r="BS203" s="22">
        <f>BR203*BO203</f>
        <v>3496</v>
      </c>
      <c r="BT203" s="22">
        <f>BS203*0.8</f>
        <v>2796.8</v>
      </c>
      <c r="BV203" s="296">
        <f>BT203/BT208</f>
        <v>0.27001977261492827</v>
      </c>
      <c r="BW203" s="301" t="s">
        <v>119</v>
      </c>
      <c r="BY203" s="255"/>
      <c r="BZ203" s="256"/>
      <c r="CA203" s="257"/>
      <c r="CB203" s="88">
        <v>225668</v>
      </c>
      <c r="CC203" s="258"/>
      <c r="CD203" s="258"/>
      <c r="CE203" s="21"/>
      <c r="CF203" s="10"/>
      <c r="CG203" s="38" t="str">
        <f>C203</f>
        <v>RÁDIO 98,1</v>
      </c>
      <c r="CH203" s="272">
        <f>BR203*0.8</f>
        <v>87.4</v>
      </c>
      <c r="CI203" s="37">
        <f>SUM(AK203:BG203)</f>
        <v>12</v>
      </c>
      <c r="CJ203" s="92">
        <f>CH203*CI203</f>
        <v>1048.8000000000002</v>
      </c>
      <c r="CK203" s="37">
        <f>SUM(BH203:BN203)</f>
        <v>20</v>
      </c>
      <c r="CL203" s="92">
        <f>CK203*CH203</f>
        <v>1748</v>
      </c>
      <c r="CM203" s="101" t="b">
        <f>(CJ203+CL203)=BT203</f>
        <v>1</v>
      </c>
    </row>
    <row r="204" spans="1:91" x14ac:dyDescent="0.25">
      <c r="A204" s="32"/>
      <c r="B204" s="111"/>
      <c r="C204" s="81"/>
      <c r="D204" s="95"/>
      <c r="E204" s="219"/>
      <c r="BD204" s="66"/>
      <c r="BE204" s="65"/>
      <c r="BF204" s="65"/>
      <c r="BG204" s="65"/>
      <c r="BH204" s="65"/>
      <c r="BI204" s="65"/>
      <c r="BJ204" s="66"/>
      <c r="BK204" s="66"/>
      <c r="BL204" s="65"/>
      <c r="BM204" s="214"/>
      <c r="BN204" s="214"/>
      <c r="BO204" s="239"/>
      <c r="BP204" s="239"/>
      <c r="BQ204" s="239"/>
      <c r="BR204" s="239"/>
      <c r="BS204" s="239"/>
      <c r="BT204" s="239"/>
      <c r="BV204" s="297"/>
      <c r="BW204" s="302"/>
      <c r="BY204" s="259"/>
      <c r="BZ204" s="260"/>
      <c r="CA204" s="263"/>
      <c r="CB204" s="261"/>
      <c r="CC204" s="261"/>
      <c r="CD204" s="261"/>
      <c r="CE204" s="114"/>
      <c r="CF204" s="10"/>
      <c r="CG204" s="268"/>
      <c r="CH204" s="273"/>
      <c r="CI204" s="269"/>
      <c r="CJ204" s="273"/>
      <c r="CK204" s="269"/>
      <c r="CL204" s="273"/>
    </row>
    <row r="205" spans="1:91" s="152" customFormat="1" ht="16.05" customHeight="1" x14ac:dyDescent="0.3">
      <c r="A205" s="43"/>
      <c r="B205" s="111"/>
      <c r="C205" s="81"/>
      <c r="D205" s="95"/>
      <c r="E205" s="219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66"/>
      <c r="BE205" s="65"/>
      <c r="BF205" s="65"/>
      <c r="BG205" s="65"/>
      <c r="BH205" s="65"/>
      <c r="BI205" s="65"/>
      <c r="BJ205" s="66"/>
      <c r="BK205" s="66"/>
      <c r="BL205" s="65"/>
      <c r="BM205" s="214"/>
      <c r="BN205" s="214"/>
      <c r="BO205" s="241"/>
      <c r="BP205" s="241"/>
      <c r="BQ205" s="241"/>
      <c r="BR205" s="241"/>
      <c r="BS205" s="241"/>
      <c r="BT205" s="241"/>
      <c r="BU205"/>
      <c r="BV205" s="298"/>
      <c r="BW205" s="304"/>
      <c r="BX205"/>
      <c r="BY205" s="241"/>
      <c r="BZ205" s="241"/>
      <c r="CA205" s="241"/>
      <c r="CB205" s="241"/>
      <c r="CC205" s="241"/>
      <c r="CD205" s="241"/>
      <c r="CE205" s="241"/>
      <c r="CF205"/>
      <c r="CG205" s="270"/>
      <c r="CH205" s="275"/>
      <c r="CI205"/>
      <c r="CJ205" s="275"/>
      <c r="CK205"/>
      <c r="CL205" s="275"/>
      <c r="CM205"/>
    </row>
    <row r="206" spans="1:91" ht="16.05" customHeight="1" x14ac:dyDescent="0.25">
      <c r="B206" s="111"/>
      <c r="C206" s="81" t="s">
        <v>114</v>
      </c>
      <c r="D206" s="95" t="s">
        <v>87</v>
      </c>
      <c r="E206" s="219" t="s">
        <v>18</v>
      </c>
      <c r="BD206" s="66"/>
      <c r="BE206" s="65">
        <v>4</v>
      </c>
      <c r="BF206" s="65">
        <v>4</v>
      </c>
      <c r="BG206" s="65">
        <v>4</v>
      </c>
      <c r="BH206" s="65">
        <v>4</v>
      </c>
      <c r="BI206" s="65">
        <v>4</v>
      </c>
      <c r="BJ206" s="65">
        <v>4</v>
      </c>
      <c r="BK206" s="65">
        <v>4</v>
      </c>
      <c r="BL206" s="65">
        <v>4</v>
      </c>
      <c r="BM206" s="214"/>
      <c r="BN206" s="214"/>
      <c r="BO206" s="175">
        <f>SUM(AK206:BN206)</f>
        <v>32</v>
      </c>
      <c r="BP206" s="22">
        <v>427</v>
      </c>
      <c r="BQ206" s="217">
        <v>0.45</v>
      </c>
      <c r="BR206" s="22">
        <f>BP206*(1-BQ206)</f>
        <v>234.85000000000002</v>
      </c>
      <c r="BS206" s="22">
        <f>BR206*BO206</f>
        <v>7515.2000000000007</v>
      </c>
      <c r="BT206" s="22">
        <f>BS206*0.8</f>
        <v>6012.1600000000008</v>
      </c>
      <c r="BV206" s="296">
        <f>BT206/BT208</f>
        <v>0.58044982698961933</v>
      </c>
      <c r="BW206" s="301" t="s">
        <v>120</v>
      </c>
      <c r="BY206" s="255"/>
      <c r="BZ206" s="256"/>
      <c r="CA206" s="257"/>
      <c r="CB206" s="88">
        <v>225668</v>
      </c>
      <c r="CC206" s="258"/>
      <c r="CD206" s="258"/>
      <c r="CE206" s="240"/>
      <c r="CG206" s="38" t="str">
        <f>C206</f>
        <v>101 FM</v>
      </c>
      <c r="CH206" s="272">
        <f>BR206*0.8</f>
        <v>187.88000000000002</v>
      </c>
      <c r="CI206" s="37">
        <f>SUM(AK206:BG206)</f>
        <v>12</v>
      </c>
      <c r="CJ206" s="92">
        <f>CH206*CI206</f>
        <v>2254.5600000000004</v>
      </c>
      <c r="CK206" s="37">
        <f>SUM(BH206:BN206)</f>
        <v>20</v>
      </c>
      <c r="CL206" s="92">
        <f>CK206*CH206</f>
        <v>3757.6000000000004</v>
      </c>
      <c r="CM206" s="101" t="b">
        <f>(CJ206+CL206)=BT206</f>
        <v>1</v>
      </c>
    </row>
    <row r="207" spans="1:91" x14ac:dyDescent="0.25">
      <c r="B207" s="111"/>
      <c r="C207" s="95"/>
      <c r="D207" s="95"/>
      <c r="E207" s="219"/>
      <c r="BD207" s="66"/>
      <c r="BE207" s="65"/>
      <c r="BF207" s="65"/>
      <c r="BG207" s="65"/>
      <c r="BH207" s="65"/>
      <c r="BI207" s="65"/>
      <c r="BJ207" s="66"/>
      <c r="BK207" s="66"/>
      <c r="BL207" s="65"/>
      <c r="BM207" s="214"/>
      <c r="BN207" s="214"/>
      <c r="BO207" s="239"/>
      <c r="BP207" s="239"/>
      <c r="BQ207" s="239"/>
      <c r="BR207" s="239"/>
      <c r="BS207" s="239"/>
      <c r="BT207" s="242"/>
      <c r="BV207" s="297"/>
      <c r="BW207" s="302"/>
      <c r="BY207" s="259"/>
      <c r="BZ207" s="260"/>
      <c r="CA207" s="261"/>
      <c r="CB207" s="261"/>
      <c r="CC207" s="239"/>
      <c r="CD207" s="239"/>
      <c r="CE207" s="262"/>
      <c r="CF207" s="243"/>
      <c r="CG207" s="268"/>
      <c r="CH207" s="273"/>
      <c r="CI207" s="269"/>
      <c r="CJ207" s="273"/>
      <c r="CK207" s="269"/>
      <c r="CL207" s="273"/>
    </row>
    <row r="208" spans="1:91" x14ac:dyDescent="0.25">
      <c r="B208" s="25" t="s">
        <v>115</v>
      </c>
      <c r="C208" s="139"/>
      <c r="D208" s="139"/>
      <c r="E208" s="220"/>
      <c r="BD208" s="40">
        <f>SUM(BD199:BD207)</f>
        <v>0</v>
      </c>
      <c r="BE208" s="40">
        <f t="shared" ref="BE208:BT208" si="36">SUM(BE199:BE207)</f>
        <v>12</v>
      </c>
      <c r="BF208" s="40">
        <f t="shared" si="36"/>
        <v>12</v>
      </c>
      <c r="BG208" s="40">
        <f t="shared" si="36"/>
        <v>12</v>
      </c>
      <c r="BH208" s="40">
        <f t="shared" si="36"/>
        <v>12</v>
      </c>
      <c r="BI208" s="40">
        <f t="shared" si="36"/>
        <v>12</v>
      </c>
      <c r="BJ208" s="40">
        <f t="shared" si="36"/>
        <v>12</v>
      </c>
      <c r="BK208" s="40">
        <f t="shared" si="36"/>
        <v>12</v>
      </c>
      <c r="BL208" s="40">
        <f t="shared" si="36"/>
        <v>12</v>
      </c>
      <c r="BM208" s="40">
        <f t="shared" si="36"/>
        <v>0</v>
      </c>
      <c r="BN208" s="40">
        <f t="shared" si="36"/>
        <v>0</v>
      </c>
      <c r="BO208" s="181">
        <f t="shared" si="36"/>
        <v>96</v>
      </c>
      <c r="BP208" s="141">
        <f t="shared" si="36"/>
        <v>766.5</v>
      </c>
      <c r="BQ208" s="141">
        <f t="shared" si="36"/>
        <v>1.45</v>
      </c>
      <c r="BR208" s="141">
        <f t="shared" si="36"/>
        <v>404.6</v>
      </c>
      <c r="BS208" s="141">
        <f t="shared" si="36"/>
        <v>12947.2</v>
      </c>
      <c r="BT208" s="141">
        <f t="shared" si="36"/>
        <v>10357.760000000002</v>
      </c>
      <c r="BV208" s="299">
        <f t="shared" ref="BV208:BW208" si="37">SUM(BV199:BV207)</f>
        <v>0.99999999999999989</v>
      </c>
      <c r="BW208" s="299">
        <f t="shared" si="37"/>
        <v>0</v>
      </c>
      <c r="BX208" s="43"/>
      <c r="BY208" s="305"/>
      <c r="BZ208" s="144"/>
      <c r="CA208" s="145"/>
      <c r="CB208" s="146">
        <f>CB206</f>
        <v>225668</v>
      </c>
      <c r="CC208" s="146">
        <f t="shared" ref="CC208" si="38">SUM(CC199:CC207)</f>
        <v>0</v>
      </c>
      <c r="CD208" s="148">
        <f t="shared" ref="CD208" si="39">SUM(CD199:CD207)</f>
        <v>0</v>
      </c>
      <c r="CE208" s="248">
        <f t="shared" ref="CE208" si="40">SUM(CE199:CE207)</f>
        <v>0</v>
      </c>
      <c r="CF208" s="10"/>
      <c r="CG208" s="148">
        <f t="shared" ref="CG208" si="41">SUM(CG199:CG207)</f>
        <v>0</v>
      </c>
      <c r="CH208" s="150">
        <f t="shared" ref="CH208" si="42">SUM(CH199:CH207)</f>
        <v>323.68000000000006</v>
      </c>
      <c r="CI208" s="182">
        <f t="shared" ref="CI208" si="43">SUM(CI199:CI207)</f>
        <v>36</v>
      </c>
      <c r="CJ208" s="276">
        <f t="shared" ref="CJ208" si="44">SUM(CJ199:CJ207)</f>
        <v>3884.1600000000008</v>
      </c>
      <c r="CK208" s="182">
        <f t="shared" ref="CK208" si="45">SUM(CK199:CK207)</f>
        <v>60</v>
      </c>
      <c r="CL208" s="276">
        <f t="shared" ref="CL208" si="46">SUM(CL199:CL207)</f>
        <v>6473.6</v>
      </c>
      <c r="CM208" s="101" t="b">
        <f>(CJ208+CL208)=BT208</f>
        <v>1</v>
      </c>
    </row>
    <row r="209" spans="1:91" x14ac:dyDescent="0.25">
      <c r="BS209" s="212"/>
      <c r="BT209" s="212"/>
      <c r="BV209" s="212"/>
      <c r="BW209" s="212"/>
      <c r="BZ209" s="213"/>
      <c r="CD209" s="211"/>
    </row>
    <row r="210" spans="1:91" s="294" customFormat="1" ht="11.4" x14ac:dyDescent="0.2">
      <c r="A210" s="277"/>
      <c r="B210" s="278" t="s">
        <v>116</v>
      </c>
      <c r="C210" s="279"/>
      <c r="D210" s="279"/>
      <c r="E210" s="279"/>
      <c r="F210" s="280">
        <f t="shared" ref="F210:BC210" si="47">SUM(F163:F209)</f>
        <v>4</v>
      </c>
      <c r="G210" s="280">
        <f t="shared" si="47"/>
        <v>8</v>
      </c>
      <c r="H210" s="280">
        <f t="shared" si="47"/>
        <v>12</v>
      </c>
      <c r="I210" s="280">
        <f t="shared" si="47"/>
        <v>16</v>
      </c>
      <c r="J210" s="280">
        <f t="shared" si="47"/>
        <v>20</v>
      </c>
      <c r="K210" s="280">
        <f t="shared" si="47"/>
        <v>24</v>
      </c>
      <c r="L210" s="280">
        <f t="shared" si="47"/>
        <v>28</v>
      </c>
      <c r="M210" s="280">
        <f t="shared" si="47"/>
        <v>32</v>
      </c>
      <c r="N210" s="280">
        <f t="shared" si="47"/>
        <v>36</v>
      </c>
      <c r="O210" s="280">
        <f t="shared" si="47"/>
        <v>40</v>
      </c>
      <c r="P210" s="280">
        <f t="shared" si="47"/>
        <v>44</v>
      </c>
      <c r="Q210" s="280">
        <f t="shared" si="47"/>
        <v>48</v>
      </c>
      <c r="R210" s="280">
        <f t="shared" si="47"/>
        <v>52</v>
      </c>
      <c r="S210" s="280">
        <f t="shared" si="47"/>
        <v>56</v>
      </c>
      <c r="T210" s="280">
        <f t="shared" si="47"/>
        <v>60</v>
      </c>
      <c r="U210" s="280">
        <f t="shared" si="47"/>
        <v>64</v>
      </c>
      <c r="V210" s="280">
        <f t="shared" si="47"/>
        <v>68</v>
      </c>
      <c r="W210" s="280">
        <f t="shared" si="47"/>
        <v>72</v>
      </c>
      <c r="X210" s="280">
        <f t="shared" si="47"/>
        <v>76</v>
      </c>
      <c r="Y210" s="280">
        <f t="shared" si="47"/>
        <v>80</v>
      </c>
      <c r="Z210" s="280">
        <f t="shared" si="47"/>
        <v>84</v>
      </c>
      <c r="AA210" s="280">
        <f t="shared" si="47"/>
        <v>88</v>
      </c>
      <c r="AB210" s="280">
        <f t="shared" si="47"/>
        <v>92</v>
      </c>
      <c r="AC210" s="280">
        <f t="shared" si="47"/>
        <v>96</v>
      </c>
      <c r="AD210" s="280">
        <f t="shared" si="47"/>
        <v>100</v>
      </c>
      <c r="AE210" s="280">
        <f t="shared" si="47"/>
        <v>104</v>
      </c>
      <c r="AF210" s="280">
        <f t="shared" si="47"/>
        <v>108</v>
      </c>
      <c r="AG210" s="280">
        <f t="shared" si="47"/>
        <v>112</v>
      </c>
      <c r="AH210" s="280">
        <f t="shared" si="47"/>
        <v>116</v>
      </c>
      <c r="AI210" s="280">
        <f t="shared" si="47"/>
        <v>120</v>
      </c>
      <c r="AJ210" s="280">
        <f t="shared" si="47"/>
        <v>124</v>
      </c>
      <c r="AK210" s="280">
        <f t="shared" si="47"/>
        <v>4</v>
      </c>
      <c r="AL210" s="280">
        <f t="shared" si="47"/>
        <v>8</v>
      </c>
      <c r="AM210" s="280">
        <f t="shared" si="47"/>
        <v>12</v>
      </c>
      <c r="AN210" s="280">
        <f t="shared" si="47"/>
        <v>16</v>
      </c>
      <c r="AO210" s="280">
        <f t="shared" si="47"/>
        <v>20</v>
      </c>
      <c r="AP210" s="280">
        <f t="shared" si="47"/>
        <v>24</v>
      </c>
      <c r="AQ210" s="280">
        <f t="shared" si="47"/>
        <v>28</v>
      </c>
      <c r="AR210" s="280">
        <f t="shared" si="47"/>
        <v>32</v>
      </c>
      <c r="AS210" s="280">
        <f t="shared" si="47"/>
        <v>36</v>
      </c>
      <c r="AT210" s="280">
        <f t="shared" si="47"/>
        <v>40</v>
      </c>
      <c r="AU210" s="280">
        <f t="shared" si="47"/>
        <v>44</v>
      </c>
      <c r="AV210" s="280">
        <f t="shared" si="47"/>
        <v>48</v>
      </c>
      <c r="AW210" s="280">
        <f t="shared" si="47"/>
        <v>52</v>
      </c>
      <c r="AX210" s="280">
        <f t="shared" si="47"/>
        <v>56</v>
      </c>
      <c r="AY210" s="280">
        <f t="shared" si="47"/>
        <v>60</v>
      </c>
      <c r="AZ210" s="280">
        <f t="shared" si="47"/>
        <v>64</v>
      </c>
      <c r="BA210" s="280">
        <f t="shared" si="47"/>
        <v>68</v>
      </c>
      <c r="BB210" s="280">
        <f t="shared" si="47"/>
        <v>72</v>
      </c>
      <c r="BC210" s="280">
        <f t="shared" si="47"/>
        <v>76</v>
      </c>
      <c r="BD210" s="280">
        <f>BD208+BD198+BD191+BD81+BD29</f>
        <v>0</v>
      </c>
      <c r="BE210" s="280">
        <f t="shared" ref="BE210:BT210" si="48">BE208+BE198+BE191+BE81+BE29</f>
        <v>94</v>
      </c>
      <c r="BF210" s="280">
        <f t="shared" si="48"/>
        <v>94</v>
      </c>
      <c r="BG210" s="280">
        <f t="shared" si="48"/>
        <v>94</v>
      </c>
      <c r="BH210" s="280">
        <f t="shared" si="48"/>
        <v>91</v>
      </c>
      <c r="BI210" s="280">
        <f t="shared" si="48"/>
        <v>91</v>
      </c>
      <c r="BJ210" s="280">
        <f t="shared" si="48"/>
        <v>88</v>
      </c>
      <c r="BK210" s="280">
        <f t="shared" si="48"/>
        <v>88</v>
      </c>
      <c r="BL210" s="280">
        <f t="shared" si="48"/>
        <v>91</v>
      </c>
      <c r="BM210" s="280">
        <f t="shared" si="48"/>
        <v>0</v>
      </c>
      <c r="BN210" s="280">
        <f t="shared" si="48"/>
        <v>0</v>
      </c>
      <c r="BO210" s="281">
        <f t="shared" si="48"/>
        <v>731</v>
      </c>
      <c r="BP210" s="282"/>
      <c r="BQ210" s="282"/>
      <c r="BR210" s="282"/>
      <c r="BS210" s="282">
        <f t="shared" si="48"/>
        <v>930573.28915999993</v>
      </c>
      <c r="BT210" s="282">
        <f t="shared" si="48"/>
        <v>744458.63132799999</v>
      </c>
      <c r="BU210" s="283"/>
      <c r="BV210" s="284"/>
      <c r="BW210" s="284"/>
      <c r="BX210" s="283"/>
      <c r="BY210" s="285"/>
      <c r="BZ210" s="286"/>
      <c r="CA210" s="287"/>
      <c r="CB210" s="288">
        <f>CB208+CB198+CB191+CB81</f>
        <v>11896847</v>
      </c>
      <c r="CC210" s="288">
        <f t="shared" ref="CC210" si="49">CC208+CC198+CC191+CC81+CC29</f>
        <v>0</v>
      </c>
      <c r="CD210" s="289">
        <f>CD208+CD198+CD191+CD81+CD29</f>
        <v>50266046.884100005</v>
      </c>
      <c r="CE210" s="290">
        <f>BT210/CD210*1000</f>
        <v>14.810367583600149</v>
      </c>
      <c r="CF210" s="291"/>
      <c r="CG210" s="289">
        <f t="shared" ref="CG210:CL210" si="50">CG208+CG198+CG191+CG81+CG29</f>
        <v>0</v>
      </c>
      <c r="CH210" s="292">
        <f t="shared" si="50"/>
        <v>464.62000000000006</v>
      </c>
      <c r="CI210" s="293">
        <f t="shared" si="50"/>
        <v>282</v>
      </c>
      <c r="CJ210" s="292">
        <f t="shared" si="50"/>
        <v>293085.23674800002</v>
      </c>
      <c r="CK210" s="293">
        <f t="shared" si="50"/>
        <v>34870</v>
      </c>
      <c r="CL210" s="292">
        <f t="shared" si="50"/>
        <v>451373.39457999996</v>
      </c>
      <c r="CM210" s="101" t="b">
        <f>(CJ210+CL210)=BT210</f>
        <v>1</v>
      </c>
    </row>
    <row r="211" spans="1:91" x14ac:dyDescent="0.25">
      <c r="CD211" s="211"/>
    </row>
    <row r="212" spans="1:91" x14ac:dyDescent="0.25">
      <c r="CD212" s="211"/>
    </row>
    <row r="213" spans="1:91" x14ac:dyDescent="0.25">
      <c r="CD213" s="211"/>
    </row>
    <row r="214" spans="1:91" x14ac:dyDescent="0.25">
      <c r="CD214" s="211"/>
    </row>
    <row r="215" spans="1:91" x14ac:dyDescent="0.25">
      <c r="CD215" s="211"/>
    </row>
    <row r="216" spans="1:91" x14ac:dyDescent="0.25">
      <c r="CD216" s="211"/>
    </row>
    <row r="217" spans="1:91" x14ac:dyDescent="0.25">
      <c r="B217" s="25" t="s">
        <v>116</v>
      </c>
      <c r="C217" s="139"/>
      <c r="D217" s="139"/>
      <c r="E217" s="139"/>
      <c r="CD217" s="211"/>
    </row>
    <row r="218" spans="1:91" x14ac:dyDescent="0.25">
      <c r="CD218" s="211"/>
    </row>
    <row r="219" spans="1:91" x14ac:dyDescent="0.25">
      <c r="CD219" s="211"/>
    </row>
    <row r="220" spans="1:91" x14ac:dyDescent="0.25">
      <c r="CD220" s="211"/>
    </row>
    <row r="221" spans="1:91" x14ac:dyDescent="0.25">
      <c r="CD221" s="211"/>
    </row>
    <row r="222" spans="1:91" x14ac:dyDescent="0.25">
      <c r="CD222" s="211"/>
    </row>
    <row r="223" spans="1:91" x14ac:dyDescent="0.25">
      <c r="CD223" s="211"/>
    </row>
    <row r="224" spans="1:91" x14ac:dyDescent="0.25">
      <c r="CD224" s="211"/>
    </row>
    <row r="225" spans="82:82" x14ac:dyDescent="0.25">
      <c r="CD225" s="211"/>
    </row>
    <row r="226" spans="82:82" x14ac:dyDescent="0.25">
      <c r="CD226" s="211"/>
    </row>
    <row r="227" spans="82:82" x14ac:dyDescent="0.25">
      <c r="CD227" s="211"/>
    </row>
    <row r="228" spans="82:82" x14ac:dyDescent="0.25">
      <c r="CD228" s="211"/>
    </row>
    <row r="229" spans="82:82" x14ac:dyDescent="0.25">
      <c r="CD229" s="211"/>
    </row>
    <row r="230" spans="82:82" x14ac:dyDescent="0.25">
      <c r="CD230" s="211"/>
    </row>
    <row r="231" spans="82:82" x14ac:dyDescent="0.25">
      <c r="CD231" s="211"/>
    </row>
    <row r="232" spans="82:82" x14ac:dyDescent="0.25">
      <c r="CD232" s="211"/>
    </row>
    <row r="233" spans="82:82" x14ac:dyDescent="0.25">
      <c r="CD233" s="211"/>
    </row>
    <row r="234" spans="82:82" x14ac:dyDescent="0.25">
      <c r="CD234" s="211"/>
    </row>
    <row r="235" spans="82:82" x14ac:dyDescent="0.25">
      <c r="CD235" s="211"/>
    </row>
    <row r="236" spans="82:82" x14ac:dyDescent="0.25">
      <c r="CD236" s="211"/>
    </row>
    <row r="237" spans="82:82" x14ac:dyDescent="0.25">
      <c r="CD237" s="211"/>
    </row>
    <row r="238" spans="82:82" x14ac:dyDescent="0.25">
      <c r="CD238" s="211"/>
    </row>
    <row r="239" spans="82:82" x14ac:dyDescent="0.25">
      <c r="CD239" s="211"/>
    </row>
    <row r="240" spans="82:82" x14ac:dyDescent="0.25">
      <c r="CD240" s="211"/>
    </row>
    <row r="241" spans="82:82" x14ac:dyDescent="0.25">
      <c r="CD241" s="211"/>
    </row>
    <row r="242" spans="82:82" x14ac:dyDescent="0.25">
      <c r="CD242" s="211"/>
    </row>
    <row r="243" spans="82:82" x14ac:dyDescent="0.25">
      <c r="CD243" s="211"/>
    </row>
    <row r="244" spans="82:82" x14ac:dyDescent="0.25">
      <c r="CD244" s="211"/>
    </row>
    <row r="245" spans="82:82" x14ac:dyDescent="0.25">
      <c r="CD245" s="211"/>
    </row>
    <row r="246" spans="82:82" x14ac:dyDescent="0.25">
      <c r="CD246" s="211"/>
    </row>
    <row r="247" spans="82:82" x14ac:dyDescent="0.25">
      <c r="CD247" s="211"/>
    </row>
    <row r="248" spans="82:82" x14ac:dyDescent="0.25">
      <c r="CD248" s="211"/>
    </row>
    <row r="249" spans="82:82" x14ac:dyDescent="0.25">
      <c r="CD249" s="211"/>
    </row>
    <row r="250" spans="82:82" x14ac:dyDescent="0.25">
      <c r="CD250" s="211"/>
    </row>
    <row r="251" spans="82:82" x14ac:dyDescent="0.25">
      <c r="CD251" s="211"/>
    </row>
    <row r="252" spans="82:82" x14ac:dyDescent="0.25">
      <c r="CD252" s="211"/>
    </row>
    <row r="253" spans="82:82" x14ac:dyDescent="0.25">
      <c r="CD253" s="211"/>
    </row>
    <row r="254" spans="82:82" x14ac:dyDescent="0.25">
      <c r="CD254" s="211"/>
    </row>
    <row r="255" spans="82:82" x14ac:dyDescent="0.25">
      <c r="CD255" s="211"/>
    </row>
    <row r="256" spans="82:82" x14ac:dyDescent="0.25">
      <c r="CD256" s="211"/>
    </row>
    <row r="257" spans="82:82" x14ac:dyDescent="0.25">
      <c r="CD257" s="211"/>
    </row>
    <row r="258" spans="82:82" x14ac:dyDescent="0.25">
      <c r="CD258" s="211"/>
    </row>
    <row r="259" spans="82:82" x14ac:dyDescent="0.25">
      <c r="CD259" s="211"/>
    </row>
    <row r="260" spans="82:82" x14ac:dyDescent="0.25">
      <c r="CD260" s="211"/>
    </row>
    <row r="261" spans="82:82" x14ac:dyDescent="0.25">
      <c r="CD261" s="211"/>
    </row>
    <row r="262" spans="82:82" x14ac:dyDescent="0.25">
      <c r="CD262" s="211"/>
    </row>
    <row r="263" spans="82:82" x14ac:dyDescent="0.25">
      <c r="CD263" s="211"/>
    </row>
    <row r="264" spans="82:82" x14ac:dyDescent="0.25">
      <c r="CD264" s="211"/>
    </row>
    <row r="265" spans="82:82" x14ac:dyDescent="0.25">
      <c r="CD265" s="211"/>
    </row>
    <row r="266" spans="82:82" x14ac:dyDescent="0.25">
      <c r="CD266" s="211"/>
    </row>
    <row r="267" spans="82:82" x14ac:dyDescent="0.25">
      <c r="CD267" s="211"/>
    </row>
    <row r="268" spans="82:82" x14ac:dyDescent="0.25">
      <c r="CD268" s="211"/>
    </row>
    <row r="269" spans="82:82" x14ac:dyDescent="0.25">
      <c r="CD269" s="211"/>
    </row>
    <row r="270" spans="82:82" x14ac:dyDescent="0.25">
      <c r="CD270" s="211"/>
    </row>
    <row r="271" spans="82:82" x14ac:dyDescent="0.25">
      <c r="CD271" s="211"/>
    </row>
    <row r="272" spans="82:82" x14ac:dyDescent="0.25">
      <c r="CD272" s="211"/>
    </row>
    <row r="273" spans="82:82" x14ac:dyDescent="0.25">
      <c r="CD273" s="211"/>
    </row>
    <row r="274" spans="82:82" x14ac:dyDescent="0.25">
      <c r="CD274" s="211"/>
    </row>
    <row r="275" spans="82:82" x14ac:dyDescent="0.25">
      <c r="CD275" s="211"/>
    </row>
    <row r="276" spans="82:82" x14ac:dyDescent="0.25">
      <c r="CD276" s="211"/>
    </row>
    <row r="277" spans="82:82" x14ac:dyDescent="0.25">
      <c r="CD277" s="211"/>
    </row>
    <row r="278" spans="82:82" x14ac:dyDescent="0.25">
      <c r="CD278" s="211"/>
    </row>
    <row r="279" spans="82:82" x14ac:dyDescent="0.25">
      <c r="CD279" s="211"/>
    </row>
    <row r="280" spans="82:82" x14ac:dyDescent="0.25">
      <c r="CD280" s="211"/>
    </row>
    <row r="281" spans="82:82" x14ac:dyDescent="0.25">
      <c r="CD281" s="211"/>
    </row>
    <row r="282" spans="82:82" x14ac:dyDescent="0.25">
      <c r="CD282" s="211"/>
    </row>
    <row r="283" spans="82:82" x14ac:dyDescent="0.25">
      <c r="CD283" s="211"/>
    </row>
    <row r="284" spans="82:82" x14ac:dyDescent="0.25">
      <c r="CD284" s="211"/>
    </row>
    <row r="285" spans="82:82" x14ac:dyDescent="0.25">
      <c r="CD285" s="211"/>
    </row>
    <row r="286" spans="82:82" x14ac:dyDescent="0.25">
      <c r="CD286" s="211"/>
    </row>
    <row r="287" spans="82:82" x14ac:dyDescent="0.25">
      <c r="CD287" s="211"/>
    </row>
    <row r="288" spans="82:82" x14ac:dyDescent="0.25">
      <c r="CD288" s="211"/>
    </row>
    <row r="289" spans="82:82" x14ac:dyDescent="0.25">
      <c r="CD289" s="211"/>
    </row>
    <row r="290" spans="82:82" x14ac:dyDescent="0.25">
      <c r="CD290" s="211"/>
    </row>
    <row r="291" spans="82:82" x14ac:dyDescent="0.25">
      <c r="CD291" s="211"/>
    </row>
    <row r="292" spans="82:82" x14ac:dyDescent="0.25">
      <c r="CD292" s="211"/>
    </row>
    <row r="293" spans="82:82" x14ac:dyDescent="0.25">
      <c r="CD293" s="211"/>
    </row>
    <row r="294" spans="82:82" x14ac:dyDescent="0.25">
      <c r="CD294" s="211"/>
    </row>
    <row r="295" spans="82:82" x14ac:dyDescent="0.25">
      <c r="CD295" s="211"/>
    </row>
    <row r="296" spans="82:82" x14ac:dyDescent="0.25">
      <c r="CD296" s="211"/>
    </row>
    <row r="297" spans="82:82" x14ac:dyDescent="0.25">
      <c r="CD297" s="211"/>
    </row>
    <row r="298" spans="82:82" x14ac:dyDescent="0.25">
      <c r="CD298" s="211"/>
    </row>
    <row r="299" spans="82:82" x14ac:dyDescent="0.25">
      <c r="CD299" s="211"/>
    </row>
    <row r="300" spans="82:82" x14ac:dyDescent="0.25">
      <c r="CD300" s="211"/>
    </row>
    <row r="301" spans="82:82" x14ac:dyDescent="0.25">
      <c r="CD301" s="211"/>
    </row>
    <row r="302" spans="82:82" x14ac:dyDescent="0.25">
      <c r="CD302" s="211"/>
    </row>
    <row r="303" spans="82:82" x14ac:dyDescent="0.25">
      <c r="CD303" s="211"/>
    </row>
    <row r="304" spans="82:82" x14ac:dyDescent="0.25">
      <c r="CD304" s="211"/>
    </row>
    <row r="305" spans="82:82" x14ac:dyDescent="0.25">
      <c r="CD305" s="211"/>
    </row>
    <row r="306" spans="82:82" x14ac:dyDescent="0.25">
      <c r="CD306" s="211"/>
    </row>
    <row r="307" spans="82:82" x14ac:dyDescent="0.25">
      <c r="CD307" s="211"/>
    </row>
    <row r="308" spans="82:82" x14ac:dyDescent="0.25">
      <c r="CD308" s="211"/>
    </row>
    <row r="309" spans="82:82" x14ac:dyDescent="0.25">
      <c r="CD309" s="211"/>
    </row>
    <row r="310" spans="82:82" x14ac:dyDescent="0.25">
      <c r="CD310" s="211"/>
    </row>
    <row r="311" spans="82:82" x14ac:dyDescent="0.25">
      <c r="CD311" s="211"/>
    </row>
    <row r="312" spans="82:82" x14ac:dyDescent="0.25">
      <c r="CD312" s="211"/>
    </row>
    <row r="313" spans="82:82" x14ac:dyDescent="0.25">
      <c r="CD313" s="211"/>
    </row>
    <row r="314" spans="82:82" x14ac:dyDescent="0.25">
      <c r="CD314" s="211"/>
    </row>
    <row r="315" spans="82:82" x14ac:dyDescent="0.25">
      <c r="CD315" s="211"/>
    </row>
    <row r="316" spans="82:82" x14ac:dyDescent="0.25">
      <c r="CD316" s="211"/>
    </row>
    <row r="317" spans="82:82" x14ac:dyDescent="0.25">
      <c r="CD317" s="211"/>
    </row>
    <row r="318" spans="82:82" x14ac:dyDescent="0.25">
      <c r="CD318" s="211"/>
    </row>
    <row r="319" spans="82:82" x14ac:dyDescent="0.25">
      <c r="CD319" s="211"/>
    </row>
    <row r="320" spans="82:82" x14ac:dyDescent="0.25">
      <c r="CD320" s="211"/>
    </row>
    <row r="321" spans="82:82" x14ac:dyDescent="0.25">
      <c r="CD321" s="211"/>
    </row>
    <row r="322" spans="82:82" x14ac:dyDescent="0.25">
      <c r="CD322" s="211"/>
    </row>
    <row r="323" spans="82:82" x14ac:dyDescent="0.25">
      <c r="CD323" s="211"/>
    </row>
    <row r="324" spans="82:82" x14ac:dyDescent="0.25">
      <c r="CD324" s="211"/>
    </row>
    <row r="325" spans="82:82" x14ac:dyDescent="0.25">
      <c r="CD325" s="211"/>
    </row>
    <row r="326" spans="82:82" x14ac:dyDescent="0.25">
      <c r="CD326" s="211"/>
    </row>
    <row r="327" spans="82:82" x14ac:dyDescent="0.25">
      <c r="CD327" s="211"/>
    </row>
    <row r="328" spans="82:82" x14ac:dyDescent="0.25">
      <c r="CD328" s="211"/>
    </row>
    <row r="329" spans="82:82" x14ac:dyDescent="0.25">
      <c r="CD329" s="211"/>
    </row>
    <row r="330" spans="82:82" x14ac:dyDescent="0.25">
      <c r="CD330" s="211"/>
    </row>
    <row r="331" spans="82:82" x14ac:dyDescent="0.25">
      <c r="CD331" s="211"/>
    </row>
    <row r="332" spans="82:82" x14ac:dyDescent="0.25">
      <c r="CD332" s="211"/>
    </row>
    <row r="333" spans="82:82" x14ac:dyDescent="0.25">
      <c r="CD333" s="211"/>
    </row>
    <row r="334" spans="82:82" x14ac:dyDescent="0.25">
      <c r="CD334" s="211"/>
    </row>
    <row r="335" spans="82:82" x14ac:dyDescent="0.25">
      <c r="CD335" s="211"/>
    </row>
    <row r="336" spans="82:82" x14ac:dyDescent="0.25">
      <c r="CD336" s="211"/>
    </row>
    <row r="337" spans="82:82" x14ac:dyDescent="0.25">
      <c r="CD337" s="211"/>
    </row>
    <row r="338" spans="82:82" x14ac:dyDescent="0.25">
      <c r="CD338" s="211"/>
    </row>
    <row r="339" spans="82:82" x14ac:dyDescent="0.25">
      <c r="CD339" s="211"/>
    </row>
    <row r="340" spans="82:82" x14ac:dyDescent="0.25">
      <c r="CD340" s="211"/>
    </row>
    <row r="341" spans="82:82" x14ac:dyDescent="0.25">
      <c r="CD341" s="211"/>
    </row>
    <row r="342" spans="82:82" x14ac:dyDescent="0.25">
      <c r="CD342" s="211"/>
    </row>
    <row r="343" spans="82:82" x14ac:dyDescent="0.25">
      <c r="CD343" s="211"/>
    </row>
    <row r="344" spans="82:82" x14ac:dyDescent="0.25">
      <c r="CD344" s="211"/>
    </row>
    <row r="345" spans="82:82" x14ac:dyDescent="0.25">
      <c r="CD345" s="211"/>
    </row>
    <row r="346" spans="82:82" x14ac:dyDescent="0.25">
      <c r="CD346" s="211"/>
    </row>
    <row r="347" spans="82:82" x14ac:dyDescent="0.25">
      <c r="CD347" s="211"/>
    </row>
    <row r="348" spans="82:82" x14ac:dyDescent="0.25">
      <c r="CD348" s="211"/>
    </row>
    <row r="349" spans="82:82" x14ac:dyDescent="0.25">
      <c r="CD349" s="211"/>
    </row>
    <row r="350" spans="82:82" x14ac:dyDescent="0.25">
      <c r="CD350" s="211"/>
    </row>
    <row r="351" spans="82:82" x14ac:dyDescent="0.25">
      <c r="CD351" s="211"/>
    </row>
    <row r="352" spans="82:82" x14ac:dyDescent="0.25">
      <c r="CD352" s="211"/>
    </row>
    <row r="353" spans="82:82" x14ac:dyDescent="0.25">
      <c r="CD353" s="211"/>
    </row>
    <row r="354" spans="82:82" x14ac:dyDescent="0.25">
      <c r="CD354" s="211"/>
    </row>
    <row r="355" spans="82:82" x14ac:dyDescent="0.25">
      <c r="CD355" s="211"/>
    </row>
    <row r="356" spans="82:82" x14ac:dyDescent="0.25">
      <c r="CD356" s="211"/>
    </row>
    <row r="357" spans="82:82" x14ac:dyDescent="0.25">
      <c r="CD357" s="211"/>
    </row>
    <row r="358" spans="82:82" x14ac:dyDescent="0.25">
      <c r="CD358" s="211"/>
    </row>
    <row r="359" spans="82:82" x14ac:dyDescent="0.25">
      <c r="CD359" s="211"/>
    </row>
    <row r="360" spans="82:82" x14ac:dyDescent="0.25">
      <c r="CD360" s="211"/>
    </row>
    <row r="361" spans="82:82" x14ac:dyDescent="0.25">
      <c r="CD361" s="211"/>
    </row>
    <row r="362" spans="82:82" x14ac:dyDescent="0.25">
      <c r="CD362" s="211"/>
    </row>
    <row r="363" spans="82:82" x14ac:dyDescent="0.25">
      <c r="CD363" s="211"/>
    </row>
    <row r="364" spans="82:82" x14ac:dyDescent="0.25">
      <c r="CD364" s="211"/>
    </row>
    <row r="365" spans="82:82" x14ac:dyDescent="0.25">
      <c r="CD365" s="211"/>
    </row>
    <row r="366" spans="82:82" x14ac:dyDescent="0.25">
      <c r="CD366" s="211"/>
    </row>
    <row r="367" spans="82:82" x14ac:dyDescent="0.25">
      <c r="CD367" s="211"/>
    </row>
    <row r="368" spans="82:82" x14ac:dyDescent="0.25">
      <c r="CD368" s="211"/>
    </row>
    <row r="369" spans="82:82" x14ac:dyDescent="0.25">
      <c r="CD369" s="211"/>
    </row>
    <row r="370" spans="82:82" x14ac:dyDescent="0.25">
      <c r="CD370" s="211"/>
    </row>
    <row r="371" spans="82:82" x14ac:dyDescent="0.25">
      <c r="CD371" s="211"/>
    </row>
    <row r="372" spans="82:82" x14ac:dyDescent="0.25">
      <c r="CD372" s="211"/>
    </row>
    <row r="373" spans="82:82" x14ac:dyDescent="0.25">
      <c r="CD373" s="211"/>
    </row>
    <row r="374" spans="82:82" x14ac:dyDescent="0.25">
      <c r="CD374" s="211"/>
    </row>
    <row r="375" spans="82:82" x14ac:dyDescent="0.25">
      <c r="CD375" s="211"/>
    </row>
    <row r="376" spans="82:82" x14ac:dyDescent="0.25">
      <c r="CD376" s="211"/>
    </row>
    <row r="377" spans="82:82" x14ac:dyDescent="0.25">
      <c r="CD377" s="211"/>
    </row>
    <row r="378" spans="82:82" x14ac:dyDescent="0.25">
      <c r="CD378" s="211"/>
    </row>
    <row r="379" spans="82:82" x14ac:dyDescent="0.25">
      <c r="CD379" s="211"/>
    </row>
    <row r="380" spans="82:82" x14ac:dyDescent="0.25">
      <c r="CD380" s="211"/>
    </row>
    <row r="381" spans="82:82" x14ac:dyDescent="0.25">
      <c r="CD381" s="211"/>
    </row>
    <row r="382" spans="82:82" x14ac:dyDescent="0.25">
      <c r="CD382" s="211"/>
    </row>
    <row r="383" spans="82:82" x14ac:dyDescent="0.25">
      <c r="CD383" s="211"/>
    </row>
    <row r="384" spans="82:82" x14ac:dyDescent="0.25">
      <c r="CD384" s="211"/>
    </row>
    <row r="385" spans="82:82" x14ac:dyDescent="0.25">
      <c r="CD385" s="211"/>
    </row>
    <row r="386" spans="82:82" x14ac:dyDescent="0.25">
      <c r="CD386" s="211"/>
    </row>
    <row r="387" spans="82:82" x14ac:dyDescent="0.25">
      <c r="CD387" s="211"/>
    </row>
    <row r="388" spans="82:82" x14ac:dyDescent="0.25">
      <c r="CD388" s="211"/>
    </row>
    <row r="389" spans="82:82" x14ac:dyDescent="0.25">
      <c r="CD389" s="211"/>
    </row>
    <row r="390" spans="82:82" x14ac:dyDescent="0.25">
      <c r="CD390" s="211"/>
    </row>
    <row r="391" spans="82:82" x14ac:dyDescent="0.25">
      <c r="CD391" s="211"/>
    </row>
    <row r="392" spans="82:82" x14ac:dyDescent="0.25">
      <c r="CD392" s="211"/>
    </row>
    <row r="393" spans="82:82" x14ac:dyDescent="0.25">
      <c r="CD393" s="211"/>
    </row>
    <row r="394" spans="82:82" x14ac:dyDescent="0.25">
      <c r="CD394" s="211"/>
    </row>
    <row r="395" spans="82:82" x14ac:dyDescent="0.25">
      <c r="CD395" s="211"/>
    </row>
    <row r="396" spans="82:82" x14ac:dyDescent="0.25">
      <c r="CD396" s="211"/>
    </row>
    <row r="397" spans="82:82" x14ac:dyDescent="0.25">
      <c r="CD397" s="211"/>
    </row>
    <row r="398" spans="82:82" x14ac:dyDescent="0.25">
      <c r="CD398" s="211"/>
    </row>
    <row r="399" spans="82:82" x14ac:dyDescent="0.25">
      <c r="CD399" s="211"/>
    </row>
    <row r="400" spans="82:82" x14ac:dyDescent="0.25">
      <c r="CD400" s="211"/>
    </row>
    <row r="401" spans="82:82" x14ac:dyDescent="0.25">
      <c r="CD401" s="211"/>
    </row>
    <row r="402" spans="82:82" x14ac:dyDescent="0.25">
      <c r="CD402" s="211"/>
    </row>
    <row r="403" spans="82:82" x14ac:dyDescent="0.25">
      <c r="CD403" s="211"/>
    </row>
    <row r="404" spans="82:82" x14ac:dyDescent="0.25">
      <c r="CD404" s="211"/>
    </row>
    <row r="405" spans="82:82" x14ac:dyDescent="0.25">
      <c r="CD405" s="211"/>
    </row>
    <row r="406" spans="82:82" x14ac:dyDescent="0.25">
      <c r="CD406" s="211"/>
    </row>
    <row r="407" spans="82:82" x14ac:dyDescent="0.25">
      <c r="CD407" s="211"/>
    </row>
    <row r="408" spans="82:82" x14ac:dyDescent="0.25">
      <c r="CD408" s="211"/>
    </row>
    <row r="409" spans="82:82" x14ac:dyDescent="0.25">
      <c r="CD409" s="211"/>
    </row>
    <row r="410" spans="82:82" x14ac:dyDescent="0.25">
      <c r="CD410" s="211"/>
    </row>
    <row r="411" spans="82:82" x14ac:dyDescent="0.25">
      <c r="CD411" s="211"/>
    </row>
    <row r="412" spans="82:82" x14ac:dyDescent="0.25">
      <c r="CD412" s="211"/>
    </row>
    <row r="413" spans="82:82" x14ac:dyDescent="0.25">
      <c r="CD413" s="211"/>
    </row>
    <row r="414" spans="82:82" x14ac:dyDescent="0.25">
      <c r="CD414" s="211"/>
    </row>
    <row r="415" spans="82:82" x14ac:dyDescent="0.25">
      <c r="CD415" s="211"/>
    </row>
    <row r="416" spans="82:82" x14ac:dyDescent="0.25">
      <c r="CD416" s="211"/>
    </row>
    <row r="417" spans="82:82" x14ac:dyDescent="0.25">
      <c r="CD417" s="211"/>
    </row>
    <row r="418" spans="82:82" x14ac:dyDescent="0.25">
      <c r="CD418" s="211"/>
    </row>
    <row r="419" spans="82:82" x14ac:dyDescent="0.25">
      <c r="CD419" s="211"/>
    </row>
    <row r="420" spans="82:82" x14ac:dyDescent="0.25">
      <c r="CD420" s="211"/>
    </row>
    <row r="421" spans="82:82" x14ac:dyDescent="0.25">
      <c r="CD421" s="211"/>
    </row>
    <row r="422" spans="82:82" x14ac:dyDescent="0.25">
      <c r="CD422" s="211"/>
    </row>
    <row r="423" spans="82:82" x14ac:dyDescent="0.25">
      <c r="CD423" s="211"/>
    </row>
  </sheetData>
  <mergeCells count="79">
    <mergeCell ref="CE184:CE186"/>
    <mergeCell ref="CG184:CG186"/>
    <mergeCell ref="CH184:CH186"/>
    <mergeCell ref="CI184:CJ185"/>
    <mergeCell ref="CK184:CL185"/>
    <mergeCell ref="CD184:CD186"/>
    <mergeCell ref="BQ184:BQ186"/>
    <mergeCell ref="BR184:BR186"/>
    <mergeCell ref="BS184:BS186"/>
    <mergeCell ref="BT184:BT186"/>
    <mergeCell ref="BV184:BV186"/>
    <mergeCell ref="BW184:BW186"/>
    <mergeCell ref="BY184:BY186"/>
    <mergeCell ref="BZ184:BZ186"/>
    <mergeCell ref="CA184:CA186"/>
    <mergeCell ref="CB184:CB186"/>
    <mergeCell ref="CC184:CC186"/>
    <mergeCell ref="B184:B186"/>
    <mergeCell ref="C184:C186"/>
    <mergeCell ref="D184:D186"/>
    <mergeCell ref="E184:E186"/>
    <mergeCell ref="F184:AJ184"/>
    <mergeCell ref="BD184:BG184"/>
    <mergeCell ref="BD8:BG8"/>
    <mergeCell ref="BH8:BN8"/>
    <mergeCell ref="BD31:BG31"/>
    <mergeCell ref="BH31:BN31"/>
    <mergeCell ref="CK8:CL9"/>
    <mergeCell ref="CK31:CL32"/>
    <mergeCell ref="BH184:BN184"/>
    <mergeCell ref="BO184:BO186"/>
    <mergeCell ref="BP184:BP186"/>
    <mergeCell ref="CD31:CD33"/>
    <mergeCell ref="CE31:CE33"/>
    <mergeCell ref="CG31:CG33"/>
    <mergeCell ref="CH31:CH33"/>
    <mergeCell ref="CI31:CJ32"/>
    <mergeCell ref="CB31:CB33"/>
    <mergeCell ref="CC31:CC33"/>
    <mergeCell ref="BO31:BO33"/>
    <mergeCell ref="CC8:CC10"/>
    <mergeCell ref="CD8:CD10"/>
    <mergeCell ref="CE8:CE10"/>
    <mergeCell ref="B83:B84"/>
    <mergeCell ref="BW31:BW33"/>
    <mergeCell ref="BY31:BY33"/>
    <mergeCell ref="BZ31:BZ33"/>
    <mergeCell ref="CA31:CA33"/>
    <mergeCell ref="BP31:BP33"/>
    <mergeCell ref="BQ31:BQ33"/>
    <mergeCell ref="BR31:BR33"/>
    <mergeCell ref="BS31:BS33"/>
    <mergeCell ref="BT31:BT33"/>
    <mergeCell ref="BV31:BV33"/>
    <mergeCell ref="B31:B33"/>
    <mergeCell ref="C31:C33"/>
    <mergeCell ref="D31:D33"/>
    <mergeCell ref="E31:E33"/>
    <mergeCell ref="F31:AJ31"/>
    <mergeCell ref="CG8:CG10"/>
    <mergeCell ref="CH8:CH10"/>
    <mergeCell ref="CI8:CJ9"/>
    <mergeCell ref="BV8:BV10"/>
    <mergeCell ref="BW8:BW10"/>
    <mergeCell ref="BY8:BY10"/>
    <mergeCell ref="BZ8:BZ10"/>
    <mergeCell ref="CA8:CA10"/>
    <mergeCell ref="CB8:CB10"/>
    <mergeCell ref="BT8:BT10"/>
    <mergeCell ref="B8:B10"/>
    <mergeCell ref="C8:C10"/>
    <mergeCell ref="D8:D10"/>
    <mergeCell ref="E8:E10"/>
    <mergeCell ref="F8:AJ8"/>
    <mergeCell ref="BO8:BO10"/>
    <mergeCell ref="BP8:BP10"/>
    <mergeCell ref="BQ8:BQ10"/>
    <mergeCell ref="BR8:BR10"/>
    <mergeCell ref="BS8:BS10"/>
  </mergeCells>
  <conditionalFormatting sqref="F87:J97 AK87:AO97 F98:AC98 AK98:BH98 F99:J99 AK99:AO99 F12:AJ28 F86:AC86 AK86:BH86 F65:AJ66 F68:AJ69 F71:AJ72 F74:AJ75 F77:AJ78">
    <cfRule type="notContainsBlanks" dxfId="120" priority="149">
      <formula>LEN(TRIM(F12))&gt;0</formula>
    </cfRule>
  </conditionalFormatting>
  <conditionalFormatting sqref="F139:J139">
    <cfRule type="notContainsBlanks" dxfId="119" priority="124">
      <formula>LEN(TRIM(F139))&gt;0</formula>
    </cfRule>
  </conditionalFormatting>
  <conditionalFormatting sqref="F140:J163">
    <cfRule type="notContainsBlanks" dxfId="118" priority="122">
      <formula>LEN(TRIM(F140))&gt;0</formula>
    </cfRule>
  </conditionalFormatting>
  <conditionalFormatting sqref="F165:J167">
    <cfRule type="notContainsBlanks" dxfId="117" priority="112">
      <formula>LEN(TRIM(F165))&gt;0</formula>
    </cfRule>
  </conditionalFormatting>
  <conditionalFormatting sqref="F169:J173">
    <cfRule type="notContainsBlanks" dxfId="116" priority="110">
      <formula>LEN(TRIM(F169))&gt;0</formula>
    </cfRule>
  </conditionalFormatting>
  <conditionalFormatting sqref="F175:J181">
    <cfRule type="notContainsBlanks" dxfId="115" priority="108">
      <formula>LEN(TRIM(F175))&gt;0</formula>
    </cfRule>
  </conditionalFormatting>
  <conditionalFormatting sqref="F139:L163">
    <cfRule type="notContainsBlanks" dxfId="114" priority="123">
      <formula>LEN(TRIM(F139))&gt;0</formula>
    </cfRule>
  </conditionalFormatting>
  <conditionalFormatting sqref="F101:M101">
    <cfRule type="notContainsBlanks" dxfId="113" priority="146">
      <formula>LEN(TRIM(F101))&gt;0</formula>
    </cfRule>
  </conditionalFormatting>
  <conditionalFormatting sqref="F104:M104">
    <cfRule type="notContainsBlanks" dxfId="112" priority="143">
      <formula>LEN(TRIM(F104))&gt;0</formula>
    </cfRule>
  </conditionalFormatting>
  <conditionalFormatting sqref="F107:M107">
    <cfRule type="notContainsBlanks" dxfId="111" priority="140">
      <formula>LEN(TRIM(F107))&gt;0</formula>
    </cfRule>
  </conditionalFormatting>
  <conditionalFormatting sqref="F64:AC64 AF64:AJ64">
    <cfRule type="notContainsBlanks" dxfId="110" priority="50">
      <formula>LEN(TRIM(F64))&gt;0</formula>
    </cfRule>
  </conditionalFormatting>
  <conditionalFormatting sqref="F67:AC67 AF67:AJ67">
    <cfRule type="notContainsBlanks" dxfId="109" priority="47">
      <formula>LEN(TRIM(F67))&gt;0</formula>
    </cfRule>
  </conditionalFormatting>
  <conditionalFormatting sqref="F70:AC70 AF70:AJ70">
    <cfRule type="notContainsBlanks" dxfId="108" priority="44">
      <formula>LEN(TRIM(F70))&gt;0</formula>
    </cfRule>
  </conditionalFormatting>
  <conditionalFormatting sqref="F73:AC73 AF73:AJ73">
    <cfRule type="notContainsBlanks" dxfId="107" priority="41">
      <formula>LEN(TRIM(F73))&gt;0</formula>
    </cfRule>
  </conditionalFormatting>
  <conditionalFormatting sqref="F76:AC76 AF76:AJ76">
    <cfRule type="notContainsBlanks" dxfId="106" priority="38">
      <formula>LEN(TRIM(F76))&gt;0</formula>
    </cfRule>
  </conditionalFormatting>
  <conditionalFormatting sqref="F83:AC85 J99:AC99">
    <cfRule type="notContainsBlanks" dxfId="105" priority="115">
      <formula>LEN(TRIM(F83))&gt;0</formula>
    </cfRule>
  </conditionalFormatting>
  <conditionalFormatting sqref="F111:AC114">
    <cfRule type="notContainsBlanks" dxfId="104" priority="118">
      <formula>LEN(TRIM(F111))&gt;0</formula>
    </cfRule>
  </conditionalFormatting>
  <conditionalFormatting sqref="F116:AC135">
    <cfRule type="notContainsBlanks" dxfId="103" priority="117">
      <formula>LEN(TRIM(F116))&gt;0</formula>
    </cfRule>
  </conditionalFormatting>
  <conditionalFormatting sqref="F165:AC167">
    <cfRule type="notContainsBlanks" dxfId="102" priority="113">
      <formula>LEN(TRIM(F165))&gt;0</formula>
    </cfRule>
  </conditionalFormatting>
  <conditionalFormatting sqref="F169:AC173">
    <cfRule type="notContainsBlanks" dxfId="101" priority="111">
      <formula>LEN(TRIM(F169))&gt;0</formula>
    </cfRule>
  </conditionalFormatting>
  <conditionalFormatting sqref="F175:AC181">
    <cfRule type="notContainsBlanks" dxfId="100" priority="109">
      <formula>LEN(TRIM(F175))&gt;0</formula>
    </cfRule>
  </conditionalFormatting>
  <conditionalFormatting sqref="F82:AI82 F87:I99 AK87:AN99">
    <cfRule type="notContainsBlanks" dxfId="99" priority="148">
      <formula>LEN(TRIM(F82))&gt;0</formula>
    </cfRule>
  </conditionalFormatting>
  <conditionalFormatting sqref="F82:AI82">
    <cfRule type="notContainsBlanks" dxfId="98" priority="135">
      <formula>LEN(TRIM(F82))&gt;0</formula>
    </cfRule>
  </conditionalFormatting>
  <conditionalFormatting sqref="F111:AI114 F116:AI120 J121:AI135 F115:L115 Q115:AI115 AO121:BN135 AK115:AQ115 AV115:BN115 AJ111:AJ135">
    <cfRule type="notContainsBlanks" dxfId="97" priority="133">
      <formula>LEN(TRIM(F111))&gt;0</formula>
    </cfRule>
  </conditionalFormatting>
  <conditionalFormatting sqref="F111:AI114 AJ111:AJ135 K115:L115 Q115:AI115 AP115:AQ115 AV115:BN115 F116:AI120 J121:AI135 AO121:BN135">
    <cfRule type="notContainsBlanks" dxfId="96" priority="134">
      <formula>LEN(TRIM(F111))&gt;0</formula>
    </cfRule>
  </conditionalFormatting>
  <conditionalFormatting sqref="F34:AJ63">
    <cfRule type="notContainsBlanks" dxfId="95" priority="51">
      <formula>LEN(TRIM(F34))&gt;0</formula>
    </cfRule>
  </conditionalFormatting>
  <conditionalFormatting sqref="F34:AJ66">
    <cfRule type="notContainsBlanks" dxfId="94" priority="49">
      <formula>LEN(TRIM(F34))&gt;0</formula>
    </cfRule>
  </conditionalFormatting>
  <conditionalFormatting sqref="F67:AJ69">
    <cfRule type="notContainsBlanks" dxfId="93" priority="46">
      <formula>LEN(TRIM(F67))&gt;0</formula>
    </cfRule>
  </conditionalFormatting>
  <conditionalFormatting sqref="F70:AJ72">
    <cfRule type="notContainsBlanks" dxfId="92" priority="43">
      <formula>LEN(TRIM(F70))&gt;0</formula>
    </cfRule>
  </conditionalFormatting>
  <conditionalFormatting sqref="F73:AJ75">
    <cfRule type="notContainsBlanks" dxfId="91" priority="40">
      <formula>LEN(TRIM(F73))&gt;0</formula>
    </cfRule>
  </conditionalFormatting>
  <conditionalFormatting sqref="F76:AJ78">
    <cfRule type="notContainsBlanks" dxfId="90" priority="37">
      <formula>LEN(TRIM(F76))&gt;0</formula>
    </cfRule>
  </conditionalFormatting>
  <conditionalFormatting sqref="F79:AJ80">
    <cfRule type="notContainsBlanks" dxfId="89" priority="34">
      <formula>LEN(TRIM(F79))&gt;0</formula>
    </cfRule>
    <cfRule type="notContainsBlanks" dxfId="88" priority="35">
      <formula>LEN(TRIM(F79))&gt;0</formula>
    </cfRule>
  </conditionalFormatting>
  <conditionalFormatting sqref="F12:BN28 F83:J86 J99">
    <cfRule type="notContainsBlanks" dxfId="87" priority="114">
      <formula>LEN(TRIM(F12))&gt;0</formula>
    </cfRule>
  </conditionalFormatting>
  <conditionalFormatting sqref="F100:BN109 AK82:BN82 F115:J115 AK116:BN120 F137:BN138">
    <cfRule type="notContainsBlanks" dxfId="86" priority="101">
      <formula>LEN(TRIM(F82))&gt;0</formula>
    </cfRule>
  </conditionalFormatting>
  <conditionalFormatting sqref="G101:M101">
    <cfRule type="notContainsBlanks" dxfId="85" priority="145">
      <formula>LEN(TRIM(G101))&gt;0</formula>
    </cfRule>
  </conditionalFormatting>
  <conditionalFormatting sqref="G104:M104">
    <cfRule type="notContainsBlanks" dxfId="84" priority="142">
      <formula>LEN(TRIM(G104))&gt;0</formula>
    </cfRule>
  </conditionalFormatting>
  <conditionalFormatting sqref="G107:M107">
    <cfRule type="notContainsBlanks" dxfId="83" priority="139">
      <formula>LEN(TRIM(G107))&gt;0</formula>
    </cfRule>
  </conditionalFormatting>
  <conditionalFormatting sqref="I101:M101">
    <cfRule type="notContainsBlanks" dxfId="82" priority="144">
      <formula>LEN(TRIM(I101))&gt;0</formula>
    </cfRule>
  </conditionalFormatting>
  <conditionalFormatting sqref="I104:M104">
    <cfRule type="notContainsBlanks" dxfId="81" priority="141">
      <formula>LEN(TRIM(I104))&gt;0</formula>
    </cfRule>
  </conditionalFormatting>
  <conditionalFormatting sqref="I107:M107">
    <cfRule type="notContainsBlanks" dxfId="80" priority="138">
      <formula>LEN(TRIM(I107))&gt;0</formula>
    </cfRule>
  </conditionalFormatting>
  <conditionalFormatting sqref="J26:J27">
    <cfRule type="notContainsBlanks" dxfId="79" priority="94">
      <formula>LEN(TRIM(J26))&gt;0</formula>
    </cfRule>
  </conditionalFormatting>
  <conditionalFormatting sqref="J87:J97">
    <cfRule type="notContainsBlanks" dxfId="78" priority="104">
      <formula>LEN(TRIM(J87))&gt;0</formula>
    </cfRule>
  </conditionalFormatting>
  <conditionalFormatting sqref="J121 M121">
    <cfRule type="notContainsBlanks" dxfId="77" priority="100">
      <formula>LEN(TRIM(J121))&gt;0</formula>
    </cfRule>
  </conditionalFormatting>
  <conditionalFormatting sqref="J87:AC97">
    <cfRule type="notContainsBlanks" dxfId="76" priority="106">
      <formula>LEN(TRIM(J87))&gt;0</formula>
    </cfRule>
  </conditionalFormatting>
  <conditionalFormatting sqref="J98:AI98">
    <cfRule type="notContainsBlanks" dxfId="75" priority="107">
      <formula>LEN(TRIM(J98))&gt;0</formula>
    </cfRule>
  </conditionalFormatting>
  <conditionalFormatting sqref="K139:L163 R139:AJ163 AP139:AQ163 AW139:BN163">
    <cfRule type="notContainsBlanks" dxfId="74" priority="131">
      <formula>LEN(TRIM(K139))&gt;0</formula>
    </cfRule>
    <cfRule type="notContainsBlanks" dxfId="73" priority="132">
      <formula>LEN(TRIM(K139))&gt;0</formula>
    </cfRule>
  </conditionalFormatting>
  <conditionalFormatting sqref="K115:AC115">
    <cfRule type="notContainsBlanks" dxfId="72" priority="103">
      <formula>LEN(TRIM(K115))&gt;0</formula>
    </cfRule>
  </conditionalFormatting>
  <conditionalFormatting sqref="K83:AI88 K99:AI99 K89:L89 Q89:AI89 K90:AI97 AP83:BN88 AP99:BN99 AP89:AQ89 AV89:BN89 AP90:BN97 AJ82:AJ99">
    <cfRule type="notContainsBlanks" dxfId="71" priority="136">
      <formula>LEN(TRIM(K82))&gt;0</formula>
    </cfRule>
  </conditionalFormatting>
  <conditionalFormatting sqref="K165:AJ167 AP165:BN167">
    <cfRule type="notContainsBlanks" dxfId="70" priority="129">
      <formula>LEN(TRIM(K165))&gt;0</formula>
    </cfRule>
    <cfRule type="notContainsBlanks" dxfId="69" priority="130">
      <formula>LEN(TRIM(K165))&gt;0</formula>
    </cfRule>
  </conditionalFormatting>
  <conditionalFormatting sqref="K169:AJ173 AP169:BN173">
    <cfRule type="notContainsBlanks" dxfId="68" priority="128">
      <formula>LEN(TRIM(K169))&gt;0</formula>
    </cfRule>
    <cfRule type="notContainsBlanks" dxfId="67" priority="127">
      <formula>LEN(TRIM(K169))&gt;0</formula>
    </cfRule>
  </conditionalFormatting>
  <conditionalFormatting sqref="K175:AJ181 AP175:BN181">
    <cfRule type="notContainsBlanks" dxfId="66" priority="125">
      <formula>LEN(TRIM(K175))&gt;0</formula>
    </cfRule>
    <cfRule type="notContainsBlanks" dxfId="65" priority="126">
      <formula>LEN(TRIM(K175))&gt;0</formula>
    </cfRule>
  </conditionalFormatting>
  <conditionalFormatting sqref="M170">
    <cfRule type="notContainsBlanks" dxfId="64" priority="99">
      <formula>LEN(TRIM(M170))&gt;0</formula>
    </cfRule>
  </conditionalFormatting>
  <conditionalFormatting sqref="M176">
    <cfRule type="notContainsBlanks" dxfId="63" priority="97">
      <formula>LEN(TRIM(M176))&gt;0</formula>
    </cfRule>
  </conditionalFormatting>
  <conditionalFormatting sqref="M178:O178">
    <cfRule type="notContainsBlanks" dxfId="62" priority="96">
      <formula>LEN(TRIM(M178))&gt;0</formula>
    </cfRule>
  </conditionalFormatting>
  <conditionalFormatting sqref="M89:P89">
    <cfRule type="notContainsBlanks" dxfId="61" priority="105">
      <formula>LEN(TRIM(M89))&gt;0</formula>
    </cfRule>
  </conditionalFormatting>
  <conditionalFormatting sqref="M115:P115">
    <cfRule type="notContainsBlanks" dxfId="60" priority="102">
      <formula>LEN(TRIM(M115))&gt;0</formula>
    </cfRule>
  </conditionalFormatting>
  <conditionalFormatting sqref="M172:P172">
    <cfRule type="notContainsBlanks" dxfId="59" priority="98">
      <formula>LEN(TRIM(M172))&gt;0</formula>
    </cfRule>
  </conditionalFormatting>
  <conditionalFormatting sqref="M180:P180">
    <cfRule type="notContainsBlanks" dxfId="58" priority="95">
      <formula>LEN(TRIM(M180))&gt;0</formula>
    </cfRule>
  </conditionalFormatting>
  <conditionalFormatting sqref="M139:Q139">
    <cfRule type="notContainsBlanks" dxfId="57" priority="121">
      <formula>LEN(TRIM(M139))&gt;0</formula>
    </cfRule>
  </conditionalFormatting>
  <conditionalFormatting sqref="M140:Q163">
    <cfRule type="notContainsBlanks" dxfId="56" priority="119">
      <formula>LEN(TRIM(M140))&gt;0</formula>
    </cfRule>
  </conditionalFormatting>
  <conditionalFormatting sqref="M139:AC163">
    <cfRule type="notContainsBlanks" dxfId="55" priority="120">
      <formula>LEN(TRIM(M139))&gt;0</formula>
    </cfRule>
  </conditionalFormatting>
  <conditionalFormatting sqref="Q26:Q27">
    <cfRule type="notContainsBlanks" dxfId="54" priority="93">
      <formula>LEN(TRIM(Q26))&gt;0</formula>
    </cfRule>
  </conditionalFormatting>
  <conditionalFormatting sqref="R28:V28">
    <cfRule type="notContainsBlanks" dxfId="53" priority="147">
      <formula>LEN(TRIM(R28))&gt;0</formula>
    </cfRule>
  </conditionalFormatting>
  <conditionalFormatting sqref="X26:X27">
    <cfRule type="notContainsBlanks" dxfId="52" priority="92">
      <formula>LEN(TRIM(X26))&gt;0</formula>
    </cfRule>
  </conditionalFormatting>
  <conditionalFormatting sqref="AD64:AE64">
    <cfRule type="notContainsBlanks" dxfId="51" priority="48">
      <formula>LEN(TRIM(AD64))&gt;0</formula>
    </cfRule>
  </conditionalFormatting>
  <conditionalFormatting sqref="AD67:AE67">
    <cfRule type="notContainsBlanks" dxfId="50" priority="45">
      <formula>LEN(TRIM(AD67))&gt;0</formula>
    </cfRule>
  </conditionalFormatting>
  <conditionalFormatting sqref="AD70:AE70">
    <cfRule type="notContainsBlanks" dxfId="49" priority="42">
      <formula>LEN(TRIM(AD70))&gt;0</formula>
    </cfRule>
  </conditionalFormatting>
  <conditionalFormatting sqref="AD73:AE73">
    <cfRule type="notContainsBlanks" dxfId="48" priority="39">
      <formula>LEN(TRIM(AD73))&gt;0</formula>
    </cfRule>
  </conditionalFormatting>
  <conditionalFormatting sqref="AD76:AE76">
    <cfRule type="notContainsBlanks" dxfId="47" priority="36">
      <formula>LEN(TRIM(AD76))&gt;0</formula>
    </cfRule>
  </conditionalFormatting>
  <conditionalFormatting sqref="AE26:AE27">
    <cfRule type="notContainsBlanks" dxfId="46" priority="91">
      <formula>LEN(TRIM(AE26))&gt;0</formula>
    </cfRule>
  </conditionalFormatting>
  <conditionalFormatting sqref="AJ82:AJ99 K83:AI88 AP83:BN88 K89:L89 Q89:AI89 AP89:AQ89 AV89:BN89 K90:AI97 AP90:BN97 K99:AI99 AP99:BN99 O98:AI98 AT98:BN98">
    <cfRule type="notContainsBlanks" dxfId="45" priority="137">
      <formula>LEN(TRIM(K82))&gt;0</formula>
    </cfRule>
  </conditionalFormatting>
  <conditionalFormatting sqref="AK121:AN135">
    <cfRule type="notContainsBlanks" dxfId="44" priority="73">
      <formula>LEN(TRIM(AK121))&gt;0</formula>
    </cfRule>
  </conditionalFormatting>
  <conditionalFormatting sqref="AK83:AO86 AO99">
    <cfRule type="notContainsBlanks" dxfId="43" priority="71">
      <formula>LEN(TRIM(AK83))&gt;0</formula>
    </cfRule>
  </conditionalFormatting>
  <conditionalFormatting sqref="AK115:AO115">
    <cfRule type="notContainsBlanks" dxfId="42" priority="58">
      <formula>LEN(TRIM(AK115))&gt;0</formula>
    </cfRule>
  </conditionalFormatting>
  <conditionalFormatting sqref="AK139:AO139">
    <cfRule type="notContainsBlanks" dxfId="41" priority="81">
      <formula>LEN(TRIM(AK139))&gt;0</formula>
    </cfRule>
  </conditionalFormatting>
  <conditionalFormatting sqref="AK140:AO163">
    <cfRule type="notContainsBlanks" dxfId="40" priority="79">
      <formula>LEN(TRIM(AK140))&gt;0</formula>
    </cfRule>
  </conditionalFormatting>
  <conditionalFormatting sqref="AK165:AO167">
    <cfRule type="notContainsBlanks" dxfId="39" priority="69">
      <formula>LEN(TRIM(AK165))&gt;0</formula>
    </cfRule>
  </conditionalFormatting>
  <conditionalFormatting sqref="AK169:AO173">
    <cfRule type="notContainsBlanks" dxfId="38" priority="67">
      <formula>LEN(TRIM(AK169))&gt;0</formula>
    </cfRule>
  </conditionalFormatting>
  <conditionalFormatting sqref="AK175:AO181">
    <cfRule type="notContainsBlanks" dxfId="37" priority="65">
      <formula>LEN(TRIM(AK175))&gt;0</formula>
    </cfRule>
  </conditionalFormatting>
  <conditionalFormatting sqref="AK139:AQ163">
    <cfRule type="notContainsBlanks" dxfId="36" priority="80">
      <formula>LEN(TRIM(AK139))&gt;0</formula>
    </cfRule>
  </conditionalFormatting>
  <conditionalFormatting sqref="AK101:AR101">
    <cfRule type="notContainsBlanks" dxfId="35" priority="90">
      <formula>LEN(TRIM(AK101))&gt;0</formula>
    </cfRule>
  </conditionalFormatting>
  <conditionalFormatting sqref="AK104:AR104">
    <cfRule type="notContainsBlanks" dxfId="34" priority="87">
      <formula>LEN(TRIM(AK104))&gt;0</formula>
    </cfRule>
  </conditionalFormatting>
  <conditionalFormatting sqref="AK107:AR107">
    <cfRule type="notContainsBlanks" dxfId="33" priority="84">
      <formula>LEN(TRIM(AK107))&gt;0</formula>
    </cfRule>
  </conditionalFormatting>
  <conditionalFormatting sqref="AK83:BH85 AO99:BH99">
    <cfRule type="notContainsBlanks" dxfId="32" priority="72">
      <formula>LEN(TRIM(AK83))&gt;0</formula>
    </cfRule>
  </conditionalFormatting>
  <conditionalFormatting sqref="AK116:BH135">
    <cfRule type="notContainsBlanks" dxfId="31" priority="74">
      <formula>LEN(TRIM(AK116))&gt;0</formula>
    </cfRule>
  </conditionalFormatting>
  <conditionalFormatting sqref="AK165:BH167">
    <cfRule type="notContainsBlanks" dxfId="30" priority="70">
      <formula>LEN(TRIM(AK165))&gt;0</formula>
    </cfRule>
  </conditionalFormatting>
  <conditionalFormatting sqref="AK169:BH173">
    <cfRule type="notContainsBlanks" dxfId="29" priority="68">
      <formula>LEN(TRIM(AK169))&gt;0</formula>
    </cfRule>
  </conditionalFormatting>
  <conditionalFormatting sqref="AK175:BH181">
    <cfRule type="notContainsBlanks" dxfId="28" priority="66">
      <formula>LEN(TRIM(AK175))&gt;0</formula>
    </cfRule>
  </conditionalFormatting>
  <conditionalFormatting sqref="AK34:BN80">
    <cfRule type="notContainsBlanks" dxfId="27" priority="29">
      <formula>LEN(TRIM(AK34))&gt;0</formula>
    </cfRule>
  </conditionalFormatting>
  <conditionalFormatting sqref="AK82:BN82 F100:BN109 AK116:BN120 F137:BN138 AK111:BN114 F121:I135">
    <cfRule type="notContainsBlanks" dxfId="26" priority="116">
      <formula>LEN(TRIM(F82))&gt;0</formula>
    </cfRule>
  </conditionalFormatting>
  <conditionalFormatting sqref="AK111:BN114">
    <cfRule type="notContainsBlanks" dxfId="25" priority="75">
      <formula>LEN(TRIM(AK111))&gt;0</formula>
    </cfRule>
  </conditionalFormatting>
  <conditionalFormatting sqref="AL101:AR101">
    <cfRule type="notContainsBlanks" dxfId="24" priority="89">
      <formula>LEN(TRIM(AL101))&gt;0</formula>
    </cfRule>
  </conditionalFormatting>
  <conditionalFormatting sqref="AL104:AR104">
    <cfRule type="notContainsBlanks" dxfId="23" priority="86">
      <formula>LEN(TRIM(AL104))&gt;0</formula>
    </cfRule>
  </conditionalFormatting>
  <conditionalFormatting sqref="AL107:AR107">
    <cfRule type="notContainsBlanks" dxfId="22" priority="83">
      <formula>LEN(TRIM(AL107))&gt;0</formula>
    </cfRule>
  </conditionalFormatting>
  <conditionalFormatting sqref="AN101:AR101">
    <cfRule type="notContainsBlanks" dxfId="21" priority="88">
      <formula>LEN(TRIM(AN101))&gt;0</formula>
    </cfRule>
  </conditionalFormatting>
  <conditionalFormatting sqref="AN104:AR104">
    <cfRule type="notContainsBlanks" dxfId="20" priority="85">
      <formula>LEN(TRIM(AN104))&gt;0</formula>
    </cfRule>
  </conditionalFormatting>
  <conditionalFormatting sqref="AN107:AR107">
    <cfRule type="notContainsBlanks" dxfId="19" priority="82">
      <formula>LEN(TRIM(AN107))&gt;0</formula>
    </cfRule>
  </conditionalFormatting>
  <conditionalFormatting sqref="AO87:AO97">
    <cfRule type="notContainsBlanks" dxfId="18" priority="61">
      <formula>LEN(TRIM(AO87))&gt;0</formula>
    </cfRule>
  </conditionalFormatting>
  <conditionalFormatting sqref="AO121 AR121">
    <cfRule type="notContainsBlanks" dxfId="17" priority="57">
      <formula>LEN(TRIM(AO121))&gt;0</formula>
    </cfRule>
  </conditionalFormatting>
  <conditionalFormatting sqref="AO87:BH97">
    <cfRule type="notContainsBlanks" dxfId="16" priority="63">
      <formula>LEN(TRIM(AO87))&gt;0</formula>
    </cfRule>
  </conditionalFormatting>
  <conditionalFormatting sqref="AO98:BN98">
    <cfRule type="notContainsBlanks" dxfId="15" priority="64">
      <formula>LEN(TRIM(AO98))&gt;0</formula>
    </cfRule>
  </conditionalFormatting>
  <conditionalFormatting sqref="AP115:BH115">
    <cfRule type="notContainsBlanks" dxfId="14" priority="60">
      <formula>LEN(TRIM(AP115))&gt;0</formula>
    </cfRule>
  </conditionalFormatting>
  <conditionalFormatting sqref="AR170">
    <cfRule type="notContainsBlanks" dxfId="13" priority="56">
      <formula>LEN(TRIM(AR170))&gt;0</formula>
    </cfRule>
  </conditionalFormatting>
  <conditionalFormatting sqref="AR176">
    <cfRule type="notContainsBlanks" dxfId="12" priority="54">
      <formula>LEN(TRIM(AR176))&gt;0</formula>
    </cfRule>
  </conditionalFormatting>
  <conditionalFormatting sqref="AR178:AT178">
    <cfRule type="notContainsBlanks" dxfId="11" priority="53">
      <formula>LEN(TRIM(AR178))&gt;0</formula>
    </cfRule>
  </conditionalFormatting>
  <conditionalFormatting sqref="AR89:AU89">
    <cfRule type="notContainsBlanks" dxfId="10" priority="62">
      <formula>LEN(TRIM(AR89))&gt;0</formula>
    </cfRule>
  </conditionalFormatting>
  <conditionalFormatting sqref="AR115:AU115">
    <cfRule type="notContainsBlanks" dxfId="9" priority="59">
      <formula>LEN(TRIM(AR115))&gt;0</formula>
    </cfRule>
  </conditionalFormatting>
  <conditionalFormatting sqref="AR172:AU172">
    <cfRule type="notContainsBlanks" dxfId="8" priority="55">
      <formula>LEN(TRIM(AR172))&gt;0</formula>
    </cfRule>
  </conditionalFormatting>
  <conditionalFormatting sqref="AR180:AU180">
    <cfRule type="notContainsBlanks" dxfId="7" priority="52">
      <formula>LEN(TRIM(AR180))&gt;0</formula>
    </cfRule>
  </conditionalFormatting>
  <conditionalFormatting sqref="AR139:AV139">
    <cfRule type="notContainsBlanks" dxfId="6" priority="78">
      <formula>LEN(TRIM(AR139))&gt;0</formula>
    </cfRule>
  </conditionalFormatting>
  <conditionalFormatting sqref="AR140:AV163">
    <cfRule type="notContainsBlanks" dxfId="5" priority="76">
      <formula>LEN(TRIM(AR140))&gt;0</formula>
    </cfRule>
  </conditionalFormatting>
  <conditionalFormatting sqref="AR139:BH163">
    <cfRule type="notContainsBlanks" dxfId="4" priority="77">
      <formula>LEN(TRIM(AR139))&gt;0</formula>
    </cfRule>
  </conditionalFormatting>
  <conditionalFormatting sqref="BD187:BN190">
    <cfRule type="notContainsBlanks" dxfId="3" priority="4">
      <formula>LEN(TRIM(BD187))&gt;0</formula>
    </cfRule>
  </conditionalFormatting>
  <conditionalFormatting sqref="BD192:BN197">
    <cfRule type="notContainsBlanks" dxfId="2" priority="2">
      <formula>LEN(TRIM(BD192))&gt;0</formula>
    </cfRule>
  </conditionalFormatting>
  <conditionalFormatting sqref="BD199:BN207">
    <cfRule type="notContainsBlanks" dxfId="1" priority="1">
      <formula>LEN(TRIM(BD199))&gt;0</formula>
    </cfRule>
  </conditionalFormatting>
  <pageMargins left="0.25" right="0.25" top="0.75" bottom="0.75" header="0.3" footer="0.3"/>
  <pageSetup paperSize="9" scale="22" orientation="landscape" r:id="rId1"/>
  <headerFooter>
    <oddFooter>&amp;C_x000D_&amp;1#&amp;"Calibri"&amp;10&amp;K000000 Confidential - Not for Public Consumption or Distribution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D469-7536-46CC-877F-28A821FF08FE}">
  <dimension ref="B1:I95"/>
  <sheetViews>
    <sheetView showGridLines="0" topLeftCell="A52" zoomScaleNormal="100" workbookViewId="0">
      <selection activeCell="E41" sqref="E41"/>
    </sheetView>
  </sheetViews>
  <sheetFormatPr defaultColWidth="21.19921875" defaultRowHeight="14.4" x14ac:dyDescent="0.3"/>
  <cols>
    <col min="1" max="1" width="4.5" style="338" customWidth="1"/>
    <col min="2" max="2" width="21.19921875" style="338"/>
    <col min="3" max="3" width="26.69921875" style="338" customWidth="1"/>
    <col min="4" max="4" width="34.296875" style="338" customWidth="1"/>
    <col min="5" max="5" width="15.69921875" style="338" bestFit="1" customWidth="1"/>
    <col min="6" max="6" width="24" style="338" customWidth="1"/>
    <col min="7" max="7" width="21.19921875" style="339"/>
    <col min="8" max="8" width="10.09765625" style="339" customWidth="1"/>
    <col min="9" max="9" width="21.19921875" style="339"/>
    <col min="10" max="16384" width="21.19921875" style="338"/>
  </cols>
  <sheetData>
    <row r="1" spans="2:9" ht="46.95" customHeight="1" x14ac:dyDescent="0.3"/>
    <row r="2" spans="2:9" x14ac:dyDescent="0.2">
      <c r="B2" s="5" t="s">
        <v>0</v>
      </c>
    </row>
    <row r="3" spans="2:9" x14ac:dyDescent="0.2">
      <c r="B3" s="6" t="s">
        <v>143</v>
      </c>
    </row>
    <row r="4" spans="2:9" ht="13.05" customHeight="1" x14ac:dyDescent="0.3"/>
    <row r="5" spans="2:9" x14ac:dyDescent="0.3">
      <c r="B5" s="340" t="s">
        <v>147</v>
      </c>
      <c r="C5" s="340" t="s">
        <v>148</v>
      </c>
      <c r="D5" s="340" t="s">
        <v>149</v>
      </c>
      <c r="E5" s="340" t="s">
        <v>150</v>
      </c>
      <c r="F5" s="340" t="s">
        <v>151</v>
      </c>
      <c r="G5" s="340" t="s">
        <v>152</v>
      </c>
      <c r="H5" s="340" t="s">
        <v>153</v>
      </c>
      <c r="I5" s="340" t="s">
        <v>154</v>
      </c>
    </row>
    <row r="6" spans="2:9" x14ac:dyDescent="0.3">
      <c r="B6" s="341" t="s">
        <v>157</v>
      </c>
      <c r="C6" s="341" t="s">
        <v>155</v>
      </c>
      <c r="D6" s="342" t="s">
        <v>158</v>
      </c>
      <c r="E6" s="341" t="s">
        <v>156</v>
      </c>
      <c r="F6" s="341" t="s">
        <v>40</v>
      </c>
      <c r="G6" s="343">
        <v>415</v>
      </c>
      <c r="H6" s="344">
        <v>1</v>
      </c>
      <c r="I6" s="345">
        <f t="shared" ref="I6:I17" si="0">G6*H6</f>
        <v>415</v>
      </c>
    </row>
    <row r="7" spans="2:9" x14ac:dyDescent="0.3">
      <c r="B7" s="341" t="s">
        <v>157</v>
      </c>
      <c r="C7" s="341" t="s">
        <v>155</v>
      </c>
      <c r="D7" s="342" t="s">
        <v>159</v>
      </c>
      <c r="E7" s="341" t="s">
        <v>156</v>
      </c>
      <c r="F7" s="341" t="s">
        <v>40</v>
      </c>
      <c r="G7" s="343">
        <v>415</v>
      </c>
      <c r="H7" s="344">
        <v>1</v>
      </c>
      <c r="I7" s="345">
        <f t="shared" si="0"/>
        <v>415</v>
      </c>
    </row>
    <row r="8" spans="2:9" x14ac:dyDescent="0.3">
      <c r="B8" s="341" t="s">
        <v>157</v>
      </c>
      <c r="C8" s="341" t="s">
        <v>155</v>
      </c>
      <c r="D8" s="342" t="s">
        <v>160</v>
      </c>
      <c r="E8" s="341" t="s">
        <v>156</v>
      </c>
      <c r="F8" s="341" t="s">
        <v>40</v>
      </c>
      <c r="G8" s="343">
        <v>415</v>
      </c>
      <c r="H8" s="344">
        <v>1</v>
      </c>
      <c r="I8" s="345">
        <f t="shared" si="0"/>
        <v>415</v>
      </c>
    </row>
    <row r="9" spans="2:9" x14ac:dyDescent="0.3">
      <c r="B9" s="341" t="s">
        <v>157</v>
      </c>
      <c r="C9" s="341" t="s">
        <v>155</v>
      </c>
      <c r="D9" s="342" t="s">
        <v>161</v>
      </c>
      <c r="E9" s="341" t="s">
        <v>156</v>
      </c>
      <c r="F9" s="341" t="s">
        <v>40</v>
      </c>
      <c r="G9" s="343">
        <v>415</v>
      </c>
      <c r="H9" s="344">
        <v>1</v>
      </c>
      <c r="I9" s="345">
        <f t="shared" si="0"/>
        <v>415</v>
      </c>
    </row>
    <row r="10" spans="2:9" x14ac:dyDescent="0.3">
      <c r="B10" s="341" t="s">
        <v>157</v>
      </c>
      <c r="C10" s="341" t="s">
        <v>155</v>
      </c>
      <c r="D10" s="342" t="s">
        <v>162</v>
      </c>
      <c r="E10" s="341" t="s">
        <v>156</v>
      </c>
      <c r="F10" s="341" t="s">
        <v>40</v>
      </c>
      <c r="G10" s="343">
        <v>415</v>
      </c>
      <c r="H10" s="344">
        <v>1</v>
      </c>
      <c r="I10" s="345">
        <f t="shared" si="0"/>
        <v>415</v>
      </c>
    </row>
    <row r="11" spans="2:9" x14ac:dyDescent="0.3">
      <c r="B11" s="341" t="s">
        <v>157</v>
      </c>
      <c r="C11" s="341" t="s">
        <v>155</v>
      </c>
      <c r="D11" s="342" t="s">
        <v>163</v>
      </c>
      <c r="E11" s="341" t="s">
        <v>156</v>
      </c>
      <c r="F11" s="341" t="s">
        <v>40</v>
      </c>
      <c r="G11" s="343">
        <v>415</v>
      </c>
      <c r="H11" s="344">
        <v>1</v>
      </c>
      <c r="I11" s="345">
        <f t="shared" si="0"/>
        <v>415</v>
      </c>
    </row>
    <row r="12" spans="2:9" x14ac:dyDescent="0.3">
      <c r="B12" s="341" t="s">
        <v>157</v>
      </c>
      <c r="C12" s="341" t="s">
        <v>155</v>
      </c>
      <c r="D12" s="342" t="s">
        <v>164</v>
      </c>
      <c r="E12" s="341" t="s">
        <v>156</v>
      </c>
      <c r="F12" s="341" t="s">
        <v>40</v>
      </c>
      <c r="G12" s="343">
        <v>415</v>
      </c>
      <c r="H12" s="344">
        <v>1</v>
      </c>
      <c r="I12" s="345">
        <f t="shared" si="0"/>
        <v>415</v>
      </c>
    </row>
    <row r="13" spans="2:9" x14ac:dyDescent="0.3">
      <c r="B13" s="341" t="s">
        <v>157</v>
      </c>
      <c r="C13" s="341" t="s">
        <v>155</v>
      </c>
      <c r="D13" s="342" t="s">
        <v>165</v>
      </c>
      <c r="E13" s="341" t="s">
        <v>156</v>
      </c>
      <c r="F13" s="341" t="s">
        <v>40</v>
      </c>
      <c r="G13" s="343">
        <v>415</v>
      </c>
      <c r="H13" s="344">
        <v>1</v>
      </c>
      <c r="I13" s="345">
        <f t="shared" si="0"/>
        <v>415</v>
      </c>
    </row>
    <row r="14" spans="2:9" x14ac:dyDescent="0.3">
      <c r="B14" s="341" t="s">
        <v>157</v>
      </c>
      <c r="C14" s="341" t="s">
        <v>155</v>
      </c>
      <c r="D14" s="342" t="s">
        <v>166</v>
      </c>
      <c r="E14" s="341" t="s">
        <v>156</v>
      </c>
      <c r="F14" s="341" t="s">
        <v>40</v>
      </c>
      <c r="G14" s="343">
        <v>415</v>
      </c>
      <c r="H14" s="344">
        <v>1</v>
      </c>
      <c r="I14" s="345">
        <f t="shared" si="0"/>
        <v>415</v>
      </c>
    </row>
    <row r="15" spans="2:9" x14ac:dyDescent="0.3">
      <c r="B15" s="341" t="s">
        <v>157</v>
      </c>
      <c r="C15" s="341" t="s">
        <v>155</v>
      </c>
      <c r="D15" s="342" t="s">
        <v>167</v>
      </c>
      <c r="E15" s="341" t="s">
        <v>156</v>
      </c>
      <c r="F15" s="341" t="s">
        <v>40</v>
      </c>
      <c r="G15" s="343">
        <v>415</v>
      </c>
      <c r="H15" s="344">
        <v>1</v>
      </c>
      <c r="I15" s="345">
        <f t="shared" si="0"/>
        <v>415</v>
      </c>
    </row>
    <row r="16" spans="2:9" x14ac:dyDescent="0.3">
      <c r="B16" s="341" t="s">
        <v>157</v>
      </c>
      <c r="C16" s="341" t="s">
        <v>155</v>
      </c>
      <c r="D16" s="342" t="s">
        <v>168</v>
      </c>
      <c r="E16" s="341" t="s">
        <v>156</v>
      </c>
      <c r="F16" s="341" t="s">
        <v>40</v>
      </c>
      <c r="G16" s="343">
        <v>255</v>
      </c>
      <c r="H16" s="344">
        <v>1</v>
      </c>
      <c r="I16" s="345">
        <f t="shared" si="0"/>
        <v>255</v>
      </c>
    </row>
    <row r="17" spans="2:9" x14ac:dyDescent="0.3">
      <c r="B17" s="341" t="s">
        <v>157</v>
      </c>
      <c r="C17" s="341" t="s">
        <v>155</v>
      </c>
      <c r="D17" s="342" t="s">
        <v>169</v>
      </c>
      <c r="E17" s="341" t="s">
        <v>156</v>
      </c>
      <c r="F17" s="341" t="s">
        <v>40</v>
      </c>
      <c r="G17" s="343">
        <v>415</v>
      </c>
      <c r="H17" s="344">
        <v>1</v>
      </c>
      <c r="I17" s="345">
        <f t="shared" si="0"/>
        <v>415</v>
      </c>
    </row>
    <row r="18" spans="2:9" x14ac:dyDescent="0.3">
      <c r="B18" s="341" t="s">
        <v>157</v>
      </c>
      <c r="C18" s="341" t="s">
        <v>155</v>
      </c>
      <c r="D18" s="342" t="s">
        <v>158</v>
      </c>
      <c r="E18" s="341" t="s">
        <v>156</v>
      </c>
      <c r="F18" s="341" t="s">
        <v>289</v>
      </c>
      <c r="G18" s="343">
        <v>415</v>
      </c>
      <c r="H18" s="344">
        <v>1</v>
      </c>
      <c r="I18" s="345">
        <f t="shared" ref="I18:I29" si="1">G18*H18</f>
        <v>415</v>
      </c>
    </row>
    <row r="19" spans="2:9" x14ac:dyDescent="0.3">
      <c r="B19" s="341" t="s">
        <v>157</v>
      </c>
      <c r="C19" s="341" t="s">
        <v>155</v>
      </c>
      <c r="D19" s="342" t="s">
        <v>159</v>
      </c>
      <c r="E19" s="341" t="s">
        <v>156</v>
      </c>
      <c r="F19" s="341" t="s">
        <v>289</v>
      </c>
      <c r="G19" s="343">
        <v>415</v>
      </c>
      <c r="H19" s="344">
        <v>1</v>
      </c>
      <c r="I19" s="345">
        <f t="shared" si="1"/>
        <v>415</v>
      </c>
    </row>
    <row r="20" spans="2:9" x14ac:dyDescent="0.3">
      <c r="B20" s="341" t="s">
        <v>157</v>
      </c>
      <c r="C20" s="341" t="s">
        <v>155</v>
      </c>
      <c r="D20" s="342" t="s">
        <v>160</v>
      </c>
      <c r="E20" s="341" t="s">
        <v>156</v>
      </c>
      <c r="F20" s="341" t="s">
        <v>289</v>
      </c>
      <c r="G20" s="343">
        <v>415</v>
      </c>
      <c r="H20" s="344">
        <v>1</v>
      </c>
      <c r="I20" s="345">
        <f t="shared" si="1"/>
        <v>415</v>
      </c>
    </row>
    <row r="21" spans="2:9" x14ac:dyDescent="0.3">
      <c r="B21" s="341" t="s">
        <v>157</v>
      </c>
      <c r="C21" s="341" t="s">
        <v>155</v>
      </c>
      <c r="D21" s="342" t="s">
        <v>161</v>
      </c>
      <c r="E21" s="341" t="s">
        <v>156</v>
      </c>
      <c r="F21" s="341" t="s">
        <v>289</v>
      </c>
      <c r="G21" s="343">
        <v>415</v>
      </c>
      <c r="H21" s="344">
        <v>1</v>
      </c>
      <c r="I21" s="345">
        <f t="shared" si="1"/>
        <v>415</v>
      </c>
    </row>
    <row r="22" spans="2:9" x14ac:dyDescent="0.3">
      <c r="B22" s="341" t="s">
        <v>157</v>
      </c>
      <c r="C22" s="341" t="s">
        <v>155</v>
      </c>
      <c r="D22" s="342" t="s">
        <v>162</v>
      </c>
      <c r="E22" s="341" t="s">
        <v>156</v>
      </c>
      <c r="F22" s="341" t="s">
        <v>289</v>
      </c>
      <c r="G22" s="343">
        <v>415</v>
      </c>
      <c r="H22" s="344">
        <v>1</v>
      </c>
      <c r="I22" s="345">
        <f t="shared" si="1"/>
        <v>415</v>
      </c>
    </row>
    <row r="23" spans="2:9" x14ac:dyDescent="0.3">
      <c r="B23" s="341" t="s">
        <v>157</v>
      </c>
      <c r="C23" s="341" t="s">
        <v>155</v>
      </c>
      <c r="D23" s="342" t="s">
        <v>163</v>
      </c>
      <c r="E23" s="341" t="s">
        <v>156</v>
      </c>
      <c r="F23" s="341" t="s">
        <v>289</v>
      </c>
      <c r="G23" s="343">
        <v>415</v>
      </c>
      <c r="H23" s="344">
        <v>1</v>
      </c>
      <c r="I23" s="345">
        <f t="shared" si="1"/>
        <v>415</v>
      </c>
    </row>
    <row r="24" spans="2:9" x14ac:dyDescent="0.3">
      <c r="B24" s="341" t="s">
        <v>157</v>
      </c>
      <c r="C24" s="341" t="s">
        <v>155</v>
      </c>
      <c r="D24" s="342" t="s">
        <v>164</v>
      </c>
      <c r="E24" s="341" t="s">
        <v>156</v>
      </c>
      <c r="F24" s="341" t="s">
        <v>289</v>
      </c>
      <c r="G24" s="343">
        <v>415</v>
      </c>
      <c r="H24" s="344">
        <v>1</v>
      </c>
      <c r="I24" s="345">
        <f t="shared" si="1"/>
        <v>415</v>
      </c>
    </row>
    <row r="25" spans="2:9" x14ac:dyDescent="0.3">
      <c r="B25" s="341" t="s">
        <v>157</v>
      </c>
      <c r="C25" s="341" t="s">
        <v>155</v>
      </c>
      <c r="D25" s="342" t="s">
        <v>165</v>
      </c>
      <c r="E25" s="341" t="s">
        <v>156</v>
      </c>
      <c r="F25" s="341" t="s">
        <v>289</v>
      </c>
      <c r="G25" s="343">
        <v>415</v>
      </c>
      <c r="H25" s="344">
        <v>1</v>
      </c>
      <c r="I25" s="345">
        <f t="shared" si="1"/>
        <v>415</v>
      </c>
    </row>
    <row r="26" spans="2:9" x14ac:dyDescent="0.3">
      <c r="B26" s="341" t="s">
        <v>157</v>
      </c>
      <c r="C26" s="341" t="s">
        <v>155</v>
      </c>
      <c r="D26" s="342" t="s">
        <v>166</v>
      </c>
      <c r="E26" s="341" t="s">
        <v>156</v>
      </c>
      <c r="F26" s="341" t="s">
        <v>289</v>
      </c>
      <c r="G26" s="343">
        <v>415</v>
      </c>
      <c r="H26" s="344">
        <v>1</v>
      </c>
      <c r="I26" s="345">
        <f t="shared" si="1"/>
        <v>415</v>
      </c>
    </row>
    <row r="27" spans="2:9" x14ac:dyDescent="0.3">
      <c r="B27" s="341" t="s">
        <v>157</v>
      </c>
      <c r="C27" s="341" t="s">
        <v>155</v>
      </c>
      <c r="D27" s="342" t="s">
        <v>167</v>
      </c>
      <c r="E27" s="341" t="s">
        <v>156</v>
      </c>
      <c r="F27" s="341" t="s">
        <v>289</v>
      </c>
      <c r="G27" s="343">
        <v>415</v>
      </c>
      <c r="H27" s="344">
        <v>1</v>
      </c>
      <c r="I27" s="345">
        <f t="shared" si="1"/>
        <v>415</v>
      </c>
    </row>
    <row r="28" spans="2:9" x14ac:dyDescent="0.3">
      <c r="B28" s="341" t="s">
        <v>157</v>
      </c>
      <c r="C28" s="341" t="s">
        <v>155</v>
      </c>
      <c r="D28" s="342" t="s">
        <v>168</v>
      </c>
      <c r="E28" s="341" t="s">
        <v>156</v>
      </c>
      <c r="F28" s="341" t="s">
        <v>289</v>
      </c>
      <c r="G28" s="343">
        <v>255</v>
      </c>
      <c r="H28" s="344">
        <v>1</v>
      </c>
      <c r="I28" s="345">
        <f t="shared" si="1"/>
        <v>255</v>
      </c>
    </row>
    <row r="29" spans="2:9" x14ac:dyDescent="0.3">
      <c r="B29" s="341" t="s">
        <v>157</v>
      </c>
      <c r="C29" s="341" t="s">
        <v>155</v>
      </c>
      <c r="D29" s="342" t="s">
        <v>169</v>
      </c>
      <c r="E29" s="341" t="s">
        <v>156</v>
      </c>
      <c r="F29" s="341" t="s">
        <v>289</v>
      </c>
      <c r="G29" s="343">
        <v>415</v>
      </c>
      <c r="H29" s="344">
        <v>1</v>
      </c>
      <c r="I29" s="345">
        <f t="shared" si="1"/>
        <v>415</v>
      </c>
    </row>
    <row r="30" spans="2:9" x14ac:dyDescent="0.3">
      <c r="B30" s="348"/>
      <c r="C30" s="348"/>
      <c r="D30" s="348"/>
      <c r="E30" s="348"/>
      <c r="F30" s="348"/>
      <c r="G30" s="346"/>
      <c r="H30" s="347">
        <v>1</v>
      </c>
      <c r="I30" s="346">
        <f>SUM(I6:I29)</f>
        <v>9640</v>
      </c>
    </row>
    <row r="31" spans="2:9" x14ac:dyDescent="0.3">
      <c r="B31" s="341" t="s">
        <v>17</v>
      </c>
      <c r="C31" s="341" t="s">
        <v>155</v>
      </c>
      <c r="D31" s="458" t="s">
        <v>272</v>
      </c>
      <c r="E31" s="341" t="s">
        <v>156</v>
      </c>
      <c r="F31" s="341" t="s">
        <v>40</v>
      </c>
      <c r="G31" s="343">
        <v>255</v>
      </c>
      <c r="H31" s="344">
        <v>1</v>
      </c>
      <c r="I31" s="345">
        <f t="shared" ref="I31:I36" si="2">G31*H31</f>
        <v>255</v>
      </c>
    </row>
    <row r="32" spans="2:9" x14ac:dyDescent="0.3">
      <c r="B32" s="341" t="s">
        <v>17</v>
      </c>
      <c r="C32" s="341" t="s">
        <v>155</v>
      </c>
      <c r="D32" s="458" t="s">
        <v>273</v>
      </c>
      <c r="E32" s="341" t="s">
        <v>156</v>
      </c>
      <c r="F32" s="341" t="s">
        <v>40</v>
      </c>
      <c r="G32" s="343">
        <v>415</v>
      </c>
      <c r="H32" s="344">
        <v>1</v>
      </c>
      <c r="I32" s="345">
        <f t="shared" si="2"/>
        <v>415</v>
      </c>
    </row>
    <row r="33" spans="2:9" x14ac:dyDescent="0.3">
      <c r="B33" s="341" t="s">
        <v>17</v>
      </c>
      <c r="C33" s="341" t="s">
        <v>155</v>
      </c>
      <c r="D33" s="458" t="s">
        <v>274</v>
      </c>
      <c r="E33" s="341" t="s">
        <v>156</v>
      </c>
      <c r="F33" s="341" t="s">
        <v>40</v>
      </c>
      <c r="G33" s="343">
        <v>415</v>
      </c>
      <c r="H33" s="344">
        <v>1</v>
      </c>
      <c r="I33" s="345">
        <f t="shared" si="2"/>
        <v>415</v>
      </c>
    </row>
    <row r="34" spans="2:9" x14ac:dyDescent="0.3">
      <c r="B34" s="341" t="s">
        <v>17</v>
      </c>
      <c r="C34" s="341" t="s">
        <v>155</v>
      </c>
      <c r="D34" s="458" t="s">
        <v>275</v>
      </c>
      <c r="E34" s="341" t="s">
        <v>156</v>
      </c>
      <c r="F34" s="341" t="s">
        <v>40</v>
      </c>
      <c r="G34" s="343">
        <v>415</v>
      </c>
      <c r="H34" s="344">
        <v>1</v>
      </c>
      <c r="I34" s="345">
        <f t="shared" si="2"/>
        <v>415</v>
      </c>
    </row>
    <row r="35" spans="2:9" x14ac:dyDescent="0.3">
      <c r="B35" s="341" t="s">
        <v>17</v>
      </c>
      <c r="C35" s="341" t="s">
        <v>155</v>
      </c>
      <c r="D35" s="458" t="s">
        <v>264</v>
      </c>
      <c r="E35" s="341" t="s">
        <v>156</v>
      </c>
      <c r="F35" s="341" t="s">
        <v>40</v>
      </c>
      <c r="G35" s="343">
        <v>415</v>
      </c>
      <c r="H35" s="344">
        <v>1</v>
      </c>
      <c r="I35" s="345">
        <f t="shared" si="2"/>
        <v>415</v>
      </c>
    </row>
    <row r="36" spans="2:9" x14ac:dyDescent="0.3">
      <c r="B36" s="341" t="s">
        <v>17</v>
      </c>
      <c r="C36" s="341" t="s">
        <v>155</v>
      </c>
      <c r="D36" s="458" t="s">
        <v>262</v>
      </c>
      <c r="E36" s="341" t="s">
        <v>156</v>
      </c>
      <c r="F36" s="341" t="s">
        <v>40</v>
      </c>
      <c r="G36" s="343">
        <v>415</v>
      </c>
      <c r="H36" s="344">
        <v>1</v>
      </c>
      <c r="I36" s="345">
        <f t="shared" si="2"/>
        <v>415</v>
      </c>
    </row>
    <row r="37" spans="2:9" x14ac:dyDescent="0.3">
      <c r="B37" s="341" t="s">
        <v>17</v>
      </c>
      <c r="C37" s="341" t="s">
        <v>155</v>
      </c>
      <c r="D37" s="458" t="s">
        <v>272</v>
      </c>
      <c r="E37" s="341" t="s">
        <v>156</v>
      </c>
      <c r="F37" s="341" t="s">
        <v>289</v>
      </c>
      <c r="G37" s="343">
        <v>255</v>
      </c>
      <c r="H37" s="344">
        <v>1</v>
      </c>
      <c r="I37" s="345">
        <f t="shared" ref="I37:I42" si="3">G37*H37</f>
        <v>255</v>
      </c>
    </row>
    <row r="38" spans="2:9" x14ac:dyDescent="0.3">
      <c r="B38" s="341" t="s">
        <v>17</v>
      </c>
      <c r="C38" s="341" t="s">
        <v>155</v>
      </c>
      <c r="D38" s="458" t="s">
        <v>273</v>
      </c>
      <c r="E38" s="341" t="s">
        <v>156</v>
      </c>
      <c r="F38" s="341" t="s">
        <v>289</v>
      </c>
      <c r="G38" s="343">
        <v>415</v>
      </c>
      <c r="H38" s="344">
        <v>1</v>
      </c>
      <c r="I38" s="345">
        <f t="shared" si="3"/>
        <v>415</v>
      </c>
    </row>
    <row r="39" spans="2:9" x14ac:dyDescent="0.3">
      <c r="B39" s="341" t="s">
        <v>17</v>
      </c>
      <c r="C39" s="341" t="s">
        <v>155</v>
      </c>
      <c r="D39" s="458" t="s">
        <v>274</v>
      </c>
      <c r="E39" s="341" t="s">
        <v>156</v>
      </c>
      <c r="F39" s="341" t="s">
        <v>289</v>
      </c>
      <c r="G39" s="343">
        <v>415</v>
      </c>
      <c r="H39" s="344">
        <v>1</v>
      </c>
      <c r="I39" s="345">
        <f t="shared" si="3"/>
        <v>415</v>
      </c>
    </row>
    <row r="40" spans="2:9" x14ac:dyDescent="0.3">
      <c r="B40" s="341" t="s">
        <v>17</v>
      </c>
      <c r="C40" s="341" t="s">
        <v>155</v>
      </c>
      <c r="D40" s="458" t="s">
        <v>275</v>
      </c>
      <c r="E40" s="341" t="s">
        <v>156</v>
      </c>
      <c r="F40" s="341" t="s">
        <v>289</v>
      </c>
      <c r="G40" s="343">
        <v>415</v>
      </c>
      <c r="H40" s="344">
        <v>1</v>
      </c>
      <c r="I40" s="345">
        <f t="shared" si="3"/>
        <v>415</v>
      </c>
    </row>
    <row r="41" spans="2:9" x14ac:dyDescent="0.3">
      <c r="B41" s="341" t="s">
        <v>17</v>
      </c>
      <c r="C41" s="341" t="s">
        <v>155</v>
      </c>
      <c r="D41" s="458" t="s">
        <v>264</v>
      </c>
      <c r="E41" s="341" t="s">
        <v>156</v>
      </c>
      <c r="F41" s="341" t="s">
        <v>289</v>
      </c>
      <c r="G41" s="343">
        <v>415</v>
      </c>
      <c r="H41" s="344">
        <v>1</v>
      </c>
      <c r="I41" s="345">
        <f t="shared" si="3"/>
        <v>415</v>
      </c>
    </row>
    <row r="42" spans="2:9" x14ac:dyDescent="0.3">
      <c r="B42" s="341" t="s">
        <v>17</v>
      </c>
      <c r="C42" s="341" t="s">
        <v>155</v>
      </c>
      <c r="D42" s="458" t="s">
        <v>262</v>
      </c>
      <c r="E42" s="341" t="s">
        <v>156</v>
      </c>
      <c r="F42" s="341" t="s">
        <v>289</v>
      </c>
      <c r="G42" s="343">
        <v>415</v>
      </c>
      <c r="H42" s="344">
        <v>1</v>
      </c>
      <c r="I42" s="345">
        <f t="shared" si="3"/>
        <v>415</v>
      </c>
    </row>
    <row r="43" spans="2:9" x14ac:dyDescent="0.3">
      <c r="B43" s="348"/>
      <c r="C43" s="348"/>
      <c r="D43" s="348"/>
      <c r="E43" s="348"/>
      <c r="F43" s="348"/>
      <c r="G43" s="346"/>
      <c r="H43" s="347">
        <v>1</v>
      </c>
      <c r="I43" s="346">
        <f>SUM(I31:I42)</f>
        <v>4660</v>
      </c>
    </row>
    <row r="44" spans="2:9" x14ac:dyDescent="0.3">
      <c r="B44" s="341" t="s">
        <v>232</v>
      </c>
      <c r="C44" s="341" t="s">
        <v>155</v>
      </c>
      <c r="D44" s="458" t="s">
        <v>277</v>
      </c>
      <c r="E44" s="341" t="s">
        <v>156</v>
      </c>
      <c r="F44" s="341" t="s">
        <v>40</v>
      </c>
      <c r="G44" s="343">
        <v>255</v>
      </c>
      <c r="H44" s="344">
        <v>1</v>
      </c>
      <c r="I44" s="345">
        <f>G44*H44</f>
        <v>255</v>
      </c>
    </row>
    <row r="45" spans="2:9" x14ac:dyDescent="0.3">
      <c r="B45" s="341" t="s">
        <v>232</v>
      </c>
      <c r="C45" s="341" t="s">
        <v>155</v>
      </c>
      <c r="D45" s="458" t="s">
        <v>276</v>
      </c>
      <c r="E45" s="341" t="s">
        <v>156</v>
      </c>
      <c r="F45" s="341" t="s">
        <v>40</v>
      </c>
      <c r="G45" s="343">
        <v>415</v>
      </c>
      <c r="H45" s="344">
        <v>1</v>
      </c>
      <c r="I45" s="345">
        <f t="shared" ref="I45:I50" si="4">G45*H45</f>
        <v>415</v>
      </c>
    </row>
    <row r="46" spans="2:9" x14ac:dyDescent="0.3">
      <c r="B46" s="341" t="s">
        <v>232</v>
      </c>
      <c r="C46" s="341" t="s">
        <v>155</v>
      </c>
      <c r="D46" s="458" t="s">
        <v>278</v>
      </c>
      <c r="E46" s="341" t="s">
        <v>156</v>
      </c>
      <c r="F46" s="341" t="s">
        <v>40</v>
      </c>
      <c r="G46" s="343">
        <v>415</v>
      </c>
      <c r="H46" s="344">
        <v>1</v>
      </c>
      <c r="I46" s="345">
        <f t="shared" si="4"/>
        <v>415</v>
      </c>
    </row>
    <row r="47" spans="2:9" x14ac:dyDescent="0.3">
      <c r="B47" s="341" t="s">
        <v>232</v>
      </c>
      <c r="C47" s="341" t="s">
        <v>155</v>
      </c>
      <c r="D47" s="458" t="s">
        <v>279</v>
      </c>
      <c r="E47" s="341" t="s">
        <v>156</v>
      </c>
      <c r="F47" s="341" t="s">
        <v>40</v>
      </c>
      <c r="G47" s="343">
        <v>415</v>
      </c>
      <c r="H47" s="344">
        <v>1</v>
      </c>
      <c r="I47" s="345">
        <f t="shared" si="4"/>
        <v>415</v>
      </c>
    </row>
    <row r="48" spans="2:9" x14ac:dyDescent="0.3">
      <c r="B48" s="341" t="s">
        <v>232</v>
      </c>
      <c r="C48" s="341" t="s">
        <v>155</v>
      </c>
      <c r="D48" s="458" t="s">
        <v>280</v>
      </c>
      <c r="E48" s="341" t="s">
        <v>156</v>
      </c>
      <c r="F48" s="341" t="s">
        <v>40</v>
      </c>
      <c r="G48" s="343">
        <v>415</v>
      </c>
      <c r="H48" s="344">
        <v>1</v>
      </c>
      <c r="I48" s="345">
        <f t="shared" si="4"/>
        <v>415</v>
      </c>
    </row>
    <row r="49" spans="2:9" x14ac:dyDescent="0.3">
      <c r="B49" s="341" t="s">
        <v>232</v>
      </c>
      <c r="C49" s="341" t="s">
        <v>155</v>
      </c>
      <c r="D49" s="458" t="s">
        <v>281</v>
      </c>
      <c r="E49" s="341" t="s">
        <v>156</v>
      </c>
      <c r="F49" s="341" t="s">
        <v>40</v>
      </c>
      <c r="G49" s="343">
        <v>415</v>
      </c>
      <c r="H49" s="344">
        <v>1</v>
      </c>
      <c r="I49" s="345">
        <f t="shared" si="4"/>
        <v>415</v>
      </c>
    </row>
    <row r="50" spans="2:9" x14ac:dyDescent="0.3">
      <c r="B50" s="341" t="s">
        <v>232</v>
      </c>
      <c r="C50" s="341" t="s">
        <v>155</v>
      </c>
      <c r="D50" s="458" t="s">
        <v>282</v>
      </c>
      <c r="E50" s="341" t="s">
        <v>156</v>
      </c>
      <c r="F50" s="341" t="s">
        <v>40</v>
      </c>
      <c r="G50" s="343">
        <v>415</v>
      </c>
      <c r="H50" s="344">
        <v>1</v>
      </c>
      <c r="I50" s="345">
        <f t="shared" si="4"/>
        <v>415</v>
      </c>
    </row>
    <row r="51" spans="2:9" x14ac:dyDescent="0.3">
      <c r="B51" s="341" t="s">
        <v>232</v>
      </c>
      <c r="C51" s="341" t="s">
        <v>155</v>
      </c>
      <c r="D51" s="458" t="s">
        <v>277</v>
      </c>
      <c r="E51" s="341" t="s">
        <v>156</v>
      </c>
      <c r="F51" s="341" t="s">
        <v>289</v>
      </c>
      <c r="G51" s="343">
        <v>255</v>
      </c>
      <c r="H51" s="344">
        <v>1</v>
      </c>
      <c r="I51" s="345">
        <f>G51*H51</f>
        <v>255</v>
      </c>
    </row>
    <row r="52" spans="2:9" x14ac:dyDescent="0.3">
      <c r="B52" s="341" t="s">
        <v>232</v>
      </c>
      <c r="C52" s="341" t="s">
        <v>155</v>
      </c>
      <c r="D52" s="458" t="s">
        <v>276</v>
      </c>
      <c r="E52" s="341" t="s">
        <v>156</v>
      </c>
      <c r="F52" s="341" t="s">
        <v>289</v>
      </c>
      <c r="G52" s="343">
        <v>415</v>
      </c>
      <c r="H52" s="344">
        <v>1</v>
      </c>
      <c r="I52" s="345">
        <f t="shared" ref="I52:I57" si="5">G52*H52</f>
        <v>415</v>
      </c>
    </row>
    <row r="53" spans="2:9" x14ac:dyDescent="0.3">
      <c r="B53" s="341" t="s">
        <v>232</v>
      </c>
      <c r="C53" s="341" t="s">
        <v>155</v>
      </c>
      <c r="D53" s="458" t="s">
        <v>278</v>
      </c>
      <c r="E53" s="341" t="s">
        <v>156</v>
      </c>
      <c r="F53" s="341" t="s">
        <v>289</v>
      </c>
      <c r="G53" s="343">
        <v>415</v>
      </c>
      <c r="H53" s="344">
        <v>1</v>
      </c>
      <c r="I53" s="345">
        <f t="shared" si="5"/>
        <v>415</v>
      </c>
    </row>
    <row r="54" spans="2:9" x14ac:dyDescent="0.3">
      <c r="B54" s="341" t="s">
        <v>232</v>
      </c>
      <c r="C54" s="341" t="s">
        <v>155</v>
      </c>
      <c r="D54" s="458" t="s">
        <v>279</v>
      </c>
      <c r="E54" s="341" t="s">
        <v>156</v>
      </c>
      <c r="F54" s="341" t="s">
        <v>289</v>
      </c>
      <c r="G54" s="343">
        <v>415</v>
      </c>
      <c r="H54" s="344">
        <v>1</v>
      </c>
      <c r="I54" s="345">
        <f t="shared" si="5"/>
        <v>415</v>
      </c>
    </row>
    <row r="55" spans="2:9" x14ac:dyDescent="0.3">
      <c r="B55" s="341" t="s">
        <v>232</v>
      </c>
      <c r="C55" s="341" t="s">
        <v>155</v>
      </c>
      <c r="D55" s="458" t="s">
        <v>280</v>
      </c>
      <c r="E55" s="341" t="s">
        <v>156</v>
      </c>
      <c r="F55" s="341" t="s">
        <v>289</v>
      </c>
      <c r="G55" s="343">
        <v>415</v>
      </c>
      <c r="H55" s="344">
        <v>1</v>
      </c>
      <c r="I55" s="345">
        <f t="shared" si="5"/>
        <v>415</v>
      </c>
    </row>
    <row r="56" spans="2:9" x14ac:dyDescent="0.3">
      <c r="B56" s="341" t="s">
        <v>232</v>
      </c>
      <c r="C56" s="341" t="s">
        <v>155</v>
      </c>
      <c r="D56" s="458" t="s">
        <v>281</v>
      </c>
      <c r="E56" s="341" t="s">
        <v>156</v>
      </c>
      <c r="F56" s="341" t="s">
        <v>289</v>
      </c>
      <c r="G56" s="343">
        <v>415</v>
      </c>
      <c r="H56" s="344">
        <v>1</v>
      </c>
      <c r="I56" s="345">
        <f t="shared" ref="I56" si="6">G56*H56</f>
        <v>415</v>
      </c>
    </row>
    <row r="57" spans="2:9" x14ac:dyDescent="0.3">
      <c r="B57" s="341" t="s">
        <v>232</v>
      </c>
      <c r="C57" s="341" t="s">
        <v>155</v>
      </c>
      <c r="D57" s="458" t="s">
        <v>282</v>
      </c>
      <c r="E57" s="341" t="s">
        <v>156</v>
      </c>
      <c r="F57" s="341" t="s">
        <v>289</v>
      </c>
      <c r="G57" s="343">
        <v>415</v>
      </c>
      <c r="H57" s="344">
        <v>1</v>
      </c>
      <c r="I57" s="345">
        <f t="shared" si="5"/>
        <v>415</v>
      </c>
    </row>
    <row r="58" spans="2:9" x14ac:dyDescent="0.3">
      <c r="B58" s="348"/>
      <c r="C58" s="348"/>
      <c r="D58" s="348"/>
      <c r="E58" s="348"/>
      <c r="F58" s="348"/>
      <c r="G58" s="346"/>
      <c r="H58" s="347">
        <v>1</v>
      </c>
      <c r="I58" s="346">
        <f>SUM(I44:I57)</f>
        <v>5490</v>
      </c>
    </row>
    <row r="59" spans="2:9" x14ac:dyDescent="0.3">
      <c r="B59" s="458" t="s">
        <v>225</v>
      </c>
      <c r="C59" s="341" t="s">
        <v>155</v>
      </c>
      <c r="D59" s="458" t="s">
        <v>206</v>
      </c>
      <c r="E59" s="341" t="s">
        <v>156</v>
      </c>
      <c r="F59" s="341" t="s">
        <v>40</v>
      </c>
      <c r="G59" s="343">
        <v>255</v>
      </c>
      <c r="H59" s="344">
        <v>1</v>
      </c>
      <c r="I59" s="345">
        <f t="shared" ref="I59:I64" si="7">G59*H59</f>
        <v>255</v>
      </c>
    </row>
    <row r="60" spans="2:9" x14ac:dyDescent="0.3">
      <c r="B60" s="458" t="s">
        <v>225</v>
      </c>
      <c r="C60" s="341" t="s">
        <v>155</v>
      </c>
      <c r="D60" s="458" t="s">
        <v>283</v>
      </c>
      <c r="E60" s="341" t="s">
        <v>156</v>
      </c>
      <c r="F60" s="341" t="s">
        <v>40</v>
      </c>
      <c r="G60" s="343">
        <v>415</v>
      </c>
      <c r="H60" s="344">
        <v>1</v>
      </c>
      <c r="I60" s="345">
        <f t="shared" si="7"/>
        <v>415</v>
      </c>
    </row>
    <row r="61" spans="2:9" x14ac:dyDescent="0.3">
      <c r="B61" s="458" t="s">
        <v>225</v>
      </c>
      <c r="C61" s="341" t="s">
        <v>155</v>
      </c>
      <c r="D61" s="458" t="s">
        <v>262</v>
      </c>
      <c r="E61" s="341" t="s">
        <v>156</v>
      </c>
      <c r="F61" s="341" t="s">
        <v>40</v>
      </c>
      <c r="G61" s="343">
        <v>415</v>
      </c>
      <c r="H61" s="344">
        <v>1</v>
      </c>
      <c r="I61" s="345">
        <f t="shared" si="7"/>
        <v>415</v>
      </c>
    </row>
    <row r="62" spans="2:9" x14ac:dyDescent="0.3">
      <c r="B62" s="458" t="s">
        <v>225</v>
      </c>
      <c r="C62" s="341" t="s">
        <v>155</v>
      </c>
      <c r="D62" s="458" t="s">
        <v>284</v>
      </c>
      <c r="E62" s="341" t="s">
        <v>156</v>
      </c>
      <c r="F62" s="341" t="s">
        <v>40</v>
      </c>
      <c r="G62" s="343">
        <v>415</v>
      </c>
      <c r="H62" s="344">
        <v>1</v>
      </c>
      <c r="I62" s="345">
        <f t="shared" si="7"/>
        <v>415</v>
      </c>
    </row>
    <row r="63" spans="2:9" x14ac:dyDescent="0.3">
      <c r="B63" s="458" t="s">
        <v>225</v>
      </c>
      <c r="C63" s="341" t="s">
        <v>155</v>
      </c>
      <c r="D63" s="458" t="s">
        <v>285</v>
      </c>
      <c r="E63" s="341" t="s">
        <v>156</v>
      </c>
      <c r="F63" s="341" t="s">
        <v>40</v>
      </c>
      <c r="G63" s="343">
        <v>415</v>
      </c>
      <c r="H63" s="344">
        <v>1</v>
      </c>
      <c r="I63" s="345">
        <f t="shared" si="7"/>
        <v>415</v>
      </c>
    </row>
    <row r="64" spans="2:9" x14ac:dyDescent="0.3">
      <c r="B64" s="458" t="s">
        <v>225</v>
      </c>
      <c r="C64" s="341" t="s">
        <v>155</v>
      </c>
      <c r="D64" s="458" t="s">
        <v>263</v>
      </c>
      <c r="E64" s="341" t="s">
        <v>156</v>
      </c>
      <c r="F64" s="341" t="s">
        <v>40</v>
      </c>
      <c r="G64" s="343">
        <v>415</v>
      </c>
      <c r="H64" s="344">
        <v>1</v>
      </c>
      <c r="I64" s="345">
        <f t="shared" si="7"/>
        <v>415</v>
      </c>
    </row>
    <row r="65" spans="2:9" x14ac:dyDescent="0.3">
      <c r="B65" s="458" t="s">
        <v>225</v>
      </c>
      <c r="C65" s="341" t="s">
        <v>155</v>
      </c>
      <c r="D65" s="458" t="s">
        <v>206</v>
      </c>
      <c r="E65" s="341" t="s">
        <v>156</v>
      </c>
      <c r="F65" s="341" t="s">
        <v>289</v>
      </c>
      <c r="G65" s="343">
        <v>255</v>
      </c>
      <c r="H65" s="344">
        <v>1</v>
      </c>
      <c r="I65" s="345">
        <f t="shared" ref="I65:I70" si="8">G65*H65</f>
        <v>255</v>
      </c>
    </row>
    <row r="66" spans="2:9" x14ac:dyDescent="0.3">
      <c r="B66" s="458" t="s">
        <v>225</v>
      </c>
      <c r="C66" s="341" t="s">
        <v>155</v>
      </c>
      <c r="D66" s="458" t="s">
        <v>283</v>
      </c>
      <c r="E66" s="341" t="s">
        <v>156</v>
      </c>
      <c r="F66" s="341" t="s">
        <v>289</v>
      </c>
      <c r="G66" s="343">
        <v>415</v>
      </c>
      <c r="H66" s="344">
        <v>1</v>
      </c>
      <c r="I66" s="345">
        <f t="shared" si="8"/>
        <v>415</v>
      </c>
    </row>
    <row r="67" spans="2:9" x14ac:dyDescent="0.3">
      <c r="B67" s="458" t="s">
        <v>225</v>
      </c>
      <c r="C67" s="341" t="s">
        <v>155</v>
      </c>
      <c r="D67" s="458" t="s">
        <v>262</v>
      </c>
      <c r="E67" s="341" t="s">
        <v>156</v>
      </c>
      <c r="F67" s="341" t="s">
        <v>289</v>
      </c>
      <c r="G67" s="343">
        <v>415</v>
      </c>
      <c r="H67" s="344">
        <v>1</v>
      </c>
      <c r="I67" s="345">
        <f t="shared" si="8"/>
        <v>415</v>
      </c>
    </row>
    <row r="68" spans="2:9" x14ac:dyDescent="0.3">
      <c r="B68" s="458" t="s">
        <v>225</v>
      </c>
      <c r="C68" s="341" t="s">
        <v>155</v>
      </c>
      <c r="D68" s="458" t="s">
        <v>284</v>
      </c>
      <c r="E68" s="341" t="s">
        <v>156</v>
      </c>
      <c r="F68" s="341" t="s">
        <v>289</v>
      </c>
      <c r="G68" s="343">
        <v>415</v>
      </c>
      <c r="H68" s="344">
        <v>1</v>
      </c>
      <c r="I68" s="345">
        <f t="shared" si="8"/>
        <v>415</v>
      </c>
    </row>
    <row r="69" spans="2:9" x14ac:dyDescent="0.3">
      <c r="B69" s="458" t="s">
        <v>225</v>
      </c>
      <c r="C69" s="341" t="s">
        <v>155</v>
      </c>
      <c r="D69" s="458" t="s">
        <v>285</v>
      </c>
      <c r="E69" s="341" t="s">
        <v>156</v>
      </c>
      <c r="F69" s="341" t="s">
        <v>289</v>
      </c>
      <c r="G69" s="343">
        <v>415</v>
      </c>
      <c r="H69" s="344">
        <v>1</v>
      </c>
      <c r="I69" s="345">
        <f t="shared" si="8"/>
        <v>415</v>
      </c>
    </row>
    <row r="70" spans="2:9" x14ac:dyDescent="0.3">
      <c r="B70" s="458" t="s">
        <v>225</v>
      </c>
      <c r="C70" s="341" t="s">
        <v>155</v>
      </c>
      <c r="D70" s="458" t="s">
        <v>263</v>
      </c>
      <c r="E70" s="341" t="s">
        <v>156</v>
      </c>
      <c r="F70" s="341" t="s">
        <v>289</v>
      </c>
      <c r="G70" s="343">
        <v>415</v>
      </c>
      <c r="H70" s="344">
        <v>1</v>
      </c>
      <c r="I70" s="345">
        <f t="shared" si="8"/>
        <v>415</v>
      </c>
    </row>
    <row r="71" spans="2:9" x14ac:dyDescent="0.3">
      <c r="B71" s="348"/>
      <c r="C71" s="348"/>
      <c r="D71" s="348"/>
      <c r="E71" s="348"/>
      <c r="F71" s="348"/>
      <c r="G71" s="346"/>
      <c r="H71" s="347">
        <v>1</v>
      </c>
      <c r="I71" s="346">
        <f>SUM(I59:I70)</f>
        <v>4660</v>
      </c>
    </row>
    <row r="72" spans="2:9" x14ac:dyDescent="0.3">
      <c r="B72" s="458" t="s">
        <v>250</v>
      </c>
      <c r="C72" s="341" t="s">
        <v>155</v>
      </c>
      <c r="D72" s="458" t="s">
        <v>127</v>
      </c>
      <c r="E72" s="341" t="s">
        <v>156</v>
      </c>
      <c r="F72" s="341" t="s">
        <v>40</v>
      </c>
      <c r="G72" s="343">
        <v>255</v>
      </c>
      <c r="H72" s="344">
        <v>1</v>
      </c>
      <c r="I72" s="345">
        <f t="shared" ref="I72" si="9">G72*H72</f>
        <v>255</v>
      </c>
    </row>
    <row r="73" spans="2:9" x14ac:dyDescent="0.3">
      <c r="B73" s="458" t="s">
        <v>250</v>
      </c>
      <c r="C73" s="341" t="s">
        <v>155</v>
      </c>
      <c r="D73" s="458" t="s">
        <v>127</v>
      </c>
      <c r="E73" s="341" t="s">
        <v>156</v>
      </c>
      <c r="F73" s="341" t="s">
        <v>289</v>
      </c>
      <c r="G73" s="343">
        <v>255</v>
      </c>
      <c r="H73" s="344">
        <v>1</v>
      </c>
      <c r="I73" s="345">
        <f t="shared" ref="I73" si="10">G73*H73</f>
        <v>255</v>
      </c>
    </row>
    <row r="74" spans="2:9" x14ac:dyDescent="0.3">
      <c r="B74" s="348"/>
      <c r="C74" s="348"/>
      <c r="D74" s="348"/>
      <c r="E74" s="348"/>
      <c r="F74" s="348"/>
      <c r="G74" s="346"/>
      <c r="H74" s="347">
        <v>1</v>
      </c>
      <c r="I74" s="346">
        <f>SUM(I72:I73)</f>
        <v>510</v>
      </c>
    </row>
    <row r="75" spans="2:9" x14ac:dyDescent="0.3">
      <c r="B75" s="458" t="s">
        <v>286</v>
      </c>
      <c r="C75" s="341" t="s">
        <v>155</v>
      </c>
      <c r="D75" s="458" t="s">
        <v>287</v>
      </c>
      <c r="E75" s="341" t="s">
        <v>156</v>
      </c>
      <c r="F75" s="341" t="s">
        <v>40</v>
      </c>
      <c r="G75" s="459">
        <v>240</v>
      </c>
      <c r="H75" s="344">
        <v>1</v>
      </c>
      <c r="I75" s="345">
        <f t="shared" ref="I75:I78" si="11">G75*H75</f>
        <v>240</v>
      </c>
    </row>
    <row r="76" spans="2:9" x14ac:dyDescent="0.3">
      <c r="B76" s="458" t="s">
        <v>286</v>
      </c>
      <c r="C76" s="341" t="s">
        <v>155</v>
      </c>
      <c r="D76" s="458" t="s">
        <v>287</v>
      </c>
      <c r="E76" s="341" t="s">
        <v>156</v>
      </c>
      <c r="F76" s="341" t="s">
        <v>289</v>
      </c>
      <c r="G76" s="459">
        <v>480</v>
      </c>
      <c r="H76" s="344">
        <v>1</v>
      </c>
      <c r="I76" s="345">
        <f t="shared" si="11"/>
        <v>480</v>
      </c>
    </row>
    <row r="77" spans="2:9" x14ac:dyDescent="0.3">
      <c r="B77" s="458" t="s">
        <v>286</v>
      </c>
      <c r="C77" s="341" t="s">
        <v>155</v>
      </c>
      <c r="D77" s="458" t="s">
        <v>288</v>
      </c>
      <c r="E77" s="341" t="s">
        <v>156</v>
      </c>
      <c r="F77" s="341" t="s">
        <v>40</v>
      </c>
      <c r="G77" s="459">
        <v>240</v>
      </c>
      <c r="H77" s="344">
        <v>1</v>
      </c>
      <c r="I77" s="345">
        <f t="shared" si="11"/>
        <v>240</v>
      </c>
    </row>
    <row r="78" spans="2:9" x14ac:dyDescent="0.3">
      <c r="B78" s="458" t="s">
        <v>286</v>
      </c>
      <c r="C78" s="341" t="s">
        <v>155</v>
      </c>
      <c r="D78" s="458" t="s">
        <v>288</v>
      </c>
      <c r="E78" s="341" t="s">
        <v>156</v>
      </c>
      <c r="F78" s="341" t="s">
        <v>289</v>
      </c>
      <c r="G78" s="459">
        <v>480</v>
      </c>
      <c r="H78" s="344">
        <v>1</v>
      </c>
      <c r="I78" s="345">
        <f t="shared" si="11"/>
        <v>480</v>
      </c>
    </row>
    <row r="79" spans="2:9" x14ac:dyDescent="0.3">
      <c r="B79" s="458" t="s">
        <v>286</v>
      </c>
      <c r="C79" s="341" t="s">
        <v>155</v>
      </c>
      <c r="D79" s="458" t="s">
        <v>268</v>
      </c>
      <c r="E79" s="341" t="s">
        <v>156</v>
      </c>
      <c r="F79" s="341" t="s">
        <v>40</v>
      </c>
      <c r="G79" s="459">
        <v>240</v>
      </c>
      <c r="H79" s="344">
        <v>1</v>
      </c>
      <c r="I79" s="345">
        <f t="shared" ref="I79:I84" si="12">G79*H79</f>
        <v>240</v>
      </c>
    </row>
    <row r="80" spans="2:9" x14ac:dyDescent="0.3">
      <c r="B80" s="458" t="s">
        <v>286</v>
      </c>
      <c r="C80" s="341" t="s">
        <v>155</v>
      </c>
      <c r="D80" s="458" t="s">
        <v>268</v>
      </c>
      <c r="E80" s="341" t="s">
        <v>156</v>
      </c>
      <c r="F80" s="341" t="s">
        <v>289</v>
      </c>
      <c r="G80" s="459">
        <v>480</v>
      </c>
      <c r="H80" s="344">
        <v>1</v>
      </c>
      <c r="I80" s="345">
        <f t="shared" si="12"/>
        <v>480</v>
      </c>
    </row>
    <row r="81" spans="2:9" x14ac:dyDescent="0.3">
      <c r="B81" s="458" t="s">
        <v>286</v>
      </c>
      <c r="C81" s="341" t="s">
        <v>155</v>
      </c>
      <c r="D81" s="341" t="s">
        <v>266</v>
      </c>
      <c r="E81" s="341" t="s">
        <v>156</v>
      </c>
      <c r="F81" s="341" t="s">
        <v>40</v>
      </c>
      <c r="G81" s="459">
        <v>240</v>
      </c>
      <c r="H81" s="344">
        <v>1</v>
      </c>
      <c r="I81" s="345">
        <f t="shared" ref="I81:I82" si="13">G81*H81</f>
        <v>240</v>
      </c>
    </row>
    <row r="82" spans="2:9" x14ac:dyDescent="0.3">
      <c r="B82" s="458" t="s">
        <v>286</v>
      </c>
      <c r="C82" s="341" t="s">
        <v>155</v>
      </c>
      <c r="D82" s="341" t="s">
        <v>266</v>
      </c>
      <c r="E82" s="341" t="s">
        <v>156</v>
      </c>
      <c r="F82" s="341" t="s">
        <v>289</v>
      </c>
      <c r="G82" s="459">
        <v>480</v>
      </c>
      <c r="H82" s="344">
        <v>1</v>
      </c>
      <c r="I82" s="345">
        <f t="shared" si="13"/>
        <v>480</v>
      </c>
    </row>
    <row r="83" spans="2:9" x14ac:dyDescent="0.3">
      <c r="B83" s="458" t="s">
        <v>286</v>
      </c>
      <c r="C83" s="341" t="s">
        <v>155</v>
      </c>
      <c r="D83" s="341" t="s">
        <v>36</v>
      </c>
      <c r="E83" s="341" t="s">
        <v>156</v>
      </c>
      <c r="F83" s="341" t="s">
        <v>40</v>
      </c>
      <c r="G83" s="459">
        <v>240</v>
      </c>
      <c r="H83" s="344">
        <v>1</v>
      </c>
      <c r="I83" s="345">
        <f t="shared" si="12"/>
        <v>240</v>
      </c>
    </row>
    <row r="84" spans="2:9" x14ac:dyDescent="0.3">
      <c r="B84" s="458" t="s">
        <v>286</v>
      </c>
      <c r="C84" s="341" t="s">
        <v>155</v>
      </c>
      <c r="D84" s="341" t="s">
        <v>36</v>
      </c>
      <c r="E84" s="341" t="s">
        <v>156</v>
      </c>
      <c r="F84" s="341" t="s">
        <v>289</v>
      </c>
      <c r="G84" s="459">
        <v>480</v>
      </c>
      <c r="H84" s="344">
        <v>1</v>
      </c>
      <c r="I84" s="345">
        <f t="shared" si="12"/>
        <v>480</v>
      </c>
    </row>
    <row r="85" spans="2:9" x14ac:dyDescent="0.3">
      <c r="B85" s="348"/>
      <c r="C85" s="348"/>
      <c r="D85" s="348"/>
      <c r="E85" s="348"/>
      <c r="F85" s="348"/>
      <c r="G85" s="346"/>
      <c r="H85" s="347">
        <v>1</v>
      </c>
      <c r="I85" s="346">
        <f>SUM(I75:I84)</f>
        <v>3600</v>
      </c>
    </row>
    <row r="86" spans="2:9" x14ac:dyDescent="0.3">
      <c r="B86" s="458" t="s">
        <v>259</v>
      </c>
      <c r="C86" s="341" t="s">
        <v>155</v>
      </c>
      <c r="D86" s="458" t="s">
        <v>127</v>
      </c>
      <c r="E86" s="341" t="s">
        <v>156</v>
      </c>
      <c r="F86" s="341" t="s">
        <v>40</v>
      </c>
      <c r="G86" s="343">
        <v>255</v>
      </c>
      <c r="H86" s="344">
        <v>1</v>
      </c>
      <c r="I86" s="345">
        <f t="shared" ref="I86" si="14">G86*H86</f>
        <v>255</v>
      </c>
    </row>
    <row r="87" spans="2:9" x14ac:dyDescent="0.3">
      <c r="B87" s="458" t="s">
        <v>259</v>
      </c>
      <c r="C87" s="341" t="s">
        <v>155</v>
      </c>
      <c r="D87" s="458" t="s">
        <v>127</v>
      </c>
      <c r="E87" s="341" t="s">
        <v>156</v>
      </c>
      <c r="F87" s="341" t="s">
        <v>289</v>
      </c>
      <c r="G87" s="343">
        <v>255</v>
      </c>
      <c r="H87" s="344">
        <v>1</v>
      </c>
      <c r="I87" s="345">
        <f t="shared" ref="I87" si="15">G87*H87</f>
        <v>255</v>
      </c>
    </row>
    <row r="88" spans="2:9" x14ac:dyDescent="0.3">
      <c r="B88" s="348"/>
      <c r="C88" s="348"/>
      <c r="D88" s="348"/>
      <c r="E88" s="348"/>
      <c r="F88" s="348"/>
      <c r="G88" s="346"/>
      <c r="H88" s="347">
        <v>1</v>
      </c>
      <c r="I88" s="346">
        <f>SUM(I86:I87)</f>
        <v>510</v>
      </c>
    </row>
    <row r="89" spans="2:9" x14ac:dyDescent="0.3">
      <c r="B89" s="458" t="s">
        <v>290</v>
      </c>
      <c r="C89" s="341" t="s">
        <v>155</v>
      </c>
      <c r="D89" s="458" t="s">
        <v>127</v>
      </c>
      <c r="E89" s="341" t="s">
        <v>156</v>
      </c>
      <c r="F89" s="341" t="s">
        <v>40</v>
      </c>
      <c r="G89" s="343">
        <v>255</v>
      </c>
      <c r="H89" s="344">
        <v>1</v>
      </c>
      <c r="I89" s="345">
        <f t="shared" ref="I89:I90" si="16">G89*H89</f>
        <v>255</v>
      </c>
    </row>
    <row r="90" spans="2:9" x14ac:dyDescent="0.3">
      <c r="B90" s="458" t="s">
        <v>290</v>
      </c>
      <c r="C90" s="341" t="s">
        <v>155</v>
      </c>
      <c r="D90" s="458" t="s">
        <v>127</v>
      </c>
      <c r="E90" s="341" t="s">
        <v>156</v>
      </c>
      <c r="F90" s="341" t="s">
        <v>289</v>
      </c>
      <c r="G90" s="343">
        <v>255</v>
      </c>
      <c r="H90" s="344">
        <v>1</v>
      </c>
      <c r="I90" s="345">
        <f t="shared" si="16"/>
        <v>255</v>
      </c>
    </row>
    <row r="91" spans="2:9" x14ac:dyDescent="0.3">
      <c r="B91" s="348"/>
      <c r="C91" s="348"/>
      <c r="D91" s="348"/>
      <c r="E91" s="348"/>
      <c r="F91" s="348"/>
      <c r="G91" s="346"/>
      <c r="H91" s="347">
        <v>1</v>
      </c>
      <c r="I91" s="346">
        <f>SUM(I89:I90)</f>
        <v>510</v>
      </c>
    </row>
    <row r="92" spans="2:9" x14ac:dyDescent="0.3">
      <c r="B92" s="349"/>
      <c r="C92" s="349"/>
      <c r="D92" s="349"/>
      <c r="E92" s="349"/>
      <c r="F92" s="349"/>
      <c r="G92" s="350"/>
    </row>
    <row r="93" spans="2:9" ht="21" customHeight="1" x14ac:dyDescent="0.3">
      <c r="B93" s="626"/>
      <c r="C93" s="626"/>
      <c r="D93" s="351"/>
      <c r="E93" s="351"/>
      <c r="F93" s="352" t="s">
        <v>171</v>
      </c>
      <c r="G93" s="353"/>
      <c r="H93" s="354"/>
      <c r="I93" s="353">
        <f>SUM(I85,I74,I71,I58,I43,I30,I91,I88)</f>
        <v>29580</v>
      </c>
    </row>
    <row r="94" spans="2:9" ht="6" customHeight="1" x14ac:dyDescent="0.3"/>
    <row r="95" spans="2:9" ht="13.05" customHeight="1" x14ac:dyDescent="0.3"/>
  </sheetData>
  <mergeCells count="1">
    <mergeCell ref="B93:C93"/>
  </mergeCells>
  <pageMargins left="0.511811024" right="0.511811024" top="0.78740157499999996" bottom="0.78740157499999996" header="0.31496062000000002" footer="0.31496062000000002"/>
  <headerFooter>
    <oddFooter>&amp;C_x000D_&amp;1#&amp;"Calibri"&amp;10&amp;K000000 Confidential - Not for Public Consumption or Distribution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BEF7-0571-4EFA-826C-FA421AB6ADF2}">
  <dimension ref="A1:BN39"/>
  <sheetViews>
    <sheetView showGridLines="0" zoomScaleNormal="60" zoomScaleSheetLayoutView="45" workbookViewId="0">
      <pane xSplit="4" ySplit="11" topLeftCell="E17" activePane="bottomRight" state="frozen"/>
      <selection activeCell="BT14" sqref="BT14"/>
      <selection pane="topRight" activeCell="BT14" sqref="BT14"/>
      <selection pane="bottomLeft" activeCell="BT14" sqref="BT14"/>
      <selection pane="bottomRight" activeCell="AY14" sqref="AY14:AZ31"/>
    </sheetView>
  </sheetViews>
  <sheetFormatPr defaultColWidth="8.796875" defaultRowHeight="13.2" x14ac:dyDescent="0.3"/>
  <cols>
    <col min="1" max="1" width="4" style="524" customWidth="1"/>
    <col min="2" max="2" width="29.69921875" style="524" customWidth="1"/>
    <col min="3" max="3" width="20.3984375" style="524" customWidth="1"/>
    <col min="4" max="4" width="19.09765625" style="524" customWidth="1"/>
    <col min="5" max="5" width="18.69921875" style="524" customWidth="1"/>
    <col min="6" max="6" width="11.796875" style="524" customWidth="1"/>
    <col min="7" max="22" width="4.5" style="524" hidden="1" customWidth="1"/>
    <col min="23" max="24" width="5" style="524" hidden="1" customWidth="1"/>
    <col min="25" max="34" width="4.5" style="524" hidden="1" customWidth="1"/>
    <col min="35" max="41" width="4.5" style="524" customWidth="1"/>
    <col min="42" max="43" width="5" style="524" customWidth="1"/>
    <col min="44" max="51" width="4.5" style="524" customWidth="1"/>
    <col min="52" max="52" width="4.796875" style="524" customWidth="1"/>
    <col min="53" max="53" width="4.5" style="524" customWidth="1"/>
    <col min="54" max="54" width="8.296875" style="535" customWidth="1"/>
    <col min="55" max="59" width="14.19921875" style="524" customWidth="1"/>
    <col min="60" max="60" width="2.5" style="524" customWidth="1"/>
    <col min="61" max="61" width="6.8984375" style="537" customWidth="1"/>
    <col min="62" max="62" width="17.59765625" style="524" customWidth="1"/>
    <col min="63" max="63" width="2.19921875" style="524" customWidth="1"/>
    <col min="64" max="64" width="10.796875" style="151" bestFit="1" customWidth="1"/>
    <col min="65" max="65" width="8.796875" style="524"/>
    <col min="66" max="66" width="11.8984375" style="524" bestFit="1" customWidth="1"/>
    <col min="67" max="16384" width="8.796875" style="524"/>
  </cols>
  <sheetData>
    <row r="1" spans="1:66" x14ac:dyDescent="0.3">
      <c r="BG1" s="536"/>
    </row>
    <row r="2" spans="1:66" x14ac:dyDescent="0.3">
      <c r="BC2" s="43"/>
      <c r="BD2" s="43"/>
      <c r="BE2" s="43"/>
      <c r="BF2" s="43"/>
      <c r="BG2" s="536"/>
    </row>
    <row r="3" spans="1:66" x14ac:dyDescent="0.3">
      <c r="A3" s="43"/>
      <c r="B3" s="51"/>
      <c r="C3" s="51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53"/>
      <c r="BC3" s="538"/>
      <c r="BD3" s="538"/>
      <c r="BE3" s="538"/>
      <c r="BF3" s="538"/>
      <c r="BG3" s="536"/>
      <c r="BH3" s="43"/>
    </row>
    <row r="4" spans="1:66" x14ac:dyDescent="0.3">
      <c r="A4" s="43"/>
      <c r="B4" s="51"/>
      <c r="C4" s="51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53"/>
      <c r="BC4" s="538"/>
      <c r="BD4" s="538"/>
      <c r="BE4" s="538"/>
      <c r="BF4" s="538"/>
      <c r="BG4" s="536"/>
      <c r="BH4" s="43"/>
    </row>
    <row r="5" spans="1:66" x14ac:dyDescent="0.3">
      <c r="A5" s="43"/>
      <c r="B5" s="464" t="s">
        <v>0</v>
      </c>
      <c r="C5" s="464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53"/>
      <c r="BC5" s="43"/>
      <c r="BD5" s="538"/>
      <c r="BE5" s="538"/>
      <c r="BF5" s="538"/>
      <c r="BG5" s="536"/>
      <c r="BH5" s="43"/>
    </row>
    <row r="6" spans="1:66" x14ac:dyDescent="0.3">
      <c r="A6" s="43"/>
      <c r="B6" s="465" t="s">
        <v>345</v>
      </c>
      <c r="C6" s="46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53"/>
      <c r="BC6" s="43"/>
      <c r="BD6" s="538"/>
      <c r="BE6" s="538"/>
      <c r="BF6" s="538"/>
      <c r="BG6" s="536"/>
      <c r="BH6" s="43"/>
    </row>
    <row r="7" spans="1:66" x14ac:dyDescent="0.3">
      <c r="A7" s="43"/>
      <c r="B7" s="539"/>
      <c r="C7" s="53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53"/>
      <c r="BC7" s="538"/>
      <c r="BD7" s="538"/>
      <c r="BE7" s="538"/>
      <c r="BF7" s="538"/>
      <c r="BG7" s="536"/>
      <c r="BH7" s="43"/>
    </row>
    <row r="8" spans="1:66" ht="15.45" customHeight="1" x14ac:dyDescent="0.3">
      <c r="A8" s="43"/>
      <c r="B8" s="519"/>
      <c r="C8" s="519"/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19"/>
      <c r="R8" s="519"/>
      <c r="S8" s="519"/>
      <c r="T8" s="519"/>
      <c r="U8" s="519"/>
      <c r="V8" s="519"/>
      <c r="W8" s="519"/>
      <c r="X8" s="519"/>
      <c r="Y8" s="519"/>
      <c r="Z8" s="519"/>
      <c r="AA8" s="519"/>
      <c r="AB8" s="519"/>
      <c r="AC8" s="519"/>
      <c r="AD8" s="519"/>
      <c r="AE8" s="519"/>
      <c r="AF8" s="519"/>
      <c r="AG8" s="519"/>
      <c r="AH8" s="519"/>
      <c r="AI8" s="519"/>
      <c r="AJ8" s="519"/>
      <c r="AK8" s="519"/>
      <c r="AL8" s="519"/>
      <c r="AM8" s="519"/>
      <c r="AN8" s="519"/>
      <c r="AO8" s="519"/>
      <c r="AP8" s="519"/>
      <c r="AQ8" s="519"/>
      <c r="AR8" s="519"/>
      <c r="AS8" s="519"/>
      <c r="AT8" s="519"/>
      <c r="AU8" s="519"/>
      <c r="AV8" s="519"/>
      <c r="AW8" s="519"/>
      <c r="AX8" s="519"/>
      <c r="AY8" s="519"/>
      <c r="AZ8" s="519"/>
      <c r="BA8" s="519"/>
      <c r="BB8" s="520"/>
      <c r="BC8" s="519"/>
      <c r="BD8" s="519"/>
      <c r="BE8" s="519"/>
      <c r="BF8" s="519"/>
      <c r="BG8" s="519"/>
      <c r="BH8" s="43"/>
    </row>
    <row r="9" spans="1:66" s="43" customFormat="1" ht="16.05" customHeight="1" x14ac:dyDescent="0.3">
      <c r="A9" s="32"/>
      <c r="B9" s="607" t="s">
        <v>3</v>
      </c>
      <c r="C9" s="607" t="s">
        <v>4</v>
      </c>
      <c r="D9" s="607" t="s">
        <v>346</v>
      </c>
      <c r="E9" s="608" t="s">
        <v>19</v>
      </c>
      <c r="F9" s="609" t="s">
        <v>48</v>
      </c>
      <c r="G9" s="605" t="s">
        <v>347</v>
      </c>
      <c r="H9" s="605"/>
      <c r="I9" s="605"/>
      <c r="J9" s="605"/>
      <c r="K9" s="605"/>
      <c r="L9" s="605"/>
      <c r="M9" s="605"/>
      <c r="N9" s="605"/>
      <c r="O9" s="605"/>
      <c r="P9" s="605"/>
      <c r="Q9" s="605"/>
      <c r="R9" s="605"/>
      <c r="S9" s="605"/>
      <c r="T9" s="605"/>
      <c r="U9" s="605"/>
      <c r="V9" s="605"/>
      <c r="W9" s="605"/>
      <c r="X9" s="605"/>
      <c r="Y9" s="605"/>
      <c r="Z9" s="605" t="s">
        <v>140</v>
      </c>
      <c r="AA9" s="605"/>
      <c r="AB9" s="605"/>
      <c r="AC9" s="605"/>
      <c r="AD9" s="605"/>
      <c r="AE9" s="605"/>
      <c r="AF9" s="605"/>
      <c r="AG9" s="605"/>
      <c r="AH9" s="605"/>
      <c r="AI9" s="605"/>
      <c r="AJ9" s="605"/>
      <c r="AK9" s="605"/>
      <c r="AL9" s="605"/>
      <c r="AM9" s="605"/>
      <c r="AN9" s="605"/>
      <c r="AO9" s="605"/>
      <c r="AP9" s="605"/>
      <c r="AQ9" s="605"/>
      <c r="AR9" s="605"/>
      <c r="AS9" s="605"/>
      <c r="AT9" s="605"/>
      <c r="AU9" s="605"/>
      <c r="AV9" s="605"/>
      <c r="AW9" s="605"/>
      <c r="AX9" s="605"/>
      <c r="AY9" s="605"/>
      <c r="AZ9" s="605"/>
      <c r="BA9" s="605"/>
      <c r="BB9" s="627" t="s">
        <v>7</v>
      </c>
      <c r="BC9" s="592" t="s">
        <v>8</v>
      </c>
      <c r="BD9" s="609" t="s">
        <v>9</v>
      </c>
      <c r="BE9" s="592" t="s">
        <v>10</v>
      </c>
      <c r="BF9" s="592" t="s">
        <v>11</v>
      </c>
      <c r="BG9" s="592" t="s">
        <v>23</v>
      </c>
      <c r="BH9" s="32"/>
      <c r="BI9" s="607" t="s">
        <v>140</v>
      </c>
      <c r="BJ9" s="607"/>
      <c r="BL9" s="151"/>
    </row>
    <row r="10" spans="1:66" s="43" customFormat="1" ht="16.05" customHeight="1" x14ac:dyDescent="0.3">
      <c r="A10" s="32"/>
      <c r="B10" s="607"/>
      <c r="C10" s="607"/>
      <c r="D10" s="607"/>
      <c r="E10" s="608"/>
      <c r="F10" s="609"/>
      <c r="G10" s="7" t="s">
        <v>13</v>
      </c>
      <c r="H10" s="7" t="s">
        <v>14</v>
      </c>
      <c r="I10" s="7" t="s">
        <v>15</v>
      </c>
      <c r="J10" s="7" t="s">
        <v>14</v>
      </c>
      <c r="K10" s="7" t="s">
        <v>2</v>
      </c>
      <c r="L10" s="8" t="s">
        <v>16</v>
      </c>
      <c r="M10" s="8" t="s">
        <v>16</v>
      </c>
      <c r="N10" s="7" t="s">
        <v>13</v>
      </c>
      <c r="O10" s="7" t="s">
        <v>14</v>
      </c>
      <c r="P10" s="7" t="s">
        <v>15</v>
      </c>
      <c r="Q10" s="7" t="s">
        <v>14</v>
      </c>
      <c r="R10" s="7" t="s">
        <v>2</v>
      </c>
      <c r="S10" s="8" t="s">
        <v>16</v>
      </c>
      <c r="T10" s="8" t="s">
        <v>16</v>
      </c>
      <c r="U10" s="7" t="s">
        <v>13</v>
      </c>
      <c r="V10" s="7" t="s">
        <v>14</v>
      </c>
      <c r="W10" s="7" t="s">
        <v>15</v>
      </c>
      <c r="X10" s="7" t="s">
        <v>14</v>
      </c>
      <c r="Y10" s="7" t="s">
        <v>2</v>
      </c>
      <c r="Z10" s="8" t="s">
        <v>16</v>
      </c>
      <c r="AA10" s="7" t="s">
        <v>13</v>
      </c>
      <c r="AB10" s="7" t="s">
        <v>14</v>
      </c>
      <c r="AC10" s="7" t="s">
        <v>15</v>
      </c>
      <c r="AD10" s="7" t="s">
        <v>14</v>
      </c>
      <c r="AE10" s="7" t="s">
        <v>2</v>
      </c>
      <c r="AF10" s="8" t="s">
        <v>16</v>
      </c>
      <c r="AG10" s="8" t="s">
        <v>16</v>
      </c>
      <c r="AH10" s="7" t="s">
        <v>13</v>
      </c>
      <c r="AI10" s="7" t="s">
        <v>14</v>
      </c>
      <c r="AJ10" s="7" t="s">
        <v>15</v>
      </c>
      <c r="AK10" s="7" t="s">
        <v>14</v>
      </c>
      <c r="AL10" s="7" t="s">
        <v>2</v>
      </c>
      <c r="AM10" s="8" t="s">
        <v>16</v>
      </c>
      <c r="AN10" s="8" t="s">
        <v>16</v>
      </c>
      <c r="AO10" s="7" t="s">
        <v>13</v>
      </c>
      <c r="AP10" s="7" t="s">
        <v>14</v>
      </c>
      <c r="AQ10" s="7" t="s">
        <v>15</v>
      </c>
      <c r="AR10" s="7" t="s">
        <v>14</v>
      </c>
      <c r="AS10" s="7" t="s">
        <v>2</v>
      </c>
      <c r="AT10" s="8" t="s">
        <v>16</v>
      </c>
      <c r="AU10" s="8" t="s">
        <v>16</v>
      </c>
      <c r="AV10" s="7" t="s">
        <v>13</v>
      </c>
      <c r="AW10" s="7" t="s">
        <v>14</v>
      </c>
      <c r="AX10" s="7" t="s">
        <v>15</v>
      </c>
      <c r="AY10" s="7" t="s">
        <v>14</v>
      </c>
      <c r="AZ10" s="7" t="s">
        <v>2</v>
      </c>
      <c r="BA10" s="8" t="s">
        <v>16</v>
      </c>
      <c r="BB10" s="627"/>
      <c r="BC10" s="592"/>
      <c r="BD10" s="609"/>
      <c r="BE10" s="592"/>
      <c r="BF10" s="592"/>
      <c r="BG10" s="592"/>
      <c r="BH10" s="32"/>
      <c r="BI10" s="607"/>
      <c r="BJ10" s="607"/>
      <c r="BL10" s="151"/>
    </row>
    <row r="11" spans="1:66" s="43" customFormat="1" ht="16.05" customHeight="1" x14ac:dyDescent="0.3">
      <c r="A11" s="32"/>
      <c r="B11" s="607"/>
      <c r="C11" s="607"/>
      <c r="D11" s="607"/>
      <c r="E11" s="608"/>
      <c r="F11" s="609"/>
      <c r="G11" s="7">
        <v>1</v>
      </c>
      <c r="H11" s="7">
        <v>2</v>
      </c>
      <c r="I11" s="7">
        <v>3</v>
      </c>
      <c r="J11" s="7">
        <v>4</v>
      </c>
      <c r="K11" s="7">
        <v>5</v>
      </c>
      <c r="L11" s="8">
        <v>6</v>
      </c>
      <c r="M11" s="8">
        <v>7</v>
      </c>
      <c r="N11" s="7">
        <v>8</v>
      </c>
      <c r="O11" s="7">
        <v>9</v>
      </c>
      <c r="P11" s="7">
        <v>10</v>
      </c>
      <c r="Q11" s="7">
        <v>11</v>
      </c>
      <c r="R11" s="7">
        <v>12</v>
      </c>
      <c r="S11" s="8">
        <v>13</v>
      </c>
      <c r="T11" s="8">
        <v>14</v>
      </c>
      <c r="U11" s="7">
        <v>15</v>
      </c>
      <c r="V11" s="7">
        <v>16</v>
      </c>
      <c r="W11" s="7">
        <v>17</v>
      </c>
      <c r="X11" s="7">
        <v>18</v>
      </c>
      <c r="Y11" s="7">
        <v>19</v>
      </c>
      <c r="Z11" s="8">
        <v>1</v>
      </c>
      <c r="AA11" s="7">
        <f>Z11+1</f>
        <v>2</v>
      </c>
      <c r="AB11" s="7">
        <f t="shared" ref="AB11:BA11" si="0">AA11+1</f>
        <v>3</v>
      </c>
      <c r="AC11" s="7">
        <f t="shared" si="0"/>
        <v>4</v>
      </c>
      <c r="AD11" s="7">
        <f t="shared" si="0"/>
        <v>5</v>
      </c>
      <c r="AE11" s="7">
        <f t="shared" si="0"/>
        <v>6</v>
      </c>
      <c r="AF11" s="8">
        <f t="shared" si="0"/>
        <v>7</v>
      </c>
      <c r="AG11" s="8">
        <f t="shared" si="0"/>
        <v>8</v>
      </c>
      <c r="AH11" s="7">
        <f t="shared" si="0"/>
        <v>9</v>
      </c>
      <c r="AI11" s="7">
        <f t="shared" si="0"/>
        <v>10</v>
      </c>
      <c r="AJ11" s="7">
        <f t="shared" si="0"/>
        <v>11</v>
      </c>
      <c r="AK11" s="7">
        <f t="shared" si="0"/>
        <v>12</v>
      </c>
      <c r="AL11" s="7">
        <f t="shared" si="0"/>
        <v>13</v>
      </c>
      <c r="AM11" s="8">
        <f t="shared" si="0"/>
        <v>14</v>
      </c>
      <c r="AN11" s="8">
        <f t="shared" si="0"/>
        <v>15</v>
      </c>
      <c r="AO11" s="7">
        <f t="shared" si="0"/>
        <v>16</v>
      </c>
      <c r="AP11" s="7">
        <f t="shared" si="0"/>
        <v>17</v>
      </c>
      <c r="AQ11" s="7">
        <f t="shared" si="0"/>
        <v>18</v>
      </c>
      <c r="AR11" s="7">
        <f t="shared" si="0"/>
        <v>19</v>
      </c>
      <c r="AS11" s="7">
        <f t="shared" si="0"/>
        <v>20</v>
      </c>
      <c r="AT11" s="8">
        <f t="shared" si="0"/>
        <v>21</v>
      </c>
      <c r="AU11" s="8">
        <f t="shared" si="0"/>
        <v>22</v>
      </c>
      <c r="AV11" s="7">
        <f t="shared" si="0"/>
        <v>23</v>
      </c>
      <c r="AW11" s="7">
        <f t="shared" si="0"/>
        <v>24</v>
      </c>
      <c r="AX11" s="7">
        <f t="shared" si="0"/>
        <v>25</v>
      </c>
      <c r="AY11" s="7">
        <f t="shared" si="0"/>
        <v>26</v>
      </c>
      <c r="AZ11" s="7">
        <f t="shared" si="0"/>
        <v>27</v>
      </c>
      <c r="BA11" s="8">
        <f t="shared" si="0"/>
        <v>28</v>
      </c>
      <c r="BB11" s="627"/>
      <c r="BC11" s="592"/>
      <c r="BD11" s="609"/>
      <c r="BE11" s="592"/>
      <c r="BF11" s="592"/>
      <c r="BG11" s="592"/>
      <c r="BH11" s="32"/>
      <c r="BI11" s="307" t="s">
        <v>7</v>
      </c>
      <c r="BJ11" s="7" t="s">
        <v>348</v>
      </c>
      <c r="BL11" s="151"/>
    </row>
    <row r="12" spans="1:66" ht="16.05" customHeight="1" x14ac:dyDescent="0.3">
      <c r="A12" s="32"/>
      <c r="B12" s="56"/>
      <c r="C12" s="56"/>
      <c r="D12" s="56"/>
      <c r="E12" s="57"/>
      <c r="F12" s="57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21"/>
      <c r="BC12" s="55"/>
      <c r="BD12" s="59"/>
      <c r="BE12" s="55"/>
      <c r="BF12" s="55"/>
      <c r="BG12" s="55"/>
      <c r="BH12" s="32"/>
      <c r="BI12" s="306"/>
      <c r="BJ12" s="43"/>
    </row>
    <row r="13" spans="1:66" ht="16.05" customHeight="1" x14ac:dyDescent="0.3">
      <c r="A13" s="43"/>
      <c r="B13" s="183"/>
      <c r="C13" s="540"/>
      <c r="D13" s="540"/>
      <c r="E13" s="185"/>
      <c r="F13" s="186"/>
      <c r="G13" s="65"/>
      <c r="H13" s="65"/>
      <c r="I13" s="65"/>
      <c r="J13" s="65"/>
      <c r="K13" s="65"/>
      <c r="L13" s="66"/>
      <c r="M13" s="66"/>
      <c r="N13" s="65"/>
      <c r="O13" s="65"/>
      <c r="P13" s="65"/>
      <c r="Q13" s="65"/>
      <c r="R13" s="65"/>
      <c r="S13" s="66"/>
      <c r="T13" s="66"/>
      <c r="U13" s="65"/>
      <c r="V13" s="65"/>
      <c r="W13" s="65"/>
      <c r="X13" s="65"/>
      <c r="Y13" s="65"/>
      <c r="Z13" s="522"/>
      <c r="AA13" s="65"/>
      <c r="AB13" s="65"/>
      <c r="AC13" s="65"/>
      <c r="AD13" s="65"/>
      <c r="AE13" s="65"/>
      <c r="AF13" s="66"/>
      <c r="AG13" s="66"/>
      <c r="AH13" s="65"/>
      <c r="AI13" s="65"/>
      <c r="AJ13" s="65"/>
      <c r="AK13" s="65"/>
      <c r="AL13" s="65"/>
      <c r="AM13" s="66"/>
      <c r="AN13" s="66"/>
      <c r="AO13" s="65"/>
      <c r="AP13" s="65"/>
      <c r="AQ13" s="65"/>
      <c r="AR13" s="65"/>
      <c r="AS13" s="65"/>
      <c r="AT13" s="66"/>
      <c r="AU13" s="66"/>
      <c r="AV13" s="65"/>
      <c r="AW13" s="65"/>
      <c r="AX13" s="65"/>
      <c r="AY13" s="65"/>
      <c r="AZ13" s="65"/>
      <c r="BA13" s="66"/>
      <c r="BB13" s="67"/>
      <c r="BC13" s="68"/>
      <c r="BD13" s="68"/>
      <c r="BE13" s="68"/>
      <c r="BF13" s="68"/>
      <c r="BG13" s="68"/>
      <c r="BH13" s="32"/>
      <c r="BI13" s="523"/>
      <c r="BJ13" s="76"/>
    </row>
    <row r="14" spans="1:66" ht="16.05" customHeight="1" x14ac:dyDescent="0.3">
      <c r="A14" s="32"/>
      <c r="B14" s="130" t="s">
        <v>349</v>
      </c>
      <c r="C14" s="81" t="s">
        <v>53</v>
      </c>
      <c r="D14" s="81" t="s">
        <v>38</v>
      </c>
      <c r="E14" s="95" t="s">
        <v>72</v>
      </c>
      <c r="F14" s="39" t="s">
        <v>18</v>
      </c>
      <c r="G14" s="65"/>
      <c r="H14" s="65"/>
      <c r="I14" s="65"/>
      <c r="J14" s="65"/>
      <c r="K14" s="65"/>
      <c r="L14" s="66"/>
      <c r="M14" s="66"/>
      <c r="N14" s="65"/>
      <c r="O14" s="65"/>
      <c r="P14" s="65"/>
      <c r="Q14" s="65"/>
      <c r="R14" s="65"/>
      <c r="S14" s="66"/>
      <c r="T14" s="66"/>
      <c r="U14" s="65"/>
      <c r="V14" s="65"/>
      <c r="W14" s="65"/>
      <c r="X14" s="65"/>
      <c r="Y14" s="65"/>
      <c r="Z14" s="525"/>
      <c r="AA14" s="11"/>
      <c r="AB14" s="12"/>
      <c r="AC14" s="12"/>
      <c r="AD14" s="12"/>
      <c r="AE14" s="11"/>
      <c r="AF14" s="13"/>
      <c r="AG14" s="13"/>
      <c r="AH14" s="11"/>
      <c r="AI14" s="12"/>
      <c r="AJ14" s="12"/>
      <c r="AK14" s="12"/>
      <c r="AL14" s="12"/>
      <c r="AM14" s="66"/>
      <c r="AN14" s="66"/>
      <c r="AO14" s="12">
        <v>4</v>
      </c>
      <c r="AP14" s="12">
        <v>4</v>
      </c>
      <c r="AQ14" s="12">
        <v>4</v>
      </c>
      <c r="AR14" s="12">
        <v>4</v>
      </c>
      <c r="AS14" s="12">
        <v>4</v>
      </c>
      <c r="AT14" s="12">
        <v>4</v>
      </c>
      <c r="AU14" s="12">
        <v>4</v>
      </c>
      <c r="AV14" s="12">
        <v>4</v>
      </c>
      <c r="AW14" s="12">
        <v>4</v>
      </c>
      <c r="AX14" s="12">
        <v>4</v>
      </c>
      <c r="AY14" s="12"/>
      <c r="AZ14" s="12"/>
      <c r="BA14" s="66"/>
      <c r="BB14" s="82">
        <f>SUM(Z14:BA14)</f>
        <v>40</v>
      </c>
      <c r="BC14" s="22">
        <v>188</v>
      </c>
      <c r="BD14" s="83">
        <v>0.45</v>
      </c>
      <c r="BE14" s="22">
        <f>BC14*(1-BD14)</f>
        <v>103.4</v>
      </c>
      <c r="BF14" s="22">
        <f>BE14*BB14</f>
        <v>4136</v>
      </c>
      <c r="BG14" s="84">
        <f>BF14*0.8</f>
        <v>3308.8</v>
      </c>
      <c r="BH14" s="32"/>
      <c r="BI14" s="526">
        <f>BB14</f>
        <v>40</v>
      </c>
      <c r="BJ14" s="90">
        <f>BG14</f>
        <v>3308.8</v>
      </c>
    </row>
    <row r="15" spans="1:66" ht="16.05" customHeight="1" x14ac:dyDescent="0.3">
      <c r="A15" s="32"/>
      <c r="B15" s="130"/>
      <c r="C15" s="541"/>
      <c r="D15" s="541"/>
      <c r="E15" s="95"/>
      <c r="F15" s="39" t="s">
        <v>289</v>
      </c>
      <c r="G15" s="65"/>
      <c r="H15" s="65"/>
      <c r="I15" s="65"/>
      <c r="J15" s="65"/>
      <c r="K15" s="65"/>
      <c r="L15" s="66"/>
      <c r="M15" s="66"/>
      <c r="N15" s="65"/>
      <c r="O15" s="65"/>
      <c r="P15" s="65"/>
      <c r="Q15" s="65"/>
      <c r="R15" s="65"/>
      <c r="S15" s="66"/>
      <c r="T15" s="66"/>
      <c r="U15" s="65"/>
      <c r="V15" s="65"/>
      <c r="W15" s="65"/>
      <c r="X15" s="65"/>
      <c r="Y15" s="65"/>
      <c r="Z15" s="522"/>
      <c r="AA15" s="65"/>
      <c r="AB15" s="65"/>
      <c r="AC15" s="65"/>
      <c r="AD15" s="65"/>
      <c r="AE15" s="65"/>
      <c r="AF15" s="66"/>
      <c r="AG15" s="66"/>
      <c r="AH15" s="65"/>
      <c r="AI15" s="65"/>
      <c r="AJ15" s="65"/>
      <c r="AK15" s="65">
        <v>3</v>
      </c>
      <c r="AL15" s="65">
        <v>3</v>
      </c>
      <c r="AM15" s="66">
        <v>2</v>
      </c>
      <c r="AN15" s="66">
        <v>2</v>
      </c>
      <c r="AO15" s="65"/>
      <c r="AP15" s="65"/>
      <c r="AQ15" s="65"/>
      <c r="AR15" s="65"/>
      <c r="AS15" s="65"/>
      <c r="AT15" s="66"/>
      <c r="AU15" s="66"/>
      <c r="AV15" s="65"/>
      <c r="AW15" s="65"/>
      <c r="AX15" s="65"/>
      <c r="AY15" s="65"/>
      <c r="AZ15" s="65"/>
      <c r="BA15" s="66"/>
      <c r="BB15" s="175">
        <f>SUM(Z15:BA15)</f>
        <v>10</v>
      </c>
      <c r="BC15" s="22">
        <f>BC14*2</f>
        <v>376</v>
      </c>
      <c r="BD15" s="83">
        <v>0.45</v>
      </c>
      <c r="BE15" s="22">
        <f>BC15*(1-BD15)</f>
        <v>206.8</v>
      </c>
      <c r="BF15" s="22">
        <f>BE15*BB15</f>
        <v>2068</v>
      </c>
      <c r="BG15" s="22">
        <f>BF15*0.8</f>
        <v>1654.4</v>
      </c>
      <c r="BH15" s="32"/>
      <c r="BI15" s="530">
        <f t="shared" ref="BI15:BI30" si="1">BB15</f>
        <v>10</v>
      </c>
      <c r="BJ15" s="90">
        <f t="shared" ref="BJ15:BJ30" si="2">BG15</f>
        <v>1654.4</v>
      </c>
    </row>
    <row r="16" spans="1:66" ht="16.05" customHeight="1" x14ac:dyDescent="0.3">
      <c r="A16" s="32"/>
      <c r="B16" s="130"/>
      <c r="C16" s="541"/>
      <c r="D16" s="541"/>
      <c r="E16" s="95"/>
      <c r="F16" s="39"/>
      <c r="G16" s="65"/>
      <c r="H16" s="65"/>
      <c r="I16" s="65"/>
      <c r="J16" s="65"/>
      <c r="K16" s="65"/>
      <c r="L16" s="66"/>
      <c r="M16" s="66"/>
      <c r="N16" s="65"/>
      <c r="O16" s="65"/>
      <c r="P16" s="65"/>
      <c r="Q16" s="65"/>
      <c r="R16" s="65"/>
      <c r="S16" s="66"/>
      <c r="T16" s="66"/>
      <c r="U16" s="65"/>
      <c r="V16" s="65"/>
      <c r="W16" s="65"/>
      <c r="X16" s="65"/>
      <c r="Y16" s="65"/>
      <c r="Z16" s="522"/>
      <c r="AA16" s="65"/>
      <c r="AB16" s="65"/>
      <c r="AC16" s="65"/>
      <c r="AD16" s="65"/>
      <c r="AE16" s="65"/>
      <c r="AF16" s="66"/>
      <c r="AG16" s="66"/>
      <c r="AH16" s="65"/>
      <c r="AI16" s="65"/>
      <c r="AJ16" s="65"/>
      <c r="AK16" s="65"/>
      <c r="AL16" s="65"/>
      <c r="AM16" s="66"/>
      <c r="AN16" s="66"/>
      <c r="AO16" s="65"/>
      <c r="AP16" s="65"/>
      <c r="AQ16" s="65"/>
      <c r="AR16" s="65"/>
      <c r="AS16" s="65"/>
      <c r="AT16" s="66"/>
      <c r="AU16" s="66"/>
      <c r="AV16" s="65"/>
      <c r="AW16" s="65"/>
      <c r="AX16" s="65"/>
      <c r="AY16" s="65"/>
      <c r="AZ16" s="65"/>
      <c r="BA16" s="66"/>
      <c r="BB16" s="173"/>
      <c r="BC16" s="104"/>
      <c r="BD16" s="195"/>
      <c r="BE16" s="22"/>
      <c r="BF16" s="22"/>
      <c r="BG16" s="22"/>
      <c r="BH16" s="32"/>
      <c r="BI16" s="532">
        <f>SUM(BI14:BI15)</f>
        <v>50</v>
      </c>
      <c r="BJ16" s="533">
        <f>SUM(BJ14:BJ15)</f>
        <v>4963.2000000000007</v>
      </c>
      <c r="BN16" s="551"/>
    </row>
    <row r="17" spans="1:66" ht="16.05" customHeight="1" x14ac:dyDescent="0.3">
      <c r="A17" s="32"/>
      <c r="B17" s="102"/>
      <c r="C17" s="95"/>
      <c r="D17" s="95"/>
      <c r="E17" s="95"/>
      <c r="F17" s="39"/>
      <c r="G17" s="65"/>
      <c r="H17" s="65"/>
      <c r="I17" s="65"/>
      <c r="J17" s="65"/>
      <c r="K17" s="65"/>
      <c r="L17" s="66"/>
      <c r="M17" s="66"/>
      <c r="N17" s="65"/>
      <c r="O17" s="65"/>
      <c r="P17" s="65"/>
      <c r="Q17" s="65"/>
      <c r="R17" s="65"/>
      <c r="S17" s="66"/>
      <c r="T17" s="66"/>
      <c r="U17" s="65"/>
      <c r="V17" s="65"/>
      <c r="W17" s="65"/>
      <c r="X17" s="65"/>
      <c r="Y17" s="65"/>
      <c r="Z17" s="522"/>
      <c r="AA17" s="65"/>
      <c r="AB17" s="65"/>
      <c r="AC17" s="65"/>
      <c r="AD17" s="65"/>
      <c r="AE17" s="65"/>
      <c r="AF17" s="66"/>
      <c r="AG17" s="66"/>
      <c r="AH17" s="65"/>
      <c r="AI17" s="65"/>
      <c r="AJ17" s="65"/>
      <c r="AK17" s="65"/>
      <c r="AL17" s="65"/>
      <c r="AM17" s="66"/>
      <c r="AN17" s="66"/>
      <c r="AO17" s="65"/>
      <c r="AP17" s="65"/>
      <c r="AQ17" s="65"/>
      <c r="AR17" s="65"/>
      <c r="AS17" s="65"/>
      <c r="AT17" s="66"/>
      <c r="AU17" s="66"/>
      <c r="AV17" s="65"/>
      <c r="AW17" s="65"/>
      <c r="AX17" s="65"/>
      <c r="AY17" s="65"/>
      <c r="AZ17" s="65"/>
      <c r="BA17" s="66"/>
      <c r="BB17" s="67"/>
      <c r="BC17" s="68"/>
      <c r="BD17" s="69"/>
      <c r="BE17" s="68"/>
      <c r="BF17" s="68"/>
      <c r="BG17" s="68"/>
      <c r="BH17" s="32"/>
      <c r="BI17" s="523"/>
      <c r="BJ17" s="76"/>
      <c r="BN17" s="551"/>
    </row>
    <row r="18" spans="1:66" ht="16.05" customHeight="1" x14ac:dyDescent="0.3">
      <c r="A18" s="43"/>
      <c r="B18" s="102" t="s">
        <v>350</v>
      </c>
      <c r="C18" s="81" t="s">
        <v>53</v>
      </c>
      <c r="D18" s="81" t="s">
        <v>38</v>
      </c>
      <c r="E18" s="95" t="s">
        <v>72</v>
      </c>
      <c r="F18" s="39" t="s">
        <v>18</v>
      </c>
      <c r="G18" s="65"/>
      <c r="H18" s="65"/>
      <c r="I18" s="65"/>
      <c r="J18" s="65"/>
      <c r="K18" s="65"/>
      <c r="L18" s="66"/>
      <c r="M18" s="66"/>
      <c r="N18" s="65"/>
      <c r="O18" s="65"/>
      <c r="P18" s="65"/>
      <c r="Q18" s="65"/>
      <c r="R18" s="65"/>
      <c r="S18" s="66"/>
      <c r="T18" s="66"/>
      <c r="U18" s="65"/>
      <c r="V18" s="65"/>
      <c r="W18" s="65"/>
      <c r="X18" s="65"/>
      <c r="Y18" s="65"/>
      <c r="Z18" s="522"/>
      <c r="AA18" s="65"/>
      <c r="AB18" s="65"/>
      <c r="AC18" s="65"/>
      <c r="AD18" s="65"/>
      <c r="AE18" s="65"/>
      <c r="AF18" s="66"/>
      <c r="AG18" s="66"/>
      <c r="AH18" s="11"/>
      <c r="AI18" s="12"/>
      <c r="AJ18" s="12"/>
      <c r="AK18" s="12"/>
      <c r="AL18" s="12"/>
      <c r="AM18" s="66"/>
      <c r="AN18" s="66"/>
      <c r="AO18" s="12">
        <v>4</v>
      </c>
      <c r="AP18" s="12">
        <v>4</v>
      </c>
      <c r="AQ18" s="12">
        <v>4</v>
      </c>
      <c r="AR18" s="12">
        <v>4</v>
      </c>
      <c r="AS18" s="12">
        <v>4</v>
      </c>
      <c r="AT18" s="12">
        <v>4</v>
      </c>
      <c r="AU18" s="12">
        <v>4</v>
      </c>
      <c r="AV18" s="12">
        <v>4</v>
      </c>
      <c r="AW18" s="12">
        <v>4</v>
      </c>
      <c r="AX18" s="12">
        <v>4</v>
      </c>
      <c r="AY18" s="12"/>
      <c r="AZ18" s="12"/>
      <c r="BA18" s="66"/>
      <c r="BB18" s="82">
        <f>SUM(Z18:BA18)</f>
        <v>40</v>
      </c>
      <c r="BC18" s="22">
        <v>1863</v>
      </c>
      <c r="BD18" s="83">
        <v>0.55000000000000004</v>
      </c>
      <c r="BE18" s="22">
        <f>BC18*(1-BD18)</f>
        <v>838.34999999999991</v>
      </c>
      <c r="BF18" s="22">
        <f>BE18*BB18</f>
        <v>33534</v>
      </c>
      <c r="BG18" s="84">
        <f>BF18*0.8</f>
        <v>26827.200000000001</v>
      </c>
      <c r="BH18" s="32"/>
      <c r="BI18" s="526">
        <f t="shared" si="1"/>
        <v>40</v>
      </c>
      <c r="BJ18" s="90">
        <f t="shared" si="2"/>
        <v>26827.200000000001</v>
      </c>
      <c r="BN18" s="551"/>
    </row>
    <row r="19" spans="1:66" ht="16.05" customHeight="1" x14ac:dyDescent="0.3">
      <c r="A19" s="32"/>
      <c r="B19" s="102"/>
      <c r="C19" s="541"/>
      <c r="D19" s="541"/>
      <c r="E19" s="95"/>
      <c r="F19" s="39" t="s">
        <v>289</v>
      </c>
      <c r="G19" s="65"/>
      <c r="H19" s="65"/>
      <c r="I19" s="65"/>
      <c r="J19" s="65"/>
      <c r="K19" s="65"/>
      <c r="L19" s="66"/>
      <c r="M19" s="66"/>
      <c r="N19" s="65"/>
      <c r="O19" s="65"/>
      <c r="P19" s="65"/>
      <c r="Q19" s="65"/>
      <c r="R19" s="65"/>
      <c r="S19" s="66"/>
      <c r="T19" s="66"/>
      <c r="U19" s="65"/>
      <c r="V19" s="65"/>
      <c r="W19" s="65"/>
      <c r="X19" s="65"/>
      <c r="Y19" s="65"/>
      <c r="Z19" s="522"/>
      <c r="AA19" s="65"/>
      <c r="AB19" s="65"/>
      <c r="AC19" s="65"/>
      <c r="AD19" s="65"/>
      <c r="AE19" s="65"/>
      <c r="AF19" s="66"/>
      <c r="AG19" s="66"/>
      <c r="AH19" s="65"/>
      <c r="AI19" s="65"/>
      <c r="AJ19" s="65"/>
      <c r="AK19" s="65">
        <v>3</v>
      </c>
      <c r="AL19" s="65">
        <v>3</v>
      </c>
      <c r="AM19" s="66">
        <v>2</v>
      </c>
      <c r="AN19" s="66">
        <v>2</v>
      </c>
      <c r="AO19" s="65"/>
      <c r="AP19" s="65"/>
      <c r="AQ19" s="65"/>
      <c r="AR19" s="65"/>
      <c r="AS19" s="65"/>
      <c r="AT19" s="66"/>
      <c r="AU19" s="66"/>
      <c r="AV19" s="65"/>
      <c r="AW19" s="65"/>
      <c r="AX19" s="65"/>
      <c r="AY19" s="65"/>
      <c r="AZ19" s="65"/>
      <c r="BA19" s="66"/>
      <c r="BB19" s="175">
        <f>SUM(Z19:BA19)</f>
        <v>10</v>
      </c>
      <c r="BC19" s="22">
        <f>BC18*2</f>
        <v>3726</v>
      </c>
      <c r="BD19" s="83">
        <v>0.55000000000000004</v>
      </c>
      <c r="BE19" s="22">
        <f>BC19*(1-BD19)</f>
        <v>1676.6999999999998</v>
      </c>
      <c r="BF19" s="22">
        <f>BE19*BB19</f>
        <v>16767</v>
      </c>
      <c r="BG19" s="22">
        <f>BF19*0.8</f>
        <v>13413.6</v>
      </c>
      <c r="BH19" s="32"/>
      <c r="BI19" s="530">
        <f t="shared" si="1"/>
        <v>10</v>
      </c>
      <c r="BJ19" s="90">
        <f t="shared" si="2"/>
        <v>13413.6</v>
      </c>
    </row>
    <row r="20" spans="1:66" ht="16.05" customHeight="1" x14ac:dyDescent="0.3">
      <c r="A20" s="32"/>
      <c r="B20" s="130"/>
      <c r="C20" s="541"/>
      <c r="D20" s="541"/>
      <c r="E20" s="95"/>
      <c r="F20" s="39"/>
      <c r="G20" s="65"/>
      <c r="H20" s="65"/>
      <c r="I20" s="65"/>
      <c r="J20" s="65"/>
      <c r="K20" s="65"/>
      <c r="L20" s="66"/>
      <c r="M20" s="66"/>
      <c r="N20" s="65"/>
      <c r="O20" s="65"/>
      <c r="P20" s="65"/>
      <c r="Q20" s="65"/>
      <c r="R20" s="65"/>
      <c r="S20" s="66"/>
      <c r="T20" s="66"/>
      <c r="U20" s="65"/>
      <c r="V20" s="65"/>
      <c r="W20" s="65"/>
      <c r="X20" s="65"/>
      <c r="Y20" s="65"/>
      <c r="Z20" s="522"/>
      <c r="AA20" s="65"/>
      <c r="AB20" s="65"/>
      <c r="AC20" s="65"/>
      <c r="AD20" s="65"/>
      <c r="AE20" s="65"/>
      <c r="AF20" s="66"/>
      <c r="AG20" s="66"/>
      <c r="AH20" s="65"/>
      <c r="AI20" s="65"/>
      <c r="AJ20" s="65"/>
      <c r="AK20" s="65"/>
      <c r="AL20" s="65"/>
      <c r="AM20" s="66"/>
      <c r="AN20" s="66"/>
      <c r="AO20" s="65"/>
      <c r="AP20" s="65"/>
      <c r="AQ20" s="65"/>
      <c r="AR20" s="65"/>
      <c r="AS20" s="65"/>
      <c r="AT20" s="66"/>
      <c r="AU20" s="66"/>
      <c r="AV20" s="65"/>
      <c r="AW20" s="65"/>
      <c r="AX20" s="65"/>
      <c r="AY20" s="65"/>
      <c r="AZ20" s="65"/>
      <c r="BA20" s="66"/>
      <c r="BB20" s="173"/>
      <c r="BC20" s="104"/>
      <c r="BD20" s="195"/>
      <c r="BE20" s="104"/>
      <c r="BF20" s="22"/>
      <c r="BG20" s="104"/>
      <c r="BH20" s="32"/>
      <c r="BI20" s="532">
        <f>SUM(BI18:BI19)</f>
        <v>50</v>
      </c>
      <c r="BJ20" s="533">
        <f>SUM(BJ18:BJ19)</f>
        <v>40240.800000000003</v>
      </c>
    </row>
    <row r="21" spans="1:66" ht="16.05" customHeight="1" x14ac:dyDescent="0.3">
      <c r="A21" s="32"/>
      <c r="B21" s="102"/>
      <c r="C21" s="541"/>
      <c r="D21" s="541"/>
      <c r="E21" s="95"/>
      <c r="F21" s="39"/>
      <c r="G21" s="65"/>
      <c r="H21" s="65"/>
      <c r="I21" s="65"/>
      <c r="J21" s="65"/>
      <c r="K21" s="65"/>
      <c r="L21" s="66"/>
      <c r="M21" s="66"/>
      <c r="N21" s="65"/>
      <c r="O21" s="65"/>
      <c r="P21" s="65"/>
      <c r="Q21" s="65"/>
      <c r="R21" s="65"/>
      <c r="S21" s="66"/>
      <c r="T21" s="66"/>
      <c r="U21" s="65"/>
      <c r="V21" s="65"/>
      <c r="W21" s="65"/>
      <c r="X21" s="65"/>
      <c r="Y21" s="65"/>
      <c r="Z21" s="522"/>
      <c r="AA21" s="65"/>
      <c r="AB21" s="65"/>
      <c r="AC21" s="65"/>
      <c r="AD21" s="65"/>
      <c r="AE21" s="65"/>
      <c r="AF21" s="66"/>
      <c r="AG21" s="66"/>
      <c r="AH21" s="65"/>
      <c r="AI21" s="65"/>
      <c r="AJ21" s="65"/>
      <c r="AK21" s="65"/>
      <c r="AL21" s="65"/>
      <c r="AM21" s="66"/>
      <c r="AN21" s="66"/>
      <c r="AO21" s="65"/>
      <c r="AP21" s="65"/>
      <c r="AQ21" s="65"/>
      <c r="AR21" s="65"/>
      <c r="AS21" s="65"/>
      <c r="AT21" s="66"/>
      <c r="AU21" s="66"/>
      <c r="AV21" s="65"/>
      <c r="AW21" s="65"/>
      <c r="AX21" s="65"/>
      <c r="AY21" s="65"/>
      <c r="AZ21" s="65"/>
      <c r="BA21" s="66"/>
      <c r="BB21" s="67"/>
      <c r="BC21" s="68"/>
      <c r="BD21" s="69"/>
      <c r="BE21" s="68"/>
      <c r="BF21" s="68"/>
      <c r="BG21" s="68"/>
      <c r="BH21" s="32"/>
      <c r="BI21" s="523"/>
      <c r="BJ21" s="76"/>
    </row>
    <row r="22" spans="1:66" ht="16.05" customHeight="1" x14ac:dyDescent="0.3">
      <c r="A22" s="32"/>
      <c r="B22" s="102"/>
      <c r="C22" s="95" t="s">
        <v>52</v>
      </c>
      <c r="D22" s="81" t="s">
        <v>38</v>
      </c>
      <c r="E22" s="95" t="s">
        <v>72</v>
      </c>
      <c r="F22" s="39" t="s">
        <v>18</v>
      </c>
      <c r="G22" s="65"/>
      <c r="H22" s="65"/>
      <c r="I22" s="65"/>
      <c r="J22" s="65"/>
      <c r="K22" s="65"/>
      <c r="L22" s="66"/>
      <c r="M22" s="66"/>
      <c r="N22" s="65"/>
      <c r="O22" s="65"/>
      <c r="P22" s="65"/>
      <c r="Q22" s="65"/>
      <c r="R22" s="65"/>
      <c r="S22" s="66"/>
      <c r="T22" s="66"/>
      <c r="U22" s="65"/>
      <c r="V22" s="65"/>
      <c r="W22" s="65"/>
      <c r="X22" s="65"/>
      <c r="Y22" s="65"/>
      <c r="Z22" s="522"/>
      <c r="AA22" s="65"/>
      <c r="AB22" s="65"/>
      <c r="AC22" s="65"/>
      <c r="AD22" s="65"/>
      <c r="AE22" s="65"/>
      <c r="AF22" s="66"/>
      <c r="AG22" s="66"/>
      <c r="AH22" s="11"/>
      <c r="AI22" s="12"/>
      <c r="AJ22" s="12"/>
      <c r="AK22" s="12"/>
      <c r="AL22" s="12"/>
      <c r="AM22" s="66"/>
      <c r="AN22" s="66"/>
      <c r="AO22" s="12">
        <v>4</v>
      </c>
      <c r="AP22" s="12">
        <v>4</v>
      </c>
      <c r="AQ22" s="12">
        <v>4</v>
      </c>
      <c r="AR22" s="12">
        <v>4</v>
      </c>
      <c r="AS22" s="12">
        <v>4</v>
      </c>
      <c r="AT22" s="12">
        <v>4</v>
      </c>
      <c r="AU22" s="12">
        <v>4</v>
      </c>
      <c r="AV22" s="12">
        <v>4</v>
      </c>
      <c r="AW22" s="12">
        <v>4</v>
      </c>
      <c r="AX22" s="12">
        <v>4</v>
      </c>
      <c r="AY22" s="12"/>
      <c r="AZ22" s="12"/>
      <c r="BA22" s="66"/>
      <c r="BB22" s="82">
        <f>SUM(Z22:BA22)</f>
        <v>40</v>
      </c>
      <c r="BC22" s="22">
        <v>1568</v>
      </c>
      <c r="BD22" s="83">
        <v>0.4</v>
      </c>
      <c r="BE22" s="22">
        <f>BC22*(1-BD22)</f>
        <v>940.8</v>
      </c>
      <c r="BF22" s="22">
        <f>BE22*BB22</f>
        <v>37632</v>
      </c>
      <c r="BG22" s="84">
        <f>BF22*0.8</f>
        <v>30105.600000000002</v>
      </c>
      <c r="BH22" s="32"/>
      <c r="BI22" s="526">
        <f t="shared" si="1"/>
        <v>40</v>
      </c>
      <c r="BJ22" s="90">
        <f t="shared" si="2"/>
        <v>30105.600000000002</v>
      </c>
    </row>
    <row r="23" spans="1:66" ht="16.05" customHeight="1" x14ac:dyDescent="0.3">
      <c r="A23" s="32"/>
      <c r="B23" s="102"/>
      <c r="C23" s="95"/>
      <c r="D23" s="95"/>
      <c r="E23" s="95"/>
      <c r="F23" s="39" t="s">
        <v>289</v>
      </c>
      <c r="G23" s="65"/>
      <c r="H23" s="65"/>
      <c r="I23" s="65"/>
      <c r="J23" s="65"/>
      <c r="K23" s="65"/>
      <c r="L23" s="66"/>
      <c r="M23" s="66"/>
      <c r="N23" s="65"/>
      <c r="O23" s="65"/>
      <c r="P23" s="65"/>
      <c r="Q23" s="65"/>
      <c r="R23" s="65"/>
      <c r="S23" s="66"/>
      <c r="T23" s="66"/>
      <c r="U23" s="65"/>
      <c r="V23" s="65"/>
      <c r="W23" s="65"/>
      <c r="X23" s="65"/>
      <c r="Y23" s="65"/>
      <c r="Z23" s="522"/>
      <c r="AA23" s="65"/>
      <c r="AB23" s="65"/>
      <c r="AC23" s="65"/>
      <c r="AD23" s="65"/>
      <c r="AE23" s="65"/>
      <c r="AF23" s="66"/>
      <c r="AG23" s="66"/>
      <c r="AH23" s="65"/>
      <c r="AI23" s="65"/>
      <c r="AJ23" s="65"/>
      <c r="AK23" s="65">
        <v>3</v>
      </c>
      <c r="AL23" s="65">
        <v>3</v>
      </c>
      <c r="AM23" s="66">
        <v>2</v>
      </c>
      <c r="AN23" s="66">
        <v>2</v>
      </c>
      <c r="AO23" s="65"/>
      <c r="AP23" s="65"/>
      <c r="AQ23" s="65"/>
      <c r="AR23" s="65"/>
      <c r="AS23" s="65"/>
      <c r="AT23" s="66"/>
      <c r="AU23" s="66"/>
      <c r="AV23" s="65"/>
      <c r="AW23" s="65"/>
      <c r="AX23" s="65"/>
      <c r="AY23" s="65"/>
      <c r="AZ23" s="65"/>
      <c r="BA23" s="66"/>
      <c r="BB23" s="175">
        <f>SUM(Z23:BA23)</f>
        <v>10</v>
      </c>
      <c r="BC23" s="22">
        <f>BC22*2</f>
        <v>3136</v>
      </c>
      <c r="BD23" s="83">
        <v>0.4</v>
      </c>
      <c r="BE23" s="22">
        <f>BC23*(1-BD23)</f>
        <v>1881.6</v>
      </c>
      <c r="BF23" s="22">
        <f>BE23*BB23</f>
        <v>18816</v>
      </c>
      <c r="BG23" s="22">
        <f>BF23*0.8</f>
        <v>15052.800000000001</v>
      </c>
      <c r="BH23" s="32"/>
      <c r="BI23" s="526">
        <f t="shared" si="1"/>
        <v>10</v>
      </c>
      <c r="BJ23" s="90">
        <f t="shared" si="2"/>
        <v>15052.800000000001</v>
      </c>
    </row>
    <row r="24" spans="1:66" ht="16.05" customHeight="1" x14ac:dyDescent="0.3">
      <c r="A24" s="32"/>
      <c r="B24" s="102"/>
      <c r="C24" s="95"/>
      <c r="D24" s="95"/>
      <c r="E24" s="95"/>
      <c r="F24" s="39"/>
      <c r="G24" s="65"/>
      <c r="H24" s="65"/>
      <c r="I24" s="65"/>
      <c r="J24" s="65"/>
      <c r="K24" s="65"/>
      <c r="L24" s="66"/>
      <c r="M24" s="66"/>
      <c r="N24" s="65"/>
      <c r="O24" s="65"/>
      <c r="P24" s="65"/>
      <c r="Q24" s="65"/>
      <c r="R24" s="65"/>
      <c r="S24" s="66"/>
      <c r="T24" s="66"/>
      <c r="U24" s="65"/>
      <c r="V24" s="65"/>
      <c r="W24" s="65"/>
      <c r="X24" s="65"/>
      <c r="Y24" s="65"/>
      <c r="Z24" s="522"/>
      <c r="AA24" s="65"/>
      <c r="AB24" s="65"/>
      <c r="AC24" s="65"/>
      <c r="AD24" s="65"/>
      <c r="AE24" s="65"/>
      <c r="AF24" s="66"/>
      <c r="AG24" s="66"/>
      <c r="AH24" s="65"/>
      <c r="AI24" s="65"/>
      <c r="AJ24" s="65"/>
      <c r="AK24" s="65"/>
      <c r="AL24" s="65"/>
      <c r="AM24" s="66"/>
      <c r="AN24" s="66"/>
      <c r="AO24" s="65"/>
      <c r="AP24" s="65"/>
      <c r="AQ24" s="65"/>
      <c r="AR24" s="65"/>
      <c r="AS24" s="65"/>
      <c r="AT24" s="66"/>
      <c r="AU24" s="66"/>
      <c r="AV24" s="65"/>
      <c r="AW24" s="65"/>
      <c r="AX24" s="65"/>
      <c r="AY24" s="65"/>
      <c r="AZ24" s="65"/>
      <c r="BA24" s="66"/>
      <c r="BB24" s="173"/>
      <c r="BC24" s="22"/>
      <c r="BD24" s="195"/>
      <c r="BE24" s="104"/>
      <c r="BF24" s="104"/>
      <c r="BG24" s="22"/>
      <c r="BH24" s="32"/>
      <c r="BI24" s="532">
        <f>SUM(BI22:BI23)</f>
        <v>50</v>
      </c>
      <c r="BJ24" s="533">
        <f>SUM(BJ22:BJ23)</f>
        <v>45158.400000000001</v>
      </c>
    </row>
    <row r="25" spans="1:66" ht="16.05" customHeight="1" x14ac:dyDescent="0.3">
      <c r="A25" s="32"/>
      <c r="B25" s="102"/>
      <c r="C25" s="95"/>
      <c r="D25" s="95"/>
      <c r="E25" s="95"/>
      <c r="F25" s="39"/>
      <c r="G25" s="65"/>
      <c r="H25" s="65"/>
      <c r="I25" s="65"/>
      <c r="J25" s="65"/>
      <c r="K25" s="65"/>
      <c r="L25" s="66"/>
      <c r="M25" s="66"/>
      <c r="N25" s="65"/>
      <c r="O25" s="65"/>
      <c r="P25" s="65"/>
      <c r="Q25" s="65"/>
      <c r="R25" s="65"/>
      <c r="S25" s="66"/>
      <c r="T25" s="66"/>
      <c r="U25" s="65"/>
      <c r="V25" s="65"/>
      <c r="W25" s="65"/>
      <c r="X25" s="65"/>
      <c r="Y25" s="65"/>
      <c r="Z25" s="522"/>
      <c r="AA25" s="65"/>
      <c r="AB25" s="65"/>
      <c r="AC25" s="65"/>
      <c r="AD25" s="65"/>
      <c r="AE25" s="65"/>
      <c r="AF25" s="66"/>
      <c r="AG25" s="66"/>
      <c r="AH25" s="65"/>
      <c r="AI25" s="65"/>
      <c r="AJ25" s="65"/>
      <c r="AK25" s="65"/>
      <c r="AL25" s="65"/>
      <c r="AM25" s="66"/>
      <c r="AN25" s="66"/>
      <c r="AO25" s="65"/>
      <c r="AP25" s="65"/>
      <c r="AQ25" s="65"/>
      <c r="AR25" s="65"/>
      <c r="AS25" s="65"/>
      <c r="AT25" s="66"/>
      <c r="AU25" s="66"/>
      <c r="AV25" s="65"/>
      <c r="AW25" s="65"/>
      <c r="AX25" s="65"/>
      <c r="AY25" s="65"/>
      <c r="AZ25" s="65"/>
      <c r="BA25" s="66"/>
      <c r="BB25" s="67"/>
      <c r="BC25" s="68"/>
      <c r="BD25" s="69"/>
      <c r="BE25" s="68"/>
      <c r="BF25" s="68"/>
      <c r="BG25" s="68"/>
      <c r="BH25" s="32"/>
      <c r="BI25" s="531"/>
      <c r="BJ25" s="76"/>
    </row>
    <row r="26" spans="1:66" ht="16.05" customHeight="1" x14ac:dyDescent="0.3">
      <c r="A26" s="32"/>
      <c r="B26" s="102"/>
      <c r="C26" s="95" t="s">
        <v>351</v>
      </c>
      <c r="D26" s="81" t="s">
        <v>38</v>
      </c>
      <c r="E26" s="95" t="s">
        <v>72</v>
      </c>
      <c r="F26" s="39" t="s">
        <v>18</v>
      </c>
      <c r="G26" s="65"/>
      <c r="H26" s="65"/>
      <c r="I26" s="65"/>
      <c r="J26" s="65"/>
      <c r="K26" s="65"/>
      <c r="L26" s="66"/>
      <c r="M26" s="66"/>
      <c r="N26" s="65"/>
      <c r="O26" s="65"/>
      <c r="P26" s="65"/>
      <c r="Q26" s="65"/>
      <c r="R26" s="65"/>
      <c r="S26" s="66"/>
      <c r="T26" s="66"/>
      <c r="U26" s="65"/>
      <c r="V26" s="65"/>
      <c r="W26" s="65"/>
      <c r="X26" s="65"/>
      <c r="Y26" s="65"/>
      <c r="Z26" s="522"/>
      <c r="AA26" s="65"/>
      <c r="AB26" s="65"/>
      <c r="AC26" s="65"/>
      <c r="AD26" s="65"/>
      <c r="AE26" s="65"/>
      <c r="AF26" s="66"/>
      <c r="AG26" s="66"/>
      <c r="AH26" s="11"/>
      <c r="AI26" s="12"/>
      <c r="AJ26" s="12"/>
      <c r="AK26" s="12"/>
      <c r="AL26" s="12"/>
      <c r="AM26" s="66"/>
      <c r="AN26" s="66"/>
      <c r="AO26" s="12">
        <v>2</v>
      </c>
      <c r="AP26" s="12">
        <v>2</v>
      </c>
      <c r="AQ26" s="12">
        <v>2</v>
      </c>
      <c r="AR26" s="12">
        <v>2</v>
      </c>
      <c r="AS26" s="12">
        <v>2</v>
      </c>
      <c r="AT26" s="12">
        <v>2</v>
      </c>
      <c r="AU26" s="12">
        <v>2</v>
      </c>
      <c r="AV26" s="12"/>
      <c r="AW26" s="12"/>
      <c r="AX26" s="12"/>
      <c r="AY26" s="12"/>
      <c r="AZ26" s="12"/>
      <c r="BA26" s="66"/>
      <c r="BB26" s="82">
        <f>SUM(Z26:BA26)</f>
        <v>14</v>
      </c>
      <c r="BC26" s="22">
        <v>1676</v>
      </c>
      <c r="BD26" s="83">
        <v>0.5</v>
      </c>
      <c r="BE26" s="22">
        <f>BC26*(1-BD26)</f>
        <v>838</v>
      </c>
      <c r="BF26" s="22">
        <f>BE26*BB26</f>
        <v>11732</v>
      </c>
      <c r="BG26" s="84">
        <f>BF26*0.8</f>
        <v>9385.6</v>
      </c>
      <c r="BH26" s="32"/>
      <c r="BI26" s="526">
        <f t="shared" si="1"/>
        <v>14</v>
      </c>
      <c r="BJ26" s="90">
        <f t="shared" si="2"/>
        <v>9385.6</v>
      </c>
    </row>
    <row r="27" spans="1:66" ht="16.05" customHeight="1" x14ac:dyDescent="0.3">
      <c r="A27" s="32"/>
      <c r="B27" s="102"/>
      <c r="C27" s="95"/>
      <c r="D27" s="95"/>
      <c r="E27" s="95"/>
      <c r="F27" s="39" t="s">
        <v>289</v>
      </c>
      <c r="G27" s="65"/>
      <c r="H27" s="65"/>
      <c r="I27" s="65"/>
      <c r="J27" s="65"/>
      <c r="K27" s="65"/>
      <c r="L27" s="66"/>
      <c r="M27" s="66"/>
      <c r="N27" s="65"/>
      <c r="O27" s="65"/>
      <c r="P27" s="65"/>
      <c r="Q27" s="65"/>
      <c r="R27" s="65"/>
      <c r="S27" s="66"/>
      <c r="T27" s="66"/>
      <c r="U27" s="65"/>
      <c r="V27" s="65"/>
      <c r="W27" s="65"/>
      <c r="X27" s="65"/>
      <c r="Y27" s="65"/>
      <c r="Z27" s="522"/>
      <c r="AA27" s="65"/>
      <c r="AB27" s="65"/>
      <c r="AC27" s="65"/>
      <c r="AD27" s="65"/>
      <c r="AE27" s="65"/>
      <c r="AF27" s="66"/>
      <c r="AG27" s="66"/>
      <c r="AH27" s="65"/>
      <c r="AI27" s="65"/>
      <c r="AJ27" s="65"/>
      <c r="AK27" s="65"/>
      <c r="AL27" s="65">
        <v>1</v>
      </c>
      <c r="AM27" s="66">
        <v>1</v>
      </c>
      <c r="AN27" s="66">
        <v>1</v>
      </c>
      <c r="AO27" s="65"/>
      <c r="AP27" s="65"/>
      <c r="AQ27" s="65"/>
      <c r="AR27" s="65"/>
      <c r="AS27" s="65"/>
      <c r="AT27" s="66"/>
      <c r="AU27" s="66"/>
      <c r="AV27" s="65"/>
      <c r="AW27" s="65"/>
      <c r="AX27" s="65"/>
      <c r="AY27" s="65"/>
      <c r="AZ27" s="65"/>
      <c r="BA27" s="66"/>
      <c r="BB27" s="175">
        <f>SUM(Z27:BA27)</f>
        <v>3</v>
      </c>
      <c r="BC27" s="22">
        <f>BC26*1.9</f>
        <v>3184.3999999999996</v>
      </c>
      <c r="BD27" s="83">
        <v>0.5</v>
      </c>
      <c r="BE27" s="22">
        <f>BC27*(1-BD27)</f>
        <v>1592.1999999999998</v>
      </c>
      <c r="BF27" s="22">
        <f>BE27*BB27</f>
        <v>4776.5999999999995</v>
      </c>
      <c r="BG27" s="22">
        <f>BF27*0.8</f>
        <v>3821.2799999999997</v>
      </c>
      <c r="BH27" s="32"/>
      <c r="BI27" s="526">
        <f t="shared" si="1"/>
        <v>3</v>
      </c>
      <c r="BJ27" s="90">
        <f t="shared" si="2"/>
        <v>3821.2799999999997</v>
      </c>
    </row>
    <row r="28" spans="1:66" ht="16.05" customHeight="1" x14ac:dyDescent="0.3">
      <c r="A28" s="32"/>
      <c r="B28" s="102"/>
      <c r="C28" s="95"/>
      <c r="D28" s="95"/>
      <c r="E28" s="95"/>
      <c r="F28" s="39"/>
      <c r="G28" s="65"/>
      <c r="H28" s="65"/>
      <c r="I28" s="65"/>
      <c r="J28" s="65"/>
      <c r="K28" s="65"/>
      <c r="L28" s="66"/>
      <c r="M28" s="66"/>
      <c r="N28" s="65"/>
      <c r="O28" s="65"/>
      <c r="P28" s="65"/>
      <c r="Q28" s="65"/>
      <c r="R28" s="65"/>
      <c r="S28" s="66"/>
      <c r="T28" s="66"/>
      <c r="U28" s="65"/>
      <c r="V28" s="65"/>
      <c r="W28" s="65"/>
      <c r="X28" s="65"/>
      <c r="Y28" s="65"/>
      <c r="Z28" s="522"/>
      <c r="AA28" s="65"/>
      <c r="AB28" s="65"/>
      <c r="AC28" s="65"/>
      <c r="AD28" s="65"/>
      <c r="AE28" s="65"/>
      <c r="AF28" s="66"/>
      <c r="AG28" s="66"/>
      <c r="AH28" s="65"/>
      <c r="AI28" s="65"/>
      <c r="AJ28" s="65"/>
      <c r="AK28" s="65"/>
      <c r="AL28" s="65"/>
      <c r="AM28" s="66"/>
      <c r="AN28" s="66"/>
      <c r="AO28" s="65"/>
      <c r="AP28" s="65"/>
      <c r="AQ28" s="65"/>
      <c r="AR28" s="65"/>
      <c r="AS28" s="65"/>
      <c r="AT28" s="66"/>
      <c r="AU28" s="66"/>
      <c r="AV28" s="65"/>
      <c r="AW28" s="65"/>
      <c r="AX28" s="65"/>
      <c r="AY28" s="65"/>
      <c r="AZ28" s="65"/>
      <c r="BA28" s="66"/>
      <c r="BB28" s="175"/>
      <c r="BC28" s="22"/>
      <c r="BD28" s="195"/>
      <c r="BE28" s="104"/>
      <c r="BF28" s="104"/>
      <c r="BG28" s="104"/>
      <c r="BH28" s="32"/>
      <c r="BI28" s="532">
        <f>SUM(BI26:BI27)</f>
        <v>17</v>
      </c>
      <c r="BJ28" s="533">
        <f>SUM(BJ26:BJ27)</f>
        <v>13206.880000000001</v>
      </c>
    </row>
    <row r="29" spans="1:66" ht="16.05" customHeight="1" x14ac:dyDescent="0.3">
      <c r="A29" s="32"/>
      <c r="B29" s="102"/>
      <c r="C29" s="95"/>
      <c r="D29" s="95"/>
      <c r="E29" s="95"/>
      <c r="F29" s="39"/>
      <c r="G29" s="65"/>
      <c r="H29" s="65"/>
      <c r="I29" s="65"/>
      <c r="J29" s="65"/>
      <c r="K29" s="65"/>
      <c r="L29" s="66"/>
      <c r="M29" s="66"/>
      <c r="N29" s="65"/>
      <c r="O29" s="65"/>
      <c r="P29" s="65"/>
      <c r="Q29" s="65"/>
      <c r="R29" s="65"/>
      <c r="S29" s="66"/>
      <c r="T29" s="66"/>
      <c r="U29" s="65"/>
      <c r="V29" s="65"/>
      <c r="W29" s="65"/>
      <c r="X29" s="65"/>
      <c r="Y29" s="65"/>
      <c r="Z29" s="522"/>
      <c r="AA29" s="65"/>
      <c r="AB29" s="65"/>
      <c r="AC29" s="65"/>
      <c r="AD29" s="65"/>
      <c r="AE29" s="65"/>
      <c r="AF29" s="66"/>
      <c r="AG29" s="66"/>
      <c r="AH29" s="65"/>
      <c r="AI29" s="65"/>
      <c r="AJ29" s="65"/>
      <c r="AK29" s="65"/>
      <c r="AL29" s="65"/>
      <c r="AM29" s="66"/>
      <c r="AN29" s="66"/>
      <c r="AO29" s="65"/>
      <c r="AP29" s="65"/>
      <c r="AQ29" s="65"/>
      <c r="AR29" s="65"/>
      <c r="AS29" s="65"/>
      <c r="AT29" s="66"/>
      <c r="AU29" s="66"/>
      <c r="AV29" s="65"/>
      <c r="AW29" s="65"/>
      <c r="AX29" s="65"/>
      <c r="AY29" s="65"/>
      <c r="AZ29" s="65"/>
      <c r="BA29" s="66"/>
      <c r="BB29" s="67"/>
      <c r="BC29" s="68"/>
      <c r="BD29" s="69"/>
      <c r="BE29" s="68"/>
      <c r="BF29" s="68"/>
      <c r="BG29" s="68"/>
      <c r="BH29" s="32"/>
      <c r="BI29" s="523"/>
      <c r="BJ29" s="76"/>
    </row>
    <row r="30" spans="1:66" ht="16.05" customHeight="1" x14ac:dyDescent="0.3">
      <c r="A30" s="32"/>
      <c r="B30" s="102" t="s">
        <v>352</v>
      </c>
      <c r="C30" s="81" t="s">
        <v>53</v>
      </c>
      <c r="D30" s="81" t="s">
        <v>38</v>
      </c>
      <c r="E30" s="95" t="s">
        <v>72</v>
      </c>
      <c r="F30" s="39" t="s">
        <v>18</v>
      </c>
      <c r="G30" s="65"/>
      <c r="H30" s="65"/>
      <c r="I30" s="65"/>
      <c r="J30" s="65"/>
      <c r="K30" s="65"/>
      <c r="L30" s="66"/>
      <c r="M30" s="66"/>
      <c r="N30" s="65"/>
      <c r="O30" s="65"/>
      <c r="P30" s="65"/>
      <c r="Q30" s="65"/>
      <c r="R30" s="65"/>
      <c r="S30" s="66"/>
      <c r="T30" s="66"/>
      <c r="U30" s="65"/>
      <c r="V30" s="65"/>
      <c r="W30" s="65"/>
      <c r="X30" s="65"/>
      <c r="Y30" s="65"/>
      <c r="Z30" s="522"/>
      <c r="AA30" s="65"/>
      <c r="AB30" s="65"/>
      <c r="AC30" s="65"/>
      <c r="AD30" s="65"/>
      <c r="AE30" s="65"/>
      <c r="AF30" s="66"/>
      <c r="AG30" s="66"/>
      <c r="AH30" s="11"/>
      <c r="AI30" s="12"/>
      <c r="AJ30" s="12"/>
      <c r="AK30" s="12"/>
      <c r="AL30" s="12"/>
      <c r="AM30" s="66"/>
      <c r="AN30" s="66"/>
      <c r="AO30" s="12">
        <v>4</v>
      </c>
      <c r="AP30" s="12">
        <v>4</v>
      </c>
      <c r="AQ30" s="12">
        <v>4</v>
      </c>
      <c r="AR30" s="12">
        <v>4</v>
      </c>
      <c r="AS30" s="12">
        <v>4</v>
      </c>
      <c r="AT30" s="12">
        <v>4</v>
      </c>
      <c r="AU30" s="12">
        <v>4</v>
      </c>
      <c r="AV30" s="12">
        <v>4</v>
      </c>
      <c r="AW30" s="12">
        <v>4</v>
      </c>
      <c r="AX30" s="12">
        <v>4</v>
      </c>
      <c r="AY30" s="12"/>
      <c r="AZ30" s="12"/>
      <c r="BA30" s="66"/>
      <c r="BB30" s="82">
        <f>SUM(Z30:BA30)</f>
        <v>40</v>
      </c>
      <c r="BC30" s="22">
        <v>73</v>
      </c>
      <c r="BD30" s="83">
        <v>0.45</v>
      </c>
      <c r="BE30" s="22">
        <f>BC30*(1-BD30)</f>
        <v>40.150000000000006</v>
      </c>
      <c r="BF30" s="22">
        <f>BE30*BB30</f>
        <v>1606.0000000000002</v>
      </c>
      <c r="BG30" s="84">
        <f>BF30*0.8</f>
        <v>1284.8000000000002</v>
      </c>
      <c r="BH30" s="32"/>
      <c r="BI30" s="526">
        <f t="shared" si="1"/>
        <v>40</v>
      </c>
      <c r="BJ30" s="90">
        <f t="shared" si="2"/>
        <v>1284.8000000000002</v>
      </c>
    </row>
    <row r="31" spans="1:66" ht="16.05" customHeight="1" x14ac:dyDescent="0.3">
      <c r="A31" s="32"/>
      <c r="B31" s="102"/>
      <c r="C31" s="541"/>
      <c r="D31" s="541"/>
      <c r="E31" s="95"/>
      <c r="F31" s="39" t="s">
        <v>289</v>
      </c>
      <c r="G31" s="65"/>
      <c r="H31" s="65"/>
      <c r="I31" s="65"/>
      <c r="J31" s="65"/>
      <c r="K31" s="65"/>
      <c r="L31" s="66"/>
      <c r="M31" s="66"/>
      <c r="N31" s="65"/>
      <c r="O31" s="65"/>
      <c r="P31" s="65"/>
      <c r="Q31" s="65"/>
      <c r="R31" s="65"/>
      <c r="S31" s="66"/>
      <c r="T31" s="66"/>
      <c r="U31" s="65"/>
      <c r="V31" s="65"/>
      <c r="W31" s="65"/>
      <c r="X31" s="65"/>
      <c r="Y31" s="65"/>
      <c r="Z31" s="522"/>
      <c r="AA31" s="65"/>
      <c r="AB31" s="65"/>
      <c r="AC31" s="65"/>
      <c r="AD31" s="65"/>
      <c r="AE31" s="65"/>
      <c r="AF31" s="66"/>
      <c r="AG31" s="66"/>
      <c r="AH31" s="65"/>
      <c r="AI31" s="65"/>
      <c r="AJ31" s="65"/>
      <c r="AK31" s="65">
        <v>3</v>
      </c>
      <c r="AL31" s="65">
        <v>3</v>
      </c>
      <c r="AM31" s="66">
        <v>2</v>
      </c>
      <c r="AN31" s="66">
        <v>2</v>
      </c>
      <c r="AO31" s="65"/>
      <c r="AP31" s="65"/>
      <c r="AQ31" s="65"/>
      <c r="AR31" s="65"/>
      <c r="AS31" s="65"/>
      <c r="AT31" s="66"/>
      <c r="AU31" s="66"/>
      <c r="AV31" s="65"/>
      <c r="AW31" s="65"/>
      <c r="AX31" s="65"/>
      <c r="AY31" s="65"/>
      <c r="AZ31" s="65"/>
      <c r="BA31" s="66"/>
      <c r="BB31" s="175">
        <f>SUM(Z31:BA31)</f>
        <v>10</v>
      </c>
      <c r="BC31" s="22">
        <f>BC30*2</f>
        <v>146</v>
      </c>
      <c r="BD31" s="83">
        <v>0.45</v>
      </c>
      <c r="BE31" s="22">
        <f>BC31*(1-BD31)</f>
        <v>80.300000000000011</v>
      </c>
      <c r="BF31" s="22">
        <f>BE31*BB31</f>
        <v>803.00000000000011</v>
      </c>
      <c r="BG31" s="22">
        <f>BF31*0.8</f>
        <v>642.40000000000009</v>
      </c>
      <c r="BH31" s="32"/>
      <c r="BI31" s="526">
        <f t="shared" ref="BI31" si="3">BB31</f>
        <v>10</v>
      </c>
      <c r="BJ31" s="90">
        <f t="shared" ref="BJ31" si="4">BG31</f>
        <v>642.40000000000009</v>
      </c>
    </row>
    <row r="32" spans="1:66" ht="16.05" customHeight="1" x14ac:dyDescent="0.3">
      <c r="A32" s="32"/>
      <c r="B32" s="102"/>
      <c r="C32" s="541"/>
      <c r="D32" s="541"/>
      <c r="E32" s="95"/>
      <c r="F32" s="39"/>
      <c r="G32" s="65"/>
      <c r="H32" s="65"/>
      <c r="I32" s="65"/>
      <c r="J32" s="65"/>
      <c r="K32" s="65"/>
      <c r="L32" s="66"/>
      <c r="M32" s="66"/>
      <c r="N32" s="65"/>
      <c r="O32" s="65"/>
      <c r="P32" s="65"/>
      <c r="Q32" s="65"/>
      <c r="R32" s="65"/>
      <c r="S32" s="66"/>
      <c r="T32" s="66"/>
      <c r="U32" s="65"/>
      <c r="V32" s="65"/>
      <c r="W32" s="65"/>
      <c r="X32" s="65"/>
      <c r="Y32" s="65"/>
      <c r="Z32" s="522"/>
      <c r="AA32" s="65"/>
      <c r="AB32" s="65"/>
      <c r="AC32" s="65"/>
      <c r="AD32" s="65"/>
      <c r="AE32" s="65"/>
      <c r="AF32" s="66"/>
      <c r="AG32" s="66"/>
      <c r="AH32" s="65"/>
      <c r="AI32" s="65"/>
      <c r="AJ32" s="65"/>
      <c r="AK32" s="65"/>
      <c r="AL32" s="65"/>
      <c r="AM32" s="66"/>
      <c r="AN32" s="66"/>
      <c r="AO32" s="65"/>
      <c r="AP32" s="65"/>
      <c r="AQ32" s="65"/>
      <c r="AR32" s="65"/>
      <c r="AS32" s="65"/>
      <c r="AT32" s="66"/>
      <c r="AU32" s="66"/>
      <c r="AV32" s="65"/>
      <c r="AW32" s="65"/>
      <c r="AX32" s="65"/>
      <c r="AY32" s="65"/>
      <c r="AZ32" s="65"/>
      <c r="BA32" s="66"/>
      <c r="BB32" s="173"/>
      <c r="BC32" s="104"/>
      <c r="BD32" s="195"/>
      <c r="BE32" s="104"/>
      <c r="BF32" s="104"/>
      <c r="BG32" s="104"/>
      <c r="BH32" s="32"/>
      <c r="BI32" s="532">
        <f>SUM(BI30:BI31)</f>
        <v>50</v>
      </c>
      <c r="BJ32" s="533">
        <f>SUM(BJ30:BJ31)</f>
        <v>1927.2000000000003</v>
      </c>
    </row>
    <row r="33" spans="1:64" x14ac:dyDescent="0.3">
      <c r="A33" s="32"/>
      <c r="B33" s="25" t="s">
        <v>353</v>
      </c>
      <c r="C33" s="25"/>
      <c r="D33" s="139"/>
      <c r="E33" s="139"/>
      <c r="F33" s="139"/>
      <c r="G33" s="527">
        <f t="shared" ref="G33:BB33" si="5">SUM(G13:G32)</f>
        <v>0</v>
      </c>
      <c r="H33" s="527">
        <f t="shared" si="5"/>
        <v>0</v>
      </c>
      <c r="I33" s="527">
        <f t="shared" si="5"/>
        <v>0</v>
      </c>
      <c r="J33" s="527">
        <f t="shared" si="5"/>
        <v>0</v>
      </c>
      <c r="K33" s="527">
        <f t="shared" si="5"/>
        <v>0</v>
      </c>
      <c r="L33" s="527">
        <f t="shared" si="5"/>
        <v>0</v>
      </c>
      <c r="M33" s="527">
        <f t="shared" si="5"/>
        <v>0</v>
      </c>
      <c r="N33" s="527">
        <f t="shared" si="5"/>
        <v>0</v>
      </c>
      <c r="O33" s="527">
        <f t="shared" si="5"/>
        <v>0</v>
      </c>
      <c r="P33" s="527">
        <f t="shared" si="5"/>
        <v>0</v>
      </c>
      <c r="Q33" s="527">
        <f t="shared" si="5"/>
        <v>0</v>
      </c>
      <c r="R33" s="527">
        <f t="shared" si="5"/>
        <v>0</v>
      </c>
      <c r="S33" s="527">
        <f t="shared" si="5"/>
        <v>0</v>
      </c>
      <c r="T33" s="527">
        <f t="shared" si="5"/>
        <v>0</v>
      </c>
      <c r="U33" s="527">
        <f t="shared" si="5"/>
        <v>0</v>
      </c>
      <c r="V33" s="527">
        <f t="shared" si="5"/>
        <v>0</v>
      </c>
      <c r="W33" s="527">
        <f t="shared" si="5"/>
        <v>0</v>
      </c>
      <c r="X33" s="527">
        <f t="shared" si="5"/>
        <v>0</v>
      </c>
      <c r="Y33" s="527">
        <f t="shared" si="5"/>
        <v>0</v>
      </c>
      <c r="Z33" s="527">
        <f t="shared" si="5"/>
        <v>0</v>
      </c>
      <c r="AA33" s="527">
        <f t="shared" si="5"/>
        <v>0</v>
      </c>
      <c r="AB33" s="527">
        <f t="shared" si="5"/>
        <v>0</v>
      </c>
      <c r="AC33" s="527">
        <f t="shared" si="5"/>
        <v>0</v>
      </c>
      <c r="AD33" s="527">
        <f t="shared" si="5"/>
        <v>0</v>
      </c>
      <c r="AE33" s="527">
        <f t="shared" si="5"/>
        <v>0</v>
      </c>
      <c r="AF33" s="527">
        <f t="shared" si="5"/>
        <v>0</v>
      </c>
      <c r="AG33" s="527">
        <f t="shared" si="5"/>
        <v>0</v>
      </c>
      <c r="AH33" s="527">
        <f t="shared" si="5"/>
        <v>0</v>
      </c>
      <c r="AI33" s="527">
        <f t="shared" si="5"/>
        <v>0</v>
      </c>
      <c r="AJ33" s="527">
        <f t="shared" si="5"/>
        <v>0</v>
      </c>
      <c r="AK33" s="527">
        <f t="shared" si="5"/>
        <v>12</v>
      </c>
      <c r="AL33" s="527">
        <f t="shared" si="5"/>
        <v>13</v>
      </c>
      <c r="AM33" s="527">
        <f t="shared" si="5"/>
        <v>9</v>
      </c>
      <c r="AN33" s="527">
        <f t="shared" si="5"/>
        <v>9</v>
      </c>
      <c r="AO33" s="527">
        <f t="shared" si="5"/>
        <v>18</v>
      </c>
      <c r="AP33" s="527">
        <f t="shared" si="5"/>
        <v>18</v>
      </c>
      <c r="AQ33" s="527">
        <f t="shared" si="5"/>
        <v>18</v>
      </c>
      <c r="AR33" s="527">
        <f t="shared" si="5"/>
        <v>18</v>
      </c>
      <c r="AS33" s="527">
        <f t="shared" si="5"/>
        <v>18</v>
      </c>
      <c r="AT33" s="527">
        <f t="shared" si="5"/>
        <v>18</v>
      </c>
      <c r="AU33" s="527">
        <f t="shared" si="5"/>
        <v>18</v>
      </c>
      <c r="AV33" s="527">
        <f t="shared" si="5"/>
        <v>16</v>
      </c>
      <c r="AW33" s="527">
        <f t="shared" si="5"/>
        <v>16</v>
      </c>
      <c r="AX33" s="527">
        <f t="shared" si="5"/>
        <v>16</v>
      </c>
      <c r="AY33" s="527">
        <f t="shared" si="5"/>
        <v>0</v>
      </c>
      <c r="AZ33" s="527">
        <f t="shared" si="5"/>
        <v>0</v>
      </c>
      <c r="BA33" s="527">
        <f t="shared" si="5"/>
        <v>0</v>
      </c>
      <c r="BB33" s="140">
        <f t="shared" si="5"/>
        <v>217</v>
      </c>
      <c r="BC33" s="141"/>
      <c r="BD33" s="141"/>
      <c r="BE33" s="141"/>
      <c r="BF33" s="141">
        <f>SUM(BF13:BF32)</f>
        <v>131870.6</v>
      </c>
      <c r="BG33" s="141">
        <f>SUM(BG13:BG32)</f>
        <v>105496.48000000001</v>
      </c>
      <c r="BH33" s="43"/>
      <c r="BI33" s="528">
        <f>SUM(BI16,BI20,BI24,BI28,BI32)</f>
        <v>217</v>
      </c>
      <c r="BJ33" s="534">
        <f>SUM(BJ16,BJ20,BJ24,BJ28,BJ32)</f>
        <v>105496.48</v>
      </c>
      <c r="BL33" s="151" t="b">
        <f>BJ33=BG33</f>
        <v>1</v>
      </c>
    </row>
    <row r="34" spans="1:64" ht="16.05" customHeight="1" x14ac:dyDescent="0.3">
      <c r="BB34" s="524"/>
      <c r="BD34" s="542"/>
      <c r="BF34" s="543"/>
      <c r="BG34" s="543"/>
      <c r="BL34" s="524"/>
    </row>
    <row r="35" spans="1:64" x14ac:dyDescent="0.3">
      <c r="BB35" s="524"/>
      <c r="BG35" s="544"/>
      <c r="BL35" s="524"/>
    </row>
    <row r="36" spans="1:64" x14ac:dyDescent="0.3">
      <c r="BB36" s="524"/>
      <c r="BG36" s="544"/>
      <c r="BL36" s="524"/>
    </row>
    <row r="37" spans="1:64" x14ac:dyDescent="0.3">
      <c r="BB37" s="524"/>
      <c r="BG37" s="543"/>
      <c r="BL37" s="524"/>
    </row>
    <row r="38" spans="1:64" x14ac:dyDescent="0.3">
      <c r="BB38" s="524"/>
      <c r="BF38" s="543"/>
      <c r="BG38" s="543"/>
      <c r="BL38" s="524"/>
    </row>
    <row r="39" spans="1:64" x14ac:dyDescent="0.3">
      <c r="BB39" s="524"/>
      <c r="BJ39" s="544"/>
      <c r="BL39" s="524"/>
    </row>
  </sheetData>
  <mergeCells count="14">
    <mergeCell ref="G9:Y9"/>
    <mergeCell ref="B9:B11"/>
    <mergeCell ref="C9:C11"/>
    <mergeCell ref="D9:D11"/>
    <mergeCell ref="E9:E11"/>
    <mergeCell ref="F9:F11"/>
    <mergeCell ref="BG9:BG11"/>
    <mergeCell ref="BI9:BJ10"/>
    <mergeCell ref="Z9:BA9"/>
    <mergeCell ref="BB9:BB11"/>
    <mergeCell ref="BC9:BC11"/>
    <mergeCell ref="BD9:BD11"/>
    <mergeCell ref="BE9:BE11"/>
    <mergeCell ref="BF9:BF11"/>
  </mergeCells>
  <conditionalFormatting sqref="G13:BA32">
    <cfRule type="notContainsBlanks" dxfId="0" priority="1">
      <formula>LEN(TRIM(G13))&gt;0</formula>
    </cfRule>
  </conditionalFormatting>
  <pageMargins left="0.25" right="0.25" top="0.75" bottom="0.75" header="0.3" footer="0.3"/>
  <pageSetup paperSize="9" scale="22" orientation="landscape" r:id="rId1"/>
  <headerFooter>
    <oddFooter>&amp;C_x000D_&amp;1#&amp;"Aptos"&amp;10&amp;K000000 Confidential - Not for Public Consumption or Distribution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BC71-58A5-4057-8366-5C00460EFD11}">
  <dimension ref="B1:J45"/>
  <sheetViews>
    <sheetView showGridLines="0" zoomScaleNormal="100" workbookViewId="0">
      <selection activeCell="D22" sqref="D22:D29"/>
    </sheetView>
  </sheetViews>
  <sheetFormatPr defaultColWidth="21.19921875" defaultRowHeight="14.4" x14ac:dyDescent="0.3"/>
  <cols>
    <col min="1" max="1" width="3.19921875" style="338" customWidth="1"/>
    <col min="2" max="2" width="21.19921875" style="338"/>
    <col min="3" max="3" width="26.69921875" style="338" customWidth="1"/>
    <col min="4" max="4" width="36.19921875" style="338" customWidth="1"/>
    <col min="5" max="5" width="15.69921875" style="338" bestFit="1" customWidth="1"/>
    <col min="6" max="6" width="27.09765625" style="338" customWidth="1"/>
    <col min="7" max="7" width="21.19921875" style="339"/>
    <col min="8" max="8" width="10.09765625" style="339" customWidth="1"/>
    <col min="9" max="9" width="21.19921875" style="339"/>
    <col min="10" max="16384" width="21.19921875" style="338"/>
  </cols>
  <sheetData>
    <row r="1" spans="2:10" ht="46.95" customHeight="1" x14ac:dyDescent="0.3"/>
    <row r="2" spans="2:10" x14ac:dyDescent="0.2">
      <c r="B2" s="5" t="s">
        <v>0</v>
      </c>
    </row>
    <row r="3" spans="2:10" x14ac:dyDescent="0.2">
      <c r="B3" s="6" t="s">
        <v>314</v>
      </c>
    </row>
    <row r="4" spans="2:10" ht="13.05" customHeight="1" x14ac:dyDescent="0.3"/>
    <row r="5" spans="2:10" x14ac:dyDescent="0.3">
      <c r="B5" s="340" t="s">
        <v>147</v>
      </c>
      <c r="C5" s="340" t="s">
        <v>148</v>
      </c>
      <c r="D5" s="340" t="s">
        <v>149</v>
      </c>
      <c r="E5" s="340" t="s">
        <v>150</v>
      </c>
      <c r="F5" s="340" t="s">
        <v>151</v>
      </c>
      <c r="G5" s="340" t="s">
        <v>152</v>
      </c>
      <c r="H5" s="340" t="s">
        <v>153</v>
      </c>
      <c r="I5" s="340" t="s">
        <v>154</v>
      </c>
    </row>
    <row r="6" spans="2:10" x14ac:dyDescent="0.3">
      <c r="B6" s="341" t="s">
        <v>157</v>
      </c>
      <c r="C6" s="341" t="s">
        <v>155</v>
      </c>
      <c r="D6" s="342" t="s">
        <v>402</v>
      </c>
      <c r="E6" s="341" t="s">
        <v>156</v>
      </c>
      <c r="F6" s="342" t="s">
        <v>356</v>
      </c>
      <c r="G6" s="343">
        <v>415</v>
      </c>
      <c r="H6" s="344">
        <v>1</v>
      </c>
      <c r="I6" s="345">
        <f t="shared" ref="I6:I10" si="0">G6*H6</f>
        <v>415</v>
      </c>
    </row>
    <row r="7" spans="2:10" x14ac:dyDescent="0.3">
      <c r="B7" s="341" t="s">
        <v>157</v>
      </c>
      <c r="C7" s="341" t="s">
        <v>155</v>
      </c>
      <c r="D7" s="342" t="s">
        <v>339</v>
      </c>
      <c r="E7" s="341" t="s">
        <v>156</v>
      </c>
      <c r="F7" s="342" t="s">
        <v>356</v>
      </c>
      <c r="G7" s="343">
        <v>415</v>
      </c>
      <c r="H7" s="344">
        <v>1</v>
      </c>
      <c r="I7" s="345">
        <f t="shared" si="0"/>
        <v>415</v>
      </c>
    </row>
    <row r="8" spans="2:10" x14ac:dyDescent="0.3">
      <c r="B8" s="341" t="s">
        <v>157</v>
      </c>
      <c r="C8" s="341" t="s">
        <v>155</v>
      </c>
      <c r="D8" s="342" t="s">
        <v>403</v>
      </c>
      <c r="E8" s="341" t="s">
        <v>156</v>
      </c>
      <c r="F8" s="342" t="s">
        <v>356</v>
      </c>
      <c r="G8" s="343">
        <v>415</v>
      </c>
      <c r="H8" s="344">
        <v>1</v>
      </c>
      <c r="I8" s="345">
        <f t="shared" si="0"/>
        <v>415</v>
      </c>
      <c r="J8" s="502"/>
    </row>
    <row r="9" spans="2:10" x14ac:dyDescent="0.3">
      <c r="B9" s="341" t="s">
        <v>157</v>
      </c>
      <c r="C9" s="341" t="s">
        <v>155</v>
      </c>
      <c r="D9" s="342" t="s">
        <v>265</v>
      </c>
      <c r="E9" s="341" t="s">
        <v>156</v>
      </c>
      <c r="F9" s="342" t="s">
        <v>356</v>
      </c>
      <c r="G9" s="343">
        <v>415</v>
      </c>
      <c r="H9" s="344">
        <v>1</v>
      </c>
      <c r="I9" s="345">
        <f t="shared" si="0"/>
        <v>415</v>
      </c>
    </row>
    <row r="10" spans="2:10" x14ac:dyDescent="0.3">
      <c r="B10" s="341" t="s">
        <v>157</v>
      </c>
      <c r="C10" s="341" t="s">
        <v>155</v>
      </c>
      <c r="D10" s="342" t="s">
        <v>344</v>
      </c>
      <c r="E10" s="341" t="s">
        <v>156</v>
      </c>
      <c r="F10" s="342" t="s">
        <v>356</v>
      </c>
      <c r="G10" s="343">
        <v>415</v>
      </c>
      <c r="H10" s="344">
        <v>1</v>
      </c>
      <c r="I10" s="345">
        <f t="shared" si="0"/>
        <v>415</v>
      </c>
    </row>
    <row r="11" spans="2:10" x14ac:dyDescent="0.3">
      <c r="B11" s="341" t="s">
        <v>157</v>
      </c>
      <c r="C11" s="341" t="s">
        <v>155</v>
      </c>
      <c r="D11" s="342" t="s">
        <v>402</v>
      </c>
      <c r="E11" s="341" t="s">
        <v>156</v>
      </c>
      <c r="F11" s="342" t="s">
        <v>357</v>
      </c>
      <c r="G11" s="343">
        <v>415</v>
      </c>
      <c r="H11" s="344">
        <v>1</v>
      </c>
      <c r="I11" s="345">
        <f t="shared" ref="I11:I13" si="1">G11*H11</f>
        <v>415</v>
      </c>
    </row>
    <row r="12" spans="2:10" x14ac:dyDescent="0.3">
      <c r="B12" s="341" t="s">
        <v>157</v>
      </c>
      <c r="C12" s="341" t="s">
        <v>155</v>
      </c>
      <c r="D12" s="342" t="s">
        <v>339</v>
      </c>
      <c r="E12" s="341" t="s">
        <v>156</v>
      </c>
      <c r="F12" s="342" t="s">
        <v>357</v>
      </c>
      <c r="G12" s="343">
        <v>415</v>
      </c>
      <c r="H12" s="344">
        <v>1</v>
      </c>
      <c r="I12" s="345">
        <f t="shared" si="1"/>
        <v>415</v>
      </c>
    </row>
    <row r="13" spans="2:10" x14ac:dyDescent="0.3">
      <c r="B13" s="341" t="s">
        <v>157</v>
      </c>
      <c r="C13" s="341" t="s">
        <v>155</v>
      </c>
      <c r="D13" s="342" t="s">
        <v>403</v>
      </c>
      <c r="E13" s="341" t="s">
        <v>156</v>
      </c>
      <c r="F13" s="342" t="s">
        <v>357</v>
      </c>
      <c r="G13" s="343">
        <v>415</v>
      </c>
      <c r="H13" s="344">
        <v>1</v>
      </c>
      <c r="I13" s="345">
        <f t="shared" si="1"/>
        <v>415</v>
      </c>
      <c r="J13" s="502"/>
    </row>
    <row r="14" spans="2:10" x14ac:dyDescent="0.3">
      <c r="B14" s="341" t="s">
        <v>157</v>
      </c>
      <c r="C14" s="341" t="s">
        <v>155</v>
      </c>
      <c r="D14" s="342" t="s">
        <v>265</v>
      </c>
      <c r="E14" s="341" t="s">
        <v>156</v>
      </c>
      <c r="F14" s="342" t="s">
        <v>357</v>
      </c>
      <c r="G14" s="343">
        <v>415</v>
      </c>
      <c r="H14" s="344">
        <v>1</v>
      </c>
      <c r="I14" s="345">
        <f t="shared" ref="I14" si="2">G14*H14</f>
        <v>415</v>
      </c>
    </row>
    <row r="15" spans="2:10" x14ac:dyDescent="0.3">
      <c r="B15" s="341" t="s">
        <v>157</v>
      </c>
      <c r="C15" s="341" t="s">
        <v>155</v>
      </c>
      <c r="D15" s="342" t="s">
        <v>344</v>
      </c>
      <c r="E15" s="341" t="s">
        <v>156</v>
      </c>
      <c r="F15" s="342" t="s">
        <v>357</v>
      </c>
      <c r="G15" s="343">
        <v>415</v>
      </c>
      <c r="H15" s="344">
        <v>1</v>
      </c>
      <c r="I15" s="345">
        <f t="shared" ref="I15" si="3">G15*H15</f>
        <v>415</v>
      </c>
    </row>
    <row r="16" spans="2:10" x14ac:dyDescent="0.3">
      <c r="B16" s="348"/>
      <c r="C16" s="348"/>
      <c r="D16" s="348"/>
      <c r="E16" s="348"/>
      <c r="F16" s="348"/>
      <c r="G16" s="346"/>
      <c r="H16" s="347">
        <f>SUM(H6:H15)</f>
        <v>10</v>
      </c>
      <c r="I16" s="545">
        <f>SUM(I6:I15)</f>
        <v>4150</v>
      </c>
    </row>
    <row r="17" spans="2:9" x14ac:dyDescent="0.3">
      <c r="B17" s="341" t="s">
        <v>17</v>
      </c>
      <c r="C17" s="341" t="s">
        <v>155</v>
      </c>
      <c r="D17" s="342" t="s">
        <v>263</v>
      </c>
      <c r="E17" s="341" t="s">
        <v>156</v>
      </c>
      <c r="F17" s="342" t="s">
        <v>356</v>
      </c>
      <c r="G17" s="343">
        <v>415</v>
      </c>
      <c r="H17" s="344">
        <v>1</v>
      </c>
      <c r="I17" s="345">
        <f t="shared" ref="I17:I18" si="4">G17*H17</f>
        <v>415</v>
      </c>
    </row>
    <row r="18" spans="2:9" x14ac:dyDescent="0.3">
      <c r="B18" s="341" t="s">
        <v>17</v>
      </c>
      <c r="C18" s="341" t="s">
        <v>155</v>
      </c>
      <c r="D18" s="342" t="s">
        <v>264</v>
      </c>
      <c r="E18" s="341" t="s">
        <v>156</v>
      </c>
      <c r="F18" s="342" t="s">
        <v>356</v>
      </c>
      <c r="G18" s="343">
        <v>415</v>
      </c>
      <c r="H18" s="344">
        <v>1</v>
      </c>
      <c r="I18" s="345">
        <f t="shared" si="4"/>
        <v>415</v>
      </c>
    </row>
    <row r="19" spans="2:9" x14ac:dyDescent="0.3">
      <c r="B19" s="341" t="s">
        <v>17</v>
      </c>
      <c r="C19" s="341" t="s">
        <v>155</v>
      </c>
      <c r="D19" s="342" t="s">
        <v>263</v>
      </c>
      <c r="E19" s="341" t="s">
        <v>156</v>
      </c>
      <c r="F19" s="342" t="s">
        <v>357</v>
      </c>
      <c r="G19" s="343">
        <v>415</v>
      </c>
      <c r="H19" s="344">
        <v>1</v>
      </c>
      <c r="I19" s="345">
        <f t="shared" ref="I19:I20" si="5">G19*H19</f>
        <v>415</v>
      </c>
    </row>
    <row r="20" spans="2:9" x14ac:dyDescent="0.3">
      <c r="B20" s="341" t="s">
        <v>17</v>
      </c>
      <c r="C20" s="341" t="s">
        <v>155</v>
      </c>
      <c r="D20" s="342" t="s">
        <v>264</v>
      </c>
      <c r="E20" s="341" t="s">
        <v>156</v>
      </c>
      <c r="F20" s="342" t="s">
        <v>357</v>
      </c>
      <c r="G20" s="343">
        <v>415</v>
      </c>
      <c r="H20" s="344">
        <v>1</v>
      </c>
      <c r="I20" s="345">
        <f t="shared" si="5"/>
        <v>415</v>
      </c>
    </row>
    <row r="21" spans="2:9" x14ac:dyDescent="0.3">
      <c r="B21" s="348"/>
      <c r="C21" s="348"/>
      <c r="D21" s="348"/>
      <c r="E21" s="348"/>
      <c r="F21" s="348"/>
      <c r="G21" s="346"/>
      <c r="H21" s="347">
        <f>SUM(H17:H20)</f>
        <v>4</v>
      </c>
      <c r="I21" s="545">
        <f>SUM(I17:I20)</f>
        <v>1660</v>
      </c>
    </row>
    <row r="22" spans="2:9" x14ac:dyDescent="0.3">
      <c r="B22" s="341" t="s">
        <v>232</v>
      </c>
      <c r="C22" s="341" t="s">
        <v>155</v>
      </c>
      <c r="D22" s="342" t="s">
        <v>263</v>
      </c>
      <c r="E22" s="341" t="s">
        <v>156</v>
      </c>
      <c r="F22" s="342" t="s">
        <v>356</v>
      </c>
      <c r="G22" s="343">
        <v>415</v>
      </c>
      <c r="H22" s="344">
        <v>1</v>
      </c>
      <c r="I22" s="345">
        <f t="shared" ref="I22:I29" si="6">G22*H22</f>
        <v>415</v>
      </c>
    </row>
    <row r="23" spans="2:9" x14ac:dyDescent="0.3">
      <c r="B23" s="341" t="s">
        <v>232</v>
      </c>
      <c r="C23" s="341" t="s">
        <v>155</v>
      </c>
      <c r="D23" s="342" t="s">
        <v>339</v>
      </c>
      <c r="E23" s="341" t="s">
        <v>156</v>
      </c>
      <c r="F23" s="342" t="s">
        <v>356</v>
      </c>
      <c r="G23" s="343">
        <v>415</v>
      </c>
      <c r="H23" s="344">
        <v>1</v>
      </c>
      <c r="I23" s="345">
        <f t="shared" si="6"/>
        <v>415</v>
      </c>
    </row>
    <row r="24" spans="2:9" x14ac:dyDescent="0.3">
      <c r="B24" s="341" t="s">
        <v>232</v>
      </c>
      <c r="C24" s="341" t="s">
        <v>155</v>
      </c>
      <c r="D24" s="342" t="s">
        <v>264</v>
      </c>
      <c r="E24" s="341" t="s">
        <v>156</v>
      </c>
      <c r="F24" s="342" t="s">
        <v>356</v>
      </c>
      <c r="G24" s="343">
        <v>415</v>
      </c>
      <c r="H24" s="344">
        <v>1</v>
      </c>
      <c r="I24" s="345">
        <f t="shared" si="6"/>
        <v>415</v>
      </c>
    </row>
    <row r="25" spans="2:9" x14ac:dyDescent="0.3">
      <c r="B25" s="341" t="s">
        <v>232</v>
      </c>
      <c r="C25" s="341" t="s">
        <v>155</v>
      </c>
      <c r="D25" s="342" t="s">
        <v>265</v>
      </c>
      <c r="E25" s="341" t="s">
        <v>156</v>
      </c>
      <c r="F25" s="342" t="s">
        <v>356</v>
      </c>
      <c r="G25" s="343">
        <v>415</v>
      </c>
      <c r="H25" s="344">
        <v>1</v>
      </c>
      <c r="I25" s="345">
        <f t="shared" si="6"/>
        <v>415</v>
      </c>
    </row>
    <row r="26" spans="2:9" x14ac:dyDescent="0.3">
      <c r="B26" s="341" t="s">
        <v>232</v>
      </c>
      <c r="C26" s="341" t="s">
        <v>155</v>
      </c>
      <c r="D26" s="342" t="s">
        <v>263</v>
      </c>
      <c r="E26" s="341" t="s">
        <v>156</v>
      </c>
      <c r="F26" s="342" t="s">
        <v>357</v>
      </c>
      <c r="G26" s="343">
        <v>415</v>
      </c>
      <c r="H26" s="344">
        <v>1</v>
      </c>
      <c r="I26" s="345">
        <f t="shared" si="6"/>
        <v>415</v>
      </c>
    </row>
    <row r="27" spans="2:9" x14ac:dyDescent="0.3">
      <c r="B27" s="341" t="s">
        <v>232</v>
      </c>
      <c r="C27" s="341" t="s">
        <v>155</v>
      </c>
      <c r="D27" s="342" t="s">
        <v>339</v>
      </c>
      <c r="E27" s="341" t="s">
        <v>156</v>
      </c>
      <c r="F27" s="342" t="s">
        <v>357</v>
      </c>
      <c r="G27" s="343">
        <v>415</v>
      </c>
      <c r="H27" s="344">
        <v>1</v>
      </c>
      <c r="I27" s="345">
        <f t="shared" si="6"/>
        <v>415</v>
      </c>
    </row>
    <row r="28" spans="2:9" x14ac:dyDescent="0.3">
      <c r="B28" s="341" t="s">
        <v>232</v>
      </c>
      <c r="C28" s="341" t="s">
        <v>155</v>
      </c>
      <c r="D28" s="342" t="s">
        <v>264</v>
      </c>
      <c r="E28" s="341" t="s">
        <v>156</v>
      </c>
      <c r="F28" s="342" t="s">
        <v>357</v>
      </c>
      <c r="G28" s="343">
        <v>415</v>
      </c>
      <c r="H28" s="344">
        <v>1</v>
      </c>
      <c r="I28" s="345">
        <f t="shared" si="6"/>
        <v>415</v>
      </c>
    </row>
    <row r="29" spans="2:9" x14ac:dyDescent="0.3">
      <c r="B29" s="341" t="s">
        <v>232</v>
      </c>
      <c r="C29" s="341" t="s">
        <v>155</v>
      </c>
      <c r="D29" s="342" t="s">
        <v>265</v>
      </c>
      <c r="E29" s="341" t="s">
        <v>156</v>
      </c>
      <c r="F29" s="342" t="s">
        <v>357</v>
      </c>
      <c r="G29" s="343">
        <v>415</v>
      </c>
      <c r="H29" s="344">
        <v>1</v>
      </c>
      <c r="I29" s="345">
        <f t="shared" si="6"/>
        <v>415</v>
      </c>
    </row>
    <row r="30" spans="2:9" x14ac:dyDescent="0.3">
      <c r="B30" s="348"/>
      <c r="C30" s="348"/>
      <c r="D30" s="348"/>
      <c r="E30" s="348"/>
      <c r="F30" s="348"/>
      <c r="G30" s="346"/>
      <c r="H30" s="347">
        <f>SUM(H22:H29)</f>
        <v>8</v>
      </c>
      <c r="I30" s="545">
        <f>SUM(I22:I29)</f>
        <v>3320</v>
      </c>
    </row>
    <row r="31" spans="2:9" x14ac:dyDescent="0.3">
      <c r="B31" s="458" t="s">
        <v>225</v>
      </c>
      <c r="C31" s="341" t="s">
        <v>155</v>
      </c>
      <c r="D31" s="342" t="s">
        <v>263</v>
      </c>
      <c r="E31" s="341" t="s">
        <v>156</v>
      </c>
      <c r="F31" s="342" t="s">
        <v>356</v>
      </c>
      <c r="G31" s="343">
        <v>415</v>
      </c>
      <c r="H31" s="344">
        <v>1</v>
      </c>
      <c r="I31" s="345">
        <f t="shared" ref="I31:I32" si="7">G31*H31</f>
        <v>415</v>
      </c>
    </row>
    <row r="32" spans="2:9" x14ac:dyDescent="0.3">
      <c r="B32" s="458" t="s">
        <v>225</v>
      </c>
      <c r="C32" s="341" t="s">
        <v>155</v>
      </c>
      <c r="D32" s="342" t="s">
        <v>283</v>
      </c>
      <c r="E32" s="341" t="s">
        <v>156</v>
      </c>
      <c r="F32" s="342" t="s">
        <v>356</v>
      </c>
      <c r="G32" s="343">
        <v>415</v>
      </c>
      <c r="H32" s="344">
        <v>1</v>
      </c>
      <c r="I32" s="345">
        <f t="shared" si="7"/>
        <v>415</v>
      </c>
    </row>
    <row r="33" spans="2:9" x14ac:dyDescent="0.3">
      <c r="B33" s="458" t="s">
        <v>225</v>
      </c>
      <c r="C33" s="341" t="s">
        <v>155</v>
      </c>
      <c r="D33" s="342" t="s">
        <v>263</v>
      </c>
      <c r="E33" s="341" t="s">
        <v>156</v>
      </c>
      <c r="F33" s="342" t="s">
        <v>357</v>
      </c>
      <c r="G33" s="343">
        <v>415</v>
      </c>
      <c r="H33" s="344">
        <v>1</v>
      </c>
      <c r="I33" s="345">
        <f t="shared" ref="I33:I34" si="8">G33*H33</f>
        <v>415</v>
      </c>
    </row>
    <row r="34" spans="2:9" x14ac:dyDescent="0.3">
      <c r="B34" s="458" t="s">
        <v>225</v>
      </c>
      <c r="C34" s="341" t="s">
        <v>155</v>
      </c>
      <c r="D34" s="342" t="s">
        <v>283</v>
      </c>
      <c r="E34" s="341" t="s">
        <v>156</v>
      </c>
      <c r="F34" s="342" t="s">
        <v>357</v>
      </c>
      <c r="G34" s="343">
        <v>415</v>
      </c>
      <c r="H34" s="344">
        <v>1</v>
      </c>
      <c r="I34" s="345">
        <f t="shared" si="8"/>
        <v>415</v>
      </c>
    </row>
    <row r="35" spans="2:9" x14ac:dyDescent="0.3">
      <c r="B35" s="348"/>
      <c r="C35" s="348"/>
      <c r="D35" s="348"/>
      <c r="E35" s="348"/>
      <c r="F35" s="348"/>
      <c r="G35" s="346"/>
      <c r="H35" s="347">
        <f>SUM(H31:H34)</f>
        <v>4</v>
      </c>
      <c r="I35" s="545">
        <f>SUM(I31:I34)</f>
        <v>1660</v>
      </c>
    </row>
    <row r="36" spans="2:9" hidden="1" x14ac:dyDescent="0.3">
      <c r="B36" s="458" t="s">
        <v>259</v>
      </c>
      <c r="C36" s="341" t="s">
        <v>155</v>
      </c>
      <c r="D36" s="458" t="s">
        <v>127</v>
      </c>
      <c r="E36" s="341" t="s">
        <v>156</v>
      </c>
      <c r="F36" s="341" t="s">
        <v>40</v>
      </c>
      <c r="G36" s="343">
        <v>255</v>
      </c>
      <c r="H36" s="344">
        <v>0</v>
      </c>
      <c r="I36" s="345">
        <f t="shared" ref="I36:I37" si="9">G36*H36</f>
        <v>0</v>
      </c>
    </row>
    <row r="37" spans="2:9" hidden="1" x14ac:dyDescent="0.3">
      <c r="B37" s="458" t="s">
        <v>259</v>
      </c>
      <c r="C37" s="341" t="s">
        <v>155</v>
      </c>
      <c r="D37" s="458" t="s">
        <v>127</v>
      </c>
      <c r="E37" s="341" t="s">
        <v>156</v>
      </c>
      <c r="F37" s="341" t="s">
        <v>289</v>
      </c>
      <c r="G37" s="343">
        <v>255</v>
      </c>
      <c r="H37" s="344">
        <v>0</v>
      </c>
      <c r="I37" s="345">
        <f t="shared" si="9"/>
        <v>0</v>
      </c>
    </row>
    <row r="38" spans="2:9" hidden="1" x14ac:dyDescent="0.3">
      <c r="B38" s="348"/>
      <c r="C38" s="348"/>
      <c r="D38" s="348"/>
      <c r="E38" s="348"/>
      <c r="F38" s="348"/>
      <c r="G38" s="346"/>
      <c r="H38" s="347">
        <f>SUM(H36:H37)</f>
        <v>0</v>
      </c>
      <c r="I38" s="346">
        <f>SUM(I36:I37)</f>
        <v>0</v>
      </c>
    </row>
    <row r="39" spans="2:9" hidden="1" x14ac:dyDescent="0.3">
      <c r="B39" s="458" t="s">
        <v>290</v>
      </c>
      <c r="C39" s="341" t="s">
        <v>155</v>
      </c>
      <c r="D39" s="458" t="s">
        <v>127</v>
      </c>
      <c r="E39" s="341" t="s">
        <v>156</v>
      </c>
      <c r="F39" s="341" t="s">
        <v>40</v>
      </c>
      <c r="G39" s="343">
        <v>255</v>
      </c>
      <c r="H39" s="344">
        <v>0</v>
      </c>
      <c r="I39" s="345">
        <f t="shared" ref="I39:I40" si="10">G39*H39</f>
        <v>0</v>
      </c>
    </row>
    <row r="40" spans="2:9" hidden="1" x14ac:dyDescent="0.3">
      <c r="B40" s="458" t="s">
        <v>290</v>
      </c>
      <c r="C40" s="341" t="s">
        <v>155</v>
      </c>
      <c r="D40" s="458" t="s">
        <v>127</v>
      </c>
      <c r="E40" s="341" t="s">
        <v>156</v>
      </c>
      <c r="F40" s="341" t="s">
        <v>289</v>
      </c>
      <c r="G40" s="343">
        <v>255</v>
      </c>
      <c r="H40" s="344">
        <v>0</v>
      </c>
      <c r="I40" s="345">
        <f t="shared" si="10"/>
        <v>0</v>
      </c>
    </row>
    <row r="41" spans="2:9" hidden="1" x14ac:dyDescent="0.3">
      <c r="B41" s="348"/>
      <c r="C41" s="348"/>
      <c r="D41" s="348"/>
      <c r="E41" s="348"/>
      <c r="F41" s="348"/>
      <c r="G41" s="346"/>
      <c r="H41" s="347">
        <f>SUM(H39:H40)</f>
        <v>0</v>
      </c>
      <c r="I41" s="346">
        <f>SUM(I39:I40)</f>
        <v>0</v>
      </c>
    </row>
    <row r="42" spans="2:9" x14ac:dyDescent="0.3">
      <c r="B42" s="349"/>
      <c r="C42" s="349"/>
      <c r="D42" s="349"/>
      <c r="E42" s="349"/>
      <c r="F42" s="349"/>
      <c r="G42" s="350"/>
    </row>
    <row r="43" spans="2:9" ht="21" customHeight="1" x14ac:dyDescent="0.3">
      <c r="B43" s="626"/>
      <c r="C43" s="626"/>
      <c r="D43" s="351"/>
      <c r="E43" s="351"/>
      <c r="F43" s="352"/>
      <c r="G43" s="353"/>
      <c r="H43" s="352" t="s">
        <v>171</v>
      </c>
      <c r="I43" s="353">
        <f>SUM(I35,I30,I21,I16,I41,I38)</f>
        <v>10790</v>
      </c>
    </row>
    <row r="44" spans="2:9" ht="6" customHeight="1" x14ac:dyDescent="0.3"/>
    <row r="45" spans="2:9" ht="13.05" customHeight="1" x14ac:dyDescent="0.3"/>
  </sheetData>
  <mergeCells count="1">
    <mergeCell ref="B43:C43"/>
  </mergeCells>
  <pageMargins left="0.511811024" right="0.511811024" top="0.78740157499999996" bottom="0.78740157499999996" header="0.31496062000000002" footer="0.31496062000000002"/>
  <headerFooter>
    <oddFooter>&amp;C_x000D_&amp;1#&amp;"Calibri"&amp;10&amp;K000000 Confidential - Not for Public Consumption or Distribution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54ED-B4FE-4CE4-89EF-83399A0EFA53}">
  <dimension ref="B2:G26"/>
  <sheetViews>
    <sheetView zoomScale="112" zoomScaleNormal="112" workbookViewId="0">
      <selection activeCell="C24" sqref="C24"/>
    </sheetView>
  </sheetViews>
  <sheetFormatPr defaultColWidth="8.69921875" defaultRowHeight="10.199999999999999" x14ac:dyDescent="0.2"/>
  <cols>
    <col min="1" max="1" width="2.796875" style="546" customWidth="1"/>
    <col min="2" max="2" width="27.796875" style="546" customWidth="1"/>
    <col min="3" max="5" width="20.09765625" style="546" customWidth="1"/>
    <col min="6" max="6" width="21.3984375" style="546" customWidth="1"/>
    <col min="7" max="7" width="27.796875" style="546" customWidth="1"/>
    <col min="8" max="16384" width="8.69921875" style="546"/>
  </cols>
  <sheetData>
    <row r="2" spans="2:7" ht="13.05" customHeight="1" x14ac:dyDescent="0.2">
      <c r="B2" s="628" t="s">
        <v>362</v>
      </c>
      <c r="C2" s="630" t="s">
        <v>363</v>
      </c>
      <c r="D2" s="631"/>
      <c r="E2" s="631"/>
      <c r="F2" s="631"/>
      <c r="G2" s="631"/>
    </row>
    <row r="3" spans="2:7" x14ac:dyDescent="0.2">
      <c r="B3" s="629"/>
      <c r="C3" s="547" t="s">
        <v>157</v>
      </c>
      <c r="D3" s="547" t="s">
        <v>225</v>
      </c>
      <c r="E3" s="547" t="s">
        <v>232</v>
      </c>
      <c r="F3" s="547" t="s">
        <v>17</v>
      </c>
      <c r="G3" s="548" t="s">
        <v>32</v>
      </c>
    </row>
    <row r="4" spans="2:7" x14ac:dyDescent="0.2">
      <c r="B4" s="549" t="s">
        <v>364</v>
      </c>
      <c r="C4" s="549" t="s">
        <v>365</v>
      </c>
      <c r="D4" s="549" t="s">
        <v>366</v>
      </c>
      <c r="E4" s="549" t="s">
        <v>367</v>
      </c>
      <c r="F4" s="549" t="s">
        <v>368</v>
      </c>
      <c r="G4" s="549" t="s">
        <v>369</v>
      </c>
    </row>
    <row r="5" spans="2:7" x14ac:dyDescent="0.2">
      <c r="B5" s="549" t="s">
        <v>370</v>
      </c>
      <c r="C5" s="549" t="s">
        <v>368</v>
      </c>
      <c r="D5" s="549" t="s">
        <v>368</v>
      </c>
      <c r="E5" s="549" t="s">
        <v>371</v>
      </c>
      <c r="F5" s="549" t="s">
        <v>368</v>
      </c>
      <c r="G5" s="549" t="s">
        <v>372</v>
      </c>
    </row>
    <row r="6" spans="2:7" x14ac:dyDescent="0.2">
      <c r="B6" s="549" t="s">
        <v>373</v>
      </c>
      <c r="C6" s="549" t="s">
        <v>374</v>
      </c>
      <c r="D6" s="549" t="s">
        <v>368</v>
      </c>
      <c r="E6" s="549" t="s">
        <v>374</v>
      </c>
      <c r="F6" s="549" t="s">
        <v>368</v>
      </c>
      <c r="G6" s="549" t="s">
        <v>372</v>
      </c>
    </row>
    <row r="7" spans="2:7" x14ac:dyDescent="0.2">
      <c r="B7" s="549" t="s">
        <v>375</v>
      </c>
      <c r="C7" s="549" t="s">
        <v>368</v>
      </c>
      <c r="D7" s="549" t="s">
        <v>368</v>
      </c>
      <c r="E7" s="549" t="s">
        <v>374</v>
      </c>
      <c r="F7" s="549" t="s">
        <v>368</v>
      </c>
      <c r="G7" s="549" t="s">
        <v>372</v>
      </c>
    </row>
    <row r="8" spans="2:7" x14ac:dyDescent="0.2">
      <c r="B8" s="549" t="s">
        <v>376</v>
      </c>
      <c r="C8" s="549" t="s">
        <v>365</v>
      </c>
      <c r="D8" s="549" t="s">
        <v>366</v>
      </c>
      <c r="E8" s="549" t="s">
        <v>367</v>
      </c>
      <c r="F8" s="549" t="s">
        <v>368</v>
      </c>
      <c r="G8" s="549" t="s">
        <v>377</v>
      </c>
    </row>
    <row r="9" spans="2:7" x14ac:dyDescent="0.2">
      <c r="B9" s="549" t="s">
        <v>378</v>
      </c>
      <c r="C9" s="549" t="s">
        <v>368</v>
      </c>
      <c r="D9" s="549" t="s">
        <v>368</v>
      </c>
      <c r="E9" s="549" t="s">
        <v>371</v>
      </c>
      <c r="F9" s="549" t="s">
        <v>368</v>
      </c>
      <c r="G9" s="549" t="s">
        <v>372</v>
      </c>
    </row>
    <row r="10" spans="2:7" x14ac:dyDescent="0.2">
      <c r="B10" s="549" t="s">
        <v>366</v>
      </c>
      <c r="C10" s="549" t="s">
        <v>367</v>
      </c>
      <c r="D10" s="549" t="s">
        <v>366</v>
      </c>
      <c r="E10" s="549" t="s">
        <v>367</v>
      </c>
      <c r="F10" s="549" t="s">
        <v>367</v>
      </c>
      <c r="G10" s="549" t="s">
        <v>379</v>
      </c>
    </row>
    <row r="11" spans="2:7" x14ac:dyDescent="0.2">
      <c r="B11" s="549" t="s">
        <v>380</v>
      </c>
      <c r="C11" s="549" t="s">
        <v>368</v>
      </c>
      <c r="D11" s="549" t="s">
        <v>368</v>
      </c>
      <c r="E11" s="549" t="s">
        <v>371</v>
      </c>
      <c r="F11" s="549" t="s">
        <v>368</v>
      </c>
      <c r="G11" s="549" t="s">
        <v>372</v>
      </c>
    </row>
    <row r="12" spans="2:7" x14ac:dyDescent="0.2">
      <c r="B12" s="549" t="s">
        <v>381</v>
      </c>
      <c r="C12" s="549" t="s">
        <v>374</v>
      </c>
      <c r="D12" s="549" t="s">
        <v>368</v>
      </c>
      <c r="E12" s="549" t="s">
        <v>371</v>
      </c>
      <c r="F12" s="549" t="s">
        <v>368</v>
      </c>
      <c r="G12" s="549" t="s">
        <v>372</v>
      </c>
    </row>
    <row r="13" spans="2:7" x14ac:dyDescent="0.2">
      <c r="B13" s="549" t="s">
        <v>382</v>
      </c>
      <c r="C13" s="549" t="s">
        <v>374</v>
      </c>
      <c r="D13" s="549" t="s">
        <v>368</v>
      </c>
      <c r="E13" s="549" t="s">
        <v>374</v>
      </c>
      <c r="F13" s="549" t="s">
        <v>368</v>
      </c>
      <c r="G13" s="549" t="s">
        <v>372</v>
      </c>
    </row>
    <row r="14" spans="2:7" x14ac:dyDescent="0.2">
      <c r="B14" s="549" t="s">
        <v>383</v>
      </c>
      <c r="C14" s="549" t="s">
        <v>384</v>
      </c>
      <c r="D14" s="549" t="s">
        <v>368</v>
      </c>
      <c r="E14" s="549" t="s">
        <v>385</v>
      </c>
      <c r="F14" s="549" t="s">
        <v>379</v>
      </c>
      <c r="G14" s="549" t="s">
        <v>52</v>
      </c>
    </row>
    <row r="15" spans="2:7" x14ac:dyDescent="0.2">
      <c r="B15" s="549" t="s">
        <v>386</v>
      </c>
      <c r="C15" s="549" t="s">
        <v>367</v>
      </c>
      <c r="D15" s="549" t="s">
        <v>366</v>
      </c>
      <c r="E15" s="549" t="s">
        <v>367</v>
      </c>
      <c r="F15" s="549" t="s">
        <v>379</v>
      </c>
      <c r="G15" s="549" t="s">
        <v>379</v>
      </c>
    </row>
    <row r="16" spans="2:7" x14ac:dyDescent="0.2">
      <c r="B16" s="549" t="s">
        <v>387</v>
      </c>
      <c r="C16" s="549" t="s">
        <v>365</v>
      </c>
      <c r="D16" s="549" t="s">
        <v>366</v>
      </c>
      <c r="E16" s="549" t="s">
        <v>367</v>
      </c>
      <c r="F16" s="549" t="s">
        <v>367</v>
      </c>
      <c r="G16" s="549" t="s">
        <v>377</v>
      </c>
    </row>
    <row r="17" spans="2:7" x14ac:dyDescent="0.2">
      <c r="B17" s="549" t="s">
        <v>388</v>
      </c>
      <c r="C17" s="549" t="s">
        <v>368</v>
      </c>
      <c r="D17" s="549" t="s">
        <v>368</v>
      </c>
      <c r="E17" s="549" t="s">
        <v>371</v>
      </c>
      <c r="F17" s="549" t="s">
        <v>368</v>
      </c>
      <c r="G17" s="549" t="s">
        <v>372</v>
      </c>
    </row>
    <row r="18" spans="2:7" x14ac:dyDescent="0.2">
      <c r="B18" s="549" t="s">
        <v>389</v>
      </c>
      <c r="C18" s="549" t="s">
        <v>385</v>
      </c>
      <c r="D18" s="549" t="s">
        <v>390</v>
      </c>
      <c r="E18" s="550" t="s">
        <v>119</v>
      </c>
      <c r="F18" s="549" t="s">
        <v>368</v>
      </c>
      <c r="G18" s="549" t="s">
        <v>372</v>
      </c>
    </row>
    <row r="19" spans="2:7" x14ac:dyDescent="0.2">
      <c r="B19" s="549" t="s">
        <v>391</v>
      </c>
      <c r="C19" s="549" t="s">
        <v>368</v>
      </c>
      <c r="D19" s="549" t="s">
        <v>368</v>
      </c>
      <c r="E19" s="549" t="s">
        <v>371</v>
      </c>
      <c r="F19" s="549" t="s">
        <v>368</v>
      </c>
      <c r="G19" s="549" t="s">
        <v>372</v>
      </c>
    </row>
    <row r="20" spans="2:7" x14ac:dyDescent="0.2">
      <c r="B20" s="549" t="s">
        <v>392</v>
      </c>
      <c r="C20" s="549" t="s">
        <v>367</v>
      </c>
      <c r="D20" s="549" t="s">
        <v>366</v>
      </c>
      <c r="E20" s="549" t="s">
        <v>367</v>
      </c>
      <c r="F20" s="549" t="s">
        <v>367</v>
      </c>
      <c r="G20" s="549" t="s">
        <v>379</v>
      </c>
    </row>
    <row r="21" spans="2:7" x14ac:dyDescent="0.2">
      <c r="B21" s="549" t="s">
        <v>393</v>
      </c>
      <c r="C21" s="549" t="s">
        <v>394</v>
      </c>
      <c r="D21" s="549" t="s">
        <v>368</v>
      </c>
      <c r="E21" s="549" t="s">
        <v>371</v>
      </c>
      <c r="F21" s="549" t="s">
        <v>379</v>
      </c>
      <c r="G21" s="549" t="s">
        <v>52</v>
      </c>
    </row>
    <row r="22" spans="2:7" x14ac:dyDescent="0.2">
      <c r="B22" s="549" t="s">
        <v>395</v>
      </c>
      <c r="C22" s="549" t="s">
        <v>365</v>
      </c>
      <c r="D22" s="549" t="s">
        <v>366</v>
      </c>
      <c r="E22" s="549" t="s">
        <v>367</v>
      </c>
      <c r="F22" s="549" t="s">
        <v>368</v>
      </c>
      <c r="G22" s="549" t="s">
        <v>369</v>
      </c>
    </row>
    <row r="23" spans="2:7" x14ac:dyDescent="0.2">
      <c r="B23" s="549" t="s">
        <v>396</v>
      </c>
      <c r="C23" s="549" t="s">
        <v>367</v>
      </c>
      <c r="D23" s="549" t="s">
        <v>366</v>
      </c>
      <c r="E23" s="549" t="s">
        <v>367</v>
      </c>
      <c r="F23" s="549" t="s">
        <v>367</v>
      </c>
      <c r="G23" s="549" t="s">
        <v>379</v>
      </c>
    </row>
    <row r="24" spans="2:7" x14ac:dyDescent="0.2">
      <c r="B24" s="549" t="s">
        <v>397</v>
      </c>
      <c r="C24" s="549" t="s">
        <v>368</v>
      </c>
      <c r="D24" s="549" t="s">
        <v>368</v>
      </c>
      <c r="E24" s="549" t="s">
        <v>371</v>
      </c>
      <c r="F24" s="549" t="s">
        <v>368</v>
      </c>
      <c r="G24" s="549" t="s">
        <v>372</v>
      </c>
    </row>
    <row r="25" spans="2:7" x14ac:dyDescent="0.2">
      <c r="B25" s="549" t="s">
        <v>398</v>
      </c>
      <c r="C25" s="549" t="s">
        <v>368</v>
      </c>
      <c r="D25" s="549" t="s">
        <v>368</v>
      </c>
      <c r="E25" s="549" t="s">
        <v>371</v>
      </c>
      <c r="F25" s="549" t="s">
        <v>368</v>
      </c>
      <c r="G25" s="549" t="s">
        <v>372</v>
      </c>
    </row>
    <row r="26" spans="2:7" x14ac:dyDescent="0.2">
      <c r="B26" s="549" t="s">
        <v>399</v>
      </c>
      <c r="C26" s="549" t="s">
        <v>365</v>
      </c>
      <c r="D26" s="549" t="s">
        <v>366</v>
      </c>
      <c r="E26" s="550" t="s">
        <v>119</v>
      </c>
      <c r="F26" s="549" t="s">
        <v>368</v>
      </c>
      <c r="G26" s="549" t="s">
        <v>377</v>
      </c>
    </row>
  </sheetData>
  <mergeCells count="2">
    <mergeCell ref="B2:B3"/>
    <mergeCell ref="C2:G2"/>
  </mergeCells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3</vt:i4>
      </vt:variant>
    </vt:vector>
  </HeadingPairs>
  <TitlesOfParts>
    <vt:vector size="17" baseType="lpstr">
      <vt:lpstr>COVER</vt:lpstr>
      <vt:lpstr>RESUMO DE MEIOS</vt:lpstr>
      <vt:lpstr>RESUMO DE MEIOS - SPE</vt:lpstr>
      <vt:lpstr>TV ABERTA</vt:lpstr>
      <vt:lpstr>TV ABERTA - SPE</vt:lpstr>
      <vt:lpstr>TV ABERTA - COLCHÃO REP - SP1</vt:lpstr>
      <vt:lpstr>TV ABERTA - COLCHÃO REP - SPE</vt:lpstr>
      <vt:lpstr>TV PAGA - COLCHÃO REP - SP1</vt:lpstr>
      <vt:lpstr>TV PAGA - COLCHÃO REP - SPE</vt:lpstr>
      <vt:lpstr>RÁDIO versão completa</vt:lpstr>
      <vt:lpstr>CUSTO GERAÇÃO SPE</vt:lpstr>
      <vt:lpstr>RÁDIO </vt:lpstr>
      <vt:lpstr>CUSTO GERAÇÃO</vt:lpstr>
      <vt:lpstr>COBERTURA</vt:lpstr>
      <vt:lpstr>COVER!Area_de_impressao</vt:lpstr>
      <vt:lpstr>'RÁDIO '!Area_de_impressao</vt:lpstr>
      <vt:lpstr>'RÁDIO versão completa'!Area_de_impressao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Elza Savoy De Brito (Omnicom)</dc:creator>
  <cp:lastModifiedBy>Beatriz Piconi (Omnicom)</cp:lastModifiedBy>
  <dcterms:created xsi:type="dcterms:W3CDTF">2025-12-26T19:37:03Z</dcterms:created>
  <dcterms:modified xsi:type="dcterms:W3CDTF">2026-03-05T14:21:14Z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2025-12-26T20:36:56Z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d33e503c-e07a-45c6-90f1-e3b7a512c17d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